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álisisInfo2.7\Matrículas\Anual\Matrículas2020\República Mexicana\Finales_RM\"/>
    </mc:Choice>
  </mc:AlternateContent>
  <bookViews>
    <workbookView xWindow="0" yWindow="0" windowWidth="23040" windowHeight="8805" tabRatio="782"/>
  </bookViews>
  <sheets>
    <sheet name="Índice" sheetId="1" r:id="rId1"/>
    <sheet name="Baja California Sur_EdoUsa" sheetId="2" r:id="rId2"/>
    <sheet name="Baja California Sur_Cons" sheetId="15" r:id="rId3"/>
    <sheet name="Baja California SurXCons" sheetId="16" r:id="rId4"/>
    <sheet name="Baja California Sur_EdoMun" sheetId="5" r:id="rId5"/>
    <sheet name="Baja California Sur_USAMuni" sheetId="6" r:id="rId6"/>
    <sheet name="Baja California Sur_MUNICIPIO" sheetId="7" r:id="rId7"/>
    <sheet name="Baja California Sur_educ_gral" sheetId="8" r:id="rId8"/>
    <sheet name="Baja California Sur_NivelE_Cons" sheetId="9" r:id="rId9"/>
    <sheet name="Baja California Sur_EducCons" sheetId="10" r:id="rId10"/>
    <sheet name="Baja California Sur_GenGral" sheetId="11" r:id="rId11"/>
    <sheet name="Baja California Sur_GENERO" sheetId="12" r:id="rId12"/>
    <sheet name="Baja California Sur_Gen_Edad" sheetId="13" r:id="rId13"/>
    <sheet name="Baja California Sur_ocup_gral" sheetId="14" r:id="rId14"/>
  </sheets>
  <definedNames>
    <definedName name="_xlnm._FilterDatabase" localSheetId="2" hidden="1">'Baja California Sur_Cons'!$B$11:$D$11</definedName>
    <definedName name="_xlnm._FilterDatabase" localSheetId="4" hidden="1">'Baja California Sur_EdoMun'!$B$11:$D$11</definedName>
    <definedName name="_xlnm._FilterDatabase" localSheetId="1" hidden="1">'Baja California Sur_EdoUsa'!$B$11:$D$11</definedName>
    <definedName name="_xlnm._FilterDatabase" localSheetId="7" hidden="1">'Baja California Sur_educ_gral'!$B$11:$D$11</definedName>
    <definedName name="_xlnm._FilterDatabase" localSheetId="9" hidden="1">'Baja California Sur_EducCons'!$B$9:$E$9</definedName>
    <definedName name="_xlnm._FilterDatabase" localSheetId="11" hidden="1">'Baja California Sur_GENERO'!$C$11:$E$11</definedName>
    <definedName name="_xlnm._FilterDatabase" localSheetId="10" hidden="1">'Baja California Sur_GenGral'!$B$11:$D$11</definedName>
    <definedName name="_xlnm._FilterDatabase" localSheetId="6" hidden="1">'Baja California Sur_MUNICIPIO'!$B$9:$E$9</definedName>
    <definedName name="_xlnm._FilterDatabase" localSheetId="8" hidden="1">'Baja California Sur_NivelE_Cons'!$B$9:$E$9</definedName>
    <definedName name="_xlnm._FilterDatabase" localSheetId="13" hidden="1">'Baja California Sur_ocup_gral'!$B$11:$D$11</definedName>
    <definedName name="_xlnm._FilterDatabase" localSheetId="5" hidden="1">'Baja California Sur_USAMuni'!$B$9:$E$9</definedName>
    <definedName name="_xlnm._FilterDatabase" localSheetId="3" hidden="1">'Baja California SurXCons'!$B$11:$D$12</definedName>
    <definedName name="_xlnm.Print_Area" localSheetId="9">'Baja California Sur_EducCons'!$A$1:$E$9</definedName>
    <definedName name="_xlnm.Print_Area" localSheetId="6">'Baja California Sur_MUNICIPIO'!$A$1:$E$9</definedName>
    <definedName name="_xlnm.Print_Area" localSheetId="8">'Baja California Sur_NivelE_Cons'!$A$1:$E$9</definedName>
    <definedName name="_xlnm.Print_Area" localSheetId="5">'Baja California Sur_USAMuni'!$A$1:$E$9</definedName>
    <definedName name="_xlnm.Print_Titles" localSheetId="2">'Baja California Sur_Cons'!$1:$11</definedName>
    <definedName name="_xlnm.Print_Titles" localSheetId="4">'Baja California Sur_EdoMun'!$1:$11</definedName>
    <definedName name="_xlnm.Print_Titles" localSheetId="1">'Baja California Sur_EdoUsa'!$1:$11</definedName>
    <definedName name="_xlnm.Print_Titles" localSheetId="7">'Baja California Sur_educ_gral'!$1:$11</definedName>
    <definedName name="_xlnm.Print_Titles" localSheetId="9">'Baja California Sur_EducCons'!$1:$9</definedName>
    <definedName name="_xlnm.Print_Titles" localSheetId="12">'Baja California Sur_Gen_Edad'!$1:$11</definedName>
    <definedName name="_xlnm.Print_Titles" localSheetId="11">'Baja California Sur_GENERO'!$1:$11</definedName>
    <definedName name="_xlnm.Print_Titles" localSheetId="10">'Baja California Sur_GenGral'!$1:$11</definedName>
    <definedName name="_xlnm.Print_Titles" localSheetId="6">'Baja California Sur_MUNICIPIO'!$1:$9</definedName>
    <definedName name="_xlnm.Print_Titles" localSheetId="8">'Baja California Sur_NivelE_Cons'!$1:$9</definedName>
    <definedName name="_xlnm.Print_Titles" localSheetId="13">'Baja California Sur_ocup_gral'!$1:$11</definedName>
    <definedName name="_xlnm.Print_Titles" localSheetId="5">'Baja California Sur_USAMuni'!$1:$9</definedName>
    <definedName name="_xlnm.Print_Titles" localSheetId="3">'Baja California SurXCons'!$1:$11</definedName>
  </definedNames>
  <calcPr calcId="152511"/>
</workbook>
</file>

<file path=xl/calcChain.xml><?xml version="1.0" encoding="utf-8"?>
<calcChain xmlns="http://schemas.openxmlformats.org/spreadsheetml/2006/main">
  <c r="D22" i="16" l="1"/>
  <c r="C22" i="16"/>
  <c r="D21" i="16"/>
  <c r="D20" i="16"/>
  <c r="D19" i="16"/>
  <c r="D18" i="16"/>
  <c r="D17" i="16"/>
  <c r="D16" i="16"/>
  <c r="D15" i="16"/>
  <c r="D14" i="16"/>
  <c r="D13" i="16"/>
  <c r="D12" i="16"/>
  <c r="D32" i="8" l="1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23" i="14" l="1"/>
  <c r="D22" i="14"/>
  <c r="D21" i="14"/>
  <c r="D20" i="14"/>
  <c r="D19" i="14"/>
  <c r="D18" i="14"/>
  <c r="D17" i="14"/>
  <c r="D16" i="14"/>
  <c r="D15" i="14"/>
  <c r="D14" i="14"/>
  <c r="D13" i="14"/>
  <c r="D12" i="14"/>
  <c r="F27" i="13" l="1"/>
  <c r="F26" i="13"/>
  <c r="F25" i="13"/>
  <c r="F24" i="13"/>
  <c r="F23" i="13"/>
  <c r="F22" i="13"/>
  <c r="F21" i="13"/>
  <c r="F20" i="13"/>
  <c r="F19" i="13"/>
  <c r="F18" i="13"/>
  <c r="F17" i="13"/>
  <c r="F16" i="13"/>
  <c r="F15" i="13"/>
  <c r="F14" i="13"/>
  <c r="F13" i="13"/>
  <c r="F12" i="13"/>
</calcChain>
</file>

<file path=xl/sharedStrings.xml><?xml version="1.0" encoding="utf-8"?>
<sst xmlns="http://schemas.openxmlformats.org/spreadsheetml/2006/main" count="1169" uniqueCount="174">
  <si>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</si>
  <si>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</si>
  <si>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</si>
  <si>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</si>
  <si>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</si>
  <si>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</si>
  <si>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</si>
  <si>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</si>
  <si>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</si>
  <si>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</si>
  <si>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</si>
  <si>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</si>
  <si>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</si>
  <si>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</si>
  <si>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</si>
  <si>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</si>
  <si>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</si>
  <si>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</si>
  <si>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</si>
  <si>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</si>
  <si>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</si>
  <si>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Wisconsin</t>
  </si>
  <si>
    <t>Nebraska</t>
  </si>
  <si>
    <t>Alabama</t>
  </si>
  <si>
    <t>Pennsylvania</t>
  </si>
  <si>
    <t>New York</t>
  </si>
  <si>
    <t>Louisiana</t>
  </si>
  <si>
    <t>Tennessee</t>
  </si>
  <si>
    <t>New Jersey</t>
  </si>
  <si>
    <t>Minnesota</t>
  </si>
  <si>
    <t>Michigan</t>
  </si>
  <si>
    <t>Indiana</t>
  </si>
  <si>
    <t>New Mexico</t>
  </si>
  <si>
    <t>South Carolina</t>
  </si>
  <si>
    <t>Washington</t>
  </si>
  <si>
    <t>Georgia</t>
  </si>
  <si>
    <t>North Carolina</t>
  </si>
  <si>
    <t>Utah</t>
  </si>
  <si>
    <t>Colorado</t>
  </si>
  <si>
    <t>Oregon</t>
  </si>
  <si>
    <t>Arizona</t>
  </si>
  <si>
    <t>Nevada</t>
  </si>
  <si>
    <t>Florida</t>
  </si>
  <si>
    <t>Illinois</t>
  </si>
  <si>
    <t>Texas</t>
  </si>
  <si>
    <t>California</t>
  </si>
  <si>
    <t>Porcentaje de Matrículas</t>
  </si>
  <si>
    <t>Número de Matrículas</t>
  </si>
  <si>
    <t xml:space="preserve">Estado </t>
  </si>
  <si>
    <t>Aguascalientes</t>
  </si>
  <si>
    <t>Caléxico</t>
  </si>
  <si>
    <t>Presidio</t>
  </si>
  <si>
    <t>Tucson</t>
  </si>
  <si>
    <t>Boise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</si>
  <si>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</si>
  <si>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</si>
  <si>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</si>
  <si>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</si>
  <si>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</si>
  <si>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</si>
  <si>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</si>
  <si>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</si>
  <si>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</si>
  <si>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</si>
  <si>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</si>
  <si>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</si>
  <si>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</si>
  <si>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</si>
  <si>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</si>
  <si>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</si>
  <si>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</si>
  <si>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</si>
  <si>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</si>
  <si>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</si>
  <si>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</si>
  <si>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</si>
  <si>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</si>
  <si>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</si>
  <si>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</si>
  <si>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</si>
  <si>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</si>
  <si>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</si>
  <si>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</si>
  <si>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</si>
  <si>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</si>
  <si>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</si>
  <si>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</si>
  <si>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</si>
  <si>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</si>
  <si>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</si>
  <si>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</si>
  <si>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Los Cabos</t>
  </si>
  <si>
    <t>Mulegé</t>
  </si>
  <si>
    <t>Comondú</t>
  </si>
  <si>
    <t>La Paz</t>
  </si>
  <si>
    <t>Municipio de origen</t>
  </si>
  <si>
    <t>Municipio de Origen</t>
  </si>
  <si>
    <t>Estado</t>
  </si>
  <si>
    <t>Profesional titulado</t>
  </si>
  <si>
    <t>Profesional pasante</t>
  </si>
  <si>
    <t>2°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</si>
  <si>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</si>
  <si>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</si>
  <si>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</si>
  <si>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</si>
  <si>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</si>
  <si>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</si>
  <si>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</si>
  <si>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</si>
  <si>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</si>
  <si>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</si>
  <si>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</si>
  <si>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</si>
  <si>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</si>
  <si>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</si>
  <si>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</si>
  <si>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</si>
  <si>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</si>
  <si>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Nivel</t>
  </si>
  <si>
    <t>San Jose</t>
  </si>
  <si>
    <t>Mc Allen</t>
  </si>
  <si>
    <t>Los Angeles</t>
  </si>
  <si>
    <t>Indianapolis</t>
  </si>
  <si>
    <t>Calexico</t>
  </si>
  <si>
    <t>TOTAL</t>
  </si>
  <si>
    <t>MUJER</t>
  </si>
  <si>
    <t>HOMBRE</t>
  </si>
  <si>
    <t>Género</t>
  </si>
  <si>
    <t>Mujer</t>
  </si>
  <si>
    <t>Hombre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</si>
  <si>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</si>
  <si>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</si>
  <si>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</si>
  <si>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</si>
  <si>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</si>
  <si>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</si>
  <si>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</si>
  <si>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Porcentaje con respecto al total de Matrículas</t>
  </si>
  <si>
    <t>Porcentaje con respecto al Género</t>
  </si>
  <si>
    <t>Edad Cumplida</t>
  </si>
  <si>
    <t>MATRÍCULAS CONSULARES EXPEDIDAS A ORIGINARIOS DE BAJA CALIFORNIA SUR POR GÉNERO Y EDAD EN EE.UU.</t>
  </si>
  <si>
    <t>Operario(a)</t>
  </si>
  <si>
    <t>Albañil</t>
  </si>
  <si>
    <t>Profesionista</t>
  </si>
  <si>
    <t>Otro</t>
  </si>
  <si>
    <t>Cocinero(a)</t>
  </si>
  <si>
    <t>Obrero(a)</t>
  </si>
  <si>
    <t>Campesino(a)</t>
  </si>
  <si>
    <t>Estudiante</t>
  </si>
  <si>
    <t>Hogar</t>
  </si>
  <si>
    <t>Empleado(a)</t>
  </si>
  <si>
    <t>Ocupación</t>
  </si>
  <si>
    <t>Matrículas consulares expedidas a originarios de Baja California Sur en el 2020.</t>
  </si>
  <si>
    <t>MATRÍCULAS CONSULARES DE ALTA SEGURIDAD EXPEDIDAS A ORIGINARIOS DE BAJA CALIFORNIA SUR POR ESTADO DE LA UNIÓN AMERICANA. DURANTE EL 2020</t>
  </si>
  <si>
    <t>Oklahoma</t>
  </si>
  <si>
    <t>Idaho</t>
  </si>
  <si>
    <t>Kentucky</t>
  </si>
  <si>
    <t>Maryland</t>
  </si>
  <si>
    <t>Mississippi</t>
  </si>
  <si>
    <t>Ohio</t>
  </si>
  <si>
    <t>Wyoming</t>
  </si>
  <si>
    <t>Tamaño de la muestra: 497,795</t>
  </si>
  <si>
    <t>Octubre de 2021</t>
  </si>
  <si>
    <t>MATRÍCULAS CONSULARES DE ALTA SEGURIDAD EXPEDIDAS DURANTE EL 2020 A ORIGINARIOS DE BAJA CALIFORNIA SUR EN LOS CONSULADOS DE MÉXICO EN EE.UU.</t>
  </si>
  <si>
    <t>MATRÍCULAS CONSULARES DE ALTA SEGURIDAD EXPEDIDAS POR MUNICIPIO A ORIGINARIOS DEL ESTADO DE BAJA CALIFORNIA SUR EN LOS CONSULADOS DE MÉXICO EN EE.UU. 2020</t>
  </si>
  <si>
    <t>3° Año de profesional</t>
  </si>
  <si>
    <t>Menores De Edad</t>
  </si>
  <si>
    <t>Menores de edad</t>
  </si>
  <si>
    <t>MATRÍCULAS CONSULARES EXPEDIDAS A ORIGINARIOS DE BAJA CALIFORNIA SUR POR GÉNERO Y CONSULADO DE MÉXICO 2020.</t>
  </si>
  <si>
    <t>Hasta 10 Años</t>
  </si>
  <si>
    <t>MATRÍCULAS CONSULARES EXPEDIDAS EN EE.UU. A ORIGINARIOS DE BAJA CALIFORNIA SUR POR PERFIL OCUPACIONAL, 2020.</t>
  </si>
  <si>
    <t>Carnicero</t>
  </si>
  <si>
    <t>MATRÍCULAS CONSULARES EXPEDIDAS EN EE.UU. A ORIGINARIOS DE BAJA CALIFORNIA SUR POR NIVEL DE EDUCACIÓN, 2020.</t>
  </si>
  <si>
    <t>MATRÍCULAS CONSULARES EXPEDIDAS A ORIGINARIOS DE BAJA CALIFORNIA SUR POR GÉNERO EN EE.UU DURANTE EL 2020.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</si>
</sst>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 x14ac:knownFonts="1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Calibri"/>
      <family val="2"/>
      <scheme val="minor"/>
    </font>
    <font>
      <sz val="8"/>
      <color indexed="8"/>
      <name val="Soberana Sans"/>
      <family val="3"/>
    </font>
    <font>
      <sz val="10.5"/>
      <color theme="1"/>
      <name val="Montserrat"/>
    </font>
    <font>
      <sz val="10"/>
      <name val="Montserrat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9" tint="0.59999389629810485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0" fontId="5" fillId="0" borderId="0"/>
    <xf numFmtId="0" fontId="6" fillId="0" borderId="0"/>
  </cellStyleXfs>
  <cellXfs count="100">
    <xf numFmtId="0" fontId="0" fillId="0" borderId="0" xfId="0"/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2" fillId="0" borderId="4" xfId="0" applyFont="1" applyBorder="1" applyAlignment="1"/>
    <xf numFmtId="0" fontId="2" fillId="0" borderId="0" xfId="0" applyFont="1" applyBorder="1" applyAlignment="1"/>
    <xf numFmtId="0" fontId="2" fillId="0" borderId="5" xfId="0" applyFont="1" applyBorder="1" applyAlignment="1"/>
    <xf numFmtId="0" fontId="2" fillId="0" borderId="4" xfId="0" applyFont="1" applyBorder="1"/>
    <xf numFmtId="0" fontId="2" fillId="0" borderId="0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7" fillId="3" borderId="0" xfId="0" applyFont="1" applyFill="1"/>
    <xf numFmtId="0" fontId="7" fillId="3" borderId="0" xfId="0" applyFont="1" applyFill="1" applyAlignment="1">
      <alignment vertical="top"/>
    </xf>
    <xf numFmtId="0" fontId="7" fillId="3" borderId="0" xfId="0" applyFont="1" applyFill="1" applyAlignment="1">
      <alignment vertical="center"/>
    </xf>
    <xf numFmtId="164" fontId="8" fillId="4" borderId="9" xfId="0" applyNumberFormat="1" applyFont="1" applyFill="1" applyBorder="1" applyAlignment="1">
      <alignment horizontal="right" vertical="center" wrapText="1"/>
    </xf>
    <xf numFmtId="3" fontId="8" fillId="4" borderId="9" xfId="0" applyNumberFormat="1" applyFont="1" applyFill="1" applyBorder="1" applyAlignment="1">
      <alignment horizontal="right" vertical="center" wrapText="1"/>
    </xf>
    <xf numFmtId="49" fontId="8" fillId="4" borderId="9" xfId="0" applyNumberFormat="1" applyFont="1" applyFill="1" applyBorder="1" applyAlignment="1">
      <alignment vertical="center" wrapText="1"/>
    </xf>
    <xf numFmtId="164" fontId="9" fillId="3" borderId="9" xfId="0" applyNumberFormat="1" applyFont="1" applyFill="1" applyBorder="1" applyAlignment="1">
      <alignment horizontal="right" vertical="center" wrapText="1"/>
    </xf>
    <xf numFmtId="3" fontId="9" fillId="3" borderId="9" xfId="0" applyNumberFormat="1" applyFont="1" applyFill="1" applyBorder="1" applyAlignment="1">
      <alignment horizontal="right" vertical="center" wrapText="1"/>
    </xf>
    <xf numFmtId="49" fontId="10" fillId="3" borderId="9" xfId="0" applyNumberFormat="1" applyFont="1" applyFill="1" applyBorder="1" applyAlignment="1">
      <alignment vertical="center" wrapText="1"/>
    </xf>
    <xf numFmtId="0" fontId="11" fillId="3" borderId="0" xfId="0" applyFont="1" applyFill="1"/>
    <xf numFmtId="0" fontId="12" fillId="0" borderId="0" xfId="0" applyFont="1"/>
    <xf numFmtId="0" fontId="8" fillId="2" borderId="10" xfId="0" applyFont="1" applyFill="1" applyBorder="1" applyAlignment="1">
      <alignment horizontal="center" vertical="center" wrapText="1"/>
    </xf>
    <xf numFmtId="1" fontId="8" fillId="2" borderId="10" xfId="0" applyNumberFormat="1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3" fontId="12" fillId="0" borderId="0" xfId="0" applyNumberFormat="1" applyFont="1"/>
    <xf numFmtId="1" fontId="12" fillId="0" borderId="0" xfId="0" applyNumberFormat="1" applyFont="1"/>
    <xf numFmtId="0" fontId="15" fillId="3" borderId="0" xfId="0" applyFont="1" applyFill="1"/>
    <xf numFmtId="0" fontId="16" fillId="3" borderId="0" xfId="0" applyFont="1" applyFill="1"/>
    <xf numFmtId="164" fontId="8" fillId="5" borderId="9" xfId="0" applyNumberFormat="1" applyFont="1" applyFill="1" applyBorder="1" applyAlignment="1">
      <alignment horizontal="right" wrapText="1"/>
    </xf>
    <xf numFmtId="3" fontId="8" fillId="5" borderId="9" xfId="0" applyNumberFormat="1" applyFont="1" applyFill="1" applyBorder="1" applyAlignment="1">
      <alignment horizontal="right" wrapText="1"/>
    </xf>
    <xf numFmtId="164" fontId="8" fillId="6" borderId="9" xfId="2" applyNumberFormat="1" applyFont="1" applyFill="1" applyBorder="1" applyAlignment="1">
      <alignment horizontal="right" vertical="top" wrapText="1"/>
    </xf>
    <xf numFmtId="165" fontId="8" fillId="6" borderId="9" xfId="2" applyNumberFormat="1" applyFont="1" applyFill="1" applyBorder="1" applyAlignment="1">
      <alignment horizontal="right" vertical="top" wrapText="1"/>
    </xf>
    <xf numFmtId="49" fontId="8" fillId="6" borderId="9" xfId="2" applyNumberFormat="1" applyFont="1" applyFill="1" applyBorder="1" applyAlignment="1">
      <alignment vertical="top" wrapText="1"/>
    </xf>
    <xf numFmtId="164" fontId="17" fillId="3" borderId="9" xfId="2" applyNumberFormat="1" applyFont="1" applyFill="1" applyBorder="1" applyAlignment="1">
      <alignment horizontal="right" vertical="top" wrapText="1"/>
    </xf>
    <xf numFmtId="165" fontId="17" fillId="3" borderId="9" xfId="2" applyNumberFormat="1" applyFont="1" applyFill="1" applyBorder="1" applyAlignment="1">
      <alignment horizontal="right" vertical="top" wrapText="1"/>
    </xf>
    <xf numFmtId="49" fontId="17" fillId="3" borderId="9" xfId="2" applyNumberFormat="1" applyFont="1" applyFill="1" applyBorder="1" applyAlignment="1">
      <alignment vertical="top" wrapText="1"/>
    </xf>
    <xf numFmtId="0" fontId="18" fillId="3" borderId="0" xfId="0" applyFont="1" applyFill="1"/>
    <xf numFmtId="0" fontId="19" fillId="2" borderId="10" xfId="3" applyFont="1" applyFill="1" applyBorder="1" applyAlignment="1">
      <alignment horizontal="center" vertical="center" wrapText="1"/>
    </xf>
    <xf numFmtId="1" fontId="19" fillId="2" borderId="10" xfId="3" applyNumberFormat="1" applyFont="1" applyFill="1" applyBorder="1" applyAlignment="1">
      <alignment horizontal="center" vertical="center" wrapText="1"/>
    </xf>
    <xf numFmtId="0" fontId="8" fillId="2" borderId="10" xfId="3" applyFont="1" applyFill="1" applyBorder="1" applyAlignment="1">
      <alignment horizontal="center" vertical="center" wrapText="1"/>
    </xf>
    <xf numFmtId="0" fontId="12" fillId="3" borderId="0" xfId="0" applyFont="1" applyFill="1"/>
    <xf numFmtId="0" fontId="20" fillId="3" borderId="0" xfId="0" applyFont="1" applyFill="1" applyAlignment="1"/>
    <xf numFmtId="0" fontId="18" fillId="3" borderId="0" xfId="0" applyFont="1" applyFill="1" applyAlignment="1">
      <alignment vertical="center"/>
    </xf>
    <xf numFmtId="0" fontId="12" fillId="3" borderId="0" xfId="0" applyFont="1" applyFill="1" applyBorder="1"/>
    <xf numFmtId="3" fontId="12" fillId="3" borderId="0" xfId="0" applyNumberFormat="1" applyFont="1" applyFill="1" applyBorder="1"/>
    <xf numFmtId="1" fontId="12" fillId="3" borderId="0" xfId="0" applyNumberFormat="1" applyFont="1" applyFill="1" applyBorder="1"/>
    <xf numFmtId="0" fontId="18" fillId="3" borderId="0" xfId="0" applyFont="1" applyFill="1" applyBorder="1"/>
    <xf numFmtId="0" fontId="18" fillId="3" borderId="0" xfId="0" applyFont="1" applyFill="1" applyBorder="1" applyAlignment="1">
      <alignment vertical="center"/>
    </xf>
    <xf numFmtId="0" fontId="21" fillId="3" borderId="0" xfId="0" applyFont="1" applyFill="1"/>
    <xf numFmtId="0" fontId="22" fillId="0" borderId="0" xfId="0" applyFont="1" applyAlignment="1">
      <alignment vertical="top"/>
    </xf>
    <xf numFmtId="0" fontId="22" fillId="0" borderId="0" xfId="0" applyFont="1" applyAlignment="1">
      <alignment horizontal="justify" vertical="center"/>
    </xf>
    <xf numFmtId="3" fontId="11" fillId="3" borderId="0" xfId="0" applyNumberFormat="1" applyFont="1" applyFill="1"/>
    <xf numFmtId="3" fontId="12" fillId="3" borderId="0" xfId="0" applyNumberFormat="1" applyFont="1" applyFill="1"/>
    <xf numFmtId="49" fontId="10" fillId="3" borderId="9" xfId="0" applyNumberFormat="1" applyFont="1" applyFill="1" applyBorder="1" applyAlignment="1">
      <alignment horizontal="left" vertical="center" wrapText="1"/>
    </xf>
    <xf numFmtId="0" fontId="0" fillId="3" borderId="0" xfId="0" applyFill="1"/>
    <xf numFmtId="0" fontId="19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5" fillId="3" borderId="0" xfId="0" applyFont="1" applyFill="1" applyBorder="1"/>
    <xf numFmtId="0" fontId="12" fillId="3" borderId="0" xfId="0" applyFont="1" applyFill="1" applyBorder="1" applyAlignment="1">
      <alignment vertical="center"/>
    </xf>
    <xf numFmtId="0" fontId="12" fillId="0" borderId="0" xfId="0" applyFont="1" applyBorder="1" applyAlignment="1">
      <alignment vertical="center"/>
    </xf>
    <xf numFmtId="0" fontId="4" fillId="0" borderId="0" xfId="1" applyFont="1" applyBorder="1" applyAlignment="1">
      <alignment horizontal="left"/>
    </xf>
    <xf numFmtId="0" fontId="4" fillId="0" borderId="5" xfId="1" applyFont="1" applyBorder="1" applyAlignment="1">
      <alignment horizontal="left"/>
    </xf>
    <xf numFmtId="0" fontId="4" fillId="0" borderId="4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14" fillId="0" borderId="0" xfId="0" applyFont="1" applyBorder="1" applyAlignment="1">
      <alignment horizontal="center" vertical="center" wrapText="1"/>
    </xf>
    <xf numFmtId="49" fontId="17" fillId="3" borderId="10" xfId="2" applyNumberFormat="1" applyFont="1" applyFill="1" applyBorder="1" applyAlignment="1">
      <alignment horizontal="center" vertical="center" wrapText="1"/>
    </xf>
    <xf numFmtId="49" fontId="17" fillId="3" borderId="15" xfId="2" applyNumberFormat="1" applyFont="1" applyFill="1" applyBorder="1" applyAlignment="1">
      <alignment horizontal="center" vertical="center" wrapText="1"/>
    </xf>
    <xf numFmtId="49" fontId="17" fillId="3" borderId="14" xfId="2" applyNumberFormat="1" applyFont="1" applyFill="1" applyBorder="1" applyAlignment="1">
      <alignment horizontal="center" vertical="center" wrapText="1"/>
    </xf>
    <xf numFmtId="0" fontId="11" fillId="3" borderId="0" xfId="0" applyFont="1" applyFill="1" applyAlignment="1">
      <alignment horizontal="center" wrapText="1"/>
    </xf>
    <xf numFmtId="49" fontId="8" fillId="5" borderId="13" xfId="0" applyNumberFormat="1" applyFont="1" applyFill="1" applyBorder="1" applyAlignment="1">
      <alignment horizontal="center" vertical="center" wrapText="1"/>
    </xf>
    <xf numFmtId="49" fontId="8" fillId="5" borderId="12" xfId="0" applyNumberFormat="1" applyFont="1" applyFill="1" applyBorder="1" applyAlignment="1">
      <alignment horizontal="center" vertical="center" wrapText="1"/>
    </xf>
    <xf numFmtId="0" fontId="23" fillId="0" borderId="0" xfId="0" applyFont="1" applyBorder="1" applyAlignment="1">
      <alignment horizontal="center" vertical="center" wrapText="1"/>
    </xf>
    <xf numFmtId="0" fontId="24" fillId="3" borderId="0" xfId="0" applyFont="1" applyFill="1" applyBorder="1" applyAlignment="1">
      <alignment horizontal="center" vertical="distributed"/>
    </xf>
    <xf numFmtId="0" fontId="24" fillId="3" borderId="16" xfId="0" applyFont="1" applyFill="1" applyBorder="1" applyAlignment="1">
      <alignment horizontal="center" vertical="distributed"/>
    </xf>
    <xf numFmtId="49" fontId="10" fillId="3" borderId="10" xfId="0" applyNumberFormat="1" applyFont="1" applyFill="1" applyBorder="1" applyAlignment="1">
      <alignment horizontal="center" vertical="center" wrapText="1"/>
    </xf>
    <xf numFmtId="49" fontId="10" fillId="3" borderId="15" xfId="0" applyNumberFormat="1" applyFont="1" applyFill="1" applyBorder="1" applyAlignment="1">
      <alignment horizontal="center" vertical="center" wrapText="1"/>
    </xf>
    <xf numFmtId="49" fontId="10" fillId="3" borderId="14" xfId="0" applyNumberFormat="1" applyFont="1" applyFill="1" applyBorder="1" applyAlignment="1">
      <alignment horizontal="center" vertical="center" wrapText="1"/>
    </xf>
    <xf numFmtId="49" fontId="8" fillId="7" borderId="12" xfId="0" applyNumberFormat="1" applyFont="1" applyFill="1" applyBorder="1" applyAlignment="1">
      <alignment vertical="center" wrapText="1"/>
    </xf>
    <xf numFmtId="3" fontId="8" fillId="7" borderId="9" xfId="0" applyNumberFormat="1" applyFont="1" applyFill="1" applyBorder="1" applyAlignment="1">
      <alignment horizontal="right" vertical="center" wrapText="1"/>
    </xf>
    <xf numFmtId="164" fontId="8" fillId="7" borderId="9" xfId="0" applyNumberFormat="1" applyFont="1" applyFill="1" applyBorder="1" applyAlignment="1">
      <alignment horizontal="right" vertical="center" wrapText="1"/>
    </xf>
    <xf numFmtId="3" fontId="8" fillId="5" borderId="9" xfId="0" applyNumberFormat="1" applyFont="1" applyFill="1" applyBorder="1" applyAlignment="1">
      <alignment horizontal="right" vertical="center" wrapText="1"/>
    </xf>
    <xf numFmtId="164" fontId="8" fillId="5" borderId="9" xfId="0" applyNumberFormat="1" applyFont="1" applyFill="1" applyBorder="1" applyAlignment="1">
      <alignment horizontal="right" vertical="center" wrapText="1"/>
    </xf>
    <xf numFmtId="164" fontId="9" fillId="8" borderId="9" xfId="0" applyNumberFormat="1" applyFont="1" applyFill="1" applyBorder="1" applyAlignment="1">
      <alignment horizontal="right" vertical="center" wrapText="1"/>
    </xf>
    <xf numFmtId="164" fontId="9" fillId="9" borderId="9" xfId="0" applyNumberFormat="1" applyFont="1" applyFill="1" applyBorder="1" applyAlignment="1">
      <alignment horizontal="right" vertical="center" wrapText="1"/>
    </xf>
    <xf numFmtId="49" fontId="8" fillId="5" borderId="9" xfId="0" applyNumberFormat="1" applyFont="1" applyFill="1" applyBorder="1" applyAlignment="1">
      <alignment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10241</xdr:colOff>
      <xdr:row>2</xdr:row>
      <xdr:rowOff>12392</xdr:rowOff>
    </xdr:from>
    <xdr:to>
      <xdr:col>3</xdr:col>
      <xdr:colOff>522338</xdr:colOff>
      <xdr:row>3</xdr:row>
      <xdr:rowOff>12392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334466" y="726767"/>
          <a:ext cx="512097" cy="1809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SUR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219075</xdr:colOff>
      <xdr:row>7</xdr:row>
      <xdr:rowOff>180975</xdr:rowOff>
    </xdr:from>
    <xdr:to>
      <xdr:col>5</xdr:col>
      <xdr:colOff>112047</xdr:colOff>
      <xdr:row>8</xdr:row>
      <xdr:rowOff>180975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48200" y="170497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SUR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219075</xdr:colOff>
      <xdr:row>7</xdr:row>
      <xdr:rowOff>180975</xdr:rowOff>
    </xdr:from>
    <xdr:to>
      <xdr:col>5</xdr:col>
      <xdr:colOff>112047</xdr:colOff>
      <xdr:row>8</xdr:row>
      <xdr:rowOff>174830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48200" y="170497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SUR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314325</xdr:colOff>
      <xdr:row>7</xdr:row>
      <xdr:rowOff>76200</xdr:rowOff>
    </xdr:from>
    <xdr:to>
      <xdr:col>5</xdr:col>
      <xdr:colOff>207297</xdr:colOff>
      <xdr:row>8</xdr:row>
      <xdr:rowOff>70055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43450" y="16002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SUR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238125</xdr:colOff>
      <xdr:row>7</xdr:row>
      <xdr:rowOff>142875</xdr:rowOff>
    </xdr:from>
    <xdr:to>
      <xdr:col>5</xdr:col>
      <xdr:colOff>131097</xdr:colOff>
      <xdr:row>8</xdr:row>
      <xdr:rowOff>142875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67250" y="166687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SUR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BAJA CALIFORNIA SUR POR ESTADO EN EE.UU.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545702</xdr:colOff>
      <xdr:row>7</xdr:row>
      <xdr:rowOff>99219</xdr:rowOff>
    </xdr:from>
    <xdr:to>
      <xdr:col>4</xdr:col>
      <xdr:colOff>1057799</xdr:colOff>
      <xdr:row>7</xdr:row>
      <xdr:rowOff>287734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80202" y="1432719"/>
          <a:ext cx="512097" cy="9326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SUR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BAJA CALIFORNIA SUR EN LOS CONSULADOS DE MÉXICO EN EE.UU.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525858</xdr:colOff>
      <xdr:row>7</xdr:row>
      <xdr:rowOff>59532</xdr:rowOff>
    </xdr:from>
    <xdr:to>
      <xdr:col>4</xdr:col>
      <xdr:colOff>1037955</xdr:colOff>
      <xdr:row>7</xdr:row>
      <xdr:rowOff>248047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60358" y="1393032"/>
          <a:ext cx="512097" cy="13136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SUR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95250</xdr:colOff>
      <xdr:row>8</xdr:row>
      <xdr:rowOff>0</xdr:rowOff>
    </xdr:from>
    <xdr:to>
      <xdr:col>4</xdr:col>
      <xdr:colOff>607347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143250" y="15240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SUR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BAJA CALIFORNIA SUR POR NIVEL DE EDUCACIÓN Y ESTADO EN EE.UU. DURANTE EL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SUR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BAJA CALIFORNIA SUR POR CONSULADO Y NIVEL DE EDUCACIÓN EN EE.UU. DURANTE EL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413844</xdr:colOff>
      <xdr:row>7</xdr:row>
      <xdr:rowOff>131379</xdr:rowOff>
    </xdr:from>
    <xdr:to>
      <xdr:col>4</xdr:col>
      <xdr:colOff>925941</xdr:colOff>
      <xdr:row>7</xdr:row>
      <xdr:rowOff>321879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748344" y="1464879"/>
          <a:ext cx="512097" cy="5715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SUR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85725</xdr:colOff>
      <xdr:row>7</xdr:row>
      <xdr:rowOff>161925</xdr:rowOff>
    </xdr:from>
    <xdr:to>
      <xdr:col>4</xdr:col>
      <xdr:colOff>597822</xdr:colOff>
      <xdr:row>8</xdr:row>
      <xdr:rowOff>161925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133725" y="149542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SUR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823517</xdr:colOff>
      <xdr:row>8</xdr:row>
      <xdr:rowOff>39688</xdr:rowOff>
    </xdr:from>
    <xdr:to>
      <xdr:col>5</xdr:col>
      <xdr:colOff>323583</xdr:colOff>
      <xdr:row>9</xdr:row>
      <xdr:rowOff>39688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814367" y="1563688"/>
          <a:ext cx="319216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SUR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126353</xdr:colOff>
      <xdr:row>8</xdr:row>
      <xdr:rowOff>87475</xdr:rowOff>
    </xdr:from>
    <xdr:to>
      <xdr:col>7</xdr:col>
      <xdr:colOff>259393</xdr:colOff>
      <xdr:row>9</xdr:row>
      <xdr:rowOff>87475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98353" y="1611475"/>
          <a:ext cx="895040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SUR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47625</xdr:colOff>
      <xdr:row>8</xdr:row>
      <xdr:rowOff>28575</xdr:rowOff>
    </xdr:from>
    <xdr:to>
      <xdr:col>4</xdr:col>
      <xdr:colOff>559722</xdr:colOff>
      <xdr:row>8</xdr:row>
      <xdr:rowOff>219075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095625" y="1552575"/>
          <a:ext cx="512097" cy="16192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tabSelected="1" view="pageBreakPreview" zoomScaleNormal="100" zoomScaleSheetLayoutView="100" workbookViewId="0">
      <selection activeCell="G6" sqref="G6"/>
    </sheetView>
  </sheetViews>
  <sheetFormatPr baseColWidth="10" defaultColWidth="11.42578125" defaultRowHeight="18" x14ac:dyDescent="0.35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 x14ac:dyDescent="0.4">
      <c r="A1" s="73" t="s">
        <v>152</v>
      </c>
      <c r="B1" s="74"/>
      <c r="C1" s="74"/>
      <c r="D1" s="75"/>
    </row>
    <row r="2" spans="1:4" x14ac:dyDescent="0.35">
      <c r="A2" s="2"/>
      <c r="B2" s="3"/>
      <c r="C2" s="3"/>
      <c r="D2" s="4"/>
    </row>
    <row r="3" spans="1:4" x14ac:dyDescent="0.35">
      <c r="A3" s="76" t="s">
        <v>0</v>
      </c>
      <c r="B3" s="77"/>
      <c r="C3" s="77"/>
      <c r="D3" s="78"/>
    </row>
    <row r="4" spans="1:4" x14ac:dyDescent="0.35">
      <c r="A4" s="76"/>
      <c r="B4" s="77"/>
      <c r="C4" s="77"/>
      <c r="D4" s="78"/>
    </row>
    <row r="5" spans="1:4" x14ac:dyDescent="0.35">
      <c r="A5" s="5"/>
      <c r="B5" s="6"/>
      <c r="C5" s="6"/>
      <c r="D5" s="7"/>
    </row>
    <row r="6" spans="1:4" x14ac:dyDescent="0.35">
      <c r="A6" s="72" t="s">
        <v>1</v>
      </c>
      <c r="B6" s="70"/>
      <c r="C6" s="70"/>
      <c r="D6" s="71"/>
    </row>
    <row r="7" spans="1:4" x14ac:dyDescent="0.35">
      <c r="A7" s="8"/>
      <c r="B7" s="9"/>
      <c r="C7" s="9"/>
      <c r="D7" s="10"/>
    </row>
    <row r="8" spans="1:4" x14ac:dyDescent="0.35">
      <c r="A8" s="72" t="s">
        <v>2</v>
      </c>
      <c r="B8" s="70"/>
      <c r="C8" s="70"/>
      <c r="D8" s="71"/>
    </row>
    <row r="9" spans="1:4" x14ac:dyDescent="0.35">
      <c r="A9" s="11"/>
      <c r="B9" s="70" t="s">
        <v>3</v>
      </c>
      <c r="C9" s="70"/>
      <c r="D9" s="71"/>
    </row>
    <row r="10" spans="1:4" x14ac:dyDescent="0.35">
      <c r="A10" s="11"/>
      <c r="B10" s="12"/>
      <c r="C10" s="12"/>
      <c r="D10" s="13"/>
    </row>
    <row r="11" spans="1:4" x14ac:dyDescent="0.35">
      <c r="A11" s="11" t="s">
        <v>4</v>
      </c>
      <c r="B11" s="12"/>
      <c r="C11" s="12"/>
      <c r="D11" s="13"/>
    </row>
    <row r="12" spans="1:4" x14ac:dyDescent="0.35">
      <c r="A12" s="11"/>
      <c r="B12" s="70" t="s">
        <v>5</v>
      </c>
      <c r="C12" s="70"/>
      <c r="D12" s="71"/>
    </row>
    <row r="13" spans="1:4" x14ac:dyDescent="0.35">
      <c r="A13" s="11"/>
      <c r="B13" s="70" t="s">
        <v>6</v>
      </c>
      <c r="C13" s="70"/>
      <c r="D13" s="71"/>
    </row>
    <row r="14" spans="1:4" x14ac:dyDescent="0.35">
      <c r="A14" s="11"/>
      <c r="B14" s="70" t="s">
        <v>7</v>
      </c>
      <c r="C14" s="70"/>
      <c r="D14" s="71"/>
    </row>
    <row r="15" spans="1:4" x14ac:dyDescent="0.35">
      <c r="A15" s="11"/>
      <c r="B15" s="12"/>
      <c r="C15" s="12"/>
      <c r="D15" s="13"/>
    </row>
    <row r="16" spans="1:4" x14ac:dyDescent="0.35">
      <c r="A16" s="11" t="s">
        <v>8</v>
      </c>
      <c r="B16" s="12"/>
      <c r="C16" s="12"/>
      <c r="D16" s="13"/>
    </row>
    <row r="17" spans="1:4" x14ac:dyDescent="0.35">
      <c r="A17" s="11"/>
      <c r="B17" s="70" t="s">
        <v>9</v>
      </c>
      <c r="C17" s="70"/>
      <c r="D17" s="71"/>
    </row>
    <row r="18" spans="1:4" x14ac:dyDescent="0.35">
      <c r="A18" s="11"/>
      <c r="B18" s="70" t="s">
        <v>10</v>
      </c>
      <c r="C18" s="70"/>
      <c r="D18" s="71"/>
    </row>
    <row r="19" spans="1:4" x14ac:dyDescent="0.35">
      <c r="A19" s="11"/>
      <c r="B19" s="70" t="s">
        <v>11</v>
      </c>
      <c r="C19" s="70"/>
      <c r="D19" s="71"/>
    </row>
    <row r="20" spans="1:4" x14ac:dyDescent="0.35">
      <c r="A20" s="11"/>
      <c r="B20" s="12"/>
      <c r="C20" s="12"/>
      <c r="D20" s="13"/>
    </row>
    <row r="21" spans="1:4" x14ac:dyDescent="0.35">
      <c r="A21" s="11" t="s">
        <v>12</v>
      </c>
      <c r="B21" s="12"/>
      <c r="C21" s="12"/>
      <c r="D21" s="13"/>
    </row>
    <row r="22" spans="1:4" x14ac:dyDescent="0.35">
      <c r="A22" s="11"/>
      <c r="B22" s="70" t="s">
        <v>13</v>
      </c>
      <c r="C22" s="70"/>
      <c r="D22" s="71"/>
    </row>
    <row r="23" spans="1:4" x14ac:dyDescent="0.35">
      <c r="A23" s="11"/>
      <c r="B23" s="70" t="s">
        <v>14</v>
      </c>
      <c r="C23" s="70"/>
      <c r="D23" s="71"/>
    </row>
    <row r="24" spans="1:4" x14ac:dyDescent="0.35">
      <c r="A24" s="11"/>
      <c r="B24" s="12"/>
      <c r="C24" s="12"/>
      <c r="D24" s="13"/>
    </row>
    <row r="25" spans="1:4" x14ac:dyDescent="0.35">
      <c r="A25" s="72" t="s">
        <v>15</v>
      </c>
      <c r="B25" s="70"/>
      <c r="C25" s="70"/>
      <c r="D25" s="71"/>
    </row>
    <row r="26" spans="1:4" x14ac:dyDescent="0.35">
      <c r="A26" s="11"/>
      <c r="B26" s="12"/>
      <c r="C26" s="12"/>
      <c r="D26" s="13"/>
    </row>
    <row r="27" spans="1:4" x14ac:dyDescent="0.35">
      <c r="A27" s="72" t="s">
        <v>16</v>
      </c>
      <c r="B27" s="70"/>
      <c r="C27" s="70"/>
      <c r="D27" s="71"/>
    </row>
    <row r="28" spans="1:4" ht="18.75" thickBot="1" x14ac:dyDescent="0.4">
      <c r="A28" s="14"/>
      <c r="B28" s="15"/>
      <c r="C28" s="15"/>
      <c r="D28" s="16"/>
    </row>
  </sheetData>
  <mergeCells count="15">
    <mergeCell ref="B12:D12"/>
    <mergeCell ref="A1:D1"/>
    <mergeCell ref="A3:D4"/>
    <mergeCell ref="A6:D6"/>
    <mergeCell ref="A8:D8"/>
    <mergeCell ref="B9:D9"/>
    <mergeCell ref="B23:D23"/>
    <mergeCell ref="A25:D25"/>
    <mergeCell ref="A27:D27"/>
    <mergeCell ref="B13:D13"/>
    <mergeCell ref="B14:D14"/>
    <mergeCell ref="B17:D17"/>
    <mergeCell ref="B18:D18"/>
    <mergeCell ref="B19:D19"/>
    <mergeCell ref="B22:D22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B13:D13" location="'Baja California Sur_USAMuni'!A1" display="3.2 Por Estado de USA"/>
    <hyperlink ref="A8:D8" location="'Baja California Sur_Cons'!A1" display="2. Por Circunscripción Consular"/>
    <hyperlink ref="B9:D9" location="'Baja California SurXCons'!A1" display="2.1 Top ten por circunscripción consular"/>
    <hyperlink ref="A6:D6" location="'Baja California Sur_EdoUsa'!A1" display="1. Por Estados de USA"/>
    <hyperlink ref="B12:D12" location="'Baja California Sur_EdoMun'!A1" display="3.1 Municipio general"/>
    <hyperlink ref="B14:D14" location="'Baja California Sur_MUNICIPIO'!A1" display="3.3 Por Circunscripción Consular"/>
    <hyperlink ref="B17:D17" location="'Baja California Sur_educ_gral'!A1" display="4.1 Educación general"/>
    <hyperlink ref="B18:D18" location="'Baja California Sur_NivelE_Cons'!A1" display="4.2 Por Estado de USA"/>
    <hyperlink ref="B19:D19" location="'Baja California Sur_EducCons'!A1" display="4.3 Por Circunscripción Consular"/>
    <hyperlink ref="B22:D22" location="'Baja California Sur_GenGral'!A1" display="5.1 Género General"/>
    <hyperlink ref="B23:D23" location="'Baja California Sur_GENERO'!A1" display="5.2 Por Circunscripción Consular"/>
    <hyperlink ref="A25:D25" location="'Baja California Sur_Gen_Edad'!A1" display="6. Por estructura de Edad"/>
    <hyperlink ref="A27:D27" location="'Baja California Sur_ocup_gral'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D50"/>
  <sheetViews>
    <sheetView showGridLines="0" zoomScaleNormal="100" zoomScaleSheetLayoutView="115" workbookViewId="0"/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49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79" t="s">
        <v>153</v>
      </c>
      <c r="C7" s="79"/>
      <c r="D7" s="79"/>
    </row>
    <row r="8" spans="1:4" s="29" customFormat="1" ht="15" customHeight="1" x14ac:dyDescent="0.2">
      <c r="B8" s="79"/>
      <c r="C8" s="79"/>
      <c r="D8" s="79"/>
    </row>
    <row r="9" spans="1:4" s="29" customFormat="1" ht="33" customHeight="1" x14ac:dyDescent="0.2">
      <c r="B9" s="79"/>
      <c r="C9" s="79"/>
      <c r="D9" s="79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48</v>
      </c>
      <c r="C11" s="31" t="s">
        <v>47</v>
      </c>
      <c r="D11" s="30" t="s">
        <v>46</v>
      </c>
    </row>
    <row r="12" spans="1:4" x14ac:dyDescent="0.25">
      <c r="B12" s="27" t="s">
        <v>45</v>
      </c>
      <c r="C12" s="26">
        <v>158</v>
      </c>
      <c r="D12" s="25">
        <v>0.50158730158730158</v>
      </c>
    </row>
    <row r="13" spans="1:4" x14ac:dyDescent="0.25">
      <c r="B13" s="27" t="s">
        <v>44</v>
      </c>
      <c r="C13" s="26">
        <v>31</v>
      </c>
      <c r="D13" s="25">
        <v>9.841269841269841E-2</v>
      </c>
    </row>
    <row r="14" spans="1:4" x14ac:dyDescent="0.25">
      <c r="B14" s="27" t="s">
        <v>41</v>
      </c>
      <c r="C14" s="26">
        <v>13</v>
      </c>
      <c r="D14" s="25">
        <v>4.1269841269841269E-2</v>
      </c>
    </row>
    <row r="15" spans="1:4" x14ac:dyDescent="0.25">
      <c r="B15" s="27" t="s">
        <v>43</v>
      </c>
      <c r="C15" s="26">
        <v>12</v>
      </c>
      <c r="D15" s="25">
        <v>3.8095238095238099E-2</v>
      </c>
    </row>
    <row r="16" spans="1:4" x14ac:dyDescent="0.25">
      <c r="B16" s="27" t="s">
        <v>42</v>
      </c>
      <c r="C16" s="26">
        <v>11</v>
      </c>
      <c r="D16" s="25">
        <v>3.4920634920634921E-2</v>
      </c>
    </row>
    <row r="17" spans="2:4" x14ac:dyDescent="0.25">
      <c r="B17" s="27" t="s">
        <v>37</v>
      </c>
      <c r="C17" s="26">
        <v>11</v>
      </c>
      <c r="D17" s="25">
        <v>3.4920634920634921E-2</v>
      </c>
    </row>
    <row r="18" spans="2:4" x14ac:dyDescent="0.25">
      <c r="B18" s="27" t="s">
        <v>40</v>
      </c>
      <c r="C18" s="26">
        <v>9</v>
      </c>
      <c r="D18" s="25">
        <v>2.8571428571428571E-2</v>
      </c>
    </row>
    <row r="19" spans="2:4" x14ac:dyDescent="0.25">
      <c r="B19" s="27" t="s">
        <v>36</v>
      </c>
      <c r="C19" s="26">
        <v>8</v>
      </c>
      <c r="D19" s="25">
        <v>2.5396825396825397E-2</v>
      </c>
    </row>
    <row r="20" spans="2:4" x14ac:dyDescent="0.25">
      <c r="B20" s="27" t="s">
        <v>33</v>
      </c>
      <c r="C20" s="26">
        <v>7</v>
      </c>
      <c r="D20" s="25">
        <v>2.2222222222222223E-2</v>
      </c>
    </row>
    <row r="21" spans="2:4" x14ac:dyDescent="0.25">
      <c r="B21" s="27" t="s">
        <v>35</v>
      </c>
      <c r="C21" s="26">
        <v>6</v>
      </c>
      <c r="D21" s="25">
        <v>1.9047619047619049E-2</v>
      </c>
    </row>
    <row r="22" spans="2:4" x14ac:dyDescent="0.25">
      <c r="B22" s="27" t="s">
        <v>32</v>
      </c>
      <c r="C22" s="26">
        <v>6</v>
      </c>
      <c r="D22" s="25">
        <v>1.9047619047619049E-2</v>
      </c>
    </row>
    <row r="23" spans="2:4" x14ac:dyDescent="0.25">
      <c r="B23" s="27" t="s">
        <v>39</v>
      </c>
      <c r="C23" s="26">
        <v>6</v>
      </c>
      <c r="D23" s="25">
        <v>1.9047619047619049E-2</v>
      </c>
    </row>
    <row r="24" spans="2:4" x14ac:dyDescent="0.25">
      <c r="B24" s="27" t="s">
        <v>27</v>
      </c>
      <c r="C24" s="26">
        <v>6</v>
      </c>
      <c r="D24" s="25">
        <v>1.9047619047619049E-2</v>
      </c>
    </row>
    <row r="25" spans="2:4" x14ac:dyDescent="0.25">
      <c r="B25" s="27" t="s">
        <v>38</v>
      </c>
      <c r="C25" s="26">
        <v>5</v>
      </c>
      <c r="D25" s="25">
        <v>1.5873015873015872E-2</v>
      </c>
    </row>
    <row r="26" spans="2:4" x14ac:dyDescent="0.25">
      <c r="B26" s="27" t="s">
        <v>31</v>
      </c>
      <c r="C26" s="26">
        <v>3</v>
      </c>
      <c r="D26" s="25">
        <v>9.5238095238095247E-3</v>
      </c>
    </row>
    <row r="27" spans="2:4" x14ac:dyDescent="0.25">
      <c r="B27" s="27" t="s">
        <v>29</v>
      </c>
      <c r="C27" s="26">
        <v>3</v>
      </c>
      <c r="D27" s="25">
        <v>9.5238095238095247E-3</v>
      </c>
    </row>
    <row r="28" spans="2:4" x14ac:dyDescent="0.25">
      <c r="B28" s="27" t="s">
        <v>28</v>
      </c>
      <c r="C28" s="26">
        <v>2</v>
      </c>
      <c r="D28" s="25">
        <v>6.3492063492063492E-3</v>
      </c>
    </row>
    <row r="29" spans="2:4" x14ac:dyDescent="0.25">
      <c r="B29" s="27" t="s">
        <v>154</v>
      </c>
      <c r="C29" s="26">
        <v>2</v>
      </c>
      <c r="D29" s="25">
        <v>6.3492063492063492E-3</v>
      </c>
    </row>
    <row r="30" spans="2:4" x14ac:dyDescent="0.25">
      <c r="B30" s="27" t="s">
        <v>24</v>
      </c>
      <c r="C30" s="26">
        <v>2</v>
      </c>
      <c r="D30" s="25">
        <v>6.3492063492063492E-3</v>
      </c>
    </row>
    <row r="31" spans="2:4" x14ac:dyDescent="0.25">
      <c r="B31" s="27" t="s">
        <v>21</v>
      </c>
      <c r="C31" s="26">
        <v>2</v>
      </c>
      <c r="D31" s="25">
        <v>6.3492063492063492E-3</v>
      </c>
    </row>
    <row r="32" spans="2:4" x14ac:dyDescent="0.25">
      <c r="B32" s="27" t="s">
        <v>23</v>
      </c>
      <c r="C32" s="26">
        <v>1</v>
      </c>
      <c r="D32" s="25">
        <v>3.1746031746031746E-3</v>
      </c>
    </row>
    <row r="33" spans="2:4" x14ac:dyDescent="0.25">
      <c r="B33" s="27" t="s">
        <v>155</v>
      </c>
      <c r="C33" s="26">
        <v>1</v>
      </c>
      <c r="D33" s="25">
        <v>3.1746031746031746E-3</v>
      </c>
    </row>
    <row r="34" spans="2:4" x14ac:dyDescent="0.25">
      <c r="B34" s="27" t="s">
        <v>156</v>
      </c>
      <c r="C34" s="26">
        <v>1</v>
      </c>
      <c r="D34" s="25">
        <v>3.1746031746031746E-3</v>
      </c>
    </row>
    <row r="35" spans="2:4" x14ac:dyDescent="0.25">
      <c r="B35" s="27" t="s">
        <v>26</v>
      </c>
      <c r="C35" s="26">
        <v>1</v>
      </c>
      <c r="D35" s="25">
        <v>3.1746031746031746E-3</v>
      </c>
    </row>
    <row r="36" spans="2:4" x14ac:dyDescent="0.25">
      <c r="B36" s="27" t="s">
        <v>157</v>
      </c>
      <c r="C36" s="26">
        <v>1</v>
      </c>
      <c r="D36" s="25">
        <v>3.1746031746031746E-3</v>
      </c>
    </row>
    <row r="37" spans="2:4" x14ac:dyDescent="0.25">
      <c r="B37" s="27" t="s">
        <v>30</v>
      </c>
      <c r="C37" s="26">
        <v>1</v>
      </c>
      <c r="D37" s="25">
        <v>3.1746031746031746E-3</v>
      </c>
    </row>
    <row r="38" spans="2:4" x14ac:dyDescent="0.25">
      <c r="B38" s="27" t="s">
        <v>158</v>
      </c>
      <c r="C38" s="26">
        <v>1</v>
      </c>
      <c r="D38" s="25">
        <v>3.1746031746031746E-3</v>
      </c>
    </row>
    <row r="39" spans="2:4" x14ac:dyDescent="0.25">
      <c r="B39" s="27" t="s">
        <v>22</v>
      </c>
      <c r="C39" s="26">
        <v>1</v>
      </c>
      <c r="D39" s="25">
        <v>3.1746031746031746E-3</v>
      </c>
    </row>
    <row r="40" spans="2:4" x14ac:dyDescent="0.25">
      <c r="B40" s="27" t="s">
        <v>25</v>
      </c>
      <c r="C40" s="26">
        <v>1</v>
      </c>
      <c r="D40" s="25">
        <v>3.1746031746031746E-3</v>
      </c>
    </row>
    <row r="41" spans="2:4" x14ac:dyDescent="0.25">
      <c r="B41" s="27" t="s">
        <v>159</v>
      </c>
      <c r="C41" s="26">
        <v>1</v>
      </c>
      <c r="D41" s="25">
        <v>3.1746031746031746E-3</v>
      </c>
    </row>
    <row r="42" spans="2:4" x14ac:dyDescent="0.25">
      <c r="B42" s="27" t="s">
        <v>34</v>
      </c>
      <c r="C42" s="26">
        <v>1</v>
      </c>
      <c r="D42" s="25">
        <v>3.1746031746031746E-3</v>
      </c>
    </row>
    <row r="43" spans="2:4" x14ac:dyDescent="0.25">
      <c r="B43" s="27" t="s">
        <v>160</v>
      </c>
      <c r="C43" s="26">
        <v>1</v>
      </c>
      <c r="D43" s="25">
        <v>3.1746031746031746E-3</v>
      </c>
    </row>
    <row r="44" spans="2:4" x14ac:dyDescent="0.25">
      <c r="B44" s="24" t="s">
        <v>20</v>
      </c>
      <c r="C44" s="23">
        <v>315</v>
      </c>
      <c r="D44" s="22">
        <v>1</v>
      </c>
    </row>
    <row r="46" spans="2:4" x14ac:dyDescent="0.25">
      <c r="B46" s="19" t="s">
        <v>161</v>
      </c>
    </row>
    <row r="47" spans="2:4" x14ac:dyDescent="0.25">
      <c r="B47" s="21" t="s">
        <v>19</v>
      </c>
    </row>
    <row r="48" spans="2:4" x14ac:dyDescent="0.25">
      <c r="B48" s="20" t="s">
        <v>18</v>
      </c>
    </row>
    <row r="49" spans="2:2" x14ac:dyDescent="0.25">
      <c r="B49" s="19" t="s">
        <v>17</v>
      </c>
    </row>
    <row r="50" spans="2:2" x14ac:dyDescent="0.25">
      <c r="B50" s="19" t="s">
        <v>162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59"/>
  <sheetViews>
    <sheetView showGridLines="0" zoomScaleNormal="100" zoomScaleSheetLayoutView="115" workbookViewId="0"/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49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79" t="s">
        <v>163</v>
      </c>
      <c r="C7" s="79"/>
      <c r="D7" s="79"/>
    </row>
    <row r="8" spans="1:4" s="29" customFormat="1" ht="15" customHeight="1" x14ac:dyDescent="0.2">
      <c r="B8" s="79"/>
      <c r="C8" s="79"/>
      <c r="D8" s="79"/>
    </row>
    <row r="9" spans="1:4" s="29" customFormat="1" ht="33" customHeight="1" x14ac:dyDescent="0.2">
      <c r="B9" s="79"/>
      <c r="C9" s="79"/>
      <c r="D9" s="79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90</v>
      </c>
      <c r="C11" s="31" t="s">
        <v>47</v>
      </c>
      <c r="D11" s="30" t="s">
        <v>46</v>
      </c>
    </row>
    <row r="12" spans="1:4" x14ac:dyDescent="0.25">
      <c r="B12" s="27" t="s">
        <v>121</v>
      </c>
      <c r="C12" s="26">
        <v>37</v>
      </c>
      <c r="D12" s="25">
        <v>0.11746031746031746</v>
      </c>
    </row>
    <row r="13" spans="1:4" x14ac:dyDescent="0.25">
      <c r="B13" s="27" t="s">
        <v>83</v>
      </c>
      <c r="C13" s="26">
        <v>32</v>
      </c>
      <c r="D13" s="25">
        <v>0.10158730158730159</v>
      </c>
    </row>
    <row r="14" spans="1:4" x14ac:dyDescent="0.25">
      <c r="B14" s="27" t="s">
        <v>72</v>
      </c>
      <c r="C14" s="26">
        <v>20</v>
      </c>
      <c r="D14" s="25">
        <v>6.3492063492063489E-2</v>
      </c>
    </row>
    <row r="15" spans="1:4" x14ac:dyDescent="0.25">
      <c r="B15" s="27" t="s">
        <v>81</v>
      </c>
      <c r="C15" s="26">
        <v>20</v>
      </c>
      <c r="D15" s="25">
        <v>6.3492063492063489E-2</v>
      </c>
    </row>
    <row r="16" spans="1:4" x14ac:dyDescent="0.25">
      <c r="B16" s="27" t="s">
        <v>86</v>
      </c>
      <c r="C16" s="26">
        <v>19</v>
      </c>
      <c r="D16" s="25">
        <v>6.0317460317460318E-2</v>
      </c>
    </row>
    <row r="17" spans="2:4" x14ac:dyDescent="0.25">
      <c r="B17" s="27" t="s">
        <v>82</v>
      </c>
      <c r="C17" s="26">
        <v>15</v>
      </c>
      <c r="D17" s="25">
        <v>4.7619047619047616E-2</v>
      </c>
    </row>
    <row r="18" spans="2:4" x14ac:dyDescent="0.25">
      <c r="B18" s="27" t="s">
        <v>74</v>
      </c>
      <c r="C18" s="26">
        <v>15</v>
      </c>
      <c r="D18" s="25">
        <v>4.7619047619047616E-2</v>
      </c>
    </row>
    <row r="19" spans="2:4" x14ac:dyDescent="0.25">
      <c r="B19" s="27" t="s">
        <v>88</v>
      </c>
      <c r="C19" s="26">
        <v>14</v>
      </c>
      <c r="D19" s="25">
        <v>4.4444444444444446E-2</v>
      </c>
    </row>
    <row r="20" spans="2:4" x14ac:dyDescent="0.25">
      <c r="B20" s="27" t="s">
        <v>62</v>
      </c>
      <c r="C20" s="26">
        <v>12</v>
      </c>
      <c r="D20" s="25">
        <v>3.8095238095238099E-2</v>
      </c>
    </row>
    <row r="21" spans="2:4" x14ac:dyDescent="0.25">
      <c r="B21" s="27" t="s">
        <v>73</v>
      </c>
      <c r="C21" s="26">
        <v>11</v>
      </c>
      <c r="D21" s="25">
        <v>3.4920634920634921E-2</v>
      </c>
    </row>
    <row r="22" spans="2:4" x14ac:dyDescent="0.25">
      <c r="B22" s="27" t="s">
        <v>119</v>
      </c>
      <c r="C22" s="26">
        <v>11</v>
      </c>
      <c r="D22" s="25">
        <v>3.4920634920634921E-2</v>
      </c>
    </row>
    <row r="23" spans="2:4" x14ac:dyDescent="0.25">
      <c r="B23" s="27" t="s">
        <v>85</v>
      </c>
      <c r="C23" s="26">
        <v>10</v>
      </c>
      <c r="D23" s="25">
        <v>3.1746031746031744E-2</v>
      </c>
    </row>
    <row r="24" spans="2:4" x14ac:dyDescent="0.25">
      <c r="B24" s="27" t="s">
        <v>66</v>
      </c>
      <c r="C24" s="26">
        <v>10</v>
      </c>
      <c r="D24" s="25">
        <v>3.1746031746031744E-2</v>
      </c>
    </row>
    <row r="25" spans="2:4" x14ac:dyDescent="0.25">
      <c r="B25" s="27" t="s">
        <v>78</v>
      </c>
      <c r="C25" s="26">
        <v>9</v>
      </c>
      <c r="D25" s="25">
        <v>2.8571428571428571E-2</v>
      </c>
    </row>
    <row r="26" spans="2:4" x14ac:dyDescent="0.25">
      <c r="B26" s="27" t="s">
        <v>76</v>
      </c>
      <c r="C26" s="26">
        <v>8</v>
      </c>
      <c r="D26" s="25">
        <v>2.5396825396825397E-2</v>
      </c>
    </row>
    <row r="27" spans="2:4" x14ac:dyDescent="0.25">
      <c r="B27" s="27" t="s">
        <v>61</v>
      </c>
      <c r="C27" s="26">
        <v>7</v>
      </c>
      <c r="D27" s="25">
        <v>2.2222222222222223E-2</v>
      </c>
    </row>
    <row r="28" spans="2:4" x14ac:dyDescent="0.25">
      <c r="B28" s="27" t="s">
        <v>54</v>
      </c>
      <c r="C28" s="26">
        <v>6</v>
      </c>
      <c r="D28" s="25">
        <v>1.9047619047619049E-2</v>
      </c>
    </row>
    <row r="29" spans="2:4" x14ac:dyDescent="0.25">
      <c r="B29" s="27" t="s">
        <v>65</v>
      </c>
      <c r="C29" s="26">
        <v>6</v>
      </c>
      <c r="D29" s="25">
        <v>1.9047619047619049E-2</v>
      </c>
    </row>
    <row r="30" spans="2:4" x14ac:dyDescent="0.25">
      <c r="B30" s="27" t="s">
        <v>70</v>
      </c>
      <c r="C30" s="26">
        <v>5</v>
      </c>
      <c r="D30" s="25">
        <v>1.5873015873015872E-2</v>
      </c>
    </row>
    <row r="31" spans="2:4" x14ac:dyDescent="0.25">
      <c r="B31" s="27" t="s">
        <v>77</v>
      </c>
      <c r="C31" s="26">
        <v>5</v>
      </c>
      <c r="D31" s="25">
        <v>1.5873015873015872E-2</v>
      </c>
    </row>
    <row r="32" spans="2:4" x14ac:dyDescent="0.25">
      <c r="B32" s="27" t="s">
        <v>75</v>
      </c>
      <c r="C32" s="26">
        <v>3</v>
      </c>
      <c r="D32" s="25">
        <v>9.5238095238095247E-3</v>
      </c>
    </row>
    <row r="33" spans="2:4" x14ac:dyDescent="0.25">
      <c r="B33" s="27" t="s">
        <v>53</v>
      </c>
      <c r="C33" s="26">
        <v>3</v>
      </c>
      <c r="D33" s="25">
        <v>9.5238095238095247E-3</v>
      </c>
    </row>
    <row r="34" spans="2:4" x14ac:dyDescent="0.25">
      <c r="B34" s="27" t="s">
        <v>87</v>
      </c>
      <c r="C34" s="26">
        <v>3</v>
      </c>
      <c r="D34" s="25">
        <v>9.5238095238095247E-3</v>
      </c>
    </row>
    <row r="35" spans="2:4" x14ac:dyDescent="0.25">
      <c r="B35" s="27" t="s">
        <v>122</v>
      </c>
      <c r="C35" s="26">
        <v>3</v>
      </c>
      <c r="D35" s="25">
        <v>9.5238095238095247E-3</v>
      </c>
    </row>
    <row r="36" spans="2:4" x14ac:dyDescent="0.25">
      <c r="B36" s="27" t="s">
        <v>120</v>
      </c>
      <c r="C36" s="26">
        <v>3</v>
      </c>
      <c r="D36" s="25">
        <v>9.5238095238095247E-3</v>
      </c>
    </row>
    <row r="37" spans="2:4" x14ac:dyDescent="0.25">
      <c r="B37" s="27" t="s">
        <v>64</v>
      </c>
      <c r="C37" s="26">
        <v>3</v>
      </c>
      <c r="D37" s="25">
        <v>9.5238095238095247E-3</v>
      </c>
    </row>
    <row r="38" spans="2:4" x14ac:dyDescent="0.25">
      <c r="B38" s="27" t="s">
        <v>84</v>
      </c>
      <c r="C38" s="26">
        <v>3</v>
      </c>
      <c r="D38" s="25">
        <v>9.5238095238095247E-3</v>
      </c>
    </row>
    <row r="39" spans="2:4" x14ac:dyDescent="0.25">
      <c r="B39" s="27" t="s">
        <v>60</v>
      </c>
      <c r="C39" s="26">
        <v>3</v>
      </c>
      <c r="D39" s="25">
        <v>9.5238095238095247E-3</v>
      </c>
    </row>
    <row r="40" spans="2:4" x14ac:dyDescent="0.25">
      <c r="B40" s="27" t="s">
        <v>80</v>
      </c>
      <c r="C40" s="26">
        <v>3</v>
      </c>
      <c r="D40" s="25">
        <v>9.5238095238095247E-3</v>
      </c>
    </row>
    <row r="41" spans="2:4" x14ac:dyDescent="0.25">
      <c r="B41" s="27" t="s">
        <v>67</v>
      </c>
      <c r="C41" s="26">
        <v>2</v>
      </c>
      <c r="D41" s="25">
        <v>6.3492063492063492E-3</v>
      </c>
    </row>
    <row r="42" spans="2:4" x14ac:dyDescent="0.25">
      <c r="B42" s="27" t="s">
        <v>63</v>
      </c>
      <c r="C42" s="26">
        <v>2</v>
      </c>
      <c r="D42" s="25">
        <v>6.3492063492063492E-3</v>
      </c>
    </row>
    <row r="43" spans="2:4" x14ac:dyDescent="0.25">
      <c r="B43" s="27" t="s">
        <v>56</v>
      </c>
      <c r="C43" s="26">
        <v>2</v>
      </c>
      <c r="D43" s="25">
        <v>6.3492063492063492E-3</v>
      </c>
    </row>
    <row r="44" spans="2:4" x14ac:dyDescent="0.25">
      <c r="B44" s="27" t="s">
        <v>52</v>
      </c>
      <c r="C44" s="26">
        <v>2</v>
      </c>
      <c r="D44" s="25">
        <v>6.3492063492063492E-3</v>
      </c>
    </row>
    <row r="45" spans="2:4" x14ac:dyDescent="0.25">
      <c r="B45" s="27" t="s">
        <v>123</v>
      </c>
      <c r="C45" s="26">
        <v>1</v>
      </c>
      <c r="D45" s="25">
        <v>3.1746031746031746E-3</v>
      </c>
    </row>
    <row r="46" spans="2:4" x14ac:dyDescent="0.25">
      <c r="B46" s="27" t="s">
        <v>57</v>
      </c>
      <c r="C46" s="26">
        <v>1</v>
      </c>
      <c r="D46" s="25">
        <v>3.1746031746031746E-3</v>
      </c>
    </row>
    <row r="47" spans="2:4" x14ac:dyDescent="0.25">
      <c r="B47" s="27" t="s">
        <v>55</v>
      </c>
      <c r="C47" s="26">
        <v>1</v>
      </c>
      <c r="D47" s="25">
        <v>3.1746031746031746E-3</v>
      </c>
    </row>
    <row r="48" spans="2:4" x14ac:dyDescent="0.25">
      <c r="B48" s="27" t="s">
        <v>58</v>
      </c>
      <c r="C48" s="26">
        <v>1</v>
      </c>
      <c r="D48" s="25">
        <v>3.1746031746031746E-3</v>
      </c>
    </row>
    <row r="49" spans="2:4" x14ac:dyDescent="0.25">
      <c r="B49" s="27" t="s">
        <v>51</v>
      </c>
      <c r="C49" s="26">
        <v>1</v>
      </c>
      <c r="D49" s="25">
        <v>3.1746031746031746E-3</v>
      </c>
    </row>
    <row r="50" spans="2:4" x14ac:dyDescent="0.25">
      <c r="B50" s="27" t="s">
        <v>69</v>
      </c>
      <c r="C50" s="26">
        <v>1</v>
      </c>
      <c r="D50" s="25">
        <v>3.1746031746031746E-3</v>
      </c>
    </row>
    <row r="51" spans="2:4" x14ac:dyDescent="0.25">
      <c r="B51" s="27" t="s">
        <v>59</v>
      </c>
      <c r="C51" s="26">
        <v>1</v>
      </c>
      <c r="D51" s="25">
        <v>3.1746031746031746E-3</v>
      </c>
    </row>
    <row r="52" spans="2:4" x14ac:dyDescent="0.25">
      <c r="B52" s="27" t="s">
        <v>34</v>
      </c>
      <c r="C52" s="26">
        <v>1</v>
      </c>
      <c r="D52" s="25">
        <v>3.1746031746031746E-3</v>
      </c>
    </row>
    <row r="53" spans="2:4" x14ac:dyDescent="0.25">
      <c r="B53" s="24" t="s">
        <v>20</v>
      </c>
      <c r="C53" s="23">
        <v>315</v>
      </c>
      <c r="D53" s="22">
        <v>1</v>
      </c>
    </row>
    <row r="55" spans="2:4" x14ac:dyDescent="0.25">
      <c r="B55" s="19" t="s">
        <v>161</v>
      </c>
    </row>
    <row r="56" spans="2:4" x14ac:dyDescent="0.25">
      <c r="B56" s="21" t="s">
        <v>19</v>
      </c>
    </row>
    <row r="57" spans="2:4" x14ac:dyDescent="0.25">
      <c r="B57" s="20" t="s">
        <v>18</v>
      </c>
    </row>
    <row r="58" spans="2:4" x14ac:dyDescent="0.25">
      <c r="B58" s="19" t="s">
        <v>17</v>
      </c>
    </row>
    <row r="59" spans="2:4" x14ac:dyDescent="0.25">
      <c r="B59" s="19" t="s">
        <v>162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8"/>
  <sheetViews>
    <sheetView showGridLines="0" zoomScaleNormal="100" zoomScaleSheetLayoutView="115" workbookViewId="0"/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49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79" t="s">
        <v>163</v>
      </c>
      <c r="C7" s="79"/>
      <c r="D7" s="79"/>
    </row>
    <row r="8" spans="1:4" s="29" customFormat="1" ht="15" customHeight="1" x14ac:dyDescent="0.2">
      <c r="B8" s="79"/>
      <c r="C8" s="79"/>
      <c r="D8" s="79"/>
    </row>
    <row r="9" spans="1:4" s="29" customFormat="1" ht="33" customHeight="1" x14ac:dyDescent="0.2">
      <c r="B9" s="79"/>
      <c r="C9" s="79"/>
      <c r="D9" s="79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90</v>
      </c>
      <c r="C11" s="31" t="s">
        <v>47</v>
      </c>
      <c r="D11" s="30" t="s">
        <v>46</v>
      </c>
    </row>
    <row r="12" spans="1:4" ht="15" customHeight="1" x14ac:dyDescent="0.25">
      <c r="B12" s="27" t="s">
        <v>89</v>
      </c>
      <c r="C12" s="26">
        <v>37</v>
      </c>
      <c r="D12" s="25">
        <f t="shared" ref="D12:D22" si="0">C12/$C$22</f>
        <v>0.18974358974358974</v>
      </c>
    </row>
    <row r="13" spans="1:4" x14ac:dyDescent="0.25">
      <c r="B13" s="27" t="s">
        <v>83</v>
      </c>
      <c r="C13" s="26">
        <v>32</v>
      </c>
      <c r="D13" s="25">
        <f t="shared" si="0"/>
        <v>0.1641025641025641</v>
      </c>
    </row>
    <row r="14" spans="1:4" s="28" customFormat="1" ht="15.75" x14ac:dyDescent="0.25">
      <c r="A14" s="17"/>
      <c r="B14" s="27" t="s">
        <v>72</v>
      </c>
      <c r="C14" s="26">
        <v>20</v>
      </c>
      <c r="D14" s="25">
        <f t="shared" si="0"/>
        <v>0.10256410256410256</v>
      </c>
    </row>
    <row r="15" spans="1:4" s="28" customFormat="1" ht="15.75" x14ac:dyDescent="0.25">
      <c r="A15" s="17"/>
      <c r="B15" s="27" t="s">
        <v>81</v>
      </c>
      <c r="C15" s="26">
        <v>20</v>
      </c>
      <c r="D15" s="25">
        <f t="shared" si="0"/>
        <v>0.10256410256410256</v>
      </c>
    </row>
    <row r="16" spans="1:4" x14ac:dyDescent="0.25">
      <c r="B16" s="27" t="s">
        <v>86</v>
      </c>
      <c r="C16" s="26">
        <v>19</v>
      </c>
      <c r="D16" s="25">
        <f t="shared" si="0"/>
        <v>9.7435897435897437E-2</v>
      </c>
    </row>
    <row r="17" spans="2:4" x14ac:dyDescent="0.25">
      <c r="B17" s="27" t="s">
        <v>82</v>
      </c>
      <c r="C17" s="26">
        <v>15</v>
      </c>
      <c r="D17" s="25">
        <f t="shared" si="0"/>
        <v>7.6923076923076927E-2</v>
      </c>
    </row>
    <row r="18" spans="2:4" x14ac:dyDescent="0.25">
      <c r="B18" s="27" t="s">
        <v>74</v>
      </c>
      <c r="C18" s="26">
        <v>15</v>
      </c>
      <c r="D18" s="25">
        <f t="shared" si="0"/>
        <v>7.6923076923076927E-2</v>
      </c>
    </row>
    <row r="19" spans="2:4" x14ac:dyDescent="0.25">
      <c r="B19" s="27" t="s">
        <v>88</v>
      </c>
      <c r="C19" s="26">
        <v>14</v>
      </c>
      <c r="D19" s="25">
        <f t="shared" si="0"/>
        <v>7.179487179487179E-2</v>
      </c>
    </row>
    <row r="20" spans="2:4" x14ac:dyDescent="0.25">
      <c r="B20" s="27" t="s">
        <v>62</v>
      </c>
      <c r="C20" s="26">
        <v>12</v>
      </c>
      <c r="D20" s="25">
        <f t="shared" si="0"/>
        <v>6.1538461538461542E-2</v>
      </c>
    </row>
    <row r="21" spans="2:4" x14ac:dyDescent="0.25">
      <c r="B21" s="27" t="s">
        <v>73</v>
      </c>
      <c r="C21" s="26">
        <v>11</v>
      </c>
      <c r="D21" s="25">
        <f t="shared" si="0"/>
        <v>5.6410256410256411E-2</v>
      </c>
    </row>
    <row r="22" spans="2:4" x14ac:dyDescent="0.25">
      <c r="B22" s="24" t="s">
        <v>124</v>
      </c>
      <c r="C22" s="23">
        <f>SUM(C12:C21)</f>
        <v>195</v>
      </c>
      <c r="D22" s="22">
        <f t="shared" si="0"/>
        <v>1</v>
      </c>
    </row>
    <row r="24" spans="2:4" x14ac:dyDescent="0.25">
      <c r="B24" s="19" t="s">
        <v>161</v>
      </c>
    </row>
    <row r="25" spans="2:4" x14ac:dyDescent="0.25">
      <c r="B25" s="21" t="s">
        <v>19</v>
      </c>
    </row>
    <row r="26" spans="2:4" x14ac:dyDescent="0.25">
      <c r="B26" s="20" t="s">
        <v>18</v>
      </c>
    </row>
    <row r="27" spans="2:4" x14ac:dyDescent="0.25">
      <c r="B27" s="19" t="s">
        <v>17</v>
      </c>
    </row>
    <row r="28" spans="2:4" x14ac:dyDescent="0.25">
      <c r="B28" s="19" t="s">
        <v>162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22"/>
  <sheetViews>
    <sheetView showGridLines="0" zoomScaleNormal="100" zoomScaleSheetLayoutView="115" workbookViewId="0">
      <selection activeCell="B7" sqref="B7:D9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49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79" t="s">
        <v>164</v>
      </c>
      <c r="C7" s="79"/>
      <c r="D7" s="79"/>
    </row>
    <row r="8" spans="1:4" s="29" customFormat="1" ht="15" customHeight="1" x14ac:dyDescent="0.2">
      <c r="B8" s="79"/>
      <c r="C8" s="79"/>
      <c r="D8" s="79"/>
    </row>
    <row r="9" spans="1:4" s="29" customFormat="1" ht="33" customHeight="1" x14ac:dyDescent="0.2">
      <c r="B9" s="79"/>
      <c r="C9" s="79"/>
      <c r="D9" s="79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95</v>
      </c>
      <c r="C11" s="31" t="s">
        <v>47</v>
      </c>
      <c r="D11" s="30" t="s">
        <v>46</v>
      </c>
    </row>
    <row r="12" spans="1:4" x14ac:dyDescent="0.25">
      <c r="B12" s="27" t="s">
        <v>94</v>
      </c>
      <c r="C12" s="26">
        <v>118</v>
      </c>
      <c r="D12" s="25">
        <v>0.3746031746031746</v>
      </c>
    </row>
    <row r="13" spans="1:4" x14ac:dyDescent="0.25">
      <c r="B13" s="27" t="s">
        <v>93</v>
      </c>
      <c r="C13" s="26">
        <v>107</v>
      </c>
      <c r="D13" s="25">
        <v>0.3396825396825397</v>
      </c>
    </row>
    <row r="14" spans="1:4" x14ac:dyDescent="0.25">
      <c r="B14" s="27" t="s">
        <v>92</v>
      </c>
      <c r="C14" s="26">
        <v>53</v>
      </c>
      <c r="D14" s="25">
        <v>0.16825396825396827</v>
      </c>
    </row>
    <row r="15" spans="1:4" x14ac:dyDescent="0.25">
      <c r="B15" s="27" t="s">
        <v>91</v>
      </c>
      <c r="C15" s="26">
        <v>37</v>
      </c>
      <c r="D15" s="25">
        <v>0.11746031746031746</v>
      </c>
    </row>
    <row r="16" spans="1:4" x14ac:dyDescent="0.25">
      <c r="B16" s="24" t="s">
        <v>20</v>
      </c>
      <c r="C16" s="23">
        <v>315</v>
      </c>
      <c r="D16" s="22">
        <v>1</v>
      </c>
    </row>
    <row r="17" spans="2:4" x14ac:dyDescent="0.25">
      <c r="B17" s="20"/>
      <c r="C17" s="59"/>
      <c r="D17" s="59"/>
    </row>
    <row r="18" spans="2:4" x14ac:dyDescent="0.25">
      <c r="B18" s="19" t="s">
        <v>161</v>
      </c>
    </row>
    <row r="19" spans="2:4" x14ac:dyDescent="0.25">
      <c r="B19" s="21" t="s">
        <v>19</v>
      </c>
    </row>
    <row r="20" spans="2:4" x14ac:dyDescent="0.25">
      <c r="B20" s="20" t="s">
        <v>18</v>
      </c>
    </row>
    <row r="21" spans="2:4" x14ac:dyDescent="0.25">
      <c r="B21" s="19" t="s">
        <v>17</v>
      </c>
    </row>
    <row r="22" spans="2:4" x14ac:dyDescent="0.25">
      <c r="B22" s="19" t="s">
        <v>162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118"/>
  <sheetViews>
    <sheetView zoomScale="96" zoomScaleNormal="96" zoomScaleSheetLayoutView="85" workbookViewId="0"/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83"/>
      <c r="C7" s="83"/>
      <c r="D7" s="83"/>
      <c r="E7" s="83"/>
    </row>
    <row r="8" spans="1:5" s="50" customFormat="1" ht="33" customHeight="1" x14ac:dyDescent="0.3">
      <c r="A8" s="51"/>
      <c r="B8" s="83"/>
      <c r="C8" s="83"/>
      <c r="D8" s="83"/>
      <c r="E8" s="83"/>
    </row>
    <row r="9" spans="1:5" s="29" customFormat="1" ht="40.5" customHeight="1" x14ac:dyDescent="0.2">
      <c r="B9" s="47" t="s">
        <v>97</v>
      </c>
      <c r="C9" s="49" t="s">
        <v>96</v>
      </c>
      <c r="D9" s="48" t="s">
        <v>47</v>
      </c>
      <c r="E9" s="47" t="s">
        <v>46</v>
      </c>
    </row>
    <row r="10" spans="1:5" ht="15" customHeight="1" x14ac:dyDescent="0.25">
      <c r="B10" s="80" t="s">
        <v>23</v>
      </c>
      <c r="C10" s="45" t="s">
        <v>94</v>
      </c>
      <c r="D10" s="44">
        <v>1</v>
      </c>
      <c r="E10" s="43">
        <v>3.1746031746031746E-3</v>
      </c>
    </row>
    <row r="11" spans="1:5" ht="15" customHeight="1" x14ac:dyDescent="0.25">
      <c r="B11" s="82"/>
      <c r="C11" s="42" t="s">
        <v>20</v>
      </c>
      <c r="D11" s="41">
        <v>1</v>
      </c>
      <c r="E11" s="40">
        <v>3.1746031746031746E-3</v>
      </c>
    </row>
    <row r="12" spans="1:5" ht="15" customHeight="1" x14ac:dyDescent="0.25">
      <c r="B12" s="80" t="s">
        <v>40</v>
      </c>
      <c r="C12" s="45" t="s">
        <v>93</v>
      </c>
      <c r="D12" s="44">
        <v>7</v>
      </c>
      <c r="E12" s="43">
        <v>2.2222222222222223E-2</v>
      </c>
    </row>
    <row r="13" spans="1:5" ht="15" customHeight="1" x14ac:dyDescent="0.25">
      <c r="B13" s="81"/>
      <c r="C13" s="45" t="s">
        <v>94</v>
      </c>
      <c r="D13" s="44">
        <v>1</v>
      </c>
      <c r="E13" s="43">
        <v>3.1746031746031746E-3</v>
      </c>
    </row>
    <row r="14" spans="1:5" ht="15" customHeight="1" x14ac:dyDescent="0.25">
      <c r="B14" s="81"/>
      <c r="C14" s="45" t="s">
        <v>92</v>
      </c>
      <c r="D14" s="44">
        <v>1</v>
      </c>
      <c r="E14" s="43">
        <v>3.1746031746031746E-3</v>
      </c>
    </row>
    <row r="15" spans="1:5" ht="15" customHeight="1" x14ac:dyDescent="0.25">
      <c r="B15" s="82"/>
      <c r="C15" s="42" t="s">
        <v>20</v>
      </c>
      <c r="D15" s="41">
        <v>9</v>
      </c>
      <c r="E15" s="40">
        <v>2.8571428571428571E-2</v>
      </c>
    </row>
    <row r="16" spans="1:5" ht="15" customHeight="1" x14ac:dyDescent="0.25">
      <c r="B16" s="80" t="s">
        <v>45</v>
      </c>
      <c r="C16" s="45" t="s">
        <v>93</v>
      </c>
      <c r="D16" s="44">
        <v>55</v>
      </c>
      <c r="E16" s="43">
        <v>0.17460317460317459</v>
      </c>
    </row>
    <row r="17" spans="2:5" ht="15" customHeight="1" x14ac:dyDescent="0.25">
      <c r="B17" s="81"/>
      <c r="C17" s="45" t="s">
        <v>94</v>
      </c>
      <c r="D17" s="44">
        <v>60</v>
      </c>
      <c r="E17" s="43">
        <v>0.19047619047619047</v>
      </c>
    </row>
    <row r="18" spans="2:5" ht="15" customHeight="1" x14ac:dyDescent="0.25">
      <c r="B18" s="81"/>
      <c r="C18" s="45" t="s">
        <v>91</v>
      </c>
      <c r="D18" s="44">
        <v>15</v>
      </c>
      <c r="E18" s="43">
        <v>4.7619047619047616E-2</v>
      </c>
    </row>
    <row r="19" spans="2:5" ht="15" customHeight="1" x14ac:dyDescent="0.25">
      <c r="B19" s="81"/>
      <c r="C19" s="45" t="s">
        <v>92</v>
      </c>
      <c r="D19" s="44">
        <v>28</v>
      </c>
      <c r="E19" s="43">
        <v>8.8888888888888892E-2</v>
      </c>
    </row>
    <row r="20" spans="2:5" ht="15" customHeight="1" x14ac:dyDescent="0.25">
      <c r="B20" s="82"/>
      <c r="C20" s="42" t="s">
        <v>20</v>
      </c>
      <c r="D20" s="41">
        <v>158</v>
      </c>
      <c r="E20" s="40">
        <v>0.50158730158730158</v>
      </c>
    </row>
    <row r="21" spans="2:5" ht="15" customHeight="1" x14ac:dyDescent="0.25">
      <c r="B21" s="80" t="s">
        <v>38</v>
      </c>
      <c r="C21" s="45" t="s">
        <v>93</v>
      </c>
      <c r="D21" s="44">
        <v>1</v>
      </c>
      <c r="E21" s="43">
        <v>3.1746031746031746E-3</v>
      </c>
    </row>
    <row r="22" spans="2:5" ht="15" customHeight="1" x14ac:dyDescent="0.25">
      <c r="B22" s="81"/>
      <c r="C22" s="45" t="s">
        <v>94</v>
      </c>
      <c r="D22" s="44">
        <v>3</v>
      </c>
      <c r="E22" s="43">
        <v>9.5238095238095247E-3</v>
      </c>
    </row>
    <row r="23" spans="2:5" ht="15" customHeight="1" x14ac:dyDescent="0.25">
      <c r="B23" s="81"/>
      <c r="C23" s="45" t="s">
        <v>91</v>
      </c>
      <c r="D23" s="44">
        <v>1</v>
      </c>
      <c r="E23" s="43">
        <v>3.1746031746031746E-3</v>
      </c>
    </row>
    <row r="24" spans="2:5" ht="15" customHeight="1" x14ac:dyDescent="0.25">
      <c r="B24" s="82"/>
      <c r="C24" s="42" t="s">
        <v>20</v>
      </c>
      <c r="D24" s="41">
        <v>5</v>
      </c>
      <c r="E24" s="40">
        <v>1.5873015873015872E-2</v>
      </c>
    </row>
    <row r="25" spans="2:5" ht="15" customHeight="1" x14ac:dyDescent="0.25">
      <c r="B25" s="80" t="s">
        <v>42</v>
      </c>
      <c r="C25" s="45" t="s">
        <v>93</v>
      </c>
      <c r="D25" s="44">
        <v>2</v>
      </c>
      <c r="E25" s="43">
        <v>6.3492063492063492E-3</v>
      </c>
    </row>
    <row r="26" spans="2:5" ht="15" customHeight="1" x14ac:dyDescent="0.25">
      <c r="B26" s="81"/>
      <c r="C26" s="45" t="s">
        <v>94</v>
      </c>
      <c r="D26" s="44">
        <v>4</v>
      </c>
      <c r="E26" s="43">
        <v>1.2698412698412698E-2</v>
      </c>
    </row>
    <row r="27" spans="2:5" ht="15" customHeight="1" x14ac:dyDescent="0.25">
      <c r="B27" s="81"/>
      <c r="C27" s="45" t="s">
        <v>91</v>
      </c>
      <c r="D27" s="44">
        <v>1</v>
      </c>
      <c r="E27" s="43">
        <v>3.1746031746031746E-3</v>
      </c>
    </row>
    <row r="28" spans="2:5" ht="15" customHeight="1" x14ac:dyDescent="0.25">
      <c r="B28" s="81"/>
      <c r="C28" s="45" t="s">
        <v>92</v>
      </c>
      <c r="D28" s="44">
        <v>4</v>
      </c>
      <c r="E28" s="43">
        <v>1.2698412698412698E-2</v>
      </c>
    </row>
    <row r="29" spans="2:5" ht="15" customHeight="1" x14ac:dyDescent="0.25">
      <c r="B29" s="82"/>
      <c r="C29" s="42" t="s">
        <v>20</v>
      </c>
      <c r="D29" s="41">
        <v>11</v>
      </c>
      <c r="E29" s="40">
        <v>3.4920634920634921E-2</v>
      </c>
    </row>
    <row r="30" spans="2:5" ht="15" customHeight="1" x14ac:dyDescent="0.25">
      <c r="B30" s="80" t="s">
        <v>35</v>
      </c>
      <c r="C30" s="45" t="s">
        <v>94</v>
      </c>
      <c r="D30" s="44">
        <v>1</v>
      </c>
      <c r="E30" s="43">
        <v>3.1746031746031746E-3</v>
      </c>
    </row>
    <row r="31" spans="2:5" ht="15" customHeight="1" x14ac:dyDescent="0.25">
      <c r="B31" s="81"/>
      <c r="C31" s="45" t="s">
        <v>91</v>
      </c>
      <c r="D31" s="44">
        <v>1</v>
      </c>
      <c r="E31" s="43">
        <v>3.1746031746031746E-3</v>
      </c>
    </row>
    <row r="32" spans="2:5" ht="15" customHeight="1" x14ac:dyDescent="0.25">
      <c r="B32" s="81"/>
      <c r="C32" s="45" t="s">
        <v>92</v>
      </c>
      <c r="D32" s="44">
        <v>4</v>
      </c>
      <c r="E32" s="43">
        <v>1.2698412698412698E-2</v>
      </c>
    </row>
    <row r="33" spans="2:5" ht="15" customHeight="1" x14ac:dyDescent="0.25">
      <c r="B33" s="82"/>
      <c r="C33" s="42" t="s">
        <v>20</v>
      </c>
      <c r="D33" s="41">
        <v>6</v>
      </c>
      <c r="E33" s="40">
        <v>1.9047619047619049E-2</v>
      </c>
    </row>
    <row r="34" spans="2:5" ht="15" customHeight="1" x14ac:dyDescent="0.25">
      <c r="B34" s="80" t="s">
        <v>155</v>
      </c>
      <c r="C34" s="45" t="s">
        <v>93</v>
      </c>
      <c r="D34" s="44">
        <v>1</v>
      </c>
      <c r="E34" s="43">
        <v>3.1746031746031746E-3</v>
      </c>
    </row>
    <row r="35" spans="2:5" ht="15" customHeight="1" x14ac:dyDescent="0.25">
      <c r="B35" s="82"/>
      <c r="C35" s="42" t="s">
        <v>20</v>
      </c>
      <c r="D35" s="41">
        <v>1</v>
      </c>
      <c r="E35" s="40">
        <v>3.1746031746031746E-3</v>
      </c>
    </row>
    <row r="36" spans="2:5" ht="15" customHeight="1" x14ac:dyDescent="0.25">
      <c r="B36" s="80" t="s">
        <v>43</v>
      </c>
      <c r="C36" s="45" t="s">
        <v>93</v>
      </c>
      <c r="D36" s="44">
        <v>4</v>
      </c>
      <c r="E36" s="43">
        <v>1.2698412698412698E-2</v>
      </c>
    </row>
    <row r="37" spans="2:5" ht="15" customHeight="1" x14ac:dyDescent="0.25">
      <c r="B37" s="81"/>
      <c r="C37" s="45" t="s">
        <v>94</v>
      </c>
      <c r="D37" s="44">
        <v>5</v>
      </c>
      <c r="E37" s="43">
        <v>1.5873015873015872E-2</v>
      </c>
    </row>
    <row r="38" spans="2:5" ht="15" customHeight="1" x14ac:dyDescent="0.25">
      <c r="B38" s="81"/>
      <c r="C38" s="45" t="s">
        <v>91</v>
      </c>
      <c r="D38" s="44">
        <v>3</v>
      </c>
      <c r="E38" s="43">
        <v>9.5238095238095247E-3</v>
      </c>
    </row>
    <row r="39" spans="2:5" ht="15" customHeight="1" x14ac:dyDescent="0.25">
      <c r="B39" s="82"/>
      <c r="C39" s="42" t="s">
        <v>20</v>
      </c>
      <c r="D39" s="41">
        <v>12</v>
      </c>
      <c r="E39" s="40">
        <v>3.8095238095238099E-2</v>
      </c>
    </row>
    <row r="40" spans="2:5" ht="15" customHeight="1" x14ac:dyDescent="0.25">
      <c r="B40" s="80" t="s">
        <v>31</v>
      </c>
      <c r="C40" s="45" t="s">
        <v>93</v>
      </c>
      <c r="D40" s="44">
        <v>1</v>
      </c>
      <c r="E40" s="43">
        <v>3.1746031746031746E-3</v>
      </c>
    </row>
    <row r="41" spans="2:5" ht="15" customHeight="1" x14ac:dyDescent="0.25">
      <c r="B41" s="81"/>
      <c r="C41" s="45" t="s">
        <v>94</v>
      </c>
      <c r="D41" s="44">
        <v>1</v>
      </c>
      <c r="E41" s="43">
        <v>3.1746031746031746E-3</v>
      </c>
    </row>
    <row r="42" spans="2:5" ht="15" customHeight="1" x14ac:dyDescent="0.25">
      <c r="B42" s="81"/>
      <c r="C42" s="45" t="s">
        <v>92</v>
      </c>
      <c r="D42" s="44">
        <v>1</v>
      </c>
      <c r="E42" s="43">
        <v>3.1746031746031746E-3</v>
      </c>
    </row>
    <row r="43" spans="2:5" ht="15" customHeight="1" x14ac:dyDescent="0.25">
      <c r="B43" s="82"/>
      <c r="C43" s="42" t="s">
        <v>20</v>
      </c>
      <c r="D43" s="41">
        <v>3</v>
      </c>
      <c r="E43" s="40">
        <v>9.5238095238095247E-3</v>
      </c>
    </row>
    <row r="44" spans="2:5" ht="15" customHeight="1" x14ac:dyDescent="0.25">
      <c r="B44" s="80" t="s">
        <v>156</v>
      </c>
      <c r="C44" s="45" t="s">
        <v>94</v>
      </c>
      <c r="D44" s="44">
        <v>1</v>
      </c>
      <c r="E44" s="43">
        <v>3.1746031746031746E-3</v>
      </c>
    </row>
    <row r="45" spans="2:5" ht="15" customHeight="1" x14ac:dyDescent="0.25">
      <c r="B45" s="82"/>
      <c r="C45" s="42" t="s">
        <v>20</v>
      </c>
      <c r="D45" s="41">
        <v>1</v>
      </c>
      <c r="E45" s="40">
        <v>3.1746031746031746E-3</v>
      </c>
    </row>
    <row r="46" spans="2:5" ht="15" customHeight="1" x14ac:dyDescent="0.25">
      <c r="B46" s="80" t="s">
        <v>26</v>
      </c>
      <c r="C46" s="45" t="s">
        <v>91</v>
      </c>
      <c r="D46" s="44">
        <v>1</v>
      </c>
      <c r="E46" s="43">
        <v>3.1746031746031746E-3</v>
      </c>
    </row>
    <row r="47" spans="2:5" ht="15" customHeight="1" x14ac:dyDescent="0.25">
      <c r="B47" s="82"/>
      <c r="C47" s="42" t="s">
        <v>20</v>
      </c>
      <c r="D47" s="41">
        <v>1</v>
      </c>
      <c r="E47" s="40">
        <v>3.1746031746031746E-3</v>
      </c>
    </row>
    <row r="48" spans="2:5" ht="15" customHeight="1" x14ac:dyDescent="0.25">
      <c r="B48" s="80" t="s">
        <v>157</v>
      </c>
      <c r="C48" s="45" t="s">
        <v>94</v>
      </c>
      <c r="D48" s="44">
        <v>1</v>
      </c>
      <c r="E48" s="43">
        <v>3.1746031746031746E-3</v>
      </c>
    </row>
    <row r="49" spans="2:5" ht="15" customHeight="1" x14ac:dyDescent="0.25">
      <c r="B49" s="82"/>
      <c r="C49" s="42" t="s">
        <v>20</v>
      </c>
      <c r="D49" s="41">
        <v>1</v>
      </c>
      <c r="E49" s="40">
        <v>3.1746031746031746E-3</v>
      </c>
    </row>
    <row r="50" spans="2:5" ht="15" customHeight="1" x14ac:dyDescent="0.25">
      <c r="B50" s="80" t="s">
        <v>30</v>
      </c>
      <c r="C50" s="45" t="s">
        <v>94</v>
      </c>
      <c r="D50" s="44">
        <v>1</v>
      </c>
      <c r="E50" s="43">
        <v>3.1746031746031746E-3</v>
      </c>
    </row>
    <row r="51" spans="2:5" ht="15" customHeight="1" x14ac:dyDescent="0.25">
      <c r="B51" s="82"/>
      <c r="C51" s="42" t="s">
        <v>20</v>
      </c>
      <c r="D51" s="41">
        <v>1</v>
      </c>
      <c r="E51" s="40">
        <v>3.1746031746031746E-3</v>
      </c>
    </row>
    <row r="52" spans="2:5" ht="15" customHeight="1" x14ac:dyDescent="0.25">
      <c r="B52" s="80" t="s">
        <v>29</v>
      </c>
      <c r="C52" s="45" t="s">
        <v>93</v>
      </c>
      <c r="D52" s="44">
        <v>2</v>
      </c>
      <c r="E52" s="43">
        <v>6.3492063492063492E-3</v>
      </c>
    </row>
    <row r="53" spans="2:5" ht="15" customHeight="1" x14ac:dyDescent="0.25">
      <c r="B53" s="81"/>
      <c r="C53" s="45" t="s">
        <v>91</v>
      </c>
      <c r="D53" s="44">
        <v>1</v>
      </c>
      <c r="E53" s="43">
        <v>3.1746031746031746E-3</v>
      </c>
    </row>
    <row r="54" spans="2:5" ht="15" customHeight="1" x14ac:dyDescent="0.25">
      <c r="B54" s="82"/>
      <c r="C54" s="42" t="s">
        <v>20</v>
      </c>
      <c r="D54" s="41">
        <v>3</v>
      </c>
      <c r="E54" s="40">
        <v>9.5238095238095247E-3</v>
      </c>
    </row>
    <row r="55" spans="2:5" ht="15" customHeight="1" x14ac:dyDescent="0.25">
      <c r="B55" s="80" t="s">
        <v>158</v>
      </c>
      <c r="C55" s="45" t="s">
        <v>94</v>
      </c>
      <c r="D55" s="44">
        <v>1</v>
      </c>
      <c r="E55" s="43">
        <v>3.1746031746031746E-3</v>
      </c>
    </row>
    <row r="56" spans="2:5" ht="15" customHeight="1" x14ac:dyDescent="0.25">
      <c r="B56" s="82"/>
      <c r="C56" s="42" t="s">
        <v>20</v>
      </c>
      <c r="D56" s="41">
        <v>1</v>
      </c>
      <c r="E56" s="40">
        <v>3.1746031746031746E-3</v>
      </c>
    </row>
    <row r="57" spans="2:5" ht="15" customHeight="1" x14ac:dyDescent="0.25">
      <c r="B57" s="80" t="s">
        <v>22</v>
      </c>
      <c r="C57" s="45" t="s">
        <v>92</v>
      </c>
      <c r="D57" s="44">
        <v>1</v>
      </c>
      <c r="E57" s="43">
        <v>3.1746031746031746E-3</v>
      </c>
    </row>
    <row r="58" spans="2:5" ht="15" customHeight="1" x14ac:dyDescent="0.25">
      <c r="B58" s="82"/>
      <c r="C58" s="42" t="s">
        <v>20</v>
      </c>
      <c r="D58" s="41">
        <v>1</v>
      </c>
      <c r="E58" s="40">
        <v>3.1746031746031746E-3</v>
      </c>
    </row>
    <row r="59" spans="2:5" ht="15" customHeight="1" x14ac:dyDescent="0.25">
      <c r="B59" s="80" t="s">
        <v>41</v>
      </c>
      <c r="C59" s="45" t="s">
        <v>93</v>
      </c>
      <c r="D59" s="44">
        <v>4</v>
      </c>
      <c r="E59" s="43">
        <v>1.2698412698412698E-2</v>
      </c>
    </row>
    <row r="60" spans="2:5" ht="15" customHeight="1" x14ac:dyDescent="0.25">
      <c r="B60" s="81"/>
      <c r="C60" s="45" t="s">
        <v>94</v>
      </c>
      <c r="D60" s="44">
        <v>8</v>
      </c>
      <c r="E60" s="43">
        <v>2.5396825396825397E-2</v>
      </c>
    </row>
    <row r="61" spans="2:5" ht="15" customHeight="1" x14ac:dyDescent="0.25">
      <c r="B61" s="81"/>
      <c r="C61" s="45" t="s">
        <v>91</v>
      </c>
      <c r="D61" s="44">
        <v>1</v>
      </c>
      <c r="E61" s="43">
        <v>3.1746031746031746E-3</v>
      </c>
    </row>
    <row r="62" spans="2:5" ht="15" customHeight="1" x14ac:dyDescent="0.25">
      <c r="B62" s="82"/>
      <c r="C62" s="42" t="s">
        <v>20</v>
      </c>
      <c r="D62" s="41">
        <v>13</v>
      </c>
      <c r="E62" s="40">
        <v>4.1269841269841269E-2</v>
      </c>
    </row>
    <row r="63" spans="2:5" ht="15" customHeight="1" x14ac:dyDescent="0.25">
      <c r="B63" s="80" t="s">
        <v>28</v>
      </c>
      <c r="C63" s="45" t="s">
        <v>94</v>
      </c>
      <c r="D63" s="44">
        <v>2</v>
      </c>
      <c r="E63" s="43">
        <v>6.3492063492063492E-3</v>
      </c>
    </row>
    <row r="64" spans="2:5" ht="15" customHeight="1" x14ac:dyDescent="0.25">
      <c r="B64" s="82"/>
      <c r="C64" s="42" t="s">
        <v>20</v>
      </c>
      <c r="D64" s="41">
        <v>2</v>
      </c>
      <c r="E64" s="40">
        <v>6.3492063492063492E-3</v>
      </c>
    </row>
    <row r="65" spans="2:5" ht="15" customHeight="1" x14ac:dyDescent="0.25">
      <c r="B65" s="80" t="s">
        <v>32</v>
      </c>
      <c r="C65" s="45" t="s">
        <v>93</v>
      </c>
      <c r="D65" s="44">
        <v>5</v>
      </c>
      <c r="E65" s="43">
        <v>1.5873015873015872E-2</v>
      </c>
    </row>
    <row r="66" spans="2:5" ht="15" customHeight="1" x14ac:dyDescent="0.25">
      <c r="B66" s="81"/>
      <c r="C66" s="45" t="s">
        <v>94</v>
      </c>
      <c r="D66" s="44">
        <v>1</v>
      </c>
      <c r="E66" s="43">
        <v>3.1746031746031746E-3</v>
      </c>
    </row>
    <row r="67" spans="2:5" ht="15" customHeight="1" x14ac:dyDescent="0.25">
      <c r="B67" s="82"/>
      <c r="C67" s="42" t="s">
        <v>20</v>
      </c>
      <c r="D67" s="41">
        <v>6</v>
      </c>
      <c r="E67" s="40">
        <v>1.9047619047619049E-2</v>
      </c>
    </row>
    <row r="68" spans="2:5" ht="15" customHeight="1" x14ac:dyDescent="0.25">
      <c r="B68" s="80" t="s">
        <v>25</v>
      </c>
      <c r="C68" s="45" t="s">
        <v>94</v>
      </c>
      <c r="D68" s="44">
        <v>1</v>
      </c>
      <c r="E68" s="43">
        <v>3.1746031746031746E-3</v>
      </c>
    </row>
    <row r="69" spans="2:5" ht="15" customHeight="1" x14ac:dyDescent="0.25">
      <c r="B69" s="82"/>
      <c r="C69" s="42" t="s">
        <v>20</v>
      </c>
      <c r="D69" s="41">
        <v>1</v>
      </c>
      <c r="E69" s="40">
        <v>3.1746031746031746E-3</v>
      </c>
    </row>
    <row r="70" spans="2:5" ht="15" customHeight="1" x14ac:dyDescent="0.25">
      <c r="B70" s="80" t="s">
        <v>36</v>
      </c>
      <c r="C70" s="45" t="s">
        <v>93</v>
      </c>
      <c r="D70" s="44">
        <v>4</v>
      </c>
      <c r="E70" s="43">
        <v>1.2698412698412698E-2</v>
      </c>
    </row>
    <row r="71" spans="2:5" ht="15" customHeight="1" x14ac:dyDescent="0.25">
      <c r="B71" s="81"/>
      <c r="C71" s="45" t="s">
        <v>91</v>
      </c>
      <c r="D71" s="44">
        <v>3</v>
      </c>
      <c r="E71" s="43">
        <v>9.5238095238095247E-3</v>
      </c>
    </row>
    <row r="72" spans="2:5" ht="15" customHeight="1" x14ac:dyDescent="0.25">
      <c r="B72" s="81"/>
      <c r="C72" s="45" t="s">
        <v>92</v>
      </c>
      <c r="D72" s="44">
        <v>1</v>
      </c>
      <c r="E72" s="43">
        <v>3.1746031746031746E-3</v>
      </c>
    </row>
    <row r="73" spans="2:5" ht="15" customHeight="1" x14ac:dyDescent="0.25">
      <c r="B73" s="82"/>
      <c r="C73" s="42" t="s">
        <v>20</v>
      </c>
      <c r="D73" s="41">
        <v>8</v>
      </c>
      <c r="E73" s="40">
        <v>2.5396825396825397E-2</v>
      </c>
    </row>
    <row r="74" spans="2:5" ht="15" customHeight="1" x14ac:dyDescent="0.25">
      <c r="B74" s="80" t="s">
        <v>159</v>
      </c>
      <c r="C74" s="45" t="s">
        <v>94</v>
      </c>
      <c r="D74" s="44">
        <v>1</v>
      </c>
      <c r="E74" s="43">
        <v>3.1746031746031746E-3</v>
      </c>
    </row>
    <row r="75" spans="2:5" ht="15" customHeight="1" x14ac:dyDescent="0.25">
      <c r="B75" s="82"/>
      <c r="C75" s="42" t="s">
        <v>20</v>
      </c>
      <c r="D75" s="41">
        <v>1</v>
      </c>
      <c r="E75" s="40">
        <v>3.1746031746031746E-3</v>
      </c>
    </row>
    <row r="76" spans="2:5" ht="15" customHeight="1" x14ac:dyDescent="0.25">
      <c r="B76" s="80" t="s">
        <v>154</v>
      </c>
      <c r="C76" s="45" t="s">
        <v>94</v>
      </c>
      <c r="D76" s="44">
        <v>1</v>
      </c>
      <c r="E76" s="43">
        <v>3.1746031746031746E-3</v>
      </c>
    </row>
    <row r="77" spans="2:5" ht="15" customHeight="1" x14ac:dyDescent="0.25">
      <c r="B77" s="81"/>
      <c r="C77" s="45" t="s">
        <v>91</v>
      </c>
      <c r="D77" s="44">
        <v>1</v>
      </c>
      <c r="E77" s="43">
        <v>3.1746031746031746E-3</v>
      </c>
    </row>
    <row r="78" spans="2:5" ht="15" customHeight="1" x14ac:dyDescent="0.25">
      <c r="B78" s="82"/>
      <c r="C78" s="42" t="s">
        <v>20</v>
      </c>
      <c r="D78" s="41">
        <v>2</v>
      </c>
      <c r="E78" s="40">
        <v>6.3492063492063492E-3</v>
      </c>
    </row>
    <row r="79" spans="2:5" ht="15" customHeight="1" x14ac:dyDescent="0.25">
      <c r="B79" s="80" t="s">
        <v>39</v>
      </c>
      <c r="C79" s="45" t="s">
        <v>93</v>
      </c>
      <c r="D79" s="44">
        <v>3</v>
      </c>
      <c r="E79" s="43">
        <v>9.5238095238095247E-3</v>
      </c>
    </row>
    <row r="80" spans="2:5" ht="15" customHeight="1" x14ac:dyDescent="0.25">
      <c r="B80" s="81"/>
      <c r="C80" s="45" t="s">
        <v>94</v>
      </c>
      <c r="D80" s="44">
        <v>2</v>
      </c>
      <c r="E80" s="43">
        <v>6.3492063492063492E-3</v>
      </c>
    </row>
    <row r="81" spans="2:5" ht="15" customHeight="1" x14ac:dyDescent="0.25">
      <c r="B81" s="81"/>
      <c r="C81" s="45" t="s">
        <v>92</v>
      </c>
      <c r="D81" s="44">
        <v>1</v>
      </c>
      <c r="E81" s="43">
        <v>3.1746031746031746E-3</v>
      </c>
    </row>
    <row r="82" spans="2:5" ht="15" customHeight="1" x14ac:dyDescent="0.25">
      <c r="B82" s="82"/>
      <c r="C82" s="42" t="s">
        <v>20</v>
      </c>
      <c r="D82" s="41">
        <v>6</v>
      </c>
      <c r="E82" s="40">
        <v>1.9047619047619049E-2</v>
      </c>
    </row>
    <row r="83" spans="2:5" ht="15" customHeight="1" x14ac:dyDescent="0.25">
      <c r="B83" s="80" t="s">
        <v>24</v>
      </c>
      <c r="C83" s="45" t="s">
        <v>94</v>
      </c>
      <c r="D83" s="44">
        <v>1</v>
      </c>
      <c r="E83" s="43">
        <v>3.1746031746031746E-3</v>
      </c>
    </row>
    <row r="84" spans="2:5" ht="15" customHeight="1" x14ac:dyDescent="0.25">
      <c r="B84" s="81"/>
      <c r="C84" s="45" t="s">
        <v>92</v>
      </c>
      <c r="D84" s="44">
        <v>1</v>
      </c>
      <c r="E84" s="43">
        <v>3.1746031746031746E-3</v>
      </c>
    </row>
    <row r="85" spans="2:5" ht="15" customHeight="1" x14ac:dyDescent="0.25">
      <c r="B85" s="82"/>
      <c r="C85" s="42" t="s">
        <v>20</v>
      </c>
      <c r="D85" s="41">
        <v>2</v>
      </c>
      <c r="E85" s="40">
        <v>6.3492063492063492E-3</v>
      </c>
    </row>
    <row r="86" spans="2:5" ht="15" customHeight="1" x14ac:dyDescent="0.25">
      <c r="B86" s="80" t="s">
        <v>33</v>
      </c>
      <c r="C86" s="45" t="s">
        <v>93</v>
      </c>
      <c r="D86" s="44">
        <v>1</v>
      </c>
      <c r="E86" s="43">
        <v>3.1746031746031746E-3</v>
      </c>
    </row>
    <row r="87" spans="2:5" ht="15" customHeight="1" x14ac:dyDescent="0.25">
      <c r="B87" s="81"/>
      <c r="C87" s="45" t="s">
        <v>94</v>
      </c>
      <c r="D87" s="44">
        <v>1</v>
      </c>
      <c r="E87" s="43">
        <v>3.1746031746031746E-3</v>
      </c>
    </row>
    <row r="88" spans="2:5" ht="15" customHeight="1" x14ac:dyDescent="0.25">
      <c r="B88" s="81"/>
      <c r="C88" s="45" t="s">
        <v>91</v>
      </c>
      <c r="D88" s="44">
        <v>1</v>
      </c>
      <c r="E88" s="43">
        <v>3.1746031746031746E-3</v>
      </c>
    </row>
    <row r="89" spans="2:5" ht="15" customHeight="1" x14ac:dyDescent="0.25">
      <c r="B89" s="81"/>
      <c r="C89" s="45" t="s">
        <v>92</v>
      </c>
      <c r="D89" s="44">
        <v>4</v>
      </c>
      <c r="E89" s="43">
        <v>1.2698412698412698E-2</v>
      </c>
    </row>
    <row r="90" spans="2:5" ht="15" customHeight="1" x14ac:dyDescent="0.25">
      <c r="B90" s="82"/>
      <c r="C90" s="42" t="s">
        <v>20</v>
      </c>
      <c r="D90" s="41">
        <v>7</v>
      </c>
      <c r="E90" s="40">
        <v>2.2222222222222223E-2</v>
      </c>
    </row>
    <row r="91" spans="2:5" ht="15" customHeight="1" x14ac:dyDescent="0.25">
      <c r="B91" s="80" t="s">
        <v>27</v>
      </c>
      <c r="C91" s="45" t="s">
        <v>93</v>
      </c>
      <c r="D91" s="44">
        <v>2</v>
      </c>
      <c r="E91" s="43">
        <v>6.3492063492063492E-3</v>
      </c>
    </row>
    <row r="92" spans="2:5" ht="15" customHeight="1" x14ac:dyDescent="0.25">
      <c r="B92" s="81"/>
      <c r="C92" s="45" t="s">
        <v>94</v>
      </c>
      <c r="D92" s="44">
        <v>3</v>
      </c>
      <c r="E92" s="43">
        <v>9.5238095238095247E-3</v>
      </c>
    </row>
    <row r="93" spans="2:5" ht="15" customHeight="1" x14ac:dyDescent="0.25">
      <c r="B93" s="81"/>
      <c r="C93" s="45" t="s">
        <v>91</v>
      </c>
      <c r="D93" s="44">
        <v>1</v>
      </c>
      <c r="E93" s="43">
        <v>3.1746031746031746E-3</v>
      </c>
    </row>
    <row r="94" spans="2:5" ht="15" customHeight="1" x14ac:dyDescent="0.25">
      <c r="B94" s="82"/>
      <c r="C94" s="42" t="s">
        <v>20</v>
      </c>
      <c r="D94" s="41">
        <v>6</v>
      </c>
      <c r="E94" s="40">
        <v>1.9047619047619049E-2</v>
      </c>
    </row>
    <row r="95" spans="2:5" ht="15" customHeight="1" x14ac:dyDescent="0.25">
      <c r="B95" s="80" t="s">
        <v>44</v>
      </c>
      <c r="C95" s="45" t="s">
        <v>93</v>
      </c>
      <c r="D95" s="44">
        <v>12</v>
      </c>
      <c r="E95" s="43">
        <v>3.8095238095238099E-2</v>
      </c>
    </row>
    <row r="96" spans="2:5" ht="15" customHeight="1" x14ac:dyDescent="0.25">
      <c r="B96" s="81"/>
      <c r="C96" s="45" t="s">
        <v>94</v>
      </c>
      <c r="D96" s="44">
        <v>13</v>
      </c>
      <c r="E96" s="43">
        <v>4.1269841269841269E-2</v>
      </c>
    </row>
    <row r="97" spans="2:5" ht="15" customHeight="1" x14ac:dyDescent="0.25">
      <c r="B97" s="81"/>
      <c r="C97" s="45" t="s">
        <v>91</v>
      </c>
      <c r="D97" s="44">
        <v>4</v>
      </c>
      <c r="E97" s="43">
        <v>1.2698412698412698E-2</v>
      </c>
    </row>
    <row r="98" spans="2:5" ht="15" customHeight="1" x14ac:dyDescent="0.25">
      <c r="B98" s="81"/>
      <c r="C98" s="45" t="s">
        <v>92</v>
      </c>
      <c r="D98" s="44">
        <v>2</v>
      </c>
      <c r="E98" s="43">
        <v>6.3492063492063492E-3</v>
      </c>
    </row>
    <row r="99" spans="2:5" ht="15" customHeight="1" x14ac:dyDescent="0.25">
      <c r="B99" s="82"/>
      <c r="C99" s="42" t="s">
        <v>20</v>
      </c>
      <c r="D99" s="41">
        <v>31</v>
      </c>
      <c r="E99" s="40">
        <v>9.841269841269841E-2</v>
      </c>
    </row>
    <row r="100" spans="2:5" ht="15" customHeight="1" x14ac:dyDescent="0.25">
      <c r="B100" s="80" t="s">
        <v>37</v>
      </c>
      <c r="C100" s="45" t="s">
        <v>93</v>
      </c>
      <c r="D100" s="44">
        <v>1</v>
      </c>
      <c r="E100" s="43">
        <v>3.1746031746031746E-3</v>
      </c>
    </row>
    <row r="101" spans="2:5" ht="15" customHeight="1" x14ac:dyDescent="0.25">
      <c r="B101" s="81"/>
      <c r="C101" s="45" t="s">
        <v>94</v>
      </c>
      <c r="D101" s="44">
        <v>4</v>
      </c>
      <c r="E101" s="43">
        <v>1.2698412698412698E-2</v>
      </c>
    </row>
    <row r="102" spans="2:5" ht="15" customHeight="1" x14ac:dyDescent="0.25">
      <c r="B102" s="81"/>
      <c r="C102" s="45" t="s">
        <v>91</v>
      </c>
      <c r="D102" s="44">
        <v>2</v>
      </c>
      <c r="E102" s="43">
        <v>6.3492063492063492E-3</v>
      </c>
    </row>
    <row r="103" spans="2:5" ht="15" customHeight="1" x14ac:dyDescent="0.25">
      <c r="B103" s="81"/>
      <c r="C103" s="45" t="s">
        <v>92</v>
      </c>
      <c r="D103" s="44">
        <v>4</v>
      </c>
      <c r="E103" s="43">
        <v>1.2698412698412698E-2</v>
      </c>
    </row>
    <row r="104" spans="2:5" ht="15" customHeight="1" x14ac:dyDescent="0.25">
      <c r="B104" s="82"/>
      <c r="C104" s="42" t="s">
        <v>20</v>
      </c>
      <c r="D104" s="41">
        <v>11</v>
      </c>
      <c r="E104" s="40">
        <v>3.4920634920634921E-2</v>
      </c>
    </row>
    <row r="105" spans="2:5" ht="15" customHeight="1" x14ac:dyDescent="0.25">
      <c r="B105" s="80" t="s">
        <v>34</v>
      </c>
      <c r="C105" s="45" t="s">
        <v>92</v>
      </c>
      <c r="D105" s="44">
        <v>1</v>
      </c>
      <c r="E105" s="43">
        <v>3.1746031746031746E-3</v>
      </c>
    </row>
    <row r="106" spans="2:5" ht="15" customHeight="1" x14ac:dyDescent="0.25">
      <c r="B106" s="82"/>
      <c r="C106" s="42" t="s">
        <v>20</v>
      </c>
      <c r="D106" s="41">
        <v>1</v>
      </c>
      <c r="E106" s="40">
        <v>3.1746031746031746E-3</v>
      </c>
    </row>
    <row r="107" spans="2:5" ht="15" customHeight="1" x14ac:dyDescent="0.25">
      <c r="B107" s="80" t="s">
        <v>21</v>
      </c>
      <c r="C107" s="45" t="s">
        <v>93</v>
      </c>
      <c r="D107" s="44">
        <v>1</v>
      </c>
      <c r="E107" s="43">
        <v>3.1746031746031746E-3</v>
      </c>
    </row>
    <row r="108" spans="2:5" ht="15" customHeight="1" x14ac:dyDescent="0.25">
      <c r="B108" s="81"/>
      <c r="C108" s="45" t="s">
        <v>91</v>
      </c>
      <c r="D108" s="44">
        <v>1</v>
      </c>
      <c r="E108" s="43">
        <v>3.1746031746031746E-3</v>
      </c>
    </row>
    <row r="109" spans="2:5" ht="15" customHeight="1" x14ac:dyDescent="0.25">
      <c r="B109" s="82"/>
      <c r="C109" s="42" t="s">
        <v>20</v>
      </c>
      <c r="D109" s="41">
        <v>2</v>
      </c>
      <c r="E109" s="40">
        <v>6.3492063492063492E-3</v>
      </c>
    </row>
    <row r="110" spans="2:5" ht="15" customHeight="1" x14ac:dyDescent="0.25">
      <c r="B110" s="80" t="s">
        <v>160</v>
      </c>
      <c r="C110" s="45" t="s">
        <v>93</v>
      </c>
      <c r="D110" s="44">
        <v>1</v>
      </c>
      <c r="E110" s="43">
        <v>3.1746031746031746E-3</v>
      </c>
    </row>
    <row r="111" spans="2:5" ht="15" customHeight="1" x14ac:dyDescent="0.25">
      <c r="B111" s="82"/>
      <c r="C111" s="42" t="s">
        <v>20</v>
      </c>
      <c r="D111" s="41">
        <v>1</v>
      </c>
      <c r="E111" s="40">
        <v>3.1746031746031746E-3</v>
      </c>
    </row>
    <row r="112" spans="2:5" ht="15" customHeight="1" x14ac:dyDescent="0.25">
      <c r="B112" s="84" t="s">
        <v>20</v>
      </c>
      <c r="C112" s="85"/>
      <c r="D112" s="39">
        <v>315</v>
      </c>
      <c r="E112" s="38">
        <v>1</v>
      </c>
    </row>
    <row r="114" spans="2:2" ht="15" customHeight="1" x14ac:dyDescent="0.25">
      <c r="B114" s="19" t="s">
        <v>161</v>
      </c>
    </row>
    <row r="115" spans="2:2" ht="15" customHeight="1" x14ac:dyDescent="0.25">
      <c r="B115" s="21" t="s">
        <v>19</v>
      </c>
    </row>
    <row r="116" spans="2:2" ht="15" customHeight="1" x14ac:dyDescent="0.25">
      <c r="B116" s="20" t="s">
        <v>18</v>
      </c>
    </row>
    <row r="117" spans="2:2" ht="15" customHeight="1" x14ac:dyDescent="0.25">
      <c r="B117" s="19" t="s">
        <v>17</v>
      </c>
    </row>
    <row r="118" spans="2:2" ht="15" customHeight="1" x14ac:dyDescent="0.25">
      <c r="B118" s="19" t="s">
        <v>162</v>
      </c>
    </row>
  </sheetData>
  <mergeCells count="34">
    <mergeCell ref="B55:B56"/>
    <mergeCell ref="B57:B58"/>
    <mergeCell ref="B59:B62"/>
    <mergeCell ref="B63:B64"/>
    <mergeCell ref="B65:B67"/>
    <mergeCell ref="B36:B39"/>
    <mergeCell ref="B40:B43"/>
    <mergeCell ref="B44:B45"/>
    <mergeCell ref="B50:B51"/>
    <mergeCell ref="B52:B54"/>
    <mergeCell ref="B16:B20"/>
    <mergeCell ref="B21:B24"/>
    <mergeCell ref="B25:B29"/>
    <mergeCell ref="B30:B33"/>
    <mergeCell ref="B34:B35"/>
    <mergeCell ref="B100:B104"/>
    <mergeCell ref="B68:B69"/>
    <mergeCell ref="B70:B73"/>
    <mergeCell ref="B74:B75"/>
    <mergeCell ref="B76:B78"/>
    <mergeCell ref="B79:B82"/>
    <mergeCell ref="B83:B85"/>
    <mergeCell ref="B86:B90"/>
    <mergeCell ref="B91:B94"/>
    <mergeCell ref="B95:B99"/>
    <mergeCell ref="B105:B106"/>
    <mergeCell ref="B107:B109"/>
    <mergeCell ref="B110:B111"/>
    <mergeCell ref="B112:C112"/>
    <mergeCell ref="B7:E8"/>
    <mergeCell ref="B10:B11"/>
    <mergeCell ref="B12:B15"/>
    <mergeCell ref="B46:B47"/>
    <mergeCell ref="B48:B4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64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160"/>
  <sheetViews>
    <sheetView zoomScale="80" zoomScaleNormal="80" zoomScaleSheetLayoutView="85" workbookViewId="0">
      <selection activeCell="C1" sqref="C1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83"/>
      <c r="C7" s="83"/>
      <c r="D7" s="83"/>
      <c r="E7" s="83"/>
    </row>
    <row r="8" spans="1:5" s="50" customFormat="1" ht="33" customHeight="1" x14ac:dyDescent="0.3">
      <c r="A8" s="51"/>
      <c r="B8" s="83"/>
      <c r="C8" s="83"/>
      <c r="D8" s="83"/>
      <c r="E8" s="83"/>
    </row>
    <row r="9" spans="1:5" s="29" customFormat="1" ht="40.5" customHeight="1" x14ac:dyDescent="0.2">
      <c r="B9" s="47" t="s">
        <v>90</v>
      </c>
      <c r="C9" s="49" t="s">
        <v>96</v>
      </c>
      <c r="D9" s="48" t="s">
        <v>47</v>
      </c>
      <c r="E9" s="47" t="s">
        <v>46</v>
      </c>
    </row>
    <row r="10" spans="1:5" ht="15" customHeight="1" x14ac:dyDescent="0.25">
      <c r="B10" s="80" t="s">
        <v>54</v>
      </c>
      <c r="C10" s="45" t="s">
        <v>93</v>
      </c>
      <c r="D10" s="44">
        <v>5</v>
      </c>
      <c r="E10" s="43">
        <v>1.5873015873015872E-2</v>
      </c>
    </row>
    <row r="11" spans="1:5" ht="15" customHeight="1" x14ac:dyDescent="0.25">
      <c r="B11" s="81"/>
      <c r="C11" s="45" t="s">
        <v>94</v>
      </c>
      <c r="D11" s="44">
        <v>1</v>
      </c>
      <c r="E11" s="43">
        <v>3.1746031746031746E-3</v>
      </c>
    </row>
    <row r="12" spans="1:5" ht="15" customHeight="1" x14ac:dyDescent="0.25">
      <c r="B12" s="82"/>
      <c r="C12" s="42" t="s">
        <v>20</v>
      </c>
      <c r="D12" s="41">
        <v>6</v>
      </c>
      <c r="E12" s="40">
        <v>1.9047619047619049E-2</v>
      </c>
    </row>
    <row r="13" spans="1:5" ht="15" customHeight="1" x14ac:dyDescent="0.25">
      <c r="B13" s="80" t="s">
        <v>85</v>
      </c>
      <c r="C13" s="45" t="s">
        <v>93</v>
      </c>
      <c r="D13" s="44">
        <v>1</v>
      </c>
      <c r="E13" s="43">
        <v>3.1746031746031746E-3</v>
      </c>
    </row>
    <row r="14" spans="1:5" ht="15" customHeight="1" x14ac:dyDescent="0.25">
      <c r="B14" s="81"/>
      <c r="C14" s="45" t="s">
        <v>94</v>
      </c>
      <c r="D14" s="44">
        <v>4</v>
      </c>
      <c r="E14" s="43">
        <v>1.2698412698412698E-2</v>
      </c>
    </row>
    <row r="15" spans="1:5" ht="15" customHeight="1" x14ac:dyDescent="0.25">
      <c r="B15" s="81"/>
      <c r="C15" s="45" t="s">
        <v>91</v>
      </c>
      <c r="D15" s="44">
        <v>1</v>
      </c>
      <c r="E15" s="43">
        <v>3.1746031746031746E-3</v>
      </c>
    </row>
    <row r="16" spans="1:5" ht="15" customHeight="1" x14ac:dyDescent="0.25">
      <c r="B16" s="81"/>
      <c r="C16" s="45" t="s">
        <v>92</v>
      </c>
      <c r="D16" s="44">
        <v>4</v>
      </c>
      <c r="E16" s="43">
        <v>1.2698412698412698E-2</v>
      </c>
    </row>
    <row r="17" spans="2:5" ht="15" customHeight="1" x14ac:dyDescent="0.25">
      <c r="B17" s="82"/>
      <c r="C17" s="42" t="s">
        <v>20</v>
      </c>
      <c r="D17" s="41">
        <v>10</v>
      </c>
      <c r="E17" s="40">
        <v>3.1746031746031744E-2</v>
      </c>
    </row>
    <row r="18" spans="2:5" ht="15" customHeight="1" x14ac:dyDescent="0.25">
      <c r="B18" s="80" t="s">
        <v>75</v>
      </c>
      <c r="C18" s="45" t="s">
        <v>93</v>
      </c>
      <c r="D18" s="44">
        <v>2</v>
      </c>
      <c r="E18" s="43">
        <v>6.3492063492063492E-3</v>
      </c>
    </row>
    <row r="19" spans="2:5" ht="15" customHeight="1" x14ac:dyDescent="0.25">
      <c r="B19" s="81"/>
      <c r="C19" s="45" t="s">
        <v>91</v>
      </c>
      <c r="D19" s="44">
        <v>1</v>
      </c>
      <c r="E19" s="43">
        <v>3.1746031746031746E-3</v>
      </c>
    </row>
    <row r="20" spans="2:5" ht="15" customHeight="1" x14ac:dyDescent="0.25">
      <c r="B20" s="82"/>
      <c r="C20" s="42" t="s">
        <v>20</v>
      </c>
      <c r="D20" s="41">
        <v>3</v>
      </c>
      <c r="E20" s="40">
        <v>9.5238095238095247E-3</v>
      </c>
    </row>
    <row r="21" spans="2:5" ht="15" customHeight="1" x14ac:dyDescent="0.25">
      <c r="B21" s="80" t="s">
        <v>53</v>
      </c>
      <c r="C21" s="45" t="s">
        <v>93</v>
      </c>
      <c r="D21" s="44">
        <v>1</v>
      </c>
      <c r="E21" s="43">
        <v>3.1746031746031746E-3</v>
      </c>
    </row>
    <row r="22" spans="2:5" ht="15" customHeight="1" x14ac:dyDescent="0.25">
      <c r="B22" s="81"/>
      <c r="C22" s="45" t="s">
        <v>94</v>
      </c>
      <c r="D22" s="44">
        <v>2</v>
      </c>
      <c r="E22" s="43">
        <v>6.3492063492063492E-3</v>
      </c>
    </row>
    <row r="23" spans="2:5" ht="15" customHeight="1" x14ac:dyDescent="0.25">
      <c r="B23" s="82"/>
      <c r="C23" s="42" t="s">
        <v>20</v>
      </c>
      <c r="D23" s="41">
        <v>3</v>
      </c>
      <c r="E23" s="40">
        <v>9.5238095238095247E-3</v>
      </c>
    </row>
    <row r="24" spans="2:5" ht="15" customHeight="1" x14ac:dyDescent="0.25">
      <c r="B24" s="80" t="s">
        <v>50</v>
      </c>
      <c r="C24" s="45" t="s">
        <v>93</v>
      </c>
      <c r="D24" s="44">
        <v>1</v>
      </c>
      <c r="E24" s="43">
        <v>3.1746031746031746E-3</v>
      </c>
    </row>
    <row r="25" spans="2:5" ht="15" customHeight="1" x14ac:dyDescent="0.25">
      <c r="B25" s="82"/>
      <c r="C25" s="42" t="s">
        <v>20</v>
      </c>
      <c r="D25" s="41">
        <v>1</v>
      </c>
      <c r="E25" s="40">
        <v>3.1746031746031746E-3</v>
      </c>
    </row>
    <row r="26" spans="2:5" ht="15" customHeight="1" x14ac:dyDescent="0.25">
      <c r="B26" s="80" t="s">
        <v>88</v>
      </c>
      <c r="C26" s="45" t="s">
        <v>93</v>
      </c>
      <c r="D26" s="44">
        <v>4</v>
      </c>
      <c r="E26" s="43">
        <v>1.2698412698412698E-2</v>
      </c>
    </row>
    <row r="27" spans="2:5" ht="15" customHeight="1" x14ac:dyDescent="0.25">
      <c r="B27" s="81"/>
      <c r="C27" s="45" t="s">
        <v>94</v>
      </c>
      <c r="D27" s="44">
        <v>6</v>
      </c>
      <c r="E27" s="43">
        <v>1.9047619047619049E-2</v>
      </c>
    </row>
    <row r="28" spans="2:5" ht="15" customHeight="1" x14ac:dyDescent="0.25">
      <c r="B28" s="81"/>
      <c r="C28" s="45" t="s">
        <v>91</v>
      </c>
      <c r="D28" s="44">
        <v>3</v>
      </c>
      <c r="E28" s="43">
        <v>9.5238095238095247E-3</v>
      </c>
    </row>
    <row r="29" spans="2:5" ht="15" customHeight="1" x14ac:dyDescent="0.25">
      <c r="B29" s="81"/>
      <c r="C29" s="45" t="s">
        <v>92</v>
      </c>
      <c r="D29" s="44">
        <v>1</v>
      </c>
      <c r="E29" s="43">
        <v>3.1746031746031746E-3</v>
      </c>
    </row>
    <row r="30" spans="2:5" ht="15" customHeight="1" x14ac:dyDescent="0.25">
      <c r="B30" s="82"/>
      <c r="C30" s="42" t="s">
        <v>20</v>
      </c>
      <c r="D30" s="41">
        <v>14</v>
      </c>
      <c r="E30" s="40">
        <v>4.4444444444444446E-2</v>
      </c>
    </row>
    <row r="31" spans="2:5" ht="15" customHeight="1" x14ac:dyDescent="0.25">
      <c r="B31" s="80" t="s">
        <v>86</v>
      </c>
      <c r="C31" s="45" t="s">
        <v>93</v>
      </c>
      <c r="D31" s="44">
        <v>5</v>
      </c>
      <c r="E31" s="43">
        <v>1.5873015873015872E-2</v>
      </c>
    </row>
    <row r="32" spans="2:5" ht="15" customHeight="1" x14ac:dyDescent="0.25">
      <c r="B32" s="81"/>
      <c r="C32" s="45" t="s">
        <v>94</v>
      </c>
      <c r="D32" s="44">
        <v>9</v>
      </c>
      <c r="E32" s="43">
        <v>2.8571428571428571E-2</v>
      </c>
    </row>
    <row r="33" spans="2:5" ht="15" customHeight="1" x14ac:dyDescent="0.25">
      <c r="B33" s="81"/>
      <c r="C33" s="45" t="s">
        <v>91</v>
      </c>
      <c r="D33" s="44">
        <v>3</v>
      </c>
      <c r="E33" s="43">
        <v>9.5238095238095247E-3</v>
      </c>
    </row>
    <row r="34" spans="2:5" ht="15" customHeight="1" x14ac:dyDescent="0.25">
      <c r="B34" s="81"/>
      <c r="C34" s="45" t="s">
        <v>92</v>
      </c>
      <c r="D34" s="44">
        <v>2</v>
      </c>
      <c r="E34" s="43">
        <v>6.3492063492063492E-3</v>
      </c>
    </row>
    <row r="35" spans="2:5" ht="15" customHeight="1" x14ac:dyDescent="0.25">
      <c r="B35" s="82"/>
      <c r="C35" s="42" t="s">
        <v>20</v>
      </c>
      <c r="D35" s="41">
        <v>19</v>
      </c>
      <c r="E35" s="40">
        <v>6.0317460317460318E-2</v>
      </c>
    </row>
    <row r="36" spans="2:5" ht="15" customHeight="1" x14ac:dyDescent="0.25">
      <c r="B36" s="80" t="s">
        <v>70</v>
      </c>
      <c r="C36" s="45" t="s">
        <v>93</v>
      </c>
      <c r="D36" s="44">
        <v>1</v>
      </c>
      <c r="E36" s="43">
        <v>3.1746031746031746E-3</v>
      </c>
    </row>
    <row r="37" spans="2:5" ht="15" customHeight="1" x14ac:dyDescent="0.25">
      <c r="B37" s="81"/>
      <c r="C37" s="45" t="s">
        <v>94</v>
      </c>
      <c r="D37" s="44">
        <v>3</v>
      </c>
      <c r="E37" s="43">
        <v>9.5238095238095247E-3</v>
      </c>
    </row>
    <row r="38" spans="2:5" ht="15" customHeight="1" x14ac:dyDescent="0.25">
      <c r="B38" s="81"/>
      <c r="C38" s="45" t="s">
        <v>91</v>
      </c>
      <c r="D38" s="44">
        <v>1</v>
      </c>
      <c r="E38" s="43">
        <v>3.1746031746031746E-3</v>
      </c>
    </row>
    <row r="39" spans="2:5" ht="15" customHeight="1" x14ac:dyDescent="0.25">
      <c r="B39" s="82"/>
      <c r="C39" s="42" t="s">
        <v>20</v>
      </c>
      <c r="D39" s="41">
        <v>5</v>
      </c>
      <c r="E39" s="40">
        <v>1.5873015873015872E-2</v>
      </c>
    </row>
    <row r="40" spans="2:5" ht="15" customHeight="1" x14ac:dyDescent="0.25">
      <c r="B40" s="80" t="s">
        <v>57</v>
      </c>
      <c r="C40" s="45" t="s">
        <v>94</v>
      </c>
      <c r="D40" s="44">
        <v>1</v>
      </c>
      <c r="E40" s="43">
        <v>3.1746031746031746E-3</v>
      </c>
    </row>
    <row r="41" spans="2:5" ht="15" customHeight="1" x14ac:dyDescent="0.25">
      <c r="B41" s="82"/>
      <c r="C41" s="42" t="s">
        <v>20</v>
      </c>
      <c r="D41" s="41">
        <v>1</v>
      </c>
      <c r="E41" s="40">
        <v>3.1746031746031746E-3</v>
      </c>
    </row>
    <row r="42" spans="2:5" ht="15" customHeight="1" x14ac:dyDescent="0.25">
      <c r="B42" s="80" t="s">
        <v>55</v>
      </c>
      <c r="C42" s="45" t="s">
        <v>93</v>
      </c>
      <c r="D42" s="44">
        <v>1</v>
      </c>
      <c r="E42" s="43">
        <v>3.1746031746031746E-3</v>
      </c>
    </row>
    <row r="43" spans="2:5" ht="15" customHeight="1" x14ac:dyDescent="0.25">
      <c r="B43" s="82"/>
      <c r="C43" s="42" t="s">
        <v>20</v>
      </c>
      <c r="D43" s="41">
        <v>1</v>
      </c>
      <c r="E43" s="40">
        <v>3.1746031746031746E-3</v>
      </c>
    </row>
    <row r="44" spans="2:5" ht="15" customHeight="1" x14ac:dyDescent="0.25">
      <c r="B44" s="80" t="s">
        <v>67</v>
      </c>
      <c r="C44" s="45" t="s">
        <v>94</v>
      </c>
      <c r="D44" s="44">
        <v>1</v>
      </c>
      <c r="E44" s="43">
        <v>3.1746031746031746E-3</v>
      </c>
    </row>
    <row r="45" spans="2:5" ht="15" customHeight="1" x14ac:dyDescent="0.25">
      <c r="B45" s="81"/>
      <c r="C45" s="45" t="s">
        <v>92</v>
      </c>
      <c r="D45" s="44">
        <v>1</v>
      </c>
      <c r="E45" s="43">
        <v>3.1746031746031746E-3</v>
      </c>
    </row>
    <row r="46" spans="2:5" ht="15" customHeight="1" x14ac:dyDescent="0.25">
      <c r="B46" s="82"/>
      <c r="C46" s="42" t="s">
        <v>20</v>
      </c>
      <c r="D46" s="41">
        <v>2</v>
      </c>
      <c r="E46" s="40">
        <v>6.3492063492063492E-3</v>
      </c>
    </row>
    <row r="47" spans="2:5" ht="15" customHeight="1" x14ac:dyDescent="0.25">
      <c r="B47" s="80" t="s">
        <v>83</v>
      </c>
      <c r="C47" s="45" t="s">
        <v>93</v>
      </c>
      <c r="D47" s="44">
        <v>15</v>
      </c>
      <c r="E47" s="43">
        <v>4.7619047619047616E-2</v>
      </c>
    </row>
    <row r="48" spans="2:5" ht="15" customHeight="1" x14ac:dyDescent="0.25">
      <c r="B48" s="81"/>
      <c r="C48" s="45" t="s">
        <v>94</v>
      </c>
      <c r="D48" s="44">
        <v>8</v>
      </c>
      <c r="E48" s="43">
        <v>2.5396825396825397E-2</v>
      </c>
    </row>
    <row r="49" spans="2:5" ht="15" customHeight="1" x14ac:dyDescent="0.25">
      <c r="B49" s="81"/>
      <c r="C49" s="45" t="s">
        <v>91</v>
      </c>
      <c r="D49" s="44">
        <v>1</v>
      </c>
      <c r="E49" s="43">
        <v>3.1746031746031746E-3</v>
      </c>
    </row>
    <row r="50" spans="2:5" ht="15" customHeight="1" x14ac:dyDescent="0.25">
      <c r="B50" s="81"/>
      <c r="C50" s="45" t="s">
        <v>92</v>
      </c>
      <c r="D50" s="44">
        <v>8</v>
      </c>
      <c r="E50" s="43">
        <v>2.5396825396825397E-2</v>
      </c>
    </row>
    <row r="51" spans="2:5" ht="15" customHeight="1" x14ac:dyDescent="0.25">
      <c r="B51" s="82"/>
      <c r="C51" s="42" t="s">
        <v>20</v>
      </c>
      <c r="D51" s="41">
        <v>32</v>
      </c>
      <c r="E51" s="40">
        <v>0.10158730158730159</v>
      </c>
    </row>
    <row r="52" spans="2:5" ht="15" customHeight="1" x14ac:dyDescent="0.25">
      <c r="B52" s="80" t="s">
        <v>87</v>
      </c>
      <c r="C52" s="45" t="s">
        <v>93</v>
      </c>
      <c r="D52" s="44">
        <v>2</v>
      </c>
      <c r="E52" s="43">
        <v>6.3492063492063492E-3</v>
      </c>
    </row>
    <row r="53" spans="2:5" ht="15" customHeight="1" x14ac:dyDescent="0.25">
      <c r="B53" s="81"/>
      <c r="C53" s="45" t="s">
        <v>94</v>
      </c>
      <c r="D53" s="44">
        <v>1</v>
      </c>
      <c r="E53" s="43">
        <v>3.1746031746031746E-3</v>
      </c>
    </row>
    <row r="54" spans="2:5" ht="15" customHeight="1" x14ac:dyDescent="0.25">
      <c r="B54" s="82"/>
      <c r="C54" s="42" t="s">
        <v>20</v>
      </c>
      <c r="D54" s="41">
        <v>3</v>
      </c>
      <c r="E54" s="40">
        <v>9.5238095238095247E-3</v>
      </c>
    </row>
    <row r="55" spans="2:5" ht="15" customHeight="1" x14ac:dyDescent="0.25">
      <c r="B55" s="80" t="s">
        <v>71</v>
      </c>
      <c r="C55" s="45" t="s">
        <v>93</v>
      </c>
      <c r="D55" s="44">
        <v>1</v>
      </c>
      <c r="E55" s="43">
        <v>3.1746031746031746E-3</v>
      </c>
    </row>
    <row r="56" spans="2:5" ht="15" customHeight="1" x14ac:dyDescent="0.25">
      <c r="B56" s="81"/>
      <c r="C56" s="45" t="s">
        <v>94</v>
      </c>
      <c r="D56" s="44">
        <v>2</v>
      </c>
      <c r="E56" s="43">
        <v>6.3492063492063492E-3</v>
      </c>
    </row>
    <row r="57" spans="2:5" ht="15" customHeight="1" x14ac:dyDescent="0.25">
      <c r="B57" s="82"/>
      <c r="C57" s="42" t="s">
        <v>20</v>
      </c>
      <c r="D57" s="41">
        <v>3</v>
      </c>
      <c r="E57" s="40">
        <v>9.5238095238095247E-3</v>
      </c>
    </row>
    <row r="58" spans="2:5" ht="15" customHeight="1" x14ac:dyDescent="0.25">
      <c r="B58" s="80" t="s">
        <v>73</v>
      </c>
      <c r="C58" s="45" t="s">
        <v>93</v>
      </c>
      <c r="D58" s="44">
        <v>4</v>
      </c>
      <c r="E58" s="43">
        <v>1.2698412698412698E-2</v>
      </c>
    </row>
    <row r="59" spans="2:5" ht="15" customHeight="1" x14ac:dyDescent="0.25">
      <c r="B59" s="81"/>
      <c r="C59" s="45" t="s">
        <v>94</v>
      </c>
      <c r="D59" s="44">
        <v>6</v>
      </c>
      <c r="E59" s="43">
        <v>1.9047619047619049E-2</v>
      </c>
    </row>
    <row r="60" spans="2:5" ht="15" customHeight="1" x14ac:dyDescent="0.25">
      <c r="B60" s="81"/>
      <c r="C60" s="45" t="s">
        <v>91</v>
      </c>
      <c r="D60" s="44">
        <v>1</v>
      </c>
      <c r="E60" s="43">
        <v>3.1746031746031746E-3</v>
      </c>
    </row>
    <row r="61" spans="2:5" ht="15" customHeight="1" x14ac:dyDescent="0.25">
      <c r="B61" s="82"/>
      <c r="C61" s="42" t="s">
        <v>20</v>
      </c>
      <c r="D61" s="41">
        <v>11</v>
      </c>
      <c r="E61" s="40">
        <v>3.4920634920634921E-2</v>
      </c>
    </row>
    <row r="62" spans="2:5" ht="15" customHeight="1" x14ac:dyDescent="0.25">
      <c r="B62" s="80" t="s">
        <v>77</v>
      </c>
      <c r="C62" s="45" t="s">
        <v>93</v>
      </c>
      <c r="D62" s="44">
        <v>1</v>
      </c>
      <c r="E62" s="43">
        <v>3.1746031746031746E-3</v>
      </c>
    </row>
    <row r="63" spans="2:5" ht="15" customHeight="1" x14ac:dyDescent="0.25">
      <c r="B63" s="81"/>
      <c r="C63" s="45" t="s">
        <v>94</v>
      </c>
      <c r="D63" s="44">
        <v>2</v>
      </c>
      <c r="E63" s="43">
        <v>6.3492063492063492E-3</v>
      </c>
    </row>
    <row r="64" spans="2:5" ht="15" customHeight="1" x14ac:dyDescent="0.25">
      <c r="B64" s="81"/>
      <c r="C64" s="45" t="s">
        <v>91</v>
      </c>
      <c r="D64" s="44">
        <v>2</v>
      </c>
      <c r="E64" s="43">
        <v>6.3492063492063492E-3</v>
      </c>
    </row>
    <row r="65" spans="2:5" ht="15" customHeight="1" x14ac:dyDescent="0.25">
      <c r="B65" s="82"/>
      <c r="C65" s="42" t="s">
        <v>20</v>
      </c>
      <c r="D65" s="41">
        <v>5</v>
      </c>
      <c r="E65" s="40">
        <v>1.5873015873015872E-2</v>
      </c>
    </row>
    <row r="66" spans="2:5" ht="15" customHeight="1" x14ac:dyDescent="0.25">
      <c r="B66" s="80" t="s">
        <v>89</v>
      </c>
      <c r="C66" s="45" t="s">
        <v>93</v>
      </c>
      <c r="D66" s="44">
        <v>10</v>
      </c>
      <c r="E66" s="43">
        <v>3.1746031746031744E-2</v>
      </c>
    </row>
    <row r="67" spans="2:5" ht="15" customHeight="1" x14ac:dyDescent="0.25">
      <c r="B67" s="81"/>
      <c r="C67" s="45" t="s">
        <v>94</v>
      </c>
      <c r="D67" s="44">
        <v>19</v>
      </c>
      <c r="E67" s="43">
        <v>6.0317460317460318E-2</v>
      </c>
    </row>
    <row r="68" spans="2:5" ht="15" customHeight="1" x14ac:dyDescent="0.25">
      <c r="B68" s="81"/>
      <c r="C68" s="45" t="s">
        <v>91</v>
      </c>
      <c r="D68" s="44">
        <v>2</v>
      </c>
      <c r="E68" s="43">
        <v>6.3492063492063492E-3</v>
      </c>
    </row>
    <row r="69" spans="2:5" ht="15" customHeight="1" x14ac:dyDescent="0.25">
      <c r="B69" s="81"/>
      <c r="C69" s="45" t="s">
        <v>92</v>
      </c>
      <c r="D69" s="44">
        <v>6</v>
      </c>
      <c r="E69" s="43">
        <v>1.9047619047619049E-2</v>
      </c>
    </row>
    <row r="70" spans="2:5" ht="15" customHeight="1" x14ac:dyDescent="0.25">
      <c r="B70" s="82"/>
      <c r="C70" s="42" t="s">
        <v>20</v>
      </c>
      <c r="D70" s="41">
        <v>37</v>
      </c>
      <c r="E70" s="40">
        <v>0.11746031746031746</v>
      </c>
    </row>
    <row r="71" spans="2:5" ht="15" customHeight="1" x14ac:dyDescent="0.25">
      <c r="B71" s="80" t="s">
        <v>68</v>
      </c>
      <c r="C71" s="45" t="s">
        <v>93</v>
      </c>
      <c r="D71" s="44">
        <v>2</v>
      </c>
      <c r="E71" s="43">
        <v>6.3492063492063492E-3</v>
      </c>
    </row>
    <row r="72" spans="2:5" ht="15" customHeight="1" x14ac:dyDescent="0.25">
      <c r="B72" s="81"/>
      <c r="C72" s="45" t="s">
        <v>94</v>
      </c>
      <c r="D72" s="44">
        <v>1</v>
      </c>
      <c r="E72" s="43">
        <v>3.1746031746031746E-3</v>
      </c>
    </row>
    <row r="73" spans="2:5" ht="15" customHeight="1" x14ac:dyDescent="0.25">
      <c r="B73" s="82"/>
      <c r="C73" s="42" t="s">
        <v>20</v>
      </c>
      <c r="D73" s="41">
        <v>3</v>
      </c>
      <c r="E73" s="40">
        <v>9.5238095238095247E-3</v>
      </c>
    </row>
    <row r="74" spans="2:5" ht="15" customHeight="1" x14ac:dyDescent="0.25">
      <c r="B74" s="80" t="s">
        <v>64</v>
      </c>
      <c r="C74" s="45" t="s">
        <v>91</v>
      </c>
      <c r="D74" s="44">
        <v>1</v>
      </c>
      <c r="E74" s="43">
        <v>3.1746031746031746E-3</v>
      </c>
    </row>
    <row r="75" spans="2:5" ht="15" customHeight="1" x14ac:dyDescent="0.25">
      <c r="B75" s="81"/>
      <c r="C75" s="45" t="s">
        <v>92</v>
      </c>
      <c r="D75" s="44">
        <v>2</v>
      </c>
      <c r="E75" s="43">
        <v>6.3492063492063492E-3</v>
      </c>
    </row>
    <row r="76" spans="2:5" ht="15" customHeight="1" x14ac:dyDescent="0.25">
      <c r="B76" s="82"/>
      <c r="C76" s="42" t="s">
        <v>20</v>
      </c>
      <c r="D76" s="41">
        <v>3</v>
      </c>
      <c r="E76" s="40">
        <v>9.5238095238095247E-3</v>
      </c>
    </row>
    <row r="77" spans="2:5" ht="15" customHeight="1" x14ac:dyDescent="0.25">
      <c r="B77" s="80" t="s">
        <v>63</v>
      </c>
      <c r="C77" s="45" t="s">
        <v>93</v>
      </c>
      <c r="D77" s="44">
        <v>1</v>
      </c>
      <c r="E77" s="43">
        <v>3.1746031746031746E-3</v>
      </c>
    </row>
    <row r="78" spans="2:5" ht="15" customHeight="1" x14ac:dyDescent="0.25">
      <c r="B78" s="81"/>
      <c r="C78" s="45" t="s">
        <v>91</v>
      </c>
      <c r="D78" s="44">
        <v>1</v>
      </c>
      <c r="E78" s="43">
        <v>3.1746031746031746E-3</v>
      </c>
    </row>
    <row r="79" spans="2:5" ht="15" customHeight="1" x14ac:dyDescent="0.25">
      <c r="B79" s="82"/>
      <c r="C79" s="42" t="s">
        <v>20</v>
      </c>
      <c r="D79" s="41">
        <v>2</v>
      </c>
      <c r="E79" s="40">
        <v>6.3492063492063492E-3</v>
      </c>
    </row>
    <row r="80" spans="2:5" ht="15" customHeight="1" x14ac:dyDescent="0.25">
      <c r="B80" s="80" t="s">
        <v>56</v>
      </c>
      <c r="C80" s="45" t="s">
        <v>94</v>
      </c>
      <c r="D80" s="44">
        <v>1</v>
      </c>
      <c r="E80" s="43">
        <v>3.1746031746031746E-3</v>
      </c>
    </row>
    <row r="81" spans="2:5" ht="15" customHeight="1" x14ac:dyDescent="0.25">
      <c r="B81" s="81"/>
      <c r="C81" s="45" t="s">
        <v>91</v>
      </c>
      <c r="D81" s="44">
        <v>1</v>
      </c>
      <c r="E81" s="43">
        <v>3.1746031746031746E-3</v>
      </c>
    </row>
    <row r="82" spans="2:5" ht="15" customHeight="1" x14ac:dyDescent="0.25">
      <c r="B82" s="82"/>
      <c r="C82" s="42" t="s">
        <v>20</v>
      </c>
      <c r="D82" s="41">
        <v>2</v>
      </c>
      <c r="E82" s="40">
        <v>6.3492063492063492E-3</v>
      </c>
    </row>
    <row r="83" spans="2:5" ht="15" customHeight="1" x14ac:dyDescent="0.25">
      <c r="B83" s="80" t="s">
        <v>84</v>
      </c>
      <c r="C83" s="45" t="s">
        <v>94</v>
      </c>
      <c r="D83" s="44">
        <v>3</v>
      </c>
      <c r="E83" s="43">
        <v>9.5238095238095247E-3</v>
      </c>
    </row>
    <row r="84" spans="2:5" ht="15" customHeight="1" x14ac:dyDescent="0.25">
      <c r="B84" s="82"/>
      <c r="C84" s="42" t="s">
        <v>20</v>
      </c>
      <c r="D84" s="41">
        <v>3</v>
      </c>
      <c r="E84" s="40">
        <v>9.5238095238095247E-3</v>
      </c>
    </row>
    <row r="85" spans="2:5" ht="15" customHeight="1" x14ac:dyDescent="0.25">
      <c r="B85" s="80" t="s">
        <v>58</v>
      </c>
      <c r="C85" s="45" t="s">
        <v>92</v>
      </c>
      <c r="D85" s="44">
        <v>1</v>
      </c>
      <c r="E85" s="43">
        <v>3.1746031746031746E-3</v>
      </c>
    </row>
    <row r="86" spans="2:5" ht="15" customHeight="1" x14ac:dyDescent="0.25">
      <c r="B86" s="82"/>
      <c r="C86" s="42" t="s">
        <v>20</v>
      </c>
      <c r="D86" s="41">
        <v>1</v>
      </c>
      <c r="E86" s="40">
        <v>3.1746031746031746E-3</v>
      </c>
    </row>
    <row r="87" spans="2:5" ht="15" customHeight="1" x14ac:dyDescent="0.25">
      <c r="B87" s="80" t="s">
        <v>76</v>
      </c>
      <c r="C87" s="45" t="s">
        <v>93</v>
      </c>
      <c r="D87" s="44">
        <v>2</v>
      </c>
      <c r="E87" s="43">
        <v>6.3492063492063492E-3</v>
      </c>
    </row>
    <row r="88" spans="2:5" ht="15" customHeight="1" x14ac:dyDescent="0.25">
      <c r="B88" s="81"/>
      <c r="C88" s="45" t="s">
        <v>94</v>
      </c>
      <c r="D88" s="44">
        <v>4</v>
      </c>
      <c r="E88" s="43">
        <v>1.2698412698412698E-2</v>
      </c>
    </row>
    <row r="89" spans="2:5" ht="15" customHeight="1" x14ac:dyDescent="0.25">
      <c r="B89" s="81"/>
      <c r="C89" s="45" t="s">
        <v>92</v>
      </c>
      <c r="D89" s="44">
        <v>2</v>
      </c>
      <c r="E89" s="43">
        <v>6.3492063492063492E-3</v>
      </c>
    </row>
    <row r="90" spans="2:5" ht="15" customHeight="1" x14ac:dyDescent="0.25">
      <c r="B90" s="82"/>
      <c r="C90" s="42" t="s">
        <v>20</v>
      </c>
      <c r="D90" s="41">
        <v>8</v>
      </c>
      <c r="E90" s="40">
        <v>2.5396825396825397E-2</v>
      </c>
    </row>
    <row r="91" spans="2:5" ht="15" customHeight="1" x14ac:dyDescent="0.25">
      <c r="B91" s="80" t="s">
        <v>72</v>
      </c>
      <c r="C91" s="45" t="s">
        <v>93</v>
      </c>
      <c r="D91" s="44">
        <v>6</v>
      </c>
      <c r="E91" s="43">
        <v>1.9047619047619049E-2</v>
      </c>
    </row>
    <row r="92" spans="2:5" ht="15" customHeight="1" x14ac:dyDescent="0.25">
      <c r="B92" s="81"/>
      <c r="C92" s="45" t="s">
        <v>94</v>
      </c>
      <c r="D92" s="44">
        <v>7</v>
      </c>
      <c r="E92" s="43">
        <v>2.2222222222222223E-2</v>
      </c>
    </row>
    <row r="93" spans="2:5" ht="15" customHeight="1" x14ac:dyDescent="0.25">
      <c r="B93" s="81"/>
      <c r="C93" s="45" t="s">
        <v>91</v>
      </c>
      <c r="D93" s="44">
        <v>1</v>
      </c>
      <c r="E93" s="43">
        <v>3.1746031746031746E-3</v>
      </c>
    </row>
    <row r="94" spans="2:5" ht="15" customHeight="1" x14ac:dyDescent="0.25">
      <c r="B94" s="81"/>
      <c r="C94" s="45" t="s">
        <v>92</v>
      </c>
      <c r="D94" s="44">
        <v>6</v>
      </c>
      <c r="E94" s="43">
        <v>1.9047619047619049E-2</v>
      </c>
    </row>
    <row r="95" spans="2:5" ht="15" customHeight="1" x14ac:dyDescent="0.25">
      <c r="B95" s="82"/>
      <c r="C95" s="42" t="s">
        <v>20</v>
      </c>
      <c r="D95" s="41">
        <v>20</v>
      </c>
      <c r="E95" s="40">
        <v>6.3492063492063489E-2</v>
      </c>
    </row>
    <row r="96" spans="2:5" ht="15" customHeight="1" x14ac:dyDescent="0.25">
      <c r="B96" s="80" t="s">
        <v>61</v>
      </c>
      <c r="C96" s="45" t="s">
        <v>93</v>
      </c>
      <c r="D96" s="44">
        <v>5</v>
      </c>
      <c r="E96" s="43">
        <v>1.5873015873015872E-2</v>
      </c>
    </row>
    <row r="97" spans="2:5" ht="15" customHeight="1" x14ac:dyDescent="0.25">
      <c r="B97" s="81"/>
      <c r="C97" s="45" t="s">
        <v>94</v>
      </c>
      <c r="D97" s="44">
        <v>1</v>
      </c>
      <c r="E97" s="43">
        <v>3.1746031746031746E-3</v>
      </c>
    </row>
    <row r="98" spans="2:5" ht="15" customHeight="1" x14ac:dyDescent="0.25">
      <c r="B98" s="81"/>
      <c r="C98" s="45" t="s">
        <v>92</v>
      </c>
      <c r="D98" s="44">
        <v>1</v>
      </c>
      <c r="E98" s="43">
        <v>3.1746031746031746E-3</v>
      </c>
    </row>
    <row r="99" spans="2:5" ht="15" customHeight="1" x14ac:dyDescent="0.25">
      <c r="B99" s="82"/>
      <c r="C99" s="42" t="s">
        <v>20</v>
      </c>
      <c r="D99" s="41">
        <v>7</v>
      </c>
      <c r="E99" s="40">
        <v>2.2222222222222223E-2</v>
      </c>
    </row>
    <row r="100" spans="2:5" ht="15" customHeight="1" x14ac:dyDescent="0.25">
      <c r="B100" s="80" t="s">
        <v>65</v>
      </c>
      <c r="C100" s="45" t="s">
        <v>93</v>
      </c>
      <c r="D100" s="44">
        <v>3</v>
      </c>
      <c r="E100" s="43">
        <v>9.5238095238095247E-3</v>
      </c>
    </row>
    <row r="101" spans="2:5" ht="15" customHeight="1" x14ac:dyDescent="0.25">
      <c r="B101" s="81"/>
      <c r="C101" s="45" t="s">
        <v>94</v>
      </c>
      <c r="D101" s="44">
        <v>2</v>
      </c>
      <c r="E101" s="43">
        <v>6.3492063492063492E-3</v>
      </c>
    </row>
    <row r="102" spans="2:5" ht="15" customHeight="1" x14ac:dyDescent="0.25">
      <c r="B102" s="81"/>
      <c r="C102" s="45" t="s">
        <v>92</v>
      </c>
      <c r="D102" s="44">
        <v>1</v>
      </c>
      <c r="E102" s="43">
        <v>3.1746031746031746E-3</v>
      </c>
    </row>
    <row r="103" spans="2:5" ht="15" customHeight="1" x14ac:dyDescent="0.25">
      <c r="B103" s="82"/>
      <c r="C103" s="42" t="s">
        <v>20</v>
      </c>
      <c r="D103" s="41">
        <v>6</v>
      </c>
      <c r="E103" s="40">
        <v>1.9047619047619049E-2</v>
      </c>
    </row>
    <row r="104" spans="2:5" ht="15" customHeight="1" x14ac:dyDescent="0.25">
      <c r="B104" s="80" t="s">
        <v>51</v>
      </c>
      <c r="C104" s="45" t="s">
        <v>94</v>
      </c>
      <c r="D104" s="44">
        <v>1</v>
      </c>
      <c r="E104" s="43">
        <v>3.1746031746031746E-3</v>
      </c>
    </row>
    <row r="105" spans="2:5" ht="15" customHeight="1" x14ac:dyDescent="0.25">
      <c r="B105" s="82"/>
      <c r="C105" s="42" t="s">
        <v>20</v>
      </c>
      <c r="D105" s="41">
        <v>1</v>
      </c>
      <c r="E105" s="40">
        <v>3.1746031746031746E-3</v>
      </c>
    </row>
    <row r="106" spans="2:5" ht="15" customHeight="1" x14ac:dyDescent="0.25">
      <c r="B106" s="80" t="s">
        <v>82</v>
      </c>
      <c r="C106" s="45" t="s">
        <v>93</v>
      </c>
      <c r="D106" s="44">
        <v>5</v>
      </c>
      <c r="E106" s="43">
        <v>1.5873015873015872E-2</v>
      </c>
    </row>
    <row r="107" spans="2:5" ht="15" customHeight="1" x14ac:dyDescent="0.25">
      <c r="B107" s="81"/>
      <c r="C107" s="45" t="s">
        <v>94</v>
      </c>
      <c r="D107" s="44">
        <v>1</v>
      </c>
      <c r="E107" s="43">
        <v>3.1746031746031746E-3</v>
      </c>
    </row>
    <row r="108" spans="2:5" ht="15" customHeight="1" x14ac:dyDescent="0.25">
      <c r="B108" s="81"/>
      <c r="C108" s="45" t="s">
        <v>91</v>
      </c>
      <c r="D108" s="44">
        <v>4</v>
      </c>
      <c r="E108" s="43">
        <v>1.2698412698412698E-2</v>
      </c>
    </row>
    <row r="109" spans="2:5" ht="15" customHeight="1" x14ac:dyDescent="0.25">
      <c r="B109" s="81"/>
      <c r="C109" s="45" t="s">
        <v>92</v>
      </c>
      <c r="D109" s="44">
        <v>5</v>
      </c>
      <c r="E109" s="43">
        <v>1.5873015873015872E-2</v>
      </c>
    </row>
    <row r="110" spans="2:5" ht="15" customHeight="1" x14ac:dyDescent="0.25">
      <c r="B110" s="82"/>
      <c r="C110" s="42" t="s">
        <v>20</v>
      </c>
      <c r="D110" s="41">
        <v>15</v>
      </c>
      <c r="E110" s="40">
        <v>4.7619047619047616E-2</v>
      </c>
    </row>
    <row r="111" spans="2:5" ht="15" customHeight="1" x14ac:dyDescent="0.25">
      <c r="B111" s="80" t="s">
        <v>74</v>
      </c>
      <c r="C111" s="45" t="s">
        <v>93</v>
      </c>
      <c r="D111" s="44">
        <v>8</v>
      </c>
      <c r="E111" s="43">
        <v>2.5396825396825397E-2</v>
      </c>
    </row>
    <row r="112" spans="2:5" ht="15" customHeight="1" x14ac:dyDescent="0.25">
      <c r="B112" s="81"/>
      <c r="C112" s="45" t="s">
        <v>94</v>
      </c>
      <c r="D112" s="44">
        <v>4</v>
      </c>
      <c r="E112" s="43">
        <v>1.2698412698412698E-2</v>
      </c>
    </row>
    <row r="113" spans="2:5" ht="15" customHeight="1" x14ac:dyDescent="0.25">
      <c r="B113" s="81"/>
      <c r="C113" s="45" t="s">
        <v>91</v>
      </c>
      <c r="D113" s="44">
        <v>2</v>
      </c>
      <c r="E113" s="43">
        <v>6.3492063492063492E-3</v>
      </c>
    </row>
    <row r="114" spans="2:5" ht="15" customHeight="1" x14ac:dyDescent="0.25">
      <c r="B114" s="81"/>
      <c r="C114" s="45" t="s">
        <v>92</v>
      </c>
      <c r="D114" s="44">
        <v>1</v>
      </c>
      <c r="E114" s="43">
        <v>3.1746031746031746E-3</v>
      </c>
    </row>
    <row r="115" spans="2:5" ht="15" customHeight="1" x14ac:dyDescent="0.25">
      <c r="B115" s="82"/>
      <c r="C115" s="42" t="s">
        <v>20</v>
      </c>
      <c r="D115" s="41">
        <v>15</v>
      </c>
      <c r="E115" s="40">
        <v>4.7619047619047616E-2</v>
      </c>
    </row>
    <row r="116" spans="2:5" ht="15" customHeight="1" x14ac:dyDescent="0.25">
      <c r="B116" s="80" t="s">
        <v>60</v>
      </c>
      <c r="C116" s="45" t="s">
        <v>93</v>
      </c>
      <c r="D116" s="44">
        <v>2</v>
      </c>
      <c r="E116" s="43">
        <v>6.3492063492063492E-3</v>
      </c>
    </row>
    <row r="117" spans="2:5" ht="15" customHeight="1" x14ac:dyDescent="0.25">
      <c r="B117" s="81"/>
      <c r="C117" s="45" t="s">
        <v>91</v>
      </c>
      <c r="D117" s="44">
        <v>1</v>
      </c>
      <c r="E117" s="43">
        <v>3.1746031746031746E-3</v>
      </c>
    </row>
    <row r="118" spans="2:5" ht="15" customHeight="1" x14ac:dyDescent="0.25">
      <c r="B118" s="82"/>
      <c r="C118" s="42" t="s">
        <v>20</v>
      </c>
      <c r="D118" s="41">
        <v>3</v>
      </c>
      <c r="E118" s="40">
        <v>9.5238095238095247E-3</v>
      </c>
    </row>
    <row r="119" spans="2:5" ht="15" customHeight="1" x14ac:dyDescent="0.25">
      <c r="B119" s="80" t="s">
        <v>62</v>
      </c>
      <c r="C119" s="45" t="s">
        <v>93</v>
      </c>
      <c r="D119" s="44">
        <v>2</v>
      </c>
      <c r="E119" s="43">
        <v>6.3492063492063492E-3</v>
      </c>
    </row>
    <row r="120" spans="2:5" ht="15" customHeight="1" x14ac:dyDescent="0.25">
      <c r="B120" s="81"/>
      <c r="C120" s="45" t="s">
        <v>94</v>
      </c>
      <c r="D120" s="44">
        <v>4</v>
      </c>
      <c r="E120" s="43">
        <v>1.2698412698412698E-2</v>
      </c>
    </row>
    <row r="121" spans="2:5" ht="15" customHeight="1" x14ac:dyDescent="0.25">
      <c r="B121" s="81"/>
      <c r="C121" s="45" t="s">
        <v>91</v>
      </c>
      <c r="D121" s="44">
        <v>2</v>
      </c>
      <c r="E121" s="43">
        <v>6.3492063492063492E-3</v>
      </c>
    </row>
    <row r="122" spans="2:5" ht="15" customHeight="1" x14ac:dyDescent="0.25">
      <c r="B122" s="81"/>
      <c r="C122" s="45" t="s">
        <v>92</v>
      </c>
      <c r="D122" s="44">
        <v>4</v>
      </c>
      <c r="E122" s="43">
        <v>1.2698412698412698E-2</v>
      </c>
    </row>
    <row r="123" spans="2:5" ht="15" customHeight="1" x14ac:dyDescent="0.25">
      <c r="B123" s="82"/>
      <c r="C123" s="42" t="s">
        <v>20</v>
      </c>
      <c r="D123" s="41">
        <v>12</v>
      </c>
      <c r="E123" s="40">
        <v>3.8095238095238099E-2</v>
      </c>
    </row>
    <row r="124" spans="2:5" ht="15" customHeight="1" x14ac:dyDescent="0.25">
      <c r="B124" s="80" t="s">
        <v>69</v>
      </c>
      <c r="C124" s="45" t="s">
        <v>94</v>
      </c>
      <c r="D124" s="44">
        <v>1</v>
      </c>
      <c r="E124" s="43">
        <v>3.1746031746031746E-3</v>
      </c>
    </row>
    <row r="125" spans="2:5" ht="15" customHeight="1" x14ac:dyDescent="0.25">
      <c r="B125" s="82"/>
      <c r="C125" s="42" t="s">
        <v>20</v>
      </c>
      <c r="D125" s="41">
        <v>1</v>
      </c>
      <c r="E125" s="40">
        <v>3.1746031746031746E-3</v>
      </c>
    </row>
    <row r="126" spans="2:5" ht="15" customHeight="1" x14ac:dyDescent="0.25">
      <c r="B126" s="80" t="s">
        <v>81</v>
      </c>
      <c r="C126" s="45" t="s">
        <v>93</v>
      </c>
      <c r="D126" s="44">
        <v>5</v>
      </c>
      <c r="E126" s="43">
        <v>1.5873015873015872E-2</v>
      </c>
    </row>
    <row r="127" spans="2:5" ht="15" customHeight="1" x14ac:dyDescent="0.25">
      <c r="B127" s="81"/>
      <c r="C127" s="45" t="s">
        <v>94</v>
      </c>
      <c r="D127" s="44">
        <v>9</v>
      </c>
      <c r="E127" s="43">
        <v>2.8571428571428571E-2</v>
      </c>
    </row>
    <row r="128" spans="2:5" ht="15" customHeight="1" x14ac:dyDescent="0.25">
      <c r="B128" s="81"/>
      <c r="C128" s="45" t="s">
        <v>91</v>
      </c>
      <c r="D128" s="44">
        <v>4</v>
      </c>
      <c r="E128" s="43">
        <v>1.2698412698412698E-2</v>
      </c>
    </row>
    <row r="129" spans="2:5" ht="15" customHeight="1" x14ac:dyDescent="0.25">
      <c r="B129" s="81"/>
      <c r="C129" s="45" t="s">
        <v>92</v>
      </c>
      <c r="D129" s="44">
        <v>2</v>
      </c>
      <c r="E129" s="43">
        <v>6.3492063492063492E-3</v>
      </c>
    </row>
    <row r="130" spans="2:5" ht="15" customHeight="1" x14ac:dyDescent="0.25">
      <c r="B130" s="82"/>
      <c r="C130" s="42" t="s">
        <v>20</v>
      </c>
      <c r="D130" s="41">
        <v>20</v>
      </c>
      <c r="E130" s="40">
        <v>6.3492063492063489E-2</v>
      </c>
    </row>
    <row r="131" spans="2:5" ht="15" customHeight="1" x14ac:dyDescent="0.25">
      <c r="B131" s="80" t="s">
        <v>66</v>
      </c>
      <c r="C131" s="45" t="s">
        <v>93</v>
      </c>
      <c r="D131" s="44">
        <v>3</v>
      </c>
      <c r="E131" s="43">
        <v>9.5238095238095247E-3</v>
      </c>
    </row>
    <row r="132" spans="2:5" ht="15" customHeight="1" x14ac:dyDescent="0.25">
      <c r="B132" s="81"/>
      <c r="C132" s="45" t="s">
        <v>94</v>
      </c>
      <c r="D132" s="44">
        <v>4</v>
      </c>
      <c r="E132" s="43">
        <v>1.2698412698412698E-2</v>
      </c>
    </row>
    <row r="133" spans="2:5" ht="15" customHeight="1" x14ac:dyDescent="0.25">
      <c r="B133" s="81"/>
      <c r="C133" s="45" t="s">
        <v>91</v>
      </c>
      <c r="D133" s="44">
        <v>2</v>
      </c>
      <c r="E133" s="43">
        <v>6.3492063492063492E-3</v>
      </c>
    </row>
    <row r="134" spans="2:5" ht="15" customHeight="1" x14ac:dyDescent="0.25">
      <c r="B134" s="81"/>
      <c r="C134" s="45" t="s">
        <v>92</v>
      </c>
      <c r="D134" s="44">
        <v>1</v>
      </c>
      <c r="E134" s="43">
        <v>3.1746031746031746E-3</v>
      </c>
    </row>
    <row r="135" spans="2:5" ht="15" customHeight="1" x14ac:dyDescent="0.25">
      <c r="B135" s="82"/>
      <c r="C135" s="42" t="s">
        <v>20</v>
      </c>
      <c r="D135" s="41">
        <v>10</v>
      </c>
      <c r="E135" s="40">
        <v>3.1746031746031744E-2</v>
      </c>
    </row>
    <row r="136" spans="2:5" ht="15" customHeight="1" x14ac:dyDescent="0.25">
      <c r="B136" s="80" t="s">
        <v>78</v>
      </c>
      <c r="C136" s="45" t="s">
        <v>93</v>
      </c>
      <c r="D136" s="44">
        <v>3</v>
      </c>
      <c r="E136" s="43">
        <v>9.5238095238095247E-3</v>
      </c>
    </row>
    <row r="137" spans="2:5" ht="15" customHeight="1" x14ac:dyDescent="0.25">
      <c r="B137" s="81"/>
      <c r="C137" s="45" t="s">
        <v>94</v>
      </c>
      <c r="D137" s="44">
        <v>2</v>
      </c>
      <c r="E137" s="43">
        <v>6.3492063492063492E-3</v>
      </c>
    </row>
    <row r="138" spans="2:5" ht="15" customHeight="1" x14ac:dyDescent="0.25">
      <c r="B138" s="81"/>
      <c r="C138" s="45" t="s">
        <v>91</v>
      </c>
      <c r="D138" s="44">
        <v>3</v>
      </c>
      <c r="E138" s="43">
        <v>9.5238095238095247E-3</v>
      </c>
    </row>
    <row r="139" spans="2:5" ht="15" customHeight="1" x14ac:dyDescent="0.25">
      <c r="B139" s="81"/>
      <c r="C139" s="45" t="s">
        <v>92</v>
      </c>
      <c r="D139" s="44">
        <v>1</v>
      </c>
      <c r="E139" s="43">
        <v>3.1746031746031746E-3</v>
      </c>
    </row>
    <row r="140" spans="2:5" ht="15" customHeight="1" x14ac:dyDescent="0.25">
      <c r="B140" s="82"/>
      <c r="C140" s="42" t="s">
        <v>20</v>
      </c>
      <c r="D140" s="41">
        <v>9</v>
      </c>
      <c r="E140" s="40">
        <v>2.8571428571428571E-2</v>
      </c>
    </row>
    <row r="141" spans="2:5" ht="15" customHeight="1" x14ac:dyDescent="0.25">
      <c r="B141" s="80" t="s">
        <v>79</v>
      </c>
      <c r="C141" s="45" t="s">
        <v>93</v>
      </c>
      <c r="D141" s="44">
        <v>3</v>
      </c>
      <c r="E141" s="43">
        <v>9.5238095238095247E-3</v>
      </c>
    </row>
    <row r="142" spans="2:5" ht="15" customHeight="1" x14ac:dyDescent="0.25">
      <c r="B142" s="81"/>
      <c r="C142" s="45" t="s">
        <v>94</v>
      </c>
      <c r="D142" s="44">
        <v>5</v>
      </c>
      <c r="E142" s="43">
        <v>1.5873015873015872E-2</v>
      </c>
    </row>
    <row r="143" spans="2:5" ht="15" customHeight="1" x14ac:dyDescent="0.25">
      <c r="B143" s="81"/>
      <c r="C143" s="45" t="s">
        <v>92</v>
      </c>
      <c r="D143" s="44">
        <v>3</v>
      </c>
      <c r="E143" s="43">
        <v>9.5238095238095247E-3</v>
      </c>
    </row>
    <row r="144" spans="2:5" ht="15" customHeight="1" x14ac:dyDescent="0.25">
      <c r="B144" s="82"/>
      <c r="C144" s="42" t="s">
        <v>20</v>
      </c>
      <c r="D144" s="41">
        <v>11</v>
      </c>
      <c r="E144" s="40">
        <v>3.4920634920634921E-2</v>
      </c>
    </row>
    <row r="145" spans="2:5" ht="15" customHeight="1" x14ac:dyDescent="0.25">
      <c r="B145" s="80" t="s">
        <v>80</v>
      </c>
      <c r="C145" s="45" t="s">
        <v>93</v>
      </c>
      <c r="D145" s="44">
        <v>1</v>
      </c>
      <c r="E145" s="43">
        <v>3.1746031746031746E-3</v>
      </c>
    </row>
    <row r="146" spans="2:5" ht="15" customHeight="1" x14ac:dyDescent="0.25">
      <c r="B146" s="81"/>
      <c r="C146" s="45" t="s">
        <v>94</v>
      </c>
      <c r="D146" s="44">
        <v>2</v>
      </c>
      <c r="E146" s="43">
        <v>6.3492063492063492E-3</v>
      </c>
    </row>
    <row r="147" spans="2:5" ht="15" customHeight="1" x14ac:dyDescent="0.25">
      <c r="B147" s="82"/>
      <c r="C147" s="42" t="s">
        <v>20</v>
      </c>
      <c r="D147" s="41">
        <v>3</v>
      </c>
      <c r="E147" s="40">
        <v>9.5238095238095247E-3</v>
      </c>
    </row>
    <row r="148" spans="2:5" ht="15" customHeight="1" x14ac:dyDescent="0.25">
      <c r="B148" s="80" t="s">
        <v>59</v>
      </c>
      <c r="C148" s="45" t="s">
        <v>92</v>
      </c>
      <c r="D148" s="44">
        <v>1</v>
      </c>
      <c r="E148" s="43">
        <v>3.1746031746031746E-3</v>
      </c>
    </row>
    <row r="149" spans="2:5" ht="15" customHeight="1" x14ac:dyDescent="0.25">
      <c r="B149" s="82"/>
      <c r="C149" s="42" t="s">
        <v>20</v>
      </c>
      <c r="D149" s="41">
        <v>1</v>
      </c>
      <c r="E149" s="40">
        <v>3.1746031746031746E-3</v>
      </c>
    </row>
    <row r="150" spans="2:5" ht="15" customHeight="1" x14ac:dyDescent="0.25">
      <c r="B150" s="80" t="s">
        <v>52</v>
      </c>
      <c r="C150" s="45" t="s">
        <v>93</v>
      </c>
      <c r="D150" s="44">
        <v>2</v>
      </c>
      <c r="E150" s="43">
        <v>6.3492063492063492E-3</v>
      </c>
    </row>
    <row r="151" spans="2:5" ht="15" customHeight="1" x14ac:dyDescent="0.25">
      <c r="B151" s="82"/>
      <c r="C151" s="42" t="s">
        <v>20</v>
      </c>
      <c r="D151" s="41">
        <v>2</v>
      </c>
      <c r="E151" s="40">
        <v>6.3492063492063492E-3</v>
      </c>
    </row>
    <row r="152" spans="2:5" ht="15" customHeight="1" x14ac:dyDescent="0.25">
      <c r="B152" s="80" t="s">
        <v>34</v>
      </c>
      <c r="C152" s="45" t="s">
        <v>94</v>
      </c>
      <c r="D152" s="44">
        <v>1</v>
      </c>
      <c r="E152" s="43">
        <v>3.1746031746031746E-3</v>
      </c>
    </row>
    <row r="153" spans="2:5" ht="15" customHeight="1" x14ac:dyDescent="0.25">
      <c r="B153" s="82"/>
      <c r="C153" s="42" t="s">
        <v>20</v>
      </c>
      <c r="D153" s="41">
        <v>1</v>
      </c>
      <c r="E153" s="40">
        <v>3.1746031746031746E-3</v>
      </c>
    </row>
    <row r="154" spans="2:5" ht="15" customHeight="1" x14ac:dyDescent="0.25">
      <c r="B154" s="84" t="s">
        <v>124</v>
      </c>
      <c r="C154" s="85"/>
      <c r="D154" s="39">
        <v>315</v>
      </c>
      <c r="E154" s="38">
        <v>1</v>
      </c>
    </row>
    <row r="156" spans="2:5" ht="15" customHeight="1" x14ac:dyDescent="0.25">
      <c r="B156" s="19" t="s">
        <v>161</v>
      </c>
    </row>
    <row r="157" spans="2:5" ht="15" customHeight="1" x14ac:dyDescent="0.25">
      <c r="B157" s="21" t="s">
        <v>19</v>
      </c>
    </row>
    <row r="158" spans="2:5" ht="15" customHeight="1" x14ac:dyDescent="0.25">
      <c r="B158" s="20" t="s">
        <v>18</v>
      </c>
    </row>
    <row r="159" spans="2:5" ht="15" customHeight="1" x14ac:dyDescent="0.25">
      <c r="B159" s="19" t="s">
        <v>17</v>
      </c>
    </row>
    <row r="160" spans="2:5" ht="15" customHeight="1" x14ac:dyDescent="0.25">
      <c r="B160" s="19" t="s">
        <v>162</v>
      </c>
    </row>
  </sheetData>
  <mergeCells count="43">
    <mergeCell ref="B152:B153"/>
    <mergeCell ref="B154:C154"/>
    <mergeCell ref="B10:B12"/>
    <mergeCell ref="B13:B17"/>
    <mergeCell ref="B18:B20"/>
    <mergeCell ref="B21:B23"/>
    <mergeCell ref="B26:B30"/>
    <mergeCell ref="B131:B135"/>
    <mergeCell ref="B136:B140"/>
    <mergeCell ref="B141:B144"/>
    <mergeCell ref="B145:B147"/>
    <mergeCell ref="B148:B149"/>
    <mergeCell ref="B150:B151"/>
    <mergeCell ref="B91:B95"/>
    <mergeCell ref="B96:B99"/>
    <mergeCell ref="B100:B103"/>
    <mergeCell ref="B104:B105"/>
    <mergeCell ref="B106:B110"/>
    <mergeCell ref="B111:B115"/>
    <mergeCell ref="B116:B118"/>
    <mergeCell ref="B119:B123"/>
    <mergeCell ref="B124:B125"/>
    <mergeCell ref="B126:B130"/>
    <mergeCell ref="B62:B65"/>
    <mergeCell ref="B66:B70"/>
    <mergeCell ref="B71:B73"/>
    <mergeCell ref="B74:B76"/>
    <mergeCell ref="B77:B79"/>
    <mergeCell ref="B80:B82"/>
    <mergeCell ref="B83:B84"/>
    <mergeCell ref="B85:B86"/>
    <mergeCell ref="B87:B90"/>
    <mergeCell ref="B24:B25"/>
    <mergeCell ref="B31:B35"/>
    <mergeCell ref="B36:B39"/>
    <mergeCell ref="B40:B41"/>
    <mergeCell ref="B58:B61"/>
    <mergeCell ref="B42:B43"/>
    <mergeCell ref="B44:B46"/>
    <mergeCell ref="B47:B51"/>
    <mergeCell ref="B52:B54"/>
    <mergeCell ref="B55:B57"/>
    <mergeCell ref="B7:E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64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38"/>
  <sheetViews>
    <sheetView showGridLines="0" zoomScaleNormal="100" zoomScaleSheetLayoutView="115" workbookViewId="0"/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49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79" t="s">
        <v>172</v>
      </c>
      <c r="C7" s="79"/>
      <c r="D7" s="79"/>
    </row>
    <row r="8" spans="1:4" s="29" customFormat="1" ht="15" customHeight="1" x14ac:dyDescent="0.2">
      <c r="B8" s="79"/>
      <c r="C8" s="79"/>
      <c r="D8" s="79"/>
    </row>
    <row r="9" spans="1:4" s="29" customFormat="1" ht="33" customHeight="1" x14ac:dyDescent="0.2">
      <c r="B9" s="79"/>
      <c r="C9" s="79"/>
      <c r="D9" s="79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117</v>
      </c>
      <c r="C11" s="31" t="s">
        <v>116</v>
      </c>
      <c r="D11" s="30" t="s">
        <v>46</v>
      </c>
    </row>
    <row r="12" spans="1:4" x14ac:dyDescent="0.25">
      <c r="B12" s="27" t="s">
        <v>115</v>
      </c>
      <c r="C12" s="26">
        <v>4</v>
      </c>
      <c r="D12" s="25">
        <f t="shared" ref="D12:D32" si="0">C12/$C$32</f>
        <v>1.2698412698412698E-2</v>
      </c>
    </row>
    <row r="13" spans="1:4" x14ac:dyDescent="0.25">
      <c r="B13" s="27" t="s">
        <v>114</v>
      </c>
      <c r="C13" s="26">
        <v>4</v>
      </c>
      <c r="D13" s="25">
        <f t="shared" si="0"/>
        <v>1.2698412698412698E-2</v>
      </c>
    </row>
    <row r="14" spans="1:4" x14ac:dyDescent="0.25">
      <c r="B14" s="27" t="s">
        <v>113</v>
      </c>
      <c r="C14" s="26">
        <v>1</v>
      </c>
      <c r="D14" s="25">
        <f t="shared" si="0"/>
        <v>3.1746031746031746E-3</v>
      </c>
    </row>
    <row r="15" spans="1:4" x14ac:dyDescent="0.25">
      <c r="B15" s="27" t="s">
        <v>112</v>
      </c>
      <c r="C15" s="26">
        <v>2</v>
      </c>
      <c r="D15" s="25">
        <f t="shared" si="0"/>
        <v>6.3492063492063492E-3</v>
      </c>
    </row>
    <row r="16" spans="1:4" x14ac:dyDescent="0.25">
      <c r="B16" s="27" t="s">
        <v>111</v>
      </c>
      <c r="C16" s="26">
        <v>4</v>
      </c>
      <c r="D16" s="25">
        <f t="shared" si="0"/>
        <v>1.2698412698412698E-2</v>
      </c>
    </row>
    <row r="17" spans="2:4" x14ac:dyDescent="0.25">
      <c r="B17" s="27" t="s">
        <v>110</v>
      </c>
      <c r="C17" s="26">
        <v>8</v>
      </c>
      <c r="D17" s="25">
        <f t="shared" si="0"/>
        <v>2.5396825396825397E-2</v>
      </c>
    </row>
    <row r="18" spans="2:4" x14ac:dyDescent="0.25">
      <c r="B18" s="27" t="s">
        <v>109</v>
      </c>
      <c r="C18" s="26">
        <v>25</v>
      </c>
      <c r="D18" s="25">
        <f t="shared" si="0"/>
        <v>7.9365079365079361E-2</v>
      </c>
    </row>
    <row r="19" spans="2:4" ht="27" x14ac:dyDescent="0.25">
      <c r="B19" s="27" t="s">
        <v>108</v>
      </c>
      <c r="C19" s="26">
        <v>24</v>
      </c>
      <c r="D19" s="25">
        <f t="shared" si="0"/>
        <v>7.6190476190476197E-2</v>
      </c>
    </row>
    <row r="20" spans="2:4" x14ac:dyDescent="0.25">
      <c r="B20" s="27" t="s">
        <v>107</v>
      </c>
      <c r="C20" s="26">
        <v>4</v>
      </c>
      <c r="D20" s="25">
        <f t="shared" si="0"/>
        <v>1.2698412698412698E-2</v>
      </c>
    </row>
    <row r="21" spans="2:4" x14ac:dyDescent="0.25">
      <c r="B21" s="27" t="s">
        <v>106</v>
      </c>
      <c r="C21" s="26">
        <v>9</v>
      </c>
      <c r="D21" s="25">
        <f t="shared" si="0"/>
        <v>2.8571428571428571E-2</v>
      </c>
    </row>
    <row r="22" spans="2:4" x14ac:dyDescent="0.25">
      <c r="B22" s="27" t="s">
        <v>105</v>
      </c>
      <c r="C22" s="26">
        <v>10</v>
      </c>
      <c r="D22" s="25">
        <f t="shared" si="0"/>
        <v>3.1746031746031744E-2</v>
      </c>
    </row>
    <row r="23" spans="2:4" ht="27" x14ac:dyDescent="0.25">
      <c r="B23" s="27" t="s">
        <v>104</v>
      </c>
      <c r="C23" s="26">
        <v>82</v>
      </c>
      <c r="D23" s="25">
        <f t="shared" si="0"/>
        <v>0.26031746031746034</v>
      </c>
    </row>
    <row r="24" spans="2:4" x14ac:dyDescent="0.25">
      <c r="B24" s="27" t="s">
        <v>103</v>
      </c>
      <c r="C24" s="26">
        <v>4</v>
      </c>
      <c r="D24" s="25">
        <f t="shared" si="0"/>
        <v>1.2698412698412698E-2</v>
      </c>
    </row>
    <row r="25" spans="2:4" ht="27" x14ac:dyDescent="0.25">
      <c r="B25" s="27" t="s">
        <v>102</v>
      </c>
      <c r="C25" s="26">
        <v>34</v>
      </c>
      <c r="D25" s="25">
        <f t="shared" si="0"/>
        <v>0.10793650793650794</v>
      </c>
    </row>
    <row r="26" spans="2:4" ht="27" x14ac:dyDescent="0.25">
      <c r="B26" s="27" t="s">
        <v>101</v>
      </c>
      <c r="C26" s="26">
        <v>74</v>
      </c>
      <c r="D26" s="25">
        <f t="shared" si="0"/>
        <v>0.23492063492063492</v>
      </c>
    </row>
    <row r="27" spans="2:4" x14ac:dyDescent="0.25">
      <c r="B27" s="27" t="s">
        <v>100</v>
      </c>
      <c r="C27" s="26">
        <v>2</v>
      </c>
      <c r="D27" s="25">
        <f t="shared" si="0"/>
        <v>6.3492063492063492E-3</v>
      </c>
    </row>
    <row r="28" spans="2:4" x14ac:dyDescent="0.25">
      <c r="B28" s="27" t="s">
        <v>165</v>
      </c>
      <c r="C28" s="26">
        <v>1</v>
      </c>
      <c r="D28" s="25">
        <f t="shared" si="0"/>
        <v>3.1746031746031746E-3</v>
      </c>
    </row>
    <row r="29" spans="2:4" x14ac:dyDescent="0.25">
      <c r="B29" s="27" t="s">
        <v>99</v>
      </c>
      <c r="C29" s="26">
        <v>10</v>
      </c>
      <c r="D29" s="25">
        <f t="shared" si="0"/>
        <v>3.1746031746031744E-2</v>
      </c>
    </row>
    <row r="30" spans="2:4" x14ac:dyDescent="0.25">
      <c r="B30" s="27" t="s">
        <v>98</v>
      </c>
      <c r="C30" s="26">
        <v>11</v>
      </c>
      <c r="D30" s="25">
        <f t="shared" si="0"/>
        <v>3.4920634920634921E-2</v>
      </c>
    </row>
    <row r="31" spans="2:4" x14ac:dyDescent="0.25">
      <c r="B31" s="27" t="s">
        <v>166</v>
      </c>
      <c r="C31" s="26">
        <v>2</v>
      </c>
      <c r="D31" s="25">
        <f t="shared" si="0"/>
        <v>6.3492063492063492E-3</v>
      </c>
    </row>
    <row r="32" spans="2:4" x14ac:dyDescent="0.25">
      <c r="B32" s="24" t="s">
        <v>20</v>
      </c>
      <c r="C32" s="23">
        <v>315</v>
      </c>
      <c r="D32" s="22">
        <f t="shared" si="0"/>
        <v>1</v>
      </c>
    </row>
    <row r="34" spans="1:1" x14ac:dyDescent="0.25">
      <c r="A34" s="58" t="s">
        <v>161</v>
      </c>
    </row>
    <row r="35" spans="1:1" x14ac:dyDescent="0.25">
      <c r="A35" s="58" t="s">
        <v>19</v>
      </c>
    </row>
    <row r="36" spans="1:1" x14ac:dyDescent="0.25">
      <c r="A36" s="58" t="s">
        <v>18</v>
      </c>
    </row>
    <row r="37" spans="1:1" x14ac:dyDescent="0.25">
      <c r="A37" s="58" t="s">
        <v>17</v>
      </c>
    </row>
    <row r="38" spans="1:1" x14ac:dyDescent="0.25">
      <c r="A38" s="58" t="s">
        <v>162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146"/>
  <sheetViews>
    <sheetView zoomScale="85" zoomScaleNormal="85" zoomScaleSheetLayoutView="85" workbookViewId="0"/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83"/>
      <c r="C7" s="83"/>
      <c r="D7" s="83"/>
      <c r="E7" s="83"/>
    </row>
    <row r="8" spans="1:5" s="50" customFormat="1" ht="33" customHeight="1" x14ac:dyDescent="0.3">
      <c r="A8" s="51"/>
      <c r="B8" s="83"/>
      <c r="C8" s="83"/>
      <c r="D8" s="83"/>
      <c r="E8" s="83"/>
    </row>
    <row r="9" spans="1:5" s="29" customFormat="1" ht="40.5" customHeight="1" x14ac:dyDescent="0.2">
      <c r="B9" s="47" t="s">
        <v>118</v>
      </c>
      <c r="C9" s="49" t="s">
        <v>97</v>
      </c>
      <c r="D9" s="48" t="s">
        <v>47</v>
      </c>
      <c r="E9" s="47" t="s">
        <v>46</v>
      </c>
    </row>
    <row r="10" spans="1:5" ht="15" customHeight="1" x14ac:dyDescent="0.25">
      <c r="B10" s="80" t="s">
        <v>115</v>
      </c>
      <c r="C10" s="45" t="s">
        <v>45</v>
      </c>
      <c r="D10" s="44">
        <v>1</v>
      </c>
      <c r="E10" s="43">
        <v>3.1746031746031746E-3</v>
      </c>
    </row>
    <row r="11" spans="1:5" ht="15" customHeight="1" x14ac:dyDescent="0.25">
      <c r="B11" s="81"/>
      <c r="C11" s="45" t="s">
        <v>42</v>
      </c>
      <c r="D11" s="44">
        <v>1</v>
      </c>
      <c r="E11" s="43">
        <v>3.1746031746031746E-3</v>
      </c>
    </row>
    <row r="12" spans="1:5" ht="15" customHeight="1" x14ac:dyDescent="0.25">
      <c r="B12" s="81"/>
      <c r="C12" s="45" t="s">
        <v>44</v>
      </c>
      <c r="D12" s="44">
        <v>1</v>
      </c>
      <c r="E12" s="43">
        <v>3.1746031746031746E-3</v>
      </c>
    </row>
    <row r="13" spans="1:5" ht="15" customHeight="1" x14ac:dyDescent="0.25">
      <c r="B13" s="81"/>
      <c r="C13" s="45" t="s">
        <v>37</v>
      </c>
      <c r="D13" s="44">
        <v>1</v>
      </c>
      <c r="E13" s="43">
        <v>3.1746031746031746E-3</v>
      </c>
    </row>
    <row r="14" spans="1:5" ht="15" customHeight="1" x14ac:dyDescent="0.25">
      <c r="B14" s="82"/>
      <c r="C14" s="42" t="s">
        <v>20</v>
      </c>
      <c r="D14" s="41">
        <v>4</v>
      </c>
      <c r="E14" s="40">
        <v>1.2698412698412698E-2</v>
      </c>
    </row>
    <row r="15" spans="1:5" ht="15" customHeight="1" x14ac:dyDescent="0.25">
      <c r="B15" s="80" t="s">
        <v>114</v>
      </c>
      <c r="C15" s="45" t="s">
        <v>45</v>
      </c>
      <c r="D15" s="44">
        <v>2</v>
      </c>
      <c r="E15" s="43">
        <v>6.3492063492063492E-3</v>
      </c>
    </row>
    <row r="16" spans="1:5" ht="15" customHeight="1" x14ac:dyDescent="0.25">
      <c r="B16" s="81"/>
      <c r="C16" s="45" t="s">
        <v>27</v>
      </c>
      <c r="D16" s="44">
        <v>2</v>
      </c>
      <c r="E16" s="43">
        <v>6.3492063492063492E-3</v>
      </c>
    </row>
    <row r="17" spans="2:5" ht="15" customHeight="1" x14ac:dyDescent="0.25">
      <c r="B17" s="82"/>
      <c r="C17" s="42" t="s">
        <v>20</v>
      </c>
      <c r="D17" s="41">
        <v>4</v>
      </c>
      <c r="E17" s="40">
        <v>1.2698412698412698E-2</v>
      </c>
    </row>
    <row r="18" spans="2:5" ht="15" customHeight="1" x14ac:dyDescent="0.25">
      <c r="B18" s="80" t="s">
        <v>113</v>
      </c>
      <c r="C18" s="45" t="s">
        <v>45</v>
      </c>
      <c r="D18" s="44">
        <v>1</v>
      </c>
      <c r="E18" s="43">
        <v>3.1746031746031746E-3</v>
      </c>
    </row>
    <row r="19" spans="2:5" ht="15" customHeight="1" x14ac:dyDescent="0.25">
      <c r="B19" s="82"/>
      <c r="C19" s="42" t="s">
        <v>20</v>
      </c>
      <c r="D19" s="41">
        <v>1</v>
      </c>
      <c r="E19" s="40">
        <v>3.1746031746031746E-3</v>
      </c>
    </row>
    <row r="20" spans="2:5" ht="15" customHeight="1" x14ac:dyDescent="0.25">
      <c r="B20" s="80" t="s">
        <v>112</v>
      </c>
      <c r="C20" s="45" t="s">
        <v>45</v>
      </c>
      <c r="D20" s="44">
        <v>1</v>
      </c>
      <c r="E20" s="43">
        <v>3.1746031746031746E-3</v>
      </c>
    </row>
    <row r="21" spans="2:5" ht="15" customHeight="1" x14ac:dyDescent="0.25">
      <c r="B21" s="81"/>
      <c r="C21" s="45" t="s">
        <v>42</v>
      </c>
      <c r="D21" s="44">
        <v>1</v>
      </c>
      <c r="E21" s="43">
        <v>3.1746031746031746E-3</v>
      </c>
    </row>
    <row r="22" spans="2:5" ht="15" customHeight="1" x14ac:dyDescent="0.25">
      <c r="B22" s="82"/>
      <c r="C22" s="42" t="s">
        <v>20</v>
      </c>
      <c r="D22" s="41">
        <v>2</v>
      </c>
      <c r="E22" s="40">
        <v>6.3492063492063492E-3</v>
      </c>
    </row>
    <row r="23" spans="2:5" ht="15" customHeight="1" x14ac:dyDescent="0.25">
      <c r="B23" s="80" t="s">
        <v>111</v>
      </c>
      <c r="C23" s="45" t="s">
        <v>45</v>
      </c>
      <c r="D23" s="44">
        <v>2</v>
      </c>
      <c r="E23" s="43">
        <v>6.3492063492063492E-3</v>
      </c>
    </row>
    <row r="24" spans="2:5" ht="15" customHeight="1" x14ac:dyDescent="0.25">
      <c r="B24" s="81"/>
      <c r="C24" s="45" t="s">
        <v>42</v>
      </c>
      <c r="D24" s="44">
        <v>1</v>
      </c>
      <c r="E24" s="43">
        <v>3.1746031746031746E-3</v>
      </c>
    </row>
    <row r="25" spans="2:5" ht="15" customHeight="1" x14ac:dyDescent="0.25">
      <c r="B25" s="81"/>
      <c r="C25" s="45" t="s">
        <v>31</v>
      </c>
      <c r="D25" s="44">
        <v>1</v>
      </c>
      <c r="E25" s="43">
        <v>3.1746031746031746E-3</v>
      </c>
    </row>
    <row r="26" spans="2:5" ht="15" customHeight="1" x14ac:dyDescent="0.25">
      <c r="B26" s="82"/>
      <c r="C26" s="42" t="s">
        <v>20</v>
      </c>
      <c r="D26" s="41">
        <v>4</v>
      </c>
      <c r="E26" s="40">
        <v>1.2698412698412698E-2</v>
      </c>
    </row>
    <row r="27" spans="2:5" ht="15" customHeight="1" x14ac:dyDescent="0.25">
      <c r="B27" s="80" t="s">
        <v>110</v>
      </c>
      <c r="C27" s="45" t="s">
        <v>45</v>
      </c>
      <c r="D27" s="44">
        <v>4</v>
      </c>
      <c r="E27" s="43">
        <v>1.2698412698412698E-2</v>
      </c>
    </row>
    <row r="28" spans="2:5" ht="15" customHeight="1" x14ac:dyDescent="0.25">
      <c r="B28" s="81"/>
      <c r="C28" s="45" t="s">
        <v>35</v>
      </c>
      <c r="D28" s="44">
        <v>1</v>
      </c>
      <c r="E28" s="43">
        <v>3.1746031746031746E-3</v>
      </c>
    </row>
    <row r="29" spans="2:5" ht="15" customHeight="1" x14ac:dyDescent="0.25">
      <c r="B29" s="81"/>
      <c r="C29" s="45" t="s">
        <v>24</v>
      </c>
      <c r="D29" s="44">
        <v>1</v>
      </c>
      <c r="E29" s="43">
        <v>3.1746031746031746E-3</v>
      </c>
    </row>
    <row r="30" spans="2:5" ht="15" customHeight="1" x14ac:dyDescent="0.25">
      <c r="B30" s="81"/>
      <c r="C30" s="45" t="s">
        <v>44</v>
      </c>
      <c r="D30" s="44">
        <v>2</v>
      </c>
      <c r="E30" s="43">
        <v>6.3492063492063492E-3</v>
      </c>
    </row>
    <row r="31" spans="2:5" ht="15" customHeight="1" x14ac:dyDescent="0.25">
      <c r="B31" s="82"/>
      <c r="C31" s="42" t="s">
        <v>20</v>
      </c>
      <c r="D31" s="41">
        <v>8</v>
      </c>
      <c r="E31" s="40">
        <v>2.5396825396825397E-2</v>
      </c>
    </row>
    <row r="32" spans="2:5" ht="15" customHeight="1" x14ac:dyDescent="0.25">
      <c r="B32" s="80" t="s">
        <v>109</v>
      </c>
      <c r="C32" s="45" t="s">
        <v>45</v>
      </c>
      <c r="D32" s="44">
        <v>15</v>
      </c>
      <c r="E32" s="43">
        <v>4.7619047619047616E-2</v>
      </c>
    </row>
    <row r="33" spans="2:5" ht="15" customHeight="1" x14ac:dyDescent="0.25">
      <c r="B33" s="81"/>
      <c r="C33" s="45" t="s">
        <v>38</v>
      </c>
      <c r="D33" s="44">
        <v>1</v>
      </c>
      <c r="E33" s="43">
        <v>3.1746031746031746E-3</v>
      </c>
    </row>
    <row r="34" spans="2:5" ht="15" customHeight="1" x14ac:dyDescent="0.25">
      <c r="B34" s="81"/>
      <c r="C34" s="45" t="s">
        <v>42</v>
      </c>
      <c r="D34" s="44">
        <v>3</v>
      </c>
      <c r="E34" s="43">
        <v>9.5238095238095247E-3</v>
      </c>
    </row>
    <row r="35" spans="2:5" ht="15" customHeight="1" x14ac:dyDescent="0.25">
      <c r="B35" s="81"/>
      <c r="C35" s="45" t="s">
        <v>35</v>
      </c>
      <c r="D35" s="44">
        <v>1</v>
      </c>
      <c r="E35" s="43">
        <v>3.1746031746031746E-3</v>
      </c>
    </row>
    <row r="36" spans="2:5" ht="15" customHeight="1" x14ac:dyDescent="0.25">
      <c r="B36" s="81"/>
      <c r="C36" s="45" t="s">
        <v>155</v>
      </c>
      <c r="D36" s="44">
        <v>1</v>
      </c>
      <c r="E36" s="43">
        <v>3.1746031746031746E-3</v>
      </c>
    </row>
    <row r="37" spans="2:5" ht="15" customHeight="1" x14ac:dyDescent="0.25">
      <c r="B37" s="81"/>
      <c r="C37" s="45" t="s">
        <v>43</v>
      </c>
      <c r="D37" s="44">
        <v>1</v>
      </c>
      <c r="E37" s="43">
        <v>3.1746031746031746E-3</v>
      </c>
    </row>
    <row r="38" spans="2:5" ht="15" customHeight="1" x14ac:dyDescent="0.25">
      <c r="B38" s="81"/>
      <c r="C38" s="45" t="s">
        <v>154</v>
      </c>
      <c r="D38" s="44">
        <v>1</v>
      </c>
      <c r="E38" s="43">
        <v>3.1746031746031746E-3</v>
      </c>
    </row>
    <row r="39" spans="2:5" ht="15" customHeight="1" x14ac:dyDescent="0.25">
      <c r="B39" s="81"/>
      <c r="C39" s="45" t="s">
        <v>44</v>
      </c>
      <c r="D39" s="44">
        <v>2</v>
      </c>
      <c r="E39" s="43">
        <v>6.3492063492063492E-3</v>
      </c>
    </row>
    <row r="40" spans="2:5" ht="15" customHeight="1" x14ac:dyDescent="0.25">
      <c r="B40" s="82"/>
      <c r="C40" s="42" t="s">
        <v>20</v>
      </c>
      <c r="D40" s="41">
        <v>25</v>
      </c>
      <c r="E40" s="40">
        <v>7.9365079365079361E-2</v>
      </c>
    </row>
    <row r="41" spans="2:5" ht="15" customHeight="1" x14ac:dyDescent="0.25">
      <c r="B41" s="80" t="s">
        <v>108</v>
      </c>
      <c r="C41" s="45" t="s">
        <v>45</v>
      </c>
      <c r="D41" s="44">
        <v>12</v>
      </c>
      <c r="E41" s="43">
        <v>3.8095238095238099E-2</v>
      </c>
    </row>
    <row r="42" spans="2:5" ht="15" customHeight="1" x14ac:dyDescent="0.25">
      <c r="B42" s="81"/>
      <c r="C42" s="45" t="s">
        <v>42</v>
      </c>
      <c r="D42" s="44">
        <v>1</v>
      </c>
      <c r="E42" s="43">
        <v>3.1746031746031746E-3</v>
      </c>
    </row>
    <row r="43" spans="2:5" ht="15" customHeight="1" x14ac:dyDescent="0.25">
      <c r="B43" s="81"/>
      <c r="C43" s="45" t="s">
        <v>35</v>
      </c>
      <c r="D43" s="44">
        <v>1</v>
      </c>
      <c r="E43" s="43">
        <v>3.1746031746031746E-3</v>
      </c>
    </row>
    <row r="44" spans="2:5" ht="15" customHeight="1" x14ac:dyDescent="0.25">
      <c r="B44" s="81"/>
      <c r="C44" s="45" t="s">
        <v>43</v>
      </c>
      <c r="D44" s="44">
        <v>1</v>
      </c>
      <c r="E44" s="43">
        <v>3.1746031746031746E-3</v>
      </c>
    </row>
    <row r="45" spans="2:5" ht="15" customHeight="1" x14ac:dyDescent="0.25">
      <c r="B45" s="81"/>
      <c r="C45" s="45" t="s">
        <v>30</v>
      </c>
      <c r="D45" s="44">
        <v>1</v>
      </c>
      <c r="E45" s="43">
        <v>3.1746031746031746E-3</v>
      </c>
    </row>
    <row r="46" spans="2:5" ht="15" customHeight="1" x14ac:dyDescent="0.25">
      <c r="B46" s="81"/>
      <c r="C46" s="45" t="s">
        <v>29</v>
      </c>
      <c r="D46" s="44">
        <v>1</v>
      </c>
      <c r="E46" s="43">
        <v>3.1746031746031746E-3</v>
      </c>
    </row>
    <row r="47" spans="2:5" ht="15" customHeight="1" x14ac:dyDescent="0.25">
      <c r="B47" s="81"/>
      <c r="C47" s="45" t="s">
        <v>33</v>
      </c>
      <c r="D47" s="44">
        <v>1</v>
      </c>
      <c r="E47" s="43">
        <v>3.1746031746031746E-3</v>
      </c>
    </row>
    <row r="48" spans="2:5" ht="15" customHeight="1" x14ac:dyDescent="0.25">
      <c r="B48" s="81"/>
      <c r="C48" s="45" t="s">
        <v>27</v>
      </c>
      <c r="D48" s="44">
        <v>1</v>
      </c>
      <c r="E48" s="43">
        <v>3.1746031746031746E-3</v>
      </c>
    </row>
    <row r="49" spans="2:5" ht="15" customHeight="1" x14ac:dyDescent="0.25">
      <c r="B49" s="81"/>
      <c r="C49" s="45" t="s">
        <v>44</v>
      </c>
      <c r="D49" s="44">
        <v>4</v>
      </c>
      <c r="E49" s="43">
        <v>1.2698412698412698E-2</v>
      </c>
    </row>
    <row r="50" spans="2:5" ht="15" customHeight="1" x14ac:dyDescent="0.25">
      <c r="B50" s="81"/>
      <c r="C50" s="45" t="s">
        <v>37</v>
      </c>
      <c r="D50" s="44">
        <v>1</v>
      </c>
      <c r="E50" s="43">
        <v>3.1746031746031746E-3</v>
      </c>
    </row>
    <row r="51" spans="2:5" ht="15" customHeight="1" x14ac:dyDescent="0.25">
      <c r="B51" s="82"/>
      <c r="C51" s="42" t="s">
        <v>20</v>
      </c>
      <c r="D51" s="41">
        <v>24</v>
      </c>
      <c r="E51" s="40">
        <v>7.6190476190476197E-2</v>
      </c>
    </row>
    <row r="52" spans="2:5" ht="15" customHeight="1" x14ac:dyDescent="0.25">
      <c r="B52" s="80" t="s">
        <v>107</v>
      </c>
      <c r="C52" s="45" t="s">
        <v>45</v>
      </c>
      <c r="D52" s="44">
        <v>3</v>
      </c>
      <c r="E52" s="43">
        <v>9.5238095238095247E-3</v>
      </c>
    </row>
    <row r="53" spans="2:5" ht="15" customHeight="1" x14ac:dyDescent="0.25">
      <c r="B53" s="81"/>
      <c r="C53" s="45" t="s">
        <v>44</v>
      </c>
      <c r="D53" s="44">
        <v>1</v>
      </c>
      <c r="E53" s="43">
        <v>3.1746031746031746E-3</v>
      </c>
    </row>
    <row r="54" spans="2:5" ht="15" customHeight="1" x14ac:dyDescent="0.25">
      <c r="B54" s="82"/>
      <c r="C54" s="42" t="s">
        <v>20</v>
      </c>
      <c r="D54" s="41">
        <v>4</v>
      </c>
      <c r="E54" s="40">
        <v>1.2698412698412698E-2</v>
      </c>
    </row>
    <row r="55" spans="2:5" ht="15" customHeight="1" x14ac:dyDescent="0.25">
      <c r="B55" s="80" t="s">
        <v>106</v>
      </c>
      <c r="C55" s="45" t="s">
        <v>45</v>
      </c>
      <c r="D55" s="44">
        <v>4</v>
      </c>
      <c r="E55" s="43">
        <v>1.2698412698412698E-2</v>
      </c>
    </row>
    <row r="56" spans="2:5" ht="15" customHeight="1" x14ac:dyDescent="0.25">
      <c r="B56" s="81"/>
      <c r="C56" s="45" t="s">
        <v>33</v>
      </c>
      <c r="D56" s="44">
        <v>3</v>
      </c>
      <c r="E56" s="43">
        <v>9.5238095238095247E-3</v>
      </c>
    </row>
    <row r="57" spans="2:5" ht="15" customHeight="1" x14ac:dyDescent="0.25">
      <c r="B57" s="81"/>
      <c r="C57" s="45" t="s">
        <v>44</v>
      </c>
      <c r="D57" s="44">
        <v>1</v>
      </c>
      <c r="E57" s="43">
        <v>3.1746031746031746E-3</v>
      </c>
    </row>
    <row r="58" spans="2:5" ht="15" customHeight="1" x14ac:dyDescent="0.25">
      <c r="B58" s="81"/>
      <c r="C58" s="45" t="s">
        <v>21</v>
      </c>
      <c r="D58" s="44">
        <v>1</v>
      </c>
      <c r="E58" s="43">
        <v>3.1746031746031746E-3</v>
      </c>
    </row>
    <row r="59" spans="2:5" ht="15" customHeight="1" x14ac:dyDescent="0.25">
      <c r="B59" s="82"/>
      <c r="C59" s="42" t="s">
        <v>20</v>
      </c>
      <c r="D59" s="41">
        <v>9</v>
      </c>
      <c r="E59" s="40">
        <v>2.8571428571428571E-2</v>
      </c>
    </row>
    <row r="60" spans="2:5" ht="15" customHeight="1" x14ac:dyDescent="0.25">
      <c r="B60" s="80" t="s">
        <v>105</v>
      </c>
      <c r="C60" s="45" t="s">
        <v>45</v>
      </c>
      <c r="D60" s="44">
        <v>3</v>
      </c>
      <c r="E60" s="43">
        <v>9.5238095238095247E-3</v>
      </c>
    </row>
    <row r="61" spans="2:5" ht="15" customHeight="1" x14ac:dyDescent="0.25">
      <c r="B61" s="81"/>
      <c r="C61" s="45" t="s">
        <v>157</v>
      </c>
      <c r="D61" s="44">
        <v>1</v>
      </c>
      <c r="E61" s="43">
        <v>3.1746031746031746E-3</v>
      </c>
    </row>
    <row r="62" spans="2:5" ht="15" customHeight="1" x14ac:dyDescent="0.25">
      <c r="B62" s="81"/>
      <c r="C62" s="45" t="s">
        <v>41</v>
      </c>
      <c r="D62" s="44">
        <v>2</v>
      </c>
      <c r="E62" s="43">
        <v>6.3492063492063492E-3</v>
      </c>
    </row>
    <row r="63" spans="2:5" ht="15" customHeight="1" x14ac:dyDescent="0.25">
      <c r="B63" s="81"/>
      <c r="C63" s="45" t="s">
        <v>28</v>
      </c>
      <c r="D63" s="44">
        <v>1</v>
      </c>
      <c r="E63" s="43">
        <v>3.1746031746031746E-3</v>
      </c>
    </row>
    <row r="64" spans="2:5" ht="15" customHeight="1" x14ac:dyDescent="0.25">
      <c r="B64" s="81"/>
      <c r="C64" s="45" t="s">
        <v>36</v>
      </c>
      <c r="D64" s="44">
        <v>1</v>
      </c>
      <c r="E64" s="43">
        <v>3.1746031746031746E-3</v>
      </c>
    </row>
    <row r="65" spans="2:5" ht="15" customHeight="1" x14ac:dyDescent="0.25">
      <c r="B65" s="81"/>
      <c r="C65" s="45" t="s">
        <v>44</v>
      </c>
      <c r="D65" s="44">
        <v>1</v>
      </c>
      <c r="E65" s="43">
        <v>3.1746031746031746E-3</v>
      </c>
    </row>
    <row r="66" spans="2:5" ht="15" customHeight="1" x14ac:dyDescent="0.25">
      <c r="B66" s="81"/>
      <c r="C66" s="45" t="s">
        <v>160</v>
      </c>
      <c r="D66" s="44">
        <v>1</v>
      </c>
      <c r="E66" s="43">
        <v>3.1746031746031746E-3</v>
      </c>
    </row>
    <row r="67" spans="2:5" ht="15" customHeight="1" x14ac:dyDescent="0.25">
      <c r="B67" s="82"/>
      <c r="C67" s="42" t="s">
        <v>20</v>
      </c>
      <c r="D67" s="41">
        <v>10</v>
      </c>
      <c r="E67" s="40">
        <v>3.1746031746031744E-2</v>
      </c>
    </row>
    <row r="68" spans="2:5" ht="15" customHeight="1" x14ac:dyDescent="0.25">
      <c r="B68" s="80" t="s">
        <v>104</v>
      </c>
      <c r="C68" s="45" t="s">
        <v>23</v>
      </c>
      <c r="D68" s="44">
        <v>1</v>
      </c>
      <c r="E68" s="43">
        <v>3.1746031746031746E-3</v>
      </c>
    </row>
    <row r="69" spans="2:5" ht="15" customHeight="1" x14ac:dyDescent="0.25">
      <c r="B69" s="81"/>
      <c r="C69" s="45" t="s">
        <v>40</v>
      </c>
      <c r="D69" s="44">
        <v>3</v>
      </c>
      <c r="E69" s="43">
        <v>9.5238095238095247E-3</v>
      </c>
    </row>
    <row r="70" spans="2:5" ht="15" customHeight="1" x14ac:dyDescent="0.25">
      <c r="B70" s="81"/>
      <c r="C70" s="45" t="s">
        <v>45</v>
      </c>
      <c r="D70" s="44">
        <v>37</v>
      </c>
      <c r="E70" s="43">
        <v>0.11746031746031746</v>
      </c>
    </row>
    <row r="71" spans="2:5" ht="15" customHeight="1" x14ac:dyDescent="0.25">
      <c r="B71" s="81"/>
      <c r="C71" s="45" t="s">
        <v>38</v>
      </c>
      <c r="D71" s="44">
        <v>1</v>
      </c>
      <c r="E71" s="43">
        <v>3.1746031746031746E-3</v>
      </c>
    </row>
    <row r="72" spans="2:5" ht="15" customHeight="1" x14ac:dyDescent="0.25">
      <c r="B72" s="81"/>
      <c r="C72" s="45" t="s">
        <v>35</v>
      </c>
      <c r="D72" s="44">
        <v>2</v>
      </c>
      <c r="E72" s="43">
        <v>6.3492063492063492E-3</v>
      </c>
    </row>
    <row r="73" spans="2:5" ht="15" customHeight="1" x14ac:dyDescent="0.25">
      <c r="B73" s="81"/>
      <c r="C73" s="45" t="s">
        <v>43</v>
      </c>
      <c r="D73" s="44">
        <v>6</v>
      </c>
      <c r="E73" s="43">
        <v>1.9047619047619049E-2</v>
      </c>
    </row>
    <row r="74" spans="2:5" ht="15" customHeight="1" x14ac:dyDescent="0.25">
      <c r="B74" s="81"/>
      <c r="C74" s="45" t="s">
        <v>158</v>
      </c>
      <c r="D74" s="44">
        <v>1</v>
      </c>
      <c r="E74" s="43">
        <v>3.1746031746031746E-3</v>
      </c>
    </row>
    <row r="75" spans="2:5" ht="15" customHeight="1" x14ac:dyDescent="0.25">
      <c r="B75" s="81"/>
      <c r="C75" s="45" t="s">
        <v>22</v>
      </c>
      <c r="D75" s="44">
        <v>1</v>
      </c>
      <c r="E75" s="43">
        <v>3.1746031746031746E-3</v>
      </c>
    </row>
    <row r="76" spans="2:5" ht="15" customHeight="1" x14ac:dyDescent="0.25">
      <c r="B76" s="81"/>
      <c r="C76" s="45" t="s">
        <v>41</v>
      </c>
      <c r="D76" s="44">
        <v>4</v>
      </c>
      <c r="E76" s="43">
        <v>1.2698412698412698E-2</v>
      </c>
    </row>
    <row r="77" spans="2:5" ht="15" customHeight="1" x14ac:dyDescent="0.25">
      <c r="B77" s="81"/>
      <c r="C77" s="45" t="s">
        <v>32</v>
      </c>
      <c r="D77" s="44">
        <v>2</v>
      </c>
      <c r="E77" s="43">
        <v>6.3492063492063492E-3</v>
      </c>
    </row>
    <row r="78" spans="2:5" ht="15" customHeight="1" x14ac:dyDescent="0.25">
      <c r="B78" s="81"/>
      <c r="C78" s="45" t="s">
        <v>25</v>
      </c>
      <c r="D78" s="44">
        <v>1</v>
      </c>
      <c r="E78" s="43">
        <v>3.1746031746031746E-3</v>
      </c>
    </row>
    <row r="79" spans="2:5" ht="15" customHeight="1" x14ac:dyDescent="0.25">
      <c r="B79" s="81"/>
      <c r="C79" s="45" t="s">
        <v>36</v>
      </c>
      <c r="D79" s="44">
        <v>2</v>
      </c>
      <c r="E79" s="43">
        <v>6.3492063492063492E-3</v>
      </c>
    </row>
    <row r="80" spans="2:5" ht="15" customHeight="1" x14ac:dyDescent="0.25">
      <c r="B80" s="81"/>
      <c r="C80" s="45" t="s">
        <v>159</v>
      </c>
      <c r="D80" s="44">
        <v>1</v>
      </c>
      <c r="E80" s="43">
        <v>3.1746031746031746E-3</v>
      </c>
    </row>
    <row r="81" spans="2:5" ht="15" customHeight="1" x14ac:dyDescent="0.25">
      <c r="B81" s="81"/>
      <c r="C81" s="45" t="s">
        <v>39</v>
      </c>
      <c r="D81" s="44">
        <v>3</v>
      </c>
      <c r="E81" s="43">
        <v>9.5238095238095247E-3</v>
      </c>
    </row>
    <row r="82" spans="2:5" ht="15" customHeight="1" x14ac:dyDescent="0.25">
      <c r="B82" s="81"/>
      <c r="C82" s="45" t="s">
        <v>33</v>
      </c>
      <c r="D82" s="44">
        <v>2</v>
      </c>
      <c r="E82" s="43">
        <v>6.3492063492063492E-3</v>
      </c>
    </row>
    <row r="83" spans="2:5" ht="15" customHeight="1" x14ac:dyDescent="0.25">
      <c r="B83" s="81"/>
      <c r="C83" s="45" t="s">
        <v>44</v>
      </c>
      <c r="D83" s="44">
        <v>10</v>
      </c>
      <c r="E83" s="43">
        <v>3.1746031746031744E-2</v>
      </c>
    </row>
    <row r="84" spans="2:5" ht="15" customHeight="1" x14ac:dyDescent="0.25">
      <c r="B84" s="81"/>
      <c r="C84" s="45" t="s">
        <v>37</v>
      </c>
      <c r="D84" s="44">
        <v>4</v>
      </c>
      <c r="E84" s="43">
        <v>1.2698412698412698E-2</v>
      </c>
    </row>
    <row r="85" spans="2:5" ht="15" customHeight="1" x14ac:dyDescent="0.25">
      <c r="B85" s="81"/>
      <c r="C85" s="45" t="s">
        <v>21</v>
      </c>
      <c r="D85" s="44">
        <v>1</v>
      </c>
      <c r="E85" s="43">
        <v>3.1746031746031746E-3</v>
      </c>
    </row>
    <row r="86" spans="2:5" ht="15" customHeight="1" x14ac:dyDescent="0.25">
      <c r="B86" s="82"/>
      <c r="C86" s="42" t="s">
        <v>20</v>
      </c>
      <c r="D86" s="41">
        <v>82</v>
      </c>
      <c r="E86" s="40">
        <v>0.26031746031746034</v>
      </c>
    </row>
    <row r="87" spans="2:5" ht="15" customHeight="1" x14ac:dyDescent="0.25">
      <c r="B87" s="80" t="s">
        <v>103</v>
      </c>
      <c r="C87" s="45" t="s">
        <v>45</v>
      </c>
      <c r="D87" s="44">
        <v>3</v>
      </c>
      <c r="E87" s="43">
        <v>9.5238095238095247E-3</v>
      </c>
    </row>
    <row r="88" spans="2:5" ht="15" customHeight="1" x14ac:dyDescent="0.25">
      <c r="B88" s="81"/>
      <c r="C88" s="45" t="s">
        <v>32</v>
      </c>
      <c r="D88" s="44">
        <v>1</v>
      </c>
      <c r="E88" s="43">
        <v>3.1746031746031746E-3</v>
      </c>
    </row>
    <row r="89" spans="2:5" ht="15" customHeight="1" x14ac:dyDescent="0.25">
      <c r="B89" s="82"/>
      <c r="C89" s="42" t="s">
        <v>20</v>
      </c>
      <c r="D89" s="41">
        <v>4</v>
      </c>
      <c r="E89" s="40">
        <v>1.2698412698412698E-2</v>
      </c>
    </row>
    <row r="90" spans="2:5" ht="15" customHeight="1" x14ac:dyDescent="0.25">
      <c r="B90" s="80" t="s">
        <v>102</v>
      </c>
      <c r="C90" s="45" t="s">
        <v>40</v>
      </c>
      <c r="D90" s="44">
        <v>3</v>
      </c>
      <c r="E90" s="43">
        <v>9.5238095238095247E-3</v>
      </c>
    </row>
    <row r="91" spans="2:5" ht="15" customHeight="1" x14ac:dyDescent="0.25">
      <c r="B91" s="81"/>
      <c r="C91" s="45" t="s">
        <v>45</v>
      </c>
      <c r="D91" s="44">
        <v>12</v>
      </c>
      <c r="E91" s="43">
        <v>3.8095238095238099E-2</v>
      </c>
    </row>
    <row r="92" spans="2:5" ht="15" customHeight="1" x14ac:dyDescent="0.25">
      <c r="B92" s="81"/>
      <c r="C92" s="45" t="s">
        <v>38</v>
      </c>
      <c r="D92" s="44">
        <v>1</v>
      </c>
      <c r="E92" s="43">
        <v>3.1746031746031746E-3</v>
      </c>
    </row>
    <row r="93" spans="2:5" ht="15" customHeight="1" x14ac:dyDescent="0.25">
      <c r="B93" s="81"/>
      <c r="C93" s="45" t="s">
        <v>42</v>
      </c>
      <c r="D93" s="44">
        <v>3</v>
      </c>
      <c r="E93" s="43">
        <v>9.5238095238095247E-3</v>
      </c>
    </row>
    <row r="94" spans="2:5" ht="15" customHeight="1" x14ac:dyDescent="0.25">
      <c r="B94" s="81"/>
      <c r="C94" s="45" t="s">
        <v>35</v>
      </c>
      <c r="D94" s="44">
        <v>1</v>
      </c>
      <c r="E94" s="43">
        <v>3.1746031746031746E-3</v>
      </c>
    </row>
    <row r="95" spans="2:5" ht="15" customHeight="1" x14ac:dyDescent="0.25">
      <c r="B95" s="81"/>
      <c r="C95" s="45" t="s">
        <v>156</v>
      </c>
      <c r="D95" s="44">
        <v>1</v>
      </c>
      <c r="E95" s="43">
        <v>3.1746031746031746E-3</v>
      </c>
    </row>
    <row r="96" spans="2:5" ht="15" customHeight="1" x14ac:dyDescent="0.25">
      <c r="B96" s="81"/>
      <c r="C96" s="45" t="s">
        <v>29</v>
      </c>
      <c r="D96" s="44">
        <v>1</v>
      </c>
      <c r="E96" s="43">
        <v>3.1746031746031746E-3</v>
      </c>
    </row>
    <row r="97" spans="2:5" ht="15" customHeight="1" x14ac:dyDescent="0.25">
      <c r="B97" s="81"/>
      <c r="C97" s="45" t="s">
        <v>41</v>
      </c>
      <c r="D97" s="44">
        <v>1</v>
      </c>
      <c r="E97" s="43">
        <v>3.1746031746031746E-3</v>
      </c>
    </row>
    <row r="98" spans="2:5" ht="15" customHeight="1" x14ac:dyDescent="0.25">
      <c r="B98" s="81"/>
      <c r="C98" s="45" t="s">
        <v>32</v>
      </c>
      <c r="D98" s="44">
        <v>2</v>
      </c>
      <c r="E98" s="43">
        <v>6.3492063492063492E-3</v>
      </c>
    </row>
    <row r="99" spans="2:5" ht="15" customHeight="1" x14ac:dyDescent="0.25">
      <c r="B99" s="81"/>
      <c r="C99" s="45" t="s">
        <v>36</v>
      </c>
      <c r="D99" s="44">
        <v>4</v>
      </c>
      <c r="E99" s="43">
        <v>1.2698412698412698E-2</v>
      </c>
    </row>
    <row r="100" spans="2:5" ht="15" customHeight="1" x14ac:dyDescent="0.25">
      <c r="B100" s="81"/>
      <c r="C100" s="45" t="s">
        <v>154</v>
      </c>
      <c r="D100" s="44">
        <v>1</v>
      </c>
      <c r="E100" s="43">
        <v>3.1746031746031746E-3</v>
      </c>
    </row>
    <row r="101" spans="2:5" ht="15" customHeight="1" x14ac:dyDescent="0.25">
      <c r="B101" s="81"/>
      <c r="C101" s="45" t="s">
        <v>39</v>
      </c>
      <c r="D101" s="44">
        <v>1</v>
      </c>
      <c r="E101" s="43">
        <v>3.1746031746031746E-3</v>
      </c>
    </row>
    <row r="102" spans="2:5" ht="15" customHeight="1" x14ac:dyDescent="0.25">
      <c r="B102" s="81"/>
      <c r="C102" s="45" t="s">
        <v>27</v>
      </c>
      <c r="D102" s="44">
        <v>1</v>
      </c>
      <c r="E102" s="43">
        <v>3.1746031746031746E-3</v>
      </c>
    </row>
    <row r="103" spans="2:5" ht="15" customHeight="1" x14ac:dyDescent="0.25">
      <c r="B103" s="81"/>
      <c r="C103" s="45" t="s">
        <v>37</v>
      </c>
      <c r="D103" s="44">
        <v>1</v>
      </c>
      <c r="E103" s="43">
        <v>3.1746031746031746E-3</v>
      </c>
    </row>
    <row r="104" spans="2:5" ht="15" customHeight="1" x14ac:dyDescent="0.25">
      <c r="B104" s="81"/>
      <c r="C104" s="45" t="s">
        <v>34</v>
      </c>
      <c r="D104" s="44">
        <v>1</v>
      </c>
      <c r="E104" s="43">
        <v>3.1746031746031746E-3</v>
      </c>
    </row>
    <row r="105" spans="2:5" ht="15" customHeight="1" x14ac:dyDescent="0.25">
      <c r="B105" s="82"/>
      <c r="C105" s="42" t="s">
        <v>20</v>
      </c>
      <c r="D105" s="41">
        <v>34</v>
      </c>
      <c r="E105" s="40">
        <v>0.10793650793650794</v>
      </c>
    </row>
    <row r="106" spans="2:5" ht="15" customHeight="1" x14ac:dyDescent="0.25">
      <c r="B106" s="80" t="s">
        <v>101</v>
      </c>
      <c r="C106" s="45" t="s">
        <v>40</v>
      </c>
      <c r="D106" s="44">
        <v>3</v>
      </c>
      <c r="E106" s="43">
        <v>9.5238095238095247E-3</v>
      </c>
    </row>
    <row r="107" spans="2:5" ht="15" customHeight="1" x14ac:dyDescent="0.25">
      <c r="B107" s="81"/>
      <c r="C107" s="45" t="s">
        <v>45</v>
      </c>
      <c r="D107" s="44">
        <v>40</v>
      </c>
      <c r="E107" s="43">
        <v>0.12698412698412698</v>
      </c>
    </row>
    <row r="108" spans="2:5" ht="15" customHeight="1" x14ac:dyDescent="0.25">
      <c r="B108" s="81"/>
      <c r="C108" s="45" t="s">
        <v>38</v>
      </c>
      <c r="D108" s="44">
        <v>2</v>
      </c>
      <c r="E108" s="43">
        <v>6.3492063492063492E-3</v>
      </c>
    </row>
    <row r="109" spans="2:5" ht="15" customHeight="1" x14ac:dyDescent="0.25">
      <c r="B109" s="81"/>
      <c r="C109" s="45" t="s">
        <v>42</v>
      </c>
      <c r="D109" s="44">
        <v>1</v>
      </c>
      <c r="E109" s="43">
        <v>3.1746031746031746E-3</v>
      </c>
    </row>
    <row r="110" spans="2:5" ht="15" customHeight="1" x14ac:dyDescent="0.25">
      <c r="B110" s="81"/>
      <c r="C110" s="45" t="s">
        <v>43</v>
      </c>
      <c r="D110" s="44">
        <v>3</v>
      </c>
      <c r="E110" s="43">
        <v>9.5238095238095247E-3</v>
      </c>
    </row>
    <row r="111" spans="2:5" ht="15" customHeight="1" x14ac:dyDescent="0.25">
      <c r="B111" s="81"/>
      <c r="C111" s="45" t="s">
        <v>31</v>
      </c>
      <c r="D111" s="44">
        <v>2</v>
      </c>
      <c r="E111" s="43">
        <v>6.3492063492063492E-3</v>
      </c>
    </row>
    <row r="112" spans="2:5" ht="15" customHeight="1" x14ac:dyDescent="0.25">
      <c r="B112" s="81"/>
      <c r="C112" s="45" t="s">
        <v>26</v>
      </c>
      <c r="D112" s="44">
        <v>1</v>
      </c>
      <c r="E112" s="43">
        <v>3.1746031746031746E-3</v>
      </c>
    </row>
    <row r="113" spans="2:5" ht="15" customHeight="1" x14ac:dyDescent="0.25">
      <c r="B113" s="81"/>
      <c r="C113" s="45" t="s">
        <v>29</v>
      </c>
      <c r="D113" s="44">
        <v>1</v>
      </c>
      <c r="E113" s="43">
        <v>3.1746031746031746E-3</v>
      </c>
    </row>
    <row r="114" spans="2:5" ht="15" customHeight="1" x14ac:dyDescent="0.25">
      <c r="B114" s="81"/>
      <c r="C114" s="45" t="s">
        <v>41</v>
      </c>
      <c r="D114" s="44">
        <v>4</v>
      </c>
      <c r="E114" s="43">
        <v>1.2698412698412698E-2</v>
      </c>
    </row>
    <row r="115" spans="2:5" ht="15" customHeight="1" x14ac:dyDescent="0.25">
      <c r="B115" s="81"/>
      <c r="C115" s="45" t="s">
        <v>28</v>
      </c>
      <c r="D115" s="44">
        <v>1</v>
      </c>
      <c r="E115" s="43">
        <v>3.1746031746031746E-3</v>
      </c>
    </row>
    <row r="116" spans="2:5" ht="15" customHeight="1" x14ac:dyDescent="0.25">
      <c r="B116" s="81"/>
      <c r="C116" s="45" t="s">
        <v>32</v>
      </c>
      <c r="D116" s="44">
        <v>1</v>
      </c>
      <c r="E116" s="43">
        <v>3.1746031746031746E-3</v>
      </c>
    </row>
    <row r="117" spans="2:5" ht="15" customHeight="1" x14ac:dyDescent="0.25">
      <c r="B117" s="81"/>
      <c r="C117" s="45" t="s">
        <v>39</v>
      </c>
      <c r="D117" s="44">
        <v>1</v>
      </c>
      <c r="E117" s="43">
        <v>3.1746031746031746E-3</v>
      </c>
    </row>
    <row r="118" spans="2:5" ht="15" customHeight="1" x14ac:dyDescent="0.25">
      <c r="B118" s="81"/>
      <c r="C118" s="45" t="s">
        <v>33</v>
      </c>
      <c r="D118" s="44">
        <v>1</v>
      </c>
      <c r="E118" s="43">
        <v>3.1746031746031746E-3</v>
      </c>
    </row>
    <row r="119" spans="2:5" ht="15" customHeight="1" x14ac:dyDescent="0.25">
      <c r="B119" s="81"/>
      <c r="C119" s="45" t="s">
        <v>27</v>
      </c>
      <c r="D119" s="44">
        <v>2</v>
      </c>
      <c r="E119" s="43">
        <v>6.3492063492063492E-3</v>
      </c>
    </row>
    <row r="120" spans="2:5" ht="15" customHeight="1" x14ac:dyDescent="0.25">
      <c r="B120" s="81"/>
      <c r="C120" s="45" t="s">
        <v>44</v>
      </c>
      <c r="D120" s="44">
        <v>8</v>
      </c>
      <c r="E120" s="43">
        <v>2.5396825396825397E-2</v>
      </c>
    </row>
    <row r="121" spans="2:5" ht="15" customHeight="1" x14ac:dyDescent="0.25">
      <c r="B121" s="81"/>
      <c r="C121" s="45" t="s">
        <v>37</v>
      </c>
      <c r="D121" s="44">
        <v>3</v>
      </c>
      <c r="E121" s="43">
        <v>9.5238095238095247E-3</v>
      </c>
    </row>
    <row r="122" spans="2:5" ht="15" customHeight="1" x14ac:dyDescent="0.25">
      <c r="B122" s="82"/>
      <c r="C122" s="42" t="s">
        <v>20</v>
      </c>
      <c r="D122" s="41">
        <v>74</v>
      </c>
      <c r="E122" s="40">
        <v>0.23492063492063492</v>
      </c>
    </row>
    <row r="123" spans="2:5" ht="15" customHeight="1" x14ac:dyDescent="0.25">
      <c r="B123" s="80" t="s">
        <v>100</v>
      </c>
      <c r="C123" s="45" t="s">
        <v>45</v>
      </c>
      <c r="D123" s="44">
        <v>2</v>
      </c>
      <c r="E123" s="43">
        <v>6.3492063492063492E-3</v>
      </c>
    </row>
    <row r="124" spans="2:5" ht="15" customHeight="1" x14ac:dyDescent="0.25">
      <c r="B124" s="82"/>
      <c r="C124" s="42" t="s">
        <v>20</v>
      </c>
      <c r="D124" s="41">
        <v>2</v>
      </c>
      <c r="E124" s="40">
        <v>6.3492063492063492E-3</v>
      </c>
    </row>
    <row r="125" spans="2:5" ht="15" customHeight="1" x14ac:dyDescent="0.25">
      <c r="B125" s="80" t="s">
        <v>165</v>
      </c>
      <c r="C125" s="45" t="s">
        <v>41</v>
      </c>
      <c r="D125" s="44">
        <v>1</v>
      </c>
      <c r="E125" s="43">
        <v>3.1746031746031746E-3</v>
      </c>
    </row>
    <row r="126" spans="2:5" ht="15" customHeight="1" x14ac:dyDescent="0.25">
      <c r="B126" s="82"/>
      <c r="C126" s="42" t="s">
        <v>20</v>
      </c>
      <c r="D126" s="41">
        <v>1</v>
      </c>
      <c r="E126" s="40">
        <v>3.1746031746031746E-3</v>
      </c>
    </row>
    <row r="127" spans="2:5" ht="15" customHeight="1" x14ac:dyDescent="0.25">
      <c r="B127" s="80" t="s">
        <v>99</v>
      </c>
      <c r="C127" s="45" t="s">
        <v>45</v>
      </c>
      <c r="D127" s="44">
        <v>6</v>
      </c>
      <c r="E127" s="43">
        <v>1.9047619047619049E-2</v>
      </c>
    </row>
    <row r="128" spans="2:5" ht="15" customHeight="1" x14ac:dyDescent="0.25">
      <c r="B128" s="81"/>
      <c r="C128" s="45" t="s">
        <v>43</v>
      </c>
      <c r="D128" s="44">
        <v>1</v>
      </c>
      <c r="E128" s="43">
        <v>3.1746031746031746E-3</v>
      </c>
    </row>
    <row r="129" spans="2:5" ht="15" customHeight="1" x14ac:dyDescent="0.25">
      <c r="B129" s="81"/>
      <c r="C129" s="45" t="s">
        <v>41</v>
      </c>
      <c r="D129" s="44">
        <v>1</v>
      </c>
      <c r="E129" s="43">
        <v>3.1746031746031746E-3</v>
      </c>
    </row>
    <row r="130" spans="2:5" ht="15" customHeight="1" x14ac:dyDescent="0.25">
      <c r="B130" s="81"/>
      <c r="C130" s="45" t="s">
        <v>36</v>
      </c>
      <c r="D130" s="44">
        <v>1</v>
      </c>
      <c r="E130" s="43">
        <v>3.1746031746031746E-3</v>
      </c>
    </row>
    <row r="131" spans="2:5" ht="15" customHeight="1" x14ac:dyDescent="0.25">
      <c r="B131" s="81"/>
      <c r="C131" s="45" t="s">
        <v>39</v>
      </c>
      <c r="D131" s="44">
        <v>1</v>
      </c>
      <c r="E131" s="43">
        <v>3.1746031746031746E-3</v>
      </c>
    </row>
    <row r="132" spans="2:5" ht="15" customHeight="1" x14ac:dyDescent="0.25">
      <c r="B132" s="82"/>
      <c r="C132" s="42" t="s">
        <v>20</v>
      </c>
      <c r="D132" s="41">
        <v>10</v>
      </c>
      <c r="E132" s="40">
        <v>3.1746031746031744E-2</v>
      </c>
    </row>
    <row r="133" spans="2:5" ht="15" customHeight="1" x14ac:dyDescent="0.25">
      <c r="B133" s="80" t="s">
        <v>98</v>
      </c>
      <c r="C133" s="45" t="s">
        <v>45</v>
      </c>
      <c r="D133" s="44">
        <v>8</v>
      </c>
      <c r="E133" s="43">
        <v>2.5396825396825397E-2</v>
      </c>
    </row>
    <row r="134" spans="2:5" ht="15" customHeight="1" x14ac:dyDescent="0.25">
      <c r="B134" s="81"/>
      <c r="C134" s="45" t="s">
        <v>24</v>
      </c>
      <c r="D134" s="44">
        <v>1</v>
      </c>
      <c r="E134" s="43">
        <v>3.1746031746031746E-3</v>
      </c>
    </row>
    <row r="135" spans="2:5" ht="15" customHeight="1" x14ac:dyDescent="0.25">
      <c r="B135" s="81"/>
      <c r="C135" s="45" t="s">
        <v>44</v>
      </c>
      <c r="D135" s="44">
        <v>1</v>
      </c>
      <c r="E135" s="43">
        <v>3.1746031746031746E-3</v>
      </c>
    </row>
    <row r="136" spans="2:5" ht="15" customHeight="1" x14ac:dyDescent="0.25">
      <c r="B136" s="81"/>
      <c r="C136" s="45" t="s">
        <v>37</v>
      </c>
      <c r="D136" s="44">
        <v>1</v>
      </c>
      <c r="E136" s="43">
        <v>3.1746031746031746E-3</v>
      </c>
    </row>
    <row r="137" spans="2:5" ht="15" customHeight="1" x14ac:dyDescent="0.25">
      <c r="B137" s="82"/>
      <c r="C137" s="42" t="s">
        <v>20</v>
      </c>
      <c r="D137" s="41">
        <v>11</v>
      </c>
      <c r="E137" s="40">
        <v>3.4920634920634921E-2</v>
      </c>
    </row>
    <row r="138" spans="2:5" ht="15" customHeight="1" x14ac:dyDescent="0.25">
      <c r="B138" s="80" t="s">
        <v>166</v>
      </c>
      <c r="C138" s="45" t="s">
        <v>45</v>
      </c>
      <c r="D138" s="44">
        <v>2</v>
      </c>
      <c r="E138" s="43">
        <v>6.3492063492063492E-3</v>
      </c>
    </row>
    <row r="139" spans="2:5" ht="15" customHeight="1" x14ac:dyDescent="0.25">
      <c r="B139" s="82"/>
      <c r="C139" s="42" t="s">
        <v>20</v>
      </c>
      <c r="D139" s="41">
        <v>2</v>
      </c>
      <c r="E139" s="40">
        <v>6.3492063492063492E-3</v>
      </c>
    </row>
    <row r="140" spans="2:5" ht="15" customHeight="1" x14ac:dyDescent="0.25">
      <c r="B140" s="84" t="s">
        <v>20</v>
      </c>
      <c r="C140" s="85"/>
      <c r="D140" s="39">
        <v>315</v>
      </c>
      <c r="E140" s="38">
        <v>1</v>
      </c>
    </row>
    <row r="142" spans="2:5" ht="15" customHeight="1" x14ac:dyDescent="0.25">
      <c r="B142" s="19" t="s">
        <v>161</v>
      </c>
    </row>
    <row r="143" spans="2:5" ht="15" customHeight="1" x14ac:dyDescent="0.25">
      <c r="B143" s="21" t="s">
        <v>19</v>
      </c>
    </row>
    <row r="144" spans="2:5" ht="15" customHeight="1" x14ac:dyDescent="0.25">
      <c r="B144" s="20" t="s">
        <v>18</v>
      </c>
    </row>
    <row r="145" spans="2:2" ht="15" customHeight="1" x14ac:dyDescent="0.25">
      <c r="B145" s="19" t="s">
        <v>17</v>
      </c>
    </row>
    <row r="146" spans="2:2" ht="15" customHeight="1" x14ac:dyDescent="0.25">
      <c r="B146" s="19" t="s">
        <v>162</v>
      </c>
    </row>
  </sheetData>
  <mergeCells count="22">
    <mergeCell ref="B68:B86"/>
    <mergeCell ref="B87:B89"/>
    <mergeCell ref="B90:B105"/>
    <mergeCell ref="B106:B122"/>
    <mergeCell ref="B123:B124"/>
    <mergeCell ref="B27:B31"/>
    <mergeCell ref="B32:B40"/>
    <mergeCell ref="B41:B51"/>
    <mergeCell ref="B52:B54"/>
    <mergeCell ref="B55:B59"/>
    <mergeCell ref="B60:B67"/>
    <mergeCell ref="B125:B126"/>
    <mergeCell ref="B127:B132"/>
    <mergeCell ref="B133:B137"/>
    <mergeCell ref="B138:B139"/>
    <mergeCell ref="B140:C140"/>
    <mergeCell ref="B7:E8"/>
    <mergeCell ref="B10:B14"/>
    <mergeCell ref="B15:B17"/>
    <mergeCell ref="B18:B19"/>
    <mergeCell ref="B20:B22"/>
    <mergeCell ref="B23:B26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228"/>
  <sheetViews>
    <sheetView zoomScaleNormal="100" zoomScaleSheetLayoutView="85" workbookViewId="0"/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83"/>
      <c r="C7" s="83"/>
      <c r="D7" s="83"/>
      <c r="E7" s="83"/>
    </row>
    <row r="8" spans="1:5" s="50" customFormat="1" ht="33" customHeight="1" x14ac:dyDescent="0.3">
      <c r="A8" s="51"/>
      <c r="B8" s="83"/>
      <c r="C8" s="83"/>
      <c r="D8" s="83"/>
      <c r="E8" s="83"/>
    </row>
    <row r="9" spans="1:5" s="29" customFormat="1" ht="40.5" customHeight="1" x14ac:dyDescent="0.2">
      <c r="B9" s="47" t="s">
        <v>90</v>
      </c>
      <c r="C9" s="49" t="s">
        <v>117</v>
      </c>
      <c r="D9" s="48" t="s">
        <v>47</v>
      </c>
      <c r="E9" s="47" t="s">
        <v>46</v>
      </c>
    </row>
    <row r="10" spans="1:5" ht="15" customHeight="1" x14ac:dyDescent="0.25">
      <c r="B10" s="80" t="s">
        <v>54</v>
      </c>
      <c r="C10" s="45" t="s">
        <v>104</v>
      </c>
      <c r="D10" s="44">
        <v>2</v>
      </c>
      <c r="E10" s="43">
        <v>6.4724919093851136E-3</v>
      </c>
    </row>
    <row r="11" spans="1:5" ht="15" customHeight="1" x14ac:dyDescent="0.25">
      <c r="B11" s="81"/>
      <c r="C11" s="45" t="s">
        <v>103</v>
      </c>
      <c r="D11" s="44">
        <v>1</v>
      </c>
      <c r="E11" s="43">
        <v>3.2362459546925568E-3</v>
      </c>
    </row>
    <row r="12" spans="1:5" ht="15" customHeight="1" x14ac:dyDescent="0.25">
      <c r="B12" s="81"/>
      <c r="C12" s="45" t="s">
        <v>102</v>
      </c>
      <c r="D12" s="44">
        <v>2</v>
      </c>
      <c r="E12" s="43">
        <v>6.4724919093851136E-3</v>
      </c>
    </row>
    <row r="13" spans="1:5" ht="15" customHeight="1" x14ac:dyDescent="0.25">
      <c r="B13" s="81"/>
      <c r="C13" s="45" t="s">
        <v>101</v>
      </c>
      <c r="D13" s="44">
        <v>1</v>
      </c>
      <c r="E13" s="43">
        <v>3.2362459546925568E-3</v>
      </c>
    </row>
    <row r="14" spans="1:5" ht="15" customHeight="1" x14ac:dyDescent="0.25">
      <c r="B14" s="82"/>
      <c r="C14" s="42" t="s">
        <v>20</v>
      </c>
      <c r="D14" s="41">
        <v>6</v>
      </c>
      <c r="E14" s="40">
        <v>1.9417475728155338E-2</v>
      </c>
    </row>
    <row r="15" spans="1:5" ht="15" customHeight="1" x14ac:dyDescent="0.25">
      <c r="B15" s="80" t="s">
        <v>85</v>
      </c>
      <c r="C15" s="45" t="s">
        <v>114</v>
      </c>
      <c r="D15" s="44">
        <v>1</v>
      </c>
      <c r="E15" s="43">
        <v>3.2362459546925568E-3</v>
      </c>
    </row>
    <row r="16" spans="1:5" ht="15" customHeight="1" x14ac:dyDescent="0.25">
      <c r="B16" s="81"/>
      <c r="C16" s="45" t="s">
        <v>110</v>
      </c>
      <c r="D16" s="44">
        <v>1</v>
      </c>
      <c r="E16" s="43">
        <v>3.2362459546925568E-3</v>
      </c>
    </row>
    <row r="17" spans="2:5" ht="15" customHeight="1" x14ac:dyDescent="0.25">
      <c r="B17" s="81"/>
      <c r="C17" s="45" t="s">
        <v>109</v>
      </c>
      <c r="D17" s="44">
        <v>1</v>
      </c>
      <c r="E17" s="43">
        <v>3.2362459546925568E-3</v>
      </c>
    </row>
    <row r="18" spans="2:5" ht="15" customHeight="1" x14ac:dyDescent="0.25">
      <c r="B18" s="81"/>
      <c r="C18" s="45" t="s">
        <v>108</v>
      </c>
      <c r="D18" s="44">
        <v>1</v>
      </c>
      <c r="E18" s="43">
        <v>3.2362459546925568E-3</v>
      </c>
    </row>
    <row r="19" spans="2:5" ht="15" customHeight="1" x14ac:dyDescent="0.25">
      <c r="B19" s="81"/>
      <c r="C19" s="45" t="s">
        <v>104</v>
      </c>
      <c r="D19" s="44">
        <v>3</v>
      </c>
      <c r="E19" s="43">
        <v>9.7087378640776691E-3</v>
      </c>
    </row>
    <row r="20" spans="2:5" ht="15" customHeight="1" x14ac:dyDescent="0.25">
      <c r="B20" s="81"/>
      <c r="C20" s="45" t="s">
        <v>102</v>
      </c>
      <c r="D20" s="44">
        <v>2</v>
      </c>
      <c r="E20" s="43">
        <v>6.4724919093851136E-3</v>
      </c>
    </row>
    <row r="21" spans="2:5" ht="15" customHeight="1" x14ac:dyDescent="0.25">
      <c r="B21" s="81"/>
      <c r="C21" s="45" t="s">
        <v>101</v>
      </c>
      <c r="D21" s="44">
        <v>1</v>
      </c>
      <c r="E21" s="43">
        <v>3.2362459546925568E-3</v>
      </c>
    </row>
    <row r="22" spans="2:5" ht="15" customHeight="1" x14ac:dyDescent="0.25">
      <c r="B22" s="82"/>
      <c r="C22" s="42" t="s">
        <v>20</v>
      </c>
      <c r="D22" s="41">
        <v>10</v>
      </c>
      <c r="E22" s="40">
        <v>3.2362459546925564E-2</v>
      </c>
    </row>
    <row r="23" spans="2:5" ht="15" customHeight="1" x14ac:dyDescent="0.25">
      <c r="B23" s="80" t="s">
        <v>75</v>
      </c>
      <c r="C23" s="45" t="s">
        <v>108</v>
      </c>
      <c r="D23" s="44">
        <v>1</v>
      </c>
      <c r="E23" s="43">
        <v>3.2362459546925568E-3</v>
      </c>
    </row>
    <row r="24" spans="2:5" ht="15" customHeight="1" x14ac:dyDescent="0.25">
      <c r="B24" s="81"/>
      <c r="C24" s="45" t="s">
        <v>104</v>
      </c>
      <c r="D24" s="44">
        <v>1</v>
      </c>
      <c r="E24" s="43">
        <v>3.2362459546925568E-3</v>
      </c>
    </row>
    <row r="25" spans="2:5" ht="15" customHeight="1" x14ac:dyDescent="0.25">
      <c r="B25" s="81"/>
      <c r="C25" s="45" t="s">
        <v>101</v>
      </c>
      <c r="D25" s="44">
        <v>1</v>
      </c>
      <c r="E25" s="43">
        <v>3.2362459546925568E-3</v>
      </c>
    </row>
    <row r="26" spans="2:5" ht="15" customHeight="1" x14ac:dyDescent="0.25">
      <c r="B26" s="82"/>
      <c r="C26" s="42" t="s">
        <v>20</v>
      </c>
      <c r="D26" s="41">
        <v>3</v>
      </c>
      <c r="E26" s="40">
        <v>9.7087378640776691E-3</v>
      </c>
    </row>
    <row r="27" spans="2:5" ht="15" customHeight="1" x14ac:dyDescent="0.25">
      <c r="B27" s="80" t="s">
        <v>53</v>
      </c>
      <c r="C27" s="45" t="s">
        <v>109</v>
      </c>
      <c r="D27" s="44">
        <v>1</v>
      </c>
      <c r="E27" s="43">
        <v>3.2362459546925568E-3</v>
      </c>
    </row>
    <row r="28" spans="2:5" ht="15" customHeight="1" x14ac:dyDescent="0.25">
      <c r="B28" s="81"/>
      <c r="C28" s="45" t="s">
        <v>101</v>
      </c>
      <c r="D28" s="44">
        <v>1</v>
      </c>
      <c r="E28" s="43">
        <v>3.2362459546925568E-3</v>
      </c>
    </row>
    <row r="29" spans="2:5" ht="15" customHeight="1" x14ac:dyDescent="0.25">
      <c r="B29" s="81"/>
      <c r="C29" s="45" t="s">
        <v>165</v>
      </c>
      <c r="D29" s="44">
        <v>1</v>
      </c>
      <c r="E29" s="43">
        <v>3.2362459546925568E-3</v>
      </c>
    </row>
    <row r="30" spans="2:5" ht="15" customHeight="1" x14ac:dyDescent="0.25">
      <c r="B30" s="82"/>
      <c r="C30" s="42" t="s">
        <v>20</v>
      </c>
      <c r="D30" s="41">
        <v>3</v>
      </c>
      <c r="E30" s="40">
        <v>9.7087378640776691E-3</v>
      </c>
    </row>
    <row r="31" spans="2:5" ht="15" customHeight="1" x14ac:dyDescent="0.25">
      <c r="B31" s="80" t="s">
        <v>123</v>
      </c>
      <c r="C31" s="45" t="s">
        <v>98</v>
      </c>
      <c r="D31" s="44">
        <v>1</v>
      </c>
      <c r="E31" s="43">
        <v>3.2362459546925568E-3</v>
      </c>
    </row>
    <row r="32" spans="2:5" ht="15" customHeight="1" x14ac:dyDescent="0.25">
      <c r="B32" s="82"/>
      <c r="C32" s="42" t="s">
        <v>20</v>
      </c>
      <c r="D32" s="41">
        <v>1</v>
      </c>
      <c r="E32" s="40">
        <v>3.2362459546925568E-3</v>
      </c>
    </row>
    <row r="33" spans="2:5" ht="15" customHeight="1" x14ac:dyDescent="0.25">
      <c r="B33" s="80" t="s">
        <v>88</v>
      </c>
      <c r="C33" s="45" t="s">
        <v>109</v>
      </c>
      <c r="D33" s="44">
        <v>1</v>
      </c>
      <c r="E33" s="43">
        <v>3.2362459546925568E-3</v>
      </c>
    </row>
    <row r="34" spans="2:5" ht="15" customHeight="1" x14ac:dyDescent="0.25">
      <c r="B34" s="81"/>
      <c r="C34" s="45" t="s">
        <v>108</v>
      </c>
      <c r="D34" s="44">
        <v>1</v>
      </c>
      <c r="E34" s="43">
        <v>3.2362459546925568E-3</v>
      </c>
    </row>
    <row r="35" spans="2:5" ht="15" customHeight="1" x14ac:dyDescent="0.25">
      <c r="B35" s="81"/>
      <c r="C35" s="45" t="s">
        <v>104</v>
      </c>
      <c r="D35" s="44">
        <v>6</v>
      </c>
      <c r="E35" s="43">
        <v>1.9417475728155338E-2</v>
      </c>
    </row>
    <row r="36" spans="2:5" ht="15" customHeight="1" x14ac:dyDescent="0.25">
      <c r="B36" s="81"/>
      <c r="C36" s="45" t="s">
        <v>101</v>
      </c>
      <c r="D36" s="44">
        <v>5</v>
      </c>
      <c r="E36" s="43">
        <v>1.6181229773462782E-2</v>
      </c>
    </row>
    <row r="37" spans="2:5" ht="15" customHeight="1" x14ac:dyDescent="0.25">
      <c r="B37" s="81"/>
      <c r="C37" s="45" t="s">
        <v>99</v>
      </c>
      <c r="D37" s="44">
        <v>1</v>
      </c>
      <c r="E37" s="43">
        <v>3.2362459546925568E-3</v>
      </c>
    </row>
    <row r="38" spans="2:5" ht="15" customHeight="1" x14ac:dyDescent="0.25">
      <c r="B38" s="82"/>
      <c r="C38" s="42" t="s">
        <v>20</v>
      </c>
      <c r="D38" s="41">
        <v>14</v>
      </c>
      <c r="E38" s="40">
        <v>4.5307443365695796E-2</v>
      </c>
    </row>
    <row r="39" spans="2:5" ht="15" customHeight="1" x14ac:dyDescent="0.25">
      <c r="B39" s="80" t="s">
        <v>86</v>
      </c>
      <c r="C39" s="45" t="s">
        <v>109</v>
      </c>
      <c r="D39" s="44">
        <v>2</v>
      </c>
      <c r="E39" s="43">
        <v>6.4724919093851136E-3</v>
      </c>
    </row>
    <row r="40" spans="2:5" ht="15" customHeight="1" x14ac:dyDescent="0.25">
      <c r="B40" s="81"/>
      <c r="C40" s="45" t="s">
        <v>108</v>
      </c>
      <c r="D40" s="44">
        <v>1</v>
      </c>
      <c r="E40" s="43">
        <v>3.2362459546925568E-3</v>
      </c>
    </row>
    <row r="41" spans="2:5" ht="15" customHeight="1" x14ac:dyDescent="0.25">
      <c r="B41" s="81"/>
      <c r="C41" s="45" t="s">
        <v>107</v>
      </c>
      <c r="D41" s="44">
        <v>1</v>
      </c>
      <c r="E41" s="43">
        <v>3.2362459546925568E-3</v>
      </c>
    </row>
    <row r="42" spans="2:5" ht="15" customHeight="1" x14ac:dyDescent="0.25">
      <c r="B42" s="81"/>
      <c r="C42" s="45" t="s">
        <v>106</v>
      </c>
      <c r="D42" s="44">
        <v>1</v>
      </c>
      <c r="E42" s="43">
        <v>3.2362459546925568E-3</v>
      </c>
    </row>
    <row r="43" spans="2:5" ht="15" customHeight="1" x14ac:dyDescent="0.25">
      <c r="B43" s="81"/>
      <c r="C43" s="45" t="s">
        <v>105</v>
      </c>
      <c r="D43" s="44">
        <v>1</v>
      </c>
      <c r="E43" s="43">
        <v>3.2362459546925568E-3</v>
      </c>
    </row>
    <row r="44" spans="2:5" ht="15" customHeight="1" x14ac:dyDescent="0.25">
      <c r="B44" s="81"/>
      <c r="C44" s="45" t="s">
        <v>104</v>
      </c>
      <c r="D44" s="44">
        <v>7</v>
      </c>
      <c r="E44" s="43">
        <v>2.2653721682847898E-2</v>
      </c>
    </row>
    <row r="45" spans="2:5" ht="15" customHeight="1" x14ac:dyDescent="0.25">
      <c r="B45" s="81"/>
      <c r="C45" s="45" t="s">
        <v>101</v>
      </c>
      <c r="D45" s="44">
        <v>5</v>
      </c>
      <c r="E45" s="43">
        <v>1.6181229773462782E-2</v>
      </c>
    </row>
    <row r="46" spans="2:5" ht="15" customHeight="1" x14ac:dyDescent="0.25">
      <c r="B46" s="81"/>
      <c r="C46" s="45" t="s">
        <v>98</v>
      </c>
      <c r="D46" s="44">
        <v>1</v>
      </c>
      <c r="E46" s="43">
        <v>3.2362459546925568E-3</v>
      </c>
    </row>
    <row r="47" spans="2:5" ht="15" customHeight="1" x14ac:dyDescent="0.25">
      <c r="B47" s="82"/>
      <c r="C47" s="42" t="s">
        <v>20</v>
      </c>
      <c r="D47" s="41">
        <v>19</v>
      </c>
      <c r="E47" s="40">
        <v>6.1488673139158574E-2</v>
      </c>
    </row>
    <row r="48" spans="2:5" ht="15" customHeight="1" x14ac:dyDescent="0.25">
      <c r="B48" s="80" t="s">
        <v>70</v>
      </c>
      <c r="C48" s="45" t="s">
        <v>109</v>
      </c>
      <c r="D48" s="44">
        <v>1</v>
      </c>
      <c r="E48" s="43">
        <v>3.2362459546925568E-3</v>
      </c>
    </row>
    <row r="49" spans="2:5" ht="15" customHeight="1" x14ac:dyDescent="0.25">
      <c r="B49" s="81"/>
      <c r="C49" s="45" t="s">
        <v>104</v>
      </c>
      <c r="D49" s="44">
        <v>1</v>
      </c>
      <c r="E49" s="43">
        <v>3.2362459546925568E-3</v>
      </c>
    </row>
    <row r="50" spans="2:5" ht="15" customHeight="1" x14ac:dyDescent="0.25">
      <c r="B50" s="81"/>
      <c r="C50" s="45" t="s">
        <v>102</v>
      </c>
      <c r="D50" s="44">
        <v>1</v>
      </c>
      <c r="E50" s="43">
        <v>3.2362459546925568E-3</v>
      </c>
    </row>
    <row r="51" spans="2:5" ht="15" customHeight="1" x14ac:dyDescent="0.25">
      <c r="B51" s="81"/>
      <c r="C51" s="45" t="s">
        <v>101</v>
      </c>
      <c r="D51" s="44">
        <v>2</v>
      </c>
      <c r="E51" s="43">
        <v>6.4724919093851136E-3</v>
      </c>
    </row>
    <row r="52" spans="2:5" ht="15" customHeight="1" x14ac:dyDescent="0.25">
      <c r="B52" s="82"/>
      <c r="C52" s="42" t="s">
        <v>20</v>
      </c>
      <c r="D52" s="41">
        <v>5</v>
      </c>
      <c r="E52" s="40">
        <v>1.6181229773462782E-2</v>
      </c>
    </row>
    <row r="53" spans="2:5" ht="15" customHeight="1" x14ac:dyDescent="0.25">
      <c r="B53" s="80" t="s">
        <v>57</v>
      </c>
      <c r="C53" s="45" t="s">
        <v>108</v>
      </c>
      <c r="D53" s="44">
        <v>1</v>
      </c>
      <c r="E53" s="43">
        <v>3.2362459546925568E-3</v>
      </c>
    </row>
    <row r="54" spans="2:5" ht="15" customHeight="1" x14ac:dyDescent="0.25">
      <c r="B54" s="82"/>
      <c r="C54" s="42" t="s">
        <v>20</v>
      </c>
      <c r="D54" s="41">
        <v>1</v>
      </c>
      <c r="E54" s="40">
        <v>3.2362459546925568E-3</v>
      </c>
    </row>
    <row r="55" spans="2:5" ht="15" customHeight="1" x14ac:dyDescent="0.25">
      <c r="B55" s="80" t="s">
        <v>55</v>
      </c>
      <c r="C55" s="45" t="s">
        <v>104</v>
      </c>
      <c r="D55" s="44">
        <v>1</v>
      </c>
      <c r="E55" s="43">
        <v>3.2362459546925568E-3</v>
      </c>
    </row>
    <row r="56" spans="2:5" ht="15" customHeight="1" x14ac:dyDescent="0.25">
      <c r="B56" s="82"/>
      <c r="C56" s="42" t="s">
        <v>20</v>
      </c>
      <c r="D56" s="41">
        <v>1</v>
      </c>
      <c r="E56" s="40">
        <v>3.2362459546925568E-3</v>
      </c>
    </row>
    <row r="57" spans="2:5" ht="15" customHeight="1" x14ac:dyDescent="0.25">
      <c r="B57" s="80" t="s">
        <v>67</v>
      </c>
      <c r="C57" s="45" t="s">
        <v>110</v>
      </c>
      <c r="D57" s="44">
        <v>1</v>
      </c>
      <c r="E57" s="43">
        <v>3.2362459546925568E-3</v>
      </c>
    </row>
    <row r="58" spans="2:5" ht="15" customHeight="1" x14ac:dyDescent="0.25">
      <c r="B58" s="81"/>
      <c r="C58" s="45" t="s">
        <v>98</v>
      </c>
      <c r="D58" s="44">
        <v>1</v>
      </c>
      <c r="E58" s="43">
        <v>3.2362459546925568E-3</v>
      </c>
    </row>
    <row r="59" spans="2:5" ht="15" customHeight="1" x14ac:dyDescent="0.25">
      <c r="B59" s="82"/>
      <c r="C59" s="42" t="s">
        <v>20</v>
      </c>
      <c r="D59" s="41">
        <v>2</v>
      </c>
      <c r="E59" s="40">
        <v>6.4724919093851136E-3</v>
      </c>
    </row>
    <row r="60" spans="2:5" ht="15" customHeight="1" x14ac:dyDescent="0.25">
      <c r="B60" s="80" t="s">
        <v>83</v>
      </c>
      <c r="C60" s="45" t="s">
        <v>112</v>
      </c>
      <c r="D60" s="44">
        <v>1</v>
      </c>
      <c r="E60" s="43">
        <v>3.2362459546925568E-3</v>
      </c>
    </row>
    <row r="61" spans="2:5" ht="15" customHeight="1" x14ac:dyDescent="0.25">
      <c r="B61" s="81"/>
      <c r="C61" s="45" t="s">
        <v>110</v>
      </c>
      <c r="D61" s="44">
        <v>1</v>
      </c>
      <c r="E61" s="43">
        <v>3.2362459546925568E-3</v>
      </c>
    </row>
    <row r="62" spans="2:5" ht="15" customHeight="1" x14ac:dyDescent="0.25">
      <c r="B62" s="81"/>
      <c r="C62" s="45" t="s">
        <v>109</v>
      </c>
      <c r="D62" s="44">
        <v>1</v>
      </c>
      <c r="E62" s="43">
        <v>3.2362459546925568E-3</v>
      </c>
    </row>
    <row r="63" spans="2:5" ht="15" customHeight="1" x14ac:dyDescent="0.25">
      <c r="B63" s="81"/>
      <c r="C63" s="45" t="s">
        <v>108</v>
      </c>
      <c r="D63" s="44">
        <v>4</v>
      </c>
      <c r="E63" s="43">
        <v>1.2944983818770227E-2</v>
      </c>
    </row>
    <row r="64" spans="2:5" ht="15" customHeight="1" x14ac:dyDescent="0.25">
      <c r="B64" s="81"/>
      <c r="C64" s="45" t="s">
        <v>106</v>
      </c>
      <c r="D64" s="44">
        <v>1</v>
      </c>
      <c r="E64" s="43">
        <v>3.2362459546925568E-3</v>
      </c>
    </row>
    <row r="65" spans="2:5" ht="15" customHeight="1" x14ac:dyDescent="0.25">
      <c r="B65" s="81"/>
      <c r="C65" s="45" t="s">
        <v>104</v>
      </c>
      <c r="D65" s="44">
        <v>10</v>
      </c>
      <c r="E65" s="43">
        <v>3.2362459546925564E-2</v>
      </c>
    </row>
    <row r="66" spans="2:5" ht="15" customHeight="1" x14ac:dyDescent="0.25">
      <c r="B66" s="81"/>
      <c r="C66" s="45" t="s">
        <v>102</v>
      </c>
      <c r="D66" s="44">
        <v>3</v>
      </c>
      <c r="E66" s="43">
        <v>9.7087378640776691E-3</v>
      </c>
    </row>
    <row r="67" spans="2:5" ht="15" customHeight="1" x14ac:dyDescent="0.25">
      <c r="B67" s="81"/>
      <c r="C67" s="45" t="s">
        <v>101</v>
      </c>
      <c r="D67" s="44">
        <v>7</v>
      </c>
      <c r="E67" s="43">
        <v>2.2653721682847898E-2</v>
      </c>
    </row>
    <row r="68" spans="2:5" ht="15" customHeight="1" x14ac:dyDescent="0.25">
      <c r="B68" s="81"/>
      <c r="C68" s="45" t="s">
        <v>100</v>
      </c>
      <c r="D68" s="44">
        <v>2</v>
      </c>
      <c r="E68" s="43">
        <v>6.4724919093851136E-3</v>
      </c>
    </row>
    <row r="69" spans="2:5" ht="15" customHeight="1" x14ac:dyDescent="0.25">
      <c r="B69" s="81"/>
      <c r="C69" s="45" t="s">
        <v>98</v>
      </c>
      <c r="D69" s="44">
        <v>2</v>
      </c>
      <c r="E69" s="43">
        <v>6.4724919093851136E-3</v>
      </c>
    </row>
    <row r="70" spans="2:5" ht="15" customHeight="1" x14ac:dyDescent="0.25">
      <c r="B70" s="82"/>
      <c r="C70" s="42" t="s">
        <v>20</v>
      </c>
      <c r="D70" s="41">
        <v>32</v>
      </c>
      <c r="E70" s="40">
        <v>0.10355987055016182</v>
      </c>
    </row>
    <row r="71" spans="2:5" ht="15" customHeight="1" x14ac:dyDescent="0.25">
      <c r="B71" s="80" t="s">
        <v>87</v>
      </c>
      <c r="C71" s="45" t="s">
        <v>110</v>
      </c>
      <c r="D71" s="44">
        <v>1</v>
      </c>
      <c r="E71" s="43">
        <v>3.2362459546925568E-3</v>
      </c>
    </row>
    <row r="72" spans="2:5" ht="15" customHeight="1" x14ac:dyDescent="0.25">
      <c r="B72" s="81"/>
      <c r="C72" s="45" t="s">
        <v>108</v>
      </c>
      <c r="D72" s="44">
        <v>1</v>
      </c>
      <c r="E72" s="43">
        <v>3.2362459546925568E-3</v>
      </c>
    </row>
    <row r="73" spans="2:5" ht="15" customHeight="1" x14ac:dyDescent="0.25">
      <c r="B73" s="81"/>
      <c r="C73" s="45" t="s">
        <v>101</v>
      </c>
      <c r="D73" s="44">
        <v>1</v>
      </c>
      <c r="E73" s="43">
        <v>3.2362459546925568E-3</v>
      </c>
    </row>
    <row r="74" spans="2:5" ht="15" customHeight="1" x14ac:dyDescent="0.25">
      <c r="B74" s="82"/>
      <c r="C74" s="42" t="s">
        <v>20</v>
      </c>
      <c r="D74" s="41">
        <v>3</v>
      </c>
      <c r="E74" s="40">
        <v>9.7087378640776691E-3</v>
      </c>
    </row>
    <row r="75" spans="2:5" ht="15" customHeight="1" x14ac:dyDescent="0.25">
      <c r="B75" s="80" t="s">
        <v>122</v>
      </c>
      <c r="C75" s="45" t="s">
        <v>111</v>
      </c>
      <c r="D75" s="44">
        <v>1</v>
      </c>
      <c r="E75" s="43">
        <v>3.2362459546925568E-3</v>
      </c>
    </row>
    <row r="76" spans="2:5" ht="15" customHeight="1" x14ac:dyDescent="0.25">
      <c r="B76" s="81"/>
      <c r="C76" s="45" t="s">
        <v>104</v>
      </c>
      <c r="D76" s="44">
        <v>1</v>
      </c>
      <c r="E76" s="43">
        <v>3.2362459546925568E-3</v>
      </c>
    </row>
    <row r="77" spans="2:5" ht="15" customHeight="1" x14ac:dyDescent="0.25">
      <c r="B77" s="81"/>
      <c r="C77" s="45" t="s">
        <v>102</v>
      </c>
      <c r="D77" s="44">
        <v>1</v>
      </c>
      <c r="E77" s="43">
        <v>3.2362459546925568E-3</v>
      </c>
    </row>
    <row r="78" spans="2:5" ht="15" customHeight="1" x14ac:dyDescent="0.25">
      <c r="B78" s="82"/>
      <c r="C78" s="42" t="s">
        <v>20</v>
      </c>
      <c r="D78" s="41">
        <v>3</v>
      </c>
      <c r="E78" s="40">
        <v>9.7087378640776691E-3</v>
      </c>
    </row>
    <row r="79" spans="2:5" ht="15" customHeight="1" x14ac:dyDescent="0.25">
      <c r="B79" s="80" t="s">
        <v>73</v>
      </c>
      <c r="C79" s="45" t="s">
        <v>105</v>
      </c>
      <c r="D79" s="44">
        <v>2</v>
      </c>
      <c r="E79" s="43">
        <v>6.4724919093851136E-3</v>
      </c>
    </row>
    <row r="80" spans="2:5" ht="15" customHeight="1" x14ac:dyDescent="0.25">
      <c r="B80" s="81"/>
      <c r="C80" s="45" t="s">
        <v>104</v>
      </c>
      <c r="D80" s="44">
        <v>4</v>
      </c>
      <c r="E80" s="43">
        <v>1.2944983818770227E-2</v>
      </c>
    </row>
    <row r="81" spans="2:5" ht="15" customHeight="1" x14ac:dyDescent="0.25">
      <c r="B81" s="81"/>
      <c r="C81" s="45" t="s">
        <v>102</v>
      </c>
      <c r="D81" s="44">
        <v>1</v>
      </c>
      <c r="E81" s="43">
        <v>3.2362459546925568E-3</v>
      </c>
    </row>
    <row r="82" spans="2:5" ht="15" customHeight="1" x14ac:dyDescent="0.25">
      <c r="B82" s="81"/>
      <c r="C82" s="45" t="s">
        <v>101</v>
      </c>
      <c r="D82" s="44">
        <v>3</v>
      </c>
      <c r="E82" s="43">
        <v>9.7087378640776691E-3</v>
      </c>
    </row>
    <row r="83" spans="2:5" ht="15" customHeight="1" x14ac:dyDescent="0.25">
      <c r="B83" s="81"/>
      <c r="C83" s="45" t="s">
        <v>99</v>
      </c>
      <c r="D83" s="44">
        <v>1</v>
      </c>
      <c r="E83" s="43">
        <v>3.2362459546925568E-3</v>
      </c>
    </row>
    <row r="84" spans="2:5" ht="15" customHeight="1" x14ac:dyDescent="0.25">
      <c r="B84" s="82"/>
      <c r="C84" s="42" t="s">
        <v>20</v>
      </c>
      <c r="D84" s="41">
        <v>11</v>
      </c>
      <c r="E84" s="40">
        <v>3.5598705501618123E-2</v>
      </c>
    </row>
    <row r="85" spans="2:5" ht="15" customHeight="1" x14ac:dyDescent="0.25">
      <c r="B85" s="80" t="s">
        <v>77</v>
      </c>
      <c r="C85" s="45" t="s">
        <v>114</v>
      </c>
      <c r="D85" s="44">
        <v>1</v>
      </c>
      <c r="E85" s="43">
        <v>3.2362459546925568E-3</v>
      </c>
    </row>
    <row r="86" spans="2:5" ht="15" customHeight="1" x14ac:dyDescent="0.25">
      <c r="B86" s="81"/>
      <c r="C86" s="45" t="s">
        <v>109</v>
      </c>
      <c r="D86" s="44">
        <v>1</v>
      </c>
      <c r="E86" s="43">
        <v>3.2362459546925568E-3</v>
      </c>
    </row>
    <row r="87" spans="2:5" ht="15" customHeight="1" x14ac:dyDescent="0.25">
      <c r="B87" s="81"/>
      <c r="C87" s="45" t="s">
        <v>108</v>
      </c>
      <c r="D87" s="44">
        <v>1</v>
      </c>
      <c r="E87" s="43">
        <v>3.2362459546925568E-3</v>
      </c>
    </row>
    <row r="88" spans="2:5" ht="15" customHeight="1" x14ac:dyDescent="0.25">
      <c r="B88" s="81"/>
      <c r="C88" s="45" t="s">
        <v>102</v>
      </c>
      <c r="D88" s="44">
        <v>1</v>
      </c>
      <c r="E88" s="43">
        <v>3.2362459546925568E-3</v>
      </c>
    </row>
    <row r="89" spans="2:5" ht="15" customHeight="1" x14ac:dyDescent="0.25">
      <c r="B89" s="81"/>
      <c r="C89" s="45" t="s">
        <v>101</v>
      </c>
      <c r="D89" s="44">
        <v>1</v>
      </c>
      <c r="E89" s="43">
        <v>3.2362459546925568E-3</v>
      </c>
    </row>
    <row r="90" spans="2:5" ht="15" customHeight="1" x14ac:dyDescent="0.25">
      <c r="B90" s="82"/>
      <c r="C90" s="42" t="s">
        <v>20</v>
      </c>
      <c r="D90" s="41">
        <v>5</v>
      </c>
      <c r="E90" s="40">
        <v>1.6181229773462782E-2</v>
      </c>
    </row>
    <row r="91" spans="2:5" ht="15" customHeight="1" x14ac:dyDescent="0.25">
      <c r="B91" s="80" t="s">
        <v>121</v>
      </c>
      <c r="C91" s="45" t="s">
        <v>113</v>
      </c>
      <c r="D91" s="44">
        <v>1</v>
      </c>
      <c r="E91" s="43">
        <v>3.2362459546925568E-3</v>
      </c>
    </row>
    <row r="92" spans="2:5" ht="15" customHeight="1" x14ac:dyDescent="0.25">
      <c r="B92" s="81"/>
      <c r="C92" s="45" t="s">
        <v>109</v>
      </c>
      <c r="D92" s="44">
        <v>2</v>
      </c>
      <c r="E92" s="43">
        <v>6.4724919093851136E-3</v>
      </c>
    </row>
    <row r="93" spans="2:5" ht="15" customHeight="1" x14ac:dyDescent="0.25">
      <c r="B93" s="81"/>
      <c r="C93" s="45" t="s">
        <v>108</v>
      </c>
      <c r="D93" s="44">
        <v>3</v>
      </c>
      <c r="E93" s="43">
        <v>9.7087378640776691E-3</v>
      </c>
    </row>
    <row r="94" spans="2:5" ht="15" customHeight="1" x14ac:dyDescent="0.25">
      <c r="B94" s="81"/>
      <c r="C94" s="45" t="s">
        <v>106</v>
      </c>
      <c r="D94" s="44">
        <v>1</v>
      </c>
      <c r="E94" s="43">
        <v>3.2362459546925568E-3</v>
      </c>
    </row>
    <row r="95" spans="2:5" ht="15" customHeight="1" x14ac:dyDescent="0.25">
      <c r="B95" s="81"/>
      <c r="C95" s="45" t="s">
        <v>105</v>
      </c>
      <c r="D95" s="44">
        <v>2</v>
      </c>
      <c r="E95" s="43">
        <v>6.4724919093851136E-3</v>
      </c>
    </row>
    <row r="96" spans="2:5" ht="15" customHeight="1" x14ac:dyDescent="0.25">
      <c r="B96" s="81"/>
      <c r="C96" s="45" t="s">
        <v>104</v>
      </c>
      <c r="D96" s="44">
        <v>11</v>
      </c>
      <c r="E96" s="43">
        <v>3.5598705501618123E-2</v>
      </c>
    </row>
    <row r="97" spans="2:5" ht="15" customHeight="1" x14ac:dyDescent="0.25">
      <c r="B97" s="81"/>
      <c r="C97" s="45" t="s">
        <v>103</v>
      </c>
      <c r="D97" s="44">
        <v>1</v>
      </c>
      <c r="E97" s="43">
        <v>3.2362459546925568E-3</v>
      </c>
    </row>
    <row r="98" spans="2:5" ht="15" customHeight="1" x14ac:dyDescent="0.25">
      <c r="B98" s="81"/>
      <c r="C98" s="45" t="s">
        <v>102</v>
      </c>
      <c r="D98" s="44">
        <v>1</v>
      </c>
      <c r="E98" s="43">
        <v>3.2362459546925568E-3</v>
      </c>
    </row>
    <row r="99" spans="2:5" ht="15" customHeight="1" x14ac:dyDescent="0.25">
      <c r="B99" s="81"/>
      <c r="C99" s="45" t="s">
        <v>101</v>
      </c>
      <c r="D99" s="44">
        <v>13</v>
      </c>
      <c r="E99" s="43">
        <v>4.2071197411003236E-2</v>
      </c>
    </row>
    <row r="100" spans="2:5" ht="15" customHeight="1" x14ac:dyDescent="0.25">
      <c r="B100" s="81"/>
      <c r="C100" s="45" t="s">
        <v>99</v>
      </c>
      <c r="D100" s="44">
        <v>1</v>
      </c>
      <c r="E100" s="43">
        <v>3.2362459546925568E-3</v>
      </c>
    </row>
    <row r="101" spans="2:5" ht="15" customHeight="1" x14ac:dyDescent="0.25">
      <c r="B101" s="81"/>
      <c r="C101" s="45" t="s">
        <v>98</v>
      </c>
      <c r="D101" s="44">
        <v>1</v>
      </c>
      <c r="E101" s="43">
        <v>3.2362459546925568E-3</v>
      </c>
    </row>
    <row r="102" spans="2:5" ht="15" customHeight="1" x14ac:dyDescent="0.25">
      <c r="B102" s="82"/>
      <c r="C102" s="42" t="s">
        <v>20</v>
      </c>
      <c r="D102" s="41">
        <v>37</v>
      </c>
      <c r="E102" s="40">
        <v>0.11974110032362459</v>
      </c>
    </row>
    <row r="103" spans="2:5" ht="15" customHeight="1" x14ac:dyDescent="0.25">
      <c r="B103" s="80" t="s">
        <v>120</v>
      </c>
      <c r="C103" s="45" t="s">
        <v>115</v>
      </c>
      <c r="D103" s="44">
        <v>1</v>
      </c>
      <c r="E103" s="43">
        <v>3.2362459546925568E-3</v>
      </c>
    </row>
    <row r="104" spans="2:5" ht="15" customHeight="1" x14ac:dyDescent="0.25">
      <c r="B104" s="81"/>
      <c r="C104" s="45" t="s">
        <v>110</v>
      </c>
      <c r="D104" s="44">
        <v>1</v>
      </c>
      <c r="E104" s="43">
        <v>3.2362459546925568E-3</v>
      </c>
    </row>
    <row r="105" spans="2:5" ht="15" customHeight="1" x14ac:dyDescent="0.25">
      <c r="B105" s="81"/>
      <c r="C105" s="45" t="s">
        <v>101</v>
      </c>
      <c r="D105" s="44">
        <v>1</v>
      </c>
      <c r="E105" s="43">
        <v>3.2362459546925568E-3</v>
      </c>
    </row>
    <row r="106" spans="2:5" ht="15" customHeight="1" x14ac:dyDescent="0.25">
      <c r="B106" s="82"/>
      <c r="C106" s="42" t="s">
        <v>20</v>
      </c>
      <c r="D106" s="41">
        <v>3</v>
      </c>
      <c r="E106" s="40">
        <v>9.7087378640776691E-3</v>
      </c>
    </row>
    <row r="107" spans="2:5" ht="15" customHeight="1" x14ac:dyDescent="0.25">
      <c r="B107" s="80" t="s">
        <v>64</v>
      </c>
      <c r="C107" s="45" t="s">
        <v>115</v>
      </c>
      <c r="D107" s="44">
        <v>1</v>
      </c>
      <c r="E107" s="43">
        <v>3.2362459546925568E-3</v>
      </c>
    </row>
    <row r="108" spans="2:5" ht="15" customHeight="1" x14ac:dyDescent="0.25">
      <c r="B108" s="81"/>
      <c r="C108" s="45" t="s">
        <v>112</v>
      </c>
      <c r="D108" s="44">
        <v>1</v>
      </c>
      <c r="E108" s="43">
        <v>3.2362459546925568E-3</v>
      </c>
    </row>
    <row r="109" spans="2:5" ht="15" customHeight="1" x14ac:dyDescent="0.25">
      <c r="B109" s="81"/>
      <c r="C109" s="45" t="s">
        <v>102</v>
      </c>
      <c r="D109" s="44">
        <v>1</v>
      </c>
      <c r="E109" s="43">
        <v>3.2362459546925568E-3</v>
      </c>
    </row>
    <row r="110" spans="2:5" ht="15" customHeight="1" x14ac:dyDescent="0.25">
      <c r="B110" s="82"/>
      <c r="C110" s="42" t="s">
        <v>20</v>
      </c>
      <c r="D110" s="41">
        <v>3</v>
      </c>
      <c r="E110" s="40">
        <v>9.7087378640776691E-3</v>
      </c>
    </row>
    <row r="111" spans="2:5" ht="15" customHeight="1" x14ac:dyDescent="0.25">
      <c r="B111" s="80" t="s">
        <v>63</v>
      </c>
      <c r="C111" s="45" t="s">
        <v>106</v>
      </c>
      <c r="D111" s="44">
        <v>1</v>
      </c>
      <c r="E111" s="43">
        <v>3.2362459546925568E-3</v>
      </c>
    </row>
    <row r="112" spans="2:5" ht="15" customHeight="1" x14ac:dyDescent="0.25">
      <c r="B112" s="81"/>
      <c r="C112" s="45" t="s">
        <v>104</v>
      </c>
      <c r="D112" s="44">
        <v>1</v>
      </c>
      <c r="E112" s="43">
        <v>3.2362459546925568E-3</v>
      </c>
    </row>
    <row r="113" spans="2:5" ht="15" customHeight="1" x14ac:dyDescent="0.25">
      <c r="B113" s="82"/>
      <c r="C113" s="42" t="s">
        <v>20</v>
      </c>
      <c r="D113" s="41">
        <v>2</v>
      </c>
      <c r="E113" s="40">
        <v>6.4724919093851136E-3</v>
      </c>
    </row>
    <row r="114" spans="2:5" ht="15" customHeight="1" x14ac:dyDescent="0.25">
      <c r="B114" s="80" t="s">
        <v>56</v>
      </c>
      <c r="C114" s="45" t="s">
        <v>104</v>
      </c>
      <c r="D114" s="44">
        <v>1</v>
      </c>
      <c r="E114" s="43">
        <v>3.2362459546925568E-3</v>
      </c>
    </row>
    <row r="115" spans="2:5" ht="15" customHeight="1" x14ac:dyDescent="0.25">
      <c r="B115" s="81"/>
      <c r="C115" s="45" t="s">
        <v>101</v>
      </c>
      <c r="D115" s="44">
        <v>1</v>
      </c>
      <c r="E115" s="43">
        <v>3.2362459546925568E-3</v>
      </c>
    </row>
    <row r="116" spans="2:5" ht="15" customHeight="1" x14ac:dyDescent="0.25">
      <c r="B116" s="82"/>
      <c r="C116" s="42" t="s">
        <v>20</v>
      </c>
      <c r="D116" s="41">
        <v>2</v>
      </c>
      <c r="E116" s="40">
        <v>6.4724919093851136E-3</v>
      </c>
    </row>
    <row r="117" spans="2:5" ht="15" customHeight="1" x14ac:dyDescent="0.25">
      <c r="B117" s="80" t="s">
        <v>84</v>
      </c>
      <c r="C117" s="45" t="s">
        <v>105</v>
      </c>
      <c r="D117" s="44">
        <v>1</v>
      </c>
      <c r="E117" s="43">
        <v>3.2362459546925568E-3</v>
      </c>
    </row>
    <row r="118" spans="2:5" ht="15" customHeight="1" x14ac:dyDescent="0.25">
      <c r="B118" s="81"/>
      <c r="C118" s="45" t="s">
        <v>104</v>
      </c>
      <c r="D118" s="44">
        <v>1</v>
      </c>
      <c r="E118" s="43">
        <v>3.2362459546925568E-3</v>
      </c>
    </row>
    <row r="119" spans="2:5" ht="15" customHeight="1" x14ac:dyDescent="0.25">
      <c r="B119" s="81"/>
      <c r="C119" s="45" t="s">
        <v>101</v>
      </c>
      <c r="D119" s="44">
        <v>1</v>
      </c>
      <c r="E119" s="43">
        <v>3.2362459546925568E-3</v>
      </c>
    </row>
    <row r="120" spans="2:5" ht="15" customHeight="1" x14ac:dyDescent="0.25">
      <c r="B120" s="82"/>
      <c r="C120" s="42" t="s">
        <v>20</v>
      </c>
      <c r="D120" s="41">
        <v>3</v>
      </c>
      <c r="E120" s="40">
        <v>9.7087378640776691E-3</v>
      </c>
    </row>
    <row r="121" spans="2:5" ht="15" customHeight="1" x14ac:dyDescent="0.25">
      <c r="B121" s="80" t="s">
        <v>58</v>
      </c>
      <c r="C121" s="45" t="s">
        <v>104</v>
      </c>
      <c r="D121" s="44">
        <v>1</v>
      </c>
      <c r="E121" s="43">
        <v>3.2362459546925568E-3</v>
      </c>
    </row>
    <row r="122" spans="2:5" ht="15" customHeight="1" x14ac:dyDescent="0.25">
      <c r="B122" s="82"/>
      <c r="C122" s="42" t="s">
        <v>20</v>
      </c>
      <c r="D122" s="41">
        <v>1</v>
      </c>
      <c r="E122" s="40">
        <v>3.2362459546925568E-3</v>
      </c>
    </row>
    <row r="123" spans="2:5" ht="15" customHeight="1" x14ac:dyDescent="0.25">
      <c r="B123" s="80" t="s">
        <v>76</v>
      </c>
      <c r="C123" s="45" t="s">
        <v>111</v>
      </c>
      <c r="D123" s="44">
        <v>1</v>
      </c>
      <c r="E123" s="43">
        <v>3.2362459546925568E-3</v>
      </c>
    </row>
    <row r="124" spans="2:5" ht="15" customHeight="1" x14ac:dyDescent="0.25">
      <c r="B124" s="81"/>
      <c r="C124" s="45" t="s">
        <v>109</v>
      </c>
      <c r="D124" s="44">
        <v>3</v>
      </c>
      <c r="E124" s="43">
        <v>9.7087378640776691E-3</v>
      </c>
    </row>
    <row r="125" spans="2:5" ht="15" customHeight="1" x14ac:dyDescent="0.25">
      <c r="B125" s="81"/>
      <c r="C125" s="45" t="s">
        <v>108</v>
      </c>
      <c r="D125" s="44">
        <v>1</v>
      </c>
      <c r="E125" s="43">
        <v>3.2362459546925568E-3</v>
      </c>
    </row>
    <row r="126" spans="2:5" ht="15" customHeight="1" x14ac:dyDescent="0.25">
      <c r="B126" s="81"/>
      <c r="C126" s="45" t="s">
        <v>102</v>
      </c>
      <c r="D126" s="44">
        <v>2</v>
      </c>
      <c r="E126" s="43">
        <v>6.4724919093851136E-3</v>
      </c>
    </row>
    <row r="127" spans="2:5" ht="15" customHeight="1" x14ac:dyDescent="0.25">
      <c r="B127" s="81"/>
      <c r="C127" s="45" t="s">
        <v>101</v>
      </c>
      <c r="D127" s="44">
        <v>1</v>
      </c>
      <c r="E127" s="43">
        <v>3.2362459546925568E-3</v>
      </c>
    </row>
    <row r="128" spans="2:5" ht="15" customHeight="1" x14ac:dyDescent="0.25">
      <c r="B128" s="82"/>
      <c r="C128" s="42" t="s">
        <v>20</v>
      </c>
      <c r="D128" s="41">
        <v>8</v>
      </c>
      <c r="E128" s="40">
        <v>2.5889967637540454E-2</v>
      </c>
    </row>
    <row r="129" spans="2:5" ht="15" customHeight="1" x14ac:dyDescent="0.25">
      <c r="B129" s="80" t="s">
        <v>72</v>
      </c>
      <c r="C129" s="45" t="s">
        <v>115</v>
      </c>
      <c r="D129" s="44">
        <v>1</v>
      </c>
      <c r="E129" s="43">
        <v>3.2362459546925568E-3</v>
      </c>
    </row>
    <row r="130" spans="2:5" ht="15" customHeight="1" x14ac:dyDescent="0.25">
      <c r="B130" s="81"/>
      <c r="C130" s="45" t="s">
        <v>110</v>
      </c>
      <c r="D130" s="44">
        <v>1</v>
      </c>
      <c r="E130" s="43">
        <v>3.2362459546925568E-3</v>
      </c>
    </row>
    <row r="131" spans="2:5" ht="15" customHeight="1" x14ac:dyDescent="0.25">
      <c r="B131" s="81"/>
      <c r="C131" s="45" t="s">
        <v>109</v>
      </c>
      <c r="D131" s="44">
        <v>6</v>
      </c>
      <c r="E131" s="43">
        <v>1.9417475728155338E-2</v>
      </c>
    </row>
    <row r="132" spans="2:5" ht="15" customHeight="1" x14ac:dyDescent="0.25">
      <c r="B132" s="81"/>
      <c r="C132" s="45" t="s">
        <v>108</v>
      </c>
      <c r="D132" s="44">
        <v>1</v>
      </c>
      <c r="E132" s="43">
        <v>3.2362459546925568E-3</v>
      </c>
    </row>
    <row r="133" spans="2:5" ht="15" customHeight="1" x14ac:dyDescent="0.25">
      <c r="B133" s="81"/>
      <c r="C133" s="45" t="s">
        <v>106</v>
      </c>
      <c r="D133" s="44">
        <v>2</v>
      </c>
      <c r="E133" s="43">
        <v>6.4724919093851136E-3</v>
      </c>
    </row>
    <row r="134" spans="2:5" ht="15" customHeight="1" x14ac:dyDescent="0.25">
      <c r="B134" s="81"/>
      <c r="C134" s="45" t="s">
        <v>104</v>
      </c>
      <c r="D134" s="44">
        <v>6</v>
      </c>
      <c r="E134" s="43">
        <v>1.9417475728155338E-2</v>
      </c>
    </row>
    <row r="135" spans="2:5" ht="15" customHeight="1" x14ac:dyDescent="0.25">
      <c r="B135" s="81"/>
      <c r="C135" s="45" t="s">
        <v>101</v>
      </c>
      <c r="D135" s="44">
        <v>3</v>
      </c>
      <c r="E135" s="43">
        <v>9.7087378640776691E-3</v>
      </c>
    </row>
    <row r="136" spans="2:5" ht="15" customHeight="1" x14ac:dyDescent="0.25">
      <c r="B136" s="82"/>
      <c r="C136" s="42" t="s">
        <v>20</v>
      </c>
      <c r="D136" s="41">
        <v>20</v>
      </c>
      <c r="E136" s="40">
        <v>6.4724919093851127E-2</v>
      </c>
    </row>
    <row r="137" spans="2:5" ht="15" customHeight="1" x14ac:dyDescent="0.25">
      <c r="B137" s="80" t="s">
        <v>61</v>
      </c>
      <c r="C137" s="45" t="s">
        <v>104</v>
      </c>
      <c r="D137" s="44">
        <v>3</v>
      </c>
      <c r="E137" s="43">
        <v>9.7087378640776691E-3</v>
      </c>
    </row>
    <row r="138" spans="2:5" ht="15" customHeight="1" x14ac:dyDescent="0.25">
      <c r="B138" s="81"/>
      <c r="C138" s="45" t="s">
        <v>102</v>
      </c>
      <c r="D138" s="44">
        <v>2</v>
      </c>
      <c r="E138" s="43">
        <v>6.4724919093851136E-3</v>
      </c>
    </row>
    <row r="139" spans="2:5" ht="15" customHeight="1" x14ac:dyDescent="0.25">
      <c r="B139" s="81"/>
      <c r="C139" s="45" t="s">
        <v>101</v>
      </c>
      <c r="D139" s="44">
        <v>2</v>
      </c>
      <c r="E139" s="43">
        <v>6.4724919093851136E-3</v>
      </c>
    </row>
    <row r="140" spans="2:5" ht="15" customHeight="1" x14ac:dyDescent="0.25">
      <c r="B140" s="82"/>
      <c r="C140" s="42" t="s">
        <v>20</v>
      </c>
      <c r="D140" s="41">
        <v>7</v>
      </c>
      <c r="E140" s="40">
        <v>2.2653721682847898E-2</v>
      </c>
    </row>
    <row r="141" spans="2:5" ht="15" customHeight="1" x14ac:dyDescent="0.25">
      <c r="B141" s="80" t="s">
        <v>65</v>
      </c>
      <c r="C141" s="45" t="s">
        <v>104</v>
      </c>
      <c r="D141" s="44">
        <v>3</v>
      </c>
      <c r="E141" s="43">
        <v>9.7087378640776691E-3</v>
      </c>
    </row>
    <row r="142" spans="2:5" ht="15" customHeight="1" x14ac:dyDescent="0.25">
      <c r="B142" s="81"/>
      <c r="C142" s="45" t="s">
        <v>102</v>
      </c>
      <c r="D142" s="44">
        <v>1</v>
      </c>
      <c r="E142" s="43">
        <v>3.2362459546925568E-3</v>
      </c>
    </row>
    <row r="143" spans="2:5" ht="15" customHeight="1" x14ac:dyDescent="0.25">
      <c r="B143" s="81"/>
      <c r="C143" s="45" t="s">
        <v>101</v>
      </c>
      <c r="D143" s="44">
        <v>1</v>
      </c>
      <c r="E143" s="43">
        <v>3.2362459546925568E-3</v>
      </c>
    </row>
    <row r="144" spans="2:5" ht="15" customHeight="1" x14ac:dyDescent="0.25">
      <c r="B144" s="81"/>
      <c r="C144" s="45" t="s">
        <v>99</v>
      </c>
      <c r="D144" s="44">
        <v>1</v>
      </c>
      <c r="E144" s="43">
        <v>3.2362459546925568E-3</v>
      </c>
    </row>
    <row r="145" spans="2:5" ht="15" customHeight="1" x14ac:dyDescent="0.25">
      <c r="B145" s="82"/>
      <c r="C145" s="42" t="s">
        <v>20</v>
      </c>
      <c r="D145" s="41">
        <v>6</v>
      </c>
      <c r="E145" s="40">
        <v>1.9417475728155338E-2</v>
      </c>
    </row>
    <row r="146" spans="2:5" ht="15" customHeight="1" x14ac:dyDescent="0.25">
      <c r="B146" s="80" t="s">
        <v>51</v>
      </c>
      <c r="C146" s="45" t="s">
        <v>104</v>
      </c>
      <c r="D146" s="44">
        <v>1</v>
      </c>
      <c r="E146" s="43">
        <v>3.2362459546925568E-3</v>
      </c>
    </row>
    <row r="147" spans="2:5" ht="15" customHeight="1" x14ac:dyDescent="0.25">
      <c r="B147" s="82"/>
      <c r="C147" s="42" t="s">
        <v>20</v>
      </c>
      <c r="D147" s="41">
        <v>1</v>
      </c>
      <c r="E147" s="40">
        <v>3.2362459546925568E-3</v>
      </c>
    </row>
    <row r="148" spans="2:5" ht="15" customHeight="1" x14ac:dyDescent="0.25">
      <c r="B148" s="80" t="s">
        <v>82</v>
      </c>
      <c r="C148" s="45" t="s">
        <v>108</v>
      </c>
      <c r="D148" s="44">
        <v>1</v>
      </c>
      <c r="E148" s="43">
        <v>3.2362459546925568E-3</v>
      </c>
    </row>
    <row r="149" spans="2:5" ht="15" customHeight="1" x14ac:dyDescent="0.25">
      <c r="B149" s="81"/>
      <c r="C149" s="45" t="s">
        <v>106</v>
      </c>
      <c r="D149" s="44">
        <v>3</v>
      </c>
      <c r="E149" s="43">
        <v>9.7087378640776691E-3</v>
      </c>
    </row>
    <row r="150" spans="2:5" ht="15" customHeight="1" x14ac:dyDescent="0.25">
      <c r="B150" s="81"/>
      <c r="C150" s="45" t="s">
        <v>105</v>
      </c>
      <c r="D150" s="44">
        <v>1</v>
      </c>
      <c r="E150" s="43">
        <v>3.2362459546925568E-3</v>
      </c>
    </row>
    <row r="151" spans="2:5" ht="15" customHeight="1" x14ac:dyDescent="0.25">
      <c r="B151" s="81"/>
      <c r="C151" s="45" t="s">
        <v>104</v>
      </c>
      <c r="D151" s="44">
        <v>4</v>
      </c>
      <c r="E151" s="43">
        <v>1.2944983818770227E-2</v>
      </c>
    </row>
    <row r="152" spans="2:5" ht="15" customHeight="1" x14ac:dyDescent="0.25">
      <c r="B152" s="81"/>
      <c r="C152" s="45" t="s">
        <v>102</v>
      </c>
      <c r="D152" s="44">
        <v>4</v>
      </c>
      <c r="E152" s="43">
        <v>1.2944983818770227E-2</v>
      </c>
    </row>
    <row r="153" spans="2:5" ht="15" customHeight="1" x14ac:dyDescent="0.25">
      <c r="B153" s="81"/>
      <c r="C153" s="45" t="s">
        <v>101</v>
      </c>
      <c r="D153" s="44">
        <v>1</v>
      </c>
      <c r="E153" s="43">
        <v>3.2362459546925568E-3</v>
      </c>
    </row>
    <row r="154" spans="2:5" ht="15" customHeight="1" x14ac:dyDescent="0.25">
      <c r="B154" s="81"/>
      <c r="C154" s="45" t="s">
        <v>99</v>
      </c>
      <c r="D154" s="44">
        <v>1</v>
      </c>
      <c r="E154" s="43">
        <v>3.2362459546925568E-3</v>
      </c>
    </row>
    <row r="155" spans="2:5" ht="15" customHeight="1" x14ac:dyDescent="0.25">
      <c r="B155" s="82"/>
      <c r="C155" s="42" t="s">
        <v>20</v>
      </c>
      <c r="D155" s="41">
        <v>15</v>
      </c>
      <c r="E155" s="40">
        <v>4.8543689320388349E-2</v>
      </c>
    </row>
    <row r="156" spans="2:5" ht="15" customHeight="1" x14ac:dyDescent="0.25">
      <c r="B156" s="80" t="s">
        <v>74</v>
      </c>
      <c r="C156" s="45" t="s">
        <v>111</v>
      </c>
      <c r="D156" s="44">
        <v>2</v>
      </c>
      <c r="E156" s="43">
        <v>6.4724919093851136E-3</v>
      </c>
    </row>
    <row r="157" spans="2:5" ht="15" customHeight="1" x14ac:dyDescent="0.25">
      <c r="B157" s="81"/>
      <c r="C157" s="45" t="s">
        <v>109</v>
      </c>
      <c r="D157" s="44">
        <v>2</v>
      </c>
      <c r="E157" s="43">
        <v>6.4724919093851136E-3</v>
      </c>
    </row>
    <row r="158" spans="2:5" ht="15" customHeight="1" x14ac:dyDescent="0.25">
      <c r="B158" s="81"/>
      <c r="C158" s="45" t="s">
        <v>108</v>
      </c>
      <c r="D158" s="44">
        <v>1</v>
      </c>
      <c r="E158" s="43">
        <v>3.2362459546925568E-3</v>
      </c>
    </row>
    <row r="159" spans="2:5" ht="15" customHeight="1" x14ac:dyDescent="0.25">
      <c r="B159" s="81"/>
      <c r="C159" s="45" t="s">
        <v>107</v>
      </c>
      <c r="D159" s="44">
        <v>1</v>
      </c>
      <c r="E159" s="43">
        <v>3.2362459546925568E-3</v>
      </c>
    </row>
    <row r="160" spans="2:5" ht="15" customHeight="1" x14ac:dyDescent="0.25">
      <c r="B160" s="81"/>
      <c r="C160" s="45" t="s">
        <v>104</v>
      </c>
      <c r="D160" s="44">
        <v>2</v>
      </c>
      <c r="E160" s="43">
        <v>6.4724919093851136E-3</v>
      </c>
    </row>
    <row r="161" spans="2:5" ht="15" customHeight="1" x14ac:dyDescent="0.25">
      <c r="B161" s="81"/>
      <c r="C161" s="45" t="s">
        <v>101</v>
      </c>
      <c r="D161" s="44">
        <v>2</v>
      </c>
      <c r="E161" s="43">
        <v>6.4724919093851136E-3</v>
      </c>
    </row>
    <row r="162" spans="2:5" ht="15" customHeight="1" x14ac:dyDescent="0.25">
      <c r="B162" s="81"/>
      <c r="C162" s="45" t="s">
        <v>99</v>
      </c>
      <c r="D162" s="44">
        <v>4</v>
      </c>
      <c r="E162" s="43">
        <v>1.2944983818770227E-2</v>
      </c>
    </row>
    <row r="163" spans="2:5" ht="15" customHeight="1" x14ac:dyDescent="0.25">
      <c r="B163" s="81"/>
      <c r="C163" s="45" t="s">
        <v>98</v>
      </c>
      <c r="D163" s="44">
        <v>1</v>
      </c>
      <c r="E163" s="43">
        <v>3.2362459546925568E-3</v>
      </c>
    </row>
    <row r="164" spans="2:5" ht="15" customHeight="1" x14ac:dyDescent="0.25">
      <c r="B164" s="82"/>
      <c r="C164" s="42" t="s">
        <v>20</v>
      </c>
      <c r="D164" s="41">
        <v>15</v>
      </c>
      <c r="E164" s="40">
        <v>4.8543689320388349E-2</v>
      </c>
    </row>
    <row r="165" spans="2:5" ht="15" customHeight="1" x14ac:dyDescent="0.25">
      <c r="B165" s="80" t="s">
        <v>60</v>
      </c>
      <c r="C165" s="45" t="s">
        <v>108</v>
      </c>
      <c r="D165" s="44">
        <v>1</v>
      </c>
      <c r="E165" s="43">
        <v>3.2362459546925568E-3</v>
      </c>
    </row>
    <row r="166" spans="2:5" ht="15" customHeight="1" x14ac:dyDescent="0.25">
      <c r="B166" s="81"/>
      <c r="C166" s="45" t="s">
        <v>102</v>
      </c>
      <c r="D166" s="44">
        <v>1</v>
      </c>
      <c r="E166" s="43">
        <v>3.2362459546925568E-3</v>
      </c>
    </row>
    <row r="167" spans="2:5" ht="15" customHeight="1" x14ac:dyDescent="0.25">
      <c r="B167" s="81"/>
      <c r="C167" s="45" t="s">
        <v>101</v>
      </c>
      <c r="D167" s="44">
        <v>1</v>
      </c>
      <c r="E167" s="43">
        <v>3.2362459546925568E-3</v>
      </c>
    </row>
    <row r="168" spans="2:5" ht="15" customHeight="1" x14ac:dyDescent="0.25">
      <c r="B168" s="82"/>
      <c r="C168" s="42" t="s">
        <v>20</v>
      </c>
      <c r="D168" s="41">
        <v>3</v>
      </c>
      <c r="E168" s="40">
        <v>9.7087378640776691E-3</v>
      </c>
    </row>
    <row r="169" spans="2:5" ht="15" customHeight="1" x14ac:dyDescent="0.25">
      <c r="B169" s="80" t="s">
        <v>62</v>
      </c>
      <c r="C169" s="45" t="s">
        <v>115</v>
      </c>
      <c r="D169" s="44">
        <v>1</v>
      </c>
      <c r="E169" s="43">
        <v>3.2362459546925568E-3</v>
      </c>
    </row>
    <row r="170" spans="2:5" ht="15" customHeight="1" x14ac:dyDescent="0.25">
      <c r="B170" s="81"/>
      <c r="C170" s="45" t="s">
        <v>108</v>
      </c>
      <c r="D170" s="44">
        <v>1</v>
      </c>
      <c r="E170" s="43">
        <v>3.2362459546925568E-3</v>
      </c>
    </row>
    <row r="171" spans="2:5" ht="15" customHeight="1" x14ac:dyDescent="0.25">
      <c r="B171" s="81"/>
      <c r="C171" s="45" t="s">
        <v>105</v>
      </c>
      <c r="D171" s="44">
        <v>1</v>
      </c>
      <c r="E171" s="43">
        <v>3.2362459546925568E-3</v>
      </c>
    </row>
    <row r="172" spans="2:5" ht="15" customHeight="1" x14ac:dyDescent="0.25">
      <c r="B172" s="81"/>
      <c r="C172" s="45" t="s">
        <v>104</v>
      </c>
      <c r="D172" s="44">
        <v>4</v>
      </c>
      <c r="E172" s="43">
        <v>1.2944983818770227E-2</v>
      </c>
    </row>
    <row r="173" spans="2:5" ht="15" customHeight="1" x14ac:dyDescent="0.25">
      <c r="B173" s="81"/>
      <c r="C173" s="45" t="s">
        <v>102</v>
      </c>
      <c r="D173" s="44">
        <v>1</v>
      </c>
      <c r="E173" s="43">
        <v>3.2362459546925568E-3</v>
      </c>
    </row>
    <row r="174" spans="2:5" ht="15" customHeight="1" x14ac:dyDescent="0.25">
      <c r="B174" s="81"/>
      <c r="C174" s="45" t="s">
        <v>101</v>
      </c>
      <c r="D174" s="44">
        <v>3</v>
      </c>
      <c r="E174" s="43">
        <v>9.7087378640776691E-3</v>
      </c>
    </row>
    <row r="175" spans="2:5" ht="15" customHeight="1" x14ac:dyDescent="0.25">
      <c r="B175" s="81"/>
      <c r="C175" s="45" t="s">
        <v>98</v>
      </c>
      <c r="D175" s="44">
        <v>1</v>
      </c>
      <c r="E175" s="43">
        <v>3.2362459546925568E-3</v>
      </c>
    </row>
    <row r="176" spans="2:5" ht="15" customHeight="1" x14ac:dyDescent="0.25">
      <c r="B176" s="82"/>
      <c r="C176" s="42" t="s">
        <v>20</v>
      </c>
      <c r="D176" s="41">
        <v>12</v>
      </c>
      <c r="E176" s="40">
        <v>3.8834951456310676E-2</v>
      </c>
    </row>
    <row r="177" spans="2:5" ht="15" customHeight="1" x14ac:dyDescent="0.25">
      <c r="B177" s="80" t="s">
        <v>69</v>
      </c>
      <c r="C177" s="45" t="s">
        <v>108</v>
      </c>
      <c r="D177" s="44">
        <v>1</v>
      </c>
      <c r="E177" s="43">
        <v>3.2362459546925568E-3</v>
      </c>
    </row>
    <row r="178" spans="2:5" ht="15" customHeight="1" x14ac:dyDescent="0.25">
      <c r="B178" s="82"/>
      <c r="C178" s="42" t="s">
        <v>20</v>
      </c>
      <c r="D178" s="41">
        <v>1</v>
      </c>
      <c r="E178" s="40">
        <v>3.2362459546925568E-3</v>
      </c>
    </row>
    <row r="179" spans="2:5" ht="15" customHeight="1" x14ac:dyDescent="0.25">
      <c r="B179" s="80" t="s">
        <v>81</v>
      </c>
      <c r="C179" s="45" t="s">
        <v>114</v>
      </c>
      <c r="D179" s="44">
        <v>1</v>
      </c>
      <c r="E179" s="43">
        <v>3.2362459546925568E-3</v>
      </c>
    </row>
    <row r="180" spans="2:5" ht="15" customHeight="1" x14ac:dyDescent="0.25">
      <c r="B180" s="81"/>
      <c r="C180" s="45" t="s">
        <v>110</v>
      </c>
      <c r="D180" s="44">
        <v>1</v>
      </c>
      <c r="E180" s="43">
        <v>3.2362459546925568E-3</v>
      </c>
    </row>
    <row r="181" spans="2:5" ht="15" customHeight="1" x14ac:dyDescent="0.25">
      <c r="B181" s="81"/>
      <c r="C181" s="45" t="s">
        <v>109</v>
      </c>
      <c r="D181" s="44">
        <v>1</v>
      </c>
      <c r="E181" s="43">
        <v>3.2362459546925568E-3</v>
      </c>
    </row>
    <row r="182" spans="2:5" ht="15" customHeight="1" x14ac:dyDescent="0.25">
      <c r="B182" s="81"/>
      <c r="C182" s="45" t="s">
        <v>108</v>
      </c>
      <c r="D182" s="44">
        <v>2</v>
      </c>
      <c r="E182" s="43">
        <v>6.4724919093851136E-3</v>
      </c>
    </row>
    <row r="183" spans="2:5" ht="15" customHeight="1" x14ac:dyDescent="0.25">
      <c r="B183" s="81"/>
      <c r="C183" s="45" t="s">
        <v>107</v>
      </c>
      <c r="D183" s="44">
        <v>1</v>
      </c>
      <c r="E183" s="43">
        <v>3.2362459546925568E-3</v>
      </c>
    </row>
    <row r="184" spans="2:5" ht="15" customHeight="1" x14ac:dyDescent="0.25">
      <c r="B184" s="81"/>
      <c r="C184" s="45" t="s">
        <v>104</v>
      </c>
      <c r="D184" s="44">
        <v>4</v>
      </c>
      <c r="E184" s="43">
        <v>1.2944983818770227E-2</v>
      </c>
    </row>
    <row r="185" spans="2:5" ht="15" customHeight="1" x14ac:dyDescent="0.25">
      <c r="B185" s="81"/>
      <c r="C185" s="45" t="s">
        <v>102</v>
      </c>
      <c r="D185" s="44">
        <v>4</v>
      </c>
      <c r="E185" s="43">
        <v>1.2944983818770227E-2</v>
      </c>
    </row>
    <row r="186" spans="2:5" ht="15" customHeight="1" x14ac:dyDescent="0.25">
      <c r="B186" s="81"/>
      <c r="C186" s="45" t="s">
        <v>101</v>
      </c>
      <c r="D186" s="44">
        <v>4</v>
      </c>
      <c r="E186" s="43">
        <v>1.2944983818770227E-2</v>
      </c>
    </row>
    <row r="187" spans="2:5" ht="15" customHeight="1" x14ac:dyDescent="0.25">
      <c r="B187" s="81"/>
      <c r="C187" s="45" t="s">
        <v>99</v>
      </c>
      <c r="D187" s="44">
        <v>1</v>
      </c>
      <c r="E187" s="43">
        <v>3.2362459546925568E-3</v>
      </c>
    </row>
    <row r="188" spans="2:5" ht="15" customHeight="1" x14ac:dyDescent="0.25">
      <c r="B188" s="81"/>
      <c r="C188" s="45" t="s">
        <v>98</v>
      </c>
      <c r="D188" s="44">
        <v>1</v>
      </c>
      <c r="E188" s="43">
        <v>3.2362459546925568E-3</v>
      </c>
    </row>
    <row r="189" spans="2:5" ht="15" customHeight="1" x14ac:dyDescent="0.25">
      <c r="B189" s="82"/>
      <c r="C189" s="42" t="s">
        <v>20</v>
      </c>
      <c r="D189" s="41">
        <v>20</v>
      </c>
      <c r="E189" s="40">
        <v>6.4724919093851127E-2</v>
      </c>
    </row>
    <row r="190" spans="2:5" ht="15" customHeight="1" x14ac:dyDescent="0.25">
      <c r="B190" s="80" t="s">
        <v>66</v>
      </c>
      <c r="C190" s="45" t="s">
        <v>110</v>
      </c>
      <c r="D190" s="44">
        <v>1</v>
      </c>
      <c r="E190" s="43">
        <v>3.2362459546925568E-3</v>
      </c>
    </row>
    <row r="191" spans="2:5" ht="15" customHeight="1" x14ac:dyDescent="0.25">
      <c r="B191" s="81"/>
      <c r="C191" s="45" t="s">
        <v>107</v>
      </c>
      <c r="D191" s="44">
        <v>1</v>
      </c>
      <c r="E191" s="43">
        <v>3.2362459546925568E-3</v>
      </c>
    </row>
    <row r="192" spans="2:5" ht="15" customHeight="1" x14ac:dyDescent="0.25">
      <c r="B192" s="81"/>
      <c r="C192" s="45" t="s">
        <v>103</v>
      </c>
      <c r="D192" s="44">
        <v>1</v>
      </c>
      <c r="E192" s="43">
        <v>3.2362459546925568E-3</v>
      </c>
    </row>
    <row r="193" spans="2:5" ht="15" customHeight="1" x14ac:dyDescent="0.25">
      <c r="B193" s="81"/>
      <c r="C193" s="45" t="s">
        <v>102</v>
      </c>
      <c r="D193" s="44">
        <v>2</v>
      </c>
      <c r="E193" s="43">
        <v>6.4724919093851136E-3</v>
      </c>
    </row>
    <row r="194" spans="2:5" ht="15" customHeight="1" x14ac:dyDescent="0.25">
      <c r="B194" s="81"/>
      <c r="C194" s="45" t="s">
        <v>101</v>
      </c>
      <c r="D194" s="44">
        <v>5</v>
      </c>
      <c r="E194" s="43">
        <v>1.6181229773462782E-2</v>
      </c>
    </row>
    <row r="195" spans="2:5" ht="15" customHeight="1" x14ac:dyDescent="0.25">
      <c r="B195" s="82"/>
      <c r="C195" s="42" t="s">
        <v>20</v>
      </c>
      <c r="D195" s="41">
        <v>10</v>
      </c>
      <c r="E195" s="40">
        <v>3.2362459546925564E-2</v>
      </c>
    </row>
    <row r="196" spans="2:5" ht="15" customHeight="1" x14ac:dyDescent="0.25">
      <c r="B196" s="80" t="s">
        <v>78</v>
      </c>
      <c r="C196" s="45" t="s">
        <v>109</v>
      </c>
      <c r="D196" s="44">
        <v>2</v>
      </c>
      <c r="E196" s="43">
        <v>6.4724919093851136E-3</v>
      </c>
    </row>
    <row r="197" spans="2:5" ht="15" customHeight="1" x14ac:dyDescent="0.25">
      <c r="B197" s="81"/>
      <c r="C197" s="45" t="s">
        <v>104</v>
      </c>
      <c r="D197" s="44">
        <v>2</v>
      </c>
      <c r="E197" s="43">
        <v>6.4724919093851136E-3</v>
      </c>
    </row>
    <row r="198" spans="2:5" ht="15" customHeight="1" x14ac:dyDescent="0.25">
      <c r="B198" s="81"/>
      <c r="C198" s="45" t="s">
        <v>103</v>
      </c>
      <c r="D198" s="44">
        <v>1</v>
      </c>
      <c r="E198" s="43">
        <v>3.2362459546925568E-3</v>
      </c>
    </row>
    <row r="199" spans="2:5" ht="15" customHeight="1" x14ac:dyDescent="0.25">
      <c r="B199" s="81"/>
      <c r="C199" s="45" t="s">
        <v>102</v>
      </c>
      <c r="D199" s="44">
        <v>1</v>
      </c>
      <c r="E199" s="43">
        <v>3.2362459546925568E-3</v>
      </c>
    </row>
    <row r="200" spans="2:5" ht="15" customHeight="1" x14ac:dyDescent="0.25">
      <c r="B200" s="81"/>
      <c r="C200" s="45" t="s">
        <v>101</v>
      </c>
      <c r="D200" s="44">
        <v>1</v>
      </c>
      <c r="E200" s="43">
        <v>3.2362459546925568E-3</v>
      </c>
    </row>
    <row r="201" spans="2:5" ht="15" customHeight="1" x14ac:dyDescent="0.25">
      <c r="B201" s="81"/>
      <c r="C201" s="45" t="s">
        <v>167</v>
      </c>
      <c r="D201" s="44">
        <v>2</v>
      </c>
      <c r="E201" s="43">
        <v>6.4724919093851136E-3</v>
      </c>
    </row>
    <row r="202" spans="2:5" ht="15" customHeight="1" x14ac:dyDescent="0.25">
      <c r="B202" s="82"/>
      <c r="C202" s="42" t="s">
        <v>20</v>
      </c>
      <c r="D202" s="41">
        <v>9</v>
      </c>
      <c r="E202" s="40">
        <v>2.9126213592233011E-2</v>
      </c>
    </row>
    <row r="203" spans="2:5" ht="15" customHeight="1" x14ac:dyDescent="0.25">
      <c r="B203" s="80" t="s">
        <v>119</v>
      </c>
      <c r="C203" s="45" t="s">
        <v>114</v>
      </c>
      <c r="D203" s="44">
        <v>1</v>
      </c>
      <c r="E203" s="43">
        <v>3.2362459546925568E-3</v>
      </c>
    </row>
    <row r="204" spans="2:5" ht="15" customHeight="1" x14ac:dyDescent="0.25">
      <c r="B204" s="81"/>
      <c r="C204" s="45" t="s">
        <v>109</v>
      </c>
      <c r="D204" s="44">
        <v>1</v>
      </c>
      <c r="E204" s="43">
        <v>3.2362459546925568E-3</v>
      </c>
    </row>
    <row r="205" spans="2:5" ht="15" customHeight="1" x14ac:dyDescent="0.25">
      <c r="B205" s="81"/>
      <c r="C205" s="45" t="s">
        <v>108</v>
      </c>
      <c r="D205" s="44">
        <v>1</v>
      </c>
      <c r="E205" s="43">
        <v>3.2362459546925568E-3</v>
      </c>
    </row>
    <row r="206" spans="2:5" ht="15" customHeight="1" x14ac:dyDescent="0.25">
      <c r="B206" s="81"/>
      <c r="C206" s="45" t="s">
        <v>104</v>
      </c>
      <c r="D206" s="44">
        <v>2</v>
      </c>
      <c r="E206" s="43">
        <v>6.4724919093851136E-3</v>
      </c>
    </row>
    <row r="207" spans="2:5" ht="15" customHeight="1" x14ac:dyDescent="0.25">
      <c r="B207" s="81"/>
      <c r="C207" s="45" t="s">
        <v>102</v>
      </c>
      <c r="D207" s="44">
        <v>1</v>
      </c>
      <c r="E207" s="43">
        <v>3.2362459546925568E-3</v>
      </c>
    </row>
    <row r="208" spans="2:5" ht="15" customHeight="1" x14ac:dyDescent="0.25">
      <c r="B208" s="81"/>
      <c r="C208" s="45" t="s">
        <v>101</v>
      </c>
      <c r="D208" s="44">
        <v>4</v>
      </c>
      <c r="E208" s="43">
        <v>1.2944983818770227E-2</v>
      </c>
    </row>
    <row r="209" spans="2:5" ht="15" customHeight="1" x14ac:dyDescent="0.25">
      <c r="B209" s="81"/>
      <c r="C209" s="45" t="s">
        <v>98</v>
      </c>
      <c r="D209" s="44">
        <v>1</v>
      </c>
      <c r="E209" s="43">
        <v>3.2362459546925568E-3</v>
      </c>
    </row>
    <row r="210" spans="2:5" ht="15" customHeight="1" x14ac:dyDescent="0.25">
      <c r="B210" s="82"/>
      <c r="C210" s="42" t="s">
        <v>20</v>
      </c>
      <c r="D210" s="41">
        <v>11</v>
      </c>
      <c r="E210" s="40">
        <v>3.5598705501618123E-2</v>
      </c>
    </row>
    <row r="211" spans="2:5" ht="15" customHeight="1" x14ac:dyDescent="0.25">
      <c r="B211" s="80" t="s">
        <v>80</v>
      </c>
      <c r="C211" s="45" t="s">
        <v>105</v>
      </c>
      <c r="D211" s="44">
        <v>1</v>
      </c>
      <c r="E211" s="43">
        <v>3.2362459546925568E-3</v>
      </c>
    </row>
    <row r="212" spans="2:5" ht="15" customHeight="1" x14ac:dyDescent="0.25">
      <c r="B212" s="81"/>
      <c r="C212" s="45" t="s">
        <v>101</v>
      </c>
      <c r="D212" s="44">
        <v>1</v>
      </c>
      <c r="E212" s="43">
        <v>3.2362459546925568E-3</v>
      </c>
    </row>
    <row r="213" spans="2:5" ht="15" customHeight="1" x14ac:dyDescent="0.25">
      <c r="B213" s="81"/>
      <c r="C213" s="45" t="s">
        <v>98</v>
      </c>
      <c r="D213" s="44">
        <v>1</v>
      </c>
      <c r="E213" s="43">
        <v>3.2362459546925568E-3</v>
      </c>
    </row>
    <row r="214" spans="2:5" ht="15" customHeight="1" x14ac:dyDescent="0.25">
      <c r="B214" s="82"/>
      <c r="C214" s="42" t="s">
        <v>20</v>
      </c>
      <c r="D214" s="41">
        <v>3</v>
      </c>
      <c r="E214" s="40">
        <v>9.7087378640776691E-3</v>
      </c>
    </row>
    <row r="215" spans="2:5" ht="15" customHeight="1" x14ac:dyDescent="0.25">
      <c r="B215" s="80" t="s">
        <v>59</v>
      </c>
      <c r="C215" s="45" t="s">
        <v>102</v>
      </c>
      <c r="D215" s="44">
        <v>1</v>
      </c>
      <c r="E215" s="43">
        <v>3.2362459546925568E-3</v>
      </c>
    </row>
    <row r="216" spans="2:5" ht="15" customHeight="1" x14ac:dyDescent="0.25">
      <c r="B216" s="82"/>
      <c r="C216" s="42" t="s">
        <v>20</v>
      </c>
      <c r="D216" s="41">
        <v>1</v>
      </c>
      <c r="E216" s="40">
        <v>3.2362459546925568E-3</v>
      </c>
    </row>
    <row r="217" spans="2:5" ht="15" customHeight="1" x14ac:dyDescent="0.25">
      <c r="B217" s="80" t="s">
        <v>52</v>
      </c>
      <c r="C217" s="45" t="s">
        <v>102</v>
      </c>
      <c r="D217" s="44">
        <v>1</v>
      </c>
      <c r="E217" s="43">
        <v>3.2362459546925568E-3</v>
      </c>
    </row>
    <row r="218" spans="2:5" ht="15" customHeight="1" x14ac:dyDescent="0.25">
      <c r="B218" s="81"/>
      <c r="C218" s="45" t="s">
        <v>101</v>
      </c>
      <c r="D218" s="44">
        <v>1</v>
      </c>
      <c r="E218" s="43">
        <v>3.2362459546925568E-3</v>
      </c>
    </row>
    <row r="219" spans="2:5" ht="15" customHeight="1" x14ac:dyDescent="0.25">
      <c r="B219" s="82"/>
      <c r="C219" s="42" t="s">
        <v>20</v>
      </c>
      <c r="D219" s="41">
        <v>2</v>
      </c>
      <c r="E219" s="40">
        <v>6.4724919093851136E-3</v>
      </c>
    </row>
    <row r="220" spans="2:5" ht="15" customHeight="1" x14ac:dyDescent="0.25">
      <c r="B220" s="80" t="s">
        <v>34</v>
      </c>
      <c r="C220" s="45" t="s">
        <v>105</v>
      </c>
      <c r="D220" s="44">
        <v>1</v>
      </c>
      <c r="E220" s="43">
        <v>3.2362459546925568E-3</v>
      </c>
    </row>
    <row r="221" spans="2:5" ht="15" customHeight="1" x14ac:dyDescent="0.25">
      <c r="B221" s="82"/>
      <c r="C221" s="42" t="s">
        <v>20</v>
      </c>
      <c r="D221" s="41">
        <v>1</v>
      </c>
      <c r="E221" s="40">
        <v>3.2362459546925568E-3</v>
      </c>
    </row>
    <row r="222" spans="2:5" ht="15" customHeight="1" x14ac:dyDescent="0.25">
      <c r="B222" s="84" t="s">
        <v>20</v>
      </c>
      <c r="C222" s="85"/>
      <c r="D222" s="39">
        <v>309</v>
      </c>
      <c r="E222" s="38">
        <v>1</v>
      </c>
    </row>
    <row r="224" spans="2:5" ht="15" customHeight="1" x14ac:dyDescent="0.25">
      <c r="B224" s="19" t="s">
        <v>161</v>
      </c>
    </row>
    <row r="225" spans="2:2" ht="15" customHeight="1" x14ac:dyDescent="0.25">
      <c r="B225" s="21" t="s">
        <v>19</v>
      </c>
    </row>
    <row r="226" spans="2:2" ht="15" customHeight="1" x14ac:dyDescent="0.25">
      <c r="B226" s="20" t="s">
        <v>18</v>
      </c>
    </row>
    <row r="227" spans="2:2" ht="15" customHeight="1" x14ac:dyDescent="0.25">
      <c r="B227" s="19" t="s">
        <v>17</v>
      </c>
    </row>
    <row r="228" spans="2:2" ht="15" customHeight="1" x14ac:dyDescent="0.25">
      <c r="B228" s="19" t="s">
        <v>162</v>
      </c>
    </row>
  </sheetData>
  <mergeCells count="43">
    <mergeCell ref="B222:C222"/>
    <mergeCell ref="B10:B14"/>
    <mergeCell ref="B15:B22"/>
    <mergeCell ref="B31:B32"/>
    <mergeCell ref="B33:B38"/>
    <mergeCell ref="B39:B47"/>
    <mergeCell ref="B196:B202"/>
    <mergeCell ref="B203:B210"/>
    <mergeCell ref="B211:B214"/>
    <mergeCell ref="B215:B216"/>
    <mergeCell ref="B217:B219"/>
    <mergeCell ref="B220:B221"/>
    <mergeCell ref="B129:B136"/>
    <mergeCell ref="B137:B140"/>
    <mergeCell ref="B141:B145"/>
    <mergeCell ref="B146:B147"/>
    <mergeCell ref="B148:B155"/>
    <mergeCell ref="B156:B164"/>
    <mergeCell ref="B165:B168"/>
    <mergeCell ref="B169:B176"/>
    <mergeCell ref="B177:B178"/>
    <mergeCell ref="B179:B189"/>
    <mergeCell ref="B190:B195"/>
    <mergeCell ref="B85:B90"/>
    <mergeCell ref="B91:B102"/>
    <mergeCell ref="B103:B106"/>
    <mergeCell ref="B107:B110"/>
    <mergeCell ref="B111:B113"/>
    <mergeCell ref="B114:B116"/>
    <mergeCell ref="B117:B120"/>
    <mergeCell ref="B121:B122"/>
    <mergeCell ref="B123:B128"/>
    <mergeCell ref="B23:B26"/>
    <mergeCell ref="B27:B30"/>
    <mergeCell ref="B48:B52"/>
    <mergeCell ref="B53:B54"/>
    <mergeCell ref="B55:B56"/>
    <mergeCell ref="B57:B59"/>
    <mergeCell ref="B60:B70"/>
    <mergeCell ref="B71:B74"/>
    <mergeCell ref="B75:B78"/>
    <mergeCell ref="B79:B84"/>
    <mergeCell ref="B7:E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0"/>
  <sheetViews>
    <sheetView showGridLines="0" topLeftCell="A3" zoomScaleNormal="100" zoomScaleSheetLayoutView="115" workbookViewId="0">
      <selection activeCell="A3" sqref="A3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49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86" t="s">
        <v>173</v>
      </c>
      <c r="C7" s="86"/>
      <c r="D7" s="86"/>
    </row>
    <row r="8" spans="1:4" s="29" customFormat="1" ht="15" customHeight="1" x14ac:dyDescent="0.2">
      <c r="B8" s="86"/>
      <c r="C8" s="86"/>
      <c r="D8" s="86"/>
    </row>
    <row r="9" spans="1:4" s="29" customFormat="1" ht="33" customHeight="1" x14ac:dyDescent="0.2">
      <c r="B9" s="86"/>
      <c r="C9" s="86"/>
      <c r="D9" s="86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127</v>
      </c>
      <c r="C11" s="31" t="s">
        <v>47</v>
      </c>
      <c r="D11" s="30" t="s">
        <v>46</v>
      </c>
    </row>
    <row r="12" spans="1:4" x14ac:dyDescent="0.25">
      <c r="B12" s="27" t="s">
        <v>126</v>
      </c>
      <c r="C12" s="26">
        <v>168</v>
      </c>
      <c r="D12" s="25">
        <v>0.53333333333333333</v>
      </c>
    </row>
    <row r="13" spans="1:4" x14ac:dyDescent="0.25">
      <c r="B13" s="27" t="s">
        <v>125</v>
      </c>
      <c r="C13" s="26">
        <v>147</v>
      </c>
      <c r="D13" s="25">
        <v>0.46666666666666667</v>
      </c>
    </row>
    <row r="14" spans="1:4" x14ac:dyDescent="0.25">
      <c r="B14" s="24" t="s">
        <v>124</v>
      </c>
      <c r="C14" s="23">
        <v>315</v>
      </c>
      <c r="D14" s="22">
        <v>1</v>
      </c>
    </row>
    <row r="15" spans="1:4" ht="15.75" x14ac:dyDescent="0.25">
      <c r="B15" s="28"/>
      <c r="C15" s="61"/>
      <c r="D15" s="61"/>
    </row>
    <row r="16" spans="1:4" ht="15.75" x14ac:dyDescent="0.25">
      <c r="B16" s="19" t="s">
        <v>161</v>
      </c>
      <c r="C16" s="61"/>
      <c r="D16" s="61"/>
    </row>
    <row r="17" spans="2:4" x14ac:dyDescent="0.25">
      <c r="B17" s="21" t="s">
        <v>19</v>
      </c>
      <c r="C17" s="60"/>
      <c r="D17" s="60"/>
    </row>
    <row r="18" spans="2:4" x14ac:dyDescent="0.25">
      <c r="B18" s="20" t="s">
        <v>18</v>
      </c>
      <c r="C18" s="59"/>
      <c r="D18" s="59"/>
    </row>
    <row r="19" spans="2:4" x14ac:dyDescent="0.25">
      <c r="B19" s="19" t="s">
        <v>17</v>
      </c>
    </row>
    <row r="20" spans="2:4" x14ac:dyDescent="0.25">
      <c r="B20" s="19" t="s">
        <v>162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29"/>
  <sheetViews>
    <sheetView showGridLines="0" zoomScale="96" zoomScaleNormal="96" zoomScaleSheetLayoutView="100" workbookViewId="0"/>
  </sheetViews>
  <sheetFormatPr baseColWidth="10" defaultColWidth="11.42578125" defaultRowHeight="11.25" x14ac:dyDescent="0.2"/>
  <cols>
    <col min="1" max="1" width="5.7109375" style="29" customWidth="1"/>
    <col min="2" max="2" width="19" style="50" customWidth="1"/>
    <col min="3" max="3" width="14.7109375" style="50" customWidth="1"/>
    <col min="4" max="4" width="23.5703125" style="62" customWidth="1"/>
    <col min="5" max="5" width="15.140625" style="50" bestFit="1" customWidth="1"/>
    <col min="6" max="6" width="5.7109375" style="29" customWidth="1"/>
    <col min="7" max="16384" width="11.42578125" style="29"/>
  </cols>
  <sheetData>
    <row r="1" spans="1:6" s="64" customFormat="1" ht="15" x14ac:dyDescent="0.25">
      <c r="B1" s="53"/>
      <c r="C1" s="50"/>
    </row>
    <row r="2" spans="1:6" s="50" customFormat="1" x14ac:dyDescent="0.2">
      <c r="B2" s="68"/>
    </row>
    <row r="3" spans="1:6" ht="15" customHeight="1" x14ac:dyDescent="0.2">
      <c r="B3" s="69"/>
      <c r="C3" s="35"/>
      <c r="D3" s="29"/>
      <c r="F3" s="50"/>
    </row>
    <row r="4" spans="1:6" ht="30" customHeight="1" x14ac:dyDescent="0.2">
      <c r="B4" s="69"/>
      <c r="C4" s="35"/>
      <c r="D4" s="29"/>
      <c r="F4" s="50"/>
    </row>
    <row r="5" spans="1:6" ht="15" customHeight="1" x14ac:dyDescent="0.2">
      <c r="B5" s="69"/>
      <c r="C5" s="35"/>
      <c r="D5" s="29"/>
      <c r="F5" s="50"/>
    </row>
    <row r="6" spans="1:6" s="50" customFormat="1" x14ac:dyDescent="0.2">
      <c r="B6" s="57"/>
      <c r="C6" s="46"/>
    </row>
    <row r="7" spans="1:6" s="50" customFormat="1" x14ac:dyDescent="0.2">
      <c r="A7" s="53"/>
      <c r="B7" s="68"/>
      <c r="C7" s="53"/>
    </row>
    <row r="8" spans="1:6" s="64" customFormat="1" ht="15" customHeight="1" x14ac:dyDescent="0.25">
      <c r="B8" s="87" t="s">
        <v>168</v>
      </c>
      <c r="C8" s="87"/>
      <c r="D8" s="87"/>
      <c r="E8" s="87"/>
    </row>
    <row r="9" spans="1:6" s="64" customFormat="1" ht="15" customHeight="1" x14ac:dyDescent="0.25">
      <c r="A9" s="66"/>
      <c r="B9" s="87"/>
      <c r="C9" s="87"/>
      <c r="D9" s="87"/>
      <c r="E9" s="87"/>
      <c r="F9" s="67"/>
    </row>
    <row r="10" spans="1:6" s="64" customFormat="1" ht="15" customHeight="1" x14ac:dyDescent="0.25">
      <c r="A10" s="66"/>
      <c r="B10" s="88"/>
      <c r="C10" s="88"/>
      <c r="D10" s="88"/>
      <c r="E10" s="88"/>
      <c r="F10" s="66"/>
    </row>
    <row r="11" spans="1:6" s="64" customFormat="1" ht="36.950000000000003" customHeight="1" x14ac:dyDescent="0.25">
      <c r="B11" s="65" t="s">
        <v>90</v>
      </c>
      <c r="C11" s="65" t="s">
        <v>127</v>
      </c>
      <c r="D11" s="65" t="s">
        <v>47</v>
      </c>
      <c r="E11" s="65" t="s">
        <v>46</v>
      </c>
    </row>
    <row r="12" spans="1:6" ht="13.5" x14ac:dyDescent="0.2">
      <c r="B12" s="89" t="s">
        <v>54</v>
      </c>
      <c r="C12" s="63" t="s">
        <v>129</v>
      </c>
      <c r="D12" s="26">
        <v>4</v>
      </c>
      <c r="E12" s="25">
        <v>1.2698412698412698E-2</v>
      </c>
    </row>
    <row r="13" spans="1:6" ht="13.5" x14ac:dyDescent="0.2">
      <c r="B13" s="90"/>
      <c r="C13" s="63" t="s">
        <v>128</v>
      </c>
      <c r="D13" s="26">
        <v>2</v>
      </c>
      <c r="E13" s="25">
        <v>6.3492063492063492E-3</v>
      </c>
    </row>
    <row r="14" spans="1:6" ht="13.5" x14ac:dyDescent="0.2">
      <c r="B14" s="91"/>
      <c r="C14" s="92" t="s">
        <v>20</v>
      </c>
      <c r="D14" s="93">
        <v>6</v>
      </c>
      <c r="E14" s="94">
        <v>1.9047619047619049E-2</v>
      </c>
    </row>
    <row r="15" spans="1:6" ht="13.5" x14ac:dyDescent="0.2">
      <c r="B15" s="89" t="s">
        <v>85</v>
      </c>
      <c r="C15" s="63" t="s">
        <v>129</v>
      </c>
      <c r="D15" s="26">
        <v>5</v>
      </c>
      <c r="E15" s="25">
        <v>1.5873015873015872E-2</v>
      </c>
    </row>
    <row r="16" spans="1:6" ht="13.5" x14ac:dyDescent="0.2">
      <c r="B16" s="90"/>
      <c r="C16" s="63" t="s">
        <v>128</v>
      </c>
      <c r="D16" s="26">
        <v>5</v>
      </c>
      <c r="E16" s="25">
        <v>1.5873015873015872E-2</v>
      </c>
    </row>
    <row r="17" spans="2:5" ht="13.5" x14ac:dyDescent="0.2">
      <c r="B17" s="91"/>
      <c r="C17" s="92" t="s">
        <v>20</v>
      </c>
      <c r="D17" s="93">
        <v>10</v>
      </c>
      <c r="E17" s="94">
        <v>3.1746031746031744E-2</v>
      </c>
    </row>
    <row r="18" spans="2:5" ht="13.5" x14ac:dyDescent="0.2">
      <c r="B18" s="89" t="s">
        <v>75</v>
      </c>
      <c r="C18" s="63" t="s">
        <v>129</v>
      </c>
      <c r="D18" s="26">
        <v>1</v>
      </c>
      <c r="E18" s="25">
        <v>3.1746031746031746E-3</v>
      </c>
    </row>
    <row r="19" spans="2:5" ht="13.5" x14ac:dyDescent="0.2">
      <c r="B19" s="90"/>
      <c r="C19" s="63" t="s">
        <v>128</v>
      </c>
      <c r="D19" s="26">
        <v>2</v>
      </c>
      <c r="E19" s="25">
        <v>6.3492063492063492E-3</v>
      </c>
    </row>
    <row r="20" spans="2:5" ht="13.5" x14ac:dyDescent="0.2">
      <c r="B20" s="91"/>
      <c r="C20" s="92" t="s">
        <v>20</v>
      </c>
      <c r="D20" s="93">
        <v>3</v>
      </c>
      <c r="E20" s="94">
        <v>9.5238095238095247E-3</v>
      </c>
    </row>
    <row r="21" spans="2:5" ht="13.5" x14ac:dyDescent="0.2">
      <c r="B21" s="89" t="s">
        <v>53</v>
      </c>
      <c r="C21" s="63" t="s">
        <v>129</v>
      </c>
      <c r="D21" s="26">
        <v>2</v>
      </c>
      <c r="E21" s="25">
        <v>6.3492063492063492E-3</v>
      </c>
    </row>
    <row r="22" spans="2:5" ht="13.5" x14ac:dyDescent="0.2">
      <c r="B22" s="90"/>
      <c r="C22" s="63" t="s">
        <v>128</v>
      </c>
      <c r="D22" s="26">
        <v>1</v>
      </c>
      <c r="E22" s="25">
        <v>3.1746031746031746E-3</v>
      </c>
    </row>
    <row r="23" spans="2:5" ht="13.5" x14ac:dyDescent="0.2">
      <c r="B23" s="91"/>
      <c r="C23" s="92" t="s">
        <v>20</v>
      </c>
      <c r="D23" s="93">
        <v>3</v>
      </c>
      <c r="E23" s="94">
        <v>9.5238095238095247E-3</v>
      </c>
    </row>
    <row r="24" spans="2:5" ht="13.5" x14ac:dyDescent="0.2">
      <c r="B24" s="89" t="s">
        <v>123</v>
      </c>
      <c r="C24" s="63" t="s">
        <v>128</v>
      </c>
      <c r="D24" s="26">
        <v>1</v>
      </c>
      <c r="E24" s="25">
        <v>3.1746031746031746E-3</v>
      </c>
    </row>
    <row r="25" spans="2:5" ht="13.5" x14ac:dyDescent="0.2">
      <c r="B25" s="91"/>
      <c r="C25" s="92" t="s">
        <v>20</v>
      </c>
      <c r="D25" s="93">
        <v>1</v>
      </c>
      <c r="E25" s="94">
        <v>3.1746031746031746E-3</v>
      </c>
    </row>
    <row r="26" spans="2:5" ht="13.5" x14ac:dyDescent="0.2">
      <c r="B26" s="89" t="s">
        <v>88</v>
      </c>
      <c r="C26" s="63" t="s">
        <v>129</v>
      </c>
      <c r="D26" s="26">
        <v>9</v>
      </c>
      <c r="E26" s="25">
        <v>2.8571428571428571E-2</v>
      </c>
    </row>
    <row r="27" spans="2:5" ht="13.5" x14ac:dyDescent="0.2">
      <c r="B27" s="90"/>
      <c r="C27" s="63" t="s">
        <v>128</v>
      </c>
      <c r="D27" s="26">
        <v>5</v>
      </c>
      <c r="E27" s="25">
        <v>1.5873015873015872E-2</v>
      </c>
    </row>
    <row r="28" spans="2:5" ht="13.5" x14ac:dyDescent="0.2">
      <c r="B28" s="91"/>
      <c r="C28" s="92" t="s">
        <v>20</v>
      </c>
      <c r="D28" s="93">
        <v>14</v>
      </c>
      <c r="E28" s="94">
        <v>4.4444444444444446E-2</v>
      </c>
    </row>
    <row r="29" spans="2:5" ht="13.5" x14ac:dyDescent="0.2">
      <c r="B29" s="89" t="s">
        <v>86</v>
      </c>
      <c r="C29" s="63" t="s">
        <v>129</v>
      </c>
      <c r="D29" s="26">
        <v>8</v>
      </c>
      <c r="E29" s="25">
        <v>2.5396825396825397E-2</v>
      </c>
    </row>
    <row r="30" spans="2:5" ht="13.5" x14ac:dyDescent="0.2">
      <c r="B30" s="90"/>
      <c r="C30" s="63" t="s">
        <v>128</v>
      </c>
      <c r="D30" s="26">
        <v>11</v>
      </c>
      <c r="E30" s="25">
        <v>3.4920634920634921E-2</v>
      </c>
    </row>
    <row r="31" spans="2:5" ht="13.5" x14ac:dyDescent="0.2">
      <c r="B31" s="91"/>
      <c r="C31" s="92" t="s">
        <v>20</v>
      </c>
      <c r="D31" s="93">
        <v>19</v>
      </c>
      <c r="E31" s="94">
        <v>6.0317460317460318E-2</v>
      </c>
    </row>
    <row r="32" spans="2:5" ht="13.5" x14ac:dyDescent="0.2">
      <c r="B32" s="89" t="s">
        <v>70</v>
      </c>
      <c r="C32" s="63" t="s">
        <v>129</v>
      </c>
      <c r="D32" s="26">
        <v>2</v>
      </c>
      <c r="E32" s="25">
        <v>6.3492063492063492E-3</v>
      </c>
    </row>
    <row r="33" spans="2:5" ht="13.5" x14ac:dyDescent="0.2">
      <c r="B33" s="90"/>
      <c r="C33" s="63" t="s">
        <v>128</v>
      </c>
      <c r="D33" s="26">
        <v>3</v>
      </c>
      <c r="E33" s="25">
        <v>9.5238095238095247E-3</v>
      </c>
    </row>
    <row r="34" spans="2:5" ht="13.5" x14ac:dyDescent="0.2">
      <c r="B34" s="91"/>
      <c r="C34" s="92" t="s">
        <v>20</v>
      </c>
      <c r="D34" s="93">
        <v>5</v>
      </c>
      <c r="E34" s="94">
        <v>1.5873015873015872E-2</v>
      </c>
    </row>
    <row r="35" spans="2:5" ht="13.5" x14ac:dyDescent="0.2">
      <c r="B35" s="89" t="s">
        <v>57</v>
      </c>
      <c r="C35" s="63" t="s">
        <v>128</v>
      </c>
      <c r="D35" s="26">
        <v>1</v>
      </c>
      <c r="E35" s="25">
        <v>3.1746031746031746E-3</v>
      </c>
    </row>
    <row r="36" spans="2:5" ht="13.5" x14ac:dyDescent="0.2">
      <c r="B36" s="91"/>
      <c r="C36" s="92" t="s">
        <v>20</v>
      </c>
      <c r="D36" s="93">
        <v>1</v>
      </c>
      <c r="E36" s="94">
        <v>3.1746031746031746E-3</v>
      </c>
    </row>
    <row r="37" spans="2:5" ht="13.5" x14ac:dyDescent="0.2">
      <c r="B37" s="89" t="s">
        <v>55</v>
      </c>
      <c r="C37" s="63" t="s">
        <v>128</v>
      </c>
      <c r="D37" s="26">
        <v>1</v>
      </c>
      <c r="E37" s="25">
        <v>3.1746031746031746E-3</v>
      </c>
    </row>
    <row r="38" spans="2:5" ht="13.5" x14ac:dyDescent="0.2">
      <c r="B38" s="91"/>
      <c r="C38" s="92" t="s">
        <v>20</v>
      </c>
      <c r="D38" s="93">
        <v>1</v>
      </c>
      <c r="E38" s="94">
        <v>3.1746031746031746E-3</v>
      </c>
    </row>
    <row r="39" spans="2:5" ht="13.5" x14ac:dyDescent="0.2">
      <c r="B39" s="89" t="s">
        <v>67</v>
      </c>
      <c r="C39" s="63" t="s">
        <v>129</v>
      </c>
      <c r="D39" s="26">
        <v>1</v>
      </c>
      <c r="E39" s="25">
        <v>3.1746031746031746E-3</v>
      </c>
    </row>
    <row r="40" spans="2:5" ht="13.5" x14ac:dyDescent="0.2">
      <c r="B40" s="90"/>
      <c r="C40" s="63" t="s">
        <v>128</v>
      </c>
      <c r="D40" s="26">
        <v>1</v>
      </c>
      <c r="E40" s="25">
        <v>3.1746031746031746E-3</v>
      </c>
    </row>
    <row r="41" spans="2:5" ht="13.5" x14ac:dyDescent="0.2">
      <c r="B41" s="91"/>
      <c r="C41" s="92" t="s">
        <v>20</v>
      </c>
      <c r="D41" s="93">
        <v>2</v>
      </c>
      <c r="E41" s="94">
        <v>6.3492063492063492E-3</v>
      </c>
    </row>
    <row r="42" spans="2:5" ht="13.5" x14ac:dyDescent="0.2">
      <c r="B42" s="89" t="s">
        <v>83</v>
      </c>
      <c r="C42" s="63" t="s">
        <v>129</v>
      </c>
      <c r="D42" s="26">
        <v>18</v>
      </c>
      <c r="E42" s="25">
        <v>5.7142857142857141E-2</v>
      </c>
    </row>
    <row r="43" spans="2:5" ht="13.5" x14ac:dyDescent="0.2">
      <c r="B43" s="90"/>
      <c r="C43" s="63" t="s">
        <v>128</v>
      </c>
      <c r="D43" s="26">
        <v>14</v>
      </c>
      <c r="E43" s="25">
        <v>4.4444444444444446E-2</v>
      </c>
    </row>
    <row r="44" spans="2:5" ht="13.5" x14ac:dyDescent="0.2">
      <c r="B44" s="91"/>
      <c r="C44" s="92" t="s">
        <v>20</v>
      </c>
      <c r="D44" s="93">
        <v>32</v>
      </c>
      <c r="E44" s="94">
        <v>0.10158730158730159</v>
      </c>
    </row>
    <row r="45" spans="2:5" ht="13.5" x14ac:dyDescent="0.2">
      <c r="B45" s="89" t="s">
        <v>87</v>
      </c>
      <c r="C45" s="63" t="s">
        <v>129</v>
      </c>
      <c r="D45" s="26">
        <v>2</v>
      </c>
      <c r="E45" s="25">
        <v>6.3492063492063492E-3</v>
      </c>
    </row>
    <row r="46" spans="2:5" ht="13.5" x14ac:dyDescent="0.2">
      <c r="B46" s="90"/>
      <c r="C46" s="63" t="s">
        <v>128</v>
      </c>
      <c r="D46" s="26">
        <v>1</v>
      </c>
      <c r="E46" s="25">
        <v>3.1746031746031746E-3</v>
      </c>
    </row>
    <row r="47" spans="2:5" ht="13.5" x14ac:dyDescent="0.2">
      <c r="B47" s="91"/>
      <c r="C47" s="92" t="s">
        <v>20</v>
      </c>
      <c r="D47" s="93">
        <v>3</v>
      </c>
      <c r="E47" s="94">
        <v>9.5238095238095247E-3</v>
      </c>
    </row>
    <row r="48" spans="2:5" ht="13.5" x14ac:dyDescent="0.2">
      <c r="B48" s="89" t="s">
        <v>122</v>
      </c>
      <c r="C48" s="63" t="s">
        <v>129</v>
      </c>
      <c r="D48" s="26">
        <v>3</v>
      </c>
      <c r="E48" s="25">
        <v>9.5238095238095247E-3</v>
      </c>
    </row>
    <row r="49" spans="2:5" ht="13.5" x14ac:dyDescent="0.2">
      <c r="B49" s="91"/>
      <c r="C49" s="92" t="s">
        <v>20</v>
      </c>
      <c r="D49" s="93">
        <v>3</v>
      </c>
      <c r="E49" s="94">
        <v>9.5238095238095247E-3</v>
      </c>
    </row>
    <row r="50" spans="2:5" ht="13.5" x14ac:dyDescent="0.2">
      <c r="B50" s="89" t="s">
        <v>73</v>
      </c>
      <c r="C50" s="63" t="s">
        <v>129</v>
      </c>
      <c r="D50" s="26">
        <v>7</v>
      </c>
      <c r="E50" s="25">
        <v>2.2222222222222223E-2</v>
      </c>
    </row>
    <row r="51" spans="2:5" ht="13.5" x14ac:dyDescent="0.2">
      <c r="B51" s="90"/>
      <c r="C51" s="63" t="s">
        <v>128</v>
      </c>
      <c r="D51" s="26">
        <v>4</v>
      </c>
      <c r="E51" s="25">
        <v>1.2698412698412698E-2</v>
      </c>
    </row>
    <row r="52" spans="2:5" ht="13.5" x14ac:dyDescent="0.2">
      <c r="B52" s="91"/>
      <c r="C52" s="92" t="s">
        <v>20</v>
      </c>
      <c r="D52" s="93">
        <v>11</v>
      </c>
      <c r="E52" s="94">
        <v>3.4920634920634921E-2</v>
      </c>
    </row>
    <row r="53" spans="2:5" ht="13.5" x14ac:dyDescent="0.2">
      <c r="B53" s="89" t="s">
        <v>77</v>
      </c>
      <c r="C53" s="63" t="s">
        <v>129</v>
      </c>
      <c r="D53" s="26">
        <v>3</v>
      </c>
      <c r="E53" s="25">
        <v>9.5238095238095247E-3</v>
      </c>
    </row>
    <row r="54" spans="2:5" ht="13.5" x14ac:dyDescent="0.2">
      <c r="B54" s="90"/>
      <c r="C54" s="63" t="s">
        <v>128</v>
      </c>
      <c r="D54" s="26">
        <v>2</v>
      </c>
      <c r="E54" s="25">
        <v>6.3492063492063492E-3</v>
      </c>
    </row>
    <row r="55" spans="2:5" ht="13.5" x14ac:dyDescent="0.2">
      <c r="B55" s="91"/>
      <c r="C55" s="92" t="s">
        <v>20</v>
      </c>
      <c r="D55" s="93">
        <v>5</v>
      </c>
      <c r="E55" s="94">
        <v>1.5873015873015872E-2</v>
      </c>
    </row>
    <row r="56" spans="2:5" ht="13.5" x14ac:dyDescent="0.2">
      <c r="B56" s="89" t="s">
        <v>121</v>
      </c>
      <c r="C56" s="63" t="s">
        <v>129</v>
      </c>
      <c r="D56" s="26">
        <v>19</v>
      </c>
      <c r="E56" s="25">
        <v>6.0317460317460318E-2</v>
      </c>
    </row>
    <row r="57" spans="2:5" ht="13.5" x14ac:dyDescent="0.2">
      <c r="B57" s="90"/>
      <c r="C57" s="63" t="s">
        <v>128</v>
      </c>
      <c r="D57" s="26">
        <v>18</v>
      </c>
      <c r="E57" s="25">
        <v>5.7142857142857141E-2</v>
      </c>
    </row>
    <row r="58" spans="2:5" ht="13.5" x14ac:dyDescent="0.2">
      <c r="B58" s="91"/>
      <c r="C58" s="92" t="s">
        <v>20</v>
      </c>
      <c r="D58" s="93">
        <v>37</v>
      </c>
      <c r="E58" s="94">
        <v>0.11746031746031746</v>
      </c>
    </row>
    <row r="59" spans="2:5" ht="13.5" x14ac:dyDescent="0.2">
      <c r="B59" s="89" t="s">
        <v>120</v>
      </c>
      <c r="C59" s="63" t="s">
        <v>129</v>
      </c>
      <c r="D59" s="26">
        <v>1</v>
      </c>
      <c r="E59" s="25">
        <v>3.1746031746031746E-3</v>
      </c>
    </row>
    <row r="60" spans="2:5" ht="13.5" x14ac:dyDescent="0.2">
      <c r="B60" s="90"/>
      <c r="C60" s="63" t="s">
        <v>128</v>
      </c>
      <c r="D60" s="26">
        <v>2</v>
      </c>
      <c r="E60" s="25">
        <v>6.3492063492063492E-3</v>
      </c>
    </row>
    <row r="61" spans="2:5" ht="13.5" x14ac:dyDescent="0.2">
      <c r="B61" s="91"/>
      <c r="C61" s="92" t="s">
        <v>20</v>
      </c>
      <c r="D61" s="93">
        <v>3</v>
      </c>
      <c r="E61" s="94">
        <v>9.5238095238095247E-3</v>
      </c>
    </row>
    <row r="62" spans="2:5" ht="13.5" x14ac:dyDescent="0.2">
      <c r="B62" s="89" t="s">
        <v>64</v>
      </c>
      <c r="C62" s="63" t="s">
        <v>129</v>
      </c>
      <c r="D62" s="26">
        <v>3</v>
      </c>
      <c r="E62" s="25">
        <v>9.5238095238095247E-3</v>
      </c>
    </row>
    <row r="63" spans="2:5" ht="13.5" x14ac:dyDescent="0.2">
      <c r="B63" s="91"/>
      <c r="C63" s="92" t="s">
        <v>20</v>
      </c>
      <c r="D63" s="93">
        <v>3</v>
      </c>
      <c r="E63" s="94">
        <v>9.5238095238095247E-3</v>
      </c>
    </row>
    <row r="64" spans="2:5" ht="13.5" x14ac:dyDescent="0.2">
      <c r="B64" s="89" t="s">
        <v>63</v>
      </c>
      <c r="C64" s="63" t="s">
        <v>129</v>
      </c>
      <c r="D64" s="26">
        <v>2</v>
      </c>
      <c r="E64" s="25">
        <v>6.3492063492063492E-3</v>
      </c>
    </row>
    <row r="65" spans="2:5" ht="13.5" x14ac:dyDescent="0.2">
      <c r="B65" s="91"/>
      <c r="C65" s="92" t="s">
        <v>20</v>
      </c>
      <c r="D65" s="93">
        <v>2</v>
      </c>
      <c r="E65" s="94">
        <v>6.3492063492063492E-3</v>
      </c>
    </row>
    <row r="66" spans="2:5" ht="13.5" x14ac:dyDescent="0.2">
      <c r="B66" s="89" t="s">
        <v>56</v>
      </c>
      <c r="C66" s="63" t="s">
        <v>129</v>
      </c>
      <c r="D66" s="26">
        <v>1</v>
      </c>
      <c r="E66" s="25">
        <v>3.1746031746031746E-3</v>
      </c>
    </row>
    <row r="67" spans="2:5" ht="13.5" x14ac:dyDescent="0.2">
      <c r="B67" s="90"/>
      <c r="C67" s="63" t="s">
        <v>128</v>
      </c>
      <c r="D67" s="26">
        <v>1</v>
      </c>
      <c r="E67" s="25">
        <v>3.1746031746031746E-3</v>
      </c>
    </row>
    <row r="68" spans="2:5" ht="13.5" x14ac:dyDescent="0.2">
      <c r="B68" s="91"/>
      <c r="C68" s="92" t="s">
        <v>20</v>
      </c>
      <c r="D68" s="93">
        <v>2</v>
      </c>
      <c r="E68" s="94">
        <v>6.3492063492063492E-3</v>
      </c>
    </row>
    <row r="69" spans="2:5" ht="13.5" x14ac:dyDescent="0.2">
      <c r="B69" s="89" t="s">
        <v>84</v>
      </c>
      <c r="C69" s="63" t="s">
        <v>129</v>
      </c>
      <c r="D69" s="26">
        <v>2</v>
      </c>
      <c r="E69" s="25">
        <v>6.3492063492063492E-3</v>
      </c>
    </row>
    <row r="70" spans="2:5" ht="13.5" x14ac:dyDescent="0.2">
      <c r="B70" s="90"/>
      <c r="C70" s="63" t="s">
        <v>128</v>
      </c>
      <c r="D70" s="26">
        <v>1</v>
      </c>
      <c r="E70" s="25">
        <v>3.1746031746031746E-3</v>
      </c>
    </row>
    <row r="71" spans="2:5" ht="13.5" x14ac:dyDescent="0.2">
      <c r="B71" s="91"/>
      <c r="C71" s="92" t="s">
        <v>20</v>
      </c>
      <c r="D71" s="93">
        <v>3</v>
      </c>
      <c r="E71" s="94">
        <v>9.5238095238095247E-3</v>
      </c>
    </row>
    <row r="72" spans="2:5" ht="13.5" x14ac:dyDescent="0.2">
      <c r="B72" s="89" t="s">
        <v>58</v>
      </c>
      <c r="C72" s="63" t="s">
        <v>128</v>
      </c>
      <c r="D72" s="26">
        <v>1</v>
      </c>
      <c r="E72" s="25">
        <v>3.1746031746031746E-3</v>
      </c>
    </row>
    <row r="73" spans="2:5" ht="13.5" x14ac:dyDescent="0.2">
      <c r="B73" s="91"/>
      <c r="C73" s="92" t="s">
        <v>20</v>
      </c>
      <c r="D73" s="93">
        <v>1</v>
      </c>
      <c r="E73" s="94">
        <v>3.1746031746031746E-3</v>
      </c>
    </row>
    <row r="74" spans="2:5" ht="13.5" x14ac:dyDescent="0.2">
      <c r="B74" s="89" t="s">
        <v>76</v>
      </c>
      <c r="C74" s="63" t="s">
        <v>129</v>
      </c>
      <c r="D74" s="26">
        <v>4</v>
      </c>
      <c r="E74" s="25">
        <v>1.2698412698412698E-2</v>
      </c>
    </row>
    <row r="75" spans="2:5" ht="13.5" x14ac:dyDescent="0.2">
      <c r="B75" s="90"/>
      <c r="C75" s="63" t="s">
        <v>128</v>
      </c>
      <c r="D75" s="26">
        <v>4</v>
      </c>
      <c r="E75" s="25">
        <v>1.2698412698412698E-2</v>
      </c>
    </row>
    <row r="76" spans="2:5" ht="13.5" x14ac:dyDescent="0.2">
      <c r="B76" s="91"/>
      <c r="C76" s="92" t="s">
        <v>20</v>
      </c>
      <c r="D76" s="93">
        <v>8</v>
      </c>
      <c r="E76" s="94">
        <v>2.5396825396825397E-2</v>
      </c>
    </row>
    <row r="77" spans="2:5" ht="13.5" x14ac:dyDescent="0.2">
      <c r="B77" s="89" t="s">
        <v>72</v>
      </c>
      <c r="C77" s="63" t="s">
        <v>129</v>
      </c>
      <c r="D77" s="26">
        <v>12</v>
      </c>
      <c r="E77" s="25">
        <v>3.8095238095238099E-2</v>
      </c>
    </row>
    <row r="78" spans="2:5" ht="13.5" x14ac:dyDescent="0.2">
      <c r="B78" s="90"/>
      <c r="C78" s="63" t="s">
        <v>128</v>
      </c>
      <c r="D78" s="26">
        <v>8</v>
      </c>
      <c r="E78" s="25">
        <v>2.5396825396825397E-2</v>
      </c>
    </row>
    <row r="79" spans="2:5" ht="13.5" x14ac:dyDescent="0.2">
      <c r="B79" s="91"/>
      <c r="C79" s="92" t="s">
        <v>20</v>
      </c>
      <c r="D79" s="93">
        <v>20</v>
      </c>
      <c r="E79" s="94">
        <v>6.3492063492063489E-2</v>
      </c>
    </row>
    <row r="80" spans="2:5" ht="13.5" x14ac:dyDescent="0.2">
      <c r="B80" s="89" t="s">
        <v>61</v>
      </c>
      <c r="C80" s="63" t="s">
        <v>129</v>
      </c>
      <c r="D80" s="26">
        <v>5</v>
      </c>
      <c r="E80" s="25">
        <v>1.5873015873015872E-2</v>
      </c>
    </row>
    <row r="81" spans="2:5" ht="13.5" x14ac:dyDescent="0.2">
      <c r="B81" s="90"/>
      <c r="C81" s="63" t="s">
        <v>128</v>
      </c>
      <c r="D81" s="26">
        <v>2</v>
      </c>
      <c r="E81" s="25">
        <v>6.3492063492063492E-3</v>
      </c>
    </row>
    <row r="82" spans="2:5" ht="13.5" x14ac:dyDescent="0.2">
      <c r="B82" s="91"/>
      <c r="C82" s="92" t="s">
        <v>20</v>
      </c>
      <c r="D82" s="93">
        <v>7</v>
      </c>
      <c r="E82" s="94">
        <v>2.2222222222222223E-2</v>
      </c>
    </row>
    <row r="83" spans="2:5" ht="13.5" x14ac:dyDescent="0.2">
      <c r="B83" s="89" t="s">
        <v>65</v>
      </c>
      <c r="C83" s="63" t="s">
        <v>129</v>
      </c>
      <c r="D83" s="26">
        <v>2</v>
      </c>
      <c r="E83" s="25">
        <v>6.3492063492063492E-3</v>
      </c>
    </row>
    <row r="84" spans="2:5" ht="13.5" x14ac:dyDescent="0.2">
      <c r="B84" s="90"/>
      <c r="C84" s="63" t="s">
        <v>128</v>
      </c>
      <c r="D84" s="26">
        <v>4</v>
      </c>
      <c r="E84" s="25">
        <v>1.2698412698412698E-2</v>
      </c>
    </row>
    <row r="85" spans="2:5" ht="13.5" x14ac:dyDescent="0.2">
      <c r="B85" s="91"/>
      <c r="C85" s="92" t="s">
        <v>20</v>
      </c>
      <c r="D85" s="93">
        <v>6</v>
      </c>
      <c r="E85" s="94">
        <v>1.9047619047619049E-2</v>
      </c>
    </row>
    <row r="86" spans="2:5" ht="13.5" x14ac:dyDescent="0.2">
      <c r="B86" s="89" t="s">
        <v>51</v>
      </c>
      <c r="C86" s="63" t="s">
        <v>129</v>
      </c>
      <c r="D86" s="26">
        <v>1</v>
      </c>
      <c r="E86" s="25">
        <v>3.1746031746031746E-3</v>
      </c>
    </row>
    <row r="87" spans="2:5" ht="13.5" x14ac:dyDescent="0.2">
      <c r="B87" s="91"/>
      <c r="C87" s="92" t="s">
        <v>20</v>
      </c>
      <c r="D87" s="93">
        <v>1</v>
      </c>
      <c r="E87" s="94">
        <v>3.1746031746031746E-3</v>
      </c>
    </row>
    <row r="88" spans="2:5" ht="13.5" x14ac:dyDescent="0.2">
      <c r="B88" s="89" t="s">
        <v>82</v>
      </c>
      <c r="C88" s="63" t="s">
        <v>129</v>
      </c>
      <c r="D88" s="26">
        <v>10</v>
      </c>
      <c r="E88" s="25">
        <v>3.1746031746031744E-2</v>
      </c>
    </row>
    <row r="89" spans="2:5" ht="13.5" x14ac:dyDescent="0.2">
      <c r="B89" s="90"/>
      <c r="C89" s="63" t="s">
        <v>128</v>
      </c>
      <c r="D89" s="26">
        <v>5</v>
      </c>
      <c r="E89" s="25">
        <v>1.5873015873015872E-2</v>
      </c>
    </row>
    <row r="90" spans="2:5" ht="13.5" x14ac:dyDescent="0.2">
      <c r="B90" s="91"/>
      <c r="C90" s="92" t="s">
        <v>20</v>
      </c>
      <c r="D90" s="93">
        <v>15</v>
      </c>
      <c r="E90" s="94">
        <v>4.7619047619047616E-2</v>
      </c>
    </row>
    <row r="91" spans="2:5" ht="13.5" x14ac:dyDescent="0.2">
      <c r="B91" s="89" t="s">
        <v>74</v>
      </c>
      <c r="C91" s="63" t="s">
        <v>129</v>
      </c>
      <c r="D91" s="26">
        <v>6</v>
      </c>
      <c r="E91" s="25">
        <v>1.9047619047619049E-2</v>
      </c>
    </row>
    <row r="92" spans="2:5" ht="13.5" x14ac:dyDescent="0.2">
      <c r="B92" s="90"/>
      <c r="C92" s="63" t="s">
        <v>128</v>
      </c>
      <c r="D92" s="26">
        <v>9</v>
      </c>
      <c r="E92" s="25">
        <v>2.8571428571428571E-2</v>
      </c>
    </row>
    <row r="93" spans="2:5" ht="13.5" x14ac:dyDescent="0.2">
      <c r="B93" s="91"/>
      <c r="C93" s="92" t="s">
        <v>20</v>
      </c>
      <c r="D93" s="93">
        <v>15</v>
      </c>
      <c r="E93" s="94">
        <v>4.7619047619047616E-2</v>
      </c>
    </row>
    <row r="94" spans="2:5" ht="13.5" x14ac:dyDescent="0.2">
      <c r="B94" s="89" t="s">
        <v>60</v>
      </c>
      <c r="C94" s="63" t="s">
        <v>129</v>
      </c>
      <c r="D94" s="26">
        <v>3</v>
      </c>
      <c r="E94" s="25">
        <v>9.5238095238095247E-3</v>
      </c>
    </row>
    <row r="95" spans="2:5" ht="13.5" x14ac:dyDescent="0.2">
      <c r="B95" s="91"/>
      <c r="C95" s="92" t="s">
        <v>20</v>
      </c>
      <c r="D95" s="93">
        <v>3</v>
      </c>
      <c r="E95" s="94">
        <v>9.5238095238095247E-3</v>
      </c>
    </row>
    <row r="96" spans="2:5" ht="13.5" x14ac:dyDescent="0.2">
      <c r="B96" s="89" t="s">
        <v>62</v>
      </c>
      <c r="C96" s="63" t="s">
        <v>129</v>
      </c>
      <c r="D96" s="26">
        <v>5</v>
      </c>
      <c r="E96" s="25">
        <v>1.5873015873015872E-2</v>
      </c>
    </row>
    <row r="97" spans="2:5" ht="13.5" x14ac:dyDescent="0.2">
      <c r="B97" s="90"/>
      <c r="C97" s="63" t="s">
        <v>128</v>
      </c>
      <c r="D97" s="26">
        <v>7</v>
      </c>
      <c r="E97" s="25">
        <v>2.2222222222222223E-2</v>
      </c>
    </row>
    <row r="98" spans="2:5" ht="13.5" x14ac:dyDescent="0.2">
      <c r="B98" s="91"/>
      <c r="C98" s="92" t="s">
        <v>20</v>
      </c>
      <c r="D98" s="93">
        <v>12</v>
      </c>
      <c r="E98" s="94">
        <v>3.8095238095238099E-2</v>
      </c>
    </row>
    <row r="99" spans="2:5" ht="13.5" x14ac:dyDescent="0.2">
      <c r="B99" s="89" t="s">
        <v>69</v>
      </c>
      <c r="C99" s="63" t="s">
        <v>129</v>
      </c>
      <c r="D99" s="26">
        <v>1</v>
      </c>
      <c r="E99" s="25">
        <v>3.1746031746031746E-3</v>
      </c>
    </row>
    <row r="100" spans="2:5" ht="13.5" x14ac:dyDescent="0.2">
      <c r="B100" s="91"/>
      <c r="C100" s="92" t="s">
        <v>20</v>
      </c>
      <c r="D100" s="93">
        <v>1</v>
      </c>
      <c r="E100" s="94">
        <v>3.1746031746031746E-3</v>
      </c>
    </row>
    <row r="101" spans="2:5" ht="13.5" x14ac:dyDescent="0.2">
      <c r="B101" s="89" t="s">
        <v>81</v>
      </c>
      <c r="C101" s="63" t="s">
        <v>129</v>
      </c>
      <c r="D101" s="26">
        <v>9</v>
      </c>
      <c r="E101" s="25">
        <v>2.8571428571428571E-2</v>
      </c>
    </row>
    <row r="102" spans="2:5" ht="13.5" x14ac:dyDescent="0.2">
      <c r="B102" s="90"/>
      <c r="C102" s="63" t="s">
        <v>128</v>
      </c>
      <c r="D102" s="26">
        <v>11</v>
      </c>
      <c r="E102" s="25">
        <v>3.4920634920634921E-2</v>
      </c>
    </row>
    <row r="103" spans="2:5" ht="13.5" x14ac:dyDescent="0.2">
      <c r="B103" s="91"/>
      <c r="C103" s="92" t="s">
        <v>20</v>
      </c>
      <c r="D103" s="93">
        <v>20</v>
      </c>
      <c r="E103" s="94">
        <v>6.3492063492063489E-2</v>
      </c>
    </row>
    <row r="104" spans="2:5" ht="13.5" x14ac:dyDescent="0.2">
      <c r="B104" s="89" t="s">
        <v>66</v>
      </c>
      <c r="C104" s="63" t="s">
        <v>129</v>
      </c>
      <c r="D104" s="26">
        <v>4</v>
      </c>
      <c r="E104" s="25">
        <v>1.2698412698412698E-2</v>
      </c>
    </row>
    <row r="105" spans="2:5" ht="13.5" x14ac:dyDescent="0.2">
      <c r="B105" s="90"/>
      <c r="C105" s="63" t="s">
        <v>128</v>
      </c>
      <c r="D105" s="26">
        <v>6</v>
      </c>
      <c r="E105" s="25">
        <v>1.9047619047619049E-2</v>
      </c>
    </row>
    <row r="106" spans="2:5" ht="13.5" x14ac:dyDescent="0.2">
      <c r="B106" s="91"/>
      <c r="C106" s="92" t="s">
        <v>20</v>
      </c>
      <c r="D106" s="93">
        <v>10</v>
      </c>
      <c r="E106" s="94">
        <v>3.1746031746031744E-2</v>
      </c>
    </row>
    <row r="107" spans="2:5" ht="13.5" x14ac:dyDescent="0.2">
      <c r="B107" s="89" t="s">
        <v>78</v>
      </c>
      <c r="C107" s="63" t="s">
        <v>129</v>
      </c>
      <c r="D107" s="26">
        <v>4</v>
      </c>
      <c r="E107" s="25">
        <v>1.2698412698412698E-2</v>
      </c>
    </row>
    <row r="108" spans="2:5" ht="13.5" x14ac:dyDescent="0.2">
      <c r="B108" s="90"/>
      <c r="C108" s="63" t="s">
        <v>128</v>
      </c>
      <c r="D108" s="26">
        <v>5</v>
      </c>
      <c r="E108" s="25">
        <v>1.5873015873015872E-2</v>
      </c>
    </row>
    <row r="109" spans="2:5" ht="13.5" x14ac:dyDescent="0.2">
      <c r="B109" s="91"/>
      <c r="C109" s="92" t="s">
        <v>20</v>
      </c>
      <c r="D109" s="93">
        <v>9</v>
      </c>
      <c r="E109" s="94">
        <v>2.8571428571428571E-2</v>
      </c>
    </row>
    <row r="110" spans="2:5" ht="13.5" x14ac:dyDescent="0.2">
      <c r="B110" s="89" t="s">
        <v>119</v>
      </c>
      <c r="C110" s="63" t="s">
        <v>129</v>
      </c>
      <c r="D110" s="26">
        <v>6</v>
      </c>
      <c r="E110" s="25">
        <v>1.9047619047619049E-2</v>
      </c>
    </row>
    <row r="111" spans="2:5" ht="13.5" x14ac:dyDescent="0.2">
      <c r="B111" s="90"/>
      <c r="C111" s="63" t="s">
        <v>128</v>
      </c>
      <c r="D111" s="26">
        <v>5</v>
      </c>
      <c r="E111" s="25">
        <v>1.5873015873015872E-2</v>
      </c>
    </row>
    <row r="112" spans="2:5" ht="13.5" x14ac:dyDescent="0.2">
      <c r="B112" s="91"/>
      <c r="C112" s="92" t="s">
        <v>20</v>
      </c>
      <c r="D112" s="93">
        <v>11</v>
      </c>
      <c r="E112" s="94">
        <v>3.4920634920634921E-2</v>
      </c>
    </row>
    <row r="113" spans="2:5" ht="13.5" x14ac:dyDescent="0.2">
      <c r="B113" s="89" t="s">
        <v>80</v>
      </c>
      <c r="C113" s="63" t="s">
        <v>129</v>
      </c>
      <c r="D113" s="26">
        <v>1</v>
      </c>
      <c r="E113" s="25">
        <v>3.1746031746031746E-3</v>
      </c>
    </row>
    <row r="114" spans="2:5" ht="13.5" x14ac:dyDescent="0.2">
      <c r="B114" s="90"/>
      <c r="C114" s="63" t="s">
        <v>128</v>
      </c>
      <c r="D114" s="26">
        <v>2</v>
      </c>
      <c r="E114" s="25">
        <v>6.3492063492063492E-3</v>
      </c>
    </row>
    <row r="115" spans="2:5" ht="13.5" x14ac:dyDescent="0.2">
      <c r="B115" s="91"/>
      <c r="C115" s="92" t="s">
        <v>20</v>
      </c>
      <c r="D115" s="93">
        <v>3</v>
      </c>
      <c r="E115" s="94">
        <v>9.5238095238095247E-3</v>
      </c>
    </row>
    <row r="116" spans="2:5" ht="13.5" x14ac:dyDescent="0.2">
      <c r="B116" s="89" t="s">
        <v>59</v>
      </c>
      <c r="C116" s="63" t="s">
        <v>129</v>
      </c>
      <c r="D116" s="26">
        <v>1</v>
      </c>
      <c r="E116" s="25">
        <v>3.1746031746031746E-3</v>
      </c>
    </row>
    <row r="117" spans="2:5" ht="13.5" x14ac:dyDescent="0.2">
      <c r="B117" s="91"/>
      <c r="C117" s="92" t="s">
        <v>20</v>
      </c>
      <c r="D117" s="93">
        <v>1</v>
      </c>
      <c r="E117" s="94">
        <v>3.1746031746031746E-3</v>
      </c>
    </row>
    <row r="118" spans="2:5" ht="13.5" x14ac:dyDescent="0.2">
      <c r="B118" s="89" t="s">
        <v>52</v>
      </c>
      <c r="C118" s="63" t="s">
        <v>129</v>
      </c>
      <c r="D118" s="26">
        <v>1</v>
      </c>
      <c r="E118" s="25">
        <v>3.1746031746031746E-3</v>
      </c>
    </row>
    <row r="119" spans="2:5" ht="13.5" x14ac:dyDescent="0.2">
      <c r="B119" s="90"/>
      <c r="C119" s="63" t="s">
        <v>128</v>
      </c>
      <c r="D119" s="26">
        <v>1</v>
      </c>
      <c r="E119" s="25">
        <v>3.1746031746031746E-3</v>
      </c>
    </row>
    <row r="120" spans="2:5" ht="13.5" x14ac:dyDescent="0.2">
      <c r="B120" s="91"/>
      <c r="C120" s="92" t="s">
        <v>20</v>
      </c>
      <c r="D120" s="93">
        <v>2</v>
      </c>
      <c r="E120" s="94">
        <v>6.3492063492063492E-3</v>
      </c>
    </row>
    <row r="121" spans="2:5" ht="13.5" x14ac:dyDescent="0.2">
      <c r="B121" s="89" t="s">
        <v>34</v>
      </c>
      <c r="C121" s="63" t="s">
        <v>128</v>
      </c>
      <c r="D121" s="26">
        <v>1</v>
      </c>
      <c r="E121" s="25">
        <v>3.1746031746031746E-3</v>
      </c>
    </row>
    <row r="122" spans="2:5" ht="13.5" x14ac:dyDescent="0.2">
      <c r="B122" s="91"/>
      <c r="C122" s="92" t="s">
        <v>20</v>
      </c>
      <c r="D122" s="93">
        <v>1</v>
      </c>
      <c r="E122" s="94">
        <v>3.1746031746031746E-3</v>
      </c>
    </row>
    <row r="123" spans="2:5" ht="13.5" x14ac:dyDescent="0.2">
      <c r="B123" s="84" t="s">
        <v>124</v>
      </c>
      <c r="C123" s="85"/>
      <c r="D123" s="95">
        <v>315</v>
      </c>
      <c r="E123" s="96">
        <v>1</v>
      </c>
    </row>
    <row r="125" spans="2:5" x14ac:dyDescent="0.2">
      <c r="B125" s="19" t="s">
        <v>161</v>
      </c>
    </row>
    <row r="126" spans="2:5" x14ac:dyDescent="0.2">
      <c r="B126" s="21" t="s">
        <v>19</v>
      </c>
    </row>
    <row r="127" spans="2:5" x14ac:dyDescent="0.2">
      <c r="B127" s="20" t="s">
        <v>18</v>
      </c>
    </row>
    <row r="128" spans="2:5" x14ac:dyDescent="0.2">
      <c r="B128" s="19" t="s">
        <v>17</v>
      </c>
    </row>
    <row r="129" spans="2:2" x14ac:dyDescent="0.2">
      <c r="B129" s="19" t="s">
        <v>162</v>
      </c>
    </row>
  </sheetData>
  <mergeCells count="43">
    <mergeCell ref="B12:B14"/>
    <mergeCell ref="B15:B17"/>
    <mergeCell ref="B18:B20"/>
    <mergeCell ref="B21:B23"/>
    <mergeCell ref="B24:B25"/>
    <mergeCell ref="B118:B120"/>
    <mergeCell ref="B121:B122"/>
    <mergeCell ref="B104:B106"/>
    <mergeCell ref="B107:B109"/>
    <mergeCell ref="B110:B112"/>
    <mergeCell ref="B113:B115"/>
    <mergeCell ref="B116:B117"/>
    <mergeCell ref="B123:C123"/>
    <mergeCell ref="B74:B76"/>
    <mergeCell ref="B77:B79"/>
    <mergeCell ref="B80:B82"/>
    <mergeCell ref="B83:B85"/>
    <mergeCell ref="B86:B87"/>
    <mergeCell ref="B88:B90"/>
    <mergeCell ref="B101:B103"/>
    <mergeCell ref="B91:B93"/>
    <mergeCell ref="B94:B95"/>
    <mergeCell ref="B96:B98"/>
    <mergeCell ref="B99:B100"/>
    <mergeCell ref="B50:B52"/>
    <mergeCell ref="B53:B55"/>
    <mergeCell ref="B56:B58"/>
    <mergeCell ref="B59:B61"/>
    <mergeCell ref="B62:B63"/>
    <mergeCell ref="B72:B73"/>
    <mergeCell ref="B64:B65"/>
    <mergeCell ref="B66:B68"/>
    <mergeCell ref="B69:B71"/>
    <mergeCell ref="B26:B28"/>
    <mergeCell ref="B29:B31"/>
    <mergeCell ref="B32:B34"/>
    <mergeCell ref="B35:B36"/>
    <mergeCell ref="B37:B38"/>
    <mergeCell ref="B42:B44"/>
    <mergeCell ref="B45:B47"/>
    <mergeCell ref="B39:B41"/>
    <mergeCell ref="B48:B49"/>
    <mergeCell ref="B8:E10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3"/>
  <sheetViews>
    <sheetView showGridLines="0" zoomScale="98" zoomScaleNormal="98" zoomScaleSheetLayoutView="100" workbookViewId="0"/>
  </sheetViews>
  <sheetFormatPr baseColWidth="10" defaultColWidth="11.42578125" defaultRowHeight="11.25" x14ac:dyDescent="0.2"/>
  <cols>
    <col min="1" max="1" width="5.7109375" style="29" customWidth="1"/>
    <col min="2" max="2" width="19" style="50" customWidth="1"/>
    <col min="3" max="3" width="17.140625" style="50" customWidth="1"/>
    <col min="4" max="4" width="17.140625" style="62" customWidth="1"/>
    <col min="5" max="5" width="16.5703125" style="62" customWidth="1"/>
    <col min="6" max="6" width="16.5703125" style="50" customWidth="1"/>
    <col min="7" max="7" width="5.7109375" style="29" customWidth="1"/>
    <col min="8" max="16384" width="11.42578125" style="29"/>
  </cols>
  <sheetData>
    <row r="1" spans="1:7" s="64" customFormat="1" ht="15" x14ac:dyDescent="0.25">
      <c r="B1" s="53"/>
      <c r="C1" s="50"/>
    </row>
    <row r="2" spans="1:7" s="50" customFormat="1" x14ac:dyDescent="0.2">
      <c r="B2" s="68"/>
    </row>
    <row r="3" spans="1:7" ht="15" customHeight="1" x14ac:dyDescent="0.2">
      <c r="B3" s="69"/>
      <c r="C3" s="35"/>
      <c r="D3" s="29"/>
      <c r="E3" s="29"/>
      <c r="G3" s="50"/>
    </row>
    <row r="4" spans="1:7" ht="30" customHeight="1" x14ac:dyDescent="0.2">
      <c r="B4" s="69"/>
      <c r="C4" s="35"/>
      <c r="D4" s="29"/>
      <c r="E4" s="29"/>
      <c r="G4" s="50"/>
    </row>
    <row r="5" spans="1:7" ht="15" customHeight="1" x14ac:dyDescent="0.2">
      <c r="B5" s="69"/>
      <c r="C5" s="35"/>
      <c r="D5" s="29"/>
      <c r="E5" s="29"/>
      <c r="G5" s="50"/>
    </row>
    <row r="6" spans="1:7" s="50" customFormat="1" x14ac:dyDescent="0.2">
      <c r="B6" s="57"/>
      <c r="C6" s="46"/>
    </row>
    <row r="7" spans="1:7" s="50" customFormat="1" x14ac:dyDescent="0.2">
      <c r="A7" s="53"/>
      <c r="B7" s="68"/>
      <c r="C7" s="53"/>
    </row>
    <row r="8" spans="1:7" s="64" customFormat="1" ht="15" customHeight="1" x14ac:dyDescent="0.25">
      <c r="B8" s="87" t="s">
        <v>140</v>
      </c>
      <c r="C8" s="87"/>
      <c r="D8" s="87"/>
      <c r="E8" s="87"/>
      <c r="F8" s="87"/>
    </row>
    <row r="9" spans="1:7" s="64" customFormat="1" ht="15" customHeight="1" x14ac:dyDescent="0.25">
      <c r="A9" s="66"/>
      <c r="B9" s="87"/>
      <c r="C9" s="87"/>
      <c r="D9" s="87"/>
      <c r="E9" s="87"/>
      <c r="F9" s="87"/>
      <c r="G9" s="67"/>
    </row>
    <row r="10" spans="1:7" s="64" customFormat="1" ht="15" customHeight="1" x14ac:dyDescent="0.25">
      <c r="A10" s="66"/>
      <c r="B10" s="88"/>
      <c r="C10" s="88"/>
      <c r="D10" s="88"/>
      <c r="E10" s="88"/>
      <c r="F10" s="88"/>
      <c r="G10" s="66"/>
    </row>
    <row r="11" spans="1:7" s="64" customFormat="1" ht="36.950000000000003" customHeight="1" x14ac:dyDescent="0.25">
      <c r="B11" s="65" t="s">
        <v>127</v>
      </c>
      <c r="C11" s="65" t="s">
        <v>139</v>
      </c>
      <c r="D11" s="65" t="s">
        <v>47</v>
      </c>
      <c r="E11" s="65" t="s">
        <v>138</v>
      </c>
      <c r="F11" s="65" t="s">
        <v>137</v>
      </c>
    </row>
    <row r="12" spans="1:7" ht="13.5" x14ac:dyDescent="0.2">
      <c r="B12" s="89" t="s">
        <v>129</v>
      </c>
      <c r="C12" s="63" t="s">
        <v>169</v>
      </c>
      <c r="D12" s="26">
        <v>3</v>
      </c>
      <c r="E12" s="97">
        <v>1.7857142857142856E-2</v>
      </c>
      <c r="F12" s="25">
        <f t="shared" ref="F12:F27" si="0">D12/$D$27</f>
        <v>9.5238095238095247E-3</v>
      </c>
    </row>
    <row r="13" spans="1:7" ht="13.5" x14ac:dyDescent="0.2">
      <c r="B13" s="90"/>
      <c r="C13" s="63" t="s">
        <v>136</v>
      </c>
      <c r="D13" s="26">
        <v>4</v>
      </c>
      <c r="E13" s="97">
        <v>2.3809523809523808E-2</v>
      </c>
      <c r="F13" s="25">
        <f t="shared" si="0"/>
        <v>1.2698412698412698E-2</v>
      </c>
    </row>
    <row r="14" spans="1:7" ht="13.5" x14ac:dyDescent="0.2">
      <c r="B14" s="90"/>
      <c r="C14" s="63" t="s">
        <v>135</v>
      </c>
      <c r="D14" s="26">
        <v>43</v>
      </c>
      <c r="E14" s="97">
        <v>0.25595238095238093</v>
      </c>
      <c r="F14" s="25">
        <f t="shared" si="0"/>
        <v>0.13650793650793649</v>
      </c>
    </row>
    <row r="15" spans="1:7" ht="13.5" x14ac:dyDescent="0.2">
      <c r="B15" s="90"/>
      <c r="C15" s="63" t="s">
        <v>134</v>
      </c>
      <c r="D15" s="26">
        <v>58</v>
      </c>
      <c r="E15" s="97">
        <v>0.34523809523809523</v>
      </c>
      <c r="F15" s="25">
        <f t="shared" si="0"/>
        <v>0.18412698412698414</v>
      </c>
    </row>
    <row r="16" spans="1:7" ht="27" x14ac:dyDescent="0.2">
      <c r="B16" s="90"/>
      <c r="C16" s="63" t="s">
        <v>133</v>
      </c>
      <c r="D16" s="26">
        <v>43</v>
      </c>
      <c r="E16" s="97">
        <v>0.25595238095238093</v>
      </c>
      <c r="F16" s="25">
        <f t="shared" si="0"/>
        <v>0.13650793650793649</v>
      </c>
    </row>
    <row r="17" spans="2:6" ht="13.5" x14ac:dyDescent="0.2">
      <c r="B17" s="90"/>
      <c r="C17" s="63" t="s">
        <v>132</v>
      </c>
      <c r="D17" s="26">
        <v>15</v>
      </c>
      <c r="E17" s="97">
        <v>8.9285714285714288E-2</v>
      </c>
      <c r="F17" s="25">
        <f t="shared" si="0"/>
        <v>4.7619047619047616E-2</v>
      </c>
    </row>
    <row r="18" spans="2:6" ht="13.5" x14ac:dyDescent="0.2">
      <c r="B18" s="91"/>
      <c r="C18" s="63" t="s">
        <v>131</v>
      </c>
      <c r="D18" s="26">
        <v>2</v>
      </c>
      <c r="E18" s="97">
        <v>1.1904761904761904E-2</v>
      </c>
      <c r="F18" s="25">
        <f t="shared" si="0"/>
        <v>6.3492063492063492E-3</v>
      </c>
    </row>
    <row r="19" spans="2:6" ht="13.5" x14ac:dyDescent="0.2">
      <c r="B19" s="89" t="s">
        <v>128</v>
      </c>
      <c r="C19" s="63" t="s">
        <v>169</v>
      </c>
      <c r="D19" s="26">
        <v>1</v>
      </c>
      <c r="E19" s="98">
        <v>6.8027210884353739E-3</v>
      </c>
      <c r="F19" s="25">
        <f t="shared" si="0"/>
        <v>3.1746031746031746E-3</v>
      </c>
    </row>
    <row r="20" spans="2:6" ht="13.5" x14ac:dyDescent="0.2">
      <c r="B20" s="90"/>
      <c r="C20" s="63" t="s">
        <v>136</v>
      </c>
      <c r="D20" s="26">
        <v>2</v>
      </c>
      <c r="E20" s="98">
        <v>1.3605442176870748E-2</v>
      </c>
      <c r="F20" s="25">
        <f t="shared" si="0"/>
        <v>6.3492063492063492E-3</v>
      </c>
    </row>
    <row r="21" spans="2:6" ht="13.5" x14ac:dyDescent="0.2">
      <c r="B21" s="90"/>
      <c r="C21" s="63" t="s">
        <v>135</v>
      </c>
      <c r="D21" s="26">
        <v>19</v>
      </c>
      <c r="E21" s="98">
        <v>0.12925170068027211</v>
      </c>
      <c r="F21" s="25">
        <f t="shared" si="0"/>
        <v>6.0317460317460318E-2</v>
      </c>
    </row>
    <row r="22" spans="2:6" ht="13.5" x14ac:dyDescent="0.2">
      <c r="B22" s="90"/>
      <c r="C22" s="63" t="s">
        <v>134</v>
      </c>
      <c r="D22" s="26">
        <v>63</v>
      </c>
      <c r="E22" s="98">
        <v>0.42857142857142855</v>
      </c>
      <c r="F22" s="25">
        <f t="shared" si="0"/>
        <v>0.2</v>
      </c>
    </row>
    <row r="23" spans="2:6" ht="27" x14ac:dyDescent="0.2">
      <c r="B23" s="90"/>
      <c r="C23" s="63" t="s">
        <v>133</v>
      </c>
      <c r="D23" s="26">
        <v>39</v>
      </c>
      <c r="E23" s="98">
        <v>0.26530612244897961</v>
      </c>
      <c r="F23" s="25">
        <f t="shared" si="0"/>
        <v>0.12380952380952381</v>
      </c>
    </row>
    <row r="24" spans="2:6" ht="13.5" x14ac:dyDescent="0.2">
      <c r="B24" s="90"/>
      <c r="C24" s="63" t="s">
        <v>132</v>
      </c>
      <c r="D24" s="26">
        <v>17</v>
      </c>
      <c r="E24" s="98">
        <v>0.11564625850340136</v>
      </c>
      <c r="F24" s="25">
        <f t="shared" si="0"/>
        <v>5.3968253968253971E-2</v>
      </c>
    </row>
    <row r="25" spans="2:6" ht="13.5" x14ac:dyDescent="0.2">
      <c r="B25" s="90"/>
      <c r="C25" s="63" t="s">
        <v>131</v>
      </c>
      <c r="D25" s="26">
        <v>5</v>
      </c>
      <c r="E25" s="98">
        <v>3.4013605442176874E-2</v>
      </c>
      <c r="F25" s="25">
        <f t="shared" si="0"/>
        <v>1.5873015873015872E-2</v>
      </c>
    </row>
    <row r="26" spans="2:6" ht="13.5" x14ac:dyDescent="0.2">
      <c r="B26" s="91"/>
      <c r="C26" s="63" t="s">
        <v>130</v>
      </c>
      <c r="D26" s="26">
        <v>1</v>
      </c>
      <c r="E26" s="98">
        <v>6.8027210884353739E-3</v>
      </c>
      <c r="F26" s="25">
        <f t="shared" si="0"/>
        <v>3.1746031746031746E-3</v>
      </c>
    </row>
    <row r="27" spans="2:6" ht="13.5" x14ac:dyDescent="0.2">
      <c r="B27" s="99" t="s">
        <v>20</v>
      </c>
      <c r="C27" s="99"/>
      <c r="D27" s="95">
        <v>315</v>
      </c>
      <c r="E27" s="96"/>
      <c r="F27" s="96">
        <f t="shared" si="0"/>
        <v>1</v>
      </c>
    </row>
    <row r="29" spans="2:6" x14ac:dyDescent="0.2">
      <c r="B29" s="19" t="s">
        <v>161</v>
      </c>
    </row>
    <row r="30" spans="2:6" x14ac:dyDescent="0.2">
      <c r="B30" s="21" t="s">
        <v>19</v>
      </c>
    </row>
    <row r="31" spans="2:6" x14ac:dyDescent="0.2">
      <c r="B31" s="20" t="s">
        <v>18</v>
      </c>
    </row>
    <row r="32" spans="2:6" x14ac:dyDescent="0.2">
      <c r="B32" s="19" t="s">
        <v>17</v>
      </c>
    </row>
    <row r="33" spans="2:2" x14ac:dyDescent="0.2">
      <c r="B33" s="19" t="s">
        <v>162</v>
      </c>
    </row>
  </sheetData>
  <mergeCells count="3">
    <mergeCell ref="B8:F10"/>
    <mergeCell ref="B12:B18"/>
    <mergeCell ref="B19:B26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D29"/>
  <sheetViews>
    <sheetView showGridLines="0" zoomScaleNormal="100" zoomScaleSheetLayoutView="115" workbookViewId="0"/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49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79" t="s">
        <v>170</v>
      </c>
      <c r="C7" s="79"/>
      <c r="D7" s="79"/>
    </row>
    <row r="8" spans="1:4" s="29" customFormat="1" ht="15" customHeight="1" x14ac:dyDescent="0.2">
      <c r="B8" s="79"/>
      <c r="C8" s="79"/>
      <c r="D8" s="79"/>
    </row>
    <row r="9" spans="1:4" s="29" customFormat="1" ht="33" customHeight="1" x14ac:dyDescent="0.2">
      <c r="B9" s="79"/>
      <c r="C9" s="79"/>
      <c r="D9" s="79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151</v>
      </c>
      <c r="C11" s="31" t="s">
        <v>47</v>
      </c>
      <c r="D11" s="30" t="s">
        <v>46</v>
      </c>
    </row>
    <row r="12" spans="1:4" x14ac:dyDescent="0.25">
      <c r="B12" s="27" t="s">
        <v>150</v>
      </c>
      <c r="C12" s="26">
        <v>172</v>
      </c>
      <c r="D12" s="25">
        <f t="shared" ref="D12:D23" si="0">C12/$C$23</f>
        <v>0.54603174603174598</v>
      </c>
    </row>
    <row r="13" spans="1:4" x14ac:dyDescent="0.25">
      <c r="B13" s="27" t="s">
        <v>149</v>
      </c>
      <c r="C13" s="26">
        <v>72</v>
      </c>
      <c r="D13" s="25">
        <f t="shared" si="0"/>
        <v>0.22857142857142856</v>
      </c>
    </row>
    <row r="14" spans="1:4" x14ac:dyDescent="0.25">
      <c r="B14" s="27" t="s">
        <v>148</v>
      </c>
      <c r="C14" s="26">
        <v>28</v>
      </c>
      <c r="D14" s="25">
        <f t="shared" si="0"/>
        <v>8.8888888888888892E-2</v>
      </c>
    </row>
    <row r="15" spans="1:4" x14ac:dyDescent="0.25">
      <c r="B15" s="27" t="s">
        <v>147</v>
      </c>
      <c r="C15" s="26">
        <v>15</v>
      </c>
      <c r="D15" s="25">
        <f t="shared" si="0"/>
        <v>4.7619047619047616E-2</v>
      </c>
    </row>
    <row r="16" spans="1:4" x14ac:dyDescent="0.25">
      <c r="B16" s="27" t="s">
        <v>144</v>
      </c>
      <c r="C16" s="26">
        <v>13</v>
      </c>
      <c r="D16" s="25">
        <f t="shared" si="0"/>
        <v>4.1269841269841269E-2</v>
      </c>
    </row>
    <row r="17" spans="1:4" x14ac:dyDescent="0.25">
      <c r="B17" s="27" t="s">
        <v>145</v>
      </c>
      <c r="C17" s="26">
        <v>5</v>
      </c>
      <c r="D17" s="25">
        <f t="shared" si="0"/>
        <v>1.5873015873015872E-2</v>
      </c>
    </row>
    <row r="18" spans="1:4" x14ac:dyDescent="0.25">
      <c r="B18" s="27" t="s">
        <v>146</v>
      </c>
      <c r="C18" s="26">
        <v>5</v>
      </c>
      <c r="D18" s="25">
        <f t="shared" si="0"/>
        <v>1.5873015873015872E-2</v>
      </c>
    </row>
    <row r="19" spans="1:4" x14ac:dyDescent="0.25">
      <c r="B19" s="27" t="s">
        <v>143</v>
      </c>
      <c r="C19" s="26">
        <v>2</v>
      </c>
      <c r="D19" s="25">
        <f t="shared" si="0"/>
        <v>6.3492063492063492E-3</v>
      </c>
    </row>
    <row r="20" spans="1:4" x14ac:dyDescent="0.25">
      <c r="B20" s="27" t="s">
        <v>142</v>
      </c>
      <c r="C20" s="26">
        <v>1</v>
      </c>
      <c r="D20" s="25">
        <f t="shared" si="0"/>
        <v>3.1746031746031746E-3</v>
      </c>
    </row>
    <row r="21" spans="1:4" x14ac:dyDescent="0.25">
      <c r="B21" s="27" t="s">
        <v>171</v>
      </c>
      <c r="C21" s="26">
        <v>1</v>
      </c>
      <c r="D21" s="25">
        <f t="shared" si="0"/>
        <v>3.1746031746031746E-3</v>
      </c>
    </row>
    <row r="22" spans="1:4" x14ac:dyDescent="0.25">
      <c r="B22" s="27" t="s">
        <v>141</v>
      </c>
      <c r="C22" s="26">
        <v>1</v>
      </c>
      <c r="D22" s="25">
        <f t="shared" si="0"/>
        <v>3.1746031746031746E-3</v>
      </c>
    </row>
    <row r="23" spans="1:4" x14ac:dyDescent="0.25">
      <c r="B23" s="24" t="s">
        <v>20</v>
      </c>
      <c r="C23" s="23">
        <v>315</v>
      </c>
      <c r="D23" s="22">
        <f t="shared" si="0"/>
        <v>1</v>
      </c>
    </row>
    <row r="25" spans="1:4" x14ac:dyDescent="0.25">
      <c r="A25" s="58" t="s">
        <v>161</v>
      </c>
    </row>
    <row r="26" spans="1:4" x14ac:dyDescent="0.25">
      <c r="A26" s="58" t="s">
        <v>19</v>
      </c>
    </row>
    <row r="27" spans="1:4" x14ac:dyDescent="0.25">
      <c r="A27" s="58" t="s">
        <v>18</v>
      </c>
    </row>
    <row r="28" spans="1:4" x14ac:dyDescent="0.25">
      <c r="A28" s="58" t="s">
        <v>17</v>
      </c>
    </row>
    <row r="29" spans="1:4" x14ac:dyDescent="0.25">
      <c r="A29" s="58" t="s">
        <v>162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Baja California Sur_EdoUsa</vt:lpstr>
      <vt:lpstr>Baja California Sur_Cons</vt:lpstr>
      <vt:lpstr>Baja California SurXCons</vt:lpstr>
      <vt:lpstr>Baja California Sur_EdoMun</vt:lpstr>
      <vt:lpstr>Baja California Sur_USAMuni</vt:lpstr>
      <vt:lpstr>Baja California Sur_MUNICIPIO</vt:lpstr>
      <vt:lpstr>Baja California Sur_educ_gral</vt:lpstr>
      <vt:lpstr>Baja California Sur_NivelE_Cons</vt:lpstr>
      <vt:lpstr>Baja California Sur_EducCons</vt:lpstr>
      <vt:lpstr>Baja California Sur_GenGral</vt:lpstr>
      <vt:lpstr>Baja California Sur_GENERO</vt:lpstr>
      <vt:lpstr>Baja California Sur_Gen_Edad</vt:lpstr>
      <vt:lpstr>Baja California Sur_ocup_gral</vt:lpstr>
      <vt:lpstr>'Baja California Sur_EducCons'!Área_de_impresión</vt:lpstr>
      <vt:lpstr>'Baja California Sur_MUNICIPIO'!Área_de_impresión</vt:lpstr>
      <vt:lpstr>'Baja California Sur_NivelE_Cons'!Área_de_impresión</vt:lpstr>
      <vt:lpstr>'Baja California Sur_USAMuni'!Área_de_impresión</vt:lpstr>
      <vt:lpstr>'Baja California Sur_Cons'!Títulos_a_imprimir</vt:lpstr>
      <vt:lpstr>'Baja California Sur_EdoMun'!Títulos_a_imprimir</vt:lpstr>
      <vt:lpstr>'Baja California Sur_EdoUsa'!Títulos_a_imprimir</vt:lpstr>
      <vt:lpstr>'Baja California Sur_educ_gral'!Títulos_a_imprimir</vt:lpstr>
      <vt:lpstr>'Baja California Sur_EducCons'!Títulos_a_imprimir</vt:lpstr>
      <vt:lpstr>'Baja California Sur_Gen_Edad'!Títulos_a_imprimir</vt:lpstr>
      <vt:lpstr>'Baja California Sur_GENERO'!Títulos_a_imprimir</vt:lpstr>
      <vt:lpstr>'Baja California Sur_GenGral'!Títulos_a_imprimir</vt:lpstr>
      <vt:lpstr>'Baja California Sur_MUNICIPIO'!Títulos_a_imprimir</vt:lpstr>
      <vt:lpstr>'Baja California Sur_NivelE_Cons'!Títulos_a_imprimir</vt:lpstr>
      <vt:lpstr>'Baja California Sur_ocup_gral'!Títulos_a_imprimir</vt:lpstr>
      <vt:lpstr>'Baja California Sur_USAMuni'!Títulos_a_imprimir</vt:lpstr>
      <vt:lpstr>'Baja California SurXCons'!Títulos_a_imprimir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García Ayala, Miguel Ángel</cp:lastModifiedBy>
  <dcterms:created xsi:type="dcterms:W3CDTF">2020-06-02T19:13:30Z</dcterms:created>
  <dcterms:modified xsi:type="dcterms:W3CDTF">2021-10-28T17:07:15Z</dcterms:modified>
</cp:coreProperties>
</file>