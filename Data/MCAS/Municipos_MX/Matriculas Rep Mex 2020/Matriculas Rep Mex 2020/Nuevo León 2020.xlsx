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5" activeTab="8"/>
  </bookViews>
  <sheets>
    <sheet name="Índice" sheetId="1" r:id="rId1"/>
    <sheet name="Nuevo León_EdoUsa" sheetId="2" r:id="rId2"/>
    <sheet name="Nuevo León_Cons" sheetId="15" r:id="rId3"/>
    <sheet name="Nuevo LeónXCons" sheetId="16" r:id="rId4"/>
    <sheet name="Nuevo León_EdoMun" sheetId="5" r:id="rId5"/>
    <sheet name="Nuevo León_USAMuni" sheetId="6" r:id="rId6"/>
    <sheet name="Nuevo León_MUNICIPIO" sheetId="7" r:id="rId7"/>
    <sheet name="Nuevo León_educ_gral" sheetId="8" r:id="rId8"/>
    <sheet name="Nuevo León_NivelE_Cons" sheetId="9" r:id="rId9"/>
    <sheet name="Nuevo León_EducCons" sheetId="10" r:id="rId10"/>
    <sheet name="Nuevo León_GenGral" sheetId="11" r:id="rId11"/>
    <sheet name="Nuevo León_GENERO" sheetId="12" r:id="rId12"/>
    <sheet name="Nuevo León_Gen_Edad" sheetId="13" r:id="rId13"/>
    <sheet name="Nuevo León_ocup_gral" sheetId="14" r:id="rId14"/>
  </sheets>
  <definedNames>
    <definedName name="_xlnm._FilterDatabase" localSheetId="2" hidden="1">'Nuevo León_Cons'!$B$11:$D$11</definedName>
    <definedName name="_xlnm._FilterDatabase" localSheetId="4" hidden="1">'Nuevo León_EdoMun'!$B$11:$D$12</definedName>
    <definedName name="_xlnm._FilterDatabase" localSheetId="1" hidden="1">'Nuevo León_EdoUsa'!$B$11:$D$11</definedName>
    <definedName name="_xlnm._FilterDatabase" localSheetId="7" hidden="1">'Nuevo León_educ_gral'!$B$11:$D$11</definedName>
    <definedName name="_xlnm._FilterDatabase" localSheetId="9" hidden="1">'Nuevo León_EducCons'!$B$9:$E$9</definedName>
    <definedName name="_xlnm._FilterDatabase" localSheetId="10" hidden="1">'Nuevo León_GenGral'!$B$11:$D$11</definedName>
    <definedName name="_xlnm._FilterDatabase" localSheetId="6" hidden="1">'Nuevo León_MUNICIPIO'!$B$9:$E$9</definedName>
    <definedName name="_xlnm._FilterDatabase" localSheetId="8" hidden="1">'Nuevo León_NivelE_Cons'!$B$9:$E$9</definedName>
    <definedName name="_xlnm._FilterDatabase" localSheetId="13" hidden="1">'Nuevo León_ocup_gral'!$B$11:$D$11</definedName>
    <definedName name="_xlnm._FilterDatabase" localSheetId="5" hidden="1">'Nuevo León_USAMuni'!$B$9:$E$9</definedName>
    <definedName name="_xlnm._FilterDatabase" localSheetId="3" hidden="1">'Nuevo LeónXCons'!$B$11:$D$11</definedName>
    <definedName name="_xlnm.Print_Area" localSheetId="9">'Nuevo León_EducCons'!$A$1:$E$9</definedName>
    <definedName name="_xlnm.Print_Area" localSheetId="6">'Nuevo León_MUNICIPIO'!$A$1:$E$9</definedName>
    <definedName name="_xlnm.Print_Area" localSheetId="8">'Nuevo León_NivelE_Cons'!$A$1:$E$9</definedName>
    <definedName name="_xlnm.Print_Area" localSheetId="5">'Nuevo León_USAMuni'!$A$1:$E$9</definedName>
    <definedName name="_xlnm.Print_Titles" localSheetId="2">'Nuevo León_Cons'!$1:$11</definedName>
    <definedName name="_xlnm.Print_Titles" localSheetId="4">'Nuevo León_EdoMun'!$1:$11</definedName>
    <definedName name="_xlnm.Print_Titles" localSheetId="1">'Nuevo León_EdoUsa'!$1:$11</definedName>
    <definedName name="_xlnm.Print_Titles" localSheetId="7">'Nuevo León_educ_gral'!$1:$11</definedName>
    <definedName name="_xlnm.Print_Titles" localSheetId="9">'Nuevo León_EducCons'!$1:$9</definedName>
    <definedName name="_xlnm.Print_Titles" localSheetId="12">'Nuevo León_Gen_Edad'!$1:$11</definedName>
    <definedName name="_xlnm.Print_Titles" localSheetId="11">'Nuevo León_GENERO'!$1:$11</definedName>
    <definedName name="_xlnm.Print_Titles" localSheetId="10">'Nuevo León_GenGral'!$1:$11</definedName>
    <definedName name="_xlnm.Print_Titles" localSheetId="6">'Nuevo León_MUNICIPIO'!$1:$9</definedName>
    <definedName name="_xlnm.Print_Titles" localSheetId="8">'Nuevo León_NivelE_Cons'!$1:$9</definedName>
    <definedName name="_xlnm.Print_Titles" localSheetId="13">'Nuevo León_ocup_gral'!$1:$11</definedName>
    <definedName name="_xlnm.Print_Titles" localSheetId="5">'Nuevo León_USAMuni'!$1:$9</definedName>
    <definedName name="_xlnm.Print_Titles" localSheetId="3">'Nuevo LeónXCons'!$1:$11</definedName>
  </definedNames>
  <calcPr calcId="152511"/>
</workbook>
</file>

<file path=xl/calcChain.xml><?xml version="1.0" encoding="utf-8"?>
<calcChain xmlns="http://schemas.openxmlformats.org/spreadsheetml/2006/main"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 l="1"/>
  <c r="C22" i="16"/>
  <c r="D21" i="16"/>
  <c r="D20" i="16"/>
  <c r="D19" i="16"/>
  <c r="D18" i="16"/>
  <c r="D17" i="16"/>
  <c r="D16" i="16"/>
  <c r="D15" i="16"/>
  <c r="D14" i="16"/>
  <c r="D13" i="16"/>
  <c r="D12" i="16"/>
</calcChain>
</file>

<file path=xl/sharedStrings.xml><?xml version="1.0" encoding="utf-8"?>
<sst xmlns="http://schemas.openxmlformats.org/spreadsheetml/2006/main" count="2752" uniqueCount="259">
  <si>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</si>
  <si>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</si>
  <si>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</si>
  <si>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</si>
  <si>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</si>
  <si>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</si>
  <si>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</si>
  <si>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</si>
  <si>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</si>
  <si>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</si>
  <si>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</si>
  <si>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</si>
  <si>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</si>
  <si>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</si>
  <si>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</si>
  <si>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</si>
  <si>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</si>
  <si>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</si>
  <si>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</si>
  <si>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</si>
  <si>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</si>
  <si>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</si>
  <si>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</si>
  <si>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South Dakota</t>
  </si>
  <si>
    <t>Wyoming</t>
  </si>
  <si>
    <t>Rhode Island</t>
  </si>
  <si>
    <t>North Dakota</t>
  </si>
  <si>
    <t>Massachusetts</t>
  </si>
  <si>
    <t>Connecticut</t>
  </si>
  <si>
    <t>Idaho</t>
  </si>
  <si>
    <t>New Jersey</t>
  </si>
  <si>
    <t>Pennsylvania</t>
  </si>
  <si>
    <t>Maryland</t>
  </si>
  <si>
    <t>Nebraska</t>
  </si>
  <si>
    <t>Oregon</t>
  </si>
  <si>
    <t>Iowa</t>
  </si>
  <si>
    <t>New York</t>
  </si>
  <si>
    <t>Ohio</t>
  </si>
  <si>
    <t>Kentucky</t>
  </si>
  <si>
    <t>Mississippi</t>
  </si>
  <si>
    <t>Washington</t>
  </si>
  <si>
    <t>Arizona</t>
  </si>
  <si>
    <t>New Mexico</t>
  </si>
  <si>
    <t>Virginia</t>
  </si>
  <si>
    <t>Nevada</t>
  </si>
  <si>
    <t>South Carolina</t>
  </si>
  <si>
    <t>Utah</t>
  </si>
  <si>
    <t>Kansas</t>
  </si>
  <si>
    <t>Minnesota</t>
  </si>
  <si>
    <t>Missouri</t>
  </si>
  <si>
    <t>Louisiana</t>
  </si>
  <si>
    <t>Wisconsin</t>
  </si>
  <si>
    <t>Colorado</t>
  </si>
  <si>
    <t>Alabama</t>
  </si>
  <si>
    <t>Indiana</t>
  </si>
  <si>
    <t>Arkansas</t>
  </si>
  <si>
    <t>Tennessee</t>
  </si>
  <si>
    <t>Michigan</t>
  </si>
  <si>
    <t>North Carolina</t>
  </si>
  <si>
    <t>Oklahoma</t>
  </si>
  <si>
    <t>Georgia</t>
  </si>
  <si>
    <t>Florida</t>
  </si>
  <si>
    <t>California</t>
  </si>
  <si>
    <t>Illinois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</si>
  <si>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</si>
  <si>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</si>
  <si>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</si>
  <si>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</si>
  <si>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</si>
  <si>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</si>
  <si>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Del Río</t>
  </si>
  <si>
    <t>Caléxico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</si>
  <si>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</si>
  <si>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</si>
  <si>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</si>
  <si>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</si>
  <si>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</si>
  <si>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</si>
  <si>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</si>
  <si>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</si>
  <si>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</si>
  <si>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</si>
  <si>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</si>
  <si>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</si>
  <si>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</si>
  <si>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</si>
  <si>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</si>
  <si>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</si>
  <si>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</si>
  <si>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</si>
  <si>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</si>
  <si>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</si>
  <si>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</si>
  <si>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</si>
  <si>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</si>
  <si>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</si>
  <si>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</si>
  <si>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</si>
  <si>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</si>
  <si>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</si>
  <si>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</si>
  <si>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</si>
  <si>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</si>
  <si>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</si>
  <si>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</si>
  <si>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</si>
  <si>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</si>
  <si>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</si>
  <si>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</si>
  <si>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</si>
  <si>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</si>
  <si>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</si>
  <si>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</si>
  <si>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</si>
  <si>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</si>
  <si>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</si>
  <si>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Melchor Ocampo</t>
  </si>
  <si>
    <t>Higueras</t>
  </si>
  <si>
    <t>Iturbide</t>
  </si>
  <si>
    <t>Parás</t>
  </si>
  <si>
    <t>Marín</t>
  </si>
  <si>
    <t>Mina</t>
  </si>
  <si>
    <t>El Carmen</t>
  </si>
  <si>
    <t>Salinas Victoria</t>
  </si>
  <si>
    <t>General Zaragoza</t>
  </si>
  <si>
    <t>General Escobedo</t>
  </si>
  <si>
    <t>General Zuazua</t>
  </si>
  <si>
    <t>García</t>
  </si>
  <si>
    <t>Rayones</t>
  </si>
  <si>
    <t>General Treviño</t>
  </si>
  <si>
    <t>Pesquería</t>
  </si>
  <si>
    <t>Juárez</t>
  </si>
  <si>
    <t>Bustamante</t>
  </si>
  <si>
    <t>Abasolo</t>
  </si>
  <si>
    <t>Doctor González</t>
  </si>
  <si>
    <t>Vallecillo</t>
  </si>
  <si>
    <t>Apodaca</t>
  </si>
  <si>
    <t>Ciénega de Flores</t>
  </si>
  <si>
    <t>Santa Catarina</t>
  </si>
  <si>
    <t>Los Aldamas</t>
  </si>
  <si>
    <t>Hidalgo</t>
  </si>
  <si>
    <t>Los Herreras</t>
  </si>
  <si>
    <t>Hualahuises</t>
  </si>
  <si>
    <t>Lampazos de Naranjo</t>
  </si>
  <si>
    <t>Villaldama</t>
  </si>
  <si>
    <t>Doctor Coss</t>
  </si>
  <si>
    <t>Aramberri</t>
  </si>
  <si>
    <t>Santiago</t>
  </si>
  <si>
    <t>Agualeguas</t>
  </si>
  <si>
    <t>Los Ramones</t>
  </si>
  <si>
    <t>General Bravo</t>
  </si>
  <si>
    <t>Cerralvo</t>
  </si>
  <si>
    <t>Mier y Noriega</t>
  </si>
  <si>
    <t>Allende</t>
  </si>
  <si>
    <t>Galeana</t>
  </si>
  <si>
    <t>San Pedro Garza García</t>
  </si>
  <si>
    <t>Anáhuac</t>
  </si>
  <si>
    <t>China</t>
  </si>
  <si>
    <t>General Terán</t>
  </si>
  <si>
    <t>Cadereyta Jiménez</t>
  </si>
  <si>
    <t>Sabinas Hidalgo</t>
  </si>
  <si>
    <t>Montemorelos</t>
  </si>
  <si>
    <t>Linares</t>
  </si>
  <si>
    <t>San Nicolás de los Garza</t>
  </si>
  <si>
    <t>Doctor Arroyo</t>
  </si>
  <si>
    <t>Guadalupe</t>
  </si>
  <si>
    <t>Monterrey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</si>
  <si>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</si>
  <si>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</si>
  <si>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</si>
  <si>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</si>
  <si>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</si>
  <si>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</si>
  <si>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</si>
  <si>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</si>
  <si>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</si>
  <si>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</si>
  <si>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</si>
  <si>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</si>
  <si>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</si>
  <si>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</si>
  <si>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</si>
  <si>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</si>
  <si>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</si>
  <si>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</si>
  <si>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</si>
  <si>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</si>
  <si>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</si>
  <si>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</si>
  <si>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</si>
  <si>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</si>
  <si>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</si>
  <si>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</si>
  <si>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</si>
  <si>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</si>
  <si>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</si>
  <si>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</si>
  <si>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</si>
  <si>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</si>
  <si>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</si>
  <si>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</si>
  <si>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</si>
  <si>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</si>
  <si>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</si>
  <si>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</si>
  <si>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</si>
  <si>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</si>
  <si>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Hombre</t>
  </si>
  <si>
    <t>Mujer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</si>
  <si>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</si>
  <si>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</si>
  <si>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</si>
  <si>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</si>
  <si>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</si>
  <si>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</si>
  <si>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</si>
  <si>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</si>
  <si>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</si>
  <si>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</si>
  <si>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</si>
  <si>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NUEVO LEÓN POR GÉNERO Y EDAD EN EE.UU.</t>
  </si>
  <si>
    <t>Sacerdote</t>
  </si>
  <si>
    <t>Carnicero</t>
  </si>
  <si>
    <t>Panadero(a)</t>
  </si>
  <si>
    <t>Cajero(a)</t>
  </si>
  <si>
    <t>Campesino(a)</t>
  </si>
  <si>
    <t>Operario(a)</t>
  </si>
  <si>
    <t>Mesero(a)</t>
  </si>
  <si>
    <t>Jardinero(a)</t>
  </si>
  <si>
    <t>Chofer</t>
  </si>
  <si>
    <t>Comerciante</t>
  </si>
  <si>
    <t>Pintor(a)</t>
  </si>
  <si>
    <t>Cocinero(a)</t>
  </si>
  <si>
    <t>Albañil</t>
  </si>
  <si>
    <t>Profesionista</t>
  </si>
  <si>
    <t>Jubilado(a)</t>
  </si>
  <si>
    <t>Otro</t>
  </si>
  <si>
    <t>Obrero(a)</t>
  </si>
  <si>
    <t>Estudiante</t>
  </si>
  <si>
    <t>Hogar</t>
  </si>
  <si>
    <t>Empleado(a)</t>
  </si>
  <si>
    <t>Ocupación</t>
  </si>
  <si>
    <t xml:space="preserve">  Matrículas consulares expedidas a originarios de Nuevo León en el 2020.</t>
  </si>
  <si>
    <t>MATRÍCULAS CONSULARES DE ALTA SEGURIDAD EXPEDIDAS A ORIGINARIOS DE NUEVO LEÓN POR ESTADO DE LA UNIÓN AMERICANA. DURANTE EL 2020</t>
  </si>
  <si>
    <t>New Hampshire</t>
  </si>
  <si>
    <t>Tamaño de la muestra: 497,795</t>
  </si>
  <si>
    <t>Octubre de 2021</t>
  </si>
  <si>
    <t>MATRÍCULAS CONSULARES DE ALTA SEGURIDAD EXPEDIDAS DURANTE EL 2020 A ORIGINARIOS DE NUEVO LEÓN EN LOS CONSULADOS DE MÉXICO EN EE.UU.</t>
  </si>
  <si>
    <t>Calexico</t>
  </si>
  <si>
    <t>MATRÍCULAS CONSULARES DE ALTA SEGURIDAD EXPEDIDAS POR MUNICIPIO A ORIGINARIOS DEL ESTADO DE NUEVO LEÓN EN LOS CONSULADOS DE MÉXICO EN EE.UU. 2020</t>
  </si>
  <si>
    <t>MonteMorelos</t>
  </si>
  <si>
    <t>Carmen</t>
  </si>
  <si>
    <t>MATRÍCULAS CONSULARES EXPEDIDAS EN EE.UU. A ORIGINARIOS DE NUEVO LEÓN POR NIVEL DE EDUCACIÓN, 2020.</t>
  </si>
  <si>
    <t>MATRÍCULAS CONSULARES EXPEDIDAS A ORIGINARIOS DE NUEVO LEÓN POR GÉNERO EN EE.UU DURANTE EL 2020.</t>
  </si>
  <si>
    <t>MATRÍCULAS CONSULARES EXPEDIDAS A ORIGINARIOS DE NUEVO LEÓN POR GÉNERO Y CONSULADO DE MÉXICO 2020.</t>
  </si>
  <si>
    <t>MATRÍCULAS CONSULARES EXPEDIDAS EN EE.UU. A ORIGINARIOS DE NUEVO LEÓN POR PERFIL OCUPACIONAL, 2020.</t>
  </si>
  <si>
    <t>Misionero(a)</t>
  </si>
  <si>
    <t>Cirujano(a)</t>
  </si>
  <si>
    <t>Taxista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</si>
</sst>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NUEVO LEÓN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NUEVO LEÓN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NUEVO LEÓN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NUEVO LEÓN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view="pageBreakPreview" zoomScaleNormal="100" zoomScaleSheetLayoutView="100" workbookViewId="0">
      <selection activeCell="A25" sqref="A25:D25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2" t="s">
        <v>242</v>
      </c>
      <c r="B1" s="73"/>
      <c r="C1" s="73"/>
      <c r="D1" s="74"/>
    </row>
    <row r="2" spans="1:4" x14ac:dyDescent="0.35">
      <c r="A2" s="2"/>
      <c r="B2" s="3"/>
      <c r="C2" s="3"/>
      <c r="D2" s="4"/>
    </row>
    <row r="3" spans="1:4" x14ac:dyDescent="0.35">
      <c r="A3" s="75" t="s">
        <v>0</v>
      </c>
      <c r="B3" s="76"/>
      <c r="C3" s="76"/>
      <c r="D3" s="77"/>
    </row>
    <row r="4" spans="1:4" x14ac:dyDescent="0.35">
      <c r="A4" s="75"/>
      <c r="B4" s="76"/>
      <c r="C4" s="76"/>
      <c r="D4" s="77"/>
    </row>
    <row r="5" spans="1:4" x14ac:dyDescent="0.35">
      <c r="A5" s="5"/>
      <c r="B5" s="6"/>
      <c r="C5" s="6"/>
      <c r="D5" s="7"/>
    </row>
    <row r="6" spans="1:4" x14ac:dyDescent="0.35">
      <c r="A6" s="78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8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8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8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Nuevo León_USAMuni'!A1" display="3.2 Por Estado de USA"/>
    <hyperlink ref="A8:D8" location="'Nuevo León_Cons'!A1" display="2. Por Circunscripción Consular"/>
    <hyperlink ref="B9:D9" location="'Nuevo LeónXCons'!A1" display="2.1 Top ten por circunscripción consular"/>
    <hyperlink ref="A6:D6" location="'Nuevo León_EdoUsa'!A1" display="1. Por Estados de USA"/>
    <hyperlink ref="B12:D12" location="'Nuevo León_EdoMun'!A1" display="3.1 Municipio general"/>
    <hyperlink ref="B14:D14" location="'Nuevo León_MUNICIPIO'!A1" display="3.3 Por Circunscripción Consular"/>
    <hyperlink ref="B17:D17" location="'Nuevo León_educ_gral'!A1" display="4.1 Educación general"/>
    <hyperlink ref="B18:D18" location="'Nuevo León_NivelE_Cons'!A1" display="4.2 Por Estado de USA"/>
    <hyperlink ref="B19:D19" location="'Nuevo León_EducCons'!A1" display="4.3 Por Circunscripción Consular"/>
    <hyperlink ref="B22:D22" location="'Nuevo León_GenGral'!A1" display="5.1 Género General"/>
    <hyperlink ref="B23:D23" location="'Nuevo León_GENERO'!A1" display="5.2 Por Circunscripción Consular"/>
    <hyperlink ref="A25:D25" location="'Nuevo León_Gen_Edad'!A1" display="6. Por estructura de Edad"/>
    <hyperlink ref="A27:D27" location="'Nuevo León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E61"/>
  <sheetViews>
    <sheetView showGridLines="0" zoomScaleNormal="100" zoomScaleSheetLayoutView="115" workbookViewId="0">
      <selection activeCell="H15" sqref="H15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243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67</v>
      </c>
      <c r="C11" s="31" t="s">
        <v>66</v>
      </c>
      <c r="D11" s="30" t="s">
        <v>65</v>
      </c>
    </row>
    <row r="12" spans="1:5" x14ac:dyDescent="0.25">
      <c r="B12" s="27" t="s">
        <v>64</v>
      </c>
      <c r="C12" s="26">
        <v>7722</v>
      </c>
      <c r="D12" s="25">
        <v>0.80504587155963303</v>
      </c>
    </row>
    <row r="13" spans="1:5" ht="15.75" x14ac:dyDescent="0.25">
      <c r="B13" s="27" t="s">
        <v>63</v>
      </c>
      <c r="C13" s="26">
        <v>258</v>
      </c>
      <c r="D13" s="25">
        <v>2.6897414512093411E-2</v>
      </c>
      <c r="E13" s="28"/>
    </row>
    <row r="14" spans="1:5" ht="15.75" x14ac:dyDescent="0.25">
      <c r="B14" s="27" t="s">
        <v>62</v>
      </c>
      <c r="C14" s="26">
        <v>221</v>
      </c>
      <c r="D14" s="25">
        <v>2.304003336113428E-2</v>
      </c>
      <c r="E14" s="28"/>
    </row>
    <row r="15" spans="1:5" x14ac:dyDescent="0.25">
      <c r="B15" s="27" t="s">
        <v>58</v>
      </c>
      <c r="C15" s="26">
        <v>172</v>
      </c>
      <c r="D15" s="25">
        <v>1.7931609674728941E-2</v>
      </c>
    </row>
    <row r="16" spans="1:5" x14ac:dyDescent="0.25">
      <c r="B16" s="27" t="s">
        <v>61</v>
      </c>
      <c r="C16" s="26">
        <v>149</v>
      </c>
      <c r="D16" s="25">
        <v>1.5533778148457047E-2</v>
      </c>
    </row>
    <row r="17" spans="2:4" x14ac:dyDescent="0.25">
      <c r="B17" s="27" t="s">
        <v>60</v>
      </c>
      <c r="C17" s="26">
        <v>136</v>
      </c>
      <c r="D17" s="25">
        <v>1.4178482068390326E-2</v>
      </c>
    </row>
    <row r="18" spans="2:4" x14ac:dyDescent="0.25">
      <c r="B18" s="27" t="s">
        <v>56</v>
      </c>
      <c r="C18" s="26">
        <v>74</v>
      </c>
      <c r="D18" s="25">
        <v>7.7147623019182656E-3</v>
      </c>
    </row>
    <row r="19" spans="2:4" x14ac:dyDescent="0.25">
      <c r="B19" s="27" t="s">
        <v>57</v>
      </c>
      <c r="C19" s="26">
        <v>72</v>
      </c>
      <c r="D19" s="25">
        <v>7.5062552126772307E-3</v>
      </c>
    </row>
    <row r="20" spans="2:4" x14ac:dyDescent="0.25">
      <c r="B20" s="27" t="s">
        <v>59</v>
      </c>
      <c r="C20" s="26">
        <v>68</v>
      </c>
      <c r="D20" s="25">
        <v>7.0892410341951628E-3</v>
      </c>
    </row>
    <row r="21" spans="2:4" x14ac:dyDescent="0.25">
      <c r="B21" s="27" t="s">
        <v>54</v>
      </c>
      <c r="C21" s="26">
        <v>59</v>
      </c>
      <c r="D21" s="25">
        <v>6.1509591326105086E-3</v>
      </c>
    </row>
    <row r="22" spans="2:4" x14ac:dyDescent="0.25">
      <c r="B22" s="27" t="s">
        <v>50</v>
      </c>
      <c r="C22" s="26">
        <v>59</v>
      </c>
      <c r="D22" s="25">
        <v>6.1509591326105086E-3</v>
      </c>
    </row>
    <row r="23" spans="2:4" x14ac:dyDescent="0.25">
      <c r="B23" s="27" t="s">
        <v>55</v>
      </c>
      <c r="C23" s="26">
        <v>57</v>
      </c>
      <c r="D23" s="25">
        <v>5.9424520433694747E-3</v>
      </c>
    </row>
    <row r="24" spans="2:4" x14ac:dyDescent="0.25">
      <c r="B24" s="27" t="s">
        <v>48</v>
      </c>
      <c r="C24" s="26">
        <v>53</v>
      </c>
      <c r="D24" s="25">
        <v>5.5254378648874058E-3</v>
      </c>
    </row>
    <row r="25" spans="2:4" x14ac:dyDescent="0.25">
      <c r="B25" s="27" t="s">
        <v>51</v>
      </c>
      <c r="C25" s="26">
        <v>53</v>
      </c>
      <c r="D25" s="25">
        <v>5.5254378648874058E-3</v>
      </c>
    </row>
    <row r="26" spans="2:4" x14ac:dyDescent="0.25">
      <c r="B26" s="27" t="s">
        <v>42</v>
      </c>
      <c r="C26" s="26">
        <v>39</v>
      </c>
      <c r="D26" s="25">
        <v>4.0658882402001672E-3</v>
      </c>
    </row>
    <row r="27" spans="2:4" x14ac:dyDescent="0.25">
      <c r="B27" s="27" t="s">
        <v>53</v>
      </c>
      <c r="C27" s="26">
        <v>38</v>
      </c>
      <c r="D27" s="25">
        <v>3.9616346955796498E-3</v>
      </c>
    </row>
    <row r="28" spans="2:4" x14ac:dyDescent="0.25">
      <c r="B28" s="27" t="s">
        <v>52</v>
      </c>
      <c r="C28" s="26">
        <v>35</v>
      </c>
      <c r="D28" s="25">
        <v>3.6488740617180984E-3</v>
      </c>
    </row>
    <row r="29" spans="2:4" x14ac:dyDescent="0.25">
      <c r="B29" s="27" t="s">
        <v>45</v>
      </c>
      <c r="C29" s="26">
        <v>31</v>
      </c>
      <c r="D29" s="25">
        <v>3.23185988323603E-3</v>
      </c>
    </row>
    <row r="30" spans="2:4" x14ac:dyDescent="0.25">
      <c r="B30" s="27" t="s">
        <v>46</v>
      </c>
      <c r="C30" s="26">
        <v>29</v>
      </c>
      <c r="D30" s="25">
        <v>3.023352793994996E-3</v>
      </c>
    </row>
    <row r="31" spans="2:4" x14ac:dyDescent="0.25">
      <c r="B31" s="27" t="s">
        <v>47</v>
      </c>
      <c r="C31" s="26">
        <v>28</v>
      </c>
      <c r="D31" s="25">
        <v>2.9190992493744786E-3</v>
      </c>
    </row>
    <row r="32" spans="2:4" x14ac:dyDescent="0.25">
      <c r="B32" s="27" t="s">
        <v>49</v>
      </c>
      <c r="C32" s="26">
        <v>28</v>
      </c>
      <c r="D32" s="25">
        <v>2.9190992493744786E-3</v>
      </c>
    </row>
    <row r="33" spans="2:4" x14ac:dyDescent="0.25">
      <c r="B33" s="27" t="s">
        <v>39</v>
      </c>
      <c r="C33" s="26">
        <v>26</v>
      </c>
      <c r="D33" s="25">
        <v>2.7105921601334446E-3</v>
      </c>
    </row>
    <row r="34" spans="2:4" x14ac:dyDescent="0.25">
      <c r="B34" s="27" t="s">
        <v>44</v>
      </c>
      <c r="C34" s="26">
        <v>26</v>
      </c>
      <c r="D34" s="25">
        <v>2.7105921601334446E-3</v>
      </c>
    </row>
    <row r="35" spans="2:4" x14ac:dyDescent="0.25">
      <c r="B35" s="27" t="s">
        <v>41</v>
      </c>
      <c r="C35" s="26">
        <v>18</v>
      </c>
      <c r="D35" s="25">
        <v>1.8765638031693077E-3</v>
      </c>
    </row>
    <row r="36" spans="2:4" x14ac:dyDescent="0.25">
      <c r="B36" s="27" t="s">
        <v>38</v>
      </c>
      <c r="C36" s="26">
        <v>18</v>
      </c>
      <c r="D36" s="25">
        <v>1.8765638031693077E-3</v>
      </c>
    </row>
    <row r="37" spans="2:4" x14ac:dyDescent="0.25">
      <c r="B37" s="27" t="s">
        <v>29</v>
      </c>
      <c r="C37" s="26">
        <v>14</v>
      </c>
      <c r="D37" s="25">
        <v>1.4595496246872393E-3</v>
      </c>
    </row>
    <row r="38" spans="2:4" x14ac:dyDescent="0.25">
      <c r="B38" s="27" t="s">
        <v>35</v>
      </c>
      <c r="C38" s="26">
        <v>14</v>
      </c>
      <c r="D38" s="25">
        <v>1.4595496246872393E-3</v>
      </c>
    </row>
    <row r="39" spans="2:4" x14ac:dyDescent="0.25">
      <c r="B39" s="27" t="s">
        <v>37</v>
      </c>
      <c r="C39" s="26">
        <v>13</v>
      </c>
      <c r="D39" s="25">
        <v>1.3552960800667223E-3</v>
      </c>
    </row>
    <row r="40" spans="2:4" x14ac:dyDescent="0.25">
      <c r="B40" s="27" t="s">
        <v>43</v>
      </c>
      <c r="C40" s="26">
        <v>13</v>
      </c>
      <c r="D40" s="25">
        <v>1.3552960800667223E-3</v>
      </c>
    </row>
    <row r="41" spans="2:4" x14ac:dyDescent="0.25">
      <c r="B41" s="27" t="s">
        <v>33</v>
      </c>
      <c r="C41" s="26">
        <v>12</v>
      </c>
      <c r="D41" s="25">
        <v>1.2510425354462051E-3</v>
      </c>
    </row>
    <row r="42" spans="2:4" x14ac:dyDescent="0.25">
      <c r="B42" s="27" t="s">
        <v>40</v>
      </c>
      <c r="C42" s="26">
        <v>11</v>
      </c>
      <c r="D42" s="25">
        <v>1.1467889908256881E-3</v>
      </c>
    </row>
    <row r="43" spans="2:4" x14ac:dyDescent="0.25">
      <c r="B43" s="27" t="s">
        <v>31</v>
      </c>
      <c r="C43" s="26">
        <v>10</v>
      </c>
      <c r="D43" s="25">
        <v>1.0425354462051709E-3</v>
      </c>
    </row>
    <row r="44" spans="2:4" x14ac:dyDescent="0.25">
      <c r="B44" s="27" t="s">
        <v>32</v>
      </c>
      <c r="C44" s="26">
        <v>8</v>
      </c>
      <c r="D44" s="25">
        <v>8.3402835696413675E-4</v>
      </c>
    </row>
    <row r="45" spans="2:4" x14ac:dyDescent="0.25">
      <c r="B45" s="27" t="s">
        <v>34</v>
      </c>
      <c r="C45" s="26">
        <v>8</v>
      </c>
      <c r="D45" s="25">
        <v>8.3402835696413675E-4</v>
      </c>
    </row>
    <row r="46" spans="2:4" x14ac:dyDescent="0.25">
      <c r="B46" s="27" t="s">
        <v>36</v>
      </c>
      <c r="C46" s="26">
        <v>6</v>
      </c>
      <c r="D46" s="25">
        <v>6.2552126772310256E-4</v>
      </c>
    </row>
    <row r="47" spans="2:4" x14ac:dyDescent="0.25">
      <c r="B47" s="27" t="s">
        <v>24</v>
      </c>
      <c r="C47" s="26">
        <v>4</v>
      </c>
      <c r="D47" s="25">
        <v>4.1701417848206837E-4</v>
      </c>
    </row>
    <row r="48" spans="2:4" x14ac:dyDescent="0.25">
      <c r="B48" s="27" t="s">
        <v>30</v>
      </c>
      <c r="C48" s="26">
        <v>3</v>
      </c>
      <c r="D48" s="25">
        <v>3.1276063386155128E-4</v>
      </c>
    </row>
    <row r="49" spans="2:4" x14ac:dyDescent="0.25">
      <c r="B49" s="27" t="s">
        <v>23</v>
      </c>
      <c r="C49" s="26">
        <v>2</v>
      </c>
      <c r="D49" s="25">
        <v>2.0850708924103419E-4</v>
      </c>
    </row>
    <row r="50" spans="2:4" x14ac:dyDescent="0.25">
      <c r="B50" s="27" t="s">
        <v>28</v>
      </c>
      <c r="C50" s="26">
        <v>1</v>
      </c>
      <c r="D50" s="25">
        <v>1.0425354462051709E-4</v>
      </c>
    </row>
    <row r="51" spans="2:4" x14ac:dyDescent="0.25">
      <c r="B51" s="27" t="s">
        <v>27</v>
      </c>
      <c r="C51" s="26">
        <v>1</v>
      </c>
      <c r="D51" s="25">
        <v>1.0425354462051709E-4</v>
      </c>
    </row>
    <row r="52" spans="2:4" x14ac:dyDescent="0.25">
      <c r="B52" s="27" t="s">
        <v>244</v>
      </c>
      <c r="C52" s="26">
        <v>1</v>
      </c>
      <c r="D52" s="25">
        <v>1.0425354462051709E-4</v>
      </c>
    </row>
    <row r="53" spans="2:4" x14ac:dyDescent="0.25">
      <c r="B53" s="27" t="s">
        <v>26</v>
      </c>
      <c r="C53" s="26">
        <v>1</v>
      </c>
      <c r="D53" s="25">
        <v>1.0425354462051709E-4</v>
      </c>
    </row>
    <row r="54" spans="2:4" x14ac:dyDescent="0.25">
      <c r="B54" s="27" t="s">
        <v>25</v>
      </c>
      <c r="C54" s="26">
        <v>1</v>
      </c>
      <c r="D54" s="25">
        <v>1.0425354462051709E-4</v>
      </c>
    </row>
    <row r="55" spans="2:4" x14ac:dyDescent="0.25">
      <c r="B55" s="24" t="s">
        <v>22</v>
      </c>
      <c r="C55" s="23">
        <v>9592</v>
      </c>
      <c r="D55" s="22">
        <v>1</v>
      </c>
    </row>
    <row r="57" spans="2:4" x14ac:dyDescent="0.25">
      <c r="B57" s="19" t="s">
        <v>245</v>
      </c>
    </row>
    <row r="58" spans="2:4" x14ac:dyDescent="0.25">
      <c r="B58" s="21" t="s">
        <v>20</v>
      </c>
    </row>
    <row r="59" spans="2:4" x14ac:dyDescent="0.25">
      <c r="B59" s="20" t="s">
        <v>19</v>
      </c>
    </row>
    <row r="60" spans="2:4" x14ac:dyDescent="0.25">
      <c r="B60" s="19" t="s">
        <v>18</v>
      </c>
    </row>
    <row r="61" spans="2:4" x14ac:dyDescent="0.25">
      <c r="B61" s="19" t="s">
        <v>246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5"/>
  <sheetViews>
    <sheetView showGridLines="0" zoomScaleNormal="100" zoomScaleSheetLayoutView="115" workbookViewId="0">
      <selection activeCell="I18" sqref="I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247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115</v>
      </c>
      <c r="C11" s="31" t="s">
        <v>66</v>
      </c>
      <c r="D11" s="30" t="s">
        <v>65</v>
      </c>
    </row>
    <row r="12" spans="1:5" x14ac:dyDescent="0.25">
      <c r="B12" s="27" t="s">
        <v>112</v>
      </c>
      <c r="C12" s="26">
        <v>3167</v>
      </c>
      <c r="D12" s="25">
        <v>0.33017097581317767</v>
      </c>
    </row>
    <row r="13" spans="1:5" x14ac:dyDescent="0.25">
      <c r="B13" s="27" t="s">
        <v>111</v>
      </c>
      <c r="C13" s="26">
        <v>1670</v>
      </c>
      <c r="D13" s="25">
        <v>0.17410341951626354</v>
      </c>
    </row>
    <row r="14" spans="1:5" ht="15.75" x14ac:dyDescent="0.25">
      <c r="B14" s="27" t="s">
        <v>199</v>
      </c>
      <c r="C14" s="26">
        <v>1485</v>
      </c>
      <c r="D14" s="25">
        <v>0.15481651376146788</v>
      </c>
      <c r="E14" s="28"/>
    </row>
    <row r="15" spans="1:5" x14ac:dyDescent="0.25">
      <c r="B15" s="27" t="s">
        <v>94</v>
      </c>
      <c r="C15" s="26">
        <v>722</v>
      </c>
      <c r="D15" s="25">
        <v>7.5271059216013347E-2</v>
      </c>
    </row>
    <row r="16" spans="1:5" x14ac:dyDescent="0.25">
      <c r="B16" s="27" t="s">
        <v>113</v>
      </c>
      <c r="C16" s="26">
        <v>281</v>
      </c>
      <c r="D16" s="25">
        <v>2.9295246038365304E-2</v>
      </c>
    </row>
    <row r="17" spans="2:4" x14ac:dyDescent="0.25">
      <c r="B17" s="27" t="s">
        <v>100</v>
      </c>
      <c r="C17" s="26">
        <v>276</v>
      </c>
      <c r="D17" s="25">
        <v>2.8773978315262717E-2</v>
      </c>
    </row>
    <row r="18" spans="2:4" x14ac:dyDescent="0.25">
      <c r="B18" s="27" t="s">
        <v>75</v>
      </c>
      <c r="C18" s="26">
        <v>248</v>
      </c>
      <c r="D18" s="25">
        <v>2.585487906588824E-2</v>
      </c>
    </row>
    <row r="19" spans="2:4" x14ac:dyDescent="0.25">
      <c r="B19" s="27" t="s">
        <v>110</v>
      </c>
      <c r="C19" s="26">
        <v>222</v>
      </c>
      <c r="D19" s="25">
        <v>2.3144286905754794E-2</v>
      </c>
    </row>
    <row r="20" spans="2:4" x14ac:dyDescent="0.25">
      <c r="B20" s="27" t="s">
        <v>107</v>
      </c>
      <c r="C20" s="26">
        <v>203</v>
      </c>
      <c r="D20" s="25">
        <v>2.116346955796497E-2</v>
      </c>
    </row>
    <row r="21" spans="2:4" x14ac:dyDescent="0.25">
      <c r="B21" s="27" t="s">
        <v>102</v>
      </c>
      <c r="C21" s="26">
        <v>146</v>
      </c>
      <c r="D21" s="25">
        <v>1.5221017514595496E-2</v>
      </c>
    </row>
    <row r="22" spans="2:4" x14ac:dyDescent="0.25">
      <c r="B22" s="27" t="s">
        <v>77</v>
      </c>
      <c r="C22" s="26">
        <v>126</v>
      </c>
      <c r="D22" s="25">
        <v>1.3135946622185155E-2</v>
      </c>
    </row>
    <row r="23" spans="2:4" x14ac:dyDescent="0.25">
      <c r="B23" s="27" t="s">
        <v>101</v>
      </c>
      <c r="C23" s="26">
        <v>101</v>
      </c>
      <c r="D23" s="25">
        <v>1.0529608006672226E-2</v>
      </c>
    </row>
    <row r="24" spans="2:4" x14ac:dyDescent="0.25">
      <c r="B24" s="27" t="s">
        <v>80</v>
      </c>
      <c r="C24" s="26">
        <v>85</v>
      </c>
      <c r="D24" s="25">
        <v>8.8615512927439528E-3</v>
      </c>
    </row>
    <row r="25" spans="2:4" x14ac:dyDescent="0.25">
      <c r="B25" s="27" t="s">
        <v>81</v>
      </c>
      <c r="C25" s="26">
        <v>75</v>
      </c>
      <c r="D25" s="25">
        <v>7.8190158465387821E-3</v>
      </c>
    </row>
    <row r="26" spans="2:4" x14ac:dyDescent="0.25">
      <c r="B26" s="27" t="s">
        <v>200</v>
      </c>
      <c r="C26" s="26">
        <v>68</v>
      </c>
      <c r="D26" s="25">
        <v>7.0892410341951628E-3</v>
      </c>
    </row>
    <row r="27" spans="2:4" x14ac:dyDescent="0.25">
      <c r="B27" s="27" t="s">
        <v>201</v>
      </c>
      <c r="C27" s="26">
        <v>64</v>
      </c>
      <c r="D27" s="25">
        <v>6.672226855713094E-3</v>
      </c>
    </row>
    <row r="28" spans="2:4" x14ac:dyDescent="0.25">
      <c r="B28" s="27" t="s">
        <v>91</v>
      </c>
      <c r="C28" s="26">
        <v>58</v>
      </c>
      <c r="D28" s="25">
        <v>6.0467055879899921E-3</v>
      </c>
    </row>
    <row r="29" spans="2:4" x14ac:dyDescent="0.25">
      <c r="B29" s="27" t="s">
        <v>84</v>
      </c>
      <c r="C29" s="26">
        <v>58</v>
      </c>
      <c r="D29" s="25">
        <v>6.0467055879899921E-3</v>
      </c>
    </row>
    <row r="30" spans="2:4" x14ac:dyDescent="0.25">
      <c r="B30" s="27" t="s">
        <v>87</v>
      </c>
      <c r="C30" s="26">
        <v>51</v>
      </c>
      <c r="D30" s="25">
        <v>5.3169307756463719E-3</v>
      </c>
    </row>
    <row r="31" spans="2:4" x14ac:dyDescent="0.25">
      <c r="B31" s="27" t="s">
        <v>88</v>
      </c>
      <c r="C31" s="26">
        <v>48</v>
      </c>
      <c r="D31" s="25">
        <v>5.0041701417848205E-3</v>
      </c>
    </row>
    <row r="32" spans="2:4" x14ac:dyDescent="0.25">
      <c r="B32" s="27" t="s">
        <v>106</v>
      </c>
      <c r="C32" s="26">
        <v>43</v>
      </c>
      <c r="D32" s="25">
        <v>4.4829024186822351E-3</v>
      </c>
    </row>
    <row r="33" spans="2:4" x14ac:dyDescent="0.25">
      <c r="B33" s="27" t="s">
        <v>95</v>
      </c>
      <c r="C33" s="26">
        <v>38</v>
      </c>
      <c r="D33" s="25">
        <v>3.9616346955796498E-3</v>
      </c>
    </row>
    <row r="34" spans="2:4" x14ac:dyDescent="0.25">
      <c r="B34" s="27" t="s">
        <v>108</v>
      </c>
      <c r="C34" s="26">
        <v>34</v>
      </c>
      <c r="D34" s="25">
        <v>3.5446205170975814E-3</v>
      </c>
    </row>
    <row r="35" spans="2:4" x14ac:dyDescent="0.25">
      <c r="B35" s="27" t="s">
        <v>79</v>
      </c>
      <c r="C35" s="26">
        <v>30</v>
      </c>
      <c r="D35" s="25">
        <v>3.127606338615513E-3</v>
      </c>
    </row>
    <row r="36" spans="2:4" x14ac:dyDescent="0.25">
      <c r="B36" s="27" t="s">
        <v>86</v>
      </c>
      <c r="C36" s="26">
        <v>30</v>
      </c>
      <c r="D36" s="25">
        <v>3.127606338615513E-3</v>
      </c>
    </row>
    <row r="37" spans="2:4" x14ac:dyDescent="0.25">
      <c r="B37" s="27" t="s">
        <v>78</v>
      </c>
      <c r="C37" s="26">
        <v>28</v>
      </c>
      <c r="D37" s="25">
        <v>2.9190992493744786E-3</v>
      </c>
    </row>
    <row r="38" spans="2:4" x14ac:dyDescent="0.25">
      <c r="B38" s="27" t="s">
        <v>82</v>
      </c>
      <c r="C38" s="26">
        <v>26</v>
      </c>
      <c r="D38" s="25">
        <v>2.7105921601334446E-3</v>
      </c>
    </row>
    <row r="39" spans="2:4" x14ac:dyDescent="0.25">
      <c r="B39" s="27" t="s">
        <v>98</v>
      </c>
      <c r="C39" s="26">
        <v>24</v>
      </c>
      <c r="D39" s="25">
        <v>2.5020850708924102E-3</v>
      </c>
    </row>
    <row r="40" spans="2:4" x14ac:dyDescent="0.25">
      <c r="B40" s="27" t="s">
        <v>40</v>
      </c>
      <c r="C40" s="26">
        <v>21</v>
      </c>
      <c r="D40" s="25">
        <v>2.1893244370308589E-3</v>
      </c>
    </row>
    <row r="41" spans="2:4" x14ac:dyDescent="0.25">
      <c r="B41" s="27" t="s">
        <v>76</v>
      </c>
      <c r="C41" s="26">
        <v>18</v>
      </c>
      <c r="D41" s="25">
        <v>1.8765638031693077E-3</v>
      </c>
    </row>
    <row r="42" spans="2:4" x14ac:dyDescent="0.25">
      <c r="B42" s="27" t="s">
        <v>105</v>
      </c>
      <c r="C42" s="26">
        <v>16</v>
      </c>
      <c r="D42" s="25">
        <v>1.6680567139282735E-3</v>
      </c>
    </row>
    <row r="43" spans="2:4" x14ac:dyDescent="0.25">
      <c r="B43" s="27" t="s">
        <v>85</v>
      </c>
      <c r="C43" s="26">
        <v>15</v>
      </c>
      <c r="D43" s="25">
        <v>1.5638031693077565E-3</v>
      </c>
    </row>
    <row r="44" spans="2:4" x14ac:dyDescent="0.25">
      <c r="B44" s="27" t="s">
        <v>103</v>
      </c>
      <c r="C44" s="26">
        <v>15</v>
      </c>
      <c r="D44" s="25">
        <v>1.5638031693077565E-3</v>
      </c>
    </row>
    <row r="45" spans="2:4" x14ac:dyDescent="0.25">
      <c r="B45" s="27" t="s">
        <v>99</v>
      </c>
      <c r="C45" s="26">
        <v>13</v>
      </c>
      <c r="D45" s="25">
        <v>1.3552960800667223E-3</v>
      </c>
    </row>
    <row r="46" spans="2:4" x14ac:dyDescent="0.25">
      <c r="B46" s="27" t="s">
        <v>90</v>
      </c>
      <c r="C46" s="26">
        <v>13</v>
      </c>
      <c r="D46" s="25">
        <v>1.3552960800667223E-3</v>
      </c>
    </row>
    <row r="47" spans="2:4" x14ac:dyDescent="0.25">
      <c r="B47" s="27" t="s">
        <v>92</v>
      </c>
      <c r="C47" s="26">
        <v>11</v>
      </c>
      <c r="D47" s="25">
        <v>1.1467889908256881E-3</v>
      </c>
    </row>
    <row r="48" spans="2:4" x14ac:dyDescent="0.25">
      <c r="B48" s="27" t="s">
        <v>83</v>
      </c>
      <c r="C48" s="26">
        <v>11</v>
      </c>
      <c r="D48" s="25">
        <v>1.1467889908256881E-3</v>
      </c>
    </row>
    <row r="49" spans="2:4" x14ac:dyDescent="0.25">
      <c r="B49" s="27" t="s">
        <v>198</v>
      </c>
      <c r="C49" s="26">
        <v>10</v>
      </c>
      <c r="D49" s="25">
        <v>1.0425354462051709E-3</v>
      </c>
    </row>
    <row r="50" spans="2:4" x14ac:dyDescent="0.25">
      <c r="B50" s="27" t="s">
        <v>109</v>
      </c>
      <c r="C50" s="26">
        <v>9</v>
      </c>
      <c r="D50" s="25">
        <v>9.3828190158465384E-4</v>
      </c>
    </row>
    <row r="51" spans="2:4" x14ac:dyDescent="0.25">
      <c r="B51" s="27" t="s">
        <v>97</v>
      </c>
      <c r="C51" s="26">
        <v>8</v>
      </c>
      <c r="D51" s="25">
        <v>8.3402835696413675E-4</v>
      </c>
    </row>
    <row r="52" spans="2:4" x14ac:dyDescent="0.25">
      <c r="B52" s="27" t="s">
        <v>89</v>
      </c>
      <c r="C52" s="26">
        <v>7</v>
      </c>
      <c r="D52" s="25">
        <v>7.2977481234361965E-4</v>
      </c>
    </row>
    <row r="53" spans="2:4" x14ac:dyDescent="0.25">
      <c r="B53" s="27" t="s">
        <v>73</v>
      </c>
      <c r="C53" s="26">
        <v>6</v>
      </c>
      <c r="D53" s="25">
        <v>6.2552126772310256E-4</v>
      </c>
    </row>
    <row r="54" spans="2:4" x14ac:dyDescent="0.25">
      <c r="B54" s="27" t="s">
        <v>202</v>
      </c>
      <c r="C54" s="26">
        <v>4</v>
      </c>
      <c r="D54" s="25">
        <v>4.1701417848206837E-4</v>
      </c>
    </row>
    <row r="55" spans="2:4" x14ac:dyDescent="0.25">
      <c r="B55" s="27" t="s">
        <v>72</v>
      </c>
      <c r="C55" s="26">
        <v>3</v>
      </c>
      <c r="D55" s="25">
        <v>3.1276063386155128E-4</v>
      </c>
    </row>
    <row r="56" spans="2:4" x14ac:dyDescent="0.25">
      <c r="B56" s="27" t="s">
        <v>74</v>
      </c>
      <c r="C56" s="26">
        <v>3</v>
      </c>
      <c r="D56" s="25">
        <v>3.1276063386155128E-4</v>
      </c>
    </row>
    <row r="57" spans="2:4" x14ac:dyDescent="0.25">
      <c r="B57" s="27" t="s">
        <v>248</v>
      </c>
      <c r="C57" s="26">
        <v>1</v>
      </c>
      <c r="D57" s="25">
        <v>1.0425354462051709E-4</v>
      </c>
    </row>
    <row r="58" spans="2:4" x14ac:dyDescent="0.25">
      <c r="B58" s="27" t="s">
        <v>69</v>
      </c>
      <c r="C58" s="26">
        <v>1</v>
      </c>
      <c r="D58" s="25">
        <v>1.0425354462051709E-4</v>
      </c>
    </row>
    <row r="59" spans="2:4" x14ac:dyDescent="0.25">
      <c r="B59" s="24" t="s">
        <v>22</v>
      </c>
      <c r="C59" s="23">
        <v>9592</v>
      </c>
      <c r="D59" s="22">
        <v>1</v>
      </c>
    </row>
    <row r="61" spans="2:4" x14ac:dyDescent="0.25">
      <c r="B61" s="19" t="s">
        <v>245</v>
      </c>
    </row>
    <row r="62" spans="2:4" x14ac:dyDescent="0.25">
      <c r="B62" s="21" t="s">
        <v>20</v>
      </c>
    </row>
    <row r="63" spans="2:4" x14ac:dyDescent="0.25">
      <c r="B63" s="20" t="s">
        <v>19</v>
      </c>
    </row>
    <row r="64" spans="2:4" x14ac:dyDescent="0.25">
      <c r="B64" s="19" t="s">
        <v>18</v>
      </c>
    </row>
    <row r="65" spans="2:2" x14ac:dyDescent="0.25">
      <c r="B65" s="19" t="s">
        <v>246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K20" sqref="K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247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115</v>
      </c>
      <c r="C11" s="31" t="s">
        <v>66</v>
      </c>
      <c r="D11" s="30" t="s">
        <v>65</v>
      </c>
    </row>
    <row r="12" spans="1:5" x14ac:dyDescent="0.25">
      <c r="B12" s="27" t="s">
        <v>112</v>
      </c>
      <c r="C12" s="26">
        <v>3167</v>
      </c>
      <c r="D12" s="25">
        <f t="shared" ref="D12:D22" si="0">C12/$C$22</f>
        <v>0.37612826603325417</v>
      </c>
    </row>
    <row r="13" spans="1:5" x14ac:dyDescent="0.25">
      <c r="B13" s="27" t="s">
        <v>111</v>
      </c>
      <c r="C13" s="26">
        <v>1670</v>
      </c>
      <c r="D13" s="25">
        <f t="shared" si="0"/>
        <v>0.19833729216152018</v>
      </c>
    </row>
    <row r="14" spans="1:5" ht="15.75" x14ac:dyDescent="0.25">
      <c r="B14" s="27" t="s">
        <v>93</v>
      </c>
      <c r="C14" s="26">
        <v>1485</v>
      </c>
      <c r="D14" s="25">
        <f t="shared" si="0"/>
        <v>0.17636579572446556</v>
      </c>
      <c r="E14" s="28"/>
    </row>
    <row r="15" spans="1:5" ht="15.75" x14ac:dyDescent="0.25">
      <c r="B15" s="27" t="s">
        <v>94</v>
      </c>
      <c r="C15" s="26">
        <v>722</v>
      </c>
      <c r="D15" s="25">
        <f t="shared" si="0"/>
        <v>8.5748218527315914E-2</v>
      </c>
      <c r="E15" s="28"/>
    </row>
    <row r="16" spans="1:5" x14ac:dyDescent="0.25">
      <c r="B16" s="27" t="s">
        <v>113</v>
      </c>
      <c r="C16" s="26">
        <v>281</v>
      </c>
      <c r="D16" s="25">
        <f t="shared" si="0"/>
        <v>3.3372921615201903E-2</v>
      </c>
    </row>
    <row r="17" spans="2:4" x14ac:dyDescent="0.25">
      <c r="B17" s="27" t="s">
        <v>100</v>
      </c>
      <c r="C17" s="26">
        <v>276</v>
      </c>
      <c r="D17" s="25">
        <f t="shared" si="0"/>
        <v>3.2779097387173398E-2</v>
      </c>
    </row>
    <row r="18" spans="2:4" x14ac:dyDescent="0.25">
      <c r="B18" s="27" t="s">
        <v>75</v>
      </c>
      <c r="C18" s="26">
        <v>248</v>
      </c>
      <c r="D18" s="25">
        <f t="shared" si="0"/>
        <v>2.9453681710213776E-2</v>
      </c>
    </row>
    <row r="19" spans="2:4" x14ac:dyDescent="0.25">
      <c r="B19" s="27" t="s">
        <v>110</v>
      </c>
      <c r="C19" s="26">
        <v>222</v>
      </c>
      <c r="D19" s="25">
        <f t="shared" si="0"/>
        <v>2.6365795724465558E-2</v>
      </c>
    </row>
    <row r="20" spans="2:4" x14ac:dyDescent="0.25">
      <c r="B20" s="27" t="s">
        <v>107</v>
      </c>
      <c r="C20" s="26">
        <v>203</v>
      </c>
      <c r="D20" s="25">
        <f t="shared" si="0"/>
        <v>2.4109263657957243E-2</v>
      </c>
    </row>
    <row r="21" spans="2:4" x14ac:dyDescent="0.25">
      <c r="B21" s="27" t="s">
        <v>102</v>
      </c>
      <c r="C21" s="26">
        <v>146</v>
      </c>
      <c r="D21" s="25">
        <f t="shared" si="0"/>
        <v>1.7339667458432306E-2</v>
      </c>
    </row>
    <row r="22" spans="2:4" x14ac:dyDescent="0.25">
      <c r="B22" s="24" t="s">
        <v>203</v>
      </c>
      <c r="C22" s="23">
        <f>SUM(C12:C21)</f>
        <v>8420</v>
      </c>
      <c r="D22" s="22">
        <f t="shared" si="0"/>
        <v>1</v>
      </c>
    </row>
    <row r="24" spans="2:4" x14ac:dyDescent="0.25">
      <c r="B24" s="19" t="s">
        <v>245</v>
      </c>
    </row>
    <row r="25" spans="2:4" x14ac:dyDescent="0.25">
      <c r="B25" s="21" t="s">
        <v>20</v>
      </c>
    </row>
    <row r="26" spans="2:4" x14ac:dyDescent="0.25">
      <c r="B26" s="20" t="s">
        <v>19</v>
      </c>
    </row>
    <row r="27" spans="2:4" x14ac:dyDescent="0.25">
      <c r="B27" s="19" t="s">
        <v>18</v>
      </c>
    </row>
    <row r="28" spans="2:4" x14ac:dyDescent="0.25">
      <c r="B28" s="19" t="s">
        <v>246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D69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68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249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167</v>
      </c>
      <c r="C11" s="31" t="s">
        <v>66</v>
      </c>
      <c r="D11" s="30" t="s">
        <v>65</v>
      </c>
    </row>
    <row r="12" spans="1:4" ht="15" customHeight="1" x14ac:dyDescent="0.25">
      <c r="B12" s="27" t="s">
        <v>166</v>
      </c>
      <c r="C12" s="26">
        <v>8248</v>
      </c>
      <c r="D12" s="25">
        <v>0.49469201703352728</v>
      </c>
    </row>
    <row r="13" spans="1:4" x14ac:dyDescent="0.25">
      <c r="B13" s="27" t="s">
        <v>165</v>
      </c>
      <c r="C13" s="26">
        <v>982</v>
      </c>
      <c r="D13" s="25">
        <v>5.8897618904816172E-2</v>
      </c>
    </row>
    <row r="14" spans="1:4" s="28" customFormat="1" ht="15.75" x14ac:dyDescent="0.25">
      <c r="A14" s="17"/>
      <c r="B14" s="27" t="s">
        <v>164</v>
      </c>
      <c r="C14" s="26">
        <v>948</v>
      </c>
      <c r="D14" s="25">
        <v>5.6858393810352063E-2</v>
      </c>
    </row>
    <row r="15" spans="1:4" s="28" customFormat="1" ht="27" x14ac:dyDescent="0.25">
      <c r="A15" s="17"/>
      <c r="B15" s="27" t="s">
        <v>163</v>
      </c>
      <c r="C15" s="26">
        <v>902</v>
      </c>
      <c r="D15" s="25">
        <v>5.4099442211959455E-2</v>
      </c>
    </row>
    <row r="16" spans="1:4" x14ac:dyDescent="0.25">
      <c r="B16" s="27" t="s">
        <v>162</v>
      </c>
      <c r="C16" s="26">
        <v>838</v>
      </c>
      <c r="D16" s="25">
        <v>5.0260900857674082E-2</v>
      </c>
    </row>
    <row r="17" spans="2:4" x14ac:dyDescent="0.25">
      <c r="B17" s="27" t="s">
        <v>161</v>
      </c>
      <c r="C17" s="26">
        <v>623</v>
      </c>
      <c r="D17" s="25">
        <v>3.7365800995621666E-2</v>
      </c>
    </row>
    <row r="18" spans="2:4" x14ac:dyDescent="0.25">
      <c r="B18" s="27" t="s">
        <v>160</v>
      </c>
      <c r="C18" s="26">
        <v>549</v>
      </c>
      <c r="D18" s="25">
        <v>3.2927487554729205E-2</v>
      </c>
    </row>
    <row r="19" spans="2:4" x14ac:dyDescent="0.25">
      <c r="B19" s="27" t="s">
        <v>159</v>
      </c>
      <c r="C19" s="26">
        <v>405</v>
      </c>
      <c r="D19" s="25">
        <v>2.4290769507587118E-2</v>
      </c>
    </row>
    <row r="20" spans="2:4" x14ac:dyDescent="0.25">
      <c r="B20" s="27" t="s">
        <v>158</v>
      </c>
      <c r="C20" s="26">
        <v>330</v>
      </c>
      <c r="D20" s="25">
        <v>1.9792478858033948E-2</v>
      </c>
    </row>
    <row r="21" spans="2:4" x14ac:dyDescent="0.25">
      <c r="B21" s="27" t="s">
        <v>157</v>
      </c>
      <c r="C21" s="26">
        <v>284</v>
      </c>
      <c r="D21" s="25">
        <v>1.7033527259641336E-2</v>
      </c>
    </row>
    <row r="22" spans="2:4" x14ac:dyDescent="0.25">
      <c r="B22" s="27" t="s">
        <v>156</v>
      </c>
      <c r="C22" s="26">
        <v>282</v>
      </c>
      <c r="D22" s="25">
        <v>1.6913572842319917E-2</v>
      </c>
    </row>
    <row r="23" spans="2:4" x14ac:dyDescent="0.25">
      <c r="B23" s="27" t="s">
        <v>155</v>
      </c>
      <c r="C23" s="26">
        <v>277</v>
      </c>
      <c r="D23" s="25">
        <v>1.6613686799016373E-2</v>
      </c>
    </row>
    <row r="24" spans="2:4" x14ac:dyDescent="0.25">
      <c r="B24" s="27" t="s">
        <v>154</v>
      </c>
      <c r="C24" s="26">
        <v>209</v>
      </c>
      <c r="D24" s="25">
        <v>1.2535236610088166E-2</v>
      </c>
    </row>
    <row r="25" spans="2:4" x14ac:dyDescent="0.25">
      <c r="B25" s="27" t="s">
        <v>153</v>
      </c>
      <c r="C25" s="26">
        <v>206</v>
      </c>
      <c r="D25" s="25">
        <v>1.2355304984106039E-2</v>
      </c>
    </row>
    <row r="26" spans="2:4" x14ac:dyDescent="0.25">
      <c r="B26" s="27" t="s">
        <v>152</v>
      </c>
      <c r="C26" s="26">
        <v>181</v>
      </c>
      <c r="D26" s="25">
        <v>1.0855874767588317E-2</v>
      </c>
    </row>
    <row r="27" spans="2:4" x14ac:dyDescent="0.25">
      <c r="B27" s="27" t="s">
        <v>151</v>
      </c>
      <c r="C27" s="26">
        <v>130</v>
      </c>
      <c r="D27" s="25">
        <v>7.797037125892161E-3</v>
      </c>
    </row>
    <row r="28" spans="2:4" x14ac:dyDescent="0.25">
      <c r="B28" s="27" t="s">
        <v>150</v>
      </c>
      <c r="C28" s="26">
        <v>128</v>
      </c>
      <c r="D28" s="25">
        <v>7.6770827085707429E-3</v>
      </c>
    </row>
    <row r="29" spans="2:4" x14ac:dyDescent="0.25">
      <c r="B29" s="27" t="s">
        <v>149</v>
      </c>
      <c r="C29" s="26">
        <v>102</v>
      </c>
      <c r="D29" s="25">
        <v>6.1176752833923109E-3</v>
      </c>
    </row>
    <row r="30" spans="2:4" x14ac:dyDescent="0.25">
      <c r="B30" s="27" t="s">
        <v>148</v>
      </c>
      <c r="C30" s="26">
        <v>72</v>
      </c>
      <c r="D30" s="25">
        <v>4.3183590235710426E-3</v>
      </c>
    </row>
    <row r="31" spans="2:4" x14ac:dyDescent="0.25">
      <c r="B31" s="27" t="s">
        <v>147</v>
      </c>
      <c r="C31" s="26">
        <v>72</v>
      </c>
      <c r="D31" s="25">
        <v>4.3183590235710426E-3</v>
      </c>
    </row>
    <row r="32" spans="2:4" x14ac:dyDescent="0.25">
      <c r="B32" s="27" t="s">
        <v>146</v>
      </c>
      <c r="C32" s="26">
        <v>67</v>
      </c>
      <c r="D32" s="25">
        <v>4.0184729802674986E-3</v>
      </c>
    </row>
    <row r="33" spans="2:4" x14ac:dyDescent="0.25">
      <c r="B33" s="27" t="s">
        <v>145</v>
      </c>
      <c r="C33" s="26">
        <v>65</v>
      </c>
      <c r="D33" s="25">
        <v>3.8985185629460805E-3</v>
      </c>
    </row>
    <row r="34" spans="2:4" x14ac:dyDescent="0.25">
      <c r="B34" s="27" t="s">
        <v>144</v>
      </c>
      <c r="C34" s="26">
        <v>56</v>
      </c>
      <c r="D34" s="25">
        <v>3.3587236849997003E-3</v>
      </c>
    </row>
    <row r="35" spans="2:4" x14ac:dyDescent="0.25">
      <c r="B35" s="27" t="s">
        <v>143</v>
      </c>
      <c r="C35" s="26">
        <v>51</v>
      </c>
      <c r="D35" s="25">
        <v>3.0588376416961554E-3</v>
      </c>
    </row>
    <row r="36" spans="2:4" x14ac:dyDescent="0.25">
      <c r="B36" s="27" t="s">
        <v>142</v>
      </c>
      <c r="C36" s="26">
        <v>49</v>
      </c>
      <c r="D36" s="25">
        <v>2.9388832243747377E-3</v>
      </c>
    </row>
    <row r="37" spans="2:4" x14ac:dyDescent="0.25">
      <c r="B37" s="27" t="s">
        <v>141</v>
      </c>
      <c r="C37" s="26">
        <v>47</v>
      </c>
      <c r="D37" s="25">
        <v>2.8189288070533196E-3</v>
      </c>
    </row>
    <row r="38" spans="2:4" x14ac:dyDescent="0.25">
      <c r="B38" s="27" t="s">
        <v>140</v>
      </c>
      <c r="C38" s="26">
        <v>46</v>
      </c>
      <c r="D38" s="25">
        <v>2.758951598392611E-3</v>
      </c>
    </row>
    <row r="39" spans="2:4" x14ac:dyDescent="0.25">
      <c r="B39" s="27" t="s">
        <v>139</v>
      </c>
      <c r="C39" s="26">
        <v>45</v>
      </c>
      <c r="D39" s="25">
        <v>2.698974389731902E-3</v>
      </c>
    </row>
    <row r="40" spans="2:4" x14ac:dyDescent="0.25">
      <c r="B40" s="27" t="s">
        <v>138</v>
      </c>
      <c r="C40" s="26">
        <v>40</v>
      </c>
      <c r="D40" s="25">
        <v>2.3990883464283571E-3</v>
      </c>
    </row>
    <row r="41" spans="2:4" x14ac:dyDescent="0.25">
      <c r="B41" s="27" t="s">
        <v>137</v>
      </c>
      <c r="C41" s="26">
        <v>38</v>
      </c>
      <c r="D41" s="25">
        <v>2.2791339291069394E-3</v>
      </c>
    </row>
    <row r="42" spans="2:4" x14ac:dyDescent="0.25">
      <c r="B42" s="27" t="s">
        <v>136</v>
      </c>
      <c r="C42" s="26">
        <v>34</v>
      </c>
      <c r="D42" s="25">
        <v>2.0392250944641036E-3</v>
      </c>
    </row>
    <row r="43" spans="2:4" x14ac:dyDescent="0.25">
      <c r="B43" s="27" t="s">
        <v>135</v>
      </c>
      <c r="C43" s="26">
        <v>32</v>
      </c>
      <c r="D43" s="25">
        <v>1.9192706771426857E-3</v>
      </c>
    </row>
    <row r="44" spans="2:4" x14ac:dyDescent="0.25">
      <c r="B44" s="27" t="s">
        <v>134</v>
      </c>
      <c r="C44" s="26">
        <v>30</v>
      </c>
      <c r="D44" s="25">
        <v>1.7993162598212678E-3</v>
      </c>
    </row>
    <row r="45" spans="2:4" x14ac:dyDescent="0.25">
      <c r="B45" s="27" t="s">
        <v>133</v>
      </c>
      <c r="C45" s="26">
        <v>28</v>
      </c>
      <c r="D45" s="25">
        <v>1.6793618424998501E-3</v>
      </c>
    </row>
    <row r="46" spans="2:4" x14ac:dyDescent="0.25">
      <c r="B46" s="27" t="s">
        <v>132</v>
      </c>
      <c r="C46" s="26">
        <v>26</v>
      </c>
      <c r="D46" s="25">
        <v>1.5594074251784322E-3</v>
      </c>
    </row>
    <row r="47" spans="2:4" x14ac:dyDescent="0.25">
      <c r="B47" s="27" t="s">
        <v>131</v>
      </c>
      <c r="C47" s="26">
        <v>26</v>
      </c>
      <c r="D47" s="25">
        <v>1.5594074251784322E-3</v>
      </c>
    </row>
    <row r="48" spans="2:4" x14ac:dyDescent="0.25">
      <c r="B48" s="27" t="s">
        <v>130</v>
      </c>
      <c r="C48" s="26">
        <v>23</v>
      </c>
      <c r="D48" s="25">
        <v>1.3794757991963055E-3</v>
      </c>
    </row>
    <row r="49" spans="2:4" x14ac:dyDescent="0.25">
      <c r="B49" s="27" t="s">
        <v>129</v>
      </c>
      <c r="C49" s="26">
        <v>21</v>
      </c>
      <c r="D49" s="25">
        <v>1.2595213818748876E-3</v>
      </c>
    </row>
    <row r="50" spans="2:4" x14ac:dyDescent="0.25">
      <c r="B50" s="27" t="s">
        <v>128</v>
      </c>
      <c r="C50" s="26">
        <v>20</v>
      </c>
      <c r="D50" s="25">
        <v>1.1995441732141785E-3</v>
      </c>
    </row>
    <row r="51" spans="2:4" x14ac:dyDescent="0.25">
      <c r="B51" s="27" t="s">
        <v>127</v>
      </c>
      <c r="C51" s="26">
        <v>19</v>
      </c>
      <c r="D51" s="25">
        <v>1.1395669645534697E-3</v>
      </c>
    </row>
    <row r="52" spans="2:4" x14ac:dyDescent="0.25">
      <c r="B52" s="27" t="s">
        <v>126</v>
      </c>
      <c r="C52" s="26">
        <v>19</v>
      </c>
      <c r="D52" s="25">
        <v>1.1395669645534697E-3</v>
      </c>
    </row>
    <row r="53" spans="2:4" x14ac:dyDescent="0.25">
      <c r="B53" s="27" t="s">
        <v>125</v>
      </c>
      <c r="C53" s="26">
        <v>18</v>
      </c>
      <c r="D53" s="25">
        <v>1.0795897558927607E-3</v>
      </c>
    </row>
    <row r="54" spans="2:4" x14ac:dyDescent="0.25">
      <c r="B54" s="27" t="s">
        <v>124</v>
      </c>
      <c r="C54" s="26">
        <v>18</v>
      </c>
      <c r="D54" s="25">
        <v>1.0795897558927607E-3</v>
      </c>
    </row>
    <row r="55" spans="2:4" x14ac:dyDescent="0.25">
      <c r="B55" s="27" t="s">
        <v>123</v>
      </c>
      <c r="C55" s="26">
        <v>17</v>
      </c>
      <c r="D55" s="25">
        <v>1.0196125472320518E-3</v>
      </c>
    </row>
    <row r="56" spans="2:4" x14ac:dyDescent="0.25">
      <c r="B56" s="27" t="s">
        <v>122</v>
      </c>
      <c r="C56" s="26">
        <v>13</v>
      </c>
      <c r="D56" s="25">
        <v>7.7970371258921612E-4</v>
      </c>
    </row>
    <row r="57" spans="2:4" x14ac:dyDescent="0.25">
      <c r="B57" s="27" t="s">
        <v>121</v>
      </c>
      <c r="C57" s="26">
        <v>13</v>
      </c>
      <c r="D57" s="25">
        <v>7.7970371258921612E-4</v>
      </c>
    </row>
    <row r="58" spans="2:4" x14ac:dyDescent="0.25">
      <c r="B58" s="27" t="s">
        <v>120</v>
      </c>
      <c r="C58" s="26">
        <v>12</v>
      </c>
      <c r="D58" s="25">
        <v>7.1972650392850717E-4</v>
      </c>
    </row>
    <row r="59" spans="2:4" x14ac:dyDescent="0.25">
      <c r="B59" s="27" t="s">
        <v>119</v>
      </c>
      <c r="C59" s="26">
        <v>12</v>
      </c>
      <c r="D59" s="25">
        <v>7.1972650392850717E-4</v>
      </c>
    </row>
    <row r="60" spans="2:4" x14ac:dyDescent="0.25">
      <c r="B60" s="27" t="s">
        <v>118</v>
      </c>
      <c r="C60" s="26">
        <v>10</v>
      </c>
      <c r="D60" s="25">
        <v>5.9977208660708927E-4</v>
      </c>
    </row>
    <row r="61" spans="2:4" x14ac:dyDescent="0.25">
      <c r="B61" s="27" t="s">
        <v>117</v>
      </c>
      <c r="C61" s="26">
        <v>5</v>
      </c>
      <c r="D61" s="25">
        <v>2.9988604330354464E-4</v>
      </c>
    </row>
    <row r="62" spans="2:4" x14ac:dyDescent="0.25">
      <c r="B62" s="27" t="s">
        <v>116</v>
      </c>
      <c r="C62" s="26">
        <v>5</v>
      </c>
      <c r="D62" s="25">
        <v>2.9988604330354464E-4</v>
      </c>
    </row>
    <row r="63" spans="2:4" x14ac:dyDescent="0.25">
      <c r="B63" s="24" t="s">
        <v>22</v>
      </c>
      <c r="C63" s="23">
        <v>16673</v>
      </c>
      <c r="D63" s="22">
        <v>1</v>
      </c>
    </row>
    <row r="65" spans="2:2" x14ac:dyDescent="0.25">
      <c r="B65" s="19" t="s">
        <v>21</v>
      </c>
    </row>
    <row r="66" spans="2:2" x14ac:dyDescent="0.25">
      <c r="B66" s="21" t="s">
        <v>20</v>
      </c>
    </row>
    <row r="67" spans="2:2" x14ac:dyDescent="0.25">
      <c r="B67" s="20" t="s">
        <v>19</v>
      </c>
    </row>
    <row r="68" spans="2:2" x14ac:dyDescent="0.25">
      <c r="B68" s="19" t="s">
        <v>18</v>
      </c>
    </row>
    <row r="69" spans="2:2" x14ac:dyDescent="0.25">
      <c r="B69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456"/>
  <sheetViews>
    <sheetView zoomScale="82" zoomScaleNormal="82" zoomScaleSheetLayoutView="85" workbookViewId="0">
      <selection activeCell="G23" sqref="G23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169</v>
      </c>
      <c r="C9" s="49" t="s">
        <v>168</v>
      </c>
      <c r="D9" s="48" t="s">
        <v>66</v>
      </c>
      <c r="E9" s="47" t="s">
        <v>65</v>
      </c>
    </row>
    <row r="10" spans="1:5" ht="15" customHeight="1" x14ac:dyDescent="0.25">
      <c r="B10" s="80" t="s">
        <v>53</v>
      </c>
      <c r="C10" s="45" t="s">
        <v>159</v>
      </c>
      <c r="D10" s="44">
        <v>2</v>
      </c>
      <c r="E10" s="43">
        <v>2.0850708924103419E-4</v>
      </c>
    </row>
    <row r="11" spans="1:5" ht="15" customHeight="1" x14ac:dyDescent="0.25">
      <c r="B11" s="81"/>
      <c r="C11" s="45" t="s">
        <v>164</v>
      </c>
      <c r="D11" s="44">
        <v>10</v>
      </c>
      <c r="E11" s="43">
        <v>1.0425354462051709E-3</v>
      </c>
    </row>
    <row r="12" spans="1:5" ht="15" customHeight="1" x14ac:dyDescent="0.25">
      <c r="B12" s="81"/>
      <c r="C12" s="45" t="s">
        <v>154</v>
      </c>
      <c r="D12" s="44">
        <v>1</v>
      </c>
      <c r="E12" s="43">
        <v>1.0425354462051709E-4</v>
      </c>
    </row>
    <row r="13" spans="1:5" ht="15" customHeight="1" x14ac:dyDescent="0.25">
      <c r="B13" s="81"/>
      <c r="C13" s="45" t="s">
        <v>165</v>
      </c>
      <c r="D13" s="44">
        <v>2</v>
      </c>
      <c r="E13" s="43">
        <v>2.0850708924103419E-4</v>
      </c>
    </row>
    <row r="14" spans="1:5" ht="15" customHeight="1" x14ac:dyDescent="0.25">
      <c r="B14" s="81"/>
      <c r="C14" s="45" t="s">
        <v>162</v>
      </c>
      <c r="D14" s="44">
        <v>2</v>
      </c>
      <c r="E14" s="43">
        <v>2.0850708924103419E-4</v>
      </c>
    </row>
    <row r="15" spans="1:5" ht="15" customHeight="1" x14ac:dyDescent="0.25">
      <c r="B15" s="81"/>
      <c r="C15" s="45" t="s">
        <v>152</v>
      </c>
      <c r="D15" s="44">
        <v>1</v>
      </c>
      <c r="E15" s="43">
        <v>1.0425354462051709E-4</v>
      </c>
    </row>
    <row r="16" spans="1:5" ht="15" customHeight="1" x14ac:dyDescent="0.25">
      <c r="B16" s="81"/>
      <c r="C16" s="45" t="s">
        <v>166</v>
      </c>
      <c r="D16" s="44">
        <v>13</v>
      </c>
      <c r="E16" s="43">
        <v>1.3552960800667223E-3</v>
      </c>
    </row>
    <row r="17" spans="2:5" ht="15" customHeight="1" x14ac:dyDescent="0.25">
      <c r="B17" s="81"/>
      <c r="C17" s="45" t="s">
        <v>160</v>
      </c>
      <c r="D17" s="44">
        <v>2</v>
      </c>
      <c r="E17" s="43">
        <v>2.0850708924103419E-4</v>
      </c>
    </row>
    <row r="18" spans="2:5" ht="15" customHeight="1" x14ac:dyDescent="0.25">
      <c r="B18" s="81"/>
      <c r="C18" s="45" t="s">
        <v>163</v>
      </c>
      <c r="D18" s="44">
        <v>2</v>
      </c>
      <c r="E18" s="43">
        <v>2.0850708924103419E-4</v>
      </c>
    </row>
    <row r="19" spans="2:5" ht="15" customHeight="1" x14ac:dyDescent="0.25">
      <c r="B19" s="81"/>
      <c r="C19" s="45" t="s">
        <v>155</v>
      </c>
      <c r="D19" s="44">
        <v>2</v>
      </c>
      <c r="E19" s="43">
        <v>2.0850708924103419E-4</v>
      </c>
    </row>
    <row r="20" spans="2:5" ht="15" customHeight="1" x14ac:dyDescent="0.25">
      <c r="B20" s="81"/>
      <c r="C20" s="45" t="s">
        <v>138</v>
      </c>
      <c r="D20" s="44">
        <v>1</v>
      </c>
      <c r="E20" s="43">
        <v>1.0425354462051709E-4</v>
      </c>
    </row>
    <row r="21" spans="2:5" ht="15" customHeight="1" x14ac:dyDescent="0.25">
      <c r="B21" s="82"/>
      <c r="C21" s="42" t="s">
        <v>22</v>
      </c>
      <c r="D21" s="41">
        <v>38</v>
      </c>
      <c r="E21" s="40">
        <v>3.9616346955796498E-3</v>
      </c>
    </row>
    <row r="22" spans="2:5" ht="15" customHeight="1" x14ac:dyDescent="0.25">
      <c r="B22" s="80" t="s">
        <v>41</v>
      </c>
      <c r="C22" s="45" t="s">
        <v>153</v>
      </c>
      <c r="D22" s="44">
        <v>1</v>
      </c>
      <c r="E22" s="43">
        <v>1.0425354462051709E-4</v>
      </c>
    </row>
    <row r="23" spans="2:5" ht="15" customHeight="1" x14ac:dyDescent="0.25">
      <c r="B23" s="81"/>
      <c r="C23" s="45" t="s">
        <v>156</v>
      </c>
      <c r="D23" s="44">
        <v>1</v>
      </c>
      <c r="E23" s="43">
        <v>1.0425354462051709E-4</v>
      </c>
    </row>
    <row r="24" spans="2:5" ht="15" customHeight="1" x14ac:dyDescent="0.25">
      <c r="B24" s="81"/>
      <c r="C24" s="45" t="s">
        <v>164</v>
      </c>
      <c r="D24" s="44">
        <v>1</v>
      </c>
      <c r="E24" s="43">
        <v>1.0425354462051709E-4</v>
      </c>
    </row>
    <row r="25" spans="2:5" ht="15" customHeight="1" x14ac:dyDescent="0.25">
      <c r="B25" s="81"/>
      <c r="C25" s="45" t="s">
        <v>158</v>
      </c>
      <c r="D25" s="44">
        <v>1</v>
      </c>
      <c r="E25" s="43">
        <v>1.0425354462051709E-4</v>
      </c>
    </row>
    <row r="26" spans="2:5" ht="15" customHeight="1" x14ac:dyDescent="0.25">
      <c r="B26" s="81"/>
      <c r="C26" s="45" t="s">
        <v>165</v>
      </c>
      <c r="D26" s="44">
        <v>2</v>
      </c>
      <c r="E26" s="43">
        <v>2.0850708924103419E-4</v>
      </c>
    </row>
    <row r="27" spans="2:5" ht="15" customHeight="1" x14ac:dyDescent="0.25">
      <c r="B27" s="81"/>
      <c r="C27" s="45" t="s">
        <v>118</v>
      </c>
      <c r="D27" s="44">
        <v>1</v>
      </c>
      <c r="E27" s="43">
        <v>1.0425354462051709E-4</v>
      </c>
    </row>
    <row r="28" spans="2:5" ht="15" customHeight="1" x14ac:dyDescent="0.25">
      <c r="B28" s="81"/>
      <c r="C28" s="45" t="s">
        <v>162</v>
      </c>
      <c r="D28" s="44">
        <v>2</v>
      </c>
      <c r="E28" s="43">
        <v>2.0850708924103419E-4</v>
      </c>
    </row>
    <row r="29" spans="2:5" ht="15" customHeight="1" x14ac:dyDescent="0.25">
      <c r="B29" s="81"/>
      <c r="C29" s="45" t="s">
        <v>250</v>
      </c>
      <c r="D29" s="44">
        <v>2</v>
      </c>
      <c r="E29" s="43">
        <v>2.0850708924103419E-4</v>
      </c>
    </row>
    <row r="30" spans="2:5" ht="15" customHeight="1" x14ac:dyDescent="0.25">
      <c r="B30" s="81"/>
      <c r="C30" s="45" t="s">
        <v>166</v>
      </c>
      <c r="D30" s="44">
        <v>7</v>
      </c>
      <c r="E30" s="43">
        <v>7.2977481234361965E-4</v>
      </c>
    </row>
    <row r="31" spans="2:5" ht="15" customHeight="1" x14ac:dyDescent="0.25">
      <c r="B31" s="82"/>
      <c r="C31" s="42" t="s">
        <v>22</v>
      </c>
      <c r="D31" s="41">
        <v>18</v>
      </c>
      <c r="E31" s="40">
        <v>1.8765638031693077E-3</v>
      </c>
    </row>
    <row r="32" spans="2:5" ht="15" customHeight="1" x14ac:dyDescent="0.25">
      <c r="B32" s="80" t="s">
        <v>55</v>
      </c>
      <c r="C32" s="45" t="s">
        <v>153</v>
      </c>
      <c r="D32" s="44">
        <v>7</v>
      </c>
      <c r="E32" s="43">
        <v>7.2977481234361965E-4</v>
      </c>
    </row>
    <row r="33" spans="2:5" ht="15" customHeight="1" x14ac:dyDescent="0.25">
      <c r="B33" s="81"/>
      <c r="C33" s="45" t="s">
        <v>159</v>
      </c>
      <c r="D33" s="44">
        <v>1</v>
      </c>
      <c r="E33" s="43">
        <v>1.0425354462051709E-4</v>
      </c>
    </row>
    <row r="34" spans="2:5" ht="15" customHeight="1" x14ac:dyDescent="0.25">
      <c r="B34" s="81"/>
      <c r="C34" s="45" t="s">
        <v>151</v>
      </c>
      <c r="D34" s="44">
        <v>1</v>
      </c>
      <c r="E34" s="43">
        <v>1.0425354462051709E-4</v>
      </c>
    </row>
    <row r="35" spans="2:5" ht="15" customHeight="1" x14ac:dyDescent="0.25">
      <c r="B35" s="81"/>
      <c r="C35" s="45" t="s">
        <v>165</v>
      </c>
      <c r="D35" s="44">
        <v>6</v>
      </c>
      <c r="E35" s="43">
        <v>6.2552126772310256E-4</v>
      </c>
    </row>
    <row r="36" spans="2:5" ht="15" customHeight="1" x14ac:dyDescent="0.25">
      <c r="B36" s="81"/>
      <c r="C36" s="45" t="s">
        <v>140</v>
      </c>
      <c r="D36" s="44">
        <v>1</v>
      </c>
      <c r="E36" s="43">
        <v>1.0425354462051709E-4</v>
      </c>
    </row>
    <row r="37" spans="2:5" ht="15" customHeight="1" x14ac:dyDescent="0.25">
      <c r="B37" s="81"/>
      <c r="C37" s="45" t="s">
        <v>162</v>
      </c>
      <c r="D37" s="44">
        <v>2</v>
      </c>
      <c r="E37" s="43">
        <v>2.0850708924103419E-4</v>
      </c>
    </row>
    <row r="38" spans="2:5" ht="15" customHeight="1" x14ac:dyDescent="0.25">
      <c r="B38" s="81"/>
      <c r="C38" s="45" t="s">
        <v>250</v>
      </c>
      <c r="D38" s="44">
        <v>6</v>
      </c>
      <c r="E38" s="43">
        <v>6.2552126772310256E-4</v>
      </c>
    </row>
    <row r="39" spans="2:5" ht="15" customHeight="1" x14ac:dyDescent="0.25">
      <c r="B39" s="81"/>
      <c r="C39" s="45" t="s">
        <v>166</v>
      </c>
      <c r="D39" s="44">
        <v>28</v>
      </c>
      <c r="E39" s="43">
        <v>2.9190992493744786E-3</v>
      </c>
    </row>
    <row r="40" spans="2:5" ht="15" customHeight="1" x14ac:dyDescent="0.25">
      <c r="B40" s="81"/>
      <c r="C40" s="45" t="s">
        <v>163</v>
      </c>
      <c r="D40" s="44">
        <v>5</v>
      </c>
      <c r="E40" s="43">
        <v>5.2126772310258547E-4</v>
      </c>
    </row>
    <row r="41" spans="2:5" ht="15" customHeight="1" x14ac:dyDescent="0.25">
      <c r="B41" s="82"/>
      <c r="C41" s="42" t="s">
        <v>22</v>
      </c>
      <c r="D41" s="41">
        <v>57</v>
      </c>
      <c r="E41" s="40">
        <v>5.9424520433694747E-3</v>
      </c>
    </row>
    <row r="42" spans="2:5" ht="15" customHeight="1" x14ac:dyDescent="0.25">
      <c r="B42" s="80" t="s">
        <v>62</v>
      </c>
      <c r="C42" s="45" t="s">
        <v>133</v>
      </c>
      <c r="D42" s="44">
        <v>1</v>
      </c>
      <c r="E42" s="43">
        <v>1.0425354462051709E-4</v>
      </c>
    </row>
    <row r="43" spans="2:5" ht="15" customHeight="1" x14ac:dyDescent="0.25">
      <c r="B43" s="81"/>
      <c r="C43" s="45" t="s">
        <v>153</v>
      </c>
      <c r="D43" s="44">
        <v>1</v>
      </c>
      <c r="E43" s="43">
        <v>1.0425354462051709E-4</v>
      </c>
    </row>
    <row r="44" spans="2:5" ht="15" customHeight="1" x14ac:dyDescent="0.25">
      <c r="B44" s="81"/>
      <c r="C44" s="45" t="s">
        <v>156</v>
      </c>
      <c r="D44" s="44">
        <v>1</v>
      </c>
      <c r="E44" s="43">
        <v>1.0425354462051709E-4</v>
      </c>
    </row>
    <row r="45" spans="2:5" ht="15" customHeight="1" x14ac:dyDescent="0.25">
      <c r="B45" s="81"/>
      <c r="C45" s="45" t="s">
        <v>159</v>
      </c>
      <c r="D45" s="44">
        <v>3</v>
      </c>
      <c r="E45" s="43">
        <v>3.1276063386155128E-4</v>
      </c>
    </row>
    <row r="46" spans="2:5" ht="15" customHeight="1" x14ac:dyDescent="0.25">
      <c r="B46" s="81"/>
      <c r="C46" s="45" t="s">
        <v>164</v>
      </c>
      <c r="D46" s="44">
        <v>5</v>
      </c>
      <c r="E46" s="43">
        <v>5.2126772310258547E-4</v>
      </c>
    </row>
    <row r="47" spans="2:5" ht="15" customHeight="1" x14ac:dyDescent="0.25">
      <c r="B47" s="81"/>
      <c r="C47" s="45" t="s">
        <v>134</v>
      </c>
      <c r="D47" s="44">
        <v>1</v>
      </c>
      <c r="E47" s="43">
        <v>1.0425354462051709E-4</v>
      </c>
    </row>
    <row r="48" spans="2:5" ht="15" customHeight="1" x14ac:dyDescent="0.25">
      <c r="B48" s="81"/>
      <c r="C48" s="45" t="s">
        <v>154</v>
      </c>
      <c r="D48" s="44">
        <v>2</v>
      </c>
      <c r="E48" s="43">
        <v>2.0850708924103419E-4</v>
      </c>
    </row>
    <row r="49" spans="2:5" ht="15" customHeight="1" x14ac:dyDescent="0.25">
      <c r="B49" s="81"/>
      <c r="C49" s="45" t="s">
        <v>125</v>
      </c>
      <c r="D49" s="44">
        <v>1</v>
      </c>
      <c r="E49" s="43">
        <v>1.0425354462051709E-4</v>
      </c>
    </row>
    <row r="50" spans="2:5" ht="15" customHeight="1" x14ac:dyDescent="0.25">
      <c r="B50" s="81"/>
      <c r="C50" s="45" t="s">
        <v>158</v>
      </c>
      <c r="D50" s="44">
        <v>5</v>
      </c>
      <c r="E50" s="43">
        <v>5.2126772310258547E-4</v>
      </c>
    </row>
    <row r="51" spans="2:5" ht="15" customHeight="1" x14ac:dyDescent="0.25">
      <c r="B51" s="81"/>
      <c r="C51" s="45" t="s">
        <v>126</v>
      </c>
      <c r="D51" s="44">
        <v>2</v>
      </c>
      <c r="E51" s="43">
        <v>2.0850708924103419E-4</v>
      </c>
    </row>
    <row r="52" spans="2:5" ht="15" customHeight="1" x14ac:dyDescent="0.25">
      <c r="B52" s="81"/>
      <c r="C52" s="45" t="s">
        <v>165</v>
      </c>
      <c r="D52" s="44">
        <v>14</v>
      </c>
      <c r="E52" s="43">
        <v>1.4595496246872393E-3</v>
      </c>
    </row>
    <row r="53" spans="2:5" ht="15" customHeight="1" x14ac:dyDescent="0.25">
      <c r="B53" s="81"/>
      <c r="C53" s="45" t="s">
        <v>162</v>
      </c>
      <c r="D53" s="44">
        <v>5</v>
      </c>
      <c r="E53" s="43">
        <v>5.2126772310258547E-4</v>
      </c>
    </row>
    <row r="54" spans="2:5" ht="15" customHeight="1" x14ac:dyDescent="0.25">
      <c r="B54" s="81"/>
      <c r="C54" s="45" t="s">
        <v>149</v>
      </c>
      <c r="D54" s="44">
        <v>3</v>
      </c>
      <c r="E54" s="43">
        <v>3.1276063386155128E-4</v>
      </c>
    </row>
    <row r="55" spans="2:5" ht="15" customHeight="1" x14ac:dyDescent="0.25">
      <c r="B55" s="81"/>
      <c r="C55" s="45" t="s">
        <v>152</v>
      </c>
      <c r="D55" s="44">
        <v>1</v>
      </c>
      <c r="E55" s="43">
        <v>1.0425354462051709E-4</v>
      </c>
    </row>
    <row r="56" spans="2:5" ht="15" customHeight="1" x14ac:dyDescent="0.25">
      <c r="B56" s="81"/>
      <c r="C56" s="45" t="s">
        <v>250</v>
      </c>
      <c r="D56" s="44">
        <v>6</v>
      </c>
      <c r="E56" s="43">
        <v>6.2552126772310256E-4</v>
      </c>
    </row>
    <row r="57" spans="2:5" ht="15" customHeight="1" x14ac:dyDescent="0.25">
      <c r="B57" s="81"/>
      <c r="C57" s="45" t="s">
        <v>166</v>
      </c>
      <c r="D57" s="44">
        <v>147</v>
      </c>
      <c r="E57" s="43">
        <v>1.5325271059216014E-2</v>
      </c>
    </row>
    <row r="58" spans="2:5" ht="15" customHeight="1" x14ac:dyDescent="0.25">
      <c r="B58" s="81"/>
      <c r="C58" s="45" t="s">
        <v>130</v>
      </c>
      <c r="D58" s="44">
        <v>2</v>
      </c>
      <c r="E58" s="43">
        <v>2.0850708924103419E-4</v>
      </c>
    </row>
    <row r="59" spans="2:5" ht="15" customHeight="1" x14ac:dyDescent="0.25">
      <c r="B59" s="81"/>
      <c r="C59" s="45" t="s">
        <v>160</v>
      </c>
      <c r="D59" s="44">
        <v>2</v>
      </c>
      <c r="E59" s="43">
        <v>2.0850708924103419E-4</v>
      </c>
    </row>
    <row r="60" spans="2:5" ht="15" customHeight="1" x14ac:dyDescent="0.25">
      <c r="B60" s="81"/>
      <c r="C60" s="45" t="s">
        <v>163</v>
      </c>
      <c r="D60" s="44">
        <v>12</v>
      </c>
      <c r="E60" s="43">
        <v>1.2510425354462051E-3</v>
      </c>
    </row>
    <row r="61" spans="2:5" ht="15" customHeight="1" x14ac:dyDescent="0.25">
      <c r="B61" s="81"/>
      <c r="C61" s="45" t="s">
        <v>155</v>
      </c>
      <c r="D61" s="44">
        <v>6</v>
      </c>
      <c r="E61" s="43">
        <v>6.2552126772310256E-4</v>
      </c>
    </row>
    <row r="62" spans="2:5" ht="15" customHeight="1" x14ac:dyDescent="0.25">
      <c r="B62" s="81"/>
      <c r="C62" s="45" t="s">
        <v>138</v>
      </c>
      <c r="D62" s="44">
        <v>1</v>
      </c>
      <c r="E62" s="43">
        <v>1.0425354462051709E-4</v>
      </c>
    </row>
    <row r="63" spans="2:5" ht="15" customHeight="1" x14ac:dyDescent="0.25">
      <c r="B63" s="82"/>
      <c r="C63" s="42" t="s">
        <v>22</v>
      </c>
      <c r="D63" s="41">
        <v>221</v>
      </c>
      <c r="E63" s="40">
        <v>2.304003336113428E-2</v>
      </c>
    </row>
    <row r="64" spans="2:5" ht="15" customHeight="1" x14ac:dyDescent="0.25">
      <c r="B64" s="80" t="s">
        <v>52</v>
      </c>
      <c r="C64" s="45" t="s">
        <v>137</v>
      </c>
      <c r="D64" s="44">
        <v>1</v>
      </c>
      <c r="E64" s="43">
        <v>1.0425354462051709E-4</v>
      </c>
    </row>
    <row r="65" spans="2:5" ht="15" customHeight="1" x14ac:dyDescent="0.25">
      <c r="B65" s="81"/>
      <c r="C65" s="45" t="s">
        <v>164</v>
      </c>
      <c r="D65" s="44">
        <v>2</v>
      </c>
      <c r="E65" s="43">
        <v>2.0850708924103419E-4</v>
      </c>
    </row>
    <row r="66" spans="2:5" ht="15" customHeight="1" x14ac:dyDescent="0.25">
      <c r="B66" s="81"/>
      <c r="C66" s="45" t="s">
        <v>126</v>
      </c>
      <c r="D66" s="44">
        <v>1</v>
      </c>
      <c r="E66" s="43">
        <v>1.0425354462051709E-4</v>
      </c>
    </row>
    <row r="67" spans="2:5" ht="15" customHeight="1" x14ac:dyDescent="0.25">
      <c r="B67" s="81"/>
      <c r="C67" s="45" t="s">
        <v>165</v>
      </c>
      <c r="D67" s="44">
        <v>2</v>
      </c>
      <c r="E67" s="43">
        <v>2.0850708924103419E-4</v>
      </c>
    </row>
    <row r="68" spans="2:5" ht="15" customHeight="1" x14ac:dyDescent="0.25">
      <c r="B68" s="81"/>
      <c r="C68" s="45" t="s">
        <v>162</v>
      </c>
      <c r="D68" s="44">
        <v>4</v>
      </c>
      <c r="E68" s="43">
        <v>4.1701417848206837E-4</v>
      </c>
    </row>
    <row r="69" spans="2:5" ht="15" customHeight="1" x14ac:dyDescent="0.25">
      <c r="B69" s="81"/>
      <c r="C69" s="45" t="s">
        <v>152</v>
      </c>
      <c r="D69" s="44">
        <v>1</v>
      </c>
      <c r="E69" s="43">
        <v>1.0425354462051709E-4</v>
      </c>
    </row>
    <row r="70" spans="2:5" ht="15" customHeight="1" x14ac:dyDescent="0.25">
      <c r="B70" s="81"/>
      <c r="C70" s="45" t="s">
        <v>166</v>
      </c>
      <c r="D70" s="44">
        <v>22</v>
      </c>
      <c r="E70" s="43">
        <v>2.2935779816513763E-3</v>
      </c>
    </row>
    <row r="71" spans="2:5" ht="15" customHeight="1" x14ac:dyDescent="0.25">
      <c r="B71" s="81"/>
      <c r="C71" s="45" t="s">
        <v>163</v>
      </c>
      <c r="D71" s="44">
        <v>2</v>
      </c>
      <c r="E71" s="43">
        <v>2.0850708924103419E-4</v>
      </c>
    </row>
    <row r="72" spans="2:5" ht="15" customHeight="1" x14ac:dyDescent="0.25">
      <c r="B72" s="82"/>
      <c r="C72" s="42" t="s">
        <v>22</v>
      </c>
      <c r="D72" s="41">
        <v>35</v>
      </c>
      <c r="E72" s="40">
        <v>3.6488740617180984E-3</v>
      </c>
    </row>
    <row r="73" spans="2:5" ht="15" customHeight="1" x14ac:dyDescent="0.25">
      <c r="B73" s="80" t="s">
        <v>28</v>
      </c>
      <c r="C73" s="45" t="s">
        <v>166</v>
      </c>
      <c r="D73" s="44">
        <v>1</v>
      </c>
      <c r="E73" s="43">
        <v>1.0425354462051709E-4</v>
      </c>
    </row>
    <row r="74" spans="2:5" ht="15" customHeight="1" x14ac:dyDescent="0.25">
      <c r="B74" s="82"/>
      <c r="C74" s="42" t="s">
        <v>22</v>
      </c>
      <c r="D74" s="41">
        <v>1</v>
      </c>
      <c r="E74" s="40">
        <v>1.0425354462051709E-4</v>
      </c>
    </row>
    <row r="75" spans="2:5" ht="15" customHeight="1" x14ac:dyDescent="0.25">
      <c r="B75" s="80" t="s">
        <v>61</v>
      </c>
      <c r="C75" s="45" t="s">
        <v>159</v>
      </c>
      <c r="D75" s="44">
        <v>2</v>
      </c>
      <c r="E75" s="43">
        <v>2.0850708924103419E-4</v>
      </c>
    </row>
    <row r="76" spans="2:5" ht="15" customHeight="1" x14ac:dyDescent="0.25">
      <c r="B76" s="81"/>
      <c r="C76" s="45" t="s">
        <v>151</v>
      </c>
      <c r="D76" s="44">
        <v>2</v>
      </c>
      <c r="E76" s="43">
        <v>2.0850708924103419E-4</v>
      </c>
    </row>
    <row r="77" spans="2:5" ht="15" customHeight="1" x14ac:dyDescent="0.25">
      <c r="B77" s="81"/>
      <c r="C77" s="45" t="s">
        <v>157</v>
      </c>
      <c r="D77" s="44">
        <v>7</v>
      </c>
      <c r="E77" s="43">
        <v>7.2977481234361965E-4</v>
      </c>
    </row>
    <row r="78" spans="2:5" ht="15" customHeight="1" x14ac:dyDescent="0.25">
      <c r="B78" s="81"/>
      <c r="C78" s="45" t="s">
        <v>164</v>
      </c>
      <c r="D78" s="44">
        <v>14</v>
      </c>
      <c r="E78" s="43">
        <v>1.4595496246872393E-3</v>
      </c>
    </row>
    <row r="79" spans="2:5" ht="15" customHeight="1" x14ac:dyDescent="0.25">
      <c r="B79" s="81"/>
      <c r="C79" s="45" t="s">
        <v>154</v>
      </c>
      <c r="D79" s="44">
        <v>4</v>
      </c>
      <c r="E79" s="43">
        <v>4.1701417848206837E-4</v>
      </c>
    </row>
    <row r="80" spans="2:5" ht="15" customHeight="1" x14ac:dyDescent="0.25">
      <c r="B80" s="81"/>
      <c r="C80" s="45" t="s">
        <v>127</v>
      </c>
      <c r="D80" s="44">
        <v>1</v>
      </c>
      <c r="E80" s="43">
        <v>1.0425354462051709E-4</v>
      </c>
    </row>
    <row r="81" spans="2:5" ht="15" customHeight="1" x14ac:dyDescent="0.25">
      <c r="B81" s="81"/>
      <c r="C81" s="45" t="s">
        <v>158</v>
      </c>
      <c r="D81" s="44">
        <v>3</v>
      </c>
      <c r="E81" s="43">
        <v>3.1276063386155128E-4</v>
      </c>
    </row>
    <row r="82" spans="2:5" ht="15" customHeight="1" x14ac:dyDescent="0.25">
      <c r="B82" s="81"/>
      <c r="C82" s="45" t="s">
        <v>165</v>
      </c>
      <c r="D82" s="44">
        <v>5</v>
      </c>
      <c r="E82" s="43">
        <v>5.2126772310258547E-4</v>
      </c>
    </row>
    <row r="83" spans="2:5" ht="15" customHeight="1" x14ac:dyDescent="0.25">
      <c r="B83" s="81"/>
      <c r="C83" s="45" t="s">
        <v>142</v>
      </c>
      <c r="D83" s="44">
        <v>1</v>
      </c>
      <c r="E83" s="43">
        <v>1.0425354462051709E-4</v>
      </c>
    </row>
    <row r="84" spans="2:5" ht="15" customHeight="1" x14ac:dyDescent="0.25">
      <c r="B84" s="81"/>
      <c r="C84" s="45" t="s">
        <v>162</v>
      </c>
      <c r="D84" s="44">
        <v>12</v>
      </c>
      <c r="E84" s="43">
        <v>1.2510425354462051E-3</v>
      </c>
    </row>
    <row r="85" spans="2:5" ht="15" customHeight="1" x14ac:dyDescent="0.25">
      <c r="B85" s="81"/>
      <c r="C85" s="45" t="s">
        <v>139</v>
      </c>
      <c r="D85" s="44">
        <v>1</v>
      </c>
      <c r="E85" s="43">
        <v>1.0425354462051709E-4</v>
      </c>
    </row>
    <row r="86" spans="2:5" ht="15" customHeight="1" x14ac:dyDescent="0.25">
      <c r="B86" s="81"/>
      <c r="C86" s="45" t="s">
        <v>152</v>
      </c>
      <c r="D86" s="44">
        <v>6</v>
      </c>
      <c r="E86" s="43">
        <v>6.2552126772310256E-4</v>
      </c>
    </row>
    <row r="87" spans="2:5" ht="15" customHeight="1" x14ac:dyDescent="0.25">
      <c r="B87" s="81"/>
      <c r="C87" s="45" t="s">
        <v>250</v>
      </c>
      <c r="D87" s="44">
        <v>8</v>
      </c>
      <c r="E87" s="43">
        <v>8.3402835696413675E-4</v>
      </c>
    </row>
    <row r="88" spans="2:5" ht="15" customHeight="1" x14ac:dyDescent="0.25">
      <c r="B88" s="81"/>
      <c r="C88" s="45" t="s">
        <v>166</v>
      </c>
      <c r="D88" s="44">
        <v>66</v>
      </c>
      <c r="E88" s="43">
        <v>6.8807339449541288E-3</v>
      </c>
    </row>
    <row r="89" spans="2:5" ht="15" customHeight="1" x14ac:dyDescent="0.25">
      <c r="B89" s="81"/>
      <c r="C89" s="45" t="s">
        <v>160</v>
      </c>
      <c r="D89" s="44">
        <v>1</v>
      </c>
      <c r="E89" s="43">
        <v>1.0425354462051709E-4</v>
      </c>
    </row>
    <row r="90" spans="2:5" ht="15" customHeight="1" x14ac:dyDescent="0.25">
      <c r="B90" s="81"/>
      <c r="C90" s="45" t="s">
        <v>163</v>
      </c>
      <c r="D90" s="44">
        <v>9</v>
      </c>
      <c r="E90" s="43">
        <v>9.3828190158465384E-4</v>
      </c>
    </row>
    <row r="91" spans="2:5" ht="15" customHeight="1" x14ac:dyDescent="0.25">
      <c r="B91" s="81"/>
      <c r="C91" s="45" t="s">
        <v>155</v>
      </c>
      <c r="D91" s="44">
        <v>6</v>
      </c>
      <c r="E91" s="43">
        <v>6.2552126772310256E-4</v>
      </c>
    </row>
    <row r="92" spans="2:5" ht="15" customHeight="1" x14ac:dyDescent="0.25">
      <c r="B92" s="81"/>
      <c r="C92" s="45" t="s">
        <v>147</v>
      </c>
      <c r="D92" s="44">
        <v>1</v>
      </c>
      <c r="E92" s="43">
        <v>1.0425354462051709E-4</v>
      </c>
    </row>
    <row r="93" spans="2:5" ht="15" customHeight="1" x14ac:dyDescent="0.25">
      <c r="B93" s="82"/>
      <c r="C93" s="42" t="s">
        <v>22</v>
      </c>
      <c r="D93" s="41">
        <v>149</v>
      </c>
      <c r="E93" s="40">
        <v>1.5533778148457047E-2</v>
      </c>
    </row>
    <row r="94" spans="2:5" ht="15" customHeight="1" x14ac:dyDescent="0.25">
      <c r="B94" s="80" t="s">
        <v>60</v>
      </c>
      <c r="C94" s="45" t="s">
        <v>153</v>
      </c>
      <c r="D94" s="44">
        <v>1</v>
      </c>
      <c r="E94" s="43">
        <v>1.0425354462051709E-4</v>
      </c>
    </row>
    <row r="95" spans="2:5" ht="15" customHeight="1" x14ac:dyDescent="0.25">
      <c r="B95" s="81"/>
      <c r="C95" s="45" t="s">
        <v>136</v>
      </c>
      <c r="D95" s="44">
        <v>1</v>
      </c>
      <c r="E95" s="43">
        <v>1.0425354462051709E-4</v>
      </c>
    </row>
    <row r="96" spans="2:5" ht="15" customHeight="1" x14ac:dyDescent="0.25">
      <c r="B96" s="81"/>
      <c r="C96" s="45" t="s">
        <v>159</v>
      </c>
      <c r="D96" s="44">
        <v>1</v>
      </c>
      <c r="E96" s="43">
        <v>1.0425354462051709E-4</v>
      </c>
    </row>
    <row r="97" spans="2:5" ht="15" customHeight="1" x14ac:dyDescent="0.25">
      <c r="B97" s="81"/>
      <c r="C97" s="45" t="s">
        <v>164</v>
      </c>
      <c r="D97" s="44">
        <v>9</v>
      </c>
      <c r="E97" s="43">
        <v>9.3828190158465384E-4</v>
      </c>
    </row>
    <row r="98" spans="2:5" ht="15" customHeight="1" x14ac:dyDescent="0.25">
      <c r="B98" s="81"/>
      <c r="C98" s="45" t="s">
        <v>154</v>
      </c>
      <c r="D98" s="44">
        <v>13</v>
      </c>
      <c r="E98" s="43">
        <v>1.3552960800667223E-3</v>
      </c>
    </row>
    <row r="99" spans="2:5" ht="15" customHeight="1" x14ac:dyDescent="0.25">
      <c r="B99" s="81"/>
      <c r="C99" s="45" t="s">
        <v>165</v>
      </c>
      <c r="D99" s="44">
        <v>5</v>
      </c>
      <c r="E99" s="43">
        <v>5.2126772310258547E-4</v>
      </c>
    </row>
    <row r="100" spans="2:5" ht="15" customHeight="1" x14ac:dyDescent="0.25">
      <c r="B100" s="81"/>
      <c r="C100" s="45" t="s">
        <v>162</v>
      </c>
      <c r="D100" s="44">
        <v>10</v>
      </c>
      <c r="E100" s="43">
        <v>1.0425354462051709E-3</v>
      </c>
    </row>
    <row r="101" spans="2:5" ht="15" customHeight="1" x14ac:dyDescent="0.25">
      <c r="B101" s="81"/>
      <c r="C101" s="45" t="s">
        <v>152</v>
      </c>
      <c r="D101" s="44">
        <v>4</v>
      </c>
      <c r="E101" s="43">
        <v>4.1701417848206837E-4</v>
      </c>
    </row>
    <row r="102" spans="2:5" ht="15" customHeight="1" x14ac:dyDescent="0.25">
      <c r="B102" s="81"/>
      <c r="C102" s="45" t="s">
        <v>250</v>
      </c>
      <c r="D102" s="44">
        <v>4</v>
      </c>
      <c r="E102" s="43">
        <v>4.1701417848206837E-4</v>
      </c>
    </row>
    <row r="103" spans="2:5" ht="15" customHeight="1" x14ac:dyDescent="0.25">
      <c r="B103" s="81"/>
      <c r="C103" s="45" t="s">
        <v>166</v>
      </c>
      <c r="D103" s="44">
        <v>73</v>
      </c>
      <c r="E103" s="43">
        <v>7.6105087572977482E-3</v>
      </c>
    </row>
    <row r="104" spans="2:5" ht="15" customHeight="1" x14ac:dyDescent="0.25">
      <c r="B104" s="81"/>
      <c r="C104" s="45" t="s">
        <v>130</v>
      </c>
      <c r="D104" s="44">
        <v>1</v>
      </c>
      <c r="E104" s="43">
        <v>1.0425354462051709E-4</v>
      </c>
    </row>
    <row r="105" spans="2:5" ht="15" customHeight="1" x14ac:dyDescent="0.25">
      <c r="B105" s="81"/>
      <c r="C105" s="45" t="s">
        <v>160</v>
      </c>
      <c r="D105" s="44">
        <v>2</v>
      </c>
      <c r="E105" s="43">
        <v>2.0850708924103419E-4</v>
      </c>
    </row>
    <row r="106" spans="2:5" ht="15" customHeight="1" x14ac:dyDescent="0.25">
      <c r="B106" s="81"/>
      <c r="C106" s="45" t="s">
        <v>163</v>
      </c>
      <c r="D106" s="44">
        <v>10</v>
      </c>
      <c r="E106" s="43">
        <v>1.0425354462051709E-3</v>
      </c>
    </row>
    <row r="107" spans="2:5" ht="15" customHeight="1" x14ac:dyDescent="0.25">
      <c r="B107" s="81"/>
      <c r="C107" s="45" t="s">
        <v>147</v>
      </c>
      <c r="D107" s="44">
        <v>2</v>
      </c>
      <c r="E107" s="43">
        <v>2.0850708924103419E-4</v>
      </c>
    </row>
    <row r="108" spans="2:5" ht="15" customHeight="1" x14ac:dyDescent="0.25">
      <c r="B108" s="82"/>
      <c r="C108" s="42" t="s">
        <v>22</v>
      </c>
      <c r="D108" s="41">
        <v>136</v>
      </c>
      <c r="E108" s="40">
        <v>1.4178482068390326E-2</v>
      </c>
    </row>
    <row r="109" spans="2:5" ht="15" customHeight="1" x14ac:dyDescent="0.25">
      <c r="B109" s="80" t="s">
        <v>29</v>
      </c>
      <c r="C109" s="45" t="s">
        <v>146</v>
      </c>
      <c r="D109" s="44">
        <v>1</v>
      </c>
      <c r="E109" s="43">
        <v>1.0425354462051709E-4</v>
      </c>
    </row>
    <row r="110" spans="2:5" ht="15" customHeight="1" x14ac:dyDescent="0.25">
      <c r="B110" s="81"/>
      <c r="C110" s="45" t="s">
        <v>151</v>
      </c>
      <c r="D110" s="44">
        <v>1</v>
      </c>
      <c r="E110" s="43">
        <v>1.0425354462051709E-4</v>
      </c>
    </row>
    <row r="111" spans="2:5" ht="15" customHeight="1" x14ac:dyDescent="0.25">
      <c r="B111" s="81"/>
      <c r="C111" s="45" t="s">
        <v>157</v>
      </c>
      <c r="D111" s="44">
        <v>1</v>
      </c>
      <c r="E111" s="43">
        <v>1.0425354462051709E-4</v>
      </c>
    </row>
    <row r="112" spans="2:5" ht="15" customHeight="1" x14ac:dyDescent="0.25">
      <c r="B112" s="81"/>
      <c r="C112" s="45" t="s">
        <v>250</v>
      </c>
      <c r="D112" s="44">
        <v>2</v>
      </c>
      <c r="E112" s="43">
        <v>2.0850708924103419E-4</v>
      </c>
    </row>
    <row r="113" spans="2:5" ht="15" customHeight="1" x14ac:dyDescent="0.25">
      <c r="B113" s="81"/>
      <c r="C113" s="45" t="s">
        <v>166</v>
      </c>
      <c r="D113" s="44">
        <v>7</v>
      </c>
      <c r="E113" s="43">
        <v>7.2977481234361965E-4</v>
      </c>
    </row>
    <row r="114" spans="2:5" ht="15" customHeight="1" x14ac:dyDescent="0.25">
      <c r="B114" s="81"/>
      <c r="C114" s="45" t="s">
        <v>163</v>
      </c>
      <c r="D114" s="44">
        <v>2</v>
      </c>
      <c r="E114" s="43">
        <v>2.0850708924103419E-4</v>
      </c>
    </row>
    <row r="115" spans="2:5" ht="15" customHeight="1" x14ac:dyDescent="0.25">
      <c r="B115" s="82"/>
      <c r="C115" s="42" t="s">
        <v>22</v>
      </c>
      <c r="D115" s="41">
        <v>14</v>
      </c>
      <c r="E115" s="40">
        <v>1.4595496246872393E-3</v>
      </c>
    </row>
    <row r="116" spans="2:5" ht="15" customHeight="1" x14ac:dyDescent="0.25">
      <c r="B116" s="80" t="s">
        <v>63</v>
      </c>
      <c r="C116" s="45" t="s">
        <v>148</v>
      </c>
      <c r="D116" s="44">
        <v>4</v>
      </c>
      <c r="E116" s="43">
        <v>4.1701417848206837E-4</v>
      </c>
    </row>
    <row r="117" spans="2:5" ht="15" customHeight="1" x14ac:dyDescent="0.25">
      <c r="B117" s="81"/>
      <c r="C117" s="45" t="s">
        <v>153</v>
      </c>
      <c r="D117" s="44">
        <v>1</v>
      </c>
      <c r="E117" s="43">
        <v>1.0425354462051709E-4</v>
      </c>
    </row>
    <row r="118" spans="2:5" ht="15" customHeight="1" x14ac:dyDescent="0.25">
      <c r="B118" s="81"/>
      <c r="C118" s="45" t="s">
        <v>156</v>
      </c>
      <c r="D118" s="44">
        <v>1</v>
      </c>
      <c r="E118" s="43">
        <v>1.0425354462051709E-4</v>
      </c>
    </row>
    <row r="119" spans="2:5" ht="15" customHeight="1" x14ac:dyDescent="0.25">
      <c r="B119" s="81"/>
      <c r="C119" s="45" t="s">
        <v>146</v>
      </c>
      <c r="D119" s="44">
        <v>1</v>
      </c>
      <c r="E119" s="43">
        <v>1.0425354462051709E-4</v>
      </c>
    </row>
    <row r="120" spans="2:5" ht="15" customHeight="1" x14ac:dyDescent="0.25">
      <c r="B120" s="81"/>
      <c r="C120" s="45" t="s">
        <v>159</v>
      </c>
      <c r="D120" s="44">
        <v>13</v>
      </c>
      <c r="E120" s="43">
        <v>1.3552960800667223E-3</v>
      </c>
    </row>
    <row r="121" spans="2:5" ht="15" customHeight="1" x14ac:dyDescent="0.25">
      <c r="B121" s="81"/>
      <c r="C121" s="45" t="s">
        <v>251</v>
      </c>
      <c r="D121" s="44">
        <v>1</v>
      </c>
      <c r="E121" s="43">
        <v>1.0425354462051709E-4</v>
      </c>
    </row>
    <row r="122" spans="2:5" ht="15" customHeight="1" x14ac:dyDescent="0.25">
      <c r="B122" s="81"/>
      <c r="C122" s="45" t="s">
        <v>151</v>
      </c>
      <c r="D122" s="44">
        <v>3</v>
      </c>
      <c r="E122" s="43">
        <v>3.1276063386155128E-4</v>
      </c>
    </row>
    <row r="123" spans="2:5" ht="15" customHeight="1" x14ac:dyDescent="0.25">
      <c r="B123" s="81"/>
      <c r="C123" s="45" t="s">
        <v>137</v>
      </c>
      <c r="D123" s="44">
        <v>2</v>
      </c>
      <c r="E123" s="43">
        <v>2.0850708924103419E-4</v>
      </c>
    </row>
    <row r="124" spans="2:5" ht="15" customHeight="1" x14ac:dyDescent="0.25">
      <c r="B124" s="81"/>
      <c r="C124" s="45" t="s">
        <v>164</v>
      </c>
      <c r="D124" s="44">
        <v>5</v>
      </c>
      <c r="E124" s="43">
        <v>5.2126772310258547E-4</v>
      </c>
    </row>
    <row r="125" spans="2:5" ht="15" customHeight="1" x14ac:dyDescent="0.25">
      <c r="B125" s="81"/>
      <c r="C125" s="45" t="s">
        <v>154</v>
      </c>
      <c r="D125" s="44">
        <v>1</v>
      </c>
      <c r="E125" s="43">
        <v>1.0425354462051709E-4</v>
      </c>
    </row>
    <row r="126" spans="2:5" ht="15" customHeight="1" x14ac:dyDescent="0.25">
      <c r="B126" s="81"/>
      <c r="C126" s="45" t="s">
        <v>127</v>
      </c>
      <c r="D126" s="44">
        <v>1</v>
      </c>
      <c r="E126" s="43">
        <v>1.0425354462051709E-4</v>
      </c>
    </row>
    <row r="127" spans="2:5" ht="15" customHeight="1" x14ac:dyDescent="0.25">
      <c r="B127" s="81"/>
      <c r="C127" s="45" t="s">
        <v>158</v>
      </c>
      <c r="D127" s="44">
        <v>1</v>
      </c>
      <c r="E127" s="43">
        <v>1.0425354462051709E-4</v>
      </c>
    </row>
    <row r="128" spans="2:5" ht="15" customHeight="1" x14ac:dyDescent="0.25">
      <c r="B128" s="81"/>
      <c r="C128" s="45" t="s">
        <v>129</v>
      </c>
      <c r="D128" s="44">
        <v>2</v>
      </c>
      <c r="E128" s="43">
        <v>2.0850708924103419E-4</v>
      </c>
    </row>
    <row r="129" spans="2:5" ht="15" customHeight="1" x14ac:dyDescent="0.25">
      <c r="B129" s="81"/>
      <c r="C129" s="45" t="s">
        <v>124</v>
      </c>
      <c r="D129" s="44">
        <v>1</v>
      </c>
      <c r="E129" s="43">
        <v>1.0425354462051709E-4</v>
      </c>
    </row>
    <row r="130" spans="2:5" ht="15" customHeight="1" x14ac:dyDescent="0.25">
      <c r="B130" s="81"/>
      <c r="C130" s="45" t="s">
        <v>165</v>
      </c>
      <c r="D130" s="44">
        <v>18</v>
      </c>
      <c r="E130" s="43">
        <v>1.8765638031693077E-3</v>
      </c>
    </row>
    <row r="131" spans="2:5" ht="15" customHeight="1" x14ac:dyDescent="0.25">
      <c r="B131" s="81"/>
      <c r="C131" s="45" t="s">
        <v>140</v>
      </c>
      <c r="D131" s="44">
        <v>2</v>
      </c>
      <c r="E131" s="43">
        <v>2.0850708924103419E-4</v>
      </c>
    </row>
    <row r="132" spans="2:5" ht="15" customHeight="1" x14ac:dyDescent="0.25">
      <c r="B132" s="81"/>
      <c r="C132" s="45" t="s">
        <v>142</v>
      </c>
      <c r="D132" s="44">
        <v>1</v>
      </c>
      <c r="E132" s="43">
        <v>1.0425354462051709E-4</v>
      </c>
    </row>
    <row r="133" spans="2:5" ht="15" customHeight="1" x14ac:dyDescent="0.25">
      <c r="B133" s="81"/>
      <c r="C133" s="45" t="s">
        <v>118</v>
      </c>
      <c r="D133" s="44">
        <v>1</v>
      </c>
      <c r="E133" s="43">
        <v>1.0425354462051709E-4</v>
      </c>
    </row>
    <row r="134" spans="2:5" ht="15" customHeight="1" x14ac:dyDescent="0.25">
      <c r="B134" s="81"/>
      <c r="C134" s="45" t="s">
        <v>162</v>
      </c>
      <c r="D134" s="44">
        <v>3</v>
      </c>
      <c r="E134" s="43">
        <v>3.1276063386155128E-4</v>
      </c>
    </row>
    <row r="135" spans="2:5" ht="15" customHeight="1" x14ac:dyDescent="0.25">
      <c r="B135" s="81"/>
      <c r="C135" s="45" t="s">
        <v>250</v>
      </c>
      <c r="D135" s="44">
        <v>4</v>
      </c>
      <c r="E135" s="43">
        <v>4.1701417848206837E-4</v>
      </c>
    </row>
    <row r="136" spans="2:5" ht="15" customHeight="1" x14ac:dyDescent="0.25">
      <c r="B136" s="81"/>
      <c r="C136" s="45" t="s">
        <v>166</v>
      </c>
      <c r="D136" s="44">
        <v>167</v>
      </c>
      <c r="E136" s="43">
        <v>1.7410341951626357E-2</v>
      </c>
    </row>
    <row r="137" spans="2:5" ht="15" customHeight="1" x14ac:dyDescent="0.25">
      <c r="B137" s="81"/>
      <c r="C137" s="45" t="s">
        <v>160</v>
      </c>
      <c r="D137" s="44">
        <v>4</v>
      </c>
      <c r="E137" s="43">
        <v>4.1701417848206837E-4</v>
      </c>
    </row>
    <row r="138" spans="2:5" ht="15" customHeight="1" x14ac:dyDescent="0.25">
      <c r="B138" s="81"/>
      <c r="C138" s="45" t="s">
        <v>163</v>
      </c>
      <c r="D138" s="44">
        <v>15</v>
      </c>
      <c r="E138" s="43">
        <v>1.5638031693077565E-3</v>
      </c>
    </row>
    <row r="139" spans="2:5" ht="15" customHeight="1" x14ac:dyDescent="0.25">
      <c r="B139" s="81"/>
      <c r="C139" s="45" t="s">
        <v>155</v>
      </c>
      <c r="D139" s="44">
        <v>3</v>
      </c>
      <c r="E139" s="43">
        <v>3.1276063386155128E-4</v>
      </c>
    </row>
    <row r="140" spans="2:5" ht="15" customHeight="1" x14ac:dyDescent="0.25">
      <c r="B140" s="81"/>
      <c r="C140" s="45" t="s">
        <v>135</v>
      </c>
      <c r="D140" s="44">
        <v>3</v>
      </c>
      <c r="E140" s="43">
        <v>3.1276063386155128E-4</v>
      </c>
    </row>
    <row r="141" spans="2:5" ht="15" customHeight="1" x14ac:dyDescent="0.25">
      <c r="B141" s="82"/>
      <c r="C141" s="42" t="s">
        <v>22</v>
      </c>
      <c r="D141" s="41">
        <v>258</v>
      </c>
      <c r="E141" s="40">
        <v>2.6897414512093411E-2</v>
      </c>
    </row>
    <row r="142" spans="2:5" ht="15" customHeight="1" x14ac:dyDescent="0.25">
      <c r="B142" s="80" t="s">
        <v>54</v>
      </c>
      <c r="C142" s="45" t="s">
        <v>156</v>
      </c>
      <c r="D142" s="44">
        <v>2</v>
      </c>
      <c r="E142" s="43">
        <v>2.0850708924103419E-4</v>
      </c>
    </row>
    <row r="143" spans="2:5" ht="15" customHeight="1" x14ac:dyDescent="0.25">
      <c r="B143" s="81"/>
      <c r="C143" s="45" t="s">
        <v>146</v>
      </c>
      <c r="D143" s="44">
        <v>2</v>
      </c>
      <c r="E143" s="43">
        <v>2.0850708924103419E-4</v>
      </c>
    </row>
    <row r="144" spans="2:5" ht="15" customHeight="1" x14ac:dyDescent="0.25">
      <c r="B144" s="81"/>
      <c r="C144" s="45" t="s">
        <v>164</v>
      </c>
      <c r="D144" s="44">
        <v>2</v>
      </c>
      <c r="E144" s="43">
        <v>2.0850708924103419E-4</v>
      </c>
    </row>
    <row r="145" spans="2:5" ht="15" customHeight="1" x14ac:dyDescent="0.25">
      <c r="B145" s="81"/>
      <c r="C145" s="45" t="s">
        <v>154</v>
      </c>
      <c r="D145" s="44">
        <v>2</v>
      </c>
      <c r="E145" s="43">
        <v>2.0850708924103419E-4</v>
      </c>
    </row>
    <row r="146" spans="2:5" ht="15" customHeight="1" x14ac:dyDescent="0.25">
      <c r="B146" s="81"/>
      <c r="C146" s="45" t="s">
        <v>165</v>
      </c>
      <c r="D146" s="44">
        <v>4</v>
      </c>
      <c r="E146" s="43">
        <v>4.1701417848206837E-4</v>
      </c>
    </row>
    <row r="147" spans="2:5" ht="15" customHeight="1" x14ac:dyDescent="0.25">
      <c r="B147" s="81"/>
      <c r="C147" s="45" t="s">
        <v>131</v>
      </c>
      <c r="D147" s="44">
        <v>1</v>
      </c>
      <c r="E147" s="43">
        <v>1.0425354462051709E-4</v>
      </c>
    </row>
    <row r="148" spans="2:5" ht="15" customHeight="1" x14ac:dyDescent="0.25">
      <c r="B148" s="81"/>
      <c r="C148" s="45" t="s">
        <v>162</v>
      </c>
      <c r="D148" s="44">
        <v>4</v>
      </c>
      <c r="E148" s="43">
        <v>4.1701417848206837E-4</v>
      </c>
    </row>
    <row r="149" spans="2:5" ht="15" customHeight="1" x14ac:dyDescent="0.25">
      <c r="B149" s="81"/>
      <c r="C149" s="45" t="s">
        <v>250</v>
      </c>
      <c r="D149" s="44">
        <v>1</v>
      </c>
      <c r="E149" s="43">
        <v>1.0425354462051709E-4</v>
      </c>
    </row>
    <row r="150" spans="2:5" ht="15" customHeight="1" x14ac:dyDescent="0.25">
      <c r="B150" s="81"/>
      <c r="C150" s="45" t="s">
        <v>166</v>
      </c>
      <c r="D150" s="44">
        <v>35</v>
      </c>
      <c r="E150" s="43">
        <v>3.6488740617180984E-3</v>
      </c>
    </row>
    <row r="151" spans="2:5" ht="15" customHeight="1" x14ac:dyDescent="0.25">
      <c r="B151" s="81"/>
      <c r="C151" s="45" t="s">
        <v>160</v>
      </c>
      <c r="D151" s="44">
        <v>1</v>
      </c>
      <c r="E151" s="43">
        <v>1.0425354462051709E-4</v>
      </c>
    </row>
    <row r="152" spans="2:5" ht="15" customHeight="1" x14ac:dyDescent="0.25">
      <c r="B152" s="81"/>
      <c r="C152" s="45" t="s">
        <v>163</v>
      </c>
      <c r="D152" s="44">
        <v>4</v>
      </c>
      <c r="E152" s="43">
        <v>4.1701417848206837E-4</v>
      </c>
    </row>
    <row r="153" spans="2:5" ht="15" customHeight="1" x14ac:dyDescent="0.25">
      <c r="B153" s="81"/>
      <c r="C153" s="45" t="s">
        <v>138</v>
      </c>
      <c r="D153" s="44">
        <v>1</v>
      </c>
      <c r="E153" s="43">
        <v>1.0425354462051709E-4</v>
      </c>
    </row>
    <row r="154" spans="2:5" ht="15" customHeight="1" x14ac:dyDescent="0.25">
      <c r="B154" s="82"/>
      <c r="C154" s="42" t="s">
        <v>22</v>
      </c>
      <c r="D154" s="41">
        <v>59</v>
      </c>
      <c r="E154" s="40">
        <v>6.1509591326105086E-3</v>
      </c>
    </row>
    <row r="155" spans="2:5" ht="15" customHeight="1" x14ac:dyDescent="0.25">
      <c r="B155" s="80" t="s">
        <v>35</v>
      </c>
      <c r="C155" s="45" t="s">
        <v>154</v>
      </c>
      <c r="D155" s="44">
        <v>1</v>
      </c>
      <c r="E155" s="43">
        <v>1.0425354462051709E-4</v>
      </c>
    </row>
    <row r="156" spans="2:5" ht="15" customHeight="1" x14ac:dyDescent="0.25">
      <c r="B156" s="81"/>
      <c r="C156" s="45" t="s">
        <v>158</v>
      </c>
      <c r="D156" s="44">
        <v>1</v>
      </c>
      <c r="E156" s="43">
        <v>1.0425354462051709E-4</v>
      </c>
    </row>
    <row r="157" spans="2:5" ht="15" customHeight="1" x14ac:dyDescent="0.25">
      <c r="B157" s="81"/>
      <c r="C157" s="45" t="s">
        <v>250</v>
      </c>
      <c r="D157" s="44">
        <v>3</v>
      </c>
      <c r="E157" s="43">
        <v>3.1276063386155128E-4</v>
      </c>
    </row>
    <row r="158" spans="2:5" ht="15" customHeight="1" x14ac:dyDescent="0.25">
      <c r="B158" s="81"/>
      <c r="C158" s="45" t="s">
        <v>166</v>
      </c>
      <c r="D158" s="44">
        <v>7</v>
      </c>
      <c r="E158" s="43">
        <v>7.2977481234361965E-4</v>
      </c>
    </row>
    <row r="159" spans="2:5" ht="15" customHeight="1" x14ac:dyDescent="0.25">
      <c r="B159" s="81"/>
      <c r="C159" s="45" t="s">
        <v>128</v>
      </c>
      <c r="D159" s="44">
        <v>1</v>
      </c>
      <c r="E159" s="43">
        <v>1.0425354462051709E-4</v>
      </c>
    </row>
    <row r="160" spans="2:5" ht="15" customHeight="1" x14ac:dyDescent="0.25">
      <c r="B160" s="81"/>
      <c r="C160" s="45" t="s">
        <v>163</v>
      </c>
      <c r="D160" s="44">
        <v>1</v>
      </c>
      <c r="E160" s="43">
        <v>1.0425354462051709E-4</v>
      </c>
    </row>
    <row r="161" spans="2:5" ht="15" customHeight="1" x14ac:dyDescent="0.25">
      <c r="B161" s="82"/>
      <c r="C161" s="42" t="s">
        <v>22</v>
      </c>
      <c r="D161" s="41">
        <v>14</v>
      </c>
      <c r="E161" s="40">
        <v>1.4595496246872393E-3</v>
      </c>
    </row>
    <row r="162" spans="2:5" ht="15" customHeight="1" x14ac:dyDescent="0.25">
      <c r="B162" s="80" t="s">
        <v>47</v>
      </c>
      <c r="C162" s="45" t="s">
        <v>156</v>
      </c>
      <c r="D162" s="44">
        <v>1</v>
      </c>
      <c r="E162" s="43">
        <v>1.0425354462051709E-4</v>
      </c>
    </row>
    <row r="163" spans="2:5" ht="15" customHeight="1" x14ac:dyDescent="0.25">
      <c r="B163" s="81"/>
      <c r="C163" s="45" t="s">
        <v>164</v>
      </c>
      <c r="D163" s="44">
        <v>1</v>
      </c>
      <c r="E163" s="43">
        <v>1.0425354462051709E-4</v>
      </c>
    </row>
    <row r="164" spans="2:5" ht="15" customHeight="1" x14ac:dyDescent="0.25">
      <c r="B164" s="81"/>
      <c r="C164" s="45" t="s">
        <v>165</v>
      </c>
      <c r="D164" s="44">
        <v>1</v>
      </c>
      <c r="E164" s="43">
        <v>1.0425354462051709E-4</v>
      </c>
    </row>
    <row r="165" spans="2:5" ht="15" customHeight="1" x14ac:dyDescent="0.25">
      <c r="B165" s="81"/>
      <c r="C165" s="45" t="s">
        <v>162</v>
      </c>
      <c r="D165" s="44">
        <v>2</v>
      </c>
      <c r="E165" s="43">
        <v>2.0850708924103419E-4</v>
      </c>
    </row>
    <row r="166" spans="2:5" ht="15" customHeight="1" x14ac:dyDescent="0.25">
      <c r="B166" s="81"/>
      <c r="C166" s="45" t="s">
        <v>250</v>
      </c>
      <c r="D166" s="44">
        <v>2</v>
      </c>
      <c r="E166" s="43">
        <v>2.0850708924103419E-4</v>
      </c>
    </row>
    <row r="167" spans="2:5" ht="15" customHeight="1" x14ac:dyDescent="0.25">
      <c r="B167" s="81"/>
      <c r="C167" s="45" t="s">
        <v>166</v>
      </c>
      <c r="D167" s="44">
        <v>17</v>
      </c>
      <c r="E167" s="43">
        <v>1.7723102585487907E-3</v>
      </c>
    </row>
    <row r="168" spans="2:5" ht="15" customHeight="1" x14ac:dyDescent="0.25">
      <c r="B168" s="81"/>
      <c r="C168" s="45" t="s">
        <v>163</v>
      </c>
      <c r="D168" s="44">
        <v>4</v>
      </c>
      <c r="E168" s="43">
        <v>4.1701417848206837E-4</v>
      </c>
    </row>
    <row r="169" spans="2:5" ht="15" customHeight="1" x14ac:dyDescent="0.25">
      <c r="B169" s="82"/>
      <c r="C169" s="42" t="s">
        <v>22</v>
      </c>
      <c r="D169" s="41">
        <v>28</v>
      </c>
      <c r="E169" s="40">
        <v>2.9190992493744786E-3</v>
      </c>
    </row>
    <row r="170" spans="2:5" ht="15" customHeight="1" x14ac:dyDescent="0.25">
      <c r="B170" s="80" t="s">
        <v>38</v>
      </c>
      <c r="C170" s="45" t="s">
        <v>133</v>
      </c>
      <c r="D170" s="44">
        <v>1</v>
      </c>
      <c r="E170" s="43">
        <v>1.0425354462051709E-4</v>
      </c>
    </row>
    <row r="171" spans="2:5" ht="15" customHeight="1" x14ac:dyDescent="0.25">
      <c r="B171" s="81"/>
      <c r="C171" s="45" t="s">
        <v>159</v>
      </c>
      <c r="D171" s="44">
        <v>1</v>
      </c>
      <c r="E171" s="43">
        <v>1.0425354462051709E-4</v>
      </c>
    </row>
    <row r="172" spans="2:5" ht="15" customHeight="1" x14ac:dyDescent="0.25">
      <c r="B172" s="81"/>
      <c r="C172" s="45" t="s">
        <v>145</v>
      </c>
      <c r="D172" s="44">
        <v>1</v>
      </c>
      <c r="E172" s="43">
        <v>1.0425354462051709E-4</v>
      </c>
    </row>
    <row r="173" spans="2:5" ht="15" customHeight="1" x14ac:dyDescent="0.25">
      <c r="B173" s="81"/>
      <c r="C173" s="45" t="s">
        <v>164</v>
      </c>
      <c r="D173" s="44">
        <v>1</v>
      </c>
      <c r="E173" s="43">
        <v>1.0425354462051709E-4</v>
      </c>
    </row>
    <row r="174" spans="2:5" ht="15" customHeight="1" x14ac:dyDescent="0.25">
      <c r="B174" s="81"/>
      <c r="C174" s="45" t="s">
        <v>124</v>
      </c>
      <c r="D174" s="44">
        <v>1</v>
      </c>
      <c r="E174" s="43">
        <v>1.0425354462051709E-4</v>
      </c>
    </row>
    <row r="175" spans="2:5" ht="15" customHeight="1" x14ac:dyDescent="0.25">
      <c r="B175" s="81"/>
      <c r="C175" s="45" t="s">
        <v>165</v>
      </c>
      <c r="D175" s="44">
        <v>1</v>
      </c>
      <c r="E175" s="43">
        <v>1.0425354462051709E-4</v>
      </c>
    </row>
    <row r="176" spans="2:5" ht="15" customHeight="1" x14ac:dyDescent="0.25">
      <c r="B176" s="81"/>
      <c r="C176" s="45" t="s">
        <v>162</v>
      </c>
      <c r="D176" s="44">
        <v>1</v>
      </c>
      <c r="E176" s="43">
        <v>1.0425354462051709E-4</v>
      </c>
    </row>
    <row r="177" spans="2:5" ht="15" customHeight="1" x14ac:dyDescent="0.25">
      <c r="B177" s="81"/>
      <c r="C177" s="45" t="s">
        <v>152</v>
      </c>
      <c r="D177" s="44">
        <v>4</v>
      </c>
      <c r="E177" s="43">
        <v>4.1701417848206837E-4</v>
      </c>
    </row>
    <row r="178" spans="2:5" ht="15" customHeight="1" x14ac:dyDescent="0.25">
      <c r="B178" s="81"/>
      <c r="C178" s="45" t="s">
        <v>166</v>
      </c>
      <c r="D178" s="44">
        <v>6</v>
      </c>
      <c r="E178" s="43">
        <v>6.2552126772310256E-4</v>
      </c>
    </row>
    <row r="179" spans="2:5" ht="15" customHeight="1" x14ac:dyDescent="0.25">
      <c r="B179" s="81"/>
      <c r="C179" s="45" t="s">
        <v>155</v>
      </c>
      <c r="D179" s="44">
        <v>1</v>
      </c>
      <c r="E179" s="43">
        <v>1.0425354462051709E-4</v>
      </c>
    </row>
    <row r="180" spans="2:5" ht="15" customHeight="1" x14ac:dyDescent="0.25">
      <c r="B180" s="82"/>
      <c r="C180" s="42" t="s">
        <v>22</v>
      </c>
      <c r="D180" s="41">
        <v>18</v>
      </c>
      <c r="E180" s="40">
        <v>1.8765638031693077E-3</v>
      </c>
    </row>
    <row r="181" spans="2:5" ht="15" customHeight="1" x14ac:dyDescent="0.25">
      <c r="B181" s="80" t="s">
        <v>50</v>
      </c>
      <c r="C181" s="45" t="s">
        <v>156</v>
      </c>
      <c r="D181" s="44">
        <v>1</v>
      </c>
      <c r="E181" s="43">
        <v>1.0425354462051709E-4</v>
      </c>
    </row>
    <row r="182" spans="2:5" ht="15" customHeight="1" x14ac:dyDescent="0.25">
      <c r="B182" s="81"/>
      <c r="C182" s="45" t="s">
        <v>159</v>
      </c>
      <c r="D182" s="44">
        <v>2</v>
      </c>
      <c r="E182" s="43">
        <v>2.0850708924103419E-4</v>
      </c>
    </row>
    <row r="183" spans="2:5" ht="15" customHeight="1" x14ac:dyDescent="0.25">
      <c r="B183" s="81"/>
      <c r="C183" s="45" t="s">
        <v>151</v>
      </c>
      <c r="D183" s="44">
        <v>2</v>
      </c>
      <c r="E183" s="43">
        <v>2.0850708924103419E-4</v>
      </c>
    </row>
    <row r="184" spans="2:5" ht="15" customHeight="1" x14ac:dyDescent="0.25">
      <c r="B184" s="81"/>
      <c r="C184" s="45" t="s">
        <v>164</v>
      </c>
      <c r="D184" s="44">
        <v>6</v>
      </c>
      <c r="E184" s="43">
        <v>6.2552126772310256E-4</v>
      </c>
    </row>
    <row r="185" spans="2:5" ht="15" customHeight="1" x14ac:dyDescent="0.25">
      <c r="B185" s="81"/>
      <c r="C185" s="45" t="s">
        <v>154</v>
      </c>
      <c r="D185" s="44">
        <v>1</v>
      </c>
      <c r="E185" s="43">
        <v>1.0425354462051709E-4</v>
      </c>
    </row>
    <row r="186" spans="2:5" ht="15" customHeight="1" x14ac:dyDescent="0.25">
      <c r="B186" s="81"/>
      <c r="C186" s="45" t="s">
        <v>150</v>
      </c>
      <c r="D186" s="44">
        <v>1</v>
      </c>
      <c r="E186" s="43">
        <v>1.0425354462051709E-4</v>
      </c>
    </row>
    <row r="187" spans="2:5" ht="15" customHeight="1" x14ac:dyDescent="0.25">
      <c r="B187" s="81"/>
      <c r="C187" s="45" t="s">
        <v>165</v>
      </c>
      <c r="D187" s="44">
        <v>7</v>
      </c>
      <c r="E187" s="43">
        <v>7.2977481234361965E-4</v>
      </c>
    </row>
    <row r="188" spans="2:5" ht="15" customHeight="1" x14ac:dyDescent="0.25">
      <c r="B188" s="81"/>
      <c r="C188" s="45" t="s">
        <v>162</v>
      </c>
      <c r="D188" s="44">
        <v>8</v>
      </c>
      <c r="E188" s="43">
        <v>8.3402835696413675E-4</v>
      </c>
    </row>
    <row r="189" spans="2:5" ht="15" customHeight="1" x14ac:dyDescent="0.25">
      <c r="B189" s="81"/>
      <c r="C189" s="45" t="s">
        <v>250</v>
      </c>
      <c r="D189" s="44">
        <v>1</v>
      </c>
      <c r="E189" s="43">
        <v>1.0425354462051709E-4</v>
      </c>
    </row>
    <row r="190" spans="2:5" ht="15" customHeight="1" x14ac:dyDescent="0.25">
      <c r="B190" s="81"/>
      <c r="C190" s="45" t="s">
        <v>166</v>
      </c>
      <c r="D190" s="44">
        <v>27</v>
      </c>
      <c r="E190" s="43">
        <v>2.8148457047539616E-3</v>
      </c>
    </row>
    <row r="191" spans="2:5" ht="15" customHeight="1" x14ac:dyDescent="0.25">
      <c r="B191" s="81"/>
      <c r="C191" s="45" t="s">
        <v>163</v>
      </c>
      <c r="D191" s="44">
        <v>1</v>
      </c>
      <c r="E191" s="43">
        <v>1.0425354462051709E-4</v>
      </c>
    </row>
    <row r="192" spans="2:5" ht="15" customHeight="1" x14ac:dyDescent="0.25">
      <c r="B192" s="81"/>
      <c r="C192" s="45" t="s">
        <v>155</v>
      </c>
      <c r="D192" s="44">
        <v>2</v>
      </c>
      <c r="E192" s="43">
        <v>2.0850708924103419E-4</v>
      </c>
    </row>
    <row r="193" spans="2:5" ht="15" customHeight="1" x14ac:dyDescent="0.25">
      <c r="B193" s="82"/>
      <c r="C193" s="42" t="s">
        <v>22</v>
      </c>
      <c r="D193" s="41">
        <v>59</v>
      </c>
      <c r="E193" s="40">
        <v>6.1509591326105086E-3</v>
      </c>
    </row>
    <row r="194" spans="2:5" ht="15" customHeight="1" x14ac:dyDescent="0.25">
      <c r="B194" s="80" t="s">
        <v>32</v>
      </c>
      <c r="C194" s="45" t="s">
        <v>164</v>
      </c>
      <c r="D194" s="44">
        <v>1</v>
      </c>
      <c r="E194" s="43">
        <v>1.0425354462051709E-4</v>
      </c>
    </row>
    <row r="195" spans="2:5" ht="15" customHeight="1" x14ac:dyDescent="0.25">
      <c r="B195" s="81"/>
      <c r="C195" s="45" t="s">
        <v>124</v>
      </c>
      <c r="D195" s="44">
        <v>1</v>
      </c>
      <c r="E195" s="43">
        <v>1.0425354462051709E-4</v>
      </c>
    </row>
    <row r="196" spans="2:5" ht="15" customHeight="1" x14ac:dyDescent="0.25">
      <c r="B196" s="81"/>
      <c r="C196" s="45" t="s">
        <v>166</v>
      </c>
      <c r="D196" s="44">
        <v>5</v>
      </c>
      <c r="E196" s="43">
        <v>5.2126772310258547E-4</v>
      </c>
    </row>
    <row r="197" spans="2:5" ht="15" customHeight="1" x14ac:dyDescent="0.25">
      <c r="B197" s="81"/>
      <c r="C197" s="45" t="s">
        <v>163</v>
      </c>
      <c r="D197" s="44">
        <v>1</v>
      </c>
      <c r="E197" s="43">
        <v>1.0425354462051709E-4</v>
      </c>
    </row>
    <row r="198" spans="2:5" ht="15" customHeight="1" x14ac:dyDescent="0.25">
      <c r="B198" s="82"/>
      <c r="C198" s="42" t="s">
        <v>22</v>
      </c>
      <c r="D198" s="41">
        <v>8</v>
      </c>
      <c r="E198" s="40">
        <v>8.3402835696413675E-4</v>
      </c>
    </row>
    <row r="199" spans="2:5" ht="15" customHeight="1" x14ac:dyDescent="0.25">
      <c r="B199" s="80" t="s">
        <v>27</v>
      </c>
      <c r="C199" s="45" t="s">
        <v>166</v>
      </c>
      <c r="D199" s="44">
        <v>1</v>
      </c>
      <c r="E199" s="43">
        <v>1.0425354462051709E-4</v>
      </c>
    </row>
    <row r="200" spans="2:5" ht="15" customHeight="1" x14ac:dyDescent="0.25">
      <c r="B200" s="82"/>
      <c r="C200" s="42" t="s">
        <v>22</v>
      </c>
      <c r="D200" s="41">
        <v>1</v>
      </c>
      <c r="E200" s="40">
        <v>1.0425354462051709E-4</v>
      </c>
    </row>
    <row r="201" spans="2:5" ht="15" customHeight="1" x14ac:dyDescent="0.25">
      <c r="B201" s="80" t="s">
        <v>57</v>
      </c>
      <c r="C201" s="45" t="s">
        <v>148</v>
      </c>
      <c r="D201" s="44">
        <v>2</v>
      </c>
      <c r="E201" s="43">
        <v>2.0850708924103419E-4</v>
      </c>
    </row>
    <row r="202" spans="2:5" ht="15" customHeight="1" x14ac:dyDescent="0.25">
      <c r="B202" s="81"/>
      <c r="C202" s="45" t="s">
        <v>159</v>
      </c>
      <c r="D202" s="44">
        <v>4</v>
      </c>
      <c r="E202" s="43">
        <v>4.1701417848206837E-4</v>
      </c>
    </row>
    <row r="203" spans="2:5" ht="15" customHeight="1" x14ac:dyDescent="0.25">
      <c r="B203" s="81"/>
      <c r="C203" s="45" t="s">
        <v>251</v>
      </c>
      <c r="D203" s="44">
        <v>1</v>
      </c>
      <c r="E203" s="43">
        <v>1.0425354462051709E-4</v>
      </c>
    </row>
    <row r="204" spans="2:5" ht="15" customHeight="1" x14ac:dyDescent="0.25">
      <c r="B204" s="81"/>
      <c r="C204" s="45" t="s">
        <v>151</v>
      </c>
      <c r="D204" s="44">
        <v>2</v>
      </c>
      <c r="E204" s="43">
        <v>2.0850708924103419E-4</v>
      </c>
    </row>
    <row r="205" spans="2:5" ht="15" customHeight="1" x14ac:dyDescent="0.25">
      <c r="B205" s="81"/>
      <c r="C205" s="45" t="s">
        <v>137</v>
      </c>
      <c r="D205" s="44">
        <v>1</v>
      </c>
      <c r="E205" s="43">
        <v>1.0425354462051709E-4</v>
      </c>
    </row>
    <row r="206" spans="2:5" ht="15" customHeight="1" x14ac:dyDescent="0.25">
      <c r="B206" s="81"/>
      <c r="C206" s="45" t="s">
        <v>164</v>
      </c>
      <c r="D206" s="44">
        <v>5</v>
      </c>
      <c r="E206" s="43">
        <v>5.2126772310258547E-4</v>
      </c>
    </row>
    <row r="207" spans="2:5" ht="15" customHeight="1" x14ac:dyDescent="0.25">
      <c r="B207" s="81"/>
      <c r="C207" s="45" t="s">
        <v>165</v>
      </c>
      <c r="D207" s="44">
        <v>1</v>
      </c>
      <c r="E207" s="43">
        <v>1.0425354462051709E-4</v>
      </c>
    </row>
    <row r="208" spans="2:5" ht="15" customHeight="1" x14ac:dyDescent="0.25">
      <c r="B208" s="81"/>
      <c r="C208" s="45" t="s">
        <v>162</v>
      </c>
      <c r="D208" s="44">
        <v>1</v>
      </c>
      <c r="E208" s="43">
        <v>1.0425354462051709E-4</v>
      </c>
    </row>
    <row r="209" spans="2:5" ht="15" customHeight="1" x14ac:dyDescent="0.25">
      <c r="B209" s="81"/>
      <c r="C209" s="45" t="s">
        <v>152</v>
      </c>
      <c r="D209" s="44">
        <v>2</v>
      </c>
      <c r="E209" s="43">
        <v>2.0850708924103419E-4</v>
      </c>
    </row>
    <row r="210" spans="2:5" ht="15" customHeight="1" x14ac:dyDescent="0.25">
      <c r="B210" s="81"/>
      <c r="C210" s="45" t="s">
        <v>166</v>
      </c>
      <c r="D210" s="44">
        <v>38</v>
      </c>
      <c r="E210" s="43">
        <v>3.9616346955796498E-3</v>
      </c>
    </row>
    <row r="211" spans="2:5" ht="15" customHeight="1" x14ac:dyDescent="0.25">
      <c r="B211" s="81"/>
      <c r="C211" s="45" t="s">
        <v>160</v>
      </c>
      <c r="D211" s="44">
        <v>7</v>
      </c>
      <c r="E211" s="43">
        <v>7.2977481234361965E-4</v>
      </c>
    </row>
    <row r="212" spans="2:5" ht="15" customHeight="1" x14ac:dyDescent="0.25">
      <c r="B212" s="81"/>
      <c r="C212" s="45" t="s">
        <v>163</v>
      </c>
      <c r="D212" s="44">
        <v>8</v>
      </c>
      <c r="E212" s="43">
        <v>8.3402835696413675E-4</v>
      </c>
    </row>
    <row r="213" spans="2:5" ht="15" customHeight="1" x14ac:dyDescent="0.25">
      <c r="B213" s="82"/>
      <c r="C213" s="42" t="s">
        <v>22</v>
      </c>
      <c r="D213" s="41">
        <v>72</v>
      </c>
      <c r="E213" s="40">
        <v>7.5062552126772307E-3</v>
      </c>
    </row>
    <row r="214" spans="2:5" ht="15" customHeight="1" x14ac:dyDescent="0.25">
      <c r="B214" s="80" t="s">
        <v>48</v>
      </c>
      <c r="C214" s="45" t="s">
        <v>156</v>
      </c>
      <c r="D214" s="44">
        <v>1</v>
      </c>
      <c r="E214" s="43">
        <v>1.0425354462051709E-4</v>
      </c>
    </row>
    <row r="215" spans="2:5" ht="15" customHeight="1" x14ac:dyDescent="0.25">
      <c r="B215" s="81"/>
      <c r="C215" s="45" t="s">
        <v>146</v>
      </c>
      <c r="D215" s="44">
        <v>1</v>
      </c>
      <c r="E215" s="43">
        <v>1.0425354462051709E-4</v>
      </c>
    </row>
    <row r="216" spans="2:5" ht="15" customHeight="1" x14ac:dyDescent="0.25">
      <c r="B216" s="81"/>
      <c r="C216" s="45" t="s">
        <v>159</v>
      </c>
      <c r="D216" s="44">
        <v>4</v>
      </c>
      <c r="E216" s="43">
        <v>4.1701417848206837E-4</v>
      </c>
    </row>
    <row r="217" spans="2:5" ht="15" customHeight="1" x14ac:dyDescent="0.25">
      <c r="B217" s="81"/>
      <c r="C217" s="45" t="s">
        <v>164</v>
      </c>
      <c r="D217" s="44">
        <v>6</v>
      </c>
      <c r="E217" s="43">
        <v>6.2552126772310256E-4</v>
      </c>
    </row>
    <row r="218" spans="2:5" ht="15" customHeight="1" x14ac:dyDescent="0.25">
      <c r="B218" s="81"/>
      <c r="C218" s="45" t="s">
        <v>154</v>
      </c>
      <c r="D218" s="44">
        <v>2</v>
      </c>
      <c r="E218" s="43">
        <v>2.0850708924103419E-4</v>
      </c>
    </row>
    <row r="219" spans="2:5" ht="15" customHeight="1" x14ac:dyDescent="0.25">
      <c r="B219" s="81"/>
      <c r="C219" s="45" t="s">
        <v>125</v>
      </c>
      <c r="D219" s="44">
        <v>2</v>
      </c>
      <c r="E219" s="43">
        <v>2.0850708924103419E-4</v>
      </c>
    </row>
    <row r="220" spans="2:5" ht="15" customHeight="1" x14ac:dyDescent="0.25">
      <c r="B220" s="81"/>
      <c r="C220" s="45" t="s">
        <v>165</v>
      </c>
      <c r="D220" s="44">
        <v>3</v>
      </c>
      <c r="E220" s="43">
        <v>3.1276063386155128E-4</v>
      </c>
    </row>
    <row r="221" spans="2:5" ht="15" customHeight="1" x14ac:dyDescent="0.25">
      <c r="B221" s="81"/>
      <c r="C221" s="45" t="s">
        <v>162</v>
      </c>
      <c r="D221" s="44">
        <v>1</v>
      </c>
      <c r="E221" s="43">
        <v>1.0425354462051709E-4</v>
      </c>
    </row>
    <row r="222" spans="2:5" ht="15" customHeight="1" x14ac:dyDescent="0.25">
      <c r="B222" s="81"/>
      <c r="C222" s="45" t="s">
        <v>141</v>
      </c>
      <c r="D222" s="44">
        <v>1</v>
      </c>
      <c r="E222" s="43">
        <v>1.0425354462051709E-4</v>
      </c>
    </row>
    <row r="223" spans="2:5" ht="15" customHeight="1" x14ac:dyDescent="0.25">
      <c r="B223" s="81"/>
      <c r="C223" s="45" t="s">
        <v>149</v>
      </c>
      <c r="D223" s="44">
        <v>2</v>
      </c>
      <c r="E223" s="43">
        <v>2.0850708924103419E-4</v>
      </c>
    </row>
    <row r="224" spans="2:5" ht="15" customHeight="1" x14ac:dyDescent="0.25">
      <c r="B224" s="81"/>
      <c r="C224" s="45" t="s">
        <v>250</v>
      </c>
      <c r="D224" s="44">
        <v>1</v>
      </c>
      <c r="E224" s="43">
        <v>1.0425354462051709E-4</v>
      </c>
    </row>
    <row r="225" spans="2:5" ht="15" customHeight="1" x14ac:dyDescent="0.25">
      <c r="B225" s="81"/>
      <c r="C225" s="45" t="s">
        <v>166</v>
      </c>
      <c r="D225" s="44">
        <v>24</v>
      </c>
      <c r="E225" s="43">
        <v>2.5020850708924102E-3</v>
      </c>
    </row>
    <row r="226" spans="2:5" ht="15" customHeight="1" x14ac:dyDescent="0.25">
      <c r="B226" s="81"/>
      <c r="C226" s="45" t="s">
        <v>163</v>
      </c>
      <c r="D226" s="44">
        <v>5</v>
      </c>
      <c r="E226" s="43">
        <v>5.2126772310258547E-4</v>
      </c>
    </row>
    <row r="227" spans="2:5" ht="15" customHeight="1" x14ac:dyDescent="0.25">
      <c r="B227" s="82"/>
      <c r="C227" s="42" t="s">
        <v>22</v>
      </c>
      <c r="D227" s="41">
        <v>53</v>
      </c>
      <c r="E227" s="40">
        <v>5.5254378648874058E-3</v>
      </c>
    </row>
    <row r="228" spans="2:5" ht="15" customHeight="1" x14ac:dyDescent="0.25">
      <c r="B228" s="80" t="s">
        <v>39</v>
      </c>
      <c r="C228" s="45" t="s">
        <v>153</v>
      </c>
      <c r="D228" s="44">
        <v>1</v>
      </c>
      <c r="E228" s="43">
        <v>1.0425354462051709E-4</v>
      </c>
    </row>
    <row r="229" spans="2:5" ht="15" customHeight="1" x14ac:dyDescent="0.25">
      <c r="B229" s="81"/>
      <c r="C229" s="45" t="s">
        <v>159</v>
      </c>
      <c r="D229" s="44">
        <v>2</v>
      </c>
      <c r="E229" s="43">
        <v>2.0850708924103419E-4</v>
      </c>
    </row>
    <row r="230" spans="2:5" ht="15" customHeight="1" x14ac:dyDescent="0.25">
      <c r="B230" s="81"/>
      <c r="C230" s="45" t="s">
        <v>154</v>
      </c>
      <c r="D230" s="44">
        <v>1</v>
      </c>
      <c r="E230" s="43">
        <v>1.0425354462051709E-4</v>
      </c>
    </row>
    <row r="231" spans="2:5" ht="15" customHeight="1" x14ac:dyDescent="0.25">
      <c r="B231" s="81"/>
      <c r="C231" s="45" t="s">
        <v>124</v>
      </c>
      <c r="D231" s="44">
        <v>1</v>
      </c>
      <c r="E231" s="43">
        <v>1.0425354462051709E-4</v>
      </c>
    </row>
    <row r="232" spans="2:5" ht="15" customHeight="1" x14ac:dyDescent="0.25">
      <c r="B232" s="81"/>
      <c r="C232" s="45" t="s">
        <v>165</v>
      </c>
      <c r="D232" s="44">
        <v>2</v>
      </c>
      <c r="E232" s="43">
        <v>2.0850708924103419E-4</v>
      </c>
    </row>
    <row r="233" spans="2:5" ht="15" customHeight="1" x14ac:dyDescent="0.25">
      <c r="B233" s="81"/>
      <c r="C233" s="45" t="s">
        <v>162</v>
      </c>
      <c r="D233" s="44">
        <v>2</v>
      </c>
      <c r="E233" s="43">
        <v>2.0850708924103419E-4</v>
      </c>
    </row>
    <row r="234" spans="2:5" ht="15" customHeight="1" x14ac:dyDescent="0.25">
      <c r="B234" s="81"/>
      <c r="C234" s="45" t="s">
        <v>250</v>
      </c>
      <c r="D234" s="44">
        <v>1</v>
      </c>
      <c r="E234" s="43">
        <v>1.0425354462051709E-4</v>
      </c>
    </row>
    <row r="235" spans="2:5" ht="15" customHeight="1" x14ac:dyDescent="0.25">
      <c r="B235" s="81"/>
      <c r="C235" s="45" t="s">
        <v>166</v>
      </c>
      <c r="D235" s="44">
        <v>11</v>
      </c>
      <c r="E235" s="43">
        <v>1.1467889908256881E-3</v>
      </c>
    </row>
    <row r="236" spans="2:5" ht="15" customHeight="1" x14ac:dyDescent="0.25">
      <c r="B236" s="81"/>
      <c r="C236" s="45" t="s">
        <v>163</v>
      </c>
      <c r="D236" s="44">
        <v>4</v>
      </c>
      <c r="E236" s="43">
        <v>4.1701417848206837E-4</v>
      </c>
    </row>
    <row r="237" spans="2:5" ht="15" customHeight="1" x14ac:dyDescent="0.25">
      <c r="B237" s="81"/>
      <c r="C237" s="45" t="s">
        <v>155</v>
      </c>
      <c r="D237" s="44">
        <v>1</v>
      </c>
      <c r="E237" s="43">
        <v>1.0425354462051709E-4</v>
      </c>
    </row>
    <row r="238" spans="2:5" ht="15" customHeight="1" x14ac:dyDescent="0.25">
      <c r="B238" s="82"/>
      <c r="C238" s="42" t="s">
        <v>22</v>
      </c>
      <c r="D238" s="41">
        <v>26</v>
      </c>
      <c r="E238" s="40">
        <v>2.7105921601334446E-3</v>
      </c>
    </row>
    <row r="239" spans="2:5" ht="15" customHeight="1" x14ac:dyDescent="0.25">
      <c r="B239" s="80" t="s">
        <v>49</v>
      </c>
      <c r="C239" s="45" t="s">
        <v>165</v>
      </c>
      <c r="D239" s="44">
        <v>4</v>
      </c>
      <c r="E239" s="43">
        <v>4.1701417848206837E-4</v>
      </c>
    </row>
    <row r="240" spans="2:5" ht="15" customHeight="1" x14ac:dyDescent="0.25">
      <c r="B240" s="81"/>
      <c r="C240" s="45" t="s">
        <v>162</v>
      </c>
      <c r="D240" s="44">
        <v>4</v>
      </c>
      <c r="E240" s="43">
        <v>4.1701417848206837E-4</v>
      </c>
    </row>
    <row r="241" spans="2:5" ht="15" customHeight="1" x14ac:dyDescent="0.25">
      <c r="B241" s="81"/>
      <c r="C241" s="45" t="s">
        <v>121</v>
      </c>
      <c r="D241" s="44">
        <v>1</v>
      </c>
      <c r="E241" s="43">
        <v>1.0425354462051709E-4</v>
      </c>
    </row>
    <row r="242" spans="2:5" ht="15" customHeight="1" x14ac:dyDescent="0.25">
      <c r="B242" s="81"/>
      <c r="C242" s="45" t="s">
        <v>250</v>
      </c>
      <c r="D242" s="44">
        <v>4</v>
      </c>
      <c r="E242" s="43">
        <v>4.1701417848206837E-4</v>
      </c>
    </row>
    <row r="243" spans="2:5" ht="15" customHeight="1" x14ac:dyDescent="0.25">
      <c r="B243" s="81"/>
      <c r="C243" s="45" t="s">
        <v>166</v>
      </c>
      <c r="D243" s="44">
        <v>12</v>
      </c>
      <c r="E243" s="43">
        <v>1.2510425354462051E-3</v>
      </c>
    </row>
    <row r="244" spans="2:5" ht="15" customHeight="1" x14ac:dyDescent="0.25">
      <c r="B244" s="81"/>
      <c r="C244" s="45" t="s">
        <v>163</v>
      </c>
      <c r="D244" s="44">
        <v>2</v>
      </c>
      <c r="E244" s="43">
        <v>2.0850708924103419E-4</v>
      </c>
    </row>
    <row r="245" spans="2:5" ht="15" customHeight="1" x14ac:dyDescent="0.25">
      <c r="B245" s="81"/>
      <c r="C245" s="45" t="s">
        <v>155</v>
      </c>
      <c r="D245" s="44">
        <v>1</v>
      </c>
      <c r="E245" s="43">
        <v>1.0425354462051709E-4</v>
      </c>
    </row>
    <row r="246" spans="2:5" ht="15" customHeight="1" x14ac:dyDescent="0.25">
      <c r="B246" s="82"/>
      <c r="C246" s="42" t="s">
        <v>22</v>
      </c>
      <c r="D246" s="41">
        <v>28</v>
      </c>
      <c r="E246" s="40">
        <v>2.9190992493744786E-3</v>
      </c>
    </row>
    <row r="247" spans="2:5" ht="15" customHeight="1" x14ac:dyDescent="0.25">
      <c r="B247" s="80" t="s">
        <v>33</v>
      </c>
      <c r="C247" s="45" t="s">
        <v>157</v>
      </c>
      <c r="D247" s="44">
        <v>1</v>
      </c>
      <c r="E247" s="43">
        <v>1.0425354462051709E-4</v>
      </c>
    </row>
    <row r="248" spans="2:5" ht="15" customHeight="1" x14ac:dyDescent="0.25">
      <c r="B248" s="81"/>
      <c r="C248" s="45" t="s">
        <v>165</v>
      </c>
      <c r="D248" s="44">
        <v>2</v>
      </c>
      <c r="E248" s="43">
        <v>2.0850708924103419E-4</v>
      </c>
    </row>
    <row r="249" spans="2:5" ht="15" customHeight="1" x14ac:dyDescent="0.25">
      <c r="B249" s="81"/>
      <c r="C249" s="45" t="s">
        <v>166</v>
      </c>
      <c r="D249" s="44">
        <v>9</v>
      </c>
      <c r="E249" s="43">
        <v>9.3828190158465384E-4</v>
      </c>
    </row>
    <row r="250" spans="2:5" ht="15" customHeight="1" x14ac:dyDescent="0.25">
      <c r="B250" s="82"/>
      <c r="C250" s="42" t="s">
        <v>22</v>
      </c>
      <c r="D250" s="41">
        <v>12</v>
      </c>
      <c r="E250" s="40">
        <v>1.2510425354462051E-3</v>
      </c>
    </row>
    <row r="251" spans="2:5" ht="15" customHeight="1" x14ac:dyDescent="0.25">
      <c r="B251" s="80" t="s">
        <v>44</v>
      </c>
      <c r="C251" s="45" t="s">
        <v>165</v>
      </c>
      <c r="D251" s="44">
        <v>5</v>
      </c>
      <c r="E251" s="43">
        <v>5.2126772310258547E-4</v>
      </c>
    </row>
    <row r="252" spans="2:5" ht="15" customHeight="1" x14ac:dyDescent="0.25">
      <c r="B252" s="81"/>
      <c r="C252" s="45" t="s">
        <v>250</v>
      </c>
      <c r="D252" s="44">
        <v>1</v>
      </c>
      <c r="E252" s="43">
        <v>1.0425354462051709E-4</v>
      </c>
    </row>
    <row r="253" spans="2:5" ht="15" customHeight="1" x14ac:dyDescent="0.25">
      <c r="B253" s="81"/>
      <c r="C253" s="45" t="s">
        <v>166</v>
      </c>
      <c r="D253" s="44">
        <v>17</v>
      </c>
      <c r="E253" s="43">
        <v>1.7723102585487907E-3</v>
      </c>
    </row>
    <row r="254" spans="2:5" ht="15" customHeight="1" x14ac:dyDescent="0.25">
      <c r="B254" s="81"/>
      <c r="C254" s="45" t="s">
        <v>163</v>
      </c>
      <c r="D254" s="44">
        <v>2</v>
      </c>
      <c r="E254" s="43">
        <v>2.0850708924103419E-4</v>
      </c>
    </row>
    <row r="255" spans="2:5" ht="15" customHeight="1" x14ac:dyDescent="0.25">
      <c r="B255" s="81"/>
      <c r="C255" s="45" t="s">
        <v>138</v>
      </c>
      <c r="D255" s="44">
        <v>1</v>
      </c>
      <c r="E255" s="43">
        <v>1.0425354462051709E-4</v>
      </c>
    </row>
    <row r="256" spans="2:5" ht="15" customHeight="1" x14ac:dyDescent="0.25">
      <c r="B256" s="82"/>
      <c r="C256" s="42" t="s">
        <v>22</v>
      </c>
      <c r="D256" s="41">
        <v>26</v>
      </c>
      <c r="E256" s="40">
        <v>2.7105921601334446E-3</v>
      </c>
    </row>
    <row r="257" spans="2:5" ht="15" customHeight="1" x14ac:dyDescent="0.25">
      <c r="B257" s="80" t="s">
        <v>244</v>
      </c>
      <c r="C257" s="45" t="s">
        <v>166</v>
      </c>
      <c r="D257" s="44">
        <v>1</v>
      </c>
      <c r="E257" s="43">
        <v>1.0425354462051709E-4</v>
      </c>
    </row>
    <row r="258" spans="2:5" ht="15" customHeight="1" x14ac:dyDescent="0.25">
      <c r="B258" s="82"/>
      <c r="C258" s="42" t="s">
        <v>22</v>
      </c>
      <c r="D258" s="41">
        <v>1</v>
      </c>
      <c r="E258" s="40">
        <v>1.0425354462051709E-4</v>
      </c>
    </row>
    <row r="259" spans="2:5" ht="15" customHeight="1" x14ac:dyDescent="0.25">
      <c r="B259" s="80" t="s">
        <v>30</v>
      </c>
      <c r="C259" s="45" t="s">
        <v>166</v>
      </c>
      <c r="D259" s="44">
        <v>3</v>
      </c>
      <c r="E259" s="43">
        <v>3.1276063386155128E-4</v>
      </c>
    </row>
    <row r="260" spans="2:5" ht="15" customHeight="1" x14ac:dyDescent="0.25">
      <c r="B260" s="82"/>
      <c r="C260" s="42" t="s">
        <v>22</v>
      </c>
      <c r="D260" s="41">
        <v>3</v>
      </c>
      <c r="E260" s="40">
        <v>3.1276063386155128E-4</v>
      </c>
    </row>
    <row r="261" spans="2:5" ht="15" customHeight="1" x14ac:dyDescent="0.25">
      <c r="B261" s="80" t="s">
        <v>42</v>
      </c>
      <c r="C261" s="45" t="s">
        <v>154</v>
      </c>
      <c r="D261" s="44">
        <v>1</v>
      </c>
      <c r="E261" s="43">
        <v>1.0425354462051709E-4</v>
      </c>
    </row>
    <row r="262" spans="2:5" ht="15" customHeight="1" x14ac:dyDescent="0.25">
      <c r="B262" s="81"/>
      <c r="C262" s="45" t="s">
        <v>165</v>
      </c>
      <c r="D262" s="44">
        <v>4</v>
      </c>
      <c r="E262" s="43">
        <v>4.1701417848206837E-4</v>
      </c>
    </row>
    <row r="263" spans="2:5" ht="15" customHeight="1" x14ac:dyDescent="0.25">
      <c r="B263" s="81"/>
      <c r="C263" s="45" t="s">
        <v>162</v>
      </c>
      <c r="D263" s="44">
        <v>1</v>
      </c>
      <c r="E263" s="43">
        <v>1.0425354462051709E-4</v>
      </c>
    </row>
    <row r="264" spans="2:5" ht="15" customHeight="1" x14ac:dyDescent="0.25">
      <c r="B264" s="81"/>
      <c r="C264" s="45" t="s">
        <v>152</v>
      </c>
      <c r="D264" s="44">
        <v>1</v>
      </c>
      <c r="E264" s="43">
        <v>1.0425354462051709E-4</v>
      </c>
    </row>
    <row r="265" spans="2:5" ht="15" customHeight="1" x14ac:dyDescent="0.25">
      <c r="B265" s="81"/>
      <c r="C265" s="45" t="s">
        <v>166</v>
      </c>
      <c r="D265" s="44">
        <v>26</v>
      </c>
      <c r="E265" s="43">
        <v>2.7105921601334446E-3</v>
      </c>
    </row>
    <row r="266" spans="2:5" ht="15" customHeight="1" x14ac:dyDescent="0.25">
      <c r="B266" s="81"/>
      <c r="C266" s="45" t="s">
        <v>163</v>
      </c>
      <c r="D266" s="44">
        <v>5</v>
      </c>
      <c r="E266" s="43">
        <v>5.2126772310258547E-4</v>
      </c>
    </row>
    <row r="267" spans="2:5" ht="15" customHeight="1" x14ac:dyDescent="0.25">
      <c r="B267" s="81"/>
      <c r="C267" s="45" t="s">
        <v>155</v>
      </c>
      <c r="D267" s="44">
        <v>1</v>
      </c>
      <c r="E267" s="43">
        <v>1.0425354462051709E-4</v>
      </c>
    </row>
    <row r="268" spans="2:5" ht="15" customHeight="1" x14ac:dyDescent="0.25">
      <c r="B268" s="82"/>
      <c r="C268" s="42" t="s">
        <v>22</v>
      </c>
      <c r="D268" s="41">
        <v>39</v>
      </c>
      <c r="E268" s="40">
        <v>4.0658882402001672E-3</v>
      </c>
    </row>
    <row r="269" spans="2:5" ht="15" customHeight="1" x14ac:dyDescent="0.25">
      <c r="B269" s="80" t="s">
        <v>36</v>
      </c>
      <c r="C269" s="45" t="s">
        <v>157</v>
      </c>
      <c r="D269" s="44">
        <v>1</v>
      </c>
      <c r="E269" s="43">
        <v>1.0425354462051709E-4</v>
      </c>
    </row>
    <row r="270" spans="2:5" ht="15" customHeight="1" x14ac:dyDescent="0.25">
      <c r="B270" s="81"/>
      <c r="C270" s="45" t="s">
        <v>166</v>
      </c>
      <c r="D270" s="44">
        <v>4</v>
      </c>
      <c r="E270" s="43">
        <v>4.1701417848206837E-4</v>
      </c>
    </row>
    <row r="271" spans="2:5" ht="15" customHeight="1" x14ac:dyDescent="0.25">
      <c r="B271" s="81"/>
      <c r="C271" s="45" t="s">
        <v>155</v>
      </c>
      <c r="D271" s="44">
        <v>1</v>
      </c>
      <c r="E271" s="43">
        <v>1.0425354462051709E-4</v>
      </c>
    </row>
    <row r="272" spans="2:5" ht="15" customHeight="1" x14ac:dyDescent="0.25">
      <c r="B272" s="82"/>
      <c r="C272" s="42" t="s">
        <v>22</v>
      </c>
      <c r="D272" s="41">
        <v>6</v>
      </c>
      <c r="E272" s="40">
        <v>6.2552126772310256E-4</v>
      </c>
    </row>
    <row r="273" spans="2:5" ht="15" customHeight="1" x14ac:dyDescent="0.25">
      <c r="B273" s="80" t="s">
        <v>58</v>
      </c>
      <c r="C273" s="45" t="s">
        <v>153</v>
      </c>
      <c r="D273" s="44">
        <v>2</v>
      </c>
      <c r="E273" s="43">
        <v>2.0850708924103419E-4</v>
      </c>
    </row>
    <row r="274" spans="2:5" ht="15" customHeight="1" x14ac:dyDescent="0.25">
      <c r="B274" s="81"/>
      <c r="C274" s="45" t="s">
        <v>146</v>
      </c>
      <c r="D274" s="44">
        <v>1</v>
      </c>
      <c r="E274" s="43">
        <v>1.0425354462051709E-4</v>
      </c>
    </row>
    <row r="275" spans="2:5" ht="15" customHeight="1" x14ac:dyDescent="0.25">
      <c r="B275" s="81"/>
      <c r="C275" s="45" t="s">
        <v>132</v>
      </c>
      <c r="D275" s="44">
        <v>1</v>
      </c>
      <c r="E275" s="43">
        <v>1.0425354462051709E-4</v>
      </c>
    </row>
    <row r="276" spans="2:5" ht="15" customHeight="1" x14ac:dyDescent="0.25">
      <c r="B276" s="81"/>
      <c r="C276" s="45" t="s">
        <v>159</v>
      </c>
      <c r="D276" s="44">
        <v>5</v>
      </c>
      <c r="E276" s="43">
        <v>5.2126772310258547E-4</v>
      </c>
    </row>
    <row r="277" spans="2:5" ht="15" customHeight="1" x14ac:dyDescent="0.25">
      <c r="B277" s="81"/>
      <c r="C277" s="45" t="s">
        <v>151</v>
      </c>
      <c r="D277" s="44">
        <v>2</v>
      </c>
      <c r="E277" s="43">
        <v>2.0850708924103419E-4</v>
      </c>
    </row>
    <row r="278" spans="2:5" ht="15" customHeight="1" x14ac:dyDescent="0.25">
      <c r="B278" s="81"/>
      <c r="C278" s="45" t="s">
        <v>157</v>
      </c>
      <c r="D278" s="44">
        <v>1</v>
      </c>
      <c r="E278" s="43">
        <v>1.0425354462051709E-4</v>
      </c>
    </row>
    <row r="279" spans="2:5" ht="15" customHeight="1" x14ac:dyDescent="0.25">
      <c r="B279" s="81"/>
      <c r="C279" s="45" t="s">
        <v>164</v>
      </c>
      <c r="D279" s="44">
        <v>25</v>
      </c>
      <c r="E279" s="43">
        <v>2.6063386155129272E-3</v>
      </c>
    </row>
    <row r="280" spans="2:5" ht="15" customHeight="1" x14ac:dyDescent="0.25">
      <c r="B280" s="81"/>
      <c r="C280" s="45" t="s">
        <v>154</v>
      </c>
      <c r="D280" s="44">
        <v>2</v>
      </c>
      <c r="E280" s="43">
        <v>2.0850708924103419E-4</v>
      </c>
    </row>
    <row r="281" spans="2:5" ht="15" customHeight="1" x14ac:dyDescent="0.25">
      <c r="B281" s="81"/>
      <c r="C281" s="45" t="s">
        <v>125</v>
      </c>
      <c r="D281" s="44">
        <v>1</v>
      </c>
      <c r="E281" s="43">
        <v>1.0425354462051709E-4</v>
      </c>
    </row>
    <row r="282" spans="2:5" ht="15" customHeight="1" x14ac:dyDescent="0.25">
      <c r="B282" s="81"/>
      <c r="C282" s="45" t="s">
        <v>158</v>
      </c>
      <c r="D282" s="44">
        <v>1</v>
      </c>
      <c r="E282" s="43">
        <v>1.0425354462051709E-4</v>
      </c>
    </row>
    <row r="283" spans="2:5" ht="15" customHeight="1" x14ac:dyDescent="0.25">
      <c r="B283" s="81"/>
      <c r="C283" s="45" t="s">
        <v>124</v>
      </c>
      <c r="D283" s="44">
        <v>1</v>
      </c>
      <c r="E283" s="43">
        <v>1.0425354462051709E-4</v>
      </c>
    </row>
    <row r="284" spans="2:5" ht="15" customHeight="1" x14ac:dyDescent="0.25">
      <c r="B284" s="81"/>
      <c r="C284" s="45" t="s">
        <v>165</v>
      </c>
      <c r="D284" s="44">
        <v>10</v>
      </c>
      <c r="E284" s="43">
        <v>1.0425354462051709E-3</v>
      </c>
    </row>
    <row r="285" spans="2:5" ht="15" customHeight="1" x14ac:dyDescent="0.25">
      <c r="B285" s="81"/>
      <c r="C285" s="45" t="s">
        <v>140</v>
      </c>
      <c r="D285" s="44">
        <v>1</v>
      </c>
      <c r="E285" s="43">
        <v>1.0425354462051709E-4</v>
      </c>
    </row>
    <row r="286" spans="2:5" ht="15" customHeight="1" x14ac:dyDescent="0.25">
      <c r="B286" s="81"/>
      <c r="C286" s="45" t="s">
        <v>142</v>
      </c>
      <c r="D286" s="44">
        <v>1</v>
      </c>
      <c r="E286" s="43">
        <v>1.0425354462051709E-4</v>
      </c>
    </row>
    <row r="287" spans="2:5" ht="15" customHeight="1" x14ac:dyDescent="0.25">
      <c r="B287" s="81"/>
      <c r="C287" s="45" t="s">
        <v>162</v>
      </c>
      <c r="D287" s="44">
        <v>9</v>
      </c>
      <c r="E287" s="43">
        <v>9.3828190158465384E-4</v>
      </c>
    </row>
    <row r="288" spans="2:5" ht="15" customHeight="1" x14ac:dyDescent="0.25">
      <c r="B288" s="81"/>
      <c r="C288" s="45" t="s">
        <v>139</v>
      </c>
      <c r="D288" s="44">
        <v>2</v>
      </c>
      <c r="E288" s="43">
        <v>2.0850708924103419E-4</v>
      </c>
    </row>
    <row r="289" spans="2:5" ht="15" customHeight="1" x14ac:dyDescent="0.25">
      <c r="B289" s="81"/>
      <c r="C289" s="45" t="s">
        <v>141</v>
      </c>
      <c r="D289" s="44">
        <v>1</v>
      </c>
      <c r="E289" s="43">
        <v>1.0425354462051709E-4</v>
      </c>
    </row>
    <row r="290" spans="2:5" ht="15" customHeight="1" x14ac:dyDescent="0.25">
      <c r="B290" s="81"/>
      <c r="C290" s="45" t="s">
        <v>152</v>
      </c>
      <c r="D290" s="44">
        <v>3</v>
      </c>
      <c r="E290" s="43">
        <v>3.1276063386155128E-4</v>
      </c>
    </row>
    <row r="291" spans="2:5" ht="15" customHeight="1" x14ac:dyDescent="0.25">
      <c r="B291" s="81"/>
      <c r="C291" s="45" t="s">
        <v>250</v>
      </c>
      <c r="D291" s="44">
        <v>5</v>
      </c>
      <c r="E291" s="43">
        <v>5.2126772310258547E-4</v>
      </c>
    </row>
    <row r="292" spans="2:5" ht="15" customHeight="1" x14ac:dyDescent="0.25">
      <c r="B292" s="81"/>
      <c r="C292" s="45" t="s">
        <v>166</v>
      </c>
      <c r="D292" s="44">
        <v>77</v>
      </c>
      <c r="E292" s="43">
        <v>8.027522935779817E-3</v>
      </c>
    </row>
    <row r="293" spans="2:5" ht="15" customHeight="1" x14ac:dyDescent="0.25">
      <c r="B293" s="81"/>
      <c r="C293" s="45" t="s">
        <v>128</v>
      </c>
      <c r="D293" s="44">
        <v>1</v>
      </c>
      <c r="E293" s="43">
        <v>1.0425354462051709E-4</v>
      </c>
    </row>
    <row r="294" spans="2:5" ht="15" customHeight="1" x14ac:dyDescent="0.25">
      <c r="B294" s="81"/>
      <c r="C294" s="45" t="s">
        <v>160</v>
      </c>
      <c r="D294" s="44">
        <v>2</v>
      </c>
      <c r="E294" s="43">
        <v>2.0850708924103419E-4</v>
      </c>
    </row>
    <row r="295" spans="2:5" ht="15" customHeight="1" x14ac:dyDescent="0.25">
      <c r="B295" s="81"/>
      <c r="C295" s="45" t="s">
        <v>163</v>
      </c>
      <c r="D295" s="44">
        <v>13</v>
      </c>
      <c r="E295" s="43">
        <v>1.3552960800667223E-3</v>
      </c>
    </row>
    <row r="296" spans="2:5" ht="15" customHeight="1" x14ac:dyDescent="0.25">
      <c r="B296" s="81"/>
      <c r="C296" s="45" t="s">
        <v>155</v>
      </c>
      <c r="D296" s="44">
        <v>4</v>
      </c>
      <c r="E296" s="43">
        <v>4.1701417848206837E-4</v>
      </c>
    </row>
    <row r="297" spans="2:5" ht="15" customHeight="1" x14ac:dyDescent="0.25">
      <c r="B297" s="81"/>
      <c r="C297" s="45" t="s">
        <v>138</v>
      </c>
      <c r="D297" s="44">
        <v>1</v>
      </c>
      <c r="E297" s="43">
        <v>1.0425354462051709E-4</v>
      </c>
    </row>
    <row r="298" spans="2:5" ht="15" customHeight="1" x14ac:dyDescent="0.25">
      <c r="B298" s="82"/>
      <c r="C298" s="42" t="s">
        <v>22</v>
      </c>
      <c r="D298" s="41">
        <v>172</v>
      </c>
      <c r="E298" s="40">
        <v>1.7931609674728941E-2</v>
      </c>
    </row>
    <row r="299" spans="2:5" ht="15" customHeight="1" x14ac:dyDescent="0.25">
      <c r="B299" s="80" t="s">
        <v>26</v>
      </c>
      <c r="C299" s="45" t="s">
        <v>143</v>
      </c>
      <c r="D299" s="44">
        <v>1</v>
      </c>
      <c r="E299" s="43">
        <v>1.0425354462051709E-4</v>
      </c>
    </row>
    <row r="300" spans="2:5" ht="15" customHeight="1" x14ac:dyDescent="0.25">
      <c r="B300" s="82"/>
      <c r="C300" s="42" t="s">
        <v>22</v>
      </c>
      <c r="D300" s="41">
        <v>1</v>
      </c>
      <c r="E300" s="40">
        <v>1.0425354462051709E-4</v>
      </c>
    </row>
    <row r="301" spans="2:5" ht="15" customHeight="1" x14ac:dyDescent="0.25">
      <c r="B301" s="80" t="s">
        <v>37</v>
      </c>
      <c r="C301" s="45" t="s">
        <v>164</v>
      </c>
      <c r="D301" s="44">
        <v>1</v>
      </c>
      <c r="E301" s="43">
        <v>1.0425354462051709E-4</v>
      </c>
    </row>
    <row r="302" spans="2:5" ht="15" customHeight="1" x14ac:dyDescent="0.25">
      <c r="B302" s="81"/>
      <c r="C302" s="45" t="s">
        <v>165</v>
      </c>
      <c r="D302" s="44">
        <v>3</v>
      </c>
      <c r="E302" s="43">
        <v>3.1276063386155128E-4</v>
      </c>
    </row>
    <row r="303" spans="2:5" ht="15" customHeight="1" x14ac:dyDescent="0.25">
      <c r="B303" s="81"/>
      <c r="C303" s="45" t="s">
        <v>166</v>
      </c>
      <c r="D303" s="44">
        <v>8</v>
      </c>
      <c r="E303" s="43">
        <v>8.3402835696413675E-4</v>
      </c>
    </row>
    <row r="304" spans="2:5" ht="15" customHeight="1" x14ac:dyDescent="0.25">
      <c r="B304" s="81"/>
      <c r="C304" s="45" t="s">
        <v>128</v>
      </c>
      <c r="D304" s="44">
        <v>1</v>
      </c>
      <c r="E304" s="43">
        <v>1.0425354462051709E-4</v>
      </c>
    </row>
    <row r="305" spans="2:5" ht="15" customHeight="1" x14ac:dyDescent="0.25">
      <c r="B305" s="82"/>
      <c r="C305" s="42" t="s">
        <v>22</v>
      </c>
      <c r="D305" s="41">
        <v>13</v>
      </c>
      <c r="E305" s="40">
        <v>1.3552960800667223E-3</v>
      </c>
    </row>
    <row r="306" spans="2:5" ht="15" customHeight="1" x14ac:dyDescent="0.25">
      <c r="B306" s="80" t="s">
        <v>59</v>
      </c>
      <c r="C306" s="45" t="s">
        <v>153</v>
      </c>
      <c r="D306" s="44">
        <v>1</v>
      </c>
      <c r="E306" s="43">
        <v>1.0425354462051709E-4</v>
      </c>
    </row>
    <row r="307" spans="2:5" ht="15" customHeight="1" x14ac:dyDescent="0.25">
      <c r="B307" s="81"/>
      <c r="C307" s="45" t="s">
        <v>136</v>
      </c>
      <c r="D307" s="44">
        <v>1</v>
      </c>
      <c r="E307" s="43">
        <v>1.0425354462051709E-4</v>
      </c>
    </row>
    <row r="308" spans="2:5" ht="15" customHeight="1" x14ac:dyDescent="0.25">
      <c r="B308" s="81"/>
      <c r="C308" s="45" t="s">
        <v>151</v>
      </c>
      <c r="D308" s="44">
        <v>1</v>
      </c>
      <c r="E308" s="43">
        <v>1.0425354462051709E-4</v>
      </c>
    </row>
    <row r="309" spans="2:5" ht="15" customHeight="1" x14ac:dyDescent="0.25">
      <c r="B309" s="81"/>
      <c r="C309" s="45" t="s">
        <v>157</v>
      </c>
      <c r="D309" s="44">
        <v>1</v>
      </c>
      <c r="E309" s="43">
        <v>1.0425354462051709E-4</v>
      </c>
    </row>
    <row r="310" spans="2:5" ht="15" customHeight="1" x14ac:dyDescent="0.25">
      <c r="B310" s="81"/>
      <c r="C310" s="45" t="s">
        <v>164</v>
      </c>
      <c r="D310" s="44">
        <v>2</v>
      </c>
      <c r="E310" s="43">
        <v>2.0850708924103419E-4</v>
      </c>
    </row>
    <row r="311" spans="2:5" ht="15" customHeight="1" x14ac:dyDescent="0.25">
      <c r="B311" s="81"/>
      <c r="C311" s="45" t="s">
        <v>154</v>
      </c>
      <c r="D311" s="44">
        <v>3</v>
      </c>
      <c r="E311" s="43">
        <v>3.1276063386155128E-4</v>
      </c>
    </row>
    <row r="312" spans="2:5" ht="15" customHeight="1" x14ac:dyDescent="0.25">
      <c r="B312" s="81"/>
      <c r="C312" s="45" t="s">
        <v>158</v>
      </c>
      <c r="D312" s="44">
        <v>1</v>
      </c>
      <c r="E312" s="43">
        <v>1.0425354462051709E-4</v>
      </c>
    </row>
    <row r="313" spans="2:5" ht="15" customHeight="1" x14ac:dyDescent="0.25">
      <c r="B313" s="81"/>
      <c r="C313" s="45" t="s">
        <v>124</v>
      </c>
      <c r="D313" s="44">
        <v>1</v>
      </c>
      <c r="E313" s="43">
        <v>1.0425354462051709E-4</v>
      </c>
    </row>
    <row r="314" spans="2:5" ht="15" customHeight="1" x14ac:dyDescent="0.25">
      <c r="B314" s="81"/>
      <c r="C314" s="45" t="s">
        <v>165</v>
      </c>
      <c r="D314" s="44">
        <v>3</v>
      </c>
      <c r="E314" s="43">
        <v>3.1276063386155128E-4</v>
      </c>
    </row>
    <row r="315" spans="2:5" ht="15" customHeight="1" x14ac:dyDescent="0.25">
      <c r="B315" s="81"/>
      <c r="C315" s="45" t="s">
        <v>162</v>
      </c>
      <c r="D315" s="44">
        <v>3</v>
      </c>
      <c r="E315" s="43">
        <v>3.1276063386155128E-4</v>
      </c>
    </row>
    <row r="316" spans="2:5" ht="15" customHeight="1" x14ac:dyDescent="0.25">
      <c r="B316" s="81"/>
      <c r="C316" s="45" t="s">
        <v>152</v>
      </c>
      <c r="D316" s="44">
        <v>4</v>
      </c>
      <c r="E316" s="43">
        <v>4.1701417848206837E-4</v>
      </c>
    </row>
    <row r="317" spans="2:5" ht="15" customHeight="1" x14ac:dyDescent="0.25">
      <c r="B317" s="81"/>
      <c r="C317" s="45" t="s">
        <v>250</v>
      </c>
      <c r="D317" s="44">
        <v>1</v>
      </c>
      <c r="E317" s="43">
        <v>1.0425354462051709E-4</v>
      </c>
    </row>
    <row r="318" spans="2:5" ht="15" customHeight="1" x14ac:dyDescent="0.25">
      <c r="B318" s="81"/>
      <c r="C318" s="45" t="s">
        <v>166</v>
      </c>
      <c r="D318" s="44">
        <v>31</v>
      </c>
      <c r="E318" s="43">
        <v>3.23185988323603E-3</v>
      </c>
    </row>
    <row r="319" spans="2:5" ht="15" customHeight="1" x14ac:dyDescent="0.25">
      <c r="B319" s="81"/>
      <c r="C319" s="45" t="s">
        <v>163</v>
      </c>
      <c r="D319" s="44">
        <v>13</v>
      </c>
      <c r="E319" s="43">
        <v>1.3552960800667223E-3</v>
      </c>
    </row>
    <row r="320" spans="2:5" ht="15" customHeight="1" x14ac:dyDescent="0.25">
      <c r="B320" s="81"/>
      <c r="C320" s="45" t="s">
        <v>155</v>
      </c>
      <c r="D320" s="44">
        <v>1</v>
      </c>
      <c r="E320" s="43">
        <v>1.0425354462051709E-4</v>
      </c>
    </row>
    <row r="321" spans="2:5" ht="15" customHeight="1" x14ac:dyDescent="0.25">
      <c r="B321" s="81"/>
      <c r="C321" s="45" t="s">
        <v>138</v>
      </c>
      <c r="D321" s="44">
        <v>1</v>
      </c>
      <c r="E321" s="43">
        <v>1.0425354462051709E-4</v>
      </c>
    </row>
    <row r="322" spans="2:5" ht="15" customHeight="1" x14ac:dyDescent="0.25">
      <c r="B322" s="82"/>
      <c r="C322" s="42" t="s">
        <v>22</v>
      </c>
      <c r="D322" s="41">
        <v>68</v>
      </c>
      <c r="E322" s="40">
        <v>7.0892410341951628E-3</v>
      </c>
    </row>
    <row r="323" spans="2:5" ht="15" customHeight="1" x14ac:dyDescent="0.25">
      <c r="B323" s="80" t="s">
        <v>34</v>
      </c>
      <c r="C323" s="45" t="s">
        <v>154</v>
      </c>
      <c r="D323" s="44">
        <v>1</v>
      </c>
      <c r="E323" s="43">
        <v>1.0425354462051709E-4</v>
      </c>
    </row>
    <row r="324" spans="2:5" ht="15" customHeight="1" x14ac:dyDescent="0.25">
      <c r="B324" s="81"/>
      <c r="C324" s="45" t="s">
        <v>143</v>
      </c>
      <c r="D324" s="44">
        <v>1</v>
      </c>
      <c r="E324" s="43">
        <v>1.0425354462051709E-4</v>
      </c>
    </row>
    <row r="325" spans="2:5" ht="15" customHeight="1" x14ac:dyDescent="0.25">
      <c r="B325" s="81"/>
      <c r="C325" s="45" t="s">
        <v>166</v>
      </c>
      <c r="D325" s="44">
        <v>6</v>
      </c>
      <c r="E325" s="43">
        <v>6.2552126772310256E-4</v>
      </c>
    </row>
    <row r="326" spans="2:5" ht="15" customHeight="1" x14ac:dyDescent="0.25">
      <c r="B326" s="82"/>
      <c r="C326" s="42" t="s">
        <v>22</v>
      </c>
      <c r="D326" s="41">
        <v>8</v>
      </c>
      <c r="E326" s="40">
        <v>8.3402835696413675E-4</v>
      </c>
    </row>
    <row r="327" spans="2:5" ht="15" customHeight="1" x14ac:dyDescent="0.25">
      <c r="B327" s="80" t="s">
        <v>31</v>
      </c>
      <c r="C327" s="45" t="s">
        <v>140</v>
      </c>
      <c r="D327" s="44">
        <v>1</v>
      </c>
      <c r="E327" s="43">
        <v>1.0425354462051709E-4</v>
      </c>
    </row>
    <row r="328" spans="2:5" ht="15" customHeight="1" x14ac:dyDescent="0.25">
      <c r="B328" s="81"/>
      <c r="C328" s="45" t="s">
        <v>166</v>
      </c>
      <c r="D328" s="44">
        <v>9</v>
      </c>
      <c r="E328" s="43">
        <v>9.3828190158465384E-4</v>
      </c>
    </row>
    <row r="329" spans="2:5" ht="15" customHeight="1" x14ac:dyDescent="0.25">
      <c r="B329" s="82"/>
      <c r="C329" s="42" t="s">
        <v>22</v>
      </c>
      <c r="D329" s="41">
        <v>10</v>
      </c>
      <c r="E329" s="40">
        <v>1.0425354462051709E-3</v>
      </c>
    </row>
    <row r="330" spans="2:5" ht="15" customHeight="1" x14ac:dyDescent="0.25">
      <c r="B330" s="80" t="s">
        <v>25</v>
      </c>
      <c r="C330" s="45" t="s">
        <v>166</v>
      </c>
      <c r="D330" s="44">
        <v>1</v>
      </c>
      <c r="E330" s="43">
        <v>1.0425354462051709E-4</v>
      </c>
    </row>
    <row r="331" spans="2:5" ht="15" customHeight="1" x14ac:dyDescent="0.25">
      <c r="B331" s="82"/>
      <c r="C331" s="42" t="s">
        <v>22</v>
      </c>
      <c r="D331" s="41">
        <v>1</v>
      </c>
      <c r="E331" s="40">
        <v>1.0425354462051709E-4</v>
      </c>
    </row>
    <row r="332" spans="2:5" ht="15" customHeight="1" x14ac:dyDescent="0.25">
      <c r="B332" s="80" t="s">
        <v>45</v>
      </c>
      <c r="C332" s="45" t="s">
        <v>164</v>
      </c>
      <c r="D332" s="44">
        <v>2</v>
      </c>
      <c r="E332" s="43">
        <v>2.0850708924103419E-4</v>
      </c>
    </row>
    <row r="333" spans="2:5" ht="15" customHeight="1" x14ac:dyDescent="0.25">
      <c r="B333" s="81"/>
      <c r="C333" s="45" t="s">
        <v>154</v>
      </c>
      <c r="D333" s="44">
        <v>4</v>
      </c>
      <c r="E333" s="43">
        <v>4.1701417848206837E-4</v>
      </c>
    </row>
    <row r="334" spans="2:5" ht="15" customHeight="1" x14ac:dyDescent="0.25">
      <c r="B334" s="81"/>
      <c r="C334" s="45" t="s">
        <v>162</v>
      </c>
      <c r="D334" s="44">
        <v>4</v>
      </c>
      <c r="E334" s="43">
        <v>4.1701417848206837E-4</v>
      </c>
    </row>
    <row r="335" spans="2:5" ht="15" customHeight="1" x14ac:dyDescent="0.25">
      <c r="B335" s="81"/>
      <c r="C335" s="45" t="s">
        <v>250</v>
      </c>
      <c r="D335" s="44">
        <v>1</v>
      </c>
      <c r="E335" s="43">
        <v>1.0425354462051709E-4</v>
      </c>
    </row>
    <row r="336" spans="2:5" ht="15" customHeight="1" x14ac:dyDescent="0.25">
      <c r="B336" s="81"/>
      <c r="C336" s="45" t="s">
        <v>166</v>
      </c>
      <c r="D336" s="44">
        <v>16</v>
      </c>
      <c r="E336" s="43">
        <v>1.6680567139282735E-3</v>
      </c>
    </row>
    <row r="337" spans="2:5" ht="15" customHeight="1" x14ac:dyDescent="0.25">
      <c r="B337" s="81"/>
      <c r="C337" s="45" t="s">
        <v>128</v>
      </c>
      <c r="D337" s="44">
        <v>1</v>
      </c>
      <c r="E337" s="43">
        <v>1.0425354462051709E-4</v>
      </c>
    </row>
    <row r="338" spans="2:5" ht="15" customHeight="1" x14ac:dyDescent="0.25">
      <c r="B338" s="81"/>
      <c r="C338" s="45" t="s">
        <v>163</v>
      </c>
      <c r="D338" s="44">
        <v>2</v>
      </c>
      <c r="E338" s="43">
        <v>2.0850708924103419E-4</v>
      </c>
    </row>
    <row r="339" spans="2:5" ht="15" customHeight="1" x14ac:dyDescent="0.25">
      <c r="B339" s="81"/>
      <c r="C339" s="45" t="s">
        <v>155</v>
      </c>
      <c r="D339" s="44">
        <v>1</v>
      </c>
      <c r="E339" s="43">
        <v>1.0425354462051709E-4</v>
      </c>
    </row>
    <row r="340" spans="2:5" ht="15" customHeight="1" x14ac:dyDescent="0.25">
      <c r="B340" s="82"/>
      <c r="C340" s="42" t="s">
        <v>22</v>
      </c>
      <c r="D340" s="41">
        <v>31</v>
      </c>
      <c r="E340" s="40">
        <v>3.23185988323603E-3</v>
      </c>
    </row>
    <row r="341" spans="2:5" ht="15" customHeight="1" x14ac:dyDescent="0.25">
      <c r="B341" s="80" t="s">
        <v>23</v>
      </c>
      <c r="C341" s="45" t="s">
        <v>152</v>
      </c>
      <c r="D341" s="44">
        <v>1</v>
      </c>
      <c r="E341" s="43">
        <v>1.0425354462051709E-4</v>
      </c>
    </row>
    <row r="342" spans="2:5" ht="15" customHeight="1" x14ac:dyDescent="0.25">
      <c r="B342" s="81"/>
      <c r="C342" s="45" t="s">
        <v>163</v>
      </c>
      <c r="D342" s="44">
        <v>1</v>
      </c>
      <c r="E342" s="43">
        <v>1.0425354462051709E-4</v>
      </c>
    </row>
    <row r="343" spans="2:5" ht="15" customHeight="1" x14ac:dyDescent="0.25">
      <c r="B343" s="82"/>
      <c r="C343" s="42" t="s">
        <v>22</v>
      </c>
      <c r="D343" s="41">
        <v>2</v>
      </c>
      <c r="E343" s="40">
        <v>2.0850708924103419E-4</v>
      </c>
    </row>
    <row r="344" spans="2:5" ht="15" customHeight="1" x14ac:dyDescent="0.25">
      <c r="B344" s="80" t="s">
        <v>56</v>
      </c>
      <c r="C344" s="45" t="s">
        <v>146</v>
      </c>
      <c r="D344" s="44">
        <v>1</v>
      </c>
      <c r="E344" s="43">
        <v>1.0425354462051709E-4</v>
      </c>
    </row>
    <row r="345" spans="2:5" ht="15" customHeight="1" x14ac:dyDescent="0.25">
      <c r="B345" s="81"/>
      <c r="C345" s="45" t="s">
        <v>159</v>
      </c>
      <c r="D345" s="44">
        <v>1</v>
      </c>
      <c r="E345" s="43">
        <v>1.0425354462051709E-4</v>
      </c>
    </row>
    <row r="346" spans="2:5" ht="15" customHeight="1" x14ac:dyDescent="0.25">
      <c r="B346" s="81"/>
      <c r="C346" s="45" t="s">
        <v>157</v>
      </c>
      <c r="D346" s="44">
        <v>1</v>
      </c>
      <c r="E346" s="43">
        <v>1.0425354462051709E-4</v>
      </c>
    </row>
    <row r="347" spans="2:5" ht="15" customHeight="1" x14ac:dyDescent="0.25">
      <c r="B347" s="81"/>
      <c r="C347" s="45" t="s">
        <v>164</v>
      </c>
      <c r="D347" s="44">
        <v>5</v>
      </c>
      <c r="E347" s="43">
        <v>5.2126772310258547E-4</v>
      </c>
    </row>
    <row r="348" spans="2:5" ht="15" customHeight="1" x14ac:dyDescent="0.25">
      <c r="B348" s="81"/>
      <c r="C348" s="45" t="s">
        <v>154</v>
      </c>
      <c r="D348" s="44">
        <v>2</v>
      </c>
      <c r="E348" s="43">
        <v>2.0850708924103419E-4</v>
      </c>
    </row>
    <row r="349" spans="2:5" ht="15" customHeight="1" x14ac:dyDescent="0.25">
      <c r="B349" s="81"/>
      <c r="C349" s="45" t="s">
        <v>158</v>
      </c>
      <c r="D349" s="44">
        <v>1</v>
      </c>
      <c r="E349" s="43">
        <v>1.0425354462051709E-4</v>
      </c>
    </row>
    <row r="350" spans="2:5" ht="15" customHeight="1" x14ac:dyDescent="0.25">
      <c r="B350" s="81"/>
      <c r="C350" s="45" t="s">
        <v>165</v>
      </c>
      <c r="D350" s="44">
        <v>3</v>
      </c>
      <c r="E350" s="43">
        <v>3.1276063386155128E-4</v>
      </c>
    </row>
    <row r="351" spans="2:5" ht="15" customHeight="1" x14ac:dyDescent="0.25">
      <c r="B351" s="81"/>
      <c r="C351" s="45" t="s">
        <v>162</v>
      </c>
      <c r="D351" s="44">
        <v>3</v>
      </c>
      <c r="E351" s="43">
        <v>3.1276063386155128E-4</v>
      </c>
    </row>
    <row r="352" spans="2:5" ht="15" customHeight="1" x14ac:dyDescent="0.25">
      <c r="B352" s="81"/>
      <c r="C352" s="45" t="s">
        <v>149</v>
      </c>
      <c r="D352" s="44">
        <v>1</v>
      </c>
      <c r="E352" s="43">
        <v>1.0425354462051709E-4</v>
      </c>
    </row>
    <row r="353" spans="2:5" ht="15" customHeight="1" x14ac:dyDescent="0.25">
      <c r="B353" s="81"/>
      <c r="C353" s="45" t="s">
        <v>152</v>
      </c>
      <c r="D353" s="44">
        <v>1</v>
      </c>
      <c r="E353" s="43">
        <v>1.0425354462051709E-4</v>
      </c>
    </row>
    <row r="354" spans="2:5" ht="15" customHeight="1" x14ac:dyDescent="0.25">
      <c r="B354" s="81"/>
      <c r="C354" s="45" t="s">
        <v>250</v>
      </c>
      <c r="D354" s="44">
        <v>4</v>
      </c>
      <c r="E354" s="43">
        <v>4.1701417848206837E-4</v>
      </c>
    </row>
    <row r="355" spans="2:5" ht="15" customHeight="1" x14ac:dyDescent="0.25">
      <c r="B355" s="81"/>
      <c r="C355" s="45" t="s">
        <v>166</v>
      </c>
      <c r="D355" s="44">
        <v>45</v>
      </c>
      <c r="E355" s="43">
        <v>4.6914095079232691E-3</v>
      </c>
    </row>
    <row r="356" spans="2:5" ht="15" customHeight="1" x14ac:dyDescent="0.25">
      <c r="B356" s="81"/>
      <c r="C356" s="45" t="s">
        <v>160</v>
      </c>
      <c r="D356" s="44">
        <v>1</v>
      </c>
      <c r="E356" s="43">
        <v>1.0425354462051709E-4</v>
      </c>
    </row>
    <row r="357" spans="2:5" ht="15" customHeight="1" x14ac:dyDescent="0.25">
      <c r="B357" s="81"/>
      <c r="C357" s="45" t="s">
        <v>163</v>
      </c>
      <c r="D357" s="44">
        <v>3</v>
      </c>
      <c r="E357" s="43">
        <v>3.1276063386155128E-4</v>
      </c>
    </row>
    <row r="358" spans="2:5" ht="15" customHeight="1" x14ac:dyDescent="0.25">
      <c r="B358" s="81"/>
      <c r="C358" s="45" t="s">
        <v>155</v>
      </c>
      <c r="D358" s="44">
        <v>2</v>
      </c>
      <c r="E358" s="43">
        <v>2.0850708924103419E-4</v>
      </c>
    </row>
    <row r="359" spans="2:5" ht="15" customHeight="1" x14ac:dyDescent="0.25">
      <c r="B359" s="82"/>
      <c r="C359" s="42" t="s">
        <v>22</v>
      </c>
      <c r="D359" s="41">
        <v>74</v>
      </c>
      <c r="E359" s="40">
        <v>7.7147623019182656E-3</v>
      </c>
    </row>
    <row r="360" spans="2:5" ht="15" customHeight="1" x14ac:dyDescent="0.25">
      <c r="B360" s="80" t="s">
        <v>64</v>
      </c>
      <c r="C360" s="45" t="s">
        <v>133</v>
      </c>
      <c r="D360" s="44">
        <v>8</v>
      </c>
      <c r="E360" s="43">
        <v>8.3402835696413675E-4</v>
      </c>
    </row>
    <row r="361" spans="2:5" ht="15" customHeight="1" x14ac:dyDescent="0.25">
      <c r="B361" s="81"/>
      <c r="C361" s="45" t="s">
        <v>148</v>
      </c>
      <c r="D361" s="44">
        <v>32</v>
      </c>
      <c r="E361" s="43">
        <v>3.336113427856547E-3</v>
      </c>
    </row>
    <row r="362" spans="2:5" ht="15" customHeight="1" x14ac:dyDescent="0.25">
      <c r="B362" s="81"/>
      <c r="C362" s="45" t="s">
        <v>153</v>
      </c>
      <c r="D362" s="44">
        <v>112</v>
      </c>
      <c r="E362" s="43">
        <v>1.1676396997497914E-2</v>
      </c>
    </row>
    <row r="363" spans="2:5" ht="15" customHeight="1" x14ac:dyDescent="0.25">
      <c r="B363" s="81"/>
      <c r="C363" s="45" t="s">
        <v>156</v>
      </c>
      <c r="D363" s="44">
        <v>129</v>
      </c>
      <c r="E363" s="43">
        <v>1.3448707256046705E-2</v>
      </c>
    </row>
    <row r="364" spans="2:5" ht="15" customHeight="1" x14ac:dyDescent="0.25">
      <c r="B364" s="81"/>
      <c r="C364" s="45" t="s">
        <v>136</v>
      </c>
      <c r="D364" s="44">
        <v>18</v>
      </c>
      <c r="E364" s="43">
        <v>1.8765638031693077E-3</v>
      </c>
    </row>
    <row r="365" spans="2:5" ht="15" customHeight="1" x14ac:dyDescent="0.25">
      <c r="B365" s="81"/>
      <c r="C365" s="45" t="s">
        <v>146</v>
      </c>
      <c r="D365" s="44">
        <v>27</v>
      </c>
      <c r="E365" s="43">
        <v>2.8148457047539616E-3</v>
      </c>
    </row>
    <row r="366" spans="2:5" ht="15" customHeight="1" x14ac:dyDescent="0.25">
      <c r="B366" s="81"/>
      <c r="C366" s="45" t="s">
        <v>132</v>
      </c>
      <c r="D366" s="44">
        <v>6</v>
      </c>
      <c r="E366" s="43">
        <v>6.2552126772310256E-4</v>
      </c>
    </row>
    <row r="367" spans="2:5" ht="15" customHeight="1" x14ac:dyDescent="0.25">
      <c r="B367" s="81"/>
      <c r="C367" s="45" t="s">
        <v>159</v>
      </c>
      <c r="D367" s="44">
        <v>210</v>
      </c>
      <c r="E367" s="43">
        <v>2.1893244370308592E-2</v>
      </c>
    </row>
    <row r="368" spans="2:5" ht="15" customHeight="1" x14ac:dyDescent="0.25">
      <c r="B368" s="81"/>
      <c r="C368" s="45" t="s">
        <v>251</v>
      </c>
      <c r="D368" s="44">
        <v>3</v>
      </c>
      <c r="E368" s="43">
        <v>3.1276063386155128E-4</v>
      </c>
    </row>
    <row r="369" spans="2:5" ht="15" customHeight="1" x14ac:dyDescent="0.25">
      <c r="B369" s="81"/>
      <c r="C369" s="45" t="s">
        <v>151</v>
      </c>
      <c r="D369" s="44">
        <v>63</v>
      </c>
      <c r="E369" s="43">
        <v>6.5679733110925774E-3</v>
      </c>
    </row>
    <row r="370" spans="2:5" ht="15" customHeight="1" x14ac:dyDescent="0.25">
      <c r="B370" s="81"/>
      <c r="C370" s="45" t="s">
        <v>157</v>
      </c>
      <c r="D370" s="44">
        <v>161</v>
      </c>
      <c r="E370" s="43">
        <v>1.6784820683903252E-2</v>
      </c>
    </row>
    <row r="371" spans="2:5" ht="15" customHeight="1" x14ac:dyDescent="0.25">
      <c r="B371" s="81"/>
      <c r="C371" s="45" t="s">
        <v>137</v>
      </c>
      <c r="D371" s="44">
        <v>22</v>
      </c>
      <c r="E371" s="43">
        <v>2.2935779816513763E-3</v>
      </c>
    </row>
    <row r="372" spans="2:5" ht="15" customHeight="1" x14ac:dyDescent="0.25">
      <c r="B372" s="81"/>
      <c r="C372" s="45" t="s">
        <v>145</v>
      </c>
      <c r="D372" s="44">
        <v>31</v>
      </c>
      <c r="E372" s="43">
        <v>3.23185988323603E-3</v>
      </c>
    </row>
    <row r="373" spans="2:5" ht="15" customHeight="1" x14ac:dyDescent="0.25">
      <c r="B373" s="81"/>
      <c r="C373" s="45" t="s">
        <v>164</v>
      </c>
      <c r="D373" s="44">
        <v>415</v>
      </c>
      <c r="E373" s="43">
        <v>4.3265221017514593E-2</v>
      </c>
    </row>
    <row r="374" spans="2:5" ht="15" customHeight="1" x14ac:dyDescent="0.25">
      <c r="B374" s="81"/>
      <c r="C374" s="45" t="s">
        <v>134</v>
      </c>
      <c r="D374" s="44">
        <v>6</v>
      </c>
      <c r="E374" s="43">
        <v>6.2552126772310256E-4</v>
      </c>
    </row>
    <row r="375" spans="2:5" ht="15" customHeight="1" x14ac:dyDescent="0.25">
      <c r="B375" s="81"/>
      <c r="C375" s="45" t="s">
        <v>154</v>
      </c>
      <c r="D375" s="44">
        <v>58</v>
      </c>
      <c r="E375" s="43">
        <v>6.0467055879899921E-3</v>
      </c>
    </row>
    <row r="376" spans="2:5" ht="15" customHeight="1" x14ac:dyDescent="0.25">
      <c r="B376" s="81"/>
      <c r="C376" s="45" t="s">
        <v>127</v>
      </c>
      <c r="D376" s="44">
        <v>7</v>
      </c>
      <c r="E376" s="43">
        <v>7.2977481234361965E-4</v>
      </c>
    </row>
    <row r="377" spans="2:5" ht="15" customHeight="1" x14ac:dyDescent="0.25">
      <c r="B377" s="81"/>
      <c r="C377" s="45" t="s">
        <v>125</v>
      </c>
      <c r="D377" s="44">
        <v>8</v>
      </c>
      <c r="E377" s="43">
        <v>8.3402835696413675E-4</v>
      </c>
    </row>
    <row r="378" spans="2:5" ht="15" customHeight="1" x14ac:dyDescent="0.25">
      <c r="B378" s="81"/>
      <c r="C378" s="45" t="s">
        <v>158</v>
      </c>
      <c r="D378" s="44">
        <v>142</v>
      </c>
      <c r="E378" s="43">
        <v>1.4804003336113428E-2</v>
      </c>
    </row>
    <row r="379" spans="2:5" ht="15" customHeight="1" x14ac:dyDescent="0.25">
      <c r="B379" s="81"/>
      <c r="C379" s="45" t="s">
        <v>129</v>
      </c>
      <c r="D379" s="44">
        <v>6</v>
      </c>
      <c r="E379" s="43">
        <v>6.2552126772310256E-4</v>
      </c>
    </row>
    <row r="380" spans="2:5" ht="15" customHeight="1" x14ac:dyDescent="0.25">
      <c r="B380" s="81"/>
      <c r="C380" s="45" t="s">
        <v>124</v>
      </c>
      <c r="D380" s="44">
        <v>11</v>
      </c>
      <c r="E380" s="43">
        <v>1.1467889908256881E-3</v>
      </c>
    </row>
    <row r="381" spans="2:5" ht="15" customHeight="1" x14ac:dyDescent="0.25">
      <c r="B381" s="81"/>
      <c r="C381" s="45" t="s">
        <v>126</v>
      </c>
      <c r="D381" s="44">
        <v>8</v>
      </c>
      <c r="E381" s="43">
        <v>8.3402835696413675E-4</v>
      </c>
    </row>
    <row r="382" spans="2:5" ht="15" customHeight="1" x14ac:dyDescent="0.25">
      <c r="B382" s="81"/>
      <c r="C382" s="45" t="s">
        <v>150</v>
      </c>
      <c r="D382" s="44">
        <v>73</v>
      </c>
      <c r="E382" s="43">
        <v>7.6105087572977482E-3</v>
      </c>
    </row>
    <row r="383" spans="2:5" ht="15" customHeight="1" x14ac:dyDescent="0.25">
      <c r="B383" s="81"/>
      <c r="C383" s="45" t="s">
        <v>165</v>
      </c>
      <c r="D383" s="44">
        <v>497</v>
      </c>
      <c r="E383" s="43">
        <v>5.1814011676396994E-2</v>
      </c>
    </row>
    <row r="384" spans="2:5" ht="15" customHeight="1" x14ac:dyDescent="0.25">
      <c r="B384" s="81"/>
      <c r="C384" s="45" t="s">
        <v>140</v>
      </c>
      <c r="D384" s="44">
        <v>27</v>
      </c>
      <c r="E384" s="43">
        <v>2.8148457047539616E-3</v>
      </c>
    </row>
    <row r="385" spans="2:5" ht="15" customHeight="1" x14ac:dyDescent="0.25">
      <c r="B385" s="81"/>
      <c r="C385" s="45" t="s">
        <v>117</v>
      </c>
      <c r="D385" s="44">
        <v>6</v>
      </c>
      <c r="E385" s="43">
        <v>6.2552126772310256E-4</v>
      </c>
    </row>
    <row r="386" spans="2:5" ht="15" customHeight="1" x14ac:dyDescent="0.25">
      <c r="B386" s="81"/>
      <c r="C386" s="45" t="s">
        <v>142</v>
      </c>
      <c r="D386" s="44">
        <v>25</v>
      </c>
      <c r="E386" s="43">
        <v>2.6063386155129272E-3</v>
      </c>
    </row>
    <row r="387" spans="2:5" ht="15" customHeight="1" x14ac:dyDescent="0.25">
      <c r="B387" s="81"/>
      <c r="C387" s="45" t="s">
        <v>118</v>
      </c>
      <c r="D387" s="44">
        <v>1</v>
      </c>
      <c r="E387" s="43">
        <v>1.0425354462051709E-4</v>
      </c>
    </row>
    <row r="388" spans="2:5" ht="15" customHeight="1" x14ac:dyDescent="0.25">
      <c r="B388" s="81"/>
      <c r="C388" s="45" t="s">
        <v>131</v>
      </c>
      <c r="D388" s="44">
        <v>10</v>
      </c>
      <c r="E388" s="43">
        <v>1.0425354462051709E-3</v>
      </c>
    </row>
    <row r="389" spans="2:5" ht="15" customHeight="1" x14ac:dyDescent="0.25">
      <c r="B389" s="81"/>
      <c r="C389" s="45" t="s">
        <v>143</v>
      </c>
      <c r="D389" s="44">
        <v>34</v>
      </c>
      <c r="E389" s="43">
        <v>3.5446205170975814E-3</v>
      </c>
    </row>
    <row r="390" spans="2:5" ht="15" customHeight="1" x14ac:dyDescent="0.25">
      <c r="B390" s="81"/>
      <c r="C390" s="45" t="s">
        <v>162</v>
      </c>
      <c r="D390" s="44">
        <v>388</v>
      </c>
      <c r="E390" s="43">
        <v>4.0450375312760634E-2</v>
      </c>
    </row>
    <row r="391" spans="2:5" ht="15" customHeight="1" x14ac:dyDescent="0.25">
      <c r="B391" s="81"/>
      <c r="C391" s="45" t="s">
        <v>139</v>
      </c>
      <c r="D391" s="44">
        <v>24</v>
      </c>
      <c r="E391" s="43">
        <v>2.5020850708924102E-3</v>
      </c>
    </row>
    <row r="392" spans="2:5" ht="15" customHeight="1" x14ac:dyDescent="0.25">
      <c r="B392" s="81"/>
      <c r="C392" s="45" t="s">
        <v>141</v>
      </c>
      <c r="D392" s="44">
        <v>40</v>
      </c>
      <c r="E392" s="43">
        <v>4.1701417848206837E-3</v>
      </c>
    </row>
    <row r="393" spans="2:5" ht="15" customHeight="1" x14ac:dyDescent="0.25">
      <c r="B393" s="81"/>
      <c r="C393" s="45" t="s">
        <v>149</v>
      </c>
      <c r="D393" s="44">
        <v>60</v>
      </c>
      <c r="E393" s="43">
        <v>6.255212677231026E-3</v>
      </c>
    </row>
    <row r="394" spans="2:5" ht="15" customHeight="1" x14ac:dyDescent="0.25">
      <c r="B394" s="81"/>
      <c r="C394" s="45" t="s">
        <v>120</v>
      </c>
      <c r="D394" s="44">
        <v>9</v>
      </c>
      <c r="E394" s="43">
        <v>9.3828190158465384E-4</v>
      </c>
    </row>
    <row r="395" spans="2:5" ht="15" customHeight="1" x14ac:dyDescent="0.25">
      <c r="B395" s="81"/>
      <c r="C395" s="45" t="s">
        <v>116</v>
      </c>
      <c r="D395" s="44">
        <v>4</v>
      </c>
      <c r="E395" s="43">
        <v>4.1701417848206837E-4</v>
      </c>
    </row>
    <row r="396" spans="2:5" ht="15" customHeight="1" x14ac:dyDescent="0.25">
      <c r="B396" s="81"/>
      <c r="C396" s="45" t="s">
        <v>152</v>
      </c>
      <c r="D396" s="44">
        <v>41</v>
      </c>
      <c r="E396" s="43">
        <v>4.2743953294412012E-3</v>
      </c>
    </row>
    <row r="397" spans="2:5" ht="15" customHeight="1" x14ac:dyDescent="0.25">
      <c r="B397" s="81"/>
      <c r="C397" s="45" t="s">
        <v>121</v>
      </c>
      <c r="D397" s="44">
        <v>8</v>
      </c>
      <c r="E397" s="43">
        <v>8.3402835696413675E-4</v>
      </c>
    </row>
    <row r="398" spans="2:5" ht="15" customHeight="1" x14ac:dyDescent="0.25">
      <c r="B398" s="81"/>
      <c r="C398" s="45" t="s">
        <v>250</v>
      </c>
      <c r="D398" s="44">
        <v>302</v>
      </c>
      <c r="E398" s="43">
        <v>3.1484570475396163E-2</v>
      </c>
    </row>
    <row r="399" spans="2:5" ht="15" customHeight="1" x14ac:dyDescent="0.25">
      <c r="B399" s="81"/>
      <c r="C399" s="45" t="s">
        <v>166</v>
      </c>
      <c r="D399" s="44">
        <v>3762</v>
      </c>
      <c r="E399" s="43">
        <v>0.3922018348623853</v>
      </c>
    </row>
    <row r="400" spans="2:5" ht="15" customHeight="1" x14ac:dyDescent="0.25">
      <c r="B400" s="81"/>
      <c r="C400" s="45" t="s">
        <v>119</v>
      </c>
      <c r="D400" s="44">
        <v>12</v>
      </c>
      <c r="E400" s="43">
        <v>1.2510425354462051E-3</v>
      </c>
    </row>
    <row r="401" spans="2:5" ht="15" customHeight="1" x14ac:dyDescent="0.25">
      <c r="B401" s="81"/>
      <c r="C401" s="45" t="s">
        <v>130</v>
      </c>
      <c r="D401" s="44">
        <v>14</v>
      </c>
      <c r="E401" s="43">
        <v>1.4595496246872393E-3</v>
      </c>
    </row>
    <row r="402" spans="2:5" ht="15" customHeight="1" x14ac:dyDescent="0.25">
      <c r="B402" s="81"/>
      <c r="C402" s="45" t="s">
        <v>128</v>
      </c>
      <c r="D402" s="44">
        <v>3</v>
      </c>
      <c r="E402" s="43">
        <v>3.1276063386155128E-4</v>
      </c>
    </row>
    <row r="403" spans="2:5" ht="15" customHeight="1" x14ac:dyDescent="0.25">
      <c r="B403" s="81"/>
      <c r="C403" s="45" t="s">
        <v>160</v>
      </c>
      <c r="D403" s="44">
        <v>250</v>
      </c>
      <c r="E403" s="43">
        <v>2.6063386155129275E-2</v>
      </c>
    </row>
    <row r="404" spans="2:5" ht="15" customHeight="1" x14ac:dyDescent="0.25">
      <c r="B404" s="81"/>
      <c r="C404" s="45" t="s">
        <v>123</v>
      </c>
      <c r="D404" s="44">
        <v>17</v>
      </c>
      <c r="E404" s="43">
        <v>1.7723102585487907E-3</v>
      </c>
    </row>
    <row r="405" spans="2:5" ht="15" customHeight="1" x14ac:dyDescent="0.25">
      <c r="B405" s="81"/>
      <c r="C405" s="45" t="s">
        <v>163</v>
      </c>
      <c r="D405" s="44">
        <v>433</v>
      </c>
      <c r="E405" s="43">
        <v>4.51417848206839E-2</v>
      </c>
    </row>
    <row r="406" spans="2:5" ht="15" customHeight="1" x14ac:dyDescent="0.25">
      <c r="B406" s="81"/>
      <c r="C406" s="45" t="s">
        <v>155</v>
      </c>
      <c r="D406" s="44">
        <v>119</v>
      </c>
      <c r="E406" s="43">
        <v>1.2406171809841535E-2</v>
      </c>
    </row>
    <row r="407" spans="2:5" ht="15" customHeight="1" x14ac:dyDescent="0.25">
      <c r="B407" s="81"/>
      <c r="C407" s="45" t="s">
        <v>138</v>
      </c>
      <c r="D407" s="44">
        <v>24</v>
      </c>
      <c r="E407" s="43">
        <v>2.5020850708924102E-3</v>
      </c>
    </row>
    <row r="408" spans="2:5" ht="15" customHeight="1" x14ac:dyDescent="0.25">
      <c r="B408" s="81"/>
      <c r="C408" s="45" t="s">
        <v>147</v>
      </c>
      <c r="D408" s="44">
        <v>29</v>
      </c>
      <c r="E408" s="43">
        <v>3.023352793994996E-3</v>
      </c>
    </row>
    <row r="409" spans="2:5" ht="15" customHeight="1" x14ac:dyDescent="0.25">
      <c r="B409" s="81"/>
      <c r="C409" s="45" t="s">
        <v>135</v>
      </c>
      <c r="D409" s="44">
        <v>11</v>
      </c>
      <c r="E409" s="43">
        <v>1.1467889908256881E-3</v>
      </c>
    </row>
    <row r="410" spans="2:5" ht="15" customHeight="1" x14ac:dyDescent="0.25">
      <c r="B410" s="81"/>
      <c r="C410" s="45" t="s">
        <v>144</v>
      </c>
      <c r="D410" s="44">
        <v>16</v>
      </c>
      <c r="E410" s="43">
        <v>1.6680567139282735E-3</v>
      </c>
    </row>
    <row r="411" spans="2:5" ht="15" customHeight="1" x14ac:dyDescent="0.25">
      <c r="B411" s="82"/>
      <c r="C411" s="42" t="s">
        <v>22</v>
      </c>
      <c r="D411" s="41">
        <v>7722</v>
      </c>
      <c r="E411" s="40">
        <v>0.80504587155963303</v>
      </c>
    </row>
    <row r="412" spans="2:5" ht="15" customHeight="1" x14ac:dyDescent="0.25">
      <c r="B412" s="80" t="s">
        <v>46</v>
      </c>
      <c r="C412" s="45" t="s">
        <v>165</v>
      </c>
      <c r="D412" s="44">
        <v>2</v>
      </c>
      <c r="E412" s="43">
        <v>2.0850708924103419E-4</v>
      </c>
    </row>
    <row r="413" spans="2:5" ht="15" customHeight="1" x14ac:dyDescent="0.25">
      <c r="B413" s="81"/>
      <c r="C413" s="45" t="s">
        <v>142</v>
      </c>
      <c r="D413" s="44">
        <v>1</v>
      </c>
      <c r="E413" s="43">
        <v>1.0425354462051709E-4</v>
      </c>
    </row>
    <row r="414" spans="2:5" ht="15" customHeight="1" x14ac:dyDescent="0.25">
      <c r="B414" s="81"/>
      <c r="C414" s="45" t="s">
        <v>118</v>
      </c>
      <c r="D414" s="44">
        <v>1</v>
      </c>
      <c r="E414" s="43">
        <v>1.0425354462051709E-4</v>
      </c>
    </row>
    <row r="415" spans="2:5" ht="15" customHeight="1" x14ac:dyDescent="0.25">
      <c r="B415" s="81"/>
      <c r="C415" s="45" t="s">
        <v>166</v>
      </c>
      <c r="D415" s="44">
        <v>18</v>
      </c>
      <c r="E415" s="43">
        <v>1.8765638031693077E-3</v>
      </c>
    </row>
    <row r="416" spans="2:5" ht="15" customHeight="1" x14ac:dyDescent="0.25">
      <c r="B416" s="81"/>
      <c r="C416" s="45" t="s">
        <v>160</v>
      </c>
      <c r="D416" s="44">
        <v>1</v>
      </c>
      <c r="E416" s="43">
        <v>1.0425354462051709E-4</v>
      </c>
    </row>
    <row r="417" spans="2:5" ht="15" customHeight="1" x14ac:dyDescent="0.25">
      <c r="B417" s="81"/>
      <c r="C417" s="45" t="s">
        <v>163</v>
      </c>
      <c r="D417" s="44">
        <v>6</v>
      </c>
      <c r="E417" s="43">
        <v>6.2552126772310256E-4</v>
      </c>
    </row>
    <row r="418" spans="2:5" ht="15" customHeight="1" x14ac:dyDescent="0.25">
      <c r="B418" s="82"/>
      <c r="C418" s="42" t="s">
        <v>22</v>
      </c>
      <c r="D418" s="41">
        <v>29</v>
      </c>
      <c r="E418" s="40">
        <v>3.023352793994996E-3</v>
      </c>
    </row>
    <row r="419" spans="2:5" ht="15" customHeight="1" x14ac:dyDescent="0.25">
      <c r="B419" s="80" t="s">
        <v>43</v>
      </c>
      <c r="C419" s="45" t="s">
        <v>164</v>
      </c>
      <c r="D419" s="44">
        <v>1</v>
      </c>
      <c r="E419" s="43">
        <v>1.0425354462051709E-4</v>
      </c>
    </row>
    <row r="420" spans="2:5" ht="15" customHeight="1" x14ac:dyDescent="0.25">
      <c r="B420" s="81"/>
      <c r="C420" s="45" t="s">
        <v>126</v>
      </c>
      <c r="D420" s="44">
        <v>1</v>
      </c>
      <c r="E420" s="43">
        <v>1.0425354462051709E-4</v>
      </c>
    </row>
    <row r="421" spans="2:5" ht="15" customHeight="1" x14ac:dyDescent="0.25">
      <c r="B421" s="81"/>
      <c r="C421" s="45" t="s">
        <v>162</v>
      </c>
      <c r="D421" s="44">
        <v>1</v>
      </c>
      <c r="E421" s="43">
        <v>1.0425354462051709E-4</v>
      </c>
    </row>
    <row r="422" spans="2:5" ht="15" customHeight="1" x14ac:dyDescent="0.25">
      <c r="B422" s="81"/>
      <c r="C422" s="45" t="s">
        <v>152</v>
      </c>
      <c r="D422" s="44">
        <v>1</v>
      </c>
      <c r="E422" s="43">
        <v>1.0425354462051709E-4</v>
      </c>
    </row>
    <row r="423" spans="2:5" ht="15" customHeight="1" x14ac:dyDescent="0.25">
      <c r="B423" s="81"/>
      <c r="C423" s="45" t="s">
        <v>166</v>
      </c>
      <c r="D423" s="44">
        <v>8</v>
      </c>
      <c r="E423" s="43">
        <v>8.3402835696413675E-4</v>
      </c>
    </row>
    <row r="424" spans="2:5" ht="15" customHeight="1" x14ac:dyDescent="0.25">
      <c r="B424" s="81"/>
      <c r="C424" s="45" t="s">
        <v>163</v>
      </c>
      <c r="D424" s="44">
        <v>1</v>
      </c>
      <c r="E424" s="43">
        <v>1.0425354462051709E-4</v>
      </c>
    </row>
    <row r="425" spans="2:5" ht="15" customHeight="1" x14ac:dyDescent="0.25">
      <c r="B425" s="82"/>
      <c r="C425" s="42" t="s">
        <v>22</v>
      </c>
      <c r="D425" s="41">
        <v>13</v>
      </c>
      <c r="E425" s="40">
        <v>1.3552960800667223E-3</v>
      </c>
    </row>
    <row r="426" spans="2:5" ht="15" customHeight="1" x14ac:dyDescent="0.25">
      <c r="B426" s="80" t="s">
        <v>40</v>
      </c>
      <c r="C426" s="45" t="s">
        <v>159</v>
      </c>
      <c r="D426" s="44">
        <v>1</v>
      </c>
      <c r="E426" s="43">
        <v>1.0425354462051709E-4</v>
      </c>
    </row>
    <row r="427" spans="2:5" ht="15" customHeight="1" x14ac:dyDescent="0.25">
      <c r="B427" s="81"/>
      <c r="C427" s="45" t="s">
        <v>149</v>
      </c>
      <c r="D427" s="44">
        <v>2</v>
      </c>
      <c r="E427" s="43">
        <v>2.0850708924103419E-4</v>
      </c>
    </row>
    <row r="428" spans="2:5" ht="15" customHeight="1" x14ac:dyDescent="0.25">
      <c r="B428" s="81"/>
      <c r="C428" s="45" t="s">
        <v>166</v>
      </c>
      <c r="D428" s="44">
        <v>6</v>
      </c>
      <c r="E428" s="43">
        <v>6.2552126772310256E-4</v>
      </c>
    </row>
    <row r="429" spans="2:5" ht="15" customHeight="1" x14ac:dyDescent="0.25">
      <c r="B429" s="81"/>
      <c r="C429" s="45" t="s">
        <v>155</v>
      </c>
      <c r="D429" s="44">
        <v>2</v>
      </c>
      <c r="E429" s="43">
        <v>2.0850708924103419E-4</v>
      </c>
    </row>
    <row r="430" spans="2:5" ht="15" customHeight="1" x14ac:dyDescent="0.25">
      <c r="B430" s="82"/>
      <c r="C430" s="42" t="s">
        <v>22</v>
      </c>
      <c r="D430" s="41">
        <v>11</v>
      </c>
      <c r="E430" s="40">
        <v>1.1467889908256881E-3</v>
      </c>
    </row>
    <row r="431" spans="2:5" ht="15" customHeight="1" x14ac:dyDescent="0.25">
      <c r="B431" s="80" t="s">
        <v>51</v>
      </c>
      <c r="C431" s="45" t="s">
        <v>133</v>
      </c>
      <c r="D431" s="44">
        <v>1</v>
      </c>
      <c r="E431" s="43">
        <v>1.0425354462051709E-4</v>
      </c>
    </row>
    <row r="432" spans="2:5" ht="15" customHeight="1" x14ac:dyDescent="0.25">
      <c r="B432" s="81"/>
      <c r="C432" s="45" t="s">
        <v>148</v>
      </c>
      <c r="D432" s="44">
        <v>1</v>
      </c>
      <c r="E432" s="43">
        <v>1.0425354462051709E-4</v>
      </c>
    </row>
    <row r="433" spans="2:5" ht="15" customHeight="1" x14ac:dyDescent="0.25">
      <c r="B433" s="81"/>
      <c r="C433" s="45" t="s">
        <v>146</v>
      </c>
      <c r="D433" s="44">
        <v>1</v>
      </c>
      <c r="E433" s="43">
        <v>1.0425354462051709E-4</v>
      </c>
    </row>
    <row r="434" spans="2:5" ht="15" customHeight="1" x14ac:dyDescent="0.25">
      <c r="B434" s="81"/>
      <c r="C434" s="45" t="s">
        <v>159</v>
      </c>
      <c r="D434" s="44">
        <v>1</v>
      </c>
      <c r="E434" s="43">
        <v>1.0425354462051709E-4</v>
      </c>
    </row>
    <row r="435" spans="2:5" ht="15" customHeight="1" x14ac:dyDescent="0.25">
      <c r="B435" s="81"/>
      <c r="C435" s="45" t="s">
        <v>151</v>
      </c>
      <c r="D435" s="44">
        <v>1</v>
      </c>
      <c r="E435" s="43">
        <v>1.0425354462051709E-4</v>
      </c>
    </row>
    <row r="436" spans="2:5" ht="15" customHeight="1" x14ac:dyDescent="0.25">
      <c r="B436" s="81"/>
      <c r="C436" s="45" t="s">
        <v>157</v>
      </c>
      <c r="D436" s="44">
        <v>2</v>
      </c>
      <c r="E436" s="43">
        <v>2.0850708924103419E-4</v>
      </c>
    </row>
    <row r="437" spans="2:5" ht="15" customHeight="1" x14ac:dyDescent="0.25">
      <c r="B437" s="81"/>
      <c r="C437" s="45" t="s">
        <v>164</v>
      </c>
      <c r="D437" s="44">
        <v>1</v>
      </c>
      <c r="E437" s="43">
        <v>1.0425354462051709E-4</v>
      </c>
    </row>
    <row r="438" spans="2:5" ht="15" customHeight="1" x14ac:dyDescent="0.25">
      <c r="B438" s="81"/>
      <c r="C438" s="45" t="s">
        <v>154</v>
      </c>
      <c r="D438" s="44">
        <v>1</v>
      </c>
      <c r="E438" s="43">
        <v>1.0425354462051709E-4</v>
      </c>
    </row>
    <row r="439" spans="2:5" ht="15" customHeight="1" x14ac:dyDescent="0.25">
      <c r="B439" s="81"/>
      <c r="C439" s="45" t="s">
        <v>165</v>
      </c>
      <c r="D439" s="44">
        <v>1</v>
      </c>
      <c r="E439" s="43">
        <v>1.0425354462051709E-4</v>
      </c>
    </row>
    <row r="440" spans="2:5" ht="15" customHeight="1" x14ac:dyDescent="0.25">
      <c r="B440" s="81"/>
      <c r="C440" s="45" t="s">
        <v>162</v>
      </c>
      <c r="D440" s="44">
        <v>1</v>
      </c>
      <c r="E440" s="43">
        <v>1.0425354462051709E-4</v>
      </c>
    </row>
    <row r="441" spans="2:5" ht="15" customHeight="1" x14ac:dyDescent="0.25">
      <c r="B441" s="81"/>
      <c r="C441" s="45" t="s">
        <v>250</v>
      </c>
      <c r="D441" s="44">
        <v>2</v>
      </c>
      <c r="E441" s="43">
        <v>2.0850708924103419E-4</v>
      </c>
    </row>
    <row r="442" spans="2:5" ht="15" customHeight="1" x14ac:dyDescent="0.25">
      <c r="B442" s="81"/>
      <c r="C442" s="45" t="s">
        <v>166</v>
      </c>
      <c r="D442" s="44">
        <v>31</v>
      </c>
      <c r="E442" s="43">
        <v>3.23185988323603E-3</v>
      </c>
    </row>
    <row r="443" spans="2:5" ht="15" customHeight="1" x14ac:dyDescent="0.25">
      <c r="B443" s="81"/>
      <c r="C443" s="45" t="s">
        <v>160</v>
      </c>
      <c r="D443" s="44">
        <v>1</v>
      </c>
      <c r="E443" s="43">
        <v>1.0425354462051709E-4</v>
      </c>
    </row>
    <row r="444" spans="2:5" ht="15" customHeight="1" x14ac:dyDescent="0.25">
      <c r="B444" s="81"/>
      <c r="C444" s="45" t="s">
        <v>163</v>
      </c>
      <c r="D444" s="44">
        <v>4</v>
      </c>
      <c r="E444" s="43">
        <v>4.1701417848206837E-4</v>
      </c>
    </row>
    <row r="445" spans="2:5" ht="15" customHeight="1" x14ac:dyDescent="0.25">
      <c r="B445" s="81"/>
      <c r="C445" s="45" t="s">
        <v>155</v>
      </c>
      <c r="D445" s="44">
        <v>4</v>
      </c>
      <c r="E445" s="43">
        <v>4.1701417848206837E-4</v>
      </c>
    </row>
    <row r="446" spans="2:5" ht="15" customHeight="1" x14ac:dyDescent="0.25">
      <c r="B446" s="82"/>
      <c r="C446" s="42" t="s">
        <v>22</v>
      </c>
      <c r="D446" s="41">
        <v>53</v>
      </c>
      <c r="E446" s="40">
        <v>5.5254378648874058E-3</v>
      </c>
    </row>
    <row r="447" spans="2:5" ht="15" customHeight="1" x14ac:dyDescent="0.25">
      <c r="B447" s="80" t="s">
        <v>24</v>
      </c>
      <c r="C447" s="45" t="s">
        <v>166</v>
      </c>
      <c r="D447" s="44">
        <v>2</v>
      </c>
      <c r="E447" s="43">
        <v>2.0850708924103419E-4</v>
      </c>
    </row>
    <row r="448" spans="2:5" ht="15" customHeight="1" x14ac:dyDescent="0.25">
      <c r="B448" s="81"/>
      <c r="C448" s="45" t="s">
        <v>163</v>
      </c>
      <c r="D448" s="44">
        <v>2</v>
      </c>
      <c r="E448" s="43">
        <v>2.0850708924103419E-4</v>
      </c>
    </row>
    <row r="449" spans="2:5" ht="15" customHeight="1" x14ac:dyDescent="0.25">
      <c r="B449" s="82"/>
      <c r="C449" s="42" t="s">
        <v>22</v>
      </c>
      <c r="D449" s="41">
        <v>4</v>
      </c>
      <c r="E449" s="40">
        <v>4.1701417848206837E-4</v>
      </c>
    </row>
    <row r="450" spans="2:5" ht="15" customHeight="1" x14ac:dyDescent="0.25">
      <c r="B450" s="83" t="s">
        <v>22</v>
      </c>
      <c r="C450" s="84"/>
      <c r="D450" s="39">
        <v>9592</v>
      </c>
      <c r="E450" s="38">
        <v>1</v>
      </c>
    </row>
    <row r="452" spans="2:5" ht="15" customHeight="1" x14ac:dyDescent="0.25">
      <c r="B452" s="19" t="s">
        <v>245</v>
      </c>
    </row>
    <row r="453" spans="2:5" ht="15" customHeight="1" x14ac:dyDescent="0.25">
      <c r="B453" s="21" t="s">
        <v>20</v>
      </c>
    </row>
    <row r="454" spans="2:5" ht="15" customHeight="1" x14ac:dyDescent="0.25">
      <c r="B454" s="20" t="s">
        <v>19</v>
      </c>
    </row>
    <row r="455" spans="2:5" ht="15" customHeight="1" x14ac:dyDescent="0.25">
      <c r="B455" s="19" t="s">
        <v>18</v>
      </c>
    </row>
    <row r="456" spans="2:5" ht="15" customHeight="1" x14ac:dyDescent="0.25">
      <c r="B456" s="19" t="s">
        <v>246</v>
      </c>
    </row>
  </sheetData>
  <mergeCells count="45">
    <mergeCell ref="B10:B21"/>
    <mergeCell ref="B22:B31"/>
    <mergeCell ref="B32:B41"/>
    <mergeCell ref="B42:B63"/>
    <mergeCell ref="B64:B72"/>
    <mergeCell ref="B73:B74"/>
    <mergeCell ref="B75:B93"/>
    <mergeCell ref="B94:B108"/>
    <mergeCell ref="B109:B115"/>
    <mergeCell ref="B116:B141"/>
    <mergeCell ref="B7:E8"/>
    <mergeCell ref="B228:B238"/>
    <mergeCell ref="B239:B246"/>
    <mergeCell ref="B247:B250"/>
    <mergeCell ref="B251:B256"/>
    <mergeCell ref="B257:B258"/>
    <mergeCell ref="B259:B260"/>
    <mergeCell ref="B261:B268"/>
    <mergeCell ref="B269:B272"/>
    <mergeCell ref="B273:B298"/>
    <mergeCell ref="B142:B154"/>
    <mergeCell ref="B155:B161"/>
    <mergeCell ref="B162:B169"/>
    <mergeCell ref="B170:B180"/>
    <mergeCell ref="B181:B193"/>
    <mergeCell ref="B194:B198"/>
    <mergeCell ref="B199:B200"/>
    <mergeCell ref="B201:B213"/>
    <mergeCell ref="B214:B227"/>
    <mergeCell ref="B341:B343"/>
    <mergeCell ref="B344:B359"/>
    <mergeCell ref="B360:B411"/>
    <mergeCell ref="B299:B300"/>
    <mergeCell ref="B301:B305"/>
    <mergeCell ref="B306:B322"/>
    <mergeCell ref="B323:B326"/>
    <mergeCell ref="B327:B329"/>
    <mergeCell ref="B330:B331"/>
    <mergeCell ref="B332:B340"/>
    <mergeCell ref="B431:B446"/>
    <mergeCell ref="B447:B449"/>
    <mergeCell ref="B450:C450"/>
    <mergeCell ref="B412:B418"/>
    <mergeCell ref="B419:B425"/>
    <mergeCell ref="B426:B43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645"/>
  <sheetViews>
    <sheetView zoomScale="86" zoomScaleNormal="86" zoomScaleSheetLayoutView="85" workbookViewId="0">
      <selection activeCell="G21" sqref="G2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115</v>
      </c>
      <c r="C9" s="49" t="s">
        <v>168</v>
      </c>
      <c r="D9" s="48" t="s">
        <v>66</v>
      </c>
      <c r="E9" s="47" t="s">
        <v>65</v>
      </c>
    </row>
    <row r="10" spans="1:5" ht="15" customHeight="1" x14ac:dyDescent="0.25">
      <c r="B10" s="80" t="s">
        <v>78</v>
      </c>
      <c r="C10" s="45" t="s">
        <v>154</v>
      </c>
      <c r="D10" s="44">
        <v>1</v>
      </c>
      <c r="E10" s="43">
        <v>1.0425354462051709E-4</v>
      </c>
    </row>
    <row r="11" spans="1:5" ht="15" customHeight="1" x14ac:dyDescent="0.25">
      <c r="B11" s="81"/>
      <c r="C11" s="45" t="s">
        <v>165</v>
      </c>
      <c r="D11" s="44">
        <v>4</v>
      </c>
      <c r="E11" s="43">
        <v>4.1701417848206837E-4</v>
      </c>
    </row>
    <row r="12" spans="1:5" ht="15" customHeight="1" x14ac:dyDescent="0.25">
      <c r="B12" s="81"/>
      <c r="C12" s="45" t="s">
        <v>162</v>
      </c>
      <c r="D12" s="44">
        <v>1</v>
      </c>
      <c r="E12" s="43">
        <v>1.0425354462051709E-4</v>
      </c>
    </row>
    <row r="13" spans="1:5" ht="15" customHeight="1" x14ac:dyDescent="0.25">
      <c r="B13" s="81"/>
      <c r="C13" s="45" t="s">
        <v>166</v>
      </c>
      <c r="D13" s="44">
        <v>17</v>
      </c>
      <c r="E13" s="43">
        <v>1.7723102585487907E-3</v>
      </c>
    </row>
    <row r="14" spans="1:5" ht="15" customHeight="1" x14ac:dyDescent="0.25">
      <c r="B14" s="81"/>
      <c r="C14" s="45" t="s">
        <v>163</v>
      </c>
      <c r="D14" s="44">
        <v>5</v>
      </c>
      <c r="E14" s="43">
        <v>5.2126772310258547E-4</v>
      </c>
    </row>
    <row r="15" spans="1:5" ht="15" customHeight="1" x14ac:dyDescent="0.25">
      <c r="B15" s="82"/>
      <c r="C15" s="42" t="s">
        <v>22</v>
      </c>
      <c r="D15" s="41">
        <v>28</v>
      </c>
      <c r="E15" s="40">
        <v>2.9190992493744786E-3</v>
      </c>
    </row>
    <row r="16" spans="1:5" ht="15" customHeight="1" x14ac:dyDescent="0.25">
      <c r="B16" s="80" t="s">
        <v>110</v>
      </c>
      <c r="C16" s="45" t="s">
        <v>153</v>
      </c>
      <c r="D16" s="44">
        <v>1</v>
      </c>
      <c r="E16" s="43">
        <v>1.0425354462051709E-4</v>
      </c>
    </row>
    <row r="17" spans="2:5" ht="15" customHeight="1" x14ac:dyDescent="0.25">
      <c r="B17" s="81"/>
      <c r="C17" s="45" t="s">
        <v>136</v>
      </c>
      <c r="D17" s="44">
        <v>1</v>
      </c>
      <c r="E17" s="43">
        <v>1.0425354462051709E-4</v>
      </c>
    </row>
    <row r="18" spans="2:5" ht="15" customHeight="1" x14ac:dyDescent="0.25">
      <c r="B18" s="81"/>
      <c r="C18" s="45" t="s">
        <v>146</v>
      </c>
      <c r="D18" s="44">
        <v>1</v>
      </c>
      <c r="E18" s="43">
        <v>1.0425354462051709E-4</v>
      </c>
    </row>
    <row r="19" spans="2:5" ht="15" customHeight="1" x14ac:dyDescent="0.25">
      <c r="B19" s="81"/>
      <c r="C19" s="45" t="s">
        <v>159</v>
      </c>
      <c r="D19" s="44">
        <v>4</v>
      </c>
      <c r="E19" s="43">
        <v>4.1701417848206837E-4</v>
      </c>
    </row>
    <row r="20" spans="2:5" ht="15" customHeight="1" x14ac:dyDescent="0.25">
      <c r="B20" s="81"/>
      <c r="C20" s="45" t="s">
        <v>157</v>
      </c>
      <c r="D20" s="44">
        <v>1</v>
      </c>
      <c r="E20" s="43">
        <v>1.0425354462051709E-4</v>
      </c>
    </row>
    <row r="21" spans="2:5" ht="15" customHeight="1" x14ac:dyDescent="0.25">
      <c r="B21" s="81"/>
      <c r="C21" s="45" t="s">
        <v>164</v>
      </c>
      <c r="D21" s="44">
        <v>24</v>
      </c>
      <c r="E21" s="43">
        <v>2.5020850708924102E-3</v>
      </c>
    </row>
    <row r="22" spans="2:5" ht="15" customHeight="1" x14ac:dyDescent="0.25">
      <c r="B22" s="81"/>
      <c r="C22" s="45" t="s">
        <v>154</v>
      </c>
      <c r="D22" s="44">
        <v>16</v>
      </c>
      <c r="E22" s="43">
        <v>1.6680567139282735E-3</v>
      </c>
    </row>
    <row r="23" spans="2:5" ht="15" customHeight="1" x14ac:dyDescent="0.25">
      <c r="B23" s="81"/>
      <c r="C23" s="45" t="s">
        <v>165</v>
      </c>
      <c r="D23" s="44">
        <v>10</v>
      </c>
      <c r="E23" s="43">
        <v>1.0425354462051709E-3</v>
      </c>
    </row>
    <row r="24" spans="2:5" ht="15" customHeight="1" x14ac:dyDescent="0.25">
      <c r="B24" s="81"/>
      <c r="C24" s="45" t="s">
        <v>162</v>
      </c>
      <c r="D24" s="44">
        <v>15</v>
      </c>
      <c r="E24" s="43">
        <v>1.5638031693077565E-3</v>
      </c>
    </row>
    <row r="25" spans="2:5" ht="15" customHeight="1" x14ac:dyDescent="0.25">
      <c r="B25" s="81"/>
      <c r="C25" s="45" t="s">
        <v>149</v>
      </c>
      <c r="D25" s="44">
        <v>1</v>
      </c>
      <c r="E25" s="43">
        <v>1.0425354462051709E-4</v>
      </c>
    </row>
    <row r="26" spans="2:5" ht="15" customHeight="1" x14ac:dyDescent="0.25">
      <c r="B26" s="81"/>
      <c r="C26" s="45" t="s">
        <v>152</v>
      </c>
      <c r="D26" s="44">
        <v>5</v>
      </c>
      <c r="E26" s="43">
        <v>5.2126772310258547E-4</v>
      </c>
    </row>
    <row r="27" spans="2:5" ht="15" customHeight="1" x14ac:dyDescent="0.25">
      <c r="B27" s="81"/>
      <c r="C27" s="45" t="s">
        <v>250</v>
      </c>
      <c r="D27" s="44">
        <v>4</v>
      </c>
      <c r="E27" s="43">
        <v>4.1701417848206837E-4</v>
      </c>
    </row>
    <row r="28" spans="2:5" ht="15" customHeight="1" x14ac:dyDescent="0.25">
      <c r="B28" s="81"/>
      <c r="C28" s="45" t="s">
        <v>166</v>
      </c>
      <c r="D28" s="44">
        <v>113</v>
      </c>
      <c r="E28" s="43">
        <v>1.1780650542118432E-2</v>
      </c>
    </row>
    <row r="29" spans="2:5" ht="15" customHeight="1" x14ac:dyDescent="0.25">
      <c r="B29" s="81"/>
      <c r="C29" s="45" t="s">
        <v>130</v>
      </c>
      <c r="D29" s="44">
        <v>1</v>
      </c>
      <c r="E29" s="43">
        <v>1.0425354462051709E-4</v>
      </c>
    </row>
    <row r="30" spans="2:5" ht="15" customHeight="1" x14ac:dyDescent="0.25">
      <c r="B30" s="81"/>
      <c r="C30" s="45" t="s">
        <v>160</v>
      </c>
      <c r="D30" s="44">
        <v>5</v>
      </c>
      <c r="E30" s="43">
        <v>5.2126772310258547E-4</v>
      </c>
    </row>
    <row r="31" spans="2:5" ht="15" customHeight="1" x14ac:dyDescent="0.25">
      <c r="B31" s="81"/>
      <c r="C31" s="45" t="s">
        <v>163</v>
      </c>
      <c r="D31" s="44">
        <v>13</v>
      </c>
      <c r="E31" s="43">
        <v>1.3552960800667223E-3</v>
      </c>
    </row>
    <row r="32" spans="2:5" ht="15" customHeight="1" x14ac:dyDescent="0.25">
      <c r="B32" s="81"/>
      <c r="C32" s="45" t="s">
        <v>155</v>
      </c>
      <c r="D32" s="44">
        <v>4</v>
      </c>
      <c r="E32" s="43">
        <v>4.1701417848206837E-4</v>
      </c>
    </row>
    <row r="33" spans="2:5" ht="15" customHeight="1" x14ac:dyDescent="0.25">
      <c r="B33" s="81"/>
      <c r="C33" s="45" t="s">
        <v>138</v>
      </c>
      <c r="D33" s="44">
        <v>1</v>
      </c>
      <c r="E33" s="43">
        <v>1.0425354462051709E-4</v>
      </c>
    </row>
    <row r="34" spans="2:5" ht="15" customHeight="1" x14ac:dyDescent="0.25">
      <c r="B34" s="81"/>
      <c r="C34" s="45" t="s">
        <v>147</v>
      </c>
      <c r="D34" s="44">
        <v>2</v>
      </c>
      <c r="E34" s="43">
        <v>2.0850708924103419E-4</v>
      </c>
    </row>
    <row r="35" spans="2:5" ht="15" customHeight="1" x14ac:dyDescent="0.25">
      <c r="B35" s="82"/>
      <c r="C35" s="42" t="s">
        <v>22</v>
      </c>
      <c r="D35" s="41">
        <v>222</v>
      </c>
      <c r="E35" s="40">
        <v>2.3144286905754794E-2</v>
      </c>
    </row>
    <row r="36" spans="2:5" ht="15" customHeight="1" x14ac:dyDescent="0.25">
      <c r="B36" s="80" t="s">
        <v>100</v>
      </c>
      <c r="C36" s="45" t="s">
        <v>133</v>
      </c>
      <c r="D36" s="44">
        <v>1</v>
      </c>
      <c r="E36" s="43">
        <v>1.0425354462051709E-4</v>
      </c>
    </row>
    <row r="37" spans="2:5" ht="15" customHeight="1" x14ac:dyDescent="0.25">
      <c r="B37" s="81"/>
      <c r="C37" s="45" t="s">
        <v>146</v>
      </c>
      <c r="D37" s="44">
        <v>2</v>
      </c>
      <c r="E37" s="43">
        <v>2.0850708924103419E-4</v>
      </c>
    </row>
    <row r="38" spans="2:5" ht="15" customHeight="1" x14ac:dyDescent="0.25">
      <c r="B38" s="81"/>
      <c r="C38" s="45" t="s">
        <v>159</v>
      </c>
      <c r="D38" s="44">
        <v>2</v>
      </c>
      <c r="E38" s="43">
        <v>2.0850708924103419E-4</v>
      </c>
    </row>
    <row r="39" spans="2:5" ht="15" customHeight="1" x14ac:dyDescent="0.25">
      <c r="B39" s="81"/>
      <c r="C39" s="45" t="s">
        <v>145</v>
      </c>
      <c r="D39" s="44">
        <v>1</v>
      </c>
      <c r="E39" s="43">
        <v>1.0425354462051709E-4</v>
      </c>
    </row>
    <row r="40" spans="2:5" ht="15" customHeight="1" x14ac:dyDescent="0.25">
      <c r="B40" s="81"/>
      <c r="C40" s="45" t="s">
        <v>164</v>
      </c>
      <c r="D40" s="44">
        <v>28</v>
      </c>
      <c r="E40" s="43">
        <v>2.9190992493744786E-3</v>
      </c>
    </row>
    <row r="41" spans="2:5" ht="15" customHeight="1" x14ac:dyDescent="0.25">
      <c r="B41" s="81"/>
      <c r="C41" s="45" t="s">
        <v>126</v>
      </c>
      <c r="D41" s="44">
        <v>1</v>
      </c>
      <c r="E41" s="43">
        <v>1.0425354462051709E-4</v>
      </c>
    </row>
    <row r="42" spans="2:5" ht="15" customHeight="1" x14ac:dyDescent="0.25">
      <c r="B42" s="81"/>
      <c r="C42" s="45" t="s">
        <v>150</v>
      </c>
      <c r="D42" s="44">
        <v>1</v>
      </c>
      <c r="E42" s="43">
        <v>1.0425354462051709E-4</v>
      </c>
    </row>
    <row r="43" spans="2:5" ht="15" customHeight="1" x14ac:dyDescent="0.25">
      <c r="B43" s="81"/>
      <c r="C43" s="45" t="s">
        <v>165</v>
      </c>
      <c r="D43" s="44">
        <v>26</v>
      </c>
      <c r="E43" s="43">
        <v>2.7105921601334446E-3</v>
      </c>
    </row>
    <row r="44" spans="2:5" ht="15" customHeight="1" x14ac:dyDescent="0.25">
      <c r="B44" s="81"/>
      <c r="C44" s="45" t="s">
        <v>140</v>
      </c>
      <c r="D44" s="44">
        <v>1</v>
      </c>
      <c r="E44" s="43">
        <v>1.0425354462051709E-4</v>
      </c>
    </row>
    <row r="45" spans="2:5" ht="15" customHeight="1" x14ac:dyDescent="0.25">
      <c r="B45" s="81"/>
      <c r="C45" s="45" t="s">
        <v>142</v>
      </c>
      <c r="D45" s="44">
        <v>1</v>
      </c>
      <c r="E45" s="43">
        <v>1.0425354462051709E-4</v>
      </c>
    </row>
    <row r="46" spans="2:5" ht="15" customHeight="1" x14ac:dyDescent="0.25">
      <c r="B46" s="81"/>
      <c r="C46" s="45" t="s">
        <v>143</v>
      </c>
      <c r="D46" s="44">
        <v>7</v>
      </c>
      <c r="E46" s="43">
        <v>7.2977481234361965E-4</v>
      </c>
    </row>
    <row r="47" spans="2:5" ht="15" customHeight="1" x14ac:dyDescent="0.25">
      <c r="B47" s="81"/>
      <c r="C47" s="45" t="s">
        <v>162</v>
      </c>
      <c r="D47" s="44">
        <v>6</v>
      </c>
      <c r="E47" s="43">
        <v>6.2552126772310256E-4</v>
      </c>
    </row>
    <row r="48" spans="2:5" ht="15" customHeight="1" x14ac:dyDescent="0.25">
      <c r="B48" s="81"/>
      <c r="C48" s="45" t="s">
        <v>139</v>
      </c>
      <c r="D48" s="44">
        <v>1</v>
      </c>
      <c r="E48" s="43">
        <v>1.0425354462051709E-4</v>
      </c>
    </row>
    <row r="49" spans="2:5" ht="15" customHeight="1" x14ac:dyDescent="0.25">
      <c r="B49" s="81"/>
      <c r="C49" s="45" t="s">
        <v>149</v>
      </c>
      <c r="D49" s="44">
        <v>1</v>
      </c>
      <c r="E49" s="43">
        <v>1.0425354462051709E-4</v>
      </c>
    </row>
    <row r="50" spans="2:5" ht="15" customHeight="1" x14ac:dyDescent="0.25">
      <c r="B50" s="81"/>
      <c r="C50" s="45" t="s">
        <v>152</v>
      </c>
      <c r="D50" s="44">
        <v>8</v>
      </c>
      <c r="E50" s="43">
        <v>8.3402835696413675E-4</v>
      </c>
    </row>
    <row r="51" spans="2:5" ht="15" customHeight="1" x14ac:dyDescent="0.25">
      <c r="B51" s="81"/>
      <c r="C51" s="45" t="s">
        <v>250</v>
      </c>
      <c r="D51" s="44">
        <v>6</v>
      </c>
      <c r="E51" s="43">
        <v>6.2552126772310256E-4</v>
      </c>
    </row>
    <row r="52" spans="2:5" ht="15" customHeight="1" x14ac:dyDescent="0.25">
      <c r="B52" s="81"/>
      <c r="C52" s="45" t="s">
        <v>166</v>
      </c>
      <c r="D52" s="44">
        <v>151</v>
      </c>
      <c r="E52" s="43">
        <v>1.5742285237698082E-2</v>
      </c>
    </row>
    <row r="53" spans="2:5" ht="15" customHeight="1" x14ac:dyDescent="0.25">
      <c r="B53" s="81"/>
      <c r="C53" s="45" t="s">
        <v>160</v>
      </c>
      <c r="D53" s="44">
        <v>4</v>
      </c>
      <c r="E53" s="43">
        <v>4.1701417848206837E-4</v>
      </c>
    </row>
    <row r="54" spans="2:5" ht="15" customHeight="1" x14ac:dyDescent="0.25">
      <c r="B54" s="81"/>
      <c r="C54" s="45" t="s">
        <v>123</v>
      </c>
      <c r="D54" s="44">
        <v>1</v>
      </c>
      <c r="E54" s="43">
        <v>1.0425354462051709E-4</v>
      </c>
    </row>
    <row r="55" spans="2:5" ht="15" customHeight="1" x14ac:dyDescent="0.25">
      <c r="B55" s="81"/>
      <c r="C55" s="45" t="s">
        <v>163</v>
      </c>
      <c r="D55" s="44">
        <v>21</v>
      </c>
      <c r="E55" s="43">
        <v>2.1893244370308589E-3</v>
      </c>
    </row>
    <row r="56" spans="2:5" ht="15" customHeight="1" x14ac:dyDescent="0.25">
      <c r="B56" s="81"/>
      <c r="C56" s="45" t="s">
        <v>155</v>
      </c>
      <c r="D56" s="44">
        <v>3</v>
      </c>
      <c r="E56" s="43">
        <v>3.1276063386155128E-4</v>
      </c>
    </row>
    <row r="57" spans="2:5" ht="15" customHeight="1" x14ac:dyDescent="0.25">
      <c r="B57" s="81"/>
      <c r="C57" s="45" t="s">
        <v>138</v>
      </c>
      <c r="D57" s="44">
        <v>1</v>
      </c>
      <c r="E57" s="43">
        <v>1.0425354462051709E-4</v>
      </c>
    </row>
    <row r="58" spans="2:5" ht="15" customHeight="1" x14ac:dyDescent="0.25">
      <c r="B58" s="81"/>
      <c r="C58" s="45" t="s">
        <v>144</v>
      </c>
      <c r="D58" s="44">
        <v>2</v>
      </c>
      <c r="E58" s="43">
        <v>2.0850708924103419E-4</v>
      </c>
    </row>
    <row r="59" spans="2:5" ht="15" customHeight="1" x14ac:dyDescent="0.25">
      <c r="B59" s="82"/>
      <c r="C59" s="42" t="s">
        <v>22</v>
      </c>
      <c r="D59" s="41">
        <v>276</v>
      </c>
      <c r="E59" s="40">
        <v>2.8773978315262717E-2</v>
      </c>
    </row>
    <row r="60" spans="2:5" ht="15" customHeight="1" x14ac:dyDescent="0.25">
      <c r="B60" s="80" t="s">
        <v>76</v>
      </c>
      <c r="C60" s="45" t="s">
        <v>146</v>
      </c>
      <c r="D60" s="44">
        <v>1</v>
      </c>
      <c r="E60" s="43">
        <v>1.0425354462051709E-4</v>
      </c>
    </row>
    <row r="61" spans="2:5" ht="15" customHeight="1" x14ac:dyDescent="0.25">
      <c r="B61" s="81"/>
      <c r="C61" s="45" t="s">
        <v>151</v>
      </c>
      <c r="D61" s="44">
        <v>1</v>
      </c>
      <c r="E61" s="43">
        <v>1.0425354462051709E-4</v>
      </c>
    </row>
    <row r="62" spans="2:5" ht="15" customHeight="1" x14ac:dyDescent="0.25">
      <c r="B62" s="81"/>
      <c r="C62" s="45" t="s">
        <v>157</v>
      </c>
      <c r="D62" s="44">
        <v>1</v>
      </c>
      <c r="E62" s="43">
        <v>1.0425354462051709E-4</v>
      </c>
    </row>
    <row r="63" spans="2:5" ht="15" customHeight="1" x14ac:dyDescent="0.25">
      <c r="B63" s="81"/>
      <c r="C63" s="45" t="s">
        <v>165</v>
      </c>
      <c r="D63" s="44">
        <v>2</v>
      </c>
      <c r="E63" s="43">
        <v>2.0850708924103419E-4</v>
      </c>
    </row>
    <row r="64" spans="2:5" ht="15" customHeight="1" x14ac:dyDescent="0.25">
      <c r="B64" s="81"/>
      <c r="C64" s="45" t="s">
        <v>250</v>
      </c>
      <c r="D64" s="44">
        <v>2</v>
      </c>
      <c r="E64" s="43">
        <v>2.0850708924103419E-4</v>
      </c>
    </row>
    <row r="65" spans="2:5" ht="15" customHeight="1" x14ac:dyDescent="0.25">
      <c r="B65" s="81"/>
      <c r="C65" s="45" t="s">
        <v>166</v>
      </c>
      <c r="D65" s="44">
        <v>9</v>
      </c>
      <c r="E65" s="43">
        <v>9.3828190158465384E-4</v>
      </c>
    </row>
    <row r="66" spans="2:5" ht="15" customHeight="1" x14ac:dyDescent="0.25">
      <c r="B66" s="81"/>
      <c r="C66" s="45" t="s">
        <v>163</v>
      </c>
      <c r="D66" s="44">
        <v>2</v>
      </c>
      <c r="E66" s="43">
        <v>2.0850708924103419E-4</v>
      </c>
    </row>
    <row r="67" spans="2:5" ht="15" customHeight="1" x14ac:dyDescent="0.25">
      <c r="B67" s="82"/>
      <c r="C67" s="42" t="s">
        <v>22</v>
      </c>
      <c r="D67" s="41">
        <v>18</v>
      </c>
      <c r="E67" s="40">
        <v>1.8765638031693077E-3</v>
      </c>
    </row>
    <row r="68" spans="2:5" ht="15" customHeight="1" x14ac:dyDescent="0.25">
      <c r="B68" s="80" t="s">
        <v>72</v>
      </c>
      <c r="C68" s="45" t="s">
        <v>166</v>
      </c>
      <c r="D68" s="44">
        <v>3</v>
      </c>
      <c r="E68" s="43">
        <v>3.1276063386155128E-4</v>
      </c>
    </row>
    <row r="69" spans="2:5" ht="15" customHeight="1" x14ac:dyDescent="0.25">
      <c r="B69" s="82"/>
      <c r="C69" s="42" t="s">
        <v>22</v>
      </c>
      <c r="D69" s="41">
        <v>3</v>
      </c>
      <c r="E69" s="40">
        <v>3.1276063386155128E-4</v>
      </c>
    </row>
    <row r="70" spans="2:5" ht="15" customHeight="1" x14ac:dyDescent="0.25">
      <c r="B70" s="80" t="s">
        <v>77</v>
      </c>
      <c r="C70" s="45" t="s">
        <v>153</v>
      </c>
      <c r="D70" s="44">
        <v>2</v>
      </c>
      <c r="E70" s="43">
        <v>2.0850708924103419E-4</v>
      </c>
    </row>
    <row r="71" spans="2:5" ht="15" customHeight="1" x14ac:dyDescent="0.25">
      <c r="B71" s="81"/>
      <c r="C71" s="45" t="s">
        <v>156</v>
      </c>
      <c r="D71" s="44">
        <v>1</v>
      </c>
      <c r="E71" s="43">
        <v>1.0425354462051709E-4</v>
      </c>
    </row>
    <row r="72" spans="2:5" ht="15" customHeight="1" x14ac:dyDescent="0.25">
      <c r="B72" s="81"/>
      <c r="C72" s="45" t="s">
        <v>146</v>
      </c>
      <c r="D72" s="44">
        <v>1</v>
      </c>
      <c r="E72" s="43">
        <v>1.0425354462051709E-4</v>
      </c>
    </row>
    <row r="73" spans="2:5" ht="15" customHeight="1" x14ac:dyDescent="0.25">
      <c r="B73" s="81"/>
      <c r="C73" s="45" t="s">
        <v>159</v>
      </c>
      <c r="D73" s="44">
        <v>3</v>
      </c>
      <c r="E73" s="43">
        <v>3.1276063386155128E-4</v>
      </c>
    </row>
    <row r="74" spans="2:5" ht="15" customHeight="1" x14ac:dyDescent="0.25">
      <c r="B74" s="81"/>
      <c r="C74" s="45" t="s">
        <v>157</v>
      </c>
      <c r="D74" s="44">
        <v>1</v>
      </c>
      <c r="E74" s="43">
        <v>1.0425354462051709E-4</v>
      </c>
    </row>
    <row r="75" spans="2:5" ht="15" customHeight="1" x14ac:dyDescent="0.25">
      <c r="B75" s="81"/>
      <c r="C75" s="45" t="s">
        <v>137</v>
      </c>
      <c r="D75" s="44">
        <v>1</v>
      </c>
      <c r="E75" s="43">
        <v>1.0425354462051709E-4</v>
      </c>
    </row>
    <row r="76" spans="2:5" ht="15" customHeight="1" x14ac:dyDescent="0.25">
      <c r="B76" s="81"/>
      <c r="C76" s="45" t="s">
        <v>164</v>
      </c>
      <c r="D76" s="44">
        <v>3</v>
      </c>
      <c r="E76" s="43">
        <v>3.1276063386155128E-4</v>
      </c>
    </row>
    <row r="77" spans="2:5" ht="15" customHeight="1" x14ac:dyDescent="0.25">
      <c r="B77" s="81"/>
      <c r="C77" s="45" t="s">
        <v>154</v>
      </c>
      <c r="D77" s="44">
        <v>1</v>
      </c>
      <c r="E77" s="43">
        <v>1.0425354462051709E-4</v>
      </c>
    </row>
    <row r="78" spans="2:5" ht="15" customHeight="1" x14ac:dyDescent="0.25">
      <c r="B78" s="81"/>
      <c r="C78" s="45" t="s">
        <v>124</v>
      </c>
      <c r="D78" s="44">
        <v>2</v>
      </c>
      <c r="E78" s="43">
        <v>2.0850708924103419E-4</v>
      </c>
    </row>
    <row r="79" spans="2:5" ht="15" customHeight="1" x14ac:dyDescent="0.25">
      <c r="B79" s="81"/>
      <c r="C79" s="45" t="s">
        <v>150</v>
      </c>
      <c r="D79" s="44">
        <v>2</v>
      </c>
      <c r="E79" s="43">
        <v>2.0850708924103419E-4</v>
      </c>
    </row>
    <row r="80" spans="2:5" ht="15" customHeight="1" x14ac:dyDescent="0.25">
      <c r="B80" s="81"/>
      <c r="C80" s="45" t="s">
        <v>165</v>
      </c>
      <c r="D80" s="44">
        <v>10</v>
      </c>
      <c r="E80" s="43">
        <v>1.0425354462051709E-3</v>
      </c>
    </row>
    <row r="81" spans="2:5" ht="15" customHeight="1" x14ac:dyDescent="0.25">
      <c r="B81" s="81"/>
      <c r="C81" s="45" t="s">
        <v>142</v>
      </c>
      <c r="D81" s="44">
        <v>2</v>
      </c>
      <c r="E81" s="43">
        <v>2.0850708924103419E-4</v>
      </c>
    </row>
    <row r="82" spans="2:5" ht="15" customHeight="1" x14ac:dyDescent="0.25">
      <c r="B82" s="81"/>
      <c r="C82" s="45" t="s">
        <v>162</v>
      </c>
      <c r="D82" s="44">
        <v>13</v>
      </c>
      <c r="E82" s="43">
        <v>1.3552960800667223E-3</v>
      </c>
    </row>
    <row r="83" spans="2:5" ht="15" customHeight="1" x14ac:dyDescent="0.25">
      <c r="B83" s="81"/>
      <c r="C83" s="45" t="s">
        <v>139</v>
      </c>
      <c r="D83" s="44">
        <v>1</v>
      </c>
      <c r="E83" s="43">
        <v>1.0425354462051709E-4</v>
      </c>
    </row>
    <row r="84" spans="2:5" ht="15" customHeight="1" x14ac:dyDescent="0.25">
      <c r="B84" s="81"/>
      <c r="C84" s="45" t="s">
        <v>141</v>
      </c>
      <c r="D84" s="44">
        <v>1</v>
      </c>
      <c r="E84" s="43">
        <v>1.0425354462051709E-4</v>
      </c>
    </row>
    <row r="85" spans="2:5" ht="15" customHeight="1" x14ac:dyDescent="0.25">
      <c r="B85" s="81"/>
      <c r="C85" s="45" t="s">
        <v>149</v>
      </c>
      <c r="D85" s="44">
        <v>2</v>
      </c>
      <c r="E85" s="43">
        <v>2.0850708924103419E-4</v>
      </c>
    </row>
    <row r="86" spans="2:5" ht="15" customHeight="1" x14ac:dyDescent="0.25">
      <c r="B86" s="81"/>
      <c r="C86" s="45" t="s">
        <v>152</v>
      </c>
      <c r="D86" s="44">
        <v>2</v>
      </c>
      <c r="E86" s="43">
        <v>2.0850708924103419E-4</v>
      </c>
    </row>
    <row r="87" spans="2:5" ht="15" customHeight="1" x14ac:dyDescent="0.25">
      <c r="B87" s="81"/>
      <c r="C87" s="45" t="s">
        <v>250</v>
      </c>
      <c r="D87" s="44">
        <v>7</v>
      </c>
      <c r="E87" s="43">
        <v>7.2977481234361965E-4</v>
      </c>
    </row>
    <row r="88" spans="2:5" ht="15" customHeight="1" x14ac:dyDescent="0.25">
      <c r="B88" s="81"/>
      <c r="C88" s="45" t="s">
        <v>166</v>
      </c>
      <c r="D88" s="44">
        <v>62</v>
      </c>
      <c r="E88" s="43">
        <v>6.46371976647206E-3</v>
      </c>
    </row>
    <row r="89" spans="2:5" ht="15" customHeight="1" x14ac:dyDescent="0.25">
      <c r="B89" s="81"/>
      <c r="C89" s="45" t="s">
        <v>160</v>
      </c>
      <c r="D89" s="44">
        <v>1</v>
      </c>
      <c r="E89" s="43">
        <v>1.0425354462051709E-4</v>
      </c>
    </row>
    <row r="90" spans="2:5" ht="15" customHeight="1" x14ac:dyDescent="0.25">
      <c r="B90" s="81"/>
      <c r="C90" s="45" t="s">
        <v>163</v>
      </c>
      <c r="D90" s="44">
        <v>3</v>
      </c>
      <c r="E90" s="43">
        <v>3.1276063386155128E-4</v>
      </c>
    </row>
    <row r="91" spans="2:5" ht="15" customHeight="1" x14ac:dyDescent="0.25">
      <c r="B91" s="81"/>
      <c r="C91" s="45" t="s">
        <v>155</v>
      </c>
      <c r="D91" s="44">
        <v>3</v>
      </c>
      <c r="E91" s="43">
        <v>3.1276063386155128E-4</v>
      </c>
    </row>
    <row r="92" spans="2:5" ht="15" customHeight="1" x14ac:dyDescent="0.25">
      <c r="B92" s="81"/>
      <c r="C92" s="45" t="s">
        <v>138</v>
      </c>
      <c r="D92" s="44">
        <v>2</v>
      </c>
      <c r="E92" s="43">
        <v>2.0850708924103419E-4</v>
      </c>
    </row>
    <row r="93" spans="2:5" ht="15" customHeight="1" x14ac:dyDescent="0.25">
      <c r="B93" s="82"/>
      <c r="C93" s="42" t="s">
        <v>22</v>
      </c>
      <c r="D93" s="41">
        <v>126</v>
      </c>
      <c r="E93" s="40">
        <v>1.3135946622185155E-2</v>
      </c>
    </row>
    <row r="94" spans="2:5" ht="15" customHeight="1" x14ac:dyDescent="0.25">
      <c r="B94" s="80" t="s">
        <v>71</v>
      </c>
      <c r="C94" s="45" t="s">
        <v>166</v>
      </c>
      <c r="D94" s="44">
        <v>1</v>
      </c>
      <c r="E94" s="43">
        <v>1.0425354462051709E-4</v>
      </c>
    </row>
    <row r="95" spans="2:5" ht="15" customHeight="1" x14ac:dyDescent="0.25">
      <c r="B95" s="82"/>
      <c r="C95" s="42" t="s">
        <v>22</v>
      </c>
      <c r="D95" s="41">
        <v>1</v>
      </c>
      <c r="E95" s="40">
        <v>1.0425354462051709E-4</v>
      </c>
    </row>
    <row r="96" spans="2:5" ht="15" customHeight="1" x14ac:dyDescent="0.25">
      <c r="B96" s="80" t="s">
        <v>113</v>
      </c>
      <c r="C96" s="45" t="s">
        <v>148</v>
      </c>
      <c r="D96" s="44">
        <v>4</v>
      </c>
      <c r="E96" s="43">
        <v>4.1701417848206837E-4</v>
      </c>
    </row>
    <row r="97" spans="2:5" ht="15" customHeight="1" x14ac:dyDescent="0.25">
      <c r="B97" s="81"/>
      <c r="C97" s="45" t="s">
        <v>153</v>
      </c>
      <c r="D97" s="44">
        <v>1</v>
      </c>
      <c r="E97" s="43">
        <v>1.0425354462051709E-4</v>
      </c>
    </row>
    <row r="98" spans="2:5" ht="15" customHeight="1" x14ac:dyDescent="0.25">
      <c r="B98" s="81"/>
      <c r="C98" s="45" t="s">
        <v>156</v>
      </c>
      <c r="D98" s="44">
        <v>1</v>
      </c>
      <c r="E98" s="43">
        <v>1.0425354462051709E-4</v>
      </c>
    </row>
    <row r="99" spans="2:5" ht="15" customHeight="1" x14ac:dyDescent="0.25">
      <c r="B99" s="81"/>
      <c r="C99" s="45" t="s">
        <v>146</v>
      </c>
      <c r="D99" s="44">
        <v>1</v>
      </c>
      <c r="E99" s="43">
        <v>1.0425354462051709E-4</v>
      </c>
    </row>
    <row r="100" spans="2:5" ht="15" customHeight="1" x14ac:dyDescent="0.25">
      <c r="B100" s="81"/>
      <c r="C100" s="45" t="s">
        <v>159</v>
      </c>
      <c r="D100" s="44">
        <v>12</v>
      </c>
      <c r="E100" s="43">
        <v>1.2510425354462051E-3</v>
      </c>
    </row>
    <row r="101" spans="2:5" ht="15" customHeight="1" x14ac:dyDescent="0.25">
      <c r="B101" s="81"/>
      <c r="C101" s="45" t="s">
        <v>251</v>
      </c>
      <c r="D101" s="44">
        <v>1</v>
      </c>
      <c r="E101" s="43">
        <v>1.0425354462051709E-4</v>
      </c>
    </row>
    <row r="102" spans="2:5" ht="15" customHeight="1" x14ac:dyDescent="0.25">
      <c r="B102" s="81"/>
      <c r="C102" s="45" t="s">
        <v>151</v>
      </c>
      <c r="D102" s="44">
        <v>3</v>
      </c>
      <c r="E102" s="43">
        <v>3.1276063386155128E-4</v>
      </c>
    </row>
    <row r="103" spans="2:5" ht="15" customHeight="1" x14ac:dyDescent="0.25">
      <c r="B103" s="81"/>
      <c r="C103" s="45" t="s">
        <v>137</v>
      </c>
      <c r="D103" s="44">
        <v>2</v>
      </c>
      <c r="E103" s="43">
        <v>2.0850708924103419E-4</v>
      </c>
    </row>
    <row r="104" spans="2:5" ht="15" customHeight="1" x14ac:dyDescent="0.25">
      <c r="B104" s="81"/>
      <c r="C104" s="45" t="s">
        <v>164</v>
      </c>
      <c r="D104" s="44">
        <v>7</v>
      </c>
      <c r="E104" s="43">
        <v>7.2977481234361965E-4</v>
      </c>
    </row>
    <row r="105" spans="2:5" ht="15" customHeight="1" x14ac:dyDescent="0.25">
      <c r="B105" s="81"/>
      <c r="C105" s="45" t="s">
        <v>154</v>
      </c>
      <c r="D105" s="44">
        <v>3</v>
      </c>
      <c r="E105" s="43">
        <v>3.1276063386155128E-4</v>
      </c>
    </row>
    <row r="106" spans="2:5" ht="15" customHeight="1" x14ac:dyDescent="0.25">
      <c r="B106" s="81"/>
      <c r="C106" s="45" t="s">
        <v>127</v>
      </c>
      <c r="D106" s="44">
        <v>1</v>
      </c>
      <c r="E106" s="43">
        <v>1.0425354462051709E-4</v>
      </c>
    </row>
    <row r="107" spans="2:5" ht="15" customHeight="1" x14ac:dyDescent="0.25">
      <c r="B107" s="81"/>
      <c r="C107" s="45" t="s">
        <v>158</v>
      </c>
      <c r="D107" s="44">
        <v>1</v>
      </c>
      <c r="E107" s="43">
        <v>1.0425354462051709E-4</v>
      </c>
    </row>
    <row r="108" spans="2:5" ht="15" customHeight="1" x14ac:dyDescent="0.25">
      <c r="B108" s="81"/>
      <c r="C108" s="45" t="s">
        <v>129</v>
      </c>
      <c r="D108" s="44">
        <v>2</v>
      </c>
      <c r="E108" s="43">
        <v>2.0850708924103419E-4</v>
      </c>
    </row>
    <row r="109" spans="2:5" ht="15" customHeight="1" x14ac:dyDescent="0.25">
      <c r="B109" s="81"/>
      <c r="C109" s="45" t="s">
        <v>124</v>
      </c>
      <c r="D109" s="44">
        <v>1</v>
      </c>
      <c r="E109" s="43">
        <v>1.0425354462051709E-4</v>
      </c>
    </row>
    <row r="110" spans="2:5" ht="15" customHeight="1" x14ac:dyDescent="0.25">
      <c r="B110" s="81"/>
      <c r="C110" s="45" t="s">
        <v>165</v>
      </c>
      <c r="D110" s="44">
        <v>20</v>
      </c>
      <c r="E110" s="43">
        <v>2.0850708924103419E-3</v>
      </c>
    </row>
    <row r="111" spans="2:5" ht="15" customHeight="1" x14ac:dyDescent="0.25">
      <c r="B111" s="81"/>
      <c r="C111" s="45" t="s">
        <v>140</v>
      </c>
      <c r="D111" s="44">
        <v>2</v>
      </c>
      <c r="E111" s="43">
        <v>2.0850708924103419E-4</v>
      </c>
    </row>
    <row r="112" spans="2:5" ht="15" customHeight="1" x14ac:dyDescent="0.25">
      <c r="B112" s="81"/>
      <c r="C112" s="45" t="s">
        <v>142</v>
      </c>
      <c r="D112" s="44">
        <v>1</v>
      </c>
      <c r="E112" s="43">
        <v>1.0425354462051709E-4</v>
      </c>
    </row>
    <row r="113" spans="2:5" ht="15" customHeight="1" x14ac:dyDescent="0.25">
      <c r="B113" s="81"/>
      <c r="C113" s="45" t="s">
        <v>118</v>
      </c>
      <c r="D113" s="44">
        <v>1</v>
      </c>
      <c r="E113" s="43">
        <v>1.0425354462051709E-4</v>
      </c>
    </row>
    <row r="114" spans="2:5" ht="15" customHeight="1" x14ac:dyDescent="0.25">
      <c r="B114" s="81"/>
      <c r="C114" s="45" t="s">
        <v>162</v>
      </c>
      <c r="D114" s="44">
        <v>6</v>
      </c>
      <c r="E114" s="43">
        <v>6.2552126772310256E-4</v>
      </c>
    </row>
    <row r="115" spans="2:5" ht="15" customHeight="1" x14ac:dyDescent="0.25">
      <c r="B115" s="81"/>
      <c r="C115" s="45" t="s">
        <v>250</v>
      </c>
      <c r="D115" s="44">
        <v>4</v>
      </c>
      <c r="E115" s="43">
        <v>4.1701417848206837E-4</v>
      </c>
    </row>
    <row r="116" spans="2:5" ht="15" customHeight="1" x14ac:dyDescent="0.25">
      <c r="B116" s="81"/>
      <c r="C116" s="45" t="s">
        <v>166</v>
      </c>
      <c r="D116" s="44">
        <v>180</v>
      </c>
      <c r="E116" s="43">
        <v>1.8765638031693076E-2</v>
      </c>
    </row>
    <row r="117" spans="2:5" ht="15" customHeight="1" x14ac:dyDescent="0.25">
      <c r="B117" s="81"/>
      <c r="C117" s="45" t="s">
        <v>160</v>
      </c>
      <c r="D117" s="44">
        <v>4</v>
      </c>
      <c r="E117" s="43">
        <v>4.1701417848206837E-4</v>
      </c>
    </row>
    <row r="118" spans="2:5" ht="15" customHeight="1" x14ac:dyDescent="0.25">
      <c r="B118" s="81"/>
      <c r="C118" s="45" t="s">
        <v>163</v>
      </c>
      <c r="D118" s="44">
        <v>17</v>
      </c>
      <c r="E118" s="43">
        <v>1.7723102585487907E-3</v>
      </c>
    </row>
    <row r="119" spans="2:5" ht="15" customHeight="1" x14ac:dyDescent="0.25">
      <c r="B119" s="81"/>
      <c r="C119" s="45" t="s">
        <v>155</v>
      </c>
      <c r="D119" s="44">
        <v>3</v>
      </c>
      <c r="E119" s="43">
        <v>3.1276063386155128E-4</v>
      </c>
    </row>
    <row r="120" spans="2:5" ht="15" customHeight="1" x14ac:dyDescent="0.25">
      <c r="B120" s="81"/>
      <c r="C120" s="45" t="s">
        <v>135</v>
      </c>
      <c r="D120" s="44">
        <v>3</v>
      </c>
      <c r="E120" s="43">
        <v>3.1276063386155128E-4</v>
      </c>
    </row>
    <row r="121" spans="2:5" ht="15" customHeight="1" x14ac:dyDescent="0.25">
      <c r="B121" s="82"/>
      <c r="C121" s="42" t="s">
        <v>22</v>
      </c>
      <c r="D121" s="41">
        <v>281</v>
      </c>
      <c r="E121" s="40">
        <v>2.9295246038365304E-2</v>
      </c>
    </row>
    <row r="122" spans="2:5" ht="15" customHeight="1" x14ac:dyDescent="0.25">
      <c r="B122" s="80" t="s">
        <v>111</v>
      </c>
      <c r="C122" s="45" t="s">
        <v>133</v>
      </c>
      <c r="D122" s="44">
        <v>1</v>
      </c>
      <c r="E122" s="43">
        <v>1.0425354462051709E-4</v>
      </c>
    </row>
    <row r="123" spans="2:5" ht="15" customHeight="1" x14ac:dyDescent="0.25">
      <c r="B123" s="81"/>
      <c r="C123" s="45" t="s">
        <v>148</v>
      </c>
      <c r="D123" s="44">
        <v>3</v>
      </c>
      <c r="E123" s="43">
        <v>3.1276063386155128E-4</v>
      </c>
    </row>
    <row r="124" spans="2:5" ht="15" customHeight="1" x14ac:dyDescent="0.25">
      <c r="B124" s="81"/>
      <c r="C124" s="45" t="s">
        <v>153</v>
      </c>
      <c r="D124" s="44">
        <v>29</v>
      </c>
      <c r="E124" s="43">
        <v>3.023352793994996E-3</v>
      </c>
    </row>
    <row r="125" spans="2:5" ht="15" customHeight="1" x14ac:dyDescent="0.25">
      <c r="B125" s="81"/>
      <c r="C125" s="45" t="s">
        <v>156</v>
      </c>
      <c r="D125" s="44">
        <v>19</v>
      </c>
      <c r="E125" s="43">
        <v>1.9808173477898249E-3</v>
      </c>
    </row>
    <row r="126" spans="2:5" ht="15" customHeight="1" x14ac:dyDescent="0.25">
      <c r="B126" s="81"/>
      <c r="C126" s="45" t="s">
        <v>136</v>
      </c>
      <c r="D126" s="44">
        <v>2</v>
      </c>
      <c r="E126" s="43">
        <v>2.0850708924103419E-4</v>
      </c>
    </row>
    <row r="127" spans="2:5" ht="15" customHeight="1" x14ac:dyDescent="0.25">
      <c r="B127" s="81"/>
      <c r="C127" s="45" t="s">
        <v>146</v>
      </c>
      <c r="D127" s="44">
        <v>10</v>
      </c>
      <c r="E127" s="43">
        <v>1.0425354462051709E-3</v>
      </c>
    </row>
    <row r="128" spans="2:5" ht="15" customHeight="1" x14ac:dyDescent="0.25">
      <c r="B128" s="81"/>
      <c r="C128" s="45" t="s">
        <v>132</v>
      </c>
      <c r="D128" s="44">
        <v>5</v>
      </c>
      <c r="E128" s="43">
        <v>5.2126772310258547E-4</v>
      </c>
    </row>
    <row r="129" spans="2:5" ht="15" customHeight="1" x14ac:dyDescent="0.25">
      <c r="B129" s="81"/>
      <c r="C129" s="45" t="s">
        <v>159</v>
      </c>
      <c r="D129" s="44">
        <v>30</v>
      </c>
      <c r="E129" s="43">
        <v>3.127606338615513E-3</v>
      </c>
    </row>
    <row r="130" spans="2:5" ht="15" customHeight="1" x14ac:dyDescent="0.25">
      <c r="B130" s="81"/>
      <c r="C130" s="45" t="s">
        <v>151</v>
      </c>
      <c r="D130" s="44">
        <v>7</v>
      </c>
      <c r="E130" s="43">
        <v>7.2977481234361965E-4</v>
      </c>
    </row>
    <row r="131" spans="2:5" ht="15" customHeight="1" x14ac:dyDescent="0.25">
      <c r="B131" s="81"/>
      <c r="C131" s="45" t="s">
        <v>157</v>
      </c>
      <c r="D131" s="44">
        <v>3</v>
      </c>
      <c r="E131" s="43">
        <v>3.1276063386155128E-4</v>
      </c>
    </row>
    <row r="132" spans="2:5" ht="15" customHeight="1" x14ac:dyDescent="0.25">
      <c r="B132" s="81"/>
      <c r="C132" s="45" t="s">
        <v>137</v>
      </c>
      <c r="D132" s="44">
        <v>2</v>
      </c>
      <c r="E132" s="43">
        <v>2.0850708924103419E-4</v>
      </c>
    </row>
    <row r="133" spans="2:5" ht="15" customHeight="1" x14ac:dyDescent="0.25">
      <c r="B133" s="81"/>
      <c r="C133" s="45" t="s">
        <v>145</v>
      </c>
      <c r="D133" s="44">
        <v>1</v>
      </c>
      <c r="E133" s="43">
        <v>1.0425354462051709E-4</v>
      </c>
    </row>
    <row r="134" spans="2:5" ht="15" customHeight="1" x14ac:dyDescent="0.25">
      <c r="B134" s="81"/>
      <c r="C134" s="45" t="s">
        <v>164</v>
      </c>
      <c r="D134" s="44">
        <v>132</v>
      </c>
      <c r="E134" s="43">
        <v>1.3761467889908258E-2</v>
      </c>
    </row>
    <row r="135" spans="2:5" ht="15" customHeight="1" x14ac:dyDescent="0.25">
      <c r="B135" s="81"/>
      <c r="C135" s="45" t="s">
        <v>134</v>
      </c>
      <c r="D135" s="44">
        <v>1</v>
      </c>
      <c r="E135" s="43">
        <v>1.0425354462051709E-4</v>
      </c>
    </row>
    <row r="136" spans="2:5" ht="15" customHeight="1" x14ac:dyDescent="0.25">
      <c r="B136" s="81"/>
      <c r="C136" s="45" t="s">
        <v>154</v>
      </c>
      <c r="D136" s="44">
        <v>21</v>
      </c>
      <c r="E136" s="43">
        <v>2.1893244370308589E-3</v>
      </c>
    </row>
    <row r="137" spans="2:5" ht="15" customHeight="1" x14ac:dyDescent="0.25">
      <c r="B137" s="81"/>
      <c r="C137" s="45" t="s">
        <v>127</v>
      </c>
      <c r="D137" s="44">
        <v>3</v>
      </c>
      <c r="E137" s="43">
        <v>3.1276063386155128E-4</v>
      </c>
    </row>
    <row r="138" spans="2:5" ht="15" customHeight="1" x14ac:dyDescent="0.25">
      <c r="B138" s="81"/>
      <c r="C138" s="45" t="s">
        <v>125</v>
      </c>
      <c r="D138" s="44">
        <v>3</v>
      </c>
      <c r="E138" s="43">
        <v>3.1276063386155128E-4</v>
      </c>
    </row>
    <row r="139" spans="2:5" ht="15" customHeight="1" x14ac:dyDescent="0.25">
      <c r="B139" s="81"/>
      <c r="C139" s="45" t="s">
        <v>158</v>
      </c>
      <c r="D139" s="44">
        <v>11</v>
      </c>
      <c r="E139" s="43">
        <v>1.1467889908256881E-3</v>
      </c>
    </row>
    <row r="140" spans="2:5" ht="15" customHeight="1" x14ac:dyDescent="0.25">
      <c r="B140" s="81"/>
      <c r="C140" s="45" t="s">
        <v>124</v>
      </c>
      <c r="D140" s="44">
        <v>3</v>
      </c>
      <c r="E140" s="43">
        <v>3.1276063386155128E-4</v>
      </c>
    </row>
    <row r="141" spans="2:5" ht="15" customHeight="1" x14ac:dyDescent="0.25">
      <c r="B141" s="81"/>
      <c r="C141" s="45" t="s">
        <v>150</v>
      </c>
      <c r="D141" s="44">
        <v>1</v>
      </c>
      <c r="E141" s="43">
        <v>1.0425354462051709E-4</v>
      </c>
    </row>
    <row r="142" spans="2:5" ht="15" customHeight="1" x14ac:dyDescent="0.25">
      <c r="B142" s="81"/>
      <c r="C142" s="45" t="s">
        <v>165</v>
      </c>
      <c r="D142" s="44">
        <v>141</v>
      </c>
      <c r="E142" s="43">
        <v>1.4699749791492911E-2</v>
      </c>
    </row>
    <row r="143" spans="2:5" ht="15" customHeight="1" x14ac:dyDescent="0.25">
      <c r="B143" s="81"/>
      <c r="C143" s="45" t="s">
        <v>140</v>
      </c>
      <c r="D143" s="44">
        <v>11</v>
      </c>
      <c r="E143" s="43">
        <v>1.1467889908256881E-3</v>
      </c>
    </row>
    <row r="144" spans="2:5" ht="15" customHeight="1" x14ac:dyDescent="0.25">
      <c r="B144" s="81"/>
      <c r="C144" s="45" t="s">
        <v>142</v>
      </c>
      <c r="D144" s="44">
        <v>5</v>
      </c>
      <c r="E144" s="43">
        <v>5.2126772310258547E-4</v>
      </c>
    </row>
    <row r="145" spans="2:5" ht="15" customHeight="1" x14ac:dyDescent="0.25">
      <c r="B145" s="81"/>
      <c r="C145" s="45" t="s">
        <v>131</v>
      </c>
      <c r="D145" s="44">
        <v>3</v>
      </c>
      <c r="E145" s="43">
        <v>3.1276063386155128E-4</v>
      </c>
    </row>
    <row r="146" spans="2:5" ht="15" customHeight="1" x14ac:dyDescent="0.25">
      <c r="B146" s="81"/>
      <c r="C146" s="45" t="s">
        <v>143</v>
      </c>
      <c r="D146" s="44">
        <v>5</v>
      </c>
      <c r="E146" s="43">
        <v>5.2126772310258547E-4</v>
      </c>
    </row>
    <row r="147" spans="2:5" ht="15" customHeight="1" x14ac:dyDescent="0.25">
      <c r="B147" s="81"/>
      <c r="C147" s="45" t="s">
        <v>162</v>
      </c>
      <c r="D147" s="44">
        <v>120</v>
      </c>
      <c r="E147" s="43">
        <v>1.2510425354462052E-2</v>
      </c>
    </row>
    <row r="148" spans="2:5" ht="15" customHeight="1" x14ac:dyDescent="0.25">
      <c r="B148" s="81"/>
      <c r="C148" s="45" t="s">
        <v>141</v>
      </c>
      <c r="D148" s="44">
        <v>1</v>
      </c>
      <c r="E148" s="43">
        <v>1.0425354462051709E-4</v>
      </c>
    </row>
    <row r="149" spans="2:5" ht="15" customHeight="1" x14ac:dyDescent="0.25">
      <c r="B149" s="81"/>
      <c r="C149" s="45" t="s">
        <v>149</v>
      </c>
      <c r="D149" s="44">
        <v>2</v>
      </c>
      <c r="E149" s="43">
        <v>2.0850708924103419E-4</v>
      </c>
    </row>
    <row r="150" spans="2:5" ht="15" customHeight="1" x14ac:dyDescent="0.25">
      <c r="B150" s="81"/>
      <c r="C150" s="45" t="s">
        <v>120</v>
      </c>
      <c r="D150" s="44">
        <v>1</v>
      </c>
      <c r="E150" s="43">
        <v>1.0425354462051709E-4</v>
      </c>
    </row>
    <row r="151" spans="2:5" ht="15" customHeight="1" x14ac:dyDescent="0.25">
      <c r="B151" s="81"/>
      <c r="C151" s="45" t="s">
        <v>152</v>
      </c>
      <c r="D151" s="44">
        <v>6</v>
      </c>
      <c r="E151" s="43">
        <v>6.2552126772310256E-4</v>
      </c>
    </row>
    <row r="152" spans="2:5" ht="15" customHeight="1" x14ac:dyDescent="0.25">
      <c r="B152" s="81"/>
      <c r="C152" s="45" t="s">
        <v>121</v>
      </c>
      <c r="D152" s="44">
        <v>4</v>
      </c>
      <c r="E152" s="43">
        <v>4.1701417848206837E-4</v>
      </c>
    </row>
    <row r="153" spans="2:5" ht="15" customHeight="1" x14ac:dyDescent="0.25">
      <c r="B153" s="81"/>
      <c r="C153" s="45" t="s">
        <v>250</v>
      </c>
      <c r="D153" s="44">
        <v>55</v>
      </c>
      <c r="E153" s="43">
        <v>5.7339449541284407E-3</v>
      </c>
    </row>
    <row r="154" spans="2:5" ht="15" customHeight="1" x14ac:dyDescent="0.25">
      <c r="B154" s="81"/>
      <c r="C154" s="45" t="s">
        <v>166</v>
      </c>
      <c r="D154" s="44">
        <v>855</v>
      </c>
      <c r="E154" s="43">
        <v>8.9136780650542119E-2</v>
      </c>
    </row>
    <row r="155" spans="2:5" ht="15" customHeight="1" x14ac:dyDescent="0.25">
      <c r="B155" s="81"/>
      <c r="C155" s="45" t="s">
        <v>130</v>
      </c>
      <c r="D155" s="44">
        <v>1</v>
      </c>
      <c r="E155" s="43">
        <v>1.0425354462051709E-4</v>
      </c>
    </row>
    <row r="156" spans="2:5" ht="15" customHeight="1" x14ac:dyDescent="0.25">
      <c r="B156" s="81"/>
      <c r="C156" s="45" t="s">
        <v>160</v>
      </c>
      <c r="D156" s="44">
        <v>24</v>
      </c>
      <c r="E156" s="43">
        <v>2.5020850708924102E-3</v>
      </c>
    </row>
    <row r="157" spans="2:5" ht="15" customHeight="1" x14ac:dyDescent="0.25">
      <c r="B157" s="81"/>
      <c r="C157" s="45" t="s">
        <v>123</v>
      </c>
      <c r="D157" s="44">
        <v>2</v>
      </c>
      <c r="E157" s="43">
        <v>2.0850708924103419E-4</v>
      </c>
    </row>
    <row r="158" spans="2:5" ht="15" customHeight="1" x14ac:dyDescent="0.25">
      <c r="B158" s="81"/>
      <c r="C158" s="45" t="s">
        <v>163</v>
      </c>
      <c r="D158" s="44">
        <v>99</v>
      </c>
      <c r="E158" s="43">
        <v>1.0321100917431193E-2</v>
      </c>
    </row>
    <row r="159" spans="2:5" ht="15" customHeight="1" x14ac:dyDescent="0.25">
      <c r="B159" s="81"/>
      <c r="C159" s="45" t="s">
        <v>155</v>
      </c>
      <c r="D159" s="44">
        <v>32</v>
      </c>
      <c r="E159" s="43">
        <v>3.336113427856547E-3</v>
      </c>
    </row>
    <row r="160" spans="2:5" ht="15" customHeight="1" x14ac:dyDescent="0.25">
      <c r="B160" s="81"/>
      <c r="C160" s="45" t="s">
        <v>138</v>
      </c>
      <c r="D160" s="44">
        <v>9</v>
      </c>
      <c r="E160" s="43">
        <v>9.3828190158465384E-4</v>
      </c>
    </row>
    <row r="161" spans="2:5" ht="15" customHeight="1" x14ac:dyDescent="0.25">
      <c r="B161" s="81"/>
      <c r="C161" s="45" t="s">
        <v>147</v>
      </c>
      <c r="D161" s="44">
        <v>1</v>
      </c>
      <c r="E161" s="43">
        <v>1.0425354462051709E-4</v>
      </c>
    </row>
    <row r="162" spans="2:5" ht="15" customHeight="1" x14ac:dyDescent="0.25">
      <c r="B162" s="81"/>
      <c r="C162" s="45" t="s">
        <v>144</v>
      </c>
      <c r="D162" s="44">
        <v>6</v>
      </c>
      <c r="E162" s="43">
        <v>6.2552126772310256E-4</v>
      </c>
    </row>
    <row r="163" spans="2:5" ht="15" customHeight="1" x14ac:dyDescent="0.25">
      <c r="B163" s="82"/>
      <c r="C163" s="42" t="s">
        <v>22</v>
      </c>
      <c r="D163" s="41">
        <v>1670</v>
      </c>
      <c r="E163" s="40">
        <v>0.17410341951626354</v>
      </c>
    </row>
    <row r="164" spans="2:5" ht="15" customHeight="1" x14ac:dyDescent="0.25">
      <c r="B164" s="80" t="s">
        <v>70</v>
      </c>
      <c r="C164" s="45" t="s">
        <v>142</v>
      </c>
      <c r="D164" s="44">
        <v>1</v>
      </c>
      <c r="E164" s="43">
        <v>1.0425354462051709E-4</v>
      </c>
    </row>
    <row r="165" spans="2:5" ht="15" customHeight="1" x14ac:dyDescent="0.25">
      <c r="B165" s="81"/>
      <c r="C165" s="45" t="s">
        <v>166</v>
      </c>
      <c r="D165" s="44">
        <v>3</v>
      </c>
      <c r="E165" s="43">
        <v>3.1276063386155128E-4</v>
      </c>
    </row>
    <row r="166" spans="2:5" ht="15" customHeight="1" x14ac:dyDescent="0.25">
      <c r="B166" s="82"/>
      <c r="C166" s="42" t="s">
        <v>22</v>
      </c>
      <c r="D166" s="41">
        <v>4</v>
      </c>
      <c r="E166" s="40">
        <v>4.1701417848206837E-4</v>
      </c>
    </row>
    <row r="167" spans="2:5" ht="15" customHeight="1" x14ac:dyDescent="0.25">
      <c r="B167" s="80" t="s">
        <v>95</v>
      </c>
      <c r="C167" s="45" t="s">
        <v>137</v>
      </c>
      <c r="D167" s="44">
        <v>1</v>
      </c>
      <c r="E167" s="43">
        <v>1.0425354462051709E-4</v>
      </c>
    </row>
    <row r="168" spans="2:5" ht="15" customHeight="1" x14ac:dyDescent="0.25">
      <c r="B168" s="81"/>
      <c r="C168" s="45" t="s">
        <v>164</v>
      </c>
      <c r="D168" s="44">
        <v>2</v>
      </c>
      <c r="E168" s="43">
        <v>2.0850708924103419E-4</v>
      </c>
    </row>
    <row r="169" spans="2:5" ht="15" customHeight="1" x14ac:dyDescent="0.25">
      <c r="B169" s="81"/>
      <c r="C169" s="45" t="s">
        <v>126</v>
      </c>
      <c r="D169" s="44">
        <v>1</v>
      </c>
      <c r="E169" s="43">
        <v>1.0425354462051709E-4</v>
      </c>
    </row>
    <row r="170" spans="2:5" ht="15" customHeight="1" x14ac:dyDescent="0.25">
      <c r="B170" s="81"/>
      <c r="C170" s="45" t="s">
        <v>165</v>
      </c>
      <c r="D170" s="44">
        <v>2</v>
      </c>
      <c r="E170" s="43">
        <v>2.0850708924103419E-4</v>
      </c>
    </row>
    <row r="171" spans="2:5" ht="15" customHeight="1" x14ac:dyDescent="0.25">
      <c r="B171" s="81"/>
      <c r="C171" s="45" t="s">
        <v>162</v>
      </c>
      <c r="D171" s="44">
        <v>4</v>
      </c>
      <c r="E171" s="43">
        <v>4.1701417848206837E-4</v>
      </c>
    </row>
    <row r="172" spans="2:5" ht="15" customHeight="1" x14ac:dyDescent="0.25">
      <c r="B172" s="81"/>
      <c r="C172" s="45" t="s">
        <v>152</v>
      </c>
      <c r="D172" s="44">
        <v>1</v>
      </c>
      <c r="E172" s="43">
        <v>1.0425354462051709E-4</v>
      </c>
    </row>
    <row r="173" spans="2:5" ht="15" customHeight="1" x14ac:dyDescent="0.25">
      <c r="B173" s="81"/>
      <c r="C173" s="45" t="s">
        <v>166</v>
      </c>
      <c r="D173" s="44">
        <v>24</v>
      </c>
      <c r="E173" s="43">
        <v>2.5020850708924102E-3</v>
      </c>
    </row>
    <row r="174" spans="2:5" ht="15" customHeight="1" x14ac:dyDescent="0.25">
      <c r="B174" s="81"/>
      <c r="C174" s="45" t="s">
        <v>163</v>
      </c>
      <c r="D174" s="44">
        <v>3</v>
      </c>
      <c r="E174" s="43">
        <v>3.1276063386155128E-4</v>
      </c>
    </row>
    <row r="175" spans="2:5" ht="15" customHeight="1" x14ac:dyDescent="0.25">
      <c r="B175" s="82"/>
      <c r="C175" s="42" t="s">
        <v>22</v>
      </c>
      <c r="D175" s="41">
        <v>38</v>
      </c>
      <c r="E175" s="40">
        <v>3.9616346955796498E-3</v>
      </c>
    </row>
    <row r="176" spans="2:5" ht="15" customHeight="1" x14ac:dyDescent="0.25">
      <c r="B176" s="80" t="s">
        <v>81</v>
      </c>
      <c r="C176" s="45" t="s">
        <v>148</v>
      </c>
      <c r="D176" s="44">
        <v>2</v>
      </c>
      <c r="E176" s="43">
        <v>2.0850708924103419E-4</v>
      </c>
    </row>
    <row r="177" spans="2:5" ht="15" customHeight="1" x14ac:dyDescent="0.25">
      <c r="B177" s="81"/>
      <c r="C177" s="45" t="s">
        <v>159</v>
      </c>
      <c r="D177" s="44">
        <v>4</v>
      </c>
      <c r="E177" s="43">
        <v>4.1701417848206837E-4</v>
      </c>
    </row>
    <row r="178" spans="2:5" ht="15" customHeight="1" x14ac:dyDescent="0.25">
      <c r="B178" s="81"/>
      <c r="C178" s="45" t="s">
        <v>251</v>
      </c>
      <c r="D178" s="44">
        <v>1</v>
      </c>
      <c r="E178" s="43">
        <v>1.0425354462051709E-4</v>
      </c>
    </row>
    <row r="179" spans="2:5" ht="15" customHeight="1" x14ac:dyDescent="0.25">
      <c r="B179" s="81"/>
      <c r="C179" s="45" t="s">
        <v>151</v>
      </c>
      <c r="D179" s="44">
        <v>2</v>
      </c>
      <c r="E179" s="43">
        <v>2.0850708924103419E-4</v>
      </c>
    </row>
    <row r="180" spans="2:5" ht="15" customHeight="1" x14ac:dyDescent="0.25">
      <c r="B180" s="81"/>
      <c r="C180" s="45" t="s">
        <v>137</v>
      </c>
      <c r="D180" s="44">
        <v>1</v>
      </c>
      <c r="E180" s="43">
        <v>1.0425354462051709E-4</v>
      </c>
    </row>
    <row r="181" spans="2:5" ht="15" customHeight="1" x14ac:dyDescent="0.25">
      <c r="B181" s="81"/>
      <c r="C181" s="45" t="s">
        <v>164</v>
      </c>
      <c r="D181" s="44">
        <v>5</v>
      </c>
      <c r="E181" s="43">
        <v>5.2126772310258547E-4</v>
      </c>
    </row>
    <row r="182" spans="2:5" ht="15" customHeight="1" x14ac:dyDescent="0.25">
      <c r="B182" s="81"/>
      <c r="C182" s="45" t="s">
        <v>165</v>
      </c>
      <c r="D182" s="44">
        <v>1</v>
      </c>
      <c r="E182" s="43">
        <v>1.0425354462051709E-4</v>
      </c>
    </row>
    <row r="183" spans="2:5" ht="15" customHeight="1" x14ac:dyDescent="0.25">
      <c r="B183" s="81"/>
      <c r="C183" s="45" t="s">
        <v>162</v>
      </c>
      <c r="D183" s="44">
        <v>1</v>
      </c>
      <c r="E183" s="43">
        <v>1.0425354462051709E-4</v>
      </c>
    </row>
    <row r="184" spans="2:5" ht="15" customHeight="1" x14ac:dyDescent="0.25">
      <c r="B184" s="81"/>
      <c r="C184" s="45" t="s">
        <v>152</v>
      </c>
      <c r="D184" s="44">
        <v>2</v>
      </c>
      <c r="E184" s="43">
        <v>2.0850708924103419E-4</v>
      </c>
    </row>
    <row r="185" spans="2:5" ht="15" customHeight="1" x14ac:dyDescent="0.25">
      <c r="B185" s="81"/>
      <c r="C185" s="45" t="s">
        <v>166</v>
      </c>
      <c r="D185" s="44">
        <v>41</v>
      </c>
      <c r="E185" s="43">
        <v>4.2743953294412012E-3</v>
      </c>
    </row>
    <row r="186" spans="2:5" ht="15" customHeight="1" x14ac:dyDescent="0.25">
      <c r="B186" s="81"/>
      <c r="C186" s="45" t="s">
        <v>160</v>
      </c>
      <c r="D186" s="44">
        <v>7</v>
      </c>
      <c r="E186" s="43">
        <v>7.2977481234361965E-4</v>
      </c>
    </row>
    <row r="187" spans="2:5" ht="15" customHeight="1" x14ac:dyDescent="0.25">
      <c r="B187" s="81"/>
      <c r="C187" s="45" t="s">
        <v>163</v>
      </c>
      <c r="D187" s="44">
        <v>8</v>
      </c>
      <c r="E187" s="43">
        <v>8.3402835696413675E-4</v>
      </c>
    </row>
    <row r="188" spans="2:5" ht="15" customHeight="1" x14ac:dyDescent="0.25">
      <c r="B188" s="82"/>
      <c r="C188" s="42" t="s">
        <v>22</v>
      </c>
      <c r="D188" s="41">
        <v>75</v>
      </c>
      <c r="E188" s="40">
        <v>7.8190158465387821E-3</v>
      </c>
    </row>
    <row r="189" spans="2:5" ht="15" customHeight="1" x14ac:dyDescent="0.25">
      <c r="B189" s="80" t="s">
        <v>69</v>
      </c>
      <c r="C189" s="45" t="s">
        <v>143</v>
      </c>
      <c r="D189" s="44">
        <v>1</v>
      </c>
      <c r="E189" s="43">
        <v>1.0425354462051709E-4</v>
      </c>
    </row>
    <row r="190" spans="2:5" ht="15" customHeight="1" x14ac:dyDescent="0.25">
      <c r="B190" s="82"/>
      <c r="C190" s="42" t="s">
        <v>22</v>
      </c>
      <c r="D190" s="41">
        <v>1</v>
      </c>
      <c r="E190" s="40">
        <v>1.0425354462051709E-4</v>
      </c>
    </row>
    <row r="191" spans="2:5" ht="15" customHeight="1" x14ac:dyDescent="0.25">
      <c r="B191" s="80" t="s">
        <v>79</v>
      </c>
      <c r="C191" s="45" t="s">
        <v>165</v>
      </c>
      <c r="D191" s="44">
        <v>2</v>
      </c>
      <c r="E191" s="43">
        <v>2.0850708924103419E-4</v>
      </c>
    </row>
    <row r="192" spans="2:5" ht="15" customHeight="1" x14ac:dyDescent="0.25">
      <c r="B192" s="81"/>
      <c r="C192" s="45" t="s">
        <v>162</v>
      </c>
      <c r="D192" s="44">
        <v>1</v>
      </c>
      <c r="E192" s="43">
        <v>1.0425354462051709E-4</v>
      </c>
    </row>
    <row r="193" spans="2:5" ht="15" customHeight="1" x14ac:dyDescent="0.25">
      <c r="B193" s="81"/>
      <c r="C193" s="45" t="s">
        <v>152</v>
      </c>
      <c r="D193" s="44">
        <v>1</v>
      </c>
      <c r="E193" s="43">
        <v>1.0425354462051709E-4</v>
      </c>
    </row>
    <row r="194" spans="2:5" ht="15" customHeight="1" x14ac:dyDescent="0.25">
      <c r="B194" s="81"/>
      <c r="C194" s="45" t="s">
        <v>250</v>
      </c>
      <c r="D194" s="44">
        <v>1</v>
      </c>
      <c r="E194" s="43">
        <v>1.0425354462051709E-4</v>
      </c>
    </row>
    <row r="195" spans="2:5" ht="15" customHeight="1" x14ac:dyDescent="0.25">
      <c r="B195" s="81"/>
      <c r="C195" s="45" t="s">
        <v>166</v>
      </c>
      <c r="D195" s="44">
        <v>23</v>
      </c>
      <c r="E195" s="43">
        <v>2.3978315262718933E-3</v>
      </c>
    </row>
    <row r="196" spans="2:5" ht="15" customHeight="1" x14ac:dyDescent="0.25">
      <c r="B196" s="81"/>
      <c r="C196" s="45" t="s">
        <v>119</v>
      </c>
      <c r="D196" s="44">
        <v>1</v>
      </c>
      <c r="E196" s="43">
        <v>1.0425354462051709E-4</v>
      </c>
    </row>
    <row r="197" spans="2:5" ht="15" customHeight="1" x14ac:dyDescent="0.25">
      <c r="B197" s="81"/>
      <c r="C197" s="45" t="s">
        <v>155</v>
      </c>
      <c r="D197" s="44">
        <v>1</v>
      </c>
      <c r="E197" s="43">
        <v>1.0425354462051709E-4</v>
      </c>
    </row>
    <row r="198" spans="2:5" ht="15" customHeight="1" x14ac:dyDescent="0.25">
      <c r="B198" s="82"/>
      <c r="C198" s="42" t="s">
        <v>22</v>
      </c>
      <c r="D198" s="41">
        <v>30</v>
      </c>
      <c r="E198" s="40">
        <v>3.127606338615513E-3</v>
      </c>
    </row>
    <row r="199" spans="2:5" ht="15" customHeight="1" x14ac:dyDescent="0.25">
      <c r="B199" s="80" t="s">
        <v>92</v>
      </c>
      <c r="C199" s="45" t="s">
        <v>140</v>
      </c>
      <c r="D199" s="44">
        <v>1</v>
      </c>
      <c r="E199" s="43">
        <v>1.0425354462051709E-4</v>
      </c>
    </row>
    <row r="200" spans="2:5" ht="15" customHeight="1" x14ac:dyDescent="0.25">
      <c r="B200" s="81"/>
      <c r="C200" s="45" t="s">
        <v>166</v>
      </c>
      <c r="D200" s="44">
        <v>10</v>
      </c>
      <c r="E200" s="43">
        <v>1.0425354462051709E-3</v>
      </c>
    </row>
    <row r="201" spans="2:5" ht="15" customHeight="1" x14ac:dyDescent="0.25">
      <c r="B201" s="82"/>
      <c r="C201" s="42" t="s">
        <v>22</v>
      </c>
      <c r="D201" s="41">
        <v>11</v>
      </c>
      <c r="E201" s="40">
        <v>1.1467889908256881E-3</v>
      </c>
    </row>
    <row r="202" spans="2:5" ht="15" customHeight="1" x14ac:dyDescent="0.25">
      <c r="B202" s="80" t="s">
        <v>108</v>
      </c>
      <c r="C202" s="45" t="s">
        <v>159</v>
      </c>
      <c r="D202" s="44">
        <v>1</v>
      </c>
      <c r="E202" s="43">
        <v>1.0425354462051709E-4</v>
      </c>
    </row>
    <row r="203" spans="2:5" ht="15" customHeight="1" x14ac:dyDescent="0.25">
      <c r="B203" s="81"/>
      <c r="C203" s="45" t="s">
        <v>164</v>
      </c>
      <c r="D203" s="44">
        <v>2</v>
      </c>
      <c r="E203" s="43">
        <v>2.0850708924103419E-4</v>
      </c>
    </row>
    <row r="204" spans="2:5" ht="15" customHeight="1" x14ac:dyDescent="0.25">
      <c r="B204" s="81"/>
      <c r="C204" s="45" t="s">
        <v>134</v>
      </c>
      <c r="D204" s="44">
        <v>1</v>
      </c>
      <c r="E204" s="43">
        <v>1.0425354462051709E-4</v>
      </c>
    </row>
    <row r="205" spans="2:5" ht="15" customHeight="1" x14ac:dyDescent="0.25">
      <c r="B205" s="81"/>
      <c r="C205" s="45" t="s">
        <v>158</v>
      </c>
      <c r="D205" s="44">
        <v>1</v>
      </c>
      <c r="E205" s="43">
        <v>1.0425354462051709E-4</v>
      </c>
    </row>
    <row r="206" spans="2:5" ht="15" customHeight="1" x14ac:dyDescent="0.25">
      <c r="B206" s="81"/>
      <c r="C206" s="45" t="s">
        <v>165</v>
      </c>
      <c r="D206" s="44">
        <v>1</v>
      </c>
      <c r="E206" s="43">
        <v>1.0425354462051709E-4</v>
      </c>
    </row>
    <row r="207" spans="2:5" ht="15" customHeight="1" x14ac:dyDescent="0.25">
      <c r="B207" s="81"/>
      <c r="C207" s="45" t="s">
        <v>162</v>
      </c>
      <c r="D207" s="44">
        <v>3</v>
      </c>
      <c r="E207" s="43">
        <v>3.1276063386155128E-4</v>
      </c>
    </row>
    <row r="208" spans="2:5" ht="15" customHeight="1" x14ac:dyDescent="0.25">
      <c r="B208" s="81"/>
      <c r="C208" s="45" t="s">
        <v>149</v>
      </c>
      <c r="D208" s="44">
        <v>1</v>
      </c>
      <c r="E208" s="43">
        <v>1.0425354462051709E-4</v>
      </c>
    </row>
    <row r="209" spans="2:5" ht="15" customHeight="1" x14ac:dyDescent="0.25">
      <c r="B209" s="81"/>
      <c r="C209" s="45" t="s">
        <v>152</v>
      </c>
      <c r="D209" s="44">
        <v>1</v>
      </c>
      <c r="E209" s="43">
        <v>1.0425354462051709E-4</v>
      </c>
    </row>
    <row r="210" spans="2:5" ht="15" customHeight="1" x14ac:dyDescent="0.25">
      <c r="B210" s="81"/>
      <c r="C210" s="45" t="s">
        <v>250</v>
      </c>
      <c r="D210" s="44">
        <v>1</v>
      </c>
      <c r="E210" s="43">
        <v>1.0425354462051709E-4</v>
      </c>
    </row>
    <row r="211" spans="2:5" ht="15" customHeight="1" x14ac:dyDescent="0.25">
      <c r="B211" s="81"/>
      <c r="C211" s="45" t="s">
        <v>166</v>
      </c>
      <c r="D211" s="44">
        <v>19</v>
      </c>
      <c r="E211" s="43">
        <v>1.9808173477898249E-3</v>
      </c>
    </row>
    <row r="212" spans="2:5" ht="15" customHeight="1" x14ac:dyDescent="0.25">
      <c r="B212" s="81"/>
      <c r="C212" s="45" t="s">
        <v>130</v>
      </c>
      <c r="D212" s="44">
        <v>1</v>
      </c>
      <c r="E212" s="43">
        <v>1.0425354462051709E-4</v>
      </c>
    </row>
    <row r="213" spans="2:5" ht="15" customHeight="1" x14ac:dyDescent="0.25">
      <c r="B213" s="81"/>
      <c r="C213" s="45" t="s">
        <v>163</v>
      </c>
      <c r="D213" s="44">
        <v>2</v>
      </c>
      <c r="E213" s="43">
        <v>2.0850708924103419E-4</v>
      </c>
    </row>
    <row r="214" spans="2:5" ht="15" customHeight="1" x14ac:dyDescent="0.25">
      <c r="B214" s="82"/>
      <c r="C214" s="42" t="s">
        <v>22</v>
      </c>
      <c r="D214" s="41">
        <v>34</v>
      </c>
      <c r="E214" s="40">
        <v>3.5446205170975814E-3</v>
      </c>
    </row>
    <row r="215" spans="2:5" ht="15" customHeight="1" x14ac:dyDescent="0.25">
      <c r="B215" s="80" t="s">
        <v>112</v>
      </c>
      <c r="C215" s="45" t="s">
        <v>133</v>
      </c>
      <c r="D215" s="44">
        <v>4</v>
      </c>
      <c r="E215" s="43">
        <v>4.1701417848206837E-4</v>
      </c>
    </row>
    <row r="216" spans="2:5" ht="15" customHeight="1" x14ac:dyDescent="0.25">
      <c r="B216" s="81"/>
      <c r="C216" s="45" t="s">
        <v>148</v>
      </c>
      <c r="D216" s="44">
        <v>23</v>
      </c>
      <c r="E216" s="43">
        <v>2.3978315262718933E-3</v>
      </c>
    </row>
    <row r="217" spans="2:5" ht="15" customHeight="1" x14ac:dyDescent="0.25">
      <c r="B217" s="81"/>
      <c r="C217" s="45" t="s">
        <v>153</v>
      </c>
      <c r="D217" s="44">
        <v>67</v>
      </c>
      <c r="E217" s="43">
        <v>6.9849874895746454E-3</v>
      </c>
    </row>
    <row r="218" spans="2:5" ht="15" customHeight="1" x14ac:dyDescent="0.25">
      <c r="B218" s="81"/>
      <c r="C218" s="45" t="s">
        <v>156</v>
      </c>
      <c r="D218" s="44">
        <v>18</v>
      </c>
      <c r="E218" s="43">
        <v>1.8765638031693077E-3</v>
      </c>
    </row>
    <row r="219" spans="2:5" ht="15" customHeight="1" x14ac:dyDescent="0.25">
      <c r="B219" s="81"/>
      <c r="C219" s="45" t="s">
        <v>136</v>
      </c>
      <c r="D219" s="44">
        <v>7</v>
      </c>
      <c r="E219" s="43">
        <v>7.2977481234361965E-4</v>
      </c>
    </row>
    <row r="220" spans="2:5" ht="15" customHeight="1" x14ac:dyDescent="0.25">
      <c r="B220" s="81"/>
      <c r="C220" s="45" t="s">
        <v>146</v>
      </c>
      <c r="D220" s="44">
        <v>6</v>
      </c>
      <c r="E220" s="43">
        <v>6.2552126772310256E-4</v>
      </c>
    </row>
    <row r="221" spans="2:5" ht="15" customHeight="1" x14ac:dyDescent="0.25">
      <c r="B221" s="81"/>
      <c r="C221" s="45" t="s">
        <v>132</v>
      </c>
      <c r="D221" s="44">
        <v>1</v>
      </c>
      <c r="E221" s="43">
        <v>1.0425354462051709E-4</v>
      </c>
    </row>
    <row r="222" spans="2:5" ht="15" customHeight="1" x14ac:dyDescent="0.25">
      <c r="B222" s="81"/>
      <c r="C222" s="45" t="s">
        <v>159</v>
      </c>
      <c r="D222" s="44">
        <v>92</v>
      </c>
      <c r="E222" s="43">
        <v>9.591326105087573E-3</v>
      </c>
    </row>
    <row r="223" spans="2:5" ht="15" customHeight="1" x14ac:dyDescent="0.25">
      <c r="B223" s="81"/>
      <c r="C223" s="45" t="s">
        <v>251</v>
      </c>
      <c r="D223" s="44">
        <v>2</v>
      </c>
      <c r="E223" s="43">
        <v>2.0850708924103419E-4</v>
      </c>
    </row>
    <row r="224" spans="2:5" ht="15" customHeight="1" x14ac:dyDescent="0.25">
      <c r="B224" s="81"/>
      <c r="C224" s="45" t="s">
        <v>151</v>
      </c>
      <c r="D224" s="44">
        <v>21</v>
      </c>
      <c r="E224" s="43">
        <v>2.1893244370308589E-3</v>
      </c>
    </row>
    <row r="225" spans="2:5" ht="15" customHeight="1" x14ac:dyDescent="0.25">
      <c r="B225" s="81"/>
      <c r="C225" s="45" t="s">
        <v>157</v>
      </c>
      <c r="D225" s="44">
        <v>19</v>
      </c>
      <c r="E225" s="43">
        <v>1.9808173477898249E-3</v>
      </c>
    </row>
    <row r="226" spans="2:5" ht="15" customHeight="1" x14ac:dyDescent="0.25">
      <c r="B226" s="81"/>
      <c r="C226" s="45" t="s">
        <v>137</v>
      </c>
      <c r="D226" s="44">
        <v>17</v>
      </c>
      <c r="E226" s="43">
        <v>1.7723102585487907E-3</v>
      </c>
    </row>
    <row r="227" spans="2:5" ht="15" customHeight="1" x14ac:dyDescent="0.25">
      <c r="B227" s="81"/>
      <c r="C227" s="45" t="s">
        <v>145</v>
      </c>
      <c r="D227" s="44">
        <v>1</v>
      </c>
      <c r="E227" s="43">
        <v>1.0425354462051709E-4</v>
      </c>
    </row>
    <row r="228" spans="2:5" ht="15" customHeight="1" x14ac:dyDescent="0.25">
      <c r="B228" s="81"/>
      <c r="C228" s="45" t="s">
        <v>164</v>
      </c>
      <c r="D228" s="44">
        <v>169</v>
      </c>
      <c r="E228" s="43">
        <v>1.7618849040867388E-2</v>
      </c>
    </row>
    <row r="229" spans="2:5" ht="15" customHeight="1" x14ac:dyDescent="0.25">
      <c r="B229" s="81"/>
      <c r="C229" s="45" t="s">
        <v>134</v>
      </c>
      <c r="D229" s="44">
        <v>1</v>
      </c>
      <c r="E229" s="43">
        <v>1.0425354462051709E-4</v>
      </c>
    </row>
    <row r="230" spans="2:5" ht="15" customHeight="1" x14ac:dyDescent="0.25">
      <c r="B230" s="81"/>
      <c r="C230" s="45" t="s">
        <v>154</v>
      </c>
      <c r="D230" s="44">
        <v>13</v>
      </c>
      <c r="E230" s="43">
        <v>1.3552960800667223E-3</v>
      </c>
    </row>
    <row r="231" spans="2:5" ht="15" customHeight="1" x14ac:dyDescent="0.25">
      <c r="B231" s="81"/>
      <c r="C231" s="45" t="s">
        <v>127</v>
      </c>
      <c r="D231" s="44">
        <v>2</v>
      </c>
      <c r="E231" s="43">
        <v>2.0850708924103419E-4</v>
      </c>
    </row>
    <row r="232" spans="2:5" ht="15" customHeight="1" x14ac:dyDescent="0.25">
      <c r="B232" s="81"/>
      <c r="C232" s="45" t="s">
        <v>125</v>
      </c>
      <c r="D232" s="44">
        <v>3</v>
      </c>
      <c r="E232" s="43">
        <v>3.1276063386155128E-4</v>
      </c>
    </row>
    <row r="233" spans="2:5" ht="15" customHeight="1" x14ac:dyDescent="0.25">
      <c r="B233" s="81"/>
      <c r="C233" s="45" t="s">
        <v>158</v>
      </c>
      <c r="D233" s="44">
        <v>43</v>
      </c>
      <c r="E233" s="43">
        <v>4.4829024186822351E-3</v>
      </c>
    </row>
    <row r="234" spans="2:5" ht="15" customHeight="1" x14ac:dyDescent="0.25">
      <c r="B234" s="81"/>
      <c r="C234" s="45" t="s">
        <v>129</v>
      </c>
      <c r="D234" s="44">
        <v>3</v>
      </c>
      <c r="E234" s="43">
        <v>3.1276063386155128E-4</v>
      </c>
    </row>
    <row r="235" spans="2:5" ht="15" customHeight="1" x14ac:dyDescent="0.25">
      <c r="B235" s="81"/>
      <c r="C235" s="45" t="s">
        <v>124</v>
      </c>
      <c r="D235" s="44">
        <v>4</v>
      </c>
      <c r="E235" s="43">
        <v>4.1701417848206837E-4</v>
      </c>
    </row>
    <row r="236" spans="2:5" ht="15" customHeight="1" x14ac:dyDescent="0.25">
      <c r="B236" s="81"/>
      <c r="C236" s="45" t="s">
        <v>126</v>
      </c>
      <c r="D236" s="44">
        <v>4</v>
      </c>
      <c r="E236" s="43">
        <v>4.1701417848206837E-4</v>
      </c>
    </row>
    <row r="237" spans="2:5" ht="15" customHeight="1" x14ac:dyDescent="0.25">
      <c r="B237" s="81"/>
      <c r="C237" s="45" t="s">
        <v>150</v>
      </c>
      <c r="D237" s="44">
        <v>7</v>
      </c>
      <c r="E237" s="43">
        <v>7.2977481234361965E-4</v>
      </c>
    </row>
    <row r="238" spans="2:5" ht="15" customHeight="1" x14ac:dyDescent="0.25">
      <c r="B238" s="81"/>
      <c r="C238" s="45" t="s">
        <v>165</v>
      </c>
      <c r="D238" s="44">
        <v>192</v>
      </c>
      <c r="E238" s="43">
        <v>2.0016680567139282E-2</v>
      </c>
    </row>
    <row r="239" spans="2:5" ht="15" customHeight="1" x14ac:dyDescent="0.25">
      <c r="B239" s="81"/>
      <c r="C239" s="45" t="s">
        <v>140</v>
      </c>
      <c r="D239" s="44">
        <v>7</v>
      </c>
      <c r="E239" s="43">
        <v>7.2977481234361965E-4</v>
      </c>
    </row>
    <row r="240" spans="2:5" ht="15" customHeight="1" x14ac:dyDescent="0.25">
      <c r="B240" s="81"/>
      <c r="C240" s="45" t="s">
        <v>117</v>
      </c>
      <c r="D240" s="44">
        <v>4</v>
      </c>
      <c r="E240" s="43">
        <v>4.1701417848206837E-4</v>
      </c>
    </row>
    <row r="241" spans="2:5" ht="15" customHeight="1" x14ac:dyDescent="0.25">
      <c r="B241" s="81"/>
      <c r="C241" s="45" t="s">
        <v>142</v>
      </c>
      <c r="D241" s="44">
        <v>10</v>
      </c>
      <c r="E241" s="43">
        <v>1.0425354462051709E-3</v>
      </c>
    </row>
    <row r="242" spans="2:5" ht="15" customHeight="1" x14ac:dyDescent="0.25">
      <c r="B242" s="81"/>
      <c r="C242" s="45" t="s">
        <v>118</v>
      </c>
      <c r="D242" s="44">
        <v>1</v>
      </c>
      <c r="E242" s="43">
        <v>1.0425354462051709E-4</v>
      </c>
    </row>
    <row r="243" spans="2:5" ht="15" customHeight="1" x14ac:dyDescent="0.25">
      <c r="B243" s="81"/>
      <c r="C243" s="45" t="s">
        <v>131</v>
      </c>
      <c r="D243" s="44">
        <v>4</v>
      </c>
      <c r="E243" s="43">
        <v>4.1701417848206837E-4</v>
      </c>
    </row>
    <row r="244" spans="2:5" ht="15" customHeight="1" x14ac:dyDescent="0.25">
      <c r="B244" s="81"/>
      <c r="C244" s="45" t="s">
        <v>143</v>
      </c>
      <c r="D244" s="44">
        <v>1</v>
      </c>
      <c r="E244" s="43">
        <v>1.0425354462051709E-4</v>
      </c>
    </row>
    <row r="245" spans="2:5" ht="15" customHeight="1" x14ac:dyDescent="0.25">
      <c r="B245" s="81"/>
      <c r="C245" s="45" t="s">
        <v>162</v>
      </c>
      <c r="D245" s="44">
        <v>141</v>
      </c>
      <c r="E245" s="43">
        <v>1.4699749791492911E-2</v>
      </c>
    </row>
    <row r="246" spans="2:5" ht="15" customHeight="1" x14ac:dyDescent="0.25">
      <c r="B246" s="81"/>
      <c r="C246" s="45" t="s">
        <v>139</v>
      </c>
      <c r="D246" s="44">
        <v>3</v>
      </c>
      <c r="E246" s="43">
        <v>3.1276063386155128E-4</v>
      </c>
    </row>
    <row r="247" spans="2:5" ht="15" customHeight="1" x14ac:dyDescent="0.25">
      <c r="B247" s="81"/>
      <c r="C247" s="45" t="s">
        <v>141</v>
      </c>
      <c r="D247" s="44">
        <v>11</v>
      </c>
      <c r="E247" s="43">
        <v>1.1467889908256881E-3</v>
      </c>
    </row>
    <row r="248" spans="2:5" ht="15" customHeight="1" x14ac:dyDescent="0.25">
      <c r="B248" s="81"/>
      <c r="C248" s="45" t="s">
        <v>149</v>
      </c>
      <c r="D248" s="44">
        <v>15</v>
      </c>
      <c r="E248" s="43">
        <v>1.5638031693077565E-3</v>
      </c>
    </row>
    <row r="249" spans="2:5" ht="15" customHeight="1" x14ac:dyDescent="0.25">
      <c r="B249" s="81"/>
      <c r="C249" s="45" t="s">
        <v>120</v>
      </c>
      <c r="D249" s="44">
        <v>8</v>
      </c>
      <c r="E249" s="43">
        <v>8.3402835696413675E-4</v>
      </c>
    </row>
    <row r="250" spans="2:5" ht="15" customHeight="1" x14ac:dyDescent="0.25">
      <c r="B250" s="81"/>
      <c r="C250" s="45" t="s">
        <v>116</v>
      </c>
      <c r="D250" s="44">
        <v>3</v>
      </c>
      <c r="E250" s="43">
        <v>3.1276063386155128E-4</v>
      </c>
    </row>
    <row r="251" spans="2:5" ht="15" customHeight="1" x14ac:dyDescent="0.25">
      <c r="B251" s="81"/>
      <c r="C251" s="45" t="s">
        <v>152</v>
      </c>
      <c r="D251" s="44">
        <v>14</v>
      </c>
      <c r="E251" s="43">
        <v>1.4595496246872393E-3</v>
      </c>
    </row>
    <row r="252" spans="2:5" ht="15" customHeight="1" x14ac:dyDescent="0.25">
      <c r="B252" s="81"/>
      <c r="C252" s="45" t="s">
        <v>121</v>
      </c>
      <c r="D252" s="44">
        <v>1</v>
      </c>
      <c r="E252" s="43">
        <v>1.0425354462051709E-4</v>
      </c>
    </row>
    <row r="253" spans="2:5" ht="15" customHeight="1" x14ac:dyDescent="0.25">
      <c r="B253" s="81"/>
      <c r="C253" s="45" t="s">
        <v>250</v>
      </c>
      <c r="D253" s="44">
        <v>111</v>
      </c>
      <c r="E253" s="43">
        <v>1.1572143452877397E-2</v>
      </c>
    </row>
    <row r="254" spans="2:5" ht="15" customHeight="1" x14ac:dyDescent="0.25">
      <c r="B254" s="81"/>
      <c r="C254" s="45" t="s">
        <v>166</v>
      </c>
      <c r="D254" s="44">
        <v>1692</v>
      </c>
      <c r="E254" s="43">
        <v>0.17639699749791493</v>
      </c>
    </row>
    <row r="255" spans="2:5" ht="15" customHeight="1" x14ac:dyDescent="0.25">
      <c r="B255" s="81"/>
      <c r="C255" s="45" t="s">
        <v>119</v>
      </c>
      <c r="D255" s="44">
        <v>4</v>
      </c>
      <c r="E255" s="43">
        <v>4.1701417848206837E-4</v>
      </c>
    </row>
    <row r="256" spans="2:5" ht="15" customHeight="1" x14ac:dyDescent="0.25">
      <c r="B256" s="81"/>
      <c r="C256" s="45" t="s">
        <v>130</v>
      </c>
      <c r="D256" s="44">
        <v>12</v>
      </c>
      <c r="E256" s="43">
        <v>1.2510425354462051E-3</v>
      </c>
    </row>
    <row r="257" spans="2:5" ht="15" customHeight="1" x14ac:dyDescent="0.25">
      <c r="B257" s="81"/>
      <c r="C257" s="45" t="s">
        <v>128</v>
      </c>
      <c r="D257" s="44">
        <v>2</v>
      </c>
      <c r="E257" s="43">
        <v>2.0850708924103419E-4</v>
      </c>
    </row>
    <row r="258" spans="2:5" ht="15" customHeight="1" x14ac:dyDescent="0.25">
      <c r="B258" s="81"/>
      <c r="C258" s="45" t="s">
        <v>160</v>
      </c>
      <c r="D258" s="44">
        <v>113</v>
      </c>
      <c r="E258" s="43">
        <v>1.1780650542118432E-2</v>
      </c>
    </row>
    <row r="259" spans="2:5" ht="15" customHeight="1" x14ac:dyDescent="0.25">
      <c r="B259" s="81"/>
      <c r="C259" s="45" t="s">
        <v>123</v>
      </c>
      <c r="D259" s="44">
        <v>8</v>
      </c>
      <c r="E259" s="43">
        <v>8.3402835696413675E-4</v>
      </c>
    </row>
    <row r="260" spans="2:5" ht="15" customHeight="1" x14ac:dyDescent="0.25">
      <c r="B260" s="81"/>
      <c r="C260" s="45" t="s">
        <v>163</v>
      </c>
      <c r="D260" s="44">
        <v>198</v>
      </c>
      <c r="E260" s="43">
        <v>2.0642201834862386E-2</v>
      </c>
    </row>
    <row r="261" spans="2:5" ht="15" customHeight="1" x14ac:dyDescent="0.25">
      <c r="B261" s="81"/>
      <c r="C261" s="45" t="s">
        <v>155</v>
      </c>
      <c r="D261" s="44">
        <v>47</v>
      </c>
      <c r="E261" s="43">
        <v>4.8999165971643039E-3</v>
      </c>
    </row>
    <row r="262" spans="2:5" ht="15" customHeight="1" x14ac:dyDescent="0.25">
      <c r="B262" s="81"/>
      <c r="C262" s="45" t="s">
        <v>138</v>
      </c>
      <c r="D262" s="44">
        <v>9</v>
      </c>
      <c r="E262" s="43">
        <v>9.3828190158465384E-4</v>
      </c>
    </row>
    <row r="263" spans="2:5" ht="15" customHeight="1" x14ac:dyDescent="0.25">
      <c r="B263" s="81"/>
      <c r="C263" s="45" t="s">
        <v>147</v>
      </c>
      <c r="D263" s="44">
        <v>20</v>
      </c>
      <c r="E263" s="43">
        <v>2.0850708924103419E-3</v>
      </c>
    </row>
    <row r="264" spans="2:5" ht="15" customHeight="1" x14ac:dyDescent="0.25">
      <c r="B264" s="81"/>
      <c r="C264" s="45" t="s">
        <v>135</v>
      </c>
      <c r="D264" s="44">
        <v>6</v>
      </c>
      <c r="E264" s="43">
        <v>6.2552126772310256E-4</v>
      </c>
    </row>
    <row r="265" spans="2:5" ht="15" customHeight="1" x14ac:dyDescent="0.25">
      <c r="B265" s="81"/>
      <c r="C265" s="45" t="s">
        <v>144</v>
      </c>
      <c r="D265" s="44">
        <v>3</v>
      </c>
      <c r="E265" s="43">
        <v>3.1276063386155128E-4</v>
      </c>
    </row>
    <row r="266" spans="2:5" ht="15" customHeight="1" x14ac:dyDescent="0.25">
      <c r="B266" s="82"/>
      <c r="C266" s="42" t="s">
        <v>22</v>
      </c>
      <c r="D266" s="41">
        <v>3167</v>
      </c>
      <c r="E266" s="40">
        <v>0.33017097581317767</v>
      </c>
    </row>
    <row r="267" spans="2:5" ht="15" customHeight="1" x14ac:dyDescent="0.25">
      <c r="B267" s="80" t="s">
        <v>96</v>
      </c>
      <c r="C267" s="45" t="s">
        <v>133</v>
      </c>
      <c r="D267" s="44">
        <v>1</v>
      </c>
      <c r="E267" s="43">
        <v>1.0425354462051709E-4</v>
      </c>
    </row>
    <row r="268" spans="2:5" ht="15" customHeight="1" x14ac:dyDescent="0.25">
      <c r="B268" s="81"/>
      <c r="C268" s="45" t="s">
        <v>156</v>
      </c>
      <c r="D268" s="44">
        <v>2</v>
      </c>
      <c r="E268" s="43">
        <v>2.0850708924103419E-4</v>
      </c>
    </row>
    <row r="269" spans="2:5" ht="15" customHeight="1" x14ac:dyDescent="0.25">
      <c r="B269" s="81"/>
      <c r="C269" s="45" t="s">
        <v>146</v>
      </c>
      <c r="D269" s="44">
        <v>2</v>
      </c>
      <c r="E269" s="43">
        <v>2.0850708924103419E-4</v>
      </c>
    </row>
    <row r="270" spans="2:5" ht="15" customHeight="1" x14ac:dyDescent="0.25">
      <c r="B270" s="81"/>
      <c r="C270" s="45" t="s">
        <v>159</v>
      </c>
      <c r="D270" s="44">
        <v>2</v>
      </c>
      <c r="E270" s="43">
        <v>2.0850708924103419E-4</v>
      </c>
    </row>
    <row r="271" spans="2:5" ht="15" customHeight="1" x14ac:dyDescent="0.25">
      <c r="B271" s="81"/>
      <c r="C271" s="45" t="s">
        <v>145</v>
      </c>
      <c r="D271" s="44">
        <v>1</v>
      </c>
      <c r="E271" s="43">
        <v>1.0425354462051709E-4</v>
      </c>
    </row>
    <row r="272" spans="2:5" ht="15" customHeight="1" x14ac:dyDescent="0.25">
      <c r="B272" s="81"/>
      <c r="C272" s="45" t="s">
        <v>164</v>
      </c>
      <c r="D272" s="44">
        <v>2</v>
      </c>
      <c r="E272" s="43">
        <v>2.0850708924103419E-4</v>
      </c>
    </row>
    <row r="273" spans="2:5" ht="15" customHeight="1" x14ac:dyDescent="0.25">
      <c r="B273" s="81"/>
      <c r="C273" s="45" t="s">
        <v>124</v>
      </c>
      <c r="D273" s="44">
        <v>1</v>
      </c>
      <c r="E273" s="43">
        <v>1.0425354462051709E-4</v>
      </c>
    </row>
    <row r="274" spans="2:5" ht="15" customHeight="1" x14ac:dyDescent="0.25">
      <c r="B274" s="81"/>
      <c r="C274" s="45" t="s">
        <v>165</v>
      </c>
      <c r="D274" s="44">
        <v>6</v>
      </c>
      <c r="E274" s="43">
        <v>6.2552126772310256E-4</v>
      </c>
    </row>
    <row r="275" spans="2:5" ht="15" customHeight="1" x14ac:dyDescent="0.25">
      <c r="B275" s="81"/>
      <c r="C275" s="45" t="s">
        <v>131</v>
      </c>
      <c r="D275" s="44">
        <v>1</v>
      </c>
      <c r="E275" s="43">
        <v>1.0425354462051709E-4</v>
      </c>
    </row>
    <row r="276" spans="2:5" ht="15" customHeight="1" x14ac:dyDescent="0.25">
      <c r="B276" s="81"/>
      <c r="C276" s="45" t="s">
        <v>162</v>
      </c>
      <c r="D276" s="44">
        <v>2</v>
      </c>
      <c r="E276" s="43">
        <v>2.0850708924103419E-4</v>
      </c>
    </row>
    <row r="277" spans="2:5" ht="15" customHeight="1" x14ac:dyDescent="0.25">
      <c r="B277" s="81"/>
      <c r="C277" s="45" t="s">
        <v>152</v>
      </c>
      <c r="D277" s="44">
        <v>4</v>
      </c>
      <c r="E277" s="43">
        <v>4.1701417848206837E-4</v>
      </c>
    </row>
    <row r="278" spans="2:5" ht="15" customHeight="1" x14ac:dyDescent="0.25">
      <c r="B278" s="81"/>
      <c r="C278" s="45" t="s">
        <v>250</v>
      </c>
      <c r="D278" s="44">
        <v>1</v>
      </c>
      <c r="E278" s="43">
        <v>1.0425354462051709E-4</v>
      </c>
    </row>
    <row r="279" spans="2:5" ht="15" customHeight="1" x14ac:dyDescent="0.25">
      <c r="B279" s="81"/>
      <c r="C279" s="45" t="s">
        <v>166</v>
      </c>
      <c r="D279" s="44">
        <v>33</v>
      </c>
      <c r="E279" s="43">
        <v>3.4403669724770644E-3</v>
      </c>
    </row>
    <row r="280" spans="2:5" ht="15" customHeight="1" x14ac:dyDescent="0.25">
      <c r="B280" s="81"/>
      <c r="C280" s="45" t="s">
        <v>128</v>
      </c>
      <c r="D280" s="44">
        <v>1</v>
      </c>
      <c r="E280" s="43">
        <v>1.0425354462051709E-4</v>
      </c>
    </row>
    <row r="281" spans="2:5" ht="15" customHeight="1" x14ac:dyDescent="0.25">
      <c r="B281" s="81"/>
      <c r="C281" s="45" t="s">
        <v>160</v>
      </c>
      <c r="D281" s="44">
        <v>1</v>
      </c>
      <c r="E281" s="43">
        <v>1.0425354462051709E-4</v>
      </c>
    </row>
    <row r="282" spans="2:5" ht="15" customHeight="1" x14ac:dyDescent="0.25">
      <c r="B282" s="81"/>
      <c r="C282" s="45" t="s">
        <v>163</v>
      </c>
      <c r="D282" s="44">
        <v>2</v>
      </c>
      <c r="E282" s="43">
        <v>2.0850708924103419E-4</v>
      </c>
    </row>
    <row r="283" spans="2:5" ht="15" customHeight="1" x14ac:dyDescent="0.25">
      <c r="B283" s="81"/>
      <c r="C283" s="45" t="s">
        <v>155</v>
      </c>
      <c r="D283" s="44">
        <v>1</v>
      </c>
      <c r="E283" s="43">
        <v>1.0425354462051709E-4</v>
      </c>
    </row>
    <row r="284" spans="2:5" ht="15" customHeight="1" x14ac:dyDescent="0.25">
      <c r="B284" s="81"/>
      <c r="C284" s="45" t="s">
        <v>138</v>
      </c>
      <c r="D284" s="44">
        <v>1</v>
      </c>
      <c r="E284" s="43">
        <v>1.0425354462051709E-4</v>
      </c>
    </row>
    <row r="285" spans="2:5" ht="15" customHeight="1" x14ac:dyDescent="0.25">
      <c r="B285" s="82"/>
      <c r="C285" s="42" t="s">
        <v>22</v>
      </c>
      <c r="D285" s="41">
        <v>64</v>
      </c>
      <c r="E285" s="40">
        <v>6.672226855713094E-3</v>
      </c>
    </row>
    <row r="286" spans="2:5" ht="15" customHeight="1" x14ac:dyDescent="0.25">
      <c r="B286" s="80" t="s">
        <v>91</v>
      </c>
      <c r="C286" s="45" t="s">
        <v>156</v>
      </c>
      <c r="D286" s="44">
        <v>1</v>
      </c>
      <c r="E286" s="43">
        <v>1.0425354462051709E-4</v>
      </c>
    </row>
    <row r="287" spans="2:5" ht="15" customHeight="1" x14ac:dyDescent="0.25">
      <c r="B287" s="81"/>
      <c r="C287" s="45" t="s">
        <v>164</v>
      </c>
      <c r="D287" s="44">
        <v>1</v>
      </c>
      <c r="E287" s="43">
        <v>1.0425354462051709E-4</v>
      </c>
    </row>
    <row r="288" spans="2:5" ht="15" customHeight="1" x14ac:dyDescent="0.25">
      <c r="B288" s="81"/>
      <c r="C288" s="45" t="s">
        <v>165</v>
      </c>
      <c r="D288" s="44">
        <v>5</v>
      </c>
      <c r="E288" s="43">
        <v>5.2126772310258547E-4</v>
      </c>
    </row>
    <row r="289" spans="2:5" ht="15" customHeight="1" x14ac:dyDescent="0.25">
      <c r="B289" s="81"/>
      <c r="C289" s="45" t="s">
        <v>162</v>
      </c>
      <c r="D289" s="44">
        <v>6</v>
      </c>
      <c r="E289" s="43">
        <v>6.2552126772310256E-4</v>
      </c>
    </row>
    <row r="290" spans="2:5" ht="15" customHeight="1" x14ac:dyDescent="0.25">
      <c r="B290" s="81"/>
      <c r="C290" s="45" t="s">
        <v>121</v>
      </c>
      <c r="D290" s="44">
        <v>1</v>
      </c>
      <c r="E290" s="43">
        <v>1.0425354462051709E-4</v>
      </c>
    </row>
    <row r="291" spans="2:5" ht="15" customHeight="1" x14ac:dyDescent="0.25">
      <c r="B291" s="81"/>
      <c r="C291" s="45" t="s">
        <v>250</v>
      </c>
      <c r="D291" s="44">
        <v>6</v>
      </c>
      <c r="E291" s="43">
        <v>6.2552126772310256E-4</v>
      </c>
    </row>
    <row r="292" spans="2:5" ht="15" customHeight="1" x14ac:dyDescent="0.25">
      <c r="B292" s="81"/>
      <c r="C292" s="45" t="s">
        <v>166</v>
      </c>
      <c r="D292" s="44">
        <v>30</v>
      </c>
      <c r="E292" s="43">
        <v>3.127606338615513E-3</v>
      </c>
    </row>
    <row r="293" spans="2:5" ht="15" customHeight="1" x14ac:dyDescent="0.25">
      <c r="B293" s="81"/>
      <c r="C293" s="45" t="s">
        <v>163</v>
      </c>
      <c r="D293" s="44">
        <v>7</v>
      </c>
      <c r="E293" s="43">
        <v>7.2977481234361965E-4</v>
      </c>
    </row>
    <row r="294" spans="2:5" ht="15" customHeight="1" x14ac:dyDescent="0.25">
      <c r="B294" s="81"/>
      <c r="C294" s="45" t="s">
        <v>155</v>
      </c>
      <c r="D294" s="44">
        <v>1</v>
      </c>
      <c r="E294" s="43">
        <v>1.0425354462051709E-4</v>
      </c>
    </row>
    <row r="295" spans="2:5" ht="15" customHeight="1" x14ac:dyDescent="0.25">
      <c r="B295" s="82"/>
      <c r="C295" s="42" t="s">
        <v>22</v>
      </c>
      <c r="D295" s="41">
        <v>58</v>
      </c>
      <c r="E295" s="40">
        <v>6.0467055879899921E-3</v>
      </c>
    </row>
    <row r="296" spans="2:5" ht="15" customHeight="1" x14ac:dyDescent="0.25">
      <c r="B296" s="80" t="s">
        <v>75</v>
      </c>
      <c r="C296" s="45" t="s">
        <v>148</v>
      </c>
      <c r="D296" s="44">
        <v>1</v>
      </c>
      <c r="E296" s="43">
        <v>1.0425354462051709E-4</v>
      </c>
    </row>
    <row r="297" spans="2:5" ht="15" customHeight="1" x14ac:dyDescent="0.25">
      <c r="B297" s="81"/>
      <c r="C297" s="45" t="s">
        <v>153</v>
      </c>
      <c r="D297" s="44">
        <v>2</v>
      </c>
      <c r="E297" s="43">
        <v>2.0850708924103419E-4</v>
      </c>
    </row>
    <row r="298" spans="2:5" ht="15" customHeight="1" x14ac:dyDescent="0.25">
      <c r="B298" s="81"/>
      <c r="C298" s="45" t="s">
        <v>156</v>
      </c>
      <c r="D298" s="44">
        <v>35</v>
      </c>
      <c r="E298" s="43">
        <v>3.6488740617180984E-3</v>
      </c>
    </row>
    <row r="299" spans="2:5" ht="15" customHeight="1" x14ac:dyDescent="0.25">
      <c r="B299" s="81"/>
      <c r="C299" s="45" t="s">
        <v>136</v>
      </c>
      <c r="D299" s="44">
        <v>1</v>
      </c>
      <c r="E299" s="43">
        <v>1.0425354462051709E-4</v>
      </c>
    </row>
    <row r="300" spans="2:5" ht="15" customHeight="1" x14ac:dyDescent="0.25">
      <c r="B300" s="81"/>
      <c r="C300" s="45" t="s">
        <v>146</v>
      </c>
      <c r="D300" s="44">
        <v>1</v>
      </c>
      <c r="E300" s="43">
        <v>1.0425354462051709E-4</v>
      </c>
    </row>
    <row r="301" spans="2:5" ht="15" customHeight="1" x14ac:dyDescent="0.25">
      <c r="B301" s="81"/>
      <c r="C301" s="45" t="s">
        <v>159</v>
      </c>
      <c r="D301" s="44">
        <v>2</v>
      </c>
      <c r="E301" s="43">
        <v>2.0850708924103419E-4</v>
      </c>
    </row>
    <row r="302" spans="2:5" ht="15" customHeight="1" x14ac:dyDescent="0.25">
      <c r="B302" s="81"/>
      <c r="C302" s="45" t="s">
        <v>157</v>
      </c>
      <c r="D302" s="44">
        <v>1</v>
      </c>
      <c r="E302" s="43">
        <v>1.0425354462051709E-4</v>
      </c>
    </row>
    <row r="303" spans="2:5" ht="15" customHeight="1" x14ac:dyDescent="0.25">
      <c r="B303" s="81"/>
      <c r="C303" s="45" t="s">
        <v>137</v>
      </c>
      <c r="D303" s="44">
        <v>1</v>
      </c>
      <c r="E303" s="43">
        <v>1.0425354462051709E-4</v>
      </c>
    </row>
    <row r="304" spans="2:5" ht="15" customHeight="1" x14ac:dyDescent="0.25">
      <c r="B304" s="81"/>
      <c r="C304" s="45" t="s">
        <v>164</v>
      </c>
      <c r="D304" s="44">
        <v>2</v>
      </c>
      <c r="E304" s="43">
        <v>2.0850708924103419E-4</v>
      </c>
    </row>
    <row r="305" spans="2:5" ht="15" customHeight="1" x14ac:dyDescent="0.25">
      <c r="B305" s="81"/>
      <c r="C305" s="45" t="s">
        <v>154</v>
      </c>
      <c r="D305" s="44">
        <v>1</v>
      </c>
      <c r="E305" s="43">
        <v>1.0425354462051709E-4</v>
      </c>
    </row>
    <row r="306" spans="2:5" ht="15" customHeight="1" x14ac:dyDescent="0.25">
      <c r="B306" s="81"/>
      <c r="C306" s="45" t="s">
        <v>150</v>
      </c>
      <c r="D306" s="44">
        <v>1</v>
      </c>
      <c r="E306" s="43">
        <v>1.0425354462051709E-4</v>
      </c>
    </row>
    <row r="307" spans="2:5" ht="15" customHeight="1" x14ac:dyDescent="0.25">
      <c r="B307" s="81"/>
      <c r="C307" s="45" t="s">
        <v>165</v>
      </c>
      <c r="D307" s="44">
        <v>8</v>
      </c>
      <c r="E307" s="43">
        <v>8.3402835696413675E-4</v>
      </c>
    </row>
    <row r="308" spans="2:5" ht="15" customHeight="1" x14ac:dyDescent="0.25">
      <c r="B308" s="81"/>
      <c r="C308" s="45" t="s">
        <v>140</v>
      </c>
      <c r="D308" s="44">
        <v>2</v>
      </c>
      <c r="E308" s="43">
        <v>2.0850708924103419E-4</v>
      </c>
    </row>
    <row r="309" spans="2:5" ht="15" customHeight="1" x14ac:dyDescent="0.25">
      <c r="B309" s="81"/>
      <c r="C309" s="45" t="s">
        <v>117</v>
      </c>
      <c r="D309" s="44">
        <v>1</v>
      </c>
      <c r="E309" s="43">
        <v>1.0425354462051709E-4</v>
      </c>
    </row>
    <row r="310" spans="2:5" ht="15" customHeight="1" x14ac:dyDescent="0.25">
      <c r="B310" s="81"/>
      <c r="C310" s="45" t="s">
        <v>143</v>
      </c>
      <c r="D310" s="44">
        <v>16</v>
      </c>
      <c r="E310" s="43">
        <v>1.6680567139282735E-3</v>
      </c>
    </row>
    <row r="311" spans="2:5" ht="15" customHeight="1" x14ac:dyDescent="0.25">
      <c r="B311" s="81"/>
      <c r="C311" s="45" t="s">
        <v>162</v>
      </c>
      <c r="D311" s="44">
        <v>2</v>
      </c>
      <c r="E311" s="43">
        <v>2.0850708924103419E-4</v>
      </c>
    </row>
    <row r="312" spans="2:5" ht="15" customHeight="1" x14ac:dyDescent="0.25">
      <c r="B312" s="81"/>
      <c r="C312" s="45" t="s">
        <v>141</v>
      </c>
      <c r="D312" s="44">
        <v>1</v>
      </c>
      <c r="E312" s="43">
        <v>1.0425354462051709E-4</v>
      </c>
    </row>
    <row r="313" spans="2:5" ht="15" customHeight="1" x14ac:dyDescent="0.25">
      <c r="B313" s="81"/>
      <c r="C313" s="45" t="s">
        <v>250</v>
      </c>
      <c r="D313" s="44">
        <v>1</v>
      </c>
      <c r="E313" s="43">
        <v>1.0425354462051709E-4</v>
      </c>
    </row>
    <row r="314" spans="2:5" ht="15" customHeight="1" x14ac:dyDescent="0.25">
      <c r="B314" s="81"/>
      <c r="C314" s="45" t="s">
        <v>166</v>
      </c>
      <c r="D314" s="44">
        <v>87</v>
      </c>
      <c r="E314" s="43">
        <v>9.0700583819849877E-3</v>
      </c>
    </row>
    <row r="315" spans="2:5" ht="15" customHeight="1" x14ac:dyDescent="0.25">
      <c r="B315" s="81"/>
      <c r="C315" s="45" t="s">
        <v>119</v>
      </c>
      <c r="D315" s="44">
        <v>3</v>
      </c>
      <c r="E315" s="43">
        <v>3.1276063386155128E-4</v>
      </c>
    </row>
    <row r="316" spans="2:5" ht="15" customHeight="1" x14ac:dyDescent="0.25">
      <c r="B316" s="81"/>
      <c r="C316" s="45" t="s">
        <v>160</v>
      </c>
      <c r="D316" s="44">
        <v>59</v>
      </c>
      <c r="E316" s="43">
        <v>6.1509591326105086E-3</v>
      </c>
    </row>
    <row r="317" spans="2:5" ht="15" customHeight="1" x14ac:dyDescent="0.25">
      <c r="B317" s="81"/>
      <c r="C317" s="45" t="s">
        <v>163</v>
      </c>
      <c r="D317" s="44">
        <v>10</v>
      </c>
      <c r="E317" s="43">
        <v>1.0425354462051709E-3</v>
      </c>
    </row>
    <row r="318" spans="2:5" ht="15" customHeight="1" x14ac:dyDescent="0.25">
      <c r="B318" s="81"/>
      <c r="C318" s="45" t="s">
        <v>155</v>
      </c>
      <c r="D318" s="44">
        <v>4</v>
      </c>
      <c r="E318" s="43">
        <v>4.1701417848206837E-4</v>
      </c>
    </row>
    <row r="319" spans="2:5" ht="15" customHeight="1" x14ac:dyDescent="0.25">
      <c r="B319" s="81"/>
      <c r="C319" s="45" t="s">
        <v>135</v>
      </c>
      <c r="D319" s="44">
        <v>4</v>
      </c>
      <c r="E319" s="43">
        <v>4.1701417848206837E-4</v>
      </c>
    </row>
    <row r="320" spans="2:5" ht="15" customHeight="1" x14ac:dyDescent="0.25">
      <c r="B320" s="81"/>
      <c r="C320" s="45" t="s">
        <v>144</v>
      </c>
      <c r="D320" s="44">
        <v>2</v>
      </c>
      <c r="E320" s="43">
        <v>2.0850708924103419E-4</v>
      </c>
    </row>
    <row r="321" spans="2:5" ht="15" customHeight="1" x14ac:dyDescent="0.25">
      <c r="B321" s="82"/>
      <c r="C321" s="42" t="s">
        <v>22</v>
      </c>
      <c r="D321" s="41">
        <v>248</v>
      </c>
      <c r="E321" s="40">
        <v>2.585487906588824E-2</v>
      </c>
    </row>
    <row r="322" spans="2:5" ht="15" customHeight="1" x14ac:dyDescent="0.25">
      <c r="B322" s="80" t="s">
        <v>98</v>
      </c>
      <c r="C322" s="45" t="s">
        <v>165</v>
      </c>
      <c r="D322" s="44">
        <v>4</v>
      </c>
      <c r="E322" s="43">
        <v>4.1701417848206837E-4</v>
      </c>
    </row>
    <row r="323" spans="2:5" ht="15" customHeight="1" x14ac:dyDescent="0.25">
      <c r="B323" s="81"/>
      <c r="C323" s="45" t="s">
        <v>250</v>
      </c>
      <c r="D323" s="44">
        <v>1</v>
      </c>
      <c r="E323" s="43">
        <v>1.0425354462051709E-4</v>
      </c>
    </row>
    <row r="324" spans="2:5" ht="15" customHeight="1" x14ac:dyDescent="0.25">
      <c r="B324" s="81"/>
      <c r="C324" s="45" t="s">
        <v>166</v>
      </c>
      <c r="D324" s="44">
        <v>16</v>
      </c>
      <c r="E324" s="43">
        <v>1.6680567139282735E-3</v>
      </c>
    </row>
    <row r="325" spans="2:5" ht="15" customHeight="1" x14ac:dyDescent="0.25">
      <c r="B325" s="81"/>
      <c r="C325" s="45" t="s">
        <v>163</v>
      </c>
      <c r="D325" s="44">
        <v>2</v>
      </c>
      <c r="E325" s="43">
        <v>2.0850708924103419E-4</v>
      </c>
    </row>
    <row r="326" spans="2:5" ht="15" customHeight="1" x14ac:dyDescent="0.25">
      <c r="B326" s="81"/>
      <c r="C326" s="45" t="s">
        <v>138</v>
      </c>
      <c r="D326" s="44">
        <v>1</v>
      </c>
      <c r="E326" s="43">
        <v>1.0425354462051709E-4</v>
      </c>
    </row>
    <row r="327" spans="2:5" ht="15" customHeight="1" x14ac:dyDescent="0.25">
      <c r="B327" s="82"/>
      <c r="C327" s="42" t="s">
        <v>22</v>
      </c>
      <c r="D327" s="41">
        <v>24</v>
      </c>
      <c r="E327" s="40">
        <v>2.5020850708924102E-3</v>
      </c>
    </row>
    <row r="328" spans="2:5" ht="15" customHeight="1" x14ac:dyDescent="0.25">
      <c r="B328" s="80" t="s">
        <v>102</v>
      </c>
      <c r="C328" s="45" t="s">
        <v>153</v>
      </c>
      <c r="D328" s="44">
        <v>8</v>
      </c>
      <c r="E328" s="43">
        <v>8.3402835696413675E-4</v>
      </c>
    </row>
    <row r="329" spans="2:5" ht="15" customHeight="1" x14ac:dyDescent="0.25">
      <c r="B329" s="81"/>
      <c r="C329" s="45" t="s">
        <v>136</v>
      </c>
      <c r="D329" s="44">
        <v>1</v>
      </c>
      <c r="E329" s="43">
        <v>1.0425354462051709E-4</v>
      </c>
    </row>
    <row r="330" spans="2:5" ht="15" customHeight="1" x14ac:dyDescent="0.25">
      <c r="B330" s="81"/>
      <c r="C330" s="45" t="s">
        <v>159</v>
      </c>
      <c r="D330" s="44">
        <v>1</v>
      </c>
      <c r="E330" s="43">
        <v>1.0425354462051709E-4</v>
      </c>
    </row>
    <row r="331" spans="2:5" ht="15" customHeight="1" x14ac:dyDescent="0.25">
      <c r="B331" s="81"/>
      <c r="C331" s="45" t="s">
        <v>151</v>
      </c>
      <c r="D331" s="44">
        <v>2</v>
      </c>
      <c r="E331" s="43">
        <v>2.0850708924103419E-4</v>
      </c>
    </row>
    <row r="332" spans="2:5" ht="15" customHeight="1" x14ac:dyDescent="0.25">
      <c r="B332" s="81"/>
      <c r="C332" s="45" t="s">
        <v>157</v>
      </c>
      <c r="D332" s="44">
        <v>1</v>
      </c>
      <c r="E332" s="43">
        <v>1.0425354462051709E-4</v>
      </c>
    </row>
    <row r="333" spans="2:5" ht="15" customHeight="1" x14ac:dyDescent="0.25">
      <c r="B333" s="81"/>
      <c r="C333" s="45" t="s">
        <v>164</v>
      </c>
      <c r="D333" s="44">
        <v>2</v>
      </c>
      <c r="E333" s="43">
        <v>2.0850708924103419E-4</v>
      </c>
    </row>
    <row r="334" spans="2:5" ht="15" customHeight="1" x14ac:dyDescent="0.25">
      <c r="B334" s="81"/>
      <c r="C334" s="45" t="s">
        <v>154</v>
      </c>
      <c r="D334" s="44">
        <v>3</v>
      </c>
      <c r="E334" s="43">
        <v>3.1276063386155128E-4</v>
      </c>
    </row>
    <row r="335" spans="2:5" ht="15" customHeight="1" x14ac:dyDescent="0.25">
      <c r="B335" s="81"/>
      <c r="C335" s="45" t="s">
        <v>158</v>
      </c>
      <c r="D335" s="44">
        <v>2</v>
      </c>
      <c r="E335" s="43">
        <v>2.0850708924103419E-4</v>
      </c>
    </row>
    <row r="336" spans="2:5" ht="15" customHeight="1" x14ac:dyDescent="0.25">
      <c r="B336" s="81"/>
      <c r="C336" s="45" t="s">
        <v>124</v>
      </c>
      <c r="D336" s="44">
        <v>1</v>
      </c>
      <c r="E336" s="43">
        <v>1.0425354462051709E-4</v>
      </c>
    </row>
    <row r="337" spans="2:5" ht="15" customHeight="1" x14ac:dyDescent="0.25">
      <c r="B337" s="81"/>
      <c r="C337" s="45" t="s">
        <v>165</v>
      </c>
      <c r="D337" s="44">
        <v>9</v>
      </c>
      <c r="E337" s="43">
        <v>9.3828190158465384E-4</v>
      </c>
    </row>
    <row r="338" spans="2:5" ht="15" customHeight="1" x14ac:dyDescent="0.25">
      <c r="B338" s="81"/>
      <c r="C338" s="45" t="s">
        <v>140</v>
      </c>
      <c r="D338" s="44">
        <v>1</v>
      </c>
      <c r="E338" s="43">
        <v>1.0425354462051709E-4</v>
      </c>
    </row>
    <row r="339" spans="2:5" ht="15" customHeight="1" x14ac:dyDescent="0.25">
      <c r="B339" s="81"/>
      <c r="C339" s="45" t="s">
        <v>162</v>
      </c>
      <c r="D339" s="44">
        <v>5</v>
      </c>
      <c r="E339" s="43">
        <v>5.2126772310258547E-4</v>
      </c>
    </row>
    <row r="340" spans="2:5" ht="15" customHeight="1" x14ac:dyDescent="0.25">
      <c r="B340" s="81"/>
      <c r="C340" s="45" t="s">
        <v>152</v>
      </c>
      <c r="D340" s="44">
        <v>4</v>
      </c>
      <c r="E340" s="43">
        <v>4.1701417848206837E-4</v>
      </c>
    </row>
    <row r="341" spans="2:5" ht="15" customHeight="1" x14ac:dyDescent="0.25">
      <c r="B341" s="81"/>
      <c r="C341" s="45" t="s">
        <v>250</v>
      </c>
      <c r="D341" s="44">
        <v>11</v>
      </c>
      <c r="E341" s="43">
        <v>1.1467889908256881E-3</v>
      </c>
    </row>
    <row r="342" spans="2:5" ht="15" customHeight="1" x14ac:dyDescent="0.25">
      <c r="B342" s="81"/>
      <c r="C342" s="45" t="s">
        <v>166</v>
      </c>
      <c r="D342" s="44">
        <v>74</v>
      </c>
      <c r="E342" s="43">
        <v>7.7147623019182656E-3</v>
      </c>
    </row>
    <row r="343" spans="2:5" ht="15" customHeight="1" x14ac:dyDescent="0.25">
      <c r="B343" s="81"/>
      <c r="C343" s="45" t="s">
        <v>163</v>
      </c>
      <c r="D343" s="44">
        <v>19</v>
      </c>
      <c r="E343" s="43">
        <v>1.9808173477898249E-3</v>
      </c>
    </row>
    <row r="344" spans="2:5" ht="15" customHeight="1" x14ac:dyDescent="0.25">
      <c r="B344" s="81"/>
      <c r="C344" s="45" t="s">
        <v>155</v>
      </c>
      <c r="D344" s="44">
        <v>1</v>
      </c>
      <c r="E344" s="43">
        <v>1.0425354462051709E-4</v>
      </c>
    </row>
    <row r="345" spans="2:5" ht="15" customHeight="1" x14ac:dyDescent="0.25">
      <c r="B345" s="81"/>
      <c r="C345" s="45" t="s">
        <v>138</v>
      </c>
      <c r="D345" s="44">
        <v>1</v>
      </c>
      <c r="E345" s="43">
        <v>1.0425354462051709E-4</v>
      </c>
    </row>
    <row r="346" spans="2:5" ht="15" customHeight="1" x14ac:dyDescent="0.25">
      <c r="B346" s="82"/>
      <c r="C346" s="42" t="s">
        <v>22</v>
      </c>
      <c r="D346" s="41">
        <v>146</v>
      </c>
      <c r="E346" s="40">
        <v>1.5221017514595496E-2</v>
      </c>
    </row>
    <row r="347" spans="2:5" ht="15" customHeight="1" x14ac:dyDescent="0.25">
      <c r="B347" s="80" t="s">
        <v>114</v>
      </c>
      <c r="C347" s="45" t="s">
        <v>156</v>
      </c>
      <c r="D347" s="44">
        <v>1</v>
      </c>
      <c r="E347" s="43">
        <v>1.0425354462051709E-4</v>
      </c>
    </row>
    <row r="348" spans="2:5" ht="15" customHeight="1" x14ac:dyDescent="0.25">
      <c r="B348" s="81"/>
      <c r="C348" s="45" t="s">
        <v>165</v>
      </c>
      <c r="D348" s="44">
        <v>6</v>
      </c>
      <c r="E348" s="43">
        <v>6.2552126772310256E-4</v>
      </c>
    </row>
    <row r="349" spans="2:5" ht="15" customHeight="1" x14ac:dyDescent="0.25">
      <c r="B349" s="81"/>
      <c r="C349" s="45" t="s">
        <v>162</v>
      </c>
      <c r="D349" s="44">
        <v>2</v>
      </c>
      <c r="E349" s="43">
        <v>2.0850708924103419E-4</v>
      </c>
    </row>
    <row r="350" spans="2:5" ht="15" customHeight="1" x14ac:dyDescent="0.25">
      <c r="B350" s="81"/>
      <c r="C350" s="45" t="s">
        <v>166</v>
      </c>
      <c r="D350" s="44">
        <v>51</v>
      </c>
      <c r="E350" s="43">
        <v>5.3169307756463719E-3</v>
      </c>
    </row>
    <row r="351" spans="2:5" ht="15" customHeight="1" x14ac:dyDescent="0.25">
      <c r="B351" s="81"/>
      <c r="C351" s="45" t="s">
        <v>160</v>
      </c>
      <c r="D351" s="44">
        <v>1</v>
      </c>
      <c r="E351" s="43">
        <v>1.0425354462051709E-4</v>
      </c>
    </row>
    <row r="352" spans="2:5" ht="15" customHeight="1" x14ac:dyDescent="0.25">
      <c r="B352" s="81"/>
      <c r="C352" s="45" t="s">
        <v>163</v>
      </c>
      <c r="D352" s="44">
        <v>4</v>
      </c>
      <c r="E352" s="43">
        <v>4.1701417848206837E-4</v>
      </c>
    </row>
    <row r="353" spans="2:5" ht="15" customHeight="1" x14ac:dyDescent="0.25">
      <c r="B353" s="81"/>
      <c r="C353" s="45" t="s">
        <v>155</v>
      </c>
      <c r="D353" s="44">
        <v>3</v>
      </c>
      <c r="E353" s="43">
        <v>3.1276063386155128E-4</v>
      </c>
    </row>
    <row r="354" spans="2:5" ht="15" customHeight="1" x14ac:dyDescent="0.25">
      <c r="B354" s="82"/>
      <c r="C354" s="42" t="s">
        <v>22</v>
      </c>
      <c r="D354" s="41">
        <v>68</v>
      </c>
      <c r="E354" s="40">
        <v>7.0892410341951628E-3</v>
      </c>
    </row>
    <row r="355" spans="2:5" ht="15" customHeight="1" x14ac:dyDescent="0.25">
      <c r="B355" s="80" t="s">
        <v>93</v>
      </c>
      <c r="C355" s="45" t="s">
        <v>133</v>
      </c>
      <c r="D355" s="44">
        <v>2</v>
      </c>
      <c r="E355" s="43">
        <v>2.0850708924103419E-4</v>
      </c>
    </row>
    <row r="356" spans="2:5" ht="15" customHeight="1" x14ac:dyDescent="0.25">
      <c r="B356" s="81"/>
      <c r="C356" s="45" t="s">
        <v>148</v>
      </c>
      <c r="D356" s="44">
        <v>2</v>
      </c>
      <c r="E356" s="43">
        <v>2.0850708924103419E-4</v>
      </c>
    </row>
    <row r="357" spans="2:5" ht="15" customHeight="1" x14ac:dyDescent="0.25">
      <c r="B357" s="81"/>
      <c r="C357" s="45" t="s">
        <v>153</v>
      </c>
      <c r="D357" s="44">
        <v>6</v>
      </c>
      <c r="E357" s="43">
        <v>6.2552126772310256E-4</v>
      </c>
    </row>
    <row r="358" spans="2:5" ht="15" customHeight="1" x14ac:dyDescent="0.25">
      <c r="B358" s="81"/>
      <c r="C358" s="45" t="s">
        <v>156</v>
      </c>
      <c r="D358" s="44">
        <v>4</v>
      </c>
      <c r="E358" s="43">
        <v>4.1701417848206837E-4</v>
      </c>
    </row>
    <row r="359" spans="2:5" ht="15" customHeight="1" x14ac:dyDescent="0.25">
      <c r="B359" s="81"/>
      <c r="C359" s="45" t="s">
        <v>136</v>
      </c>
      <c r="D359" s="44">
        <v>5</v>
      </c>
      <c r="E359" s="43">
        <v>5.2126772310258547E-4</v>
      </c>
    </row>
    <row r="360" spans="2:5" ht="15" customHeight="1" x14ac:dyDescent="0.25">
      <c r="B360" s="81"/>
      <c r="C360" s="45" t="s">
        <v>146</v>
      </c>
      <c r="D360" s="44">
        <v>6</v>
      </c>
      <c r="E360" s="43">
        <v>6.2552126772310256E-4</v>
      </c>
    </row>
    <row r="361" spans="2:5" ht="15" customHeight="1" x14ac:dyDescent="0.25">
      <c r="B361" s="81"/>
      <c r="C361" s="45" t="s">
        <v>159</v>
      </c>
      <c r="D361" s="44">
        <v>75</v>
      </c>
      <c r="E361" s="43">
        <v>7.8190158465387821E-3</v>
      </c>
    </row>
    <row r="362" spans="2:5" ht="15" customHeight="1" x14ac:dyDescent="0.25">
      <c r="B362" s="81"/>
      <c r="C362" s="45" t="s">
        <v>251</v>
      </c>
      <c r="D362" s="44">
        <v>1</v>
      </c>
      <c r="E362" s="43">
        <v>1.0425354462051709E-4</v>
      </c>
    </row>
    <row r="363" spans="2:5" ht="15" customHeight="1" x14ac:dyDescent="0.25">
      <c r="B363" s="81"/>
      <c r="C363" s="45" t="s">
        <v>151</v>
      </c>
      <c r="D363" s="44">
        <v>35</v>
      </c>
      <c r="E363" s="43">
        <v>3.6488740617180984E-3</v>
      </c>
    </row>
    <row r="364" spans="2:5" ht="15" customHeight="1" x14ac:dyDescent="0.25">
      <c r="B364" s="81"/>
      <c r="C364" s="45" t="s">
        <v>157</v>
      </c>
      <c r="D364" s="44">
        <v>133</v>
      </c>
      <c r="E364" s="43">
        <v>1.3865721434528773E-2</v>
      </c>
    </row>
    <row r="365" spans="2:5" ht="15" customHeight="1" x14ac:dyDescent="0.25">
      <c r="B365" s="81"/>
      <c r="C365" s="45" t="s">
        <v>145</v>
      </c>
      <c r="D365" s="44">
        <v>26</v>
      </c>
      <c r="E365" s="43">
        <v>2.7105921601334446E-3</v>
      </c>
    </row>
    <row r="366" spans="2:5" ht="15" customHeight="1" x14ac:dyDescent="0.25">
      <c r="B366" s="81"/>
      <c r="C366" s="45" t="s">
        <v>164</v>
      </c>
      <c r="D366" s="44">
        <v>66</v>
      </c>
      <c r="E366" s="43">
        <v>6.8807339449541288E-3</v>
      </c>
    </row>
    <row r="367" spans="2:5" ht="15" customHeight="1" x14ac:dyDescent="0.25">
      <c r="B367" s="81"/>
      <c r="C367" s="45" t="s">
        <v>134</v>
      </c>
      <c r="D367" s="44">
        <v>2</v>
      </c>
      <c r="E367" s="43">
        <v>2.0850708924103419E-4</v>
      </c>
    </row>
    <row r="368" spans="2:5" ht="15" customHeight="1" x14ac:dyDescent="0.25">
      <c r="B368" s="81"/>
      <c r="C368" s="45" t="s">
        <v>154</v>
      </c>
      <c r="D368" s="44">
        <v>20</v>
      </c>
      <c r="E368" s="43">
        <v>2.0850708924103419E-3</v>
      </c>
    </row>
    <row r="369" spans="2:5" ht="15" customHeight="1" x14ac:dyDescent="0.25">
      <c r="B369" s="81"/>
      <c r="C369" s="45" t="s">
        <v>127</v>
      </c>
      <c r="D369" s="44">
        <v>1</v>
      </c>
      <c r="E369" s="43">
        <v>1.0425354462051709E-4</v>
      </c>
    </row>
    <row r="370" spans="2:5" ht="15" customHeight="1" x14ac:dyDescent="0.25">
      <c r="B370" s="81"/>
      <c r="C370" s="45" t="s">
        <v>125</v>
      </c>
      <c r="D370" s="44">
        <v>1</v>
      </c>
      <c r="E370" s="43">
        <v>1.0425354462051709E-4</v>
      </c>
    </row>
    <row r="371" spans="2:5" ht="15" customHeight="1" x14ac:dyDescent="0.25">
      <c r="B371" s="81"/>
      <c r="C371" s="45" t="s">
        <v>158</v>
      </c>
      <c r="D371" s="44">
        <v>87</v>
      </c>
      <c r="E371" s="43">
        <v>9.0700583819849877E-3</v>
      </c>
    </row>
    <row r="372" spans="2:5" ht="15" customHeight="1" x14ac:dyDescent="0.25">
      <c r="B372" s="81"/>
      <c r="C372" s="45" t="s">
        <v>129</v>
      </c>
      <c r="D372" s="44">
        <v>2</v>
      </c>
      <c r="E372" s="43">
        <v>2.0850708924103419E-4</v>
      </c>
    </row>
    <row r="373" spans="2:5" ht="15" customHeight="1" x14ac:dyDescent="0.25">
      <c r="B373" s="81"/>
      <c r="C373" s="45" t="s">
        <v>124</v>
      </c>
      <c r="D373" s="44">
        <v>2</v>
      </c>
      <c r="E373" s="43">
        <v>2.0850708924103419E-4</v>
      </c>
    </row>
    <row r="374" spans="2:5" ht="15" customHeight="1" x14ac:dyDescent="0.25">
      <c r="B374" s="81"/>
      <c r="C374" s="45" t="s">
        <v>126</v>
      </c>
      <c r="D374" s="44">
        <v>2</v>
      </c>
      <c r="E374" s="43">
        <v>2.0850708924103419E-4</v>
      </c>
    </row>
    <row r="375" spans="2:5" ht="15" customHeight="1" x14ac:dyDescent="0.25">
      <c r="B375" s="81"/>
      <c r="C375" s="45" t="s">
        <v>150</v>
      </c>
      <c r="D375" s="44">
        <v>59</v>
      </c>
      <c r="E375" s="43">
        <v>6.1509591326105086E-3</v>
      </c>
    </row>
    <row r="376" spans="2:5" ht="15" customHeight="1" x14ac:dyDescent="0.25">
      <c r="B376" s="81"/>
      <c r="C376" s="45" t="s">
        <v>165</v>
      </c>
      <c r="D376" s="44">
        <v>75</v>
      </c>
      <c r="E376" s="43">
        <v>7.8190158465387821E-3</v>
      </c>
    </row>
    <row r="377" spans="2:5" ht="15" customHeight="1" x14ac:dyDescent="0.25">
      <c r="B377" s="81"/>
      <c r="C377" s="45" t="s">
        <v>140</v>
      </c>
      <c r="D377" s="44">
        <v>2</v>
      </c>
      <c r="E377" s="43">
        <v>2.0850708924103419E-4</v>
      </c>
    </row>
    <row r="378" spans="2:5" ht="15" customHeight="1" x14ac:dyDescent="0.25">
      <c r="B378" s="81"/>
      <c r="C378" s="45" t="s">
        <v>142</v>
      </c>
      <c r="D378" s="44">
        <v>6</v>
      </c>
      <c r="E378" s="43">
        <v>6.2552126772310256E-4</v>
      </c>
    </row>
    <row r="379" spans="2:5" ht="15" customHeight="1" x14ac:dyDescent="0.25">
      <c r="B379" s="81"/>
      <c r="C379" s="45" t="s">
        <v>162</v>
      </c>
      <c r="D379" s="44">
        <v>92</v>
      </c>
      <c r="E379" s="43">
        <v>9.591326105087573E-3</v>
      </c>
    </row>
    <row r="380" spans="2:5" ht="15" customHeight="1" x14ac:dyDescent="0.25">
      <c r="B380" s="81"/>
      <c r="C380" s="45" t="s">
        <v>139</v>
      </c>
      <c r="D380" s="44">
        <v>19</v>
      </c>
      <c r="E380" s="43">
        <v>1.9808173477898249E-3</v>
      </c>
    </row>
    <row r="381" spans="2:5" ht="15" customHeight="1" x14ac:dyDescent="0.25">
      <c r="B381" s="81"/>
      <c r="C381" s="45" t="s">
        <v>141</v>
      </c>
      <c r="D381" s="44">
        <v>24</v>
      </c>
      <c r="E381" s="43">
        <v>2.5020850708924102E-3</v>
      </c>
    </row>
    <row r="382" spans="2:5" ht="15" customHeight="1" x14ac:dyDescent="0.25">
      <c r="B382" s="81"/>
      <c r="C382" s="45" t="s">
        <v>149</v>
      </c>
      <c r="D382" s="44">
        <v>40</v>
      </c>
      <c r="E382" s="43">
        <v>4.1701417848206837E-3</v>
      </c>
    </row>
    <row r="383" spans="2:5" ht="15" customHeight="1" x14ac:dyDescent="0.25">
      <c r="B383" s="81"/>
      <c r="C383" s="45" t="s">
        <v>152</v>
      </c>
      <c r="D383" s="44">
        <v>7</v>
      </c>
      <c r="E383" s="43">
        <v>7.2977481234361965E-4</v>
      </c>
    </row>
    <row r="384" spans="2:5" ht="15" customHeight="1" x14ac:dyDescent="0.25">
      <c r="B384" s="81"/>
      <c r="C384" s="45" t="s">
        <v>250</v>
      </c>
      <c r="D384" s="44">
        <v>113</v>
      </c>
      <c r="E384" s="43">
        <v>1.1780650542118432E-2</v>
      </c>
    </row>
    <row r="385" spans="2:5" ht="15" customHeight="1" x14ac:dyDescent="0.25">
      <c r="B385" s="81"/>
      <c r="C385" s="45" t="s">
        <v>166</v>
      </c>
      <c r="D385" s="44">
        <v>481</v>
      </c>
      <c r="E385" s="43">
        <v>5.0145954962468722E-2</v>
      </c>
    </row>
    <row r="386" spans="2:5" ht="15" customHeight="1" x14ac:dyDescent="0.25">
      <c r="B386" s="81"/>
      <c r="C386" s="45" t="s">
        <v>119</v>
      </c>
      <c r="D386" s="44">
        <v>3</v>
      </c>
      <c r="E386" s="43">
        <v>3.1276063386155128E-4</v>
      </c>
    </row>
    <row r="387" spans="2:5" ht="15" customHeight="1" x14ac:dyDescent="0.25">
      <c r="B387" s="81"/>
      <c r="C387" s="45" t="s">
        <v>130</v>
      </c>
      <c r="D387" s="44">
        <v>1</v>
      </c>
      <c r="E387" s="43">
        <v>1.0425354462051709E-4</v>
      </c>
    </row>
    <row r="388" spans="2:5" ht="15" customHeight="1" x14ac:dyDescent="0.25">
      <c r="B388" s="81"/>
      <c r="C388" s="45" t="s">
        <v>160</v>
      </c>
      <c r="D388" s="44">
        <v>3</v>
      </c>
      <c r="E388" s="43">
        <v>3.1276063386155128E-4</v>
      </c>
    </row>
    <row r="389" spans="2:5" ht="15" customHeight="1" x14ac:dyDescent="0.25">
      <c r="B389" s="81"/>
      <c r="C389" s="45" t="s">
        <v>123</v>
      </c>
      <c r="D389" s="44">
        <v>2</v>
      </c>
      <c r="E389" s="43">
        <v>2.0850708924103419E-4</v>
      </c>
    </row>
    <row r="390" spans="2:5" ht="15" customHeight="1" x14ac:dyDescent="0.25">
      <c r="B390" s="81"/>
      <c r="C390" s="45" t="s">
        <v>163</v>
      </c>
      <c r="D390" s="44">
        <v>59</v>
      </c>
      <c r="E390" s="43">
        <v>6.1509591326105086E-3</v>
      </c>
    </row>
    <row r="391" spans="2:5" ht="15" customHeight="1" x14ac:dyDescent="0.25">
      <c r="B391" s="81"/>
      <c r="C391" s="45" t="s">
        <v>155</v>
      </c>
      <c r="D391" s="44">
        <v>16</v>
      </c>
      <c r="E391" s="43">
        <v>1.6680567139282735E-3</v>
      </c>
    </row>
    <row r="392" spans="2:5" ht="15" customHeight="1" x14ac:dyDescent="0.25">
      <c r="B392" s="81"/>
      <c r="C392" s="45" t="s">
        <v>138</v>
      </c>
      <c r="D392" s="44">
        <v>1</v>
      </c>
      <c r="E392" s="43">
        <v>1.0425354462051709E-4</v>
      </c>
    </row>
    <row r="393" spans="2:5" ht="15" customHeight="1" x14ac:dyDescent="0.25">
      <c r="B393" s="81"/>
      <c r="C393" s="45" t="s">
        <v>147</v>
      </c>
      <c r="D393" s="44">
        <v>3</v>
      </c>
      <c r="E393" s="43">
        <v>3.1276063386155128E-4</v>
      </c>
    </row>
    <row r="394" spans="2:5" ht="15" customHeight="1" x14ac:dyDescent="0.25">
      <c r="B394" s="81"/>
      <c r="C394" s="45" t="s">
        <v>135</v>
      </c>
      <c r="D394" s="44">
        <v>1</v>
      </c>
      <c r="E394" s="43">
        <v>1.0425354462051709E-4</v>
      </c>
    </row>
    <row r="395" spans="2:5" ht="15" customHeight="1" x14ac:dyDescent="0.25">
      <c r="B395" s="82"/>
      <c r="C395" s="42" t="s">
        <v>22</v>
      </c>
      <c r="D395" s="41">
        <v>1485</v>
      </c>
      <c r="E395" s="40">
        <v>0.15481651376146788</v>
      </c>
    </row>
    <row r="396" spans="2:5" ht="15" customHeight="1" x14ac:dyDescent="0.25">
      <c r="B396" s="80" t="s">
        <v>88</v>
      </c>
      <c r="C396" s="45" t="s">
        <v>159</v>
      </c>
      <c r="D396" s="44">
        <v>1</v>
      </c>
      <c r="E396" s="43">
        <v>1.0425354462051709E-4</v>
      </c>
    </row>
    <row r="397" spans="2:5" ht="15" customHeight="1" x14ac:dyDescent="0.25">
      <c r="B397" s="81"/>
      <c r="C397" s="45" t="s">
        <v>164</v>
      </c>
      <c r="D397" s="44">
        <v>3</v>
      </c>
      <c r="E397" s="43">
        <v>3.1276063386155128E-4</v>
      </c>
    </row>
    <row r="398" spans="2:5" ht="15" customHeight="1" x14ac:dyDescent="0.25">
      <c r="B398" s="81"/>
      <c r="C398" s="45" t="s">
        <v>154</v>
      </c>
      <c r="D398" s="44">
        <v>1</v>
      </c>
      <c r="E398" s="43">
        <v>1.0425354462051709E-4</v>
      </c>
    </row>
    <row r="399" spans="2:5" ht="15" customHeight="1" x14ac:dyDescent="0.25">
      <c r="B399" s="81"/>
      <c r="C399" s="45" t="s">
        <v>165</v>
      </c>
      <c r="D399" s="44">
        <v>3</v>
      </c>
      <c r="E399" s="43">
        <v>3.1276063386155128E-4</v>
      </c>
    </row>
    <row r="400" spans="2:5" ht="15" customHeight="1" x14ac:dyDescent="0.25">
      <c r="B400" s="81"/>
      <c r="C400" s="45" t="s">
        <v>162</v>
      </c>
      <c r="D400" s="44">
        <v>3</v>
      </c>
      <c r="E400" s="43">
        <v>3.1276063386155128E-4</v>
      </c>
    </row>
    <row r="401" spans="2:5" ht="15" customHeight="1" x14ac:dyDescent="0.25">
      <c r="B401" s="81"/>
      <c r="C401" s="45" t="s">
        <v>152</v>
      </c>
      <c r="D401" s="44">
        <v>2</v>
      </c>
      <c r="E401" s="43">
        <v>2.0850708924103419E-4</v>
      </c>
    </row>
    <row r="402" spans="2:5" ht="15" customHeight="1" x14ac:dyDescent="0.25">
      <c r="B402" s="81"/>
      <c r="C402" s="45" t="s">
        <v>250</v>
      </c>
      <c r="D402" s="44">
        <v>2</v>
      </c>
      <c r="E402" s="43">
        <v>2.0850708924103419E-4</v>
      </c>
    </row>
    <row r="403" spans="2:5" ht="15" customHeight="1" x14ac:dyDescent="0.25">
      <c r="B403" s="81"/>
      <c r="C403" s="45" t="s">
        <v>166</v>
      </c>
      <c r="D403" s="44">
        <v>25</v>
      </c>
      <c r="E403" s="43">
        <v>2.6063386155129272E-3</v>
      </c>
    </row>
    <row r="404" spans="2:5" ht="15" customHeight="1" x14ac:dyDescent="0.25">
      <c r="B404" s="81"/>
      <c r="C404" s="45" t="s">
        <v>163</v>
      </c>
      <c r="D404" s="44">
        <v>5</v>
      </c>
      <c r="E404" s="43">
        <v>5.2126772310258547E-4</v>
      </c>
    </row>
    <row r="405" spans="2:5" ht="15" customHeight="1" x14ac:dyDescent="0.25">
      <c r="B405" s="81"/>
      <c r="C405" s="45" t="s">
        <v>155</v>
      </c>
      <c r="D405" s="44">
        <v>2</v>
      </c>
      <c r="E405" s="43">
        <v>2.0850708924103419E-4</v>
      </c>
    </row>
    <row r="406" spans="2:5" ht="15" customHeight="1" x14ac:dyDescent="0.25">
      <c r="B406" s="81"/>
      <c r="C406" s="45" t="s">
        <v>147</v>
      </c>
      <c r="D406" s="44">
        <v>1</v>
      </c>
      <c r="E406" s="43">
        <v>1.0425354462051709E-4</v>
      </c>
    </row>
    <row r="407" spans="2:5" ht="15" customHeight="1" x14ac:dyDescent="0.25">
      <c r="B407" s="82"/>
      <c r="C407" s="42" t="s">
        <v>22</v>
      </c>
      <c r="D407" s="41">
        <v>48</v>
      </c>
      <c r="E407" s="40">
        <v>5.0041701417848205E-3</v>
      </c>
    </row>
    <row r="408" spans="2:5" ht="15" customHeight="1" x14ac:dyDescent="0.25">
      <c r="B408" s="80" t="s">
        <v>87</v>
      </c>
      <c r="C408" s="45" t="s">
        <v>133</v>
      </c>
      <c r="D408" s="44">
        <v>1</v>
      </c>
      <c r="E408" s="43">
        <v>1.0425354462051709E-4</v>
      </c>
    </row>
    <row r="409" spans="2:5" ht="15" customHeight="1" x14ac:dyDescent="0.25">
      <c r="B409" s="81"/>
      <c r="C409" s="45" t="s">
        <v>148</v>
      </c>
      <c r="D409" s="44">
        <v>1</v>
      </c>
      <c r="E409" s="43">
        <v>1.0425354462051709E-4</v>
      </c>
    </row>
    <row r="410" spans="2:5" ht="15" customHeight="1" x14ac:dyDescent="0.25">
      <c r="B410" s="81"/>
      <c r="C410" s="45" t="s">
        <v>146</v>
      </c>
      <c r="D410" s="44">
        <v>1</v>
      </c>
      <c r="E410" s="43">
        <v>1.0425354462051709E-4</v>
      </c>
    </row>
    <row r="411" spans="2:5" ht="15" customHeight="1" x14ac:dyDescent="0.25">
      <c r="B411" s="81"/>
      <c r="C411" s="45" t="s">
        <v>159</v>
      </c>
      <c r="D411" s="44">
        <v>1</v>
      </c>
      <c r="E411" s="43">
        <v>1.0425354462051709E-4</v>
      </c>
    </row>
    <row r="412" spans="2:5" ht="15" customHeight="1" x14ac:dyDescent="0.25">
      <c r="B412" s="81"/>
      <c r="C412" s="45" t="s">
        <v>157</v>
      </c>
      <c r="D412" s="44">
        <v>2</v>
      </c>
      <c r="E412" s="43">
        <v>2.0850708924103419E-4</v>
      </c>
    </row>
    <row r="413" spans="2:5" ht="15" customHeight="1" x14ac:dyDescent="0.25">
      <c r="B413" s="81"/>
      <c r="C413" s="45" t="s">
        <v>164</v>
      </c>
      <c r="D413" s="44">
        <v>1</v>
      </c>
      <c r="E413" s="43">
        <v>1.0425354462051709E-4</v>
      </c>
    </row>
    <row r="414" spans="2:5" ht="15" customHeight="1" x14ac:dyDescent="0.25">
      <c r="B414" s="81"/>
      <c r="C414" s="45" t="s">
        <v>154</v>
      </c>
      <c r="D414" s="44">
        <v>1</v>
      </c>
      <c r="E414" s="43">
        <v>1.0425354462051709E-4</v>
      </c>
    </row>
    <row r="415" spans="2:5" ht="15" customHeight="1" x14ac:dyDescent="0.25">
      <c r="B415" s="81"/>
      <c r="C415" s="45" t="s">
        <v>165</v>
      </c>
      <c r="D415" s="44">
        <v>1</v>
      </c>
      <c r="E415" s="43">
        <v>1.0425354462051709E-4</v>
      </c>
    </row>
    <row r="416" spans="2:5" ht="15" customHeight="1" x14ac:dyDescent="0.25">
      <c r="B416" s="81"/>
      <c r="C416" s="45" t="s">
        <v>162</v>
      </c>
      <c r="D416" s="44">
        <v>1</v>
      </c>
      <c r="E416" s="43">
        <v>1.0425354462051709E-4</v>
      </c>
    </row>
    <row r="417" spans="2:5" ht="15" customHeight="1" x14ac:dyDescent="0.25">
      <c r="B417" s="81"/>
      <c r="C417" s="45" t="s">
        <v>250</v>
      </c>
      <c r="D417" s="44">
        <v>2</v>
      </c>
      <c r="E417" s="43">
        <v>2.0850708924103419E-4</v>
      </c>
    </row>
    <row r="418" spans="2:5" ht="15" customHeight="1" x14ac:dyDescent="0.25">
      <c r="B418" s="81"/>
      <c r="C418" s="45" t="s">
        <v>166</v>
      </c>
      <c r="D418" s="44">
        <v>30</v>
      </c>
      <c r="E418" s="43">
        <v>3.127606338615513E-3</v>
      </c>
    </row>
    <row r="419" spans="2:5" ht="15" customHeight="1" x14ac:dyDescent="0.25">
      <c r="B419" s="81"/>
      <c r="C419" s="45" t="s">
        <v>160</v>
      </c>
      <c r="D419" s="44">
        <v>1</v>
      </c>
      <c r="E419" s="43">
        <v>1.0425354462051709E-4</v>
      </c>
    </row>
    <row r="420" spans="2:5" ht="15" customHeight="1" x14ac:dyDescent="0.25">
      <c r="B420" s="81"/>
      <c r="C420" s="45" t="s">
        <v>163</v>
      </c>
      <c r="D420" s="44">
        <v>4</v>
      </c>
      <c r="E420" s="43">
        <v>4.1701417848206837E-4</v>
      </c>
    </row>
    <row r="421" spans="2:5" ht="15" customHeight="1" x14ac:dyDescent="0.25">
      <c r="B421" s="81"/>
      <c r="C421" s="45" t="s">
        <v>155</v>
      </c>
      <c r="D421" s="44">
        <v>4</v>
      </c>
      <c r="E421" s="43">
        <v>4.1701417848206837E-4</v>
      </c>
    </row>
    <row r="422" spans="2:5" ht="15" customHeight="1" x14ac:dyDescent="0.25">
      <c r="B422" s="82"/>
      <c r="C422" s="42" t="s">
        <v>22</v>
      </c>
      <c r="D422" s="41">
        <v>51</v>
      </c>
      <c r="E422" s="40">
        <v>5.3169307756463719E-3</v>
      </c>
    </row>
    <row r="423" spans="2:5" ht="15" customHeight="1" x14ac:dyDescent="0.25">
      <c r="B423" s="80" t="s">
        <v>80</v>
      </c>
      <c r="C423" s="45" t="s">
        <v>153</v>
      </c>
      <c r="D423" s="44">
        <v>1</v>
      </c>
      <c r="E423" s="43">
        <v>1.0425354462051709E-4</v>
      </c>
    </row>
    <row r="424" spans="2:5" ht="15" customHeight="1" x14ac:dyDescent="0.25">
      <c r="B424" s="81"/>
      <c r="C424" s="45" t="s">
        <v>156</v>
      </c>
      <c r="D424" s="44">
        <v>1</v>
      </c>
      <c r="E424" s="43">
        <v>1.0425354462051709E-4</v>
      </c>
    </row>
    <row r="425" spans="2:5" ht="15" customHeight="1" x14ac:dyDescent="0.25">
      <c r="B425" s="81"/>
      <c r="C425" s="45" t="s">
        <v>159</v>
      </c>
      <c r="D425" s="44">
        <v>4</v>
      </c>
      <c r="E425" s="43">
        <v>4.1701417848206837E-4</v>
      </c>
    </row>
    <row r="426" spans="2:5" ht="15" customHeight="1" x14ac:dyDescent="0.25">
      <c r="B426" s="81"/>
      <c r="C426" s="45" t="s">
        <v>151</v>
      </c>
      <c r="D426" s="44">
        <v>2</v>
      </c>
      <c r="E426" s="43">
        <v>2.0850708924103419E-4</v>
      </c>
    </row>
    <row r="427" spans="2:5" ht="15" customHeight="1" x14ac:dyDescent="0.25">
      <c r="B427" s="81"/>
      <c r="C427" s="45" t="s">
        <v>164</v>
      </c>
      <c r="D427" s="44">
        <v>6</v>
      </c>
      <c r="E427" s="43">
        <v>6.2552126772310256E-4</v>
      </c>
    </row>
    <row r="428" spans="2:5" ht="15" customHeight="1" x14ac:dyDescent="0.25">
      <c r="B428" s="81"/>
      <c r="C428" s="45" t="s">
        <v>154</v>
      </c>
      <c r="D428" s="44">
        <v>2</v>
      </c>
      <c r="E428" s="43">
        <v>2.0850708924103419E-4</v>
      </c>
    </row>
    <row r="429" spans="2:5" ht="15" customHeight="1" x14ac:dyDescent="0.25">
      <c r="B429" s="81"/>
      <c r="C429" s="45" t="s">
        <v>124</v>
      </c>
      <c r="D429" s="44">
        <v>1</v>
      </c>
      <c r="E429" s="43">
        <v>1.0425354462051709E-4</v>
      </c>
    </row>
    <row r="430" spans="2:5" ht="15" customHeight="1" x14ac:dyDescent="0.25">
      <c r="B430" s="81"/>
      <c r="C430" s="45" t="s">
        <v>150</v>
      </c>
      <c r="D430" s="44">
        <v>1</v>
      </c>
      <c r="E430" s="43">
        <v>1.0425354462051709E-4</v>
      </c>
    </row>
    <row r="431" spans="2:5" ht="15" customHeight="1" x14ac:dyDescent="0.25">
      <c r="B431" s="81"/>
      <c r="C431" s="45" t="s">
        <v>165</v>
      </c>
      <c r="D431" s="44">
        <v>9</v>
      </c>
      <c r="E431" s="43">
        <v>9.3828190158465384E-4</v>
      </c>
    </row>
    <row r="432" spans="2:5" ht="15" customHeight="1" x14ac:dyDescent="0.25">
      <c r="B432" s="81"/>
      <c r="C432" s="45" t="s">
        <v>162</v>
      </c>
      <c r="D432" s="44">
        <v>10</v>
      </c>
      <c r="E432" s="43">
        <v>1.0425354462051709E-3</v>
      </c>
    </row>
    <row r="433" spans="2:5" ht="15" customHeight="1" x14ac:dyDescent="0.25">
      <c r="B433" s="81"/>
      <c r="C433" s="45" t="s">
        <v>250</v>
      </c>
      <c r="D433" s="44">
        <v>2</v>
      </c>
      <c r="E433" s="43">
        <v>2.0850708924103419E-4</v>
      </c>
    </row>
    <row r="434" spans="2:5" ht="15" customHeight="1" x14ac:dyDescent="0.25">
      <c r="B434" s="81"/>
      <c r="C434" s="45" t="s">
        <v>166</v>
      </c>
      <c r="D434" s="44">
        <v>38</v>
      </c>
      <c r="E434" s="43">
        <v>3.9616346955796498E-3</v>
      </c>
    </row>
    <row r="435" spans="2:5" ht="15" customHeight="1" x14ac:dyDescent="0.25">
      <c r="B435" s="81"/>
      <c r="C435" s="45" t="s">
        <v>163</v>
      </c>
      <c r="D435" s="44">
        <v>5</v>
      </c>
      <c r="E435" s="43">
        <v>5.2126772310258547E-4</v>
      </c>
    </row>
    <row r="436" spans="2:5" ht="15" customHeight="1" x14ac:dyDescent="0.25">
      <c r="B436" s="81"/>
      <c r="C436" s="45" t="s">
        <v>155</v>
      </c>
      <c r="D436" s="44">
        <v>3</v>
      </c>
      <c r="E436" s="43">
        <v>3.1276063386155128E-4</v>
      </c>
    </row>
    <row r="437" spans="2:5" ht="15" customHeight="1" x14ac:dyDescent="0.25">
      <c r="B437" s="82"/>
      <c r="C437" s="42" t="s">
        <v>22</v>
      </c>
      <c r="D437" s="41">
        <v>85</v>
      </c>
      <c r="E437" s="40">
        <v>8.8615512927439528E-3</v>
      </c>
    </row>
    <row r="438" spans="2:5" ht="15" customHeight="1" x14ac:dyDescent="0.25">
      <c r="B438" s="80" t="s">
        <v>109</v>
      </c>
      <c r="C438" s="45" t="s">
        <v>157</v>
      </c>
      <c r="D438" s="44">
        <v>1</v>
      </c>
      <c r="E438" s="43">
        <v>1.0425354462051709E-4</v>
      </c>
    </row>
    <row r="439" spans="2:5" ht="15" customHeight="1" x14ac:dyDescent="0.25">
      <c r="B439" s="81"/>
      <c r="C439" s="45" t="s">
        <v>166</v>
      </c>
      <c r="D439" s="44">
        <v>7</v>
      </c>
      <c r="E439" s="43">
        <v>7.2977481234361965E-4</v>
      </c>
    </row>
    <row r="440" spans="2:5" ht="15" customHeight="1" x14ac:dyDescent="0.25">
      <c r="B440" s="81"/>
      <c r="C440" s="45" t="s">
        <v>155</v>
      </c>
      <c r="D440" s="44">
        <v>1</v>
      </c>
      <c r="E440" s="43">
        <v>1.0425354462051709E-4</v>
      </c>
    </row>
    <row r="441" spans="2:5" ht="15" customHeight="1" x14ac:dyDescent="0.25">
      <c r="B441" s="82"/>
      <c r="C441" s="42" t="s">
        <v>22</v>
      </c>
      <c r="D441" s="41">
        <v>9</v>
      </c>
      <c r="E441" s="40">
        <v>9.3828190158465384E-4</v>
      </c>
    </row>
    <row r="442" spans="2:5" ht="15" customHeight="1" x14ac:dyDescent="0.25">
      <c r="B442" s="80" t="s">
        <v>82</v>
      </c>
      <c r="C442" s="45" t="s">
        <v>157</v>
      </c>
      <c r="D442" s="44">
        <v>1</v>
      </c>
      <c r="E442" s="43">
        <v>1.0425354462051709E-4</v>
      </c>
    </row>
    <row r="443" spans="2:5" ht="15" customHeight="1" x14ac:dyDescent="0.25">
      <c r="B443" s="81"/>
      <c r="C443" s="45" t="s">
        <v>154</v>
      </c>
      <c r="D443" s="44">
        <v>1</v>
      </c>
      <c r="E443" s="43">
        <v>1.0425354462051709E-4</v>
      </c>
    </row>
    <row r="444" spans="2:5" ht="15" customHeight="1" x14ac:dyDescent="0.25">
      <c r="B444" s="81"/>
      <c r="C444" s="45" t="s">
        <v>158</v>
      </c>
      <c r="D444" s="44">
        <v>1</v>
      </c>
      <c r="E444" s="43">
        <v>1.0425354462051709E-4</v>
      </c>
    </row>
    <row r="445" spans="2:5" ht="15" customHeight="1" x14ac:dyDescent="0.25">
      <c r="B445" s="81"/>
      <c r="C445" s="45" t="s">
        <v>165</v>
      </c>
      <c r="D445" s="44">
        <v>2</v>
      </c>
      <c r="E445" s="43">
        <v>2.0850708924103419E-4</v>
      </c>
    </row>
    <row r="446" spans="2:5" ht="15" customHeight="1" x14ac:dyDescent="0.25">
      <c r="B446" s="81"/>
      <c r="C446" s="45" t="s">
        <v>250</v>
      </c>
      <c r="D446" s="44">
        <v>3</v>
      </c>
      <c r="E446" s="43">
        <v>3.1276063386155128E-4</v>
      </c>
    </row>
    <row r="447" spans="2:5" ht="15" customHeight="1" x14ac:dyDescent="0.25">
      <c r="B447" s="81"/>
      <c r="C447" s="45" t="s">
        <v>166</v>
      </c>
      <c r="D447" s="44">
        <v>16</v>
      </c>
      <c r="E447" s="43">
        <v>1.6680567139282735E-3</v>
      </c>
    </row>
    <row r="448" spans="2:5" ht="15" customHeight="1" x14ac:dyDescent="0.25">
      <c r="B448" s="81"/>
      <c r="C448" s="45" t="s">
        <v>128</v>
      </c>
      <c r="D448" s="44">
        <v>1</v>
      </c>
      <c r="E448" s="43">
        <v>1.0425354462051709E-4</v>
      </c>
    </row>
    <row r="449" spans="2:5" ht="15" customHeight="1" x14ac:dyDescent="0.25">
      <c r="B449" s="81"/>
      <c r="C449" s="45" t="s">
        <v>163</v>
      </c>
      <c r="D449" s="44">
        <v>1</v>
      </c>
      <c r="E449" s="43">
        <v>1.0425354462051709E-4</v>
      </c>
    </row>
    <row r="450" spans="2:5" ht="15" customHeight="1" x14ac:dyDescent="0.25">
      <c r="B450" s="82"/>
      <c r="C450" s="42" t="s">
        <v>22</v>
      </c>
      <c r="D450" s="41">
        <v>26</v>
      </c>
      <c r="E450" s="40">
        <v>2.7105921601334446E-3</v>
      </c>
    </row>
    <row r="451" spans="2:5" ht="15" customHeight="1" x14ac:dyDescent="0.25">
      <c r="B451" s="80" t="s">
        <v>101</v>
      </c>
      <c r="C451" s="45" t="s">
        <v>159</v>
      </c>
      <c r="D451" s="44">
        <v>1</v>
      </c>
      <c r="E451" s="43">
        <v>1.0425354462051709E-4</v>
      </c>
    </row>
    <row r="452" spans="2:5" ht="15" customHeight="1" x14ac:dyDescent="0.25">
      <c r="B452" s="81"/>
      <c r="C452" s="45" t="s">
        <v>151</v>
      </c>
      <c r="D452" s="44">
        <v>2</v>
      </c>
      <c r="E452" s="43">
        <v>2.0850708924103419E-4</v>
      </c>
    </row>
    <row r="453" spans="2:5" ht="15" customHeight="1" x14ac:dyDescent="0.25">
      <c r="B453" s="81"/>
      <c r="C453" s="45" t="s">
        <v>157</v>
      </c>
      <c r="D453" s="44">
        <v>7</v>
      </c>
      <c r="E453" s="43">
        <v>7.2977481234361965E-4</v>
      </c>
    </row>
    <row r="454" spans="2:5" ht="15" customHeight="1" x14ac:dyDescent="0.25">
      <c r="B454" s="81"/>
      <c r="C454" s="45" t="s">
        <v>164</v>
      </c>
      <c r="D454" s="44">
        <v>11</v>
      </c>
      <c r="E454" s="43">
        <v>1.1467889908256881E-3</v>
      </c>
    </row>
    <row r="455" spans="2:5" ht="15" customHeight="1" x14ac:dyDescent="0.25">
      <c r="B455" s="81"/>
      <c r="C455" s="45" t="s">
        <v>154</v>
      </c>
      <c r="D455" s="44">
        <v>3</v>
      </c>
      <c r="E455" s="43">
        <v>3.1276063386155128E-4</v>
      </c>
    </row>
    <row r="456" spans="2:5" ht="15" customHeight="1" x14ac:dyDescent="0.25">
      <c r="B456" s="81"/>
      <c r="C456" s="45" t="s">
        <v>127</v>
      </c>
      <c r="D456" s="44">
        <v>1</v>
      </c>
      <c r="E456" s="43">
        <v>1.0425354462051709E-4</v>
      </c>
    </row>
    <row r="457" spans="2:5" ht="15" customHeight="1" x14ac:dyDescent="0.25">
      <c r="B457" s="81"/>
      <c r="C457" s="45" t="s">
        <v>158</v>
      </c>
      <c r="D457" s="44">
        <v>3</v>
      </c>
      <c r="E457" s="43">
        <v>3.1276063386155128E-4</v>
      </c>
    </row>
    <row r="458" spans="2:5" ht="15" customHeight="1" x14ac:dyDescent="0.25">
      <c r="B458" s="81"/>
      <c r="C458" s="45" t="s">
        <v>165</v>
      </c>
      <c r="D458" s="44">
        <v>2</v>
      </c>
      <c r="E458" s="43">
        <v>2.0850708924103419E-4</v>
      </c>
    </row>
    <row r="459" spans="2:5" ht="15" customHeight="1" x14ac:dyDescent="0.25">
      <c r="B459" s="81"/>
      <c r="C459" s="45" t="s">
        <v>142</v>
      </c>
      <c r="D459" s="44">
        <v>1</v>
      </c>
      <c r="E459" s="43">
        <v>1.0425354462051709E-4</v>
      </c>
    </row>
    <row r="460" spans="2:5" ht="15" customHeight="1" x14ac:dyDescent="0.25">
      <c r="B460" s="81"/>
      <c r="C460" s="45" t="s">
        <v>162</v>
      </c>
      <c r="D460" s="44">
        <v>9</v>
      </c>
      <c r="E460" s="43">
        <v>9.3828190158465384E-4</v>
      </c>
    </row>
    <row r="461" spans="2:5" ht="15" customHeight="1" x14ac:dyDescent="0.25">
      <c r="B461" s="81"/>
      <c r="C461" s="45" t="s">
        <v>139</v>
      </c>
      <c r="D461" s="44">
        <v>1</v>
      </c>
      <c r="E461" s="43">
        <v>1.0425354462051709E-4</v>
      </c>
    </row>
    <row r="462" spans="2:5" ht="15" customHeight="1" x14ac:dyDescent="0.25">
      <c r="B462" s="81"/>
      <c r="C462" s="45" t="s">
        <v>152</v>
      </c>
      <c r="D462" s="44">
        <v>4</v>
      </c>
      <c r="E462" s="43">
        <v>4.1701417848206837E-4</v>
      </c>
    </row>
    <row r="463" spans="2:5" ht="15" customHeight="1" x14ac:dyDescent="0.25">
      <c r="B463" s="81"/>
      <c r="C463" s="45" t="s">
        <v>250</v>
      </c>
      <c r="D463" s="44">
        <v>6</v>
      </c>
      <c r="E463" s="43">
        <v>6.2552126772310256E-4</v>
      </c>
    </row>
    <row r="464" spans="2:5" ht="15" customHeight="1" x14ac:dyDescent="0.25">
      <c r="B464" s="81"/>
      <c r="C464" s="45" t="s">
        <v>166</v>
      </c>
      <c r="D464" s="44">
        <v>41</v>
      </c>
      <c r="E464" s="43">
        <v>4.2743953294412012E-3</v>
      </c>
    </row>
    <row r="465" spans="2:5" ht="15" customHeight="1" x14ac:dyDescent="0.25">
      <c r="B465" s="81"/>
      <c r="C465" s="45" t="s">
        <v>160</v>
      </c>
      <c r="D465" s="44">
        <v>1</v>
      </c>
      <c r="E465" s="43">
        <v>1.0425354462051709E-4</v>
      </c>
    </row>
    <row r="466" spans="2:5" ht="15" customHeight="1" x14ac:dyDescent="0.25">
      <c r="B466" s="81"/>
      <c r="C466" s="45" t="s">
        <v>163</v>
      </c>
      <c r="D466" s="44">
        <v>4</v>
      </c>
      <c r="E466" s="43">
        <v>4.1701417848206837E-4</v>
      </c>
    </row>
    <row r="467" spans="2:5" ht="15" customHeight="1" x14ac:dyDescent="0.25">
      <c r="B467" s="81"/>
      <c r="C467" s="45" t="s">
        <v>155</v>
      </c>
      <c r="D467" s="44">
        <v>4</v>
      </c>
      <c r="E467" s="43">
        <v>4.1701417848206837E-4</v>
      </c>
    </row>
    <row r="468" spans="2:5" ht="15" customHeight="1" x14ac:dyDescent="0.25">
      <c r="B468" s="82"/>
      <c r="C468" s="42" t="s">
        <v>22</v>
      </c>
      <c r="D468" s="41">
        <v>101</v>
      </c>
      <c r="E468" s="40">
        <v>1.0529608006672226E-2</v>
      </c>
    </row>
    <row r="469" spans="2:5" ht="15" customHeight="1" x14ac:dyDescent="0.25">
      <c r="B469" s="80" t="s">
        <v>97</v>
      </c>
      <c r="C469" s="45" t="s">
        <v>164</v>
      </c>
      <c r="D469" s="44">
        <v>1</v>
      </c>
      <c r="E469" s="43">
        <v>1.0425354462051709E-4</v>
      </c>
    </row>
    <row r="470" spans="2:5" ht="15" customHeight="1" x14ac:dyDescent="0.25">
      <c r="B470" s="81"/>
      <c r="C470" s="45" t="s">
        <v>154</v>
      </c>
      <c r="D470" s="44">
        <v>1</v>
      </c>
      <c r="E470" s="43">
        <v>1.0425354462051709E-4</v>
      </c>
    </row>
    <row r="471" spans="2:5" ht="15" customHeight="1" x14ac:dyDescent="0.25">
      <c r="B471" s="81"/>
      <c r="C471" s="45" t="s">
        <v>165</v>
      </c>
      <c r="D471" s="44">
        <v>1</v>
      </c>
      <c r="E471" s="43">
        <v>1.0425354462051709E-4</v>
      </c>
    </row>
    <row r="472" spans="2:5" ht="15" customHeight="1" x14ac:dyDescent="0.25">
      <c r="B472" s="81"/>
      <c r="C472" s="45" t="s">
        <v>166</v>
      </c>
      <c r="D472" s="44">
        <v>2</v>
      </c>
      <c r="E472" s="43">
        <v>2.0850708924103419E-4</v>
      </c>
    </row>
    <row r="473" spans="2:5" ht="15" customHeight="1" x14ac:dyDescent="0.25">
      <c r="B473" s="81"/>
      <c r="C473" s="45" t="s">
        <v>130</v>
      </c>
      <c r="D473" s="44">
        <v>1</v>
      </c>
      <c r="E473" s="43">
        <v>1.0425354462051709E-4</v>
      </c>
    </row>
    <row r="474" spans="2:5" ht="15" customHeight="1" x14ac:dyDescent="0.25">
      <c r="B474" s="81"/>
      <c r="C474" s="45" t="s">
        <v>155</v>
      </c>
      <c r="D474" s="44">
        <v>2</v>
      </c>
      <c r="E474" s="43">
        <v>2.0850708924103419E-4</v>
      </c>
    </row>
    <row r="475" spans="2:5" ht="15" customHeight="1" x14ac:dyDescent="0.25">
      <c r="B475" s="82"/>
      <c r="C475" s="42" t="s">
        <v>22</v>
      </c>
      <c r="D475" s="41">
        <v>8</v>
      </c>
      <c r="E475" s="40">
        <v>8.3402835696413675E-4</v>
      </c>
    </row>
    <row r="476" spans="2:5" ht="15" customHeight="1" x14ac:dyDescent="0.25">
      <c r="B476" s="80" t="s">
        <v>85</v>
      </c>
      <c r="C476" s="45" t="s">
        <v>153</v>
      </c>
      <c r="D476" s="44">
        <v>1</v>
      </c>
      <c r="E476" s="43">
        <v>1.0425354462051709E-4</v>
      </c>
    </row>
    <row r="477" spans="2:5" ht="15" customHeight="1" x14ac:dyDescent="0.25">
      <c r="B477" s="81"/>
      <c r="C477" s="45" t="s">
        <v>156</v>
      </c>
      <c r="D477" s="44">
        <v>1</v>
      </c>
      <c r="E477" s="43">
        <v>1.0425354462051709E-4</v>
      </c>
    </row>
    <row r="478" spans="2:5" ht="15" customHeight="1" x14ac:dyDescent="0.25">
      <c r="B478" s="81"/>
      <c r="C478" s="45" t="s">
        <v>158</v>
      </c>
      <c r="D478" s="44">
        <v>1</v>
      </c>
      <c r="E478" s="43">
        <v>1.0425354462051709E-4</v>
      </c>
    </row>
    <row r="479" spans="2:5" ht="15" customHeight="1" x14ac:dyDescent="0.25">
      <c r="B479" s="81"/>
      <c r="C479" s="45" t="s">
        <v>165</v>
      </c>
      <c r="D479" s="44">
        <v>1</v>
      </c>
      <c r="E479" s="43">
        <v>1.0425354462051709E-4</v>
      </c>
    </row>
    <row r="480" spans="2:5" ht="15" customHeight="1" x14ac:dyDescent="0.25">
      <c r="B480" s="81"/>
      <c r="C480" s="45" t="s">
        <v>118</v>
      </c>
      <c r="D480" s="44">
        <v>1</v>
      </c>
      <c r="E480" s="43">
        <v>1.0425354462051709E-4</v>
      </c>
    </row>
    <row r="481" spans="2:5" ht="15" customHeight="1" x14ac:dyDescent="0.25">
      <c r="B481" s="81"/>
      <c r="C481" s="45" t="s">
        <v>162</v>
      </c>
      <c r="D481" s="44">
        <v>2</v>
      </c>
      <c r="E481" s="43">
        <v>2.0850708924103419E-4</v>
      </c>
    </row>
    <row r="482" spans="2:5" ht="15" customHeight="1" x14ac:dyDescent="0.25">
      <c r="B482" s="81"/>
      <c r="C482" s="45" t="s">
        <v>250</v>
      </c>
      <c r="D482" s="44">
        <v>2</v>
      </c>
      <c r="E482" s="43">
        <v>2.0850708924103419E-4</v>
      </c>
    </row>
    <row r="483" spans="2:5" ht="15" customHeight="1" x14ac:dyDescent="0.25">
      <c r="B483" s="81"/>
      <c r="C483" s="45" t="s">
        <v>166</v>
      </c>
      <c r="D483" s="44">
        <v>6</v>
      </c>
      <c r="E483" s="43">
        <v>6.2552126772310256E-4</v>
      </c>
    </row>
    <row r="484" spans="2:5" ht="15" customHeight="1" x14ac:dyDescent="0.25">
      <c r="B484" s="82"/>
      <c r="C484" s="42" t="s">
        <v>22</v>
      </c>
      <c r="D484" s="41">
        <v>15</v>
      </c>
      <c r="E484" s="40">
        <v>1.5638031693077565E-3</v>
      </c>
    </row>
    <row r="485" spans="2:5" ht="15" customHeight="1" x14ac:dyDescent="0.25">
      <c r="B485" s="80" t="s">
        <v>89</v>
      </c>
      <c r="C485" s="45" t="s">
        <v>154</v>
      </c>
      <c r="D485" s="44">
        <v>1</v>
      </c>
      <c r="E485" s="43">
        <v>1.0425354462051709E-4</v>
      </c>
    </row>
    <row r="486" spans="2:5" ht="15" customHeight="1" x14ac:dyDescent="0.25">
      <c r="B486" s="81"/>
      <c r="C486" s="45" t="s">
        <v>143</v>
      </c>
      <c r="D486" s="44">
        <v>1</v>
      </c>
      <c r="E486" s="43">
        <v>1.0425354462051709E-4</v>
      </c>
    </row>
    <row r="487" spans="2:5" ht="15" customHeight="1" x14ac:dyDescent="0.25">
      <c r="B487" s="81"/>
      <c r="C487" s="45" t="s">
        <v>166</v>
      </c>
      <c r="D487" s="44">
        <v>5</v>
      </c>
      <c r="E487" s="43">
        <v>5.2126772310258547E-4</v>
      </c>
    </row>
    <row r="488" spans="2:5" ht="15" customHeight="1" x14ac:dyDescent="0.25">
      <c r="B488" s="82"/>
      <c r="C488" s="42" t="s">
        <v>22</v>
      </c>
      <c r="D488" s="41">
        <v>7</v>
      </c>
      <c r="E488" s="40">
        <v>7.2977481234361965E-4</v>
      </c>
    </row>
    <row r="489" spans="2:5" ht="15" customHeight="1" x14ac:dyDescent="0.25">
      <c r="B489" s="80" t="s">
        <v>73</v>
      </c>
      <c r="C489" s="45" t="s">
        <v>157</v>
      </c>
      <c r="D489" s="44">
        <v>1</v>
      </c>
      <c r="E489" s="43">
        <v>1.0425354462051709E-4</v>
      </c>
    </row>
    <row r="490" spans="2:5" ht="15" customHeight="1" x14ac:dyDescent="0.25">
      <c r="B490" s="81"/>
      <c r="C490" s="45" t="s">
        <v>165</v>
      </c>
      <c r="D490" s="44">
        <v>1</v>
      </c>
      <c r="E490" s="43">
        <v>1.0425354462051709E-4</v>
      </c>
    </row>
    <row r="491" spans="2:5" ht="15" customHeight="1" x14ac:dyDescent="0.25">
      <c r="B491" s="81"/>
      <c r="C491" s="45" t="s">
        <v>250</v>
      </c>
      <c r="D491" s="44">
        <v>1</v>
      </c>
      <c r="E491" s="43">
        <v>1.0425354462051709E-4</v>
      </c>
    </row>
    <row r="492" spans="2:5" ht="15" customHeight="1" x14ac:dyDescent="0.25">
      <c r="B492" s="81"/>
      <c r="C492" s="45" t="s">
        <v>166</v>
      </c>
      <c r="D492" s="44">
        <v>2</v>
      </c>
      <c r="E492" s="43">
        <v>2.0850708924103419E-4</v>
      </c>
    </row>
    <row r="493" spans="2:5" ht="15" customHeight="1" x14ac:dyDescent="0.25">
      <c r="B493" s="81"/>
      <c r="C493" s="45" t="s">
        <v>147</v>
      </c>
      <c r="D493" s="44">
        <v>1</v>
      </c>
      <c r="E493" s="43">
        <v>1.0425354462051709E-4</v>
      </c>
    </row>
    <row r="494" spans="2:5" ht="15" customHeight="1" x14ac:dyDescent="0.25">
      <c r="B494" s="82"/>
      <c r="C494" s="42" t="s">
        <v>22</v>
      </c>
      <c r="D494" s="41">
        <v>6</v>
      </c>
      <c r="E494" s="40">
        <v>6.2552126772310256E-4</v>
      </c>
    </row>
    <row r="495" spans="2:5" ht="15" customHeight="1" x14ac:dyDescent="0.25">
      <c r="B495" s="80" t="s">
        <v>107</v>
      </c>
      <c r="C495" s="45" t="s">
        <v>153</v>
      </c>
      <c r="D495" s="44">
        <v>2</v>
      </c>
      <c r="E495" s="43">
        <v>2.0850708924103419E-4</v>
      </c>
    </row>
    <row r="496" spans="2:5" ht="15" customHeight="1" x14ac:dyDescent="0.25">
      <c r="B496" s="81"/>
      <c r="C496" s="45" t="s">
        <v>146</v>
      </c>
      <c r="D496" s="44">
        <v>1</v>
      </c>
      <c r="E496" s="43">
        <v>1.0425354462051709E-4</v>
      </c>
    </row>
    <row r="497" spans="2:5" ht="15" customHeight="1" x14ac:dyDescent="0.25">
      <c r="B497" s="81"/>
      <c r="C497" s="45" t="s">
        <v>132</v>
      </c>
      <c r="D497" s="44">
        <v>1</v>
      </c>
      <c r="E497" s="43">
        <v>1.0425354462051709E-4</v>
      </c>
    </row>
    <row r="498" spans="2:5" ht="15" customHeight="1" x14ac:dyDescent="0.25">
      <c r="B498" s="81"/>
      <c r="C498" s="45" t="s">
        <v>159</v>
      </c>
      <c r="D498" s="44">
        <v>5</v>
      </c>
      <c r="E498" s="43">
        <v>5.2126772310258547E-4</v>
      </c>
    </row>
    <row r="499" spans="2:5" ht="15" customHeight="1" x14ac:dyDescent="0.25">
      <c r="B499" s="81"/>
      <c r="C499" s="45" t="s">
        <v>151</v>
      </c>
      <c r="D499" s="44">
        <v>2</v>
      </c>
      <c r="E499" s="43">
        <v>2.0850708924103419E-4</v>
      </c>
    </row>
    <row r="500" spans="2:5" ht="15" customHeight="1" x14ac:dyDescent="0.25">
      <c r="B500" s="81"/>
      <c r="C500" s="45" t="s">
        <v>157</v>
      </c>
      <c r="D500" s="44">
        <v>1</v>
      </c>
      <c r="E500" s="43">
        <v>1.0425354462051709E-4</v>
      </c>
    </row>
    <row r="501" spans="2:5" ht="15" customHeight="1" x14ac:dyDescent="0.25">
      <c r="B501" s="81"/>
      <c r="C501" s="45" t="s">
        <v>164</v>
      </c>
      <c r="D501" s="44">
        <v>27</v>
      </c>
      <c r="E501" s="43">
        <v>2.8148457047539616E-3</v>
      </c>
    </row>
    <row r="502" spans="2:5" ht="15" customHeight="1" x14ac:dyDescent="0.25">
      <c r="B502" s="81"/>
      <c r="C502" s="45" t="s">
        <v>154</v>
      </c>
      <c r="D502" s="44">
        <v>6</v>
      </c>
      <c r="E502" s="43">
        <v>6.2552126772310256E-4</v>
      </c>
    </row>
    <row r="503" spans="2:5" ht="15" customHeight="1" x14ac:dyDescent="0.25">
      <c r="B503" s="81"/>
      <c r="C503" s="45" t="s">
        <v>125</v>
      </c>
      <c r="D503" s="44">
        <v>1</v>
      </c>
      <c r="E503" s="43">
        <v>1.0425354462051709E-4</v>
      </c>
    </row>
    <row r="504" spans="2:5" ht="15" customHeight="1" x14ac:dyDescent="0.25">
      <c r="B504" s="81"/>
      <c r="C504" s="45" t="s">
        <v>158</v>
      </c>
      <c r="D504" s="44">
        <v>1</v>
      </c>
      <c r="E504" s="43">
        <v>1.0425354462051709E-4</v>
      </c>
    </row>
    <row r="505" spans="2:5" ht="15" customHeight="1" x14ac:dyDescent="0.25">
      <c r="B505" s="81"/>
      <c r="C505" s="45" t="s">
        <v>124</v>
      </c>
      <c r="D505" s="44">
        <v>1</v>
      </c>
      <c r="E505" s="43">
        <v>1.0425354462051709E-4</v>
      </c>
    </row>
    <row r="506" spans="2:5" ht="15" customHeight="1" x14ac:dyDescent="0.25">
      <c r="B506" s="81"/>
      <c r="C506" s="45" t="s">
        <v>165</v>
      </c>
      <c r="D506" s="44">
        <v>10</v>
      </c>
      <c r="E506" s="43">
        <v>1.0425354462051709E-3</v>
      </c>
    </row>
    <row r="507" spans="2:5" ht="15" customHeight="1" x14ac:dyDescent="0.25">
      <c r="B507" s="81"/>
      <c r="C507" s="45" t="s">
        <v>140</v>
      </c>
      <c r="D507" s="44">
        <v>1</v>
      </c>
      <c r="E507" s="43">
        <v>1.0425354462051709E-4</v>
      </c>
    </row>
    <row r="508" spans="2:5" ht="15" customHeight="1" x14ac:dyDescent="0.25">
      <c r="B508" s="81"/>
      <c r="C508" s="45" t="s">
        <v>142</v>
      </c>
      <c r="D508" s="44">
        <v>1</v>
      </c>
      <c r="E508" s="43">
        <v>1.0425354462051709E-4</v>
      </c>
    </row>
    <row r="509" spans="2:5" ht="15" customHeight="1" x14ac:dyDescent="0.25">
      <c r="B509" s="81"/>
      <c r="C509" s="45" t="s">
        <v>162</v>
      </c>
      <c r="D509" s="44">
        <v>13</v>
      </c>
      <c r="E509" s="43">
        <v>1.3552960800667223E-3</v>
      </c>
    </row>
    <row r="510" spans="2:5" ht="15" customHeight="1" x14ac:dyDescent="0.25">
      <c r="B510" s="81"/>
      <c r="C510" s="45" t="s">
        <v>139</v>
      </c>
      <c r="D510" s="44">
        <v>2</v>
      </c>
      <c r="E510" s="43">
        <v>2.0850708924103419E-4</v>
      </c>
    </row>
    <row r="511" spans="2:5" ht="15" customHeight="1" x14ac:dyDescent="0.25">
      <c r="B511" s="81"/>
      <c r="C511" s="45" t="s">
        <v>141</v>
      </c>
      <c r="D511" s="44">
        <v>1</v>
      </c>
      <c r="E511" s="43">
        <v>1.0425354462051709E-4</v>
      </c>
    </row>
    <row r="512" spans="2:5" ht="15" customHeight="1" x14ac:dyDescent="0.25">
      <c r="B512" s="81"/>
      <c r="C512" s="45" t="s">
        <v>152</v>
      </c>
      <c r="D512" s="44">
        <v>3</v>
      </c>
      <c r="E512" s="43">
        <v>3.1276063386155128E-4</v>
      </c>
    </row>
    <row r="513" spans="2:5" ht="15" customHeight="1" x14ac:dyDescent="0.25">
      <c r="B513" s="81"/>
      <c r="C513" s="45" t="s">
        <v>250</v>
      </c>
      <c r="D513" s="44">
        <v>6</v>
      </c>
      <c r="E513" s="43">
        <v>6.2552126772310256E-4</v>
      </c>
    </row>
    <row r="514" spans="2:5" ht="15" customHeight="1" x14ac:dyDescent="0.25">
      <c r="B514" s="81"/>
      <c r="C514" s="45" t="s">
        <v>166</v>
      </c>
      <c r="D514" s="44">
        <v>93</v>
      </c>
      <c r="E514" s="43">
        <v>9.6955796497080905E-3</v>
      </c>
    </row>
    <row r="515" spans="2:5" ht="15" customHeight="1" x14ac:dyDescent="0.25">
      <c r="B515" s="81"/>
      <c r="C515" s="45" t="s">
        <v>128</v>
      </c>
      <c r="D515" s="44">
        <v>2</v>
      </c>
      <c r="E515" s="43">
        <v>2.0850708924103419E-4</v>
      </c>
    </row>
    <row r="516" spans="2:5" ht="15" customHeight="1" x14ac:dyDescent="0.25">
      <c r="B516" s="81"/>
      <c r="C516" s="45" t="s">
        <v>160</v>
      </c>
      <c r="D516" s="44">
        <v>2</v>
      </c>
      <c r="E516" s="43">
        <v>2.0850708924103419E-4</v>
      </c>
    </row>
    <row r="517" spans="2:5" ht="15" customHeight="1" x14ac:dyDescent="0.25">
      <c r="B517" s="81"/>
      <c r="C517" s="45" t="s">
        <v>163</v>
      </c>
      <c r="D517" s="44">
        <v>15</v>
      </c>
      <c r="E517" s="43">
        <v>1.5638031693077565E-3</v>
      </c>
    </row>
    <row r="518" spans="2:5" ht="15" customHeight="1" x14ac:dyDescent="0.25">
      <c r="B518" s="81"/>
      <c r="C518" s="45" t="s">
        <v>155</v>
      </c>
      <c r="D518" s="44">
        <v>5</v>
      </c>
      <c r="E518" s="43">
        <v>5.2126772310258547E-4</v>
      </c>
    </row>
    <row r="519" spans="2:5" ht="15" customHeight="1" x14ac:dyDescent="0.25">
      <c r="B519" s="81"/>
      <c r="C519" s="45" t="s">
        <v>138</v>
      </c>
      <c r="D519" s="44">
        <v>1</v>
      </c>
      <c r="E519" s="43">
        <v>1.0425354462051709E-4</v>
      </c>
    </row>
    <row r="520" spans="2:5" ht="15" customHeight="1" x14ac:dyDescent="0.25">
      <c r="B520" s="82"/>
      <c r="C520" s="42" t="s">
        <v>22</v>
      </c>
      <c r="D520" s="41">
        <v>203</v>
      </c>
      <c r="E520" s="40">
        <v>2.116346955796497E-2</v>
      </c>
    </row>
    <row r="521" spans="2:5" ht="15" customHeight="1" x14ac:dyDescent="0.25">
      <c r="B521" s="80" t="s">
        <v>99</v>
      </c>
      <c r="C521" s="45" t="s">
        <v>159</v>
      </c>
      <c r="D521" s="44">
        <v>1</v>
      </c>
      <c r="E521" s="43">
        <v>1.0425354462051709E-4</v>
      </c>
    </row>
    <row r="522" spans="2:5" ht="15" customHeight="1" x14ac:dyDescent="0.25">
      <c r="B522" s="81"/>
      <c r="C522" s="45" t="s">
        <v>164</v>
      </c>
      <c r="D522" s="44">
        <v>1</v>
      </c>
      <c r="E522" s="43">
        <v>1.0425354462051709E-4</v>
      </c>
    </row>
    <row r="523" spans="2:5" ht="15" customHeight="1" x14ac:dyDescent="0.25">
      <c r="B523" s="81"/>
      <c r="C523" s="45" t="s">
        <v>158</v>
      </c>
      <c r="D523" s="44">
        <v>1</v>
      </c>
      <c r="E523" s="43">
        <v>1.0425354462051709E-4</v>
      </c>
    </row>
    <row r="524" spans="2:5" ht="15" customHeight="1" x14ac:dyDescent="0.25">
      <c r="B524" s="81"/>
      <c r="C524" s="45" t="s">
        <v>250</v>
      </c>
      <c r="D524" s="44">
        <v>3</v>
      </c>
      <c r="E524" s="43">
        <v>3.1276063386155128E-4</v>
      </c>
    </row>
    <row r="525" spans="2:5" ht="15" customHeight="1" x14ac:dyDescent="0.25">
      <c r="B525" s="81"/>
      <c r="C525" s="45" t="s">
        <v>166</v>
      </c>
      <c r="D525" s="44">
        <v>7</v>
      </c>
      <c r="E525" s="43">
        <v>7.2977481234361965E-4</v>
      </c>
    </row>
    <row r="526" spans="2:5" ht="15" customHeight="1" x14ac:dyDescent="0.25">
      <c r="B526" s="82"/>
      <c r="C526" s="42" t="s">
        <v>22</v>
      </c>
      <c r="D526" s="41">
        <v>13</v>
      </c>
      <c r="E526" s="40">
        <v>1.3552960800667223E-3</v>
      </c>
    </row>
    <row r="527" spans="2:5" ht="15" customHeight="1" x14ac:dyDescent="0.25">
      <c r="B527" s="80" t="s">
        <v>84</v>
      </c>
      <c r="C527" s="45" t="s">
        <v>156</v>
      </c>
      <c r="D527" s="44">
        <v>1</v>
      </c>
      <c r="E527" s="43">
        <v>1.0425354462051709E-4</v>
      </c>
    </row>
    <row r="528" spans="2:5" ht="15" customHeight="1" x14ac:dyDescent="0.25">
      <c r="B528" s="81"/>
      <c r="C528" s="45" t="s">
        <v>146</v>
      </c>
      <c r="D528" s="44">
        <v>1</v>
      </c>
      <c r="E528" s="43">
        <v>1.0425354462051709E-4</v>
      </c>
    </row>
    <row r="529" spans="2:5" ht="15" customHeight="1" x14ac:dyDescent="0.25">
      <c r="B529" s="81"/>
      <c r="C529" s="45" t="s">
        <v>159</v>
      </c>
      <c r="D529" s="44">
        <v>4</v>
      </c>
      <c r="E529" s="43">
        <v>4.1701417848206837E-4</v>
      </c>
    </row>
    <row r="530" spans="2:5" ht="15" customHeight="1" x14ac:dyDescent="0.25">
      <c r="B530" s="81"/>
      <c r="C530" s="45" t="s">
        <v>151</v>
      </c>
      <c r="D530" s="44">
        <v>1</v>
      </c>
      <c r="E530" s="43">
        <v>1.0425354462051709E-4</v>
      </c>
    </row>
    <row r="531" spans="2:5" ht="15" customHeight="1" x14ac:dyDescent="0.25">
      <c r="B531" s="81"/>
      <c r="C531" s="45" t="s">
        <v>164</v>
      </c>
      <c r="D531" s="44">
        <v>6</v>
      </c>
      <c r="E531" s="43">
        <v>6.2552126772310256E-4</v>
      </c>
    </row>
    <row r="532" spans="2:5" ht="15" customHeight="1" x14ac:dyDescent="0.25">
      <c r="B532" s="81"/>
      <c r="C532" s="45" t="s">
        <v>154</v>
      </c>
      <c r="D532" s="44">
        <v>2</v>
      </c>
      <c r="E532" s="43">
        <v>2.0850708924103419E-4</v>
      </c>
    </row>
    <row r="533" spans="2:5" ht="15" customHeight="1" x14ac:dyDescent="0.25">
      <c r="B533" s="81"/>
      <c r="C533" s="45" t="s">
        <v>125</v>
      </c>
      <c r="D533" s="44">
        <v>2</v>
      </c>
      <c r="E533" s="43">
        <v>2.0850708924103419E-4</v>
      </c>
    </row>
    <row r="534" spans="2:5" ht="15" customHeight="1" x14ac:dyDescent="0.25">
      <c r="B534" s="81"/>
      <c r="C534" s="45" t="s">
        <v>165</v>
      </c>
      <c r="D534" s="44">
        <v>3</v>
      </c>
      <c r="E534" s="43">
        <v>3.1276063386155128E-4</v>
      </c>
    </row>
    <row r="535" spans="2:5" ht="15" customHeight="1" x14ac:dyDescent="0.25">
      <c r="B535" s="81"/>
      <c r="C535" s="45" t="s">
        <v>143</v>
      </c>
      <c r="D535" s="44">
        <v>1</v>
      </c>
      <c r="E535" s="43">
        <v>1.0425354462051709E-4</v>
      </c>
    </row>
    <row r="536" spans="2:5" ht="15" customHeight="1" x14ac:dyDescent="0.25">
      <c r="B536" s="81"/>
      <c r="C536" s="45" t="s">
        <v>162</v>
      </c>
      <c r="D536" s="44">
        <v>1</v>
      </c>
      <c r="E536" s="43">
        <v>1.0425354462051709E-4</v>
      </c>
    </row>
    <row r="537" spans="2:5" ht="15" customHeight="1" x14ac:dyDescent="0.25">
      <c r="B537" s="81"/>
      <c r="C537" s="45" t="s">
        <v>141</v>
      </c>
      <c r="D537" s="44">
        <v>1</v>
      </c>
      <c r="E537" s="43">
        <v>1.0425354462051709E-4</v>
      </c>
    </row>
    <row r="538" spans="2:5" ht="15" customHeight="1" x14ac:dyDescent="0.25">
      <c r="B538" s="81"/>
      <c r="C538" s="45" t="s">
        <v>149</v>
      </c>
      <c r="D538" s="44">
        <v>2</v>
      </c>
      <c r="E538" s="43">
        <v>2.0850708924103419E-4</v>
      </c>
    </row>
    <row r="539" spans="2:5" ht="15" customHeight="1" x14ac:dyDescent="0.25">
      <c r="B539" s="81"/>
      <c r="C539" s="45" t="s">
        <v>152</v>
      </c>
      <c r="D539" s="44">
        <v>1</v>
      </c>
      <c r="E539" s="43">
        <v>1.0425354462051709E-4</v>
      </c>
    </row>
    <row r="540" spans="2:5" ht="15" customHeight="1" x14ac:dyDescent="0.25">
      <c r="B540" s="81"/>
      <c r="C540" s="45" t="s">
        <v>250</v>
      </c>
      <c r="D540" s="44">
        <v>1</v>
      </c>
      <c r="E540" s="43">
        <v>1.0425354462051709E-4</v>
      </c>
    </row>
    <row r="541" spans="2:5" ht="15" customHeight="1" x14ac:dyDescent="0.25">
      <c r="B541" s="81"/>
      <c r="C541" s="45" t="s">
        <v>166</v>
      </c>
      <c r="D541" s="44">
        <v>25</v>
      </c>
      <c r="E541" s="43">
        <v>2.6063386155129272E-3</v>
      </c>
    </row>
    <row r="542" spans="2:5" ht="15" customHeight="1" x14ac:dyDescent="0.25">
      <c r="B542" s="81"/>
      <c r="C542" s="45" t="s">
        <v>163</v>
      </c>
      <c r="D542" s="44">
        <v>6</v>
      </c>
      <c r="E542" s="43">
        <v>6.2552126772310256E-4</v>
      </c>
    </row>
    <row r="543" spans="2:5" ht="15" customHeight="1" x14ac:dyDescent="0.25">
      <c r="B543" s="82"/>
      <c r="C543" s="42" t="s">
        <v>22</v>
      </c>
      <c r="D543" s="41">
        <v>58</v>
      </c>
      <c r="E543" s="40">
        <v>6.0467055879899921E-3</v>
      </c>
    </row>
    <row r="544" spans="2:5" ht="15" customHeight="1" x14ac:dyDescent="0.25">
      <c r="B544" s="80" t="s">
        <v>86</v>
      </c>
      <c r="C544" s="45" t="s">
        <v>165</v>
      </c>
      <c r="D544" s="44">
        <v>2</v>
      </c>
      <c r="E544" s="43">
        <v>2.0850708924103419E-4</v>
      </c>
    </row>
    <row r="545" spans="2:5" ht="15" customHeight="1" x14ac:dyDescent="0.25">
      <c r="B545" s="81"/>
      <c r="C545" s="45" t="s">
        <v>142</v>
      </c>
      <c r="D545" s="44">
        <v>1</v>
      </c>
      <c r="E545" s="43">
        <v>1.0425354462051709E-4</v>
      </c>
    </row>
    <row r="546" spans="2:5" ht="15" customHeight="1" x14ac:dyDescent="0.25">
      <c r="B546" s="81"/>
      <c r="C546" s="45" t="s">
        <v>118</v>
      </c>
      <c r="D546" s="44">
        <v>1</v>
      </c>
      <c r="E546" s="43">
        <v>1.0425354462051709E-4</v>
      </c>
    </row>
    <row r="547" spans="2:5" ht="15" customHeight="1" x14ac:dyDescent="0.25">
      <c r="B547" s="81"/>
      <c r="C547" s="45" t="s">
        <v>166</v>
      </c>
      <c r="D547" s="44">
        <v>18</v>
      </c>
      <c r="E547" s="43">
        <v>1.8765638031693077E-3</v>
      </c>
    </row>
    <row r="548" spans="2:5" ht="15" customHeight="1" x14ac:dyDescent="0.25">
      <c r="B548" s="81"/>
      <c r="C548" s="45" t="s">
        <v>160</v>
      </c>
      <c r="D548" s="44">
        <v>1</v>
      </c>
      <c r="E548" s="43">
        <v>1.0425354462051709E-4</v>
      </c>
    </row>
    <row r="549" spans="2:5" ht="15" customHeight="1" x14ac:dyDescent="0.25">
      <c r="B549" s="81"/>
      <c r="C549" s="45" t="s">
        <v>163</v>
      </c>
      <c r="D549" s="44">
        <v>7</v>
      </c>
      <c r="E549" s="43">
        <v>7.2977481234361965E-4</v>
      </c>
    </row>
    <row r="550" spans="2:5" ht="15" customHeight="1" x14ac:dyDescent="0.25">
      <c r="B550" s="82"/>
      <c r="C550" s="42" t="s">
        <v>22</v>
      </c>
      <c r="D550" s="41">
        <v>30</v>
      </c>
      <c r="E550" s="40">
        <v>3.127606338615513E-3</v>
      </c>
    </row>
    <row r="551" spans="2:5" ht="15" customHeight="1" x14ac:dyDescent="0.25">
      <c r="B551" s="80" t="s">
        <v>94</v>
      </c>
      <c r="C551" s="45" t="s">
        <v>148</v>
      </c>
      <c r="D551" s="44">
        <v>3</v>
      </c>
      <c r="E551" s="43">
        <v>3.1276063386155128E-4</v>
      </c>
    </row>
    <row r="552" spans="2:5" ht="15" customHeight="1" x14ac:dyDescent="0.25">
      <c r="B552" s="81"/>
      <c r="C552" s="45" t="s">
        <v>153</v>
      </c>
      <c r="D552" s="44">
        <v>6</v>
      </c>
      <c r="E552" s="43">
        <v>6.2552126772310256E-4</v>
      </c>
    </row>
    <row r="553" spans="2:5" ht="15" customHeight="1" x14ac:dyDescent="0.25">
      <c r="B553" s="81"/>
      <c r="C553" s="45" t="s">
        <v>156</v>
      </c>
      <c r="D553" s="44">
        <v>52</v>
      </c>
      <c r="E553" s="43">
        <v>5.4211843202668893E-3</v>
      </c>
    </row>
    <row r="554" spans="2:5" ht="15" customHeight="1" x14ac:dyDescent="0.25">
      <c r="B554" s="81"/>
      <c r="C554" s="45" t="s">
        <v>136</v>
      </c>
      <c r="D554" s="44">
        <v>3</v>
      </c>
      <c r="E554" s="43">
        <v>3.1276063386155128E-4</v>
      </c>
    </row>
    <row r="555" spans="2:5" ht="15" customHeight="1" x14ac:dyDescent="0.25">
      <c r="B555" s="81"/>
      <c r="C555" s="45" t="s">
        <v>146</v>
      </c>
      <c r="D555" s="44">
        <v>1</v>
      </c>
      <c r="E555" s="43">
        <v>1.0425354462051709E-4</v>
      </c>
    </row>
    <row r="556" spans="2:5" ht="15" customHeight="1" x14ac:dyDescent="0.25">
      <c r="B556" s="81"/>
      <c r="C556" s="45" t="s">
        <v>159</v>
      </c>
      <c r="D556" s="44">
        <v>6</v>
      </c>
      <c r="E556" s="43">
        <v>6.2552126772310256E-4</v>
      </c>
    </row>
    <row r="557" spans="2:5" ht="15" customHeight="1" x14ac:dyDescent="0.25">
      <c r="B557" s="81"/>
      <c r="C557" s="45" t="s">
        <v>157</v>
      </c>
      <c r="D557" s="44">
        <v>3</v>
      </c>
      <c r="E557" s="43">
        <v>3.1276063386155128E-4</v>
      </c>
    </row>
    <row r="558" spans="2:5" ht="15" customHeight="1" x14ac:dyDescent="0.25">
      <c r="B558" s="81"/>
      <c r="C558" s="45" t="s">
        <v>137</v>
      </c>
      <c r="D558" s="44">
        <v>1</v>
      </c>
      <c r="E558" s="43">
        <v>1.0425354462051709E-4</v>
      </c>
    </row>
    <row r="559" spans="2:5" ht="15" customHeight="1" x14ac:dyDescent="0.25">
      <c r="B559" s="81"/>
      <c r="C559" s="45" t="s">
        <v>145</v>
      </c>
      <c r="D559" s="44">
        <v>2</v>
      </c>
      <c r="E559" s="43">
        <v>2.0850708924103419E-4</v>
      </c>
    </row>
    <row r="560" spans="2:5" ht="15" customHeight="1" x14ac:dyDescent="0.25">
      <c r="B560" s="81"/>
      <c r="C560" s="45" t="s">
        <v>164</v>
      </c>
      <c r="D560" s="44">
        <v>15</v>
      </c>
      <c r="E560" s="43">
        <v>1.5638031693077565E-3</v>
      </c>
    </row>
    <row r="561" spans="2:5" ht="15" customHeight="1" x14ac:dyDescent="0.25">
      <c r="B561" s="81"/>
      <c r="C561" s="45" t="s">
        <v>134</v>
      </c>
      <c r="D561" s="44">
        <v>2</v>
      </c>
      <c r="E561" s="43">
        <v>2.0850708924103419E-4</v>
      </c>
    </row>
    <row r="562" spans="2:5" ht="15" customHeight="1" x14ac:dyDescent="0.25">
      <c r="B562" s="81"/>
      <c r="C562" s="45" t="s">
        <v>154</v>
      </c>
      <c r="D562" s="44">
        <v>2</v>
      </c>
      <c r="E562" s="43">
        <v>2.0850708924103419E-4</v>
      </c>
    </row>
    <row r="563" spans="2:5" ht="15" customHeight="1" x14ac:dyDescent="0.25">
      <c r="B563" s="81"/>
      <c r="C563" s="45" t="s">
        <v>127</v>
      </c>
      <c r="D563" s="44">
        <v>1</v>
      </c>
      <c r="E563" s="43">
        <v>1.0425354462051709E-4</v>
      </c>
    </row>
    <row r="564" spans="2:5" ht="15" customHeight="1" x14ac:dyDescent="0.25">
      <c r="B564" s="81"/>
      <c r="C564" s="45" t="s">
        <v>125</v>
      </c>
      <c r="D564" s="44">
        <v>1</v>
      </c>
      <c r="E564" s="43">
        <v>1.0425354462051709E-4</v>
      </c>
    </row>
    <row r="565" spans="2:5" ht="15" customHeight="1" x14ac:dyDescent="0.25">
      <c r="B565" s="81"/>
      <c r="C565" s="45" t="s">
        <v>158</v>
      </c>
      <c r="D565" s="44">
        <v>1</v>
      </c>
      <c r="E565" s="43">
        <v>1.0425354462051709E-4</v>
      </c>
    </row>
    <row r="566" spans="2:5" ht="15" customHeight="1" x14ac:dyDescent="0.25">
      <c r="B566" s="81"/>
      <c r="C566" s="45" t="s">
        <v>129</v>
      </c>
      <c r="D566" s="44">
        <v>1</v>
      </c>
      <c r="E566" s="43">
        <v>1.0425354462051709E-4</v>
      </c>
    </row>
    <row r="567" spans="2:5" ht="15" customHeight="1" x14ac:dyDescent="0.25">
      <c r="B567" s="81"/>
      <c r="C567" s="45" t="s">
        <v>126</v>
      </c>
      <c r="D567" s="44">
        <v>1</v>
      </c>
      <c r="E567" s="43">
        <v>1.0425354462051709E-4</v>
      </c>
    </row>
    <row r="568" spans="2:5" ht="15" customHeight="1" x14ac:dyDescent="0.25">
      <c r="B568" s="81"/>
      <c r="C568" s="45" t="s">
        <v>150</v>
      </c>
      <c r="D568" s="44">
        <v>2</v>
      </c>
      <c r="E568" s="43">
        <v>2.0850708924103419E-4</v>
      </c>
    </row>
    <row r="569" spans="2:5" ht="15" customHeight="1" x14ac:dyDescent="0.25">
      <c r="B569" s="81"/>
      <c r="C569" s="45" t="s">
        <v>165</v>
      </c>
      <c r="D569" s="44">
        <v>41</v>
      </c>
      <c r="E569" s="43">
        <v>4.2743953294412012E-3</v>
      </c>
    </row>
    <row r="570" spans="2:5" ht="15" customHeight="1" x14ac:dyDescent="0.25">
      <c r="B570" s="81"/>
      <c r="C570" s="45" t="s">
        <v>140</v>
      </c>
      <c r="D570" s="44">
        <v>4</v>
      </c>
      <c r="E570" s="43">
        <v>4.1701417848206837E-4</v>
      </c>
    </row>
    <row r="571" spans="2:5" ht="15" customHeight="1" x14ac:dyDescent="0.25">
      <c r="B571" s="81"/>
      <c r="C571" s="45" t="s">
        <v>117</v>
      </c>
      <c r="D571" s="44">
        <v>1</v>
      </c>
      <c r="E571" s="43">
        <v>1.0425354462051709E-4</v>
      </c>
    </row>
    <row r="572" spans="2:5" ht="15" customHeight="1" x14ac:dyDescent="0.25">
      <c r="B572" s="81"/>
      <c r="C572" s="45" t="s">
        <v>131</v>
      </c>
      <c r="D572" s="44">
        <v>3</v>
      </c>
      <c r="E572" s="43">
        <v>3.1276063386155128E-4</v>
      </c>
    </row>
    <row r="573" spans="2:5" ht="15" customHeight="1" x14ac:dyDescent="0.25">
      <c r="B573" s="81"/>
      <c r="C573" s="45" t="s">
        <v>143</v>
      </c>
      <c r="D573" s="44">
        <v>4</v>
      </c>
      <c r="E573" s="43">
        <v>4.1701417848206837E-4</v>
      </c>
    </row>
    <row r="574" spans="2:5" ht="15" customHeight="1" x14ac:dyDescent="0.25">
      <c r="B574" s="81"/>
      <c r="C574" s="45" t="s">
        <v>162</v>
      </c>
      <c r="D574" s="44">
        <v>13</v>
      </c>
      <c r="E574" s="43">
        <v>1.3552960800667223E-3</v>
      </c>
    </row>
    <row r="575" spans="2:5" ht="15" customHeight="1" x14ac:dyDescent="0.25">
      <c r="B575" s="81"/>
      <c r="C575" s="45" t="s">
        <v>141</v>
      </c>
      <c r="D575" s="44">
        <v>2</v>
      </c>
      <c r="E575" s="43">
        <v>2.0850708924103419E-4</v>
      </c>
    </row>
    <row r="576" spans="2:5" ht="15" customHeight="1" x14ac:dyDescent="0.25">
      <c r="B576" s="81"/>
      <c r="C576" s="45" t="s">
        <v>116</v>
      </c>
      <c r="D576" s="44">
        <v>1</v>
      </c>
      <c r="E576" s="43">
        <v>1.0425354462051709E-4</v>
      </c>
    </row>
    <row r="577" spans="2:5" ht="15" customHeight="1" x14ac:dyDescent="0.25">
      <c r="B577" s="81"/>
      <c r="C577" s="45" t="s">
        <v>152</v>
      </c>
      <c r="D577" s="44">
        <v>5</v>
      </c>
      <c r="E577" s="43">
        <v>5.2126772310258547E-4</v>
      </c>
    </row>
    <row r="578" spans="2:5" ht="15" customHeight="1" x14ac:dyDescent="0.25">
      <c r="B578" s="81"/>
      <c r="C578" s="45" t="s">
        <v>121</v>
      </c>
      <c r="D578" s="44">
        <v>3</v>
      </c>
      <c r="E578" s="43">
        <v>3.1276063386155128E-4</v>
      </c>
    </row>
    <row r="579" spans="2:5" ht="15" customHeight="1" x14ac:dyDescent="0.25">
      <c r="B579" s="81"/>
      <c r="C579" s="45" t="s">
        <v>250</v>
      </c>
      <c r="D579" s="44">
        <v>7</v>
      </c>
      <c r="E579" s="43">
        <v>7.2977481234361965E-4</v>
      </c>
    </row>
    <row r="580" spans="2:5" ht="15" customHeight="1" x14ac:dyDescent="0.25">
      <c r="B580" s="81"/>
      <c r="C580" s="45" t="s">
        <v>166</v>
      </c>
      <c r="D580" s="44">
        <v>417</v>
      </c>
      <c r="E580" s="43">
        <v>4.3473728106755628E-2</v>
      </c>
    </row>
    <row r="581" spans="2:5" ht="15" customHeight="1" x14ac:dyDescent="0.25">
      <c r="B581" s="81"/>
      <c r="C581" s="45" t="s">
        <v>119</v>
      </c>
      <c r="D581" s="44">
        <v>1</v>
      </c>
      <c r="E581" s="43">
        <v>1.0425354462051709E-4</v>
      </c>
    </row>
    <row r="582" spans="2:5" ht="15" customHeight="1" x14ac:dyDescent="0.25">
      <c r="B582" s="81"/>
      <c r="C582" s="45" t="s">
        <v>128</v>
      </c>
      <c r="D582" s="44">
        <v>1</v>
      </c>
      <c r="E582" s="43">
        <v>1.0425354462051709E-4</v>
      </c>
    </row>
    <row r="583" spans="2:5" ht="15" customHeight="1" x14ac:dyDescent="0.25">
      <c r="B583" s="81"/>
      <c r="C583" s="45" t="s">
        <v>160</v>
      </c>
      <c r="D583" s="44">
        <v>46</v>
      </c>
      <c r="E583" s="43">
        <v>4.7956630525437865E-3</v>
      </c>
    </row>
    <row r="584" spans="2:5" ht="15" customHeight="1" x14ac:dyDescent="0.25">
      <c r="B584" s="81"/>
      <c r="C584" s="45" t="s">
        <v>123</v>
      </c>
      <c r="D584" s="44">
        <v>4</v>
      </c>
      <c r="E584" s="43">
        <v>4.1701417848206837E-4</v>
      </c>
    </row>
    <row r="585" spans="2:5" ht="15" customHeight="1" x14ac:dyDescent="0.25">
      <c r="B585" s="81"/>
      <c r="C585" s="45" t="s">
        <v>163</v>
      </c>
      <c r="D585" s="44">
        <v>43</v>
      </c>
      <c r="E585" s="43">
        <v>4.4829024186822351E-3</v>
      </c>
    </row>
    <row r="586" spans="2:5" ht="15" customHeight="1" x14ac:dyDescent="0.25">
      <c r="B586" s="81"/>
      <c r="C586" s="45" t="s">
        <v>155</v>
      </c>
      <c r="D586" s="44">
        <v>14</v>
      </c>
      <c r="E586" s="43">
        <v>1.4595496246872393E-3</v>
      </c>
    </row>
    <row r="587" spans="2:5" ht="15" customHeight="1" x14ac:dyDescent="0.25">
      <c r="B587" s="81"/>
      <c r="C587" s="45" t="s">
        <v>138</v>
      </c>
      <c r="D587" s="44">
        <v>2</v>
      </c>
      <c r="E587" s="43">
        <v>2.0850708924103419E-4</v>
      </c>
    </row>
    <row r="588" spans="2:5" ht="15" customHeight="1" x14ac:dyDescent="0.25">
      <c r="B588" s="81"/>
      <c r="C588" s="45" t="s">
        <v>147</v>
      </c>
      <c r="D588" s="44">
        <v>4</v>
      </c>
      <c r="E588" s="43">
        <v>4.1701417848206837E-4</v>
      </c>
    </row>
    <row r="589" spans="2:5" ht="15" customHeight="1" x14ac:dyDescent="0.25">
      <c r="B589" s="81"/>
      <c r="C589" s="45" t="s">
        <v>144</v>
      </c>
      <c r="D589" s="44">
        <v>3</v>
      </c>
      <c r="E589" s="43">
        <v>3.1276063386155128E-4</v>
      </c>
    </row>
    <row r="590" spans="2:5" ht="15" customHeight="1" x14ac:dyDescent="0.25">
      <c r="B590" s="82"/>
      <c r="C590" s="42" t="s">
        <v>22</v>
      </c>
      <c r="D590" s="41">
        <v>722</v>
      </c>
      <c r="E590" s="40">
        <v>7.5271059216013347E-2</v>
      </c>
    </row>
    <row r="591" spans="2:5" ht="15" customHeight="1" x14ac:dyDescent="0.25">
      <c r="B591" s="80" t="s">
        <v>106</v>
      </c>
      <c r="C591" s="45" t="s">
        <v>133</v>
      </c>
      <c r="D591" s="44">
        <v>1</v>
      </c>
      <c r="E591" s="43">
        <v>1.0425354462051709E-4</v>
      </c>
    </row>
    <row r="592" spans="2:5" ht="15" customHeight="1" x14ac:dyDescent="0.25">
      <c r="B592" s="81"/>
      <c r="C592" s="45" t="s">
        <v>153</v>
      </c>
      <c r="D592" s="44">
        <v>1</v>
      </c>
      <c r="E592" s="43">
        <v>1.0425354462051709E-4</v>
      </c>
    </row>
    <row r="593" spans="2:5" ht="15" customHeight="1" x14ac:dyDescent="0.25">
      <c r="B593" s="81"/>
      <c r="C593" s="45" t="s">
        <v>154</v>
      </c>
      <c r="D593" s="44">
        <v>1</v>
      </c>
      <c r="E593" s="43">
        <v>1.0425354462051709E-4</v>
      </c>
    </row>
    <row r="594" spans="2:5" ht="15" customHeight="1" x14ac:dyDescent="0.25">
      <c r="B594" s="81"/>
      <c r="C594" s="45" t="s">
        <v>125</v>
      </c>
      <c r="D594" s="44">
        <v>1</v>
      </c>
      <c r="E594" s="43">
        <v>1.0425354462051709E-4</v>
      </c>
    </row>
    <row r="595" spans="2:5" ht="15" customHeight="1" x14ac:dyDescent="0.25">
      <c r="B595" s="81"/>
      <c r="C595" s="45" t="s">
        <v>158</v>
      </c>
      <c r="D595" s="44">
        <v>3</v>
      </c>
      <c r="E595" s="43">
        <v>3.1276063386155128E-4</v>
      </c>
    </row>
    <row r="596" spans="2:5" ht="15" customHeight="1" x14ac:dyDescent="0.25">
      <c r="B596" s="81"/>
      <c r="C596" s="45" t="s">
        <v>126</v>
      </c>
      <c r="D596" s="44">
        <v>2</v>
      </c>
      <c r="E596" s="43">
        <v>2.0850708924103419E-4</v>
      </c>
    </row>
    <row r="597" spans="2:5" ht="15" customHeight="1" x14ac:dyDescent="0.25">
      <c r="B597" s="81"/>
      <c r="C597" s="45" t="s">
        <v>165</v>
      </c>
      <c r="D597" s="44">
        <v>2</v>
      </c>
      <c r="E597" s="43">
        <v>2.0850708924103419E-4</v>
      </c>
    </row>
    <row r="598" spans="2:5" ht="15" customHeight="1" x14ac:dyDescent="0.25">
      <c r="B598" s="81"/>
      <c r="C598" s="45" t="s">
        <v>149</v>
      </c>
      <c r="D598" s="44">
        <v>1</v>
      </c>
      <c r="E598" s="43">
        <v>1.0425354462051709E-4</v>
      </c>
    </row>
    <row r="599" spans="2:5" ht="15" customHeight="1" x14ac:dyDescent="0.25">
      <c r="B599" s="81"/>
      <c r="C599" s="45" t="s">
        <v>250</v>
      </c>
      <c r="D599" s="44">
        <v>2</v>
      </c>
      <c r="E599" s="43">
        <v>2.0850708924103419E-4</v>
      </c>
    </row>
    <row r="600" spans="2:5" ht="15" customHeight="1" x14ac:dyDescent="0.25">
      <c r="B600" s="81"/>
      <c r="C600" s="45" t="s">
        <v>166</v>
      </c>
      <c r="D600" s="44">
        <v>28</v>
      </c>
      <c r="E600" s="43">
        <v>2.9190992493744786E-3</v>
      </c>
    </row>
    <row r="601" spans="2:5" ht="15" customHeight="1" x14ac:dyDescent="0.25">
      <c r="B601" s="81"/>
      <c r="C601" s="45" t="s">
        <v>163</v>
      </c>
      <c r="D601" s="44">
        <v>1</v>
      </c>
      <c r="E601" s="43">
        <v>1.0425354462051709E-4</v>
      </c>
    </row>
    <row r="602" spans="2:5" ht="15" customHeight="1" x14ac:dyDescent="0.25">
      <c r="B602" s="82"/>
      <c r="C602" s="42" t="s">
        <v>22</v>
      </c>
      <c r="D602" s="41">
        <v>43</v>
      </c>
      <c r="E602" s="40">
        <v>4.4829024186822351E-3</v>
      </c>
    </row>
    <row r="603" spans="2:5" ht="15" customHeight="1" x14ac:dyDescent="0.25">
      <c r="B603" s="80" t="s">
        <v>90</v>
      </c>
      <c r="C603" s="45" t="s">
        <v>166</v>
      </c>
      <c r="D603" s="44">
        <v>10</v>
      </c>
      <c r="E603" s="43">
        <v>1.0425354462051709E-3</v>
      </c>
    </row>
    <row r="604" spans="2:5" ht="15" customHeight="1" x14ac:dyDescent="0.25">
      <c r="B604" s="81"/>
      <c r="C604" s="45" t="s">
        <v>163</v>
      </c>
      <c r="D604" s="44">
        <v>3</v>
      </c>
      <c r="E604" s="43">
        <v>3.1276063386155128E-4</v>
      </c>
    </row>
    <row r="605" spans="2:5" ht="15" customHeight="1" x14ac:dyDescent="0.25">
      <c r="B605" s="82"/>
      <c r="C605" s="42" t="s">
        <v>22</v>
      </c>
      <c r="D605" s="41">
        <v>13</v>
      </c>
      <c r="E605" s="40">
        <v>1.3552960800667223E-3</v>
      </c>
    </row>
    <row r="606" spans="2:5" ht="15" customHeight="1" x14ac:dyDescent="0.25">
      <c r="B606" s="80" t="s">
        <v>103</v>
      </c>
      <c r="C606" s="45" t="s">
        <v>164</v>
      </c>
      <c r="D606" s="44">
        <v>1</v>
      </c>
      <c r="E606" s="43">
        <v>1.0425354462051709E-4</v>
      </c>
    </row>
    <row r="607" spans="2:5" ht="15" customHeight="1" x14ac:dyDescent="0.25">
      <c r="B607" s="81"/>
      <c r="C607" s="45" t="s">
        <v>165</v>
      </c>
      <c r="D607" s="44">
        <v>2</v>
      </c>
      <c r="E607" s="43">
        <v>2.0850708924103419E-4</v>
      </c>
    </row>
    <row r="608" spans="2:5" ht="15" customHeight="1" x14ac:dyDescent="0.25">
      <c r="B608" s="81"/>
      <c r="C608" s="45" t="s">
        <v>166</v>
      </c>
      <c r="D608" s="44">
        <v>9</v>
      </c>
      <c r="E608" s="43">
        <v>9.3828190158465384E-4</v>
      </c>
    </row>
    <row r="609" spans="2:5" ht="15" customHeight="1" x14ac:dyDescent="0.25">
      <c r="B609" s="81"/>
      <c r="C609" s="45" t="s">
        <v>163</v>
      </c>
      <c r="D609" s="44">
        <v>1</v>
      </c>
      <c r="E609" s="43">
        <v>1.0425354462051709E-4</v>
      </c>
    </row>
    <row r="610" spans="2:5" ht="15" customHeight="1" x14ac:dyDescent="0.25">
      <c r="B610" s="81"/>
      <c r="C610" s="45" t="s">
        <v>155</v>
      </c>
      <c r="D610" s="44">
        <v>1</v>
      </c>
      <c r="E610" s="43">
        <v>1.0425354462051709E-4</v>
      </c>
    </row>
    <row r="611" spans="2:5" ht="15" customHeight="1" x14ac:dyDescent="0.25">
      <c r="B611" s="81"/>
      <c r="C611" s="45" t="s">
        <v>138</v>
      </c>
      <c r="D611" s="44">
        <v>1</v>
      </c>
      <c r="E611" s="43">
        <v>1.0425354462051709E-4</v>
      </c>
    </row>
    <row r="612" spans="2:5" ht="15" customHeight="1" x14ac:dyDescent="0.25">
      <c r="B612" s="82"/>
      <c r="C612" s="42" t="s">
        <v>22</v>
      </c>
      <c r="D612" s="41">
        <v>15</v>
      </c>
      <c r="E612" s="40">
        <v>1.5638031693077565E-3</v>
      </c>
    </row>
    <row r="613" spans="2:5" ht="15" customHeight="1" x14ac:dyDescent="0.25">
      <c r="B613" s="80" t="s">
        <v>104</v>
      </c>
      <c r="C613" s="45" t="s">
        <v>149</v>
      </c>
      <c r="D613" s="44">
        <v>1</v>
      </c>
      <c r="E613" s="43">
        <v>1.0425354462051709E-4</v>
      </c>
    </row>
    <row r="614" spans="2:5" ht="15" customHeight="1" x14ac:dyDescent="0.25">
      <c r="B614" s="81"/>
      <c r="C614" s="45" t="s">
        <v>166</v>
      </c>
      <c r="D614" s="44">
        <v>8</v>
      </c>
      <c r="E614" s="43">
        <v>8.3402835696413675E-4</v>
      </c>
    </row>
    <row r="615" spans="2:5" ht="15" customHeight="1" x14ac:dyDescent="0.25">
      <c r="B615" s="81"/>
      <c r="C615" s="45" t="s">
        <v>160</v>
      </c>
      <c r="D615" s="44">
        <v>1</v>
      </c>
      <c r="E615" s="43">
        <v>1.0425354462051709E-4</v>
      </c>
    </row>
    <row r="616" spans="2:5" ht="15" customHeight="1" x14ac:dyDescent="0.25">
      <c r="B616" s="82"/>
      <c r="C616" s="42" t="s">
        <v>22</v>
      </c>
      <c r="D616" s="41">
        <v>10</v>
      </c>
      <c r="E616" s="40">
        <v>1.0425354462051709E-3</v>
      </c>
    </row>
    <row r="617" spans="2:5" ht="15" customHeight="1" x14ac:dyDescent="0.25">
      <c r="B617" s="80" t="s">
        <v>105</v>
      </c>
      <c r="C617" s="45" t="s">
        <v>159</v>
      </c>
      <c r="D617" s="44">
        <v>1</v>
      </c>
      <c r="E617" s="43">
        <v>1.0425354462051709E-4</v>
      </c>
    </row>
    <row r="618" spans="2:5" ht="15" customHeight="1" x14ac:dyDescent="0.25">
      <c r="B618" s="81"/>
      <c r="C618" s="45" t="s">
        <v>165</v>
      </c>
      <c r="D618" s="44">
        <v>2</v>
      </c>
      <c r="E618" s="43">
        <v>2.0850708924103419E-4</v>
      </c>
    </row>
    <row r="619" spans="2:5" ht="15" customHeight="1" x14ac:dyDescent="0.25">
      <c r="B619" s="81"/>
      <c r="C619" s="45" t="s">
        <v>166</v>
      </c>
      <c r="D619" s="44">
        <v>12</v>
      </c>
      <c r="E619" s="43">
        <v>1.2510425354462051E-3</v>
      </c>
    </row>
    <row r="620" spans="2:5" ht="15" customHeight="1" x14ac:dyDescent="0.25">
      <c r="B620" s="81"/>
      <c r="C620" s="45" t="s">
        <v>163</v>
      </c>
      <c r="D620" s="44">
        <v>1</v>
      </c>
      <c r="E620" s="43">
        <v>1.0425354462051709E-4</v>
      </c>
    </row>
    <row r="621" spans="2:5" ht="15" customHeight="1" x14ac:dyDescent="0.25">
      <c r="B621" s="82"/>
      <c r="C621" s="42" t="s">
        <v>22</v>
      </c>
      <c r="D621" s="41">
        <v>16</v>
      </c>
      <c r="E621" s="40">
        <v>1.6680567139282735E-3</v>
      </c>
    </row>
    <row r="622" spans="2:5" ht="15" customHeight="1" x14ac:dyDescent="0.25">
      <c r="B622" s="80" t="s">
        <v>83</v>
      </c>
      <c r="C622" s="45" t="s">
        <v>159</v>
      </c>
      <c r="D622" s="44">
        <v>1</v>
      </c>
      <c r="E622" s="43">
        <v>1.0425354462051709E-4</v>
      </c>
    </row>
    <row r="623" spans="2:5" ht="15" customHeight="1" x14ac:dyDescent="0.25">
      <c r="B623" s="81"/>
      <c r="C623" s="45" t="s">
        <v>149</v>
      </c>
      <c r="D623" s="44">
        <v>2</v>
      </c>
      <c r="E623" s="43">
        <v>2.0850708924103419E-4</v>
      </c>
    </row>
    <row r="624" spans="2:5" ht="15" customHeight="1" x14ac:dyDescent="0.25">
      <c r="B624" s="81"/>
      <c r="C624" s="45" t="s">
        <v>166</v>
      </c>
      <c r="D624" s="44">
        <v>6</v>
      </c>
      <c r="E624" s="43">
        <v>6.2552126772310256E-4</v>
      </c>
    </row>
    <row r="625" spans="2:5" ht="15" customHeight="1" x14ac:dyDescent="0.25">
      <c r="B625" s="81"/>
      <c r="C625" s="45" t="s">
        <v>155</v>
      </c>
      <c r="D625" s="44">
        <v>2</v>
      </c>
      <c r="E625" s="43">
        <v>2.0850708924103419E-4</v>
      </c>
    </row>
    <row r="626" spans="2:5" ht="15" customHeight="1" x14ac:dyDescent="0.25">
      <c r="B626" s="82"/>
      <c r="C626" s="42" t="s">
        <v>22</v>
      </c>
      <c r="D626" s="41">
        <v>11</v>
      </c>
      <c r="E626" s="40">
        <v>1.1467889908256881E-3</v>
      </c>
    </row>
    <row r="627" spans="2:5" ht="15" customHeight="1" x14ac:dyDescent="0.25">
      <c r="B627" s="80" t="s">
        <v>74</v>
      </c>
      <c r="C627" s="45" t="s">
        <v>164</v>
      </c>
      <c r="D627" s="44">
        <v>1</v>
      </c>
      <c r="E627" s="43">
        <v>1.0425354462051709E-4</v>
      </c>
    </row>
    <row r="628" spans="2:5" ht="15" customHeight="1" x14ac:dyDescent="0.25">
      <c r="B628" s="81"/>
      <c r="C628" s="45" t="s">
        <v>165</v>
      </c>
      <c r="D628" s="44">
        <v>1</v>
      </c>
      <c r="E628" s="43">
        <v>1.0425354462051709E-4</v>
      </c>
    </row>
    <row r="629" spans="2:5" ht="15" customHeight="1" x14ac:dyDescent="0.25">
      <c r="B629" s="81"/>
      <c r="C629" s="45" t="s">
        <v>166</v>
      </c>
      <c r="D629" s="44">
        <v>1</v>
      </c>
      <c r="E629" s="43">
        <v>1.0425354462051709E-4</v>
      </c>
    </row>
    <row r="630" spans="2:5" ht="15" customHeight="1" x14ac:dyDescent="0.25">
      <c r="B630" s="82"/>
      <c r="C630" s="42" t="s">
        <v>22</v>
      </c>
      <c r="D630" s="41">
        <v>3</v>
      </c>
      <c r="E630" s="40">
        <v>3.1276063386155128E-4</v>
      </c>
    </row>
    <row r="631" spans="2:5" ht="15" customHeight="1" x14ac:dyDescent="0.25">
      <c r="B631" s="80" t="s">
        <v>40</v>
      </c>
      <c r="C631" s="45" t="s">
        <v>164</v>
      </c>
      <c r="D631" s="44">
        <v>2</v>
      </c>
      <c r="E631" s="43">
        <v>2.0850708924103419E-4</v>
      </c>
    </row>
    <row r="632" spans="2:5" ht="15" customHeight="1" x14ac:dyDescent="0.25">
      <c r="B632" s="81"/>
      <c r="C632" s="45" t="s">
        <v>124</v>
      </c>
      <c r="D632" s="44">
        <v>1</v>
      </c>
      <c r="E632" s="43">
        <v>1.0425354462051709E-4</v>
      </c>
    </row>
    <row r="633" spans="2:5" ht="15" customHeight="1" x14ac:dyDescent="0.25">
      <c r="B633" s="81"/>
      <c r="C633" s="45" t="s">
        <v>126</v>
      </c>
      <c r="D633" s="44">
        <v>1</v>
      </c>
      <c r="E633" s="43">
        <v>1.0425354462051709E-4</v>
      </c>
    </row>
    <row r="634" spans="2:5" ht="15" customHeight="1" x14ac:dyDescent="0.25">
      <c r="B634" s="81"/>
      <c r="C634" s="45" t="s">
        <v>162</v>
      </c>
      <c r="D634" s="44">
        <v>1</v>
      </c>
      <c r="E634" s="43">
        <v>1.0425354462051709E-4</v>
      </c>
    </row>
    <row r="635" spans="2:5" ht="15" customHeight="1" x14ac:dyDescent="0.25">
      <c r="B635" s="81"/>
      <c r="C635" s="45" t="s">
        <v>152</v>
      </c>
      <c r="D635" s="44">
        <v>1</v>
      </c>
      <c r="E635" s="43">
        <v>1.0425354462051709E-4</v>
      </c>
    </row>
    <row r="636" spans="2:5" ht="15" customHeight="1" x14ac:dyDescent="0.25">
      <c r="B636" s="81"/>
      <c r="C636" s="45" t="s">
        <v>166</v>
      </c>
      <c r="D636" s="44">
        <v>13</v>
      </c>
      <c r="E636" s="43">
        <v>1.3552960800667223E-3</v>
      </c>
    </row>
    <row r="637" spans="2:5" ht="15" customHeight="1" x14ac:dyDescent="0.25">
      <c r="B637" s="81"/>
      <c r="C637" s="45" t="s">
        <v>163</v>
      </c>
      <c r="D637" s="44">
        <v>2</v>
      </c>
      <c r="E637" s="43">
        <v>2.0850708924103419E-4</v>
      </c>
    </row>
    <row r="638" spans="2:5" ht="15" customHeight="1" x14ac:dyDescent="0.25">
      <c r="B638" s="82"/>
      <c r="C638" s="42" t="s">
        <v>22</v>
      </c>
      <c r="D638" s="41">
        <v>21</v>
      </c>
      <c r="E638" s="40">
        <v>2.1893244370308589E-3</v>
      </c>
    </row>
    <row r="639" spans="2:5" ht="15" customHeight="1" x14ac:dyDescent="0.25">
      <c r="B639" s="83" t="s">
        <v>203</v>
      </c>
      <c r="C639" s="84"/>
      <c r="D639" s="39">
        <v>9592</v>
      </c>
      <c r="E639" s="38">
        <v>1</v>
      </c>
    </row>
    <row r="641" spans="2:2" ht="15" customHeight="1" x14ac:dyDescent="0.25">
      <c r="B641" s="19" t="s">
        <v>245</v>
      </c>
    </row>
    <row r="642" spans="2:2" ht="15" customHeight="1" x14ac:dyDescent="0.25">
      <c r="B642" s="21" t="s">
        <v>20</v>
      </c>
    </row>
    <row r="643" spans="2:2" ht="15" customHeight="1" x14ac:dyDescent="0.25">
      <c r="B643" s="20" t="s">
        <v>19</v>
      </c>
    </row>
    <row r="644" spans="2:2" ht="15" customHeight="1" x14ac:dyDescent="0.25">
      <c r="B644" s="19" t="s">
        <v>18</v>
      </c>
    </row>
    <row r="645" spans="2:2" ht="15" customHeight="1" x14ac:dyDescent="0.25">
      <c r="B645" s="19" t="s">
        <v>246</v>
      </c>
    </row>
  </sheetData>
  <mergeCells count="49">
    <mergeCell ref="B10:B15"/>
    <mergeCell ref="B16:B35"/>
    <mergeCell ref="B36:B59"/>
    <mergeCell ref="B60:B67"/>
    <mergeCell ref="B68:B69"/>
    <mergeCell ref="B70:B93"/>
    <mergeCell ref="B94:B95"/>
    <mergeCell ref="B96:B121"/>
    <mergeCell ref="B122:B163"/>
    <mergeCell ref="B164:B166"/>
    <mergeCell ref="B167:B175"/>
    <mergeCell ref="B176:B188"/>
    <mergeCell ref="B189:B190"/>
    <mergeCell ref="B191:B198"/>
    <mergeCell ref="B199:B201"/>
    <mergeCell ref="B7:E8"/>
    <mergeCell ref="B215:B266"/>
    <mergeCell ref="B267:B285"/>
    <mergeCell ref="B286:B295"/>
    <mergeCell ref="B296:B321"/>
    <mergeCell ref="B322:B327"/>
    <mergeCell ref="B328:B346"/>
    <mergeCell ref="B347:B354"/>
    <mergeCell ref="B355:B395"/>
    <mergeCell ref="B202:B214"/>
    <mergeCell ref="B495:B520"/>
    <mergeCell ref="B521:B526"/>
    <mergeCell ref="B527:B543"/>
    <mergeCell ref="B544:B550"/>
    <mergeCell ref="B551:B590"/>
    <mergeCell ref="B396:B407"/>
    <mergeCell ref="B408:B422"/>
    <mergeCell ref="B423:B437"/>
    <mergeCell ref="B438:B441"/>
    <mergeCell ref="B442:B450"/>
    <mergeCell ref="B451:B468"/>
    <mergeCell ref="B469:B475"/>
    <mergeCell ref="B476:B484"/>
    <mergeCell ref="B485:B488"/>
    <mergeCell ref="B489:B494"/>
    <mergeCell ref="B631:B638"/>
    <mergeCell ref="B639:C639"/>
    <mergeCell ref="B591:B602"/>
    <mergeCell ref="B603:B605"/>
    <mergeCell ref="B606:B612"/>
    <mergeCell ref="B613:B616"/>
    <mergeCell ref="B617:B621"/>
    <mergeCell ref="B622:B626"/>
    <mergeCell ref="B627:B63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42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252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195</v>
      </c>
      <c r="C11" s="31" t="s">
        <v>194</v>
      </c>
      <c r="D11" s="30" t="s">
        <v>65</v>
      </c>
    </row>
    <row r="12" spans="1:5" x14ac:dyDescent="0.25">
      <c r="B12" s="27" t="s">
        <v>193</v>
      </c>
      <c r="C12" s="26">
        <v>33</v>
      </c>
      <c r="D12" s="25">
        <f t="shared" ref="D12:D36" si="0">C12/$C$36</f>
        <v>3.4403669724770644E-3</v>
      </c>
    </row>
    <row r="13" spans="1:5" x14ac:dyDescent="0.25">
      <c r="B13" s="27" t="s">
        <v>192</v>
      </c>
      <c r="C13" s="26">
        <v>28</v>
      </c>
      <c r="D13" s="25">
        <f t="shared" si="0"/>
        <v>2.9190992493744786E-3</v>
      </c>
    </row>
    <row r="14" spans="1:5" ht="15.75" x14ac:dyDescent="0.25">
      <c r="B14" s="27" t="s">
        <v>191</v>
      </c>
      <c r="C14" s="26">
        <v>41</v>
      </c>
      <c r="D14" s="25">
        <f t="shared" si="0"/>
        <v>4.2743953294412012E-3</v>
      </c>
      <c r="E14" s="28"/>
    </row>
    <row r="15" spans="1:5" ht="15.75" x14ac:dyDescent="0.25">
      <c r="B15" s="27" t="s">
        <v>190</v>
      </c>
      <c r="C15" s="26">
        <v>95</v>
      </c>
      <c r="D15" s="25">
        <f t="shared" si="0"/>
        <v>9.9040867389491236E-3</v>
      </c>
      <c r="E15" s="28"/>
    </row>
    <row r="16" spans="1:5" x14ac:dyDescent="0.25">
      <c r="B16" s="27" t="s">
        <v>189</v>
      </c>
      <c r="C16" s="26">
        <v>64</v>
      </c>
      <c r="D16" s="25">
        <f t="shared" si="0"/>
        <v>6.672226855713094E-3</v>
      </c>
    </row>
    <row r="17" spans="2:4" x14ac:dyDescent="0.25">
      <c r="B17" s="27" t="s">
        <v>188</v>
      </c>
      <c r="C17" s="26">
        <v>79</v>
      </c>
      <c r="D17" s="25">
        <f t="shared" si="0"/>
        <v>8.2360300250208501E-3</v>
      </c>
    </row>
    <row r="18" spans="2:4" x14ac:dyDescent="0.25">
      <c r="B18" s="27" t="s">
        <v>187</v>
      </c>
      <c r="C18" s="26">
        <v>542</v>
      </c>
      <c r="D18" s="25">
        <f t="shared" si="0"/>
        <v>5.6505421184320268E-2</v>
      </c>
    </row>
    <row r="19" spans="2:4" ht="27" x14ac:dyDescent="0.25">
      <c r="B19" s="27" t="s">
        <v>186</v>
      </c>
      <c r="C19" s="26">
        <v>692</v>
      </c>
      <c r="D19" s="25">
        <f t="shared" si="0"/>
        <v>7.2143452877397832E-2</v>
      </c>
    </row>
    <row r="20" spans="2:4" x14ac:dyDescent="0.25">
      <c r="B20" s="27" t="s">
        <v>185</v>
      </c>
      <c r="C20" s="26">
        <v>78</v>
      </c>
      <c r="D20" s="25">
        <f t="shared" si="0"/>
        <v>8.1317764804003344E-3</v>
      </c>
    </row>
    <row r="21" spans="2:4" x14ac:dyDescent="0.25">
      <c r="B21" s="27" t="s">
        <v>184</v>
      </c>
      <c r="C21" s="26">
        <v>196</v>
      </c>
      <c r="D21" s="25">
        <f t="shared" si="0"/>
        <v>2.0433694745621352E-2</v>
      </c>
    </row>
    <row r="22" spans="2:4" x14ac:dyDescent="0.25">
      <c r="B22" s="27" t="s">
        <v>183</v>
      </c>
      <c r="C22" s="26">
        <v>356</v>
      </c>
      <c r="D22" s="25">
        <f t="shared" si="0"/>
        <v>3.711426188490409E-2</v>
      </c>
    </row>
    <row r="23" spans="2:4" ht="27" x14ac:dyDescent="0.25">
      <c r="B23" s="27" t="s">
        <v>182</v>
      </c>
      <c r="C23" s="26">
        <v>2800</v>
      </c>
      <c r="D23" s="25">
        <f t="shared" si="0"/>
        <v>0.29190992493744788</v>
      </c>
    </row>
    <row r="24" spans="2:4" x14ac:dyDescent="0.25">
      <c r="B24" s="27" t="s">
        <v>181</v>
      </c>
      <c r="C24" s="26">
        <v>484</v>
      </c>
      <c r="D24" s="25">
        <f t="shared" si="0"/>
        <v>5.0458715596330278E-2</v>
      </c>
    </row>
    <row r="25" spans="2:4" ht="27" x14ac:dyDescent="0.25">
      <c r="B25" s="27" t="s">
        <v>180</v>
      </c>
      <c r="C25" s="26">
        <v>671</v>
      </c>
      <c r="D25" s="25">
        <f t="shared" si="0"/>
        <v>6.9954128440366969E-2</v>
      </c>
    </row>
    <row r="26" spans="2:4" ht="27" x14ac:dyDescent="0.25">
      <c r="B26" s="27" t="s">
        <v>179</v>
      </c>
      <c r="C26" s="26">
        <v>2283</v>
      </c>
      <c r="D26" s="25">
        <f t="shared" si="0"/>
        <v>0.23801084236864054</v>
      </c>
    </row>
    <row r="27" spans="2:4" x14ac:dyDescent="0.25">
      <c r="B27" s="27" t="s">
        <v>178</v>
      </c>
      <c r="C27" s="26">
        <v>53</v>
      </c>
      <c r="D27" s="25">
        <f t="shared" si="0"/>
        <v>5.5254378648874058E-3</v>
      </c>
    </row>
    <row r="28" spans="2:4" x14ac:dyDescent="0.25">
      <c r="B28" s="27" t="s">
        <v>177</v>
      </c>
      <c r="C28" s="26">
        <v>32</v>
      </c>
      <c r="D28" s="25">
        <f t="shared" si="0"/>
        <v>3.336113427856547E-3</v>
      </c>
    </row>
    <row r="29" spans="2:4" x14ac:dyDescent="0.25">
      <c r="B29" s="27" t="s">
        <v>176</v>
      </c>
      <c r="C29" s="26">
        <v>25</v>
      </c>
      <c r="D29" s="25">
        <f t="shared" si="0"/>
        <v>2.6063386155129272E-3</v>
      </c>
    </row>
    <row r="30" spans="2:4" x14ac:dyDescent="0.25">
      <c r="B30" s="27" t="s">
        <v>175</v>
      </c>
      <c r="C30" s="26">
        <v>9</v>
      </c>
      <c r="D30" s="25">
        <f t="shared" si="0"/>
        <v>9.3828190158465384E-4</v>
      </c>
    </row>
    <row r="31" spans="2:4" x14ac:dyDescent="0.25">
      <c r="B31" s="27" t="s">
        <v>174</v>
      </c>
      <c r="C31" s="26">
        <v>273</v>
      </c>
      <c r="D31" s="25">
        <f t="shared" si="0"/>
        <v>2.8461217681401169E-2</v>
      </c>
    </row>
    <row r="32" spans="2:4" x14ac:dyDescent="0.25">
      <c r="B32" s="27" t="s">
        <v>173</v>
      </c>
      <c r="C32" s="26">
        <v>703</v>
      </c>
      <c r="D32" s="25">
        <f t="shared" si="0"/>
        <v>7.3290241868223513E-2</v>
      </c>
    </row>
    <row r="33" spans="1:4" x14ac:dyDescent="0.25">
      <c r="B33" s="27" t="s">
        <v>172</v>
      </c>
      <c r="C33" s="26">
        <v>14</v>
      </c>
      <c r="D33" s="25">
        <f t="shared" si="0"/>
        <v>1.4595496246872393E-3</v>
      </c>
    </row>
    <row r="34" spans="1:4" x14ac:dyDescent="0.25">
      <c r="B34" s="27" t="s">
        <v>171</v>
      </c>
      <c r="C34" s="26">
        <v>30</v>
      </c>
      <c r="D34" s="25">
        <f t="shared" si="0"/>
        <v>3.127606338615513E-3</v>
      </c>
    </row>
    <row r="35" spans="1:4" x14ac:dyDescent="0.25">
      <c r="B35" s="27" t="s">
        <v>170</v>
      </c>
      <c r="C35" s="26">
        <v>11</v>
      </c>
      <c r="D35" s="25">
        <f t="shared" si="0"/>
        <v>1.1467889908256881E-3</v>
      </c>
    </row>
    <row r="36" spans="1:4" x14ac:dyDescent="0.25">
      <c r="B36" s="24" t="s">
        <v>22</v>
      </c>
      <c r="C36" s="23">
        <v>9592</v>
      </c>
      <c r="D36" s="22">
        <f t="shared" si="0"/>
        <v>1</v>
      </c>
    </row>
    <row r="38" spans="1:4" x14ac:dyDescent="0.25">
      <c r="A38" s="58" t="s">
        <v>245</v>
      </c>
    </row>
    <row r="39" spans="1:4" x14ac:dyDescent="0.25">
      <c r="A39" s="58" t="s">
        <v>20</v>
      </c>
    </row>
    <row r="40" spans="1:4" x14ac:dyDescent="0.25">
      <c r="A40" s="58" t="s">
        <v>19</v>
      </c>
    </row>
    <row r="41" spans="1:4" x14ac:dyDescent="0.25">
      <c r="A41" s="58" t="s">
        <v>18</v>
      </c>
    </row>
    <row r="42" spans="1:4" x14ac:dyDescent="0.25">
      <c r="A42" s="58" t="s">
        <v>246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416"/>
  <sheetViews>
    <sheetView tabSelected="1" zoomScale="145" zoomScaleNormal="145" zoomScaleSheetLayoutView="85" workbookViewId="0">
      <selection activeCell="F16" sqref="F1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196</v>
      </c>
      <c r="C9" s="49" t="s">
        <v>169</v>
      </c>
      <c r="D9" s="48" t="s">
        <v>66</v>
      </c>
      <c r="E9" s="47" t="s">
        <v>65</v>
      </c>
    </row>
    <row r="10" spans="1:5" ht="15" customHeight="1" x14ac:dyDescent="0.25">
      <c r="B10" s="80" t="s">
        <v>193</v>
      </c>
      <c r="C10" s="45" t="s">
        <v>52</v>
      </c>
      <c r="D10" s="44">
        <v>1</v>
      </c>
      <c r="E10" s="43">
        <v>1.0425354462051709E-4</v>
      </c>
    </row>
    <row r="11" spans="1:5" ht="15" customHeight="1" x14ac:dyDescent="0.25">
      <c r="B11" s="81"/>
      <c r="C11" s="45" t="s">
        <v>29</v>
      </c>
      <c r="D11" s="44">
        <v>1</v>
      </c>
      <c r="E11" s="43">
        <v>1.0425354462051709E-4</v>
      </c>
    </row>
    <row r="12" spans="1:5" ht="15" customHeight="1" x14ac:dyDescent="0.25">
      <c r="B12" s="81"/>
      <c r="C12" s="45" t="s">
        <v>63</v>
      </c>
      <c r="D12" s="44">
        <v>1</v>
      </c>
      <c r="E12" s="43">
        <v>1.0425354462051709E-4</v>
      </c>
    </row>
    <row r="13" spans="1:5" ht="15" customHeight="1" x14ac:dyDescent="0.25">
      <c r="B13" s="81"/>
      <c r="C13" s="45" t="s">
        <v>57</v>
      </c>
      <c r="D13" s="44">
        <v>1</v>
      </c>
      <c r="E13" s="43">
        <v>1.0425354462051709E-4</v>
      </c>
    </row>
    <row r="14" spans="1:5" ht="15" customHeight="1" x14ac:dyDescent="0.25">
      <c r="B14" s="81"/>
      <c r="C14" s="45" t="s">
        <v>39</v>
      </c>
      <c r="D14" s="44">
        <v>1</v>
      </c>
      <c r="E14" s="43">
        <v>1.0425354462051709E-4</v>
      </c>
    </row>
    <row r="15" spans="1:5" ht="15" customHeight="1" x14ac:dyDescent="0.25">
      <c r="B15" s="81"/>
      <c r="C15" s="45" t="s">
        <v>58</v>
      </c>
      <c r="D15" s="44">
        <v>5</v>
      </c>
      <c r="E15" s="43">
        <v>5.2126772310258547E-4</v>
      </c>
    </row>
    <row r="16" spans="1:5" ht="15" customHeight="1" x14ac:dyDescent="0.25">
      <c r="B16" s="81"/>
      <c r="C16" s="45" t="s">
        <v>64</v>
      </c>
      <c r="D16" s="44">
        <v>22</v>
      </c>
      <c r="E16" s="43">
        <v>2.2935779816513763E-3</v>
      </c>
    </row>
    <row r="17" spans="2:5" ht="15" customHeight="1" x14ac:dyDescent="0.25">
      <c r="B17" s="81"/>
      <c r="C17" s="45" t="s">
        <v>51</v>
      </c>
      <c r="D17" s="44">
        <v>1</v>
      </c>
      <c r="E17" s="43">
        <v>1.0425354462051709E-4</v>
      </c>
    </row>
    <row r="18" spans="2:5" ht="15" customHeight="1" x14ac:dyDescent="0.25">
      <c r="B18" s="82"/>
      <c r="C18" s="42" t="s">
        <v>22</v>
      </c>
      <c r="D18" s="41">
        <v>33</v>
      </c>
      <c r="E18" s="40">
        <v>3.4403669724770644E-3</v>
      </c>
    </row>
    <row r="19" spans="2:5" ht="15" customHeight="1" x14ac:dyDescent="0.25">
      <c r="B19" s="80" t="s">
        <v>192</v>
      </c>
      <c r="C19" s="45" t="s">
        <v>53</v>
      </c>
      <c r="D19" s="44">
        <v>2</v>
      </c>
      <c r="E19" s="43">
        <v>2.0850708924103419E-4</v>
      </c>
    </row>
    <row r="20" spans="2:5" ht="15" customHeight="1" x14ac:dyDescent="0.25">
      <c r="B20" s="81"/>
      <c r="C20" s="45" t="s">
        <v>62</v>
      </c>
      <c r="D20" s="44">
        <v>3</v>
      </c>
      <c r="E20" s="43">
        <v>3.1276063386155128E-4</v>
      </c>
    </row>
    <row r="21" spans="2:5" ht="15" customHeight="1" x14ac:dyDescent="0.25">
      <c r="B21" s="81"/>
      <c r="C21" s="45" t="s">
        <v>61</v>
      </c>
      <c r="D21" s="44">
        <v>1</v>
      </c>
      <c r="E21" s="43">
        <v>1.0425354462051709E-4</v>
      </c>
    </row>
    <row r="22" spans="2:5" ht="15" customHeight="1" x14ac:dyDescent="0.25">
      <c r="B22" s="81"/>
      <c r="C22" s="45" t="s">
        <v>35</v>
      </c>
      <c r="D22" s="44">
        <v>1</v>
      </c>
      <c r="E22" s="43">
        <v>1.0425354462051709E-4</v>
      </c>
    </row>
    <row r="23" spans="2:5" ht="15" customHeight="1" x14ac:dyDescent="0.25">
      <c r="B23" s="81"/>
      <c r="C23" s="45" t="s">
        <v>47</v>
      </c>
      <c r="D23" s="44">
        <v>1</v>
      </c>
      <c r="E23" s="43">
        <v>1.0425354462051709E-4</v>
      </c>
    </row>
    <row r="24" spans="2:5" ht="15" customHeight="1" x14ac:dyDescent="0.25">
      <c r="B24" s="81"/>
      <c r="C24" s="45" t="s">
        <v>58</v>
      </c>
      <c r="D24" s="44">
        <v>1</v>
      </c>
      <c r="E24" s="43">
        <v>1.0425354462051709E-4</v>
      </c>
    </row>
    <row r="25" spans="2:5" ht="15" customHeight="1" x14ac:dyDescent="0.25">
      <c r="B25" s="81"/>
      <c r="C25" s="45" t="s">
        <v>59</v>
      </c>
      <c r="D25" s="44">
        <v>1</v>
      </c>
      <c r="E25" s="43">
        <v>1.0425354462051709E-4</v>
      </c>
    </row>
    <row r="26" spans="2:5" ht="15" customHeight="1" x14ac:dyDescent="0.25">
      <c r="B26" s="81"/>
      <c r="C26" s="45" t="s">
        <v>45</v>
      </c>
      <c r="D26" s="44">
        <v>1</v>
      </c>
      <c r="E26" s="43">
        <v>1.0425354462051709E-4</v>
      </c>
    </row>
    <row r="27" spans="2:5" ht="15" customHeight="1" x14ac:dyDescent="0.25">
      <c r="B27" s="81"/>
      <c r="C27" s="45" t="s">
        <v>64</v>
      </c>
      <c r="D27" s="44">
        <v>17</v>
      </c>
      <c r="E27" s="43">
        <v>1.7723102585487907E-3</v>
      </c>
    </row>
    <row r="28" spans="2:5" ht="15" customHeight="1" x14ac:dyDescent="0.25">
      <c r="B28" s="82"/>
      <c r="C28" s="42" t="s">
        <v>22</v>
      </c>
      <c r="D28" s="41">
        <v>28</v>
      </c>
      <c r="E28" s="40">
        <v>2.9190992493744786E-3</v>
      </c>
    </row>
    <row r="29" spans="2:5" ht="15" customHeight="1" x14ac:dyDescent="0.25">
      <c r="B29" s="80" t="s">
        <v>191</v>
      </c>
      <c r="C29" s="45" t="s">
        <v>62</v>
      </c>
      <c r="D29" s="44">
        <v>4</v>
      </c>
      <c r="E29" s="43">
        <v>4.1701417848206837E-4</v>
      </c>
    </row>
    <row r="30" spans="2:5" ht="15" customHeight="1" x14ac:dyDescent="0.25">
      <c r="B30" s="81"/>
      <c r="C30" s="45" t="s">
        <v>61</v>
      </c>
      <c r="D30" s="44">
        <v>1</v>
      </c>
      <c r="E30" s="43">
        <v>1.0425354462051709E-4</v>
      </c>
    </row>
    <row r="31" spans="2:5" ht="15" customHeight="1" x14ac:dyDescent="0.25">
      <c r="B31" s="81"/>
      <c r="C31" s="45" t="s">
        <v>60</v>
      </c>
      <c r="D31" s="44">
        <v>1</v>
      </c>
      <c r="E31" s="43">
        <v>1.0425354462051709E-4</v>
      </c>
    </row>
    <row r="32" spans="2:5" ht="15" customHeight="1" x14ac:dyDescent="0.25">
      <c r="B32" s="81"/>
      <c r="C32" s="45" t="s">
        <v>29</v>
      </c>
      <c r="D32" s="44">
        <v>1</v>
      </c>
      <c r="E32" s="43">
        <v>1.0425354462051709E-4</v>
      </c>
    </row>
    <row r="33" spans="2:5" ht="15" customHeight="1" x14ac:dyDescent="0.25">
      <c r="B33" s="81"/>
      <c r="C33" s="45" t="s">
        <v>38</v>
      </c>
      <c r="D33" s="44">
        <v>1</v>
      </c>
      <c r="E33" s="43">
        <v>1.0425354462051709E-4</v>
      </c>
    </row>
    <row r="34" spans="2:5" ht="15" customHeight="1" x14ac:dyDescent="0.25">
      <c r="B34" s="81"/>
      <c r="C34" s="45" t="s">
        <v>36</v>
      </c>
      <c r="D34" s="44">
        <v>1</v>
      </c>
      <c r="E34" s="43">
        <v>1.0425354462051709E-4</v>
      </c>
    </row>
    <row r="35" spans="2:5" ht="15" customHeight="1" x14ac:dyDescent="0.25">
      <c r="B35" s="81"/>
      <c r="C35" s="45" t="s">
        <v>59</v>
      </c>
      <c r="D35" s="44">
        <v>1</v>
      </c>
      <c r="E35" s="43">
        <v>1.0425354462051709E-4</v>
      </c>
    </row>
    <row r="36" spans="2:5" ht="15" customHeight="1" x14ac:dyDescent="0.25">
      <c r="B36" s="81"/>
      <c r="C36" s="45" t="s">
        <v>64</v>
      </c>
      <c r="D36" s="44">
        <v>31</v>
      </c>
      <c r="E36" s="43">
        <v>3.23185988323603E-3</v>
      </c>
    </row>
    <row r="37" spans="2:5" ht="15" customHeight="1" x14ac:dyDescent="0.25">
      <c r="B37" s="82"/>
      <c r="C37" s="42" t="s">
        <v>22</v>
      </c>
      <c r="D37" s="41">
        <v>41</v>
      </c>
      <c r="E37" s="40">
        <v>4.2743953294412012E-3</v>
      </c>
    </row>
    <row r="38" spans="2:5" ht="15" customHeight="1" x14ac:dyDescent="0.25">
      <c r="B38" s="80" t="s">
        <v>190</v>
      </c>
      <c r="C38" s="45" t="s">
        <v>62</v>
      </c>
      <c r="D38" s="44">
        <v>1</v>
      </c>
      <c r="E38" s="43">
        <v>1.0425354462051709E-4</v>
      </c>
    </row>
    <row r="39" spans="2:5" ht="15" customHeight="1" x14ac:dyDescent="0.25">
      <c r="B39" s="81"/>
      <c r="C39" s="45" t="s">
        <v>61</v>
      </c>
      <c r="D39" s="44">
        <v>3</v>
      </c>
      <c r="E39" s="43">
        <v>3.1276063386155128E-4</v>
      </c>
    </row>
    <row r="40" spans="2:5" ht="15" customHeight="1" x14ac:dyDescent="0.25">
      <c r="B40" s="81"/>
      <c r="C40" s="45" t="s">
        <v>63</v>
      </c>
      <c r="D40" s="44">
        <v>1</v>
      </c>
      <c r="E40" s="43">
        <v>1.0425354462051709E-4</v>
      </c>
    </row>
    <row r="41" spans="2:5" ht="15" customHeight="1" x14ac:dyDescent="0.25">
      <c r="B41" s="81"/>
      <c r="C41" s="45" t="s">
        <v>54</v>
      </c>
      <c r="D41" s="44">
        <v>1</v>
      </c>
      <c r="E41" s="43">
        <v>1.0425354462051709E-4</v>
      </c>
    </row>
    <row r="42" spans="2:5" ht="15" customHeight="1" x14ac:dyDescent="0.25">
      <c r="B42" s="81"/>
      <c r="C42" s="45" t="s">
        <v>57</v>
      </c>
      <c r="D42" s="44">
        <v>2</v>
      </c>
      <c r="E42" s="43">
        <v>2.0850708924103419E-4</v>
      </c>
    </row>
    <row r="43" spans="2:5" ht="15" customHeight="1" x14ac:dyDescent="0.25">
      <c r="B43" s="81"/>
      <c r="C43" s="45" t="s">
        <v>49</v>
      </c>
      <c r="D43" s="44">
        <v>2</v>
      </c>
      <c r="E43" s="43">
        <v>2.0850708924103419E-4</v>
      </c>
    </row>
    <row r="44" spans="2:5" ht="15" customHeight="1" x14ac:dyDescent="0.25">
      <c r="B44" s="81"/>
      <c r="C44" s="45" t="s">
        <v>58</v>
      </c>
      <c r="D44" s="44">
        <v>3</v>
      </c>
      <c r="E44" s="43">
        <v>3.1276063386155128E-4</v>
      </c>
    </row>
    <row r="45" spans="2:5" ht="15" customHeight="1" x14ac:dyDescent="0.25">
      <c r="B45" s="81"/>
      <c r="C45" s="45" t="s">
        <v>59</v>
      </c>
      <c r="D45" s="44">
        <v>1</v>
      </c>
      <c r="E45" s="43">
        <v>1.0425354462051709E-4</v>
      </c>
    </row>
    <row r="46" spans="2:5" ht="15" customHeight="1" x14ac:dyDescent="0.25">
      <c r="B46" s="81"/>
      <c r="C46" s="45" t="s">
        <v>31</v>
      </c>
      <c r="D46" s="44">
        <v>1</v>
      </c>
      <c r="E46" s="43">
        <v>1.0425354462051709E-4</v>
      </c>
    </row>
    <row r="47" spans="2:5" ht="15" customHeight="1" x14ac:dyDescent="0.25">
      <c r="B47" s="81"/>
      <c r="C47" s="45" t="s">
        <v>64</v>
      </c>
      <c r="D47" s="44">
        <v>78</v>
      </c>
      <c r="E47" s="43">
        <v>8.1317764804003344E-3</v>
      </c>
    </row>
    <row r="48" spans="2:5" ht="15" customHeight="1" x14ac:dyDescent="0.25">
      <c r="B48" s="81"/>
      <c r="C48" s="45" t="s">
        <v>40</v>
      </c>
      <c r="D48" s="44">
        <v>1</v>
      </c>
      <c r="E48" s="43">
        <v>1.0425354462051709E-4</v>
      </c>
    </row>
    <row r="49" spans="2:5" ht="15" customHeight="1" x14ac:dyDescent="0.25">
      <c r="B49" s="81"/>
      <c r="C49" s="45" t="s">
        <v>51</v>
      </c>
      <c r="D49" s="44">
        <v>1</v>
      </c>
      <c r="E49" s="43">
        <v>1.0425354462051709E-4</v>
      </c>
    </row>
    <row r="50" spans="2:5" ht="15" customHeight="1" x14ac:dyDescent="0.25">
      <c r="B50" s="82"/>
      <c r="C50" s="42" t="s">
        <v>22</v>
      </c>
      <c r="D50" s="41">
        <v>95</v>
      </c>
      <c r="E50" s="40">
        <v>9.9040867389491236E-3</v>
      </c>
    </row>
    <row r="51" spans="2:5" ht="15" customHeight="1" x14ac:dyDescent="0.25">
      <c r="B51" s="80" t="s">
        <v>189</v>
      </c>
      <c r="C51" s="45" t="s">
        <v>53</v>
      </c>
      <c r="D51" s="44">
        <v>1</v>
      </c>
      <c r="E51" s="43">
        <v>1.0425354462051709E-4</v>
      </c>
    </row>
    <row r="52" spans="2:5" ht="15" customHeight="1" x14ac:dyDescent="0.25">
      <c r="B52" s="81"/>
      <c r="C52" s="45" t="s">
        <v>61</v>
      </c>
      <c r="D52" s="44">
        <v>2</v>
      </c>
      <c r="E52" s="43">
        <v>2.0850708924103419E-4</v>
      </c>
    </row>
    <row r="53" spans="2:5" ht="15" customHeight="1" x14ac:dyDescent="0.25">
      <c r="B53" s="81"/>
      <c r="C53" s="45" t="s">
        <v>63</v>
      </c>
      <c r="D53" s="44">
        <v>1</v>
      </c>
      <c r="E53" s="43">
        <v>1.0425354462051709E-4</v>
      </c>
    </row>
    <row r="54" spans="2:5" ht="15" customHeight="1" x14ac:dyDescent="0.25">
      <c r="B54" s="81"/>
      <c r="C54" s="45" t="s">
        <v>47</v>
      </c>
      <c r="D54" s="44">
        <v>1</v>
      </c>
      <c r="E54" s="43">
        <v>1.0425354462051709E-4</v>
      </c>
    </row>
    <row r="55" spans="2:5" ht="15" customHeight="1" x14ac:dyDescent="0.25">
      <c r="B55" s="81"/>
      <c r="C55" s="45" t="s">
        <v>57</v>
      </c>
      <c r="D55" s="44">
        <v>1</v>
      </c>
      <c r="E55" s="43">
        <v>1.0425354462051709E-4</v>
      </c>
    </row>
    <row r="56" spans="2:5" ht="15" customHeight="1" x14ac:dyDescent="0.25">
      <c r="B56" s="81"/>
      <c r="C56" s="45" t="s">
        <v>44</v>
      </c>
      <c r="D56" s="44">
        <v>1</v>
      </c>
      <c r="E56" s="43">
        <v>1.0425354462051709E-4</v>
      </c>
    </row>
    <row r="57" spans="2:5" ht="15" customHeight="1" x14ac:dyDescent="0.25">
      <c r="B57" s="81"/>
      <c r="C57" s="45" t="s">
        <v>56</v>
      </c>
      <c r="D57" s="44">
        <v>1</v>
      </c>
      <c r="E57" s="43">
        <v>1.0425354462051709E-4</v>
      </c>
    </row>
    <row r="58" spans="2:5" ht="15" customHeight="1" x14ac:dyDescent="0.25">
      <c r="B58" s="81"/>
      <c r="C58" s="45" t="s">
        <v>64</v>
      </c>
      <c r="D58" s="44">
        <v>55</v>
      </c>
      <c r="E58" s="43">
        <v>5.7339449541284407E-3</v>
      </c>
    </row>
    <row r="59" spans="2:5" ht="15" customHeight="1" x14ac:dyDescent="0.25">
      <c r="B59" s="81"/>
      <c r="C59" s="45" t="s">
        <v>46</v>
      </c>
      <c r="D59" s="44">
        <v>1</v>
      </c>
      <c r="E59" s="43">
        <v>1.0425354462051709E-4</v>
      </c>
    </row>
    <row r="60" spans="2:5" ht="15" customHeight="1" x14ac:dyDescent="0.25">
      <c r="B60" s="82"/>
      <c r="C60" s="42" t="s">
        <v>22</v>
      </c>
      <c r="D60" s="41">
        <v>64</v>
      </c>
      <c r="E60" s="40">
        <v>6.672226855713094E-3</v>
      </c>
    </row>
    <row r="61" spans="2:5" ht="15" customHeight="1" x14ac:dyDescent="0.25">
      <c r="B61" s="80" t="s">
        <v>188</v>
      </c>
      <c r="C61" s="45" t="s">
        <v>55</v>
      </c>
      <c r="D61" s="44">
        <v>1</v>
      </c>
      <c r="E61" s="43">
        <v>1.0425354462051709E-4</v>
      </c>
    </row>
    <row r="62" spans="2:5" ht="15" customHeight="1" x14ac:dyDescent="0.25">
      <c r="B62" s="81"/>
      <c r="C62" s="45" t="s">
        <v>52</v>
      </c>
      <c r="D62" s="44">
        <v>1</v>
      </c>
      <c r="E62" s="43">
        <v>1.0425354462051709E-4</v>
      </c>
    </row>
    <row r="63" spans="2:5" ht="15" customHeight="1" x14ac:dyDescent="0.25">
      <c r="B63" s="81"/>
      <c r="C63" s="45" t="s">
        <v>63</v>
      </c>
      <c r="D63" s="44">
        <v>2</v>
      </c>
      <c r="E63" s="43">
        <v>2.0850708924103419E-4</v>
      </c>
    </row>
    <row r="64" spans="2:5" ht="15" customHeight="1" x14ac:dyDescent="0.25">
      <c r="B64" s="81"/>
      <c r="C64" s="45" t="s">
        <v>50</v>
      </c>
      <c r="D64" s="44">
        <v>1</v>
      </c>
      <c r="E64" s="43">
        <v>1.0425354462051709E-4</v>
      </c>
    </row>
    <row r="65" spans="2:5" ht="15" customHeight="1" x14ac:dyDescent="0.25">
      <c r="B65" s="81"/>
      <c r="C65" s="45" t="s">
        <v>57</v>
      </c>
      <c r="D65" s="44">
        <v>2</v>
      </c>
      <c r="E65" s="43">
        <v>2.0850708924103419E-4</v>
      </c>
    </row>
    <row r="66" spans="2:5" ht="15" customHeight="1" x14ac:dyDescent="0.25">
      <c r="B66" s="81"/>
      <c r="C66" s="45" t="s">
        <v>49</v>
      </c>
      <c r="D66" s="44">
        <v>1</v>
      </c>
      <c r="E66" s="43">
        <v>1.0425354462051709E-4</v>
      </c>
    </row>
    <row r="67" spans="2:5" ht="15" customHeight="1" x14ac:dyDescent="0.25">
      <c r="B67" s="81"/>
      <c r="C67" s="45" t="s">
        <v>58</v>
      </c>
      <c r="D67" s="44">
        <v>2</v>
      </c>
      <c r="E67" s="43">
        <v>2.0850708924103419E-4</v>
      </c>
    </row>
    <row r="68" spans="2:5" ht="15" customHeight="1" x14ac:dyDescent="0.25">
      <c r="B68" s="81"/>
      <c r="C68" s="45" t="s">
        <v>37</v>
      </c>
      <c r="D68" s="44">
        <v>1</v>
      </c>
      <c r="E68" s="43">
        <v>1.0425354462051709E-4</v>
      </c>
    </row>
    <row r="69" spans="2:5" ht="15" customHeight="1" x14ac:dyDescent="0.25">
      <c r="B69" s="81"/>
      <c r="C69" s="45" t="s">
        <v>59</v>
      </c>
      <c r="D69" s="44">
        <v>1</v>
      </c>
      <c r="E69" s="43">
        <v>1.0425354462051709E-4</v>
      </c>
    </row>
    <row r="70" spans="2:5" ht="15" customHeight="1" x14ac:dyDescent="0.25">
      <c r="B70" s="81"/>
      <c r="C70" s="45" t="s">
        <v>56</v>
      </c>
      <c r="D70" s="44">
        <v>1</v>
      </c>
      <c r="E70" s="43">
        <v>1.0425354462051709E-4</v>
      </c>
    </row>
    <row r="71" spans="2:5" ht="15" customHeight="1" x14ac:dyDescent="0.25">
      <c r="B71" s="81"/>
      <c r="C71" s="45" t="s">
        <v>64</v>
      </c>
      <c r="D71" s="44">
        <v>66</v>
      </c>
      <c r="E71" s="43">
        <v>6.8807339449541288E-3</v>
      </c>
    </row>
    <row r="72" spans="2:5" ht="15" customHeight="1" x14ac:dyDescent="0.25">
      <c r="B72" s="82"/>
      <c r="C72" s="42" t="s">
        <v>22</v>
      </c>
      <c r="D72" s="41">
        <v>79</v>
      </c>
      <c r="E72" s="40">
        <v>8.2360300250208501E-3</v>
      </c>
    </row>
    <row r="73" spans="2:5" ht="15" customHeight="1" x14ac:dyDescent="0.25">
      <c r="B73" s="80" t="s">
        <v>187</v>
      </c>
      <c r="C73" s="45" t="s">
        <v>53</v>
      </c>
      <c r="D73" s="44">
        <v>1</v>
      </c>
      <c r="E73" s="43">
        <v>1.0425354462051709E-4</v>
      </c>
    </row>
    <row r="74" spans="2:5" ht="15" customHeight="1" x14ac:dyDescent="0.25">
      <c r="B74" s="81"/>
      <c r="C74" s="45" t="s">
        <v>41</v>
      </c>
      <c r="D74" s="44">
        <v>2</v>
      </c>
      <c r="E74" s="43">
        <v>2.0850708924103419E-4</v>
      </c>
    </row>
    <row r="75" spans="2:5" ht="15" customHeight="1" x14ac:dyDescent="0.25">
      <c r="B75" s="81"/>
      <c r="C75" s="45" t="s">
        <v>62</v>
      </c>
      <c r="D75" s="44">
        <v>10</v>
      </c>
      <c r="E75" s="43">
        <v>1.0425354462051709E-3</v>
      </c>
    </row>
    <row r="76" spans="2:5" ht="15" customHeight="1" x14ac:dyDescent="0.25">
      <c r="B76" s="81"/>
      <c r="C76" s="45" t="s">
        <v>52</v>
      </c>
      <c r="D76" s="44">
        <v>2</v>
      </c>
      <c r="E76" s="43">
        <v>2.0850708924103419E-4</v>
      </c>
    </row>
    <row r="77" spans="2:5" ht="15" customHeight="1" x14ac:dyDescent="0.25">
      <c r="B77" s="81"/>
      <c r="C77" s="45" t="s">
        <v>61</v>
      </c>
      <c r="D77" s="44">
        <v>10</v>
      </c>
      <c r="E77" s="43">
        <v>1.0425354462051709E-3</v>
      </c>
    </row>
    <row r="78" spans="2:5" ht="15" customHeight="1" x14ac:dyDescent="0.25">
      <c r="B78" s="81"/>
      <c r="C78" s="45" t="s">
        <v>60</v>
      </c>
      <c r="D78" s="44">
        <v>6</v>
      </c>
      <c r="E78" s="43">
        <v>6.2552126772310256E-4</v>
      </c>
    </row>
    <row r="79" spans="2:5" ht="15" customHeight="1" x14ac:dyDescent="0.25">
      <c r="B79" s="81"/>
      <c r="C79" s="45" t="s">
        <v>29</v>
      </c>
      <c r="D79" s="44">
        <v>1</v>
      </c>
      <c r="E79" s="43">
        <v>1.0425354462051709E-4</v>
      </c>
    </row>
    <row r="80" spans="2:5" ht="15" customHeight="1" x14ac:dyDescent="0.25">
      <c r="B80" s="81"/>
      <c r="C80" s="45" t="s">
        <v>63</v>
      </c>
      <c r="D80" s="44">
        <v>5</v>
      </c>
      <c r="E80" s="43">
        <v>5.2126772310258547E-4</v>
      </c>
    </row>
    <row r="81" spans="2:5" ht="15" customHeight="1" x14ac:dyDescent="0.25">
      <c r="B81" s="81"/>
      <c r="C81" s="45" t="s">
        <v>54</v>
      </c>
      <c r="D81" s="44">
        <v>1</v>
      </c>
      <c r="E81" s="43">
        <v>1.0425354462051709E-4</v>
      </c>
    </row>
    <row r="82" spans="2:5" ht="15" customHeight="1" x14ac:dyDescent="0.25">
      <c r="B82" s="81"/>
      <c r="C82" s="45" t="s">
        <v>35</v>
      </c>
      <c r="D82" s="44">
        <v>1</v>
      </c>
      <c r="E82" s="43">
        <v>1.0425354462051709E-4</v>
      </c>
    </row>
    <row r="83" spans="2:5" ht="15" customHeight="1" x14ac:dyDescent="0.25">
      <c r="B83" s="81"/>
      <c r="C83" s="45" t="s">
        <v>38</v>
      </c>
      <c r="D83" s="44">
        <v>3</v>
      </c>
      <c r="E83" s="43">
        <v>3.1276063386155128E-4</v>
      </c>
    </row>
    <row r="84" spans="2:5" ht="15" customHeight="1" x14ac:dyDescent="0.25">
      <c r="B84" s="81"/>
      <c r="C84" s="45" t="s">
        <v>50</v>
      </c>
      <c r="D84" s="44">
        <v>2</v>
      </c>
      <c r="E84" s="43">
        <v>2.0850708924103419E-4</v>
      </c>
    </row>
    <row r="85" spans="2:5" ht="15" customHeight="1" x14ac:dyDescent="0.25">
      <c r="B85" s="81"/>
      <c r="C85" s="45" t="s">
        <v>57</v>
      </c>
      <c r="D85" s="44">
        <v>7</v>
      </c>
      <c r="E85" s="43">
        <v>7.2977481234361965E-4</v>
      </c>
    </row>
    <row r="86" spans="2:5" ht="15" customHeight="1" x14ac:dyDescent="0.25">
      <c r="B86" s="81"/>
      <c r="C86" s="45" t="s">
        <v>48</v>
      </c>
      <c r="D86" s="44">
        <v>1</v>
      </c>
      <c r="E86" s="43">
        <v>1.0425354462051709E-4</v>
      </c>
    </row>
    <row r="87" spans="2:5" ht="15" customHeight="1" x14ac:dyDescent="0.25">
      <c r="B87" s="81"/>
      <c r="C87" s="45" t="s">
        <v>39</v>
      </c>
      <c r="D87" s="44">
        <v>3</v>
      </c>
      <c r="E87" s="43">
        <v>3.1276063386155128E-4</v>
      </c>
    </row>
    <row r="88" spans="2:5" ht="15" customHeight="1" x14ac:dyDescent="0.25">
      <c r="B88" s="81"/>
      <c r="C88" s="45" t="s">
        <v>33</v>
      </c>
      <c r="D88" s="44">
        <v>1</v>
      </c>
      <c r="E88" s="43">
        <v>1.0425354462051709E-4</v>
      </c>
    </row>
    <row r="89" spans="2:5" ht="15" customHeight="1" x14ac:dyDescent="0.25">
      <c r="B89" s="81"/>
      <c r="C89" s="45" t="s">
        <v>44</v>
      </c>
      <c r="D89" s="44">
        <v>1</v>
      </c>
      <c r="E89" s="43">
        <v>1.0425354462051709E-4</v>
      </c>
    </row>
    <row r="90" spans="2:5" ht="15" customHeight="1" x14ac:dyDescent="0.25">
      <c r="B90" s="81"/>
      <c r="C90" s="45" t="s">
        <v>58</v>
      </c>
      <c r="D90" s="44">
        <v>3</v>
      </c>
      <c r="E90" s="43">
        <v>3.1276063386155128E-4</v>
      </c>
    </row>
    <row r="91" spans="2:5" ht="15" customHeight="1" x14ac:dyDescent="0.25">
      <c r="B91" s="81"/>
      <c r="C91" s="45" t="s">
        <v>59</v>
      </c>
      <c r="D91" s="44">
        <v>1</v>
      </c>
      <c r="E91" s="43">
        <v>1.0425354462051709E-4</v>
      </c>
    </row>
    <row r="92" spans="2:5" ht="15" customHeight="1" x14ac:dyDescent="0.25">
      <c r="B92" s="81"/>
      <c r="C92" s="45" t="s">
        <v>45</v>
      </c>
      <c r="D92" s="44">
        <v>1</v>
      </c>
      <c r="E92" s="43">
        <v>1.0425354462051709E-4</v>
      </c>
    </row>
    <row r="93" spans="2:5" ht="15" customHeight="1" x14ac:dyDescent="0.25">
      <c r="B93" s="81"/>
      <c r="C93" s="45" t="s">
        <v>56</v>
      </c>
      <c r="D93" s="44">
        <v>3</v>
      </c>
      <c r="E93" s="43">
        <v>3.1276063386155128E-4</v>
      </c>
    </row>
    <row r="94" spans="2:5" ht="15" customHeight="1" x14ac:dyDescent="0.25">
      <c r="B94" s="81"/>
      <c r="C94" s="45" t="s">
        <v>64</v>
      </c>
      <c r="D94" s="44">
        <v>474</v>
      </c>
      <c r="E94" s="43">
        <v>4.9416180150125104E-2</v>
      </c>
    </row>
    <row r="95" spans="2:5" ht="15" customHeight="1" x14ac:dyDescent="0.25">
      <c r="B95" s="81"/>
      <c r="C95" s="45" t="s">
        <v>46</v>
      </c>
      <c r="D95" s="44">
        <v>3</v>
      </c>
      <c r="E95" s="43">
        <v>3.1276063386155128E-4</v>
      </c>
    </row>
    <row r="96" spans="2:5" ht="15" customHeight="1" x14ac:dyDescent="0.25">
      <c r="B96" s="82"/>
      <c r="C96" s="42" t="s">
        <v>22</v>
      </c>
      <c r="D96" s="41">
        <v>542</v>
      </c>
      <c r="E96" s="40">
        <v>5.6505421184320268E-2</v>
      </c>
    </row>
    <row r="97" spans="2:5" ht="15" customHeight="1" x14ac:dyDescent="0.25">
      <c r="B97" s="80" t="s">
        <v>186</v>
      </c>
      <c r="C97" s="45" t="s">
        <v>53</v>
      </c>
      <c r="D97" s="44">
        <v>7</v>
      </c>
      <c r="E97" s="43">
        <v>7.2977481234361965E-4</v>
      </c>
    </row>
    <row r="98" spans="2:5" ht="15" customHeight="1" x14ac:dyDescent="0.25">
      <c r="B98" s="81"/>
      <c r="C98" s="45" t="s">
        <v>41</v>
      </c>
      <c r="D98" s="44">
        <v>4</v>
      </c>
      <c r="E98" s="43">
        <v>4.1701417848206837E-4</v>
      </c>
    </row>
    <row r="99" spans="2:5" ht="15" customHeight="1" x14ac:dyDescent="0.25">
      <c r="B99" s="81"/>
      <c r="C99" s="45" t="s">
        <v>55</v>
      </c>
      <c r="D99" s="44">
        <v>6</v>
      </c>
      <c r="E99" s="43">
        <v>6.2552126772310256E-4</v>
      </c>
    </row>
    <row r="100" spans="2:5" ht="15" customHeight="1" x14ac:dyDescent="0.25">
      <c r="B100" s="81"/>
      <c r="C100" s="45" t="s">
        <v>62</v>
      </c>
      <c r="D100" s="44">
        <v>15</v>
      </c>
      <c r="E100" s="43">
        <v>1.5638031693077565E-3</v>
      </c>
    </row>
    <row r="101" spans="2:5" ht="15" customHeight="1" x14ac:dyDescent="0.25">
      <c r="B101" s="81"/>
      <c r="C101" s="45" t="s">
        <v>52</v>
      </c>
      <c r="D101" s="44">
        <v>3</v>
      </c>
      <c r="E101" s="43">
        <v>3.1276063386155128E-4</v>
      </c>
    </row>
    <row r="102" spans="2:5" ht="15" customHeight="1" x14ac:dyDescent="0.25">
      <c r="B102" s="81"/>
      <c r="C102" s="45" t="s">
        <v>61</v>
      </c>
      <c r="D102" s="44">
        <v>7</v>
      </c>
      <c r="E102" s="43">
        <v>7.2977481234361965E-4</v>
      </c>
    </row>
    <row r="103" spans="2:5" ht="15" customHeight="1" x14ac:dyDescent="0.25">
      <c r="B103" s="81"/>
      <c r="C103" s="45" t="s">
        <v>60</v>
      </c>
      <c r="D103" s="44">
        <v>15</v>
      </c>
      <c r="E103" s="43">
        <v>1.5638031693077565E-3</v>
      </c>
    </row>
    <row r="104" spans="2:5" ht="15" customHeight="1" x14ac:dyDescent="0.25">
      <c r="B104" s="81"/>
      <c r="C104" s="45" t="s">
        <v>29</v>
      </c>
      <c r="D104" s="44">
        <v>1</v>
      </c>
      <c r="E104" s="43">
        <v>1.0425354462051709E-4</v>
      </c>
    </row>
    <row r="105" spans="2:5" ht="15" customHeight="1" x14ac:dyDescent="0.25">
      <c r="B105" s="81"/>
      <c r="C105" s="45" t="s">
        <v>63</v>
      </c>
      <c r="D105" s="44">
        <v>27</v>
      </c>
      <c r="E105" s="43">
        <v>2.8148457047539616E-3</v>
      </c>
    </row>
    <row r="106" spans="2:5" ht="15" customHeight="1" x14ac:dyDescent="0.25">
      <c r="B106" s="81"/>
      <c r="C106" s="45" t="s">
        <v>54</v>
      </c>
      <c r="D106" s="44">
        <v>7</v>
      </c>
      <c r="E106" s="43">
        <v>7.2977481234361965E-4</v>
      </c>
    </row>
    <row r="107" spans="2:5" ht="15" customHeight="1" x14ac:dyDescent="0.25">
      <c r="B107" s="81"/>
      <c r="C107" s="45" t="s">
        <v>35</v>
      </c>
      <c r="D107" s="44">
        <v>1</v>
      </c>
      <c r="E107" s="43">
        <v>1.0425354462051709E-4</v>
      </c>
    </row>
    <row r="108" spans="2:5" ht="15" customHeight="1" x14ac:dyDescent="0.25">
      <c r="B108" s="81"/>
      <c r="C108" s="45" t="s">
        <v>47</v>
      </c>
      <c r="D108" s="44">
        <v>1</v>
      </c>
      <c r="E108" s="43">
        <v>1.0425354462051709E-4</v>
      </c>
    </row>
    <row r="109" spans="2:5" ht="15" customHeight="1" x14ac:dyDescent="0.25">
      <c r="B109" s="81"/>
      <c r="C109" s="45" t="s">
        <v>38</v>
      </c>
      <c r="D109" s="44">
        <v>6</v>
      </c>
      <c r="E109" s="43">
        <v>6.2552126772310256E-4</v>
      </c>
    </row>
    <row r="110" spans="2:5" ht="15" customHeight="1" x14ac:dyDescent="0.25">
      <c r="B110" s="81"/>
      <c r="C110" s="45" t="s">
        <v>50</v>
      </c>
      <c r="D110" s="44">
        <v>5</v>
      </c>
      <c r="E110" s="43">
        <v>5.2126772310258547E-4</v>
      </c>
    </row>
    <row r="111" spans="2:5" ht="15" customHeight="1" x14ac:dyDescent="0.25">
      <c r="B111" s="81"/>
      <c r="C111" s="45" t="s">
        <v>57</v>
      </c>
      <c r="D111" s="44">
        <v>4</v>
      </c>
      <c r="E111" s="43">
        <v>4.1701417848206837E-4</v>
      </c>
    </row>
    <row r="112" spans="2:5" ht="15" customHeight="1" x14ac:dyDescent="0.25">
      <c r="B112" s="81"/>
      <c r="C112" s="45" t="s">
        <v>48</v>
      </c>
      <c r="D112" s="44">
        <v>5</v>
      </c>
      <c r="E112" s="43">
        <v>5.2126772310258547E-4</v>
      </c>
    </row>
    <row r="113" spans="2:5" ht="15" customHeight="1" x14ac:dyDescent="0.25">
      <c r="B113" s="81"/>
      <c r="C113" s="45" t="s">
        <v>39</v>
      </c>
      <c r="D113" s="44">
        <v>2</v>
      </c>
      <c r="E113" s="43">
        <v>2.0850708924103419E-4</v>
      </c>
    </row>
    <row r="114" spans="2:5" ht="15" customHeight="1" x14ac:dyDescent="0.25">
      <c r="B114" s="81"/>
      <c r="C114" s="45" t="s">
        <v>49</v>
      </c>
      <c r="D114" s="44">
        <v>1</v>
      </c>
      <c r="E114" s="43">
        <v>1.0425354462051709E-4</v>
      </c>
    </row>
    <row r="115" spans="2:5" ht="15" customHeight="1" x14ac:dyDescent="0.25">
      <c r="B115" s="81"/>
      <c r="C115" s="45" t="s">
        <v>42</v>
      </c>
      <c r="D115" s="44">
        <v>3</v>
      </c>
      <c r="E115" s="43">
        <v>3.1276063386155128E-4</v>
      </c>
    </row>
    <row r="116" spans="2:5" ht="15" customHeight="1" x14ac:dyDescent="0.25">
      <c r="B116" s="81"/>
      <c r="C116" s="45" t="s">
        <v>36</v>
      </c>
      <c r="D116" s="44">
        <v>1</v>
      </c>
      <c r="E116" s="43">
        <v>1.0425354462051709E-4</v>
      </c>
    </row>
    <row r="117" spans="2:5" ht="15" customHeight="1" x14ac:dyDescent="0.25">
      <c r="B117" s="81"/>
      <c r="C117" s="45" t="s">
        <v>58</v>
      </c>
      <c r="D117" s="44">
        <v>23</v>
      </c>
      <c r="E117" s="43">
        <v>2.3978315262718933E-3</v>
      </c>
    </row>
    <row r="118" spans="2:5" ht="15" customHeight="1" x14ac:dyDescent="0.25">
      <c r="B118" s="81"/>
      <c r="C118" s="45" t="s">
        <v>26</v>
      </c>
      <c r="D118" s="44">
        <v>1</v>
      </c>
      <c r="E118" s="43">
        <v>1.0425354462051709E-4</v>
      </c>
    </row>
    <row r="119" spans="2:5" ht="15" customHeight="1" x14ac:dyDescent="0.25">
      <c r="B119" s="81"/>
      <c r="C119" s="45" t="s">
        <v>37</v>
      </c>
      <c r="D119" s="44">
        <v>1</v>
      </c>
      <c r="E119" s="43">
        <v>1.0425354462051709E-4</v>
      </c>
    </row>
    <row r="120" spans="2:5" ht="15" customHeight="1" x14ac:dyDescent="0.25">
      <c r="B120" s="81"/>
      <c r="C120" s="45" t="s">
        <v>59</v>
      </c>
      <c r="D120" s="44">
        <v>6</v>
      </c>
      <c r="E120" s="43">
        <v>6.2552126772310256E-4</v>
      </c>
    </row>
    <row r="121" spans="2:5" ht="15" customHeight="1" x14ac:dyDescent="0.25">
      <c r="B121" s="81"/>
      <c r="C121" s="45" t="s">
        <v>45</v>
      </c>
      <c r="D121" s="44">
        <v>2</v>
      </c>
      <c r="E121" s="43">
        <v>2.0850708924103419E-4</v>
      </c>
    </row>
    <row r="122" spans="2:5" ht="15" customHeight="1" x14ac:dyDescent="0.25">
      <c r="B122" s="81"/>
      <c r="C122" s="45" t="s">
        <v>23</v>
      </c>
      <c r="D122" s="44">
        <v>1</v>
      </c>
      <c r="E122" s="43">
        <v>1.0425354462051709E-4</v>
      </c>
    </row>
    <row r="123" spans="2:5" ht="15" customHeight="1" x14ac:dyDescent="0.25">
      <c r="B123" s="81"/>
      <c r="C123" s="45" t="s">
        <v>56</v>
      </c>
      <c r="D123" s="44">
        <v>4</v>
      </c>
      <c r="E123" s="43">
        <v>4.1701417848206837E-4</v>
      </c>
    </row>
    <row r="124" spans="2:5" ht="15" customHeight="1" x14ac:dyDescent="0.25">
      <c r="B124" s="81"/>
      <c r="C124" s="45" t="s">
        <v>64</v>
      </c>
      <c r="D124" s="44">
        <v>520</v>
      </c>
      <c r="E124" s="43">
        <v>5.4211843202668891E-2</v>
      </c>
    </row>
    <row r="125" spans="2:5" ht="15" customHeight="1" x14ac:dyDescent="0.25">
      <c r="B125" s="81"/>
      <c r="C125" s="45" t="s">
        <v>46</v>
      </c>
      <c r="D125" s="44">
        <v>2</v>
      </c>
      <c r="E125" s="43">
        <v>2.0850708924103419E-4</v>
      </c>
    </row>
    <row r="126" spans="2:5" ht="15" customHeight="1" x14ac:dyDescent="0.25">
      <c r="B126" s="81"/>
      <c r="C126" s="45" t="s">
        <v>43</v>
      </c>
      <c r="D126" s="44">
        <v>1</v>
      </c>
      <c r="E126" s="43">
        <v>1.0425354462051709E-4</v>
      </c>
    </row>
    <row r="127" spans="2:5" ht="15" customHeight="1" x14ac:dyDescent="0.25">
      <c r="B127" s="81"/>
      <c r="C127" s="45" t="s">
        <v>51</v>
      </c>
      <c r="D127" s="44">
        <v>10</v>
      </c>
      <c r="E127" s="43">
        <v>1.0425354462051709E-3</v>
      </c>
    </row>
    <row r="128" spans="2:5" ht="15" customHeight="1" x14ac:dyDescent="0.25">
      <c r="B128" s="82"/>
      <c r="C128" s="42" t="s">
        <v>22</v>
      </c>
      <c r="D128" s="41">
        <v>692</v>
      </c>
      <c r="E128" s="40">
        <v>7.2143452877397832E-2</v>
      </c>
    </row>
    <row r="129" spans="2:5" ht="15" customHeight="1" x14ac:dyDescent="0.25">
      <c r="B129" s="80" t="s">
        <v>185</v>
      </c>
      <c r="C129" s="45" t="s">
        <v>62</v>
      </c>
      <c r="D129" s="44">
        <v>4</v>
      </c>
      <c r="E129" s="43">
        <v>4.1701417848206837E-4</v>
      </c>
    </row>
    <row r="130" spans="2:5" ht="15" customHeight="1" x14ac:dyDescent="0.25">
      <c r="B130" s="81"/>
      <c r="C130" s="45" t="s">
        <v>61</v>
      </c>
      <c r="D130" s="44">
        <v>5</v>
      </c>
      <c r="E130" s="43">
        <v>5.2126772310258547E-4</v>
      </c>
    </row>
    <row r="131" spans="2:5" ht="15" customHeight="1" x14ac:dyDescent="0.25">
      <c r="B131" s="81"/>
      <c r="C131" s="45" t="s">
        <v>63</v>
      </c>
      <c r="D131" s="44">
        <v>1</v>
      </c>
      <c r="E131" s="43">
        <v>1.0425354462051709E-4</v>
      </c>
    </row>
    <row r="132" spans="2:5" ht="15" customHeight="1" x14ac:dyDescent="0.25">
      <c r="B132" s="81"/>
      <c r="C132" s="45" t="s">
        <v>57</v>
      </c>
      <c r="D132" s="44">
        <v>1</v>
      </c>
      <c r="E132" s="43">
        <v>1.0425354462051709E-4</v>
      </c>
    </row>
    <row r="133" spans="2:5" ht="15" customHeight="1" x14ac:dyDescent="0.25">
      <c r="B133" s="81"/>
      <c r="C133" s="45" t="s">
        <v>39</v>
      </c>
      <c r="D133" s="44">
        <v>1</v>
      </c>
      <c r="E133" s="43">
        <v>1.0425354462051709E-4</v>
      </c>
    </row>
    <row r="134" spans="2:5" ht="15" customHeight="1" x14ac:dyDescent="0.25">
      <c r="B134" s="81"/>
      <c r="C134" s="45" t="s">
        <v>44</v>
      </c>
      <c r="D134" s="44">
        <v>1</v>
      </c>
      <c r="E134" s="43">
        <v>1.0425354462051709E-4</v>
      </c>
    </row>
    <row r="135" spans="2:5" ht="15" customHeight="1" x14ac:dyDescent="0.25">
      <c r="B135" s="81"/>
      <c r="C135" s="45" t="s">
        <v>45</v>
      </c>
      <c r="D135" s="44">
        <v>1</v>
      </c>
      <c r="E135" s="43">
        <v>1.0425354462051709E-4</v>
      </c>
    </row>
    <row r="136" spans="2:5" ht="15" customHeight="1" x14ac:dyDescent="0.25">
      <c r="B136" s="81"/>
      <c r="C136" s="45" t="s">
        <v>56</v>
      </c>
      <c r="D136" s="44">
        <v>1</v>
      </c>
      <c r="E136" s="43">
        <v>1.0425354462051709E-4</v>
      </c>
    </row>
    <row r="137" spans="2:5" ht="15" customHeight="1" x14ac:dyDescent="0.25">
      <c r="B137" s="81"/>
      <c r="C137" s="45" t="s">
        <v>64</v>
      </c>
      <c r="D137" s="44">
        <v>61</v>
      </c>
      <c r="E137" s="43">
        <v>6.3594662218515426E-3</v>
      </c>
    </row>
    <row r="138" spans="2:5" ht="15" customHeight="1" x14ac:dyDescent="0.25">
      <c r="B138" s="81"/>
      <c r="C138" s="45" t="s">
        <v>40</v>
      </c>
      <c r="D138" s="44">
        <v>1</v>
      </c>
      <c r="E138" s="43">
        <v>1.0425354462051709E-4</v>
      </c>
    </row>
    <row r="139" spans="2:5" ht="15" customHeight="1" x14ac:dyDescent="0.25">
      <c r="B139" s="81"/>
      <c r="C139" s="45" t="s">
        <v>51</v>
      </c>
      <c r="D139" s="44">
        <v>1</v>
      </c>
      <c r="E139" s="43">
        <v>1.0425354462051709E-4</v>
      </c>
    </row>
    <row r="140" spans="2:5" ht="15" customHeight="1" x14ac:dyDescent="0.25">
      <c r="B140" s="82"/>
      <c r="C140" s="42" t="s">
        <v>22</v>
      </c>
      <c r="D140" s="41">
        <v>78</v>
      </c>
      <c r="E140" s="40">
        <v>8.1317764804003344E-3</v>
      </c>
    </row>
    <row r="141" spans="2:5" ht="15" customHeight="1" x14ac:dyDescent="0.25">
      <c r="B141" s="80" t="s">
        <v>184</v>
      </c>
      <c r="C141" s="45" t="s">
        <v>55</v>
      </c>
      <c r="D141" s="44">
        <v>1</v>
      </c>
      <c r="E141" s="43">
        <v>1.0425354462051709E-4</v>
      </c>
    </row>
    <row r="142" spans="2:5" ht="15" customHeight="1" x14ac:dyDescent="0.25">
      <c r="B142" s="81"/>
      <c r="C142" s="45" t="s">
        <v>62</v>
      </c>
      <c r="D142" s="44">
        <v>4</v>
      </c>
      <c r="E142" s="43">
        <v>4.1701417848206837E-4</v>
      </c>
    </row>
    <row r="143" spans="2:5" ht="15" customHeight="1" x14ac:dyDescent="0.25">
      <c r="B143" s="81"/>
      <c r="C143" s="45" t="s">
        <v>52</v>
      </c>
      <c r="D143" s="44">
        <v>2</v>
      </c>
      <c r="E143" s="43">
        <v>2.0850708924103419E-4</v>
      </c>
    </row>
    <row r="144" spans="2:5" ht="15" customHeight="1" x14ac:dyDescent="0.25">
      <c r="B144" s="81"/>
      <c r="C144" s="45" t="s">
        <v>61</v>
      </c>
      <c r="D144" s="44">
        <v>7</v>
      </c>
      <c r="E144" s="43">
        <v>7.2977481234361965E-4</v>
      </c>
    </row>
    <row r="145" spans="2:5" ht="15" customHeight="1" x14ac:dyDescent="0.25">
      <c r="B145" s="81"/>
      <c r="C145" s="45" t="s">
        <v>60</v>
      </c>
      <c r="D145" s="44">
        <v>2</v>
      </c>
      <c r="E145" s="43">
        <v>2.0850708924103419E-4</v>
      </c>
    </row>
    <row r="146" spans="2:5" ht="15" customHeight="1" x14ac:dyDescent="0.25">
      <c r="B146" s="81"/>
      <c r="C146" s="45" t="s">
        <v>63</v>
      </c>
      <c r="D146" s="44">
        <v>4</v>
      </c>
      <c r="E146" s="43">
        <v>4.1701417848206837E-4</v>
      </c>
    </row>
    <row r="147" spans="2:5" ht="15" customHeight="1" x14ac:dyDescent="0.25">
      <c r="B147" s="81"/>
      <c r="C147" s="45" t="s">
        <v>54</v>
      </c>
      <c r="D147" s="44">
        <v>3</v>
      </c>
      <c r="E147" s="43">
        <v>3.1276063386155128E-4</v>
      </c>
    </row>
    <row r="148" spans="2:5" ht="15" customHeight="1" x14ac:dyDescent="0.25">
      <c r="B148" s="81"/>
      <c r="C148" s="45" t="s">
        <v>35</v>
      </c>
      <c r="D148" s="44">
        <v>1</v>
      </c>
      <c r="E148" s="43">
        <v>1.0425354462051709E-4</v>
      </c>
    </row>
    <row r="149" spans="2:5" ht="15" customHeight="1" x14ac:dyDescent="0.25">
      <c r="B149" s="81"/>
      <c r="C149" s="45" t="s">
        <v>50</v>
      </c>
      <c r="D149" s="44">
        <v>2</v>
      </c>
      <c r="E149" s="43">
        <v>2.0850708924103419E-4</v>
      </c>
    </row>
    <row r="150" spans="2:5" ht="15" customHeight="1" x14ac:dyDescent="0.25">
      <c r="B150" s="81"/>
      <c r="C150" s="45" t="s">
        <v>57</v>
      </c>
      <c r="D150" s="44">
        <v>6</v>
      </c>
      <c r="E150" s="43">
        <v>6.2552126772310256E-4</v>
      </c>
    </row>
    <row r="151" spans="2:5" ht="15" customHeight="1" x14ac:dyDescent="0.25">
      <c r="B151" s="81"/>
      <c r="C151" s="45" t="s">
        <v>48</v>
      </c>
      <c r="D151" s="44">
        <v>1</v>
      </c>
      <c r="E151" s="43">
        <v>1.0425354462051709E-4</v>
      </c>
    </row>
    <row r="152" spans="2:5" ht="15" customHeight="1" x14ac:dyDescent="0.25">
      <c r="B152" s="81"/>
      <c r="C152" s="45" t="s">
        <v>42</v>
      </c>
      <c r="D152" s="44">
        <v>1</v>
      </c>
      <c r="E152" s="43">
        <v>1.0425354462051709E-4</v>
      </c>
    </row>
    <row r="153" spans="2:5" ht="15" customHeight="1" x14ac:dyDescent="0.25">
      <c r="B153" s="81"/>
      <c r="C153" s="45" t="s">
        <v>58</v>
      </c>
      <c r="D153" s="44">
        <v>5</v>
      </c>
      <c r="E153" s="43">
        <v>5.2126772310258547E-4</v>
      </c>
    </row>
    <row r="154" spans="2:5" ht="15" customHeight="1" x14ac:dyDescent="0.25">
      <c r="B154" s="81"/>
      <c r="C154" s="45" t="s">
        <v>37</v>
      </c>
      <c r="D154" s="44">
        <v>1</v>
      </c>
      <c r="E154" s="43">
        <v>1.0425354462051709E-4</v>
      </c>
    </row>
    <row r="155" spans="2:5" ht="15" customHeight="1" x14ac:dyDescent="0.25">
      <c r="B155" s="81"/>
      <c r="C155" s="45" t="s">
        <v>45</v>
      </c>
      <c r="D155" s="44">
        <v>2</v>
      </c>
      <c r="E155" s="43">
        <v>2.0850708924103419E-4</v>
      </c>
    </row>
    <row r="156" spans="2:5" ht="15" customHeight="1" x14ac:dyDescent="0.25">
      <c r="B156" s="81"/>
      <c r="C156" s="45" t="s">
        <v>56</v>
      </c>
      <c r="D156" s="44">
        <v>5</v>
      </c>
      <c r="E156" s="43">
        <v>5.2126772310258547E-4</v>
      </c>
    </row>
    <row r="157" spans="2:5" ht="15" customHeight="1" x14ac:dyDescent="0.25">
      <c r="B157" s="81"/>
      <c r="C157" s="45" t="s">
        <v>64</v>
      </c>
      <c r="D157" s="44">
        <v>149</v>
      </c>
      <c r="E157" s="43">
        <v>1.5533778148457047E-2</v>
      </c>
    </row>
    <row r="158" spans="2:5" ht="15" customHeight="1" x14ac:dyDescent="0.25">
      <c r="B158" s="82"/>
      <c r="C158" s="42" t="s">
        <v>22</v>
      </c>
      <c r="D158" s="41">
        <v>196</v>
      </c>
      <c r="E158" s="40">
        <v>2.0433694745621352E-2</v>
      </c>
    </row>
    <row r="159" spans="2:5" ht="15" customHeight="1" x14ac:dyDescent="0.25">
      <c r="B159" s="80" t="s">
        <v>183</v>
      </c>
      <c r="C159" s="45" t="s">
        <v>55</v>
      </c>
      <c r="D159" s="44">
        <v>1</v>
      </c>
      <c r="E159" s="43">
        <v>1.0425354462051709E-4</v>
      </c>
    </row>
    <row r="160" spans="2:5" ht="15" customHeight="1" x14ac:dyDescent="0.25">
      <c r="B160" s="81"/>
      <c r="C160" s="45" t="s">
        <v>62</v>
      </c>
      <c r="D160" s="44">
        <v>6</v>
      </c>
      <c r="E160" s="43">
        <v>6.2552126772310256E-4</v>
      </c>
    </row>
    <row r="161" spans="2:5" ht="15" customHeight="1" x14ac:dyDescent="0.25">
      <c r="B161" s="81"/>
      <c r="C161" s="45" t="s">
        <v>52</v>
      </c>
      <c r="D161" s="44">
        <v>3</v>
      </c>
      <c r="E161" s="43">
        <v>3.1276063386155128E-4</v>
      </c>
    </row>
    <row r="162" spans="2:5" ht="15" customHeight="1" x14ac:dyDescent="0.25">
      <c r="B162" s="81"/>
      <c r="C162" s="45" t="s">
        <v>61</v>
      </c>
      <c r="D162" s="44">
        <v>3</v>
      </c>
      <c r="E162" s="43">
        <v>3.1276063386155128E-4</v>
      </c>
    </row>
    <row r="163" spans="2:5" ht="15" customHeight="1" x14ac:dyDescent="0.25">
      <c r="B163" s="81"/>
      <c r="C163" s="45" t="s">
        <v>60</v>
      </c>
      <c r="D163" s="44">
        <v>1</v>
      </c>
      <c r="E163" s="43">
        <v>1.0425354462051709E-4</v>
      </c>
    </row>
    <row r="164" spans="2:5" ht="15" customHeight="1" x14ac:dyDescent="0.25">
      <c r="B164" s="81"/>
      <c r="C164" s="45" t="s">
        <v>63</v>
      </c>
      <c r="D164" s="44">
        <v>4</v>
      </c>
      <c r="E164" s="43">
        <v>4.1701417848206837E-4</v>
      </c>
    </row>
    <row r="165" spans="2:5" ht="15" customHeight="1" x14ac:dyDescent="0.25">
      <c r="B165" s="81"/>
      <c r="C165" s="45" t="s">
        <v>54</v>
      </c>
      <c r="D165" s="44">
        <v>1</v>
      </c>
      <c r="E165" s="43">
        <v>1.0425354462051709E-4</v>
      </c>
    </row>
    <row r="166" spans="2:5" ht="15" customHeight="1" x14ac:dyDescent="0.25">
      <c r="B166" s="81"/>
      <c r="C166" s="45" t="s">
        <v>50</v>
      </c>
      <c r="D166" s="44">
        <v>3</v>
      </c>
      <c r="E166" s="43">
        <v>3.1276063386155128E-4</v>
      </c>
    </row>
    <row r="167" spans="2:5" ht="15" customHeight="1" x14ac:dyDescent="0.25">
      <c r="B167" s="81"/>
      <c r="C167" s="45" t="s">
        <v>32</v>
      </c>
      <c r="D167" s="44">
        <v>2</v>
      </c>
      <c r="E167" s="43">
        <v>2.0850708924103419E-4</v>
      </c>
    </row>
    <row r="168" spans="2:5" ht="15" customHeight="1" x14ac:dyDescent="0.25">
      <c r="B168" s="81"/>
      <c r="C168" s="45" t="s">
        <v>57</v>
      </c>
      <c r="D168" s="44">
        <v>3</v>
      </c>
      <c r="E168" s="43">
        <v>3.1276063386155128E-4</v>
      </c>
    </row>
    <row r="169" spans="2:5" ht="15" customHeight="1" x14ac:dyDescent="0.25">
      <c r="B169" s="81"/>
      <c r="C169" s="45" t="s">
        <v>48</v>
      </c>
      <c r="D169" s="44">
        <v>2</v>
      </c>
      <c r="E169" s="43">
        <v>2.0850708924103419E-4</v>
      </c>
    </row>
    <row r="170" spans="2:5" ht="15" customHeight="1" x14ac:dyDescent="0.25">
      <c r="B170" s="81"/>
      <c r="C170" s="45" t="s">
        <v>39</v>
      </c>
      <c r="D170" s="44">
        <v>3</v>
      </c>
      <c r="E170" s="43">
        <v>3.1276063386155128E-4</v>
      </c>
    </row>
    <row r="171" spans="2:5" ht="15" customHeight="1" x14ac:dyDescent="0.25">
      <c r="B171" s="81"/>
      <c r="C171" s="45" t="s">
        <v>49</v>
      </c>
      <c r="D171" s="44">
        <v>3</v>
      </c>
      <c r="E171" s="43">
        <v>3.1276063386155128E-4</v>
      </c>
    </row>
    <row r="172" spans="2:5" ht="15" customHeight="1" x14ac:dyDescent="0.25">
      <c r="B172" s="81"/>
      <c r="C172" s="45" t="s">
        <v>33</v>
      </c>
      <c r="D172" s="44">
        <v>1</v>
      </c>
      <c r="E172" s="43">
        <v>1.0425354462051709E-4</v>
      </c>
    </row>
    <row r="173" spans="2:5" ht="15" customHeight="1" x14ac:dyDescent="0.25">
      <c r="B173" s="81"/>
      <c r="C173" s="45" t="s">
        <v>44</v>
      </c>
      <c r="D173" s="44">
        <v>1</v>
      </c>
      <c r="E173" s="43">
        <v>1.0425354462051709E-4</v>
      </c>
    </row>
    <row r="174" spans="2:5" ht="15" customHeight="1" x14ac:dyDescent="0.25">
      <c r="B174" s="81"/>
      <c r="C174" s="45" t="s">
        <v>58</v>
      </c>
      <c r="D174" s="44">
        <v>5</v>
      </c>
      <c r="E174" s="43">
        <v>5.2126772310258547E-4</v>
      </c>
    </row>
    <row r="175" spans="2:5" ht="15" customHeight="1" x14ac:dyDescent="0.25">
      <c r="B175" s="81"/>
      <c r="C175" s="45" t="s">
        <v>59</v>
      </c>
      <c r="D175" s="44">
        <v>4</v>
      </c>
      <c r="E175" s="43">
        <v>4.1701417848206837E-4</v>
      </c>
    </row>
    <row r="176" spans="2:5" ht="15" customHeight="1" x14ac:dyDescent="0.25">
      <c r="B176" s="81"/>
      <c r="C176" s="45" t="s">
        <v>31</v>
      </c>
      <c r="D176" s="44">
        <v>1</v>
      </c>
      <c r="E176" s="43">
        <v>1.0425354462051709E-4</v>
      </c>
    </row>
    <row r="177" spans="2:5" ht="15" customHeight="1" x14ac:dyDescent="0.25">
      <c r="B177" s="81"/>
      <c r="C177" s="45" t="s">
        <v>45</v>
      </c>
      <c r="D177" s="44">
        <v>2</v>
      </c>
      <c r="E177" s="43">
        <v>2.0850708924103419E-4</v>
      </c>
    </row>
    <row r="178" spans="2:5" ht="15" customHeight="1" x14ac:dyDescent="0.25">
      <c r="B178" s="81"/>
      <c r="C178" s="45" t="s">
        <v>56</v>
      </c>
      <c r="D178" s="44">
        <v>1</v>
      </c>
      <c r="E178" s="43">
        <v>1.0425354462051709E-4</v>
      </c>
    </row>
    <row r="179" spans="2:5" ht="15" customHeight="1" x14ac:dyDescent="0.25">
      <c r="B179" s="81"/>
      <c r="C179" s="45" t="s">
        <v>64</v>
      </c>
      <c r="D179" s="44">
        <v>304</v>
      </c>
      <c r="E179" s="43">
        <v>3.1693077564637198E-2</v>
      </c>
    </row>
    <row r="180" spans="2:5" ht="15" customHeight="1" x14ac:dyDescent="0.25">
      <c r="B180" s="81"/>
      <c r="C180" s="45" t="s">
        <v>46</v>
      </c>
      <c r="D180" s="44">
        <v>1</v>
      </c>
      <c r="E180" s="43">
        <v>1.0425354462051709E-4</v>
      </c>
    </row>
    <row r="181" spans="2:5" ht="15" customHeight="1" x14ac:dyDescent="0.25">
      <c r="B181" s="81"/>
      <c r="C181" s="45" t="s">
        <v>51</v>
      </c>
      <c r="D181" s="44">
        <v>1</v>
      </c>
      <c r="E181" s="43">
        <v>1.0425354462051709E-4</v>
      </c>
    </row>
    <row r="182" spans="2:5" ht="15" customHeight="1" x14ac:dyDescent="0.25">
      <c r="B182" s="82"/>
      <c r="C182" s="42" t="s">
        <v>22</v>
      </c>
      <c r="D182" s="41">
        <v>356</v>
      </c>
      <c r="E182" s="40">
        <v>3.711426188490409E-2</v>
      </c>
    </row>
    <row r="183" spans="2:5" ht="15" customHeight="1" x14ac:dyDescent="0.25">
      <c r="B183" s="80" t="s">
        <v>182</v>
      </c>
      <c r="C183" s="45" t="s">
        <v>53</v>
      </c>
      <c r="D183" s="44">
        <v>18</v>
      </c>
      <c r="E183" s="43">
        <v>1.8765638031693077E-3</v>
      </c>
    </row>
    <row r="184" spans="2:5" ht="15" customHeight="1" x14ac:dyDescent="0.25">
      <c r="B184" s="81"/>
      <c r="C184" s="45" t="s">
        <v>41</v>
      </c>
      <c r="D184" s="44">
        <v>4</v>
      </c>
      <c r="E184" s="43">
        <v>4.1701417848206837E-4</v>
      </c>
    </row>
    <row r="185" spans="2:5" ht="15" customHeight="1" x14ac:dyDescent="0.25">
      <c r="B185" s="81"/>
      <c r="C185" s="45" t="s">
        <v>55</v>
      </c>
      <c r="D185" s="44">
        <v>19</v>
      </c>
      <c r="E185" s="43">
        <v>1.9808173477898249E-3</v>
      </c>
    </row>
    <row r="186" spans="2:5" ht="15" customHeight="1" x14ac:dyDescent="0.25">
      <c r="B186" s="81"/>
      <c r="C186" s="45" t="s">
        <v>62</v>
      </c>
      <c r="D186" s="44">
        <v>51</v>
      </c>
      <c r="E186" s="43">
        <v>5.3169307756463719E-3</v>
      </c>
    </row>
    <row r="187" spans="2:5" ht="15" customHeight="1" x14ac:dyDescent="0.25">
      <c r="B187" s="81"/>
      <c r="C187" s="45" t="s">
        <v>52</v>
      </c>
      <c r="D187" s="44">
        <v>10</v>
      </c>
      <c r="E187" s="43">
        <v>1.0425354462051709E-3</v>
      </c>
    </row>
    <row r="188" spans="2:5" ht="15" customHeight="1" x14ac:dyDescent="0.25">
      <c r="B188" s="81"/>
      <c r="C188" s="45" t="s">
        <v>61</v>
      </c>
      <c r="D188" s="44">
        <v>58</v>
      </c>
      <c r="E188" s="43">
        <v>6.0467055879899921E-3</v>
      </c>
    </row>
    <row r="189" spans="2:5" ht="15" customHeight="1" x14ac:dyDescent="0.25">
      <c r="B189" s="81"/>
      <c r="C189" s="45" t="s">
        <v>60</v>
      </c>
      <c r="D189" s="44">
        <v>54</v>
      </c>
      <c r="E189" s="43">
        <v>5.6296914095079233E-3</v>
      </c>
    </row>
    <row r="190" spans="2:5" ht="15" customHeight="1" x14ac:dyDescent="0.25">
      <c r="B190" s="81"/>
      <c r="C190" s="45" t="s">
        <v>29</v>
      </c>
      <c r="D190" s="44">
        <v>2</v>
      </c>
      <c r="E190" s="43">
        <v>2.0850708924103419E-4</v>
      </c>
    </row>
    <row r="191" spans="2:5" ht="15" customHeight="1" x14ac:dyDescent="0.25">
      <c r="B191" s="81"/>
      <c r="C191" s="45" t="s">
        <v>63</v>
      </c>
      <c r="D191" s="44">
        <v>83</v>
      </c>
      <c r="E191" s="43">
        <v>8.6530442035029197E-3</v>
      </c>
    </row>
    <row r="192" spans="2:5" ht="15" customHeight="1" x14ac:dyDescent="0.25">
      <c r="B192" s="81"/>
      <c r="C192" s="45" t="s">
        <v>54</v>
      </c>
      <c r="D192" s="44">
        <v>21</v>
      </c>
      <c r="E192" s="43">
        <v>2.1893244370308589E-3</v>
      </c>
    </row>
    <row r="193" spans="2:5" ht="15" customHeight="1" x14ac:dyDescent="0.25">
      <c r="B193" s="81"/>
      <c r="C193" s="45" t="s">
        <v>35</v>
      </c>
      <c r="D193" s="44">
        <v>5</v>
      </c>
      <c r="E193" s="43">
        <v>5.2126772310258547E-4</v>
      </c>
    </row>
    <row r="194" spans="2:5" ht="15" customHeight="1" x14ac:dyDescent="0.25">
      <c r="B194" s="81"/>
      <c r="C194" s="45" t="s">
        <v>47</v>
      </c>
      <c r="D194" s="44">
        <v>7</v>
      </c>
      <c r="E194" s="43">
        <v>7.2977481234361965E-4</v>
      </c>
    </row>
    <row r="195" spans="2:5" ht="15" customHeight="1" x14ac:dyDescent="0.25">
      <c r="B195" s="81"/>
      <c r="C195" s="45" t="s">
        <v>38</v>
      </c>
      <c r="D195" s="44">
        <v>5</v>
      </c>
      <c r="E195" s="43">
        <v>5.2126772310258547E-4</v>
      </c>
    </row>
    <row r="196" spans="2:5" ht="15" customHeight="1" x14ac:dyDescent="0.25">
      <c r="B196" s="81"/>
      <c r="C196" s="45" t="s">
        <v>50</v>
      </c>
      <c r="D196" s="44">
        <v>17</v>
      </c>
      <c r="E196" s="43">
        <v>1.7723102585487907E-3</v>
      </c>
    </row>
    <row r="197" spans="2:5" ht="15" customHeight="1" x14ac:dyDescent="0.25">
      <c r="B197" s="81"/>
      <c r="C197" s="45" t="s">
        <v>32</v>
      </c>
      <c r="D197" s="44">
        <v>1</v>
      </c>
      <c r="E197" s="43">
        <v>1.0425354462051709E-4</v>
      </c>
    </row>
    <row r="198" spans="2:5" ht="15" customHeight="1" x14ac:dyDescent="0.25">
      <c r="B198" s="81"/>
      <c r="C198" s="45" t="s">
        <v>57</v>
      </c>
      <c r="D198" s="44">
        <v>10</v>
      </c>
      <c r="E198" s="43">
        <v>1.0425354462051709E-3</v>
      </c>
    </row>
    <row r="199" spans="2:5" ht="15" customHeight="1" x14ac:dyDescent="0.25">
      <c r="B199" s="81"/>
      <c r="C199" s="45" t="s">
        <v>48</v>
      </c>
      <c r="D199" s="44">
        <v>22</v>
      </c>
      <c r="E199" s="43">
        <v>2.2935779816513763E-3</v>
      </c>
    </row>
    <row r="200" spans="2:5" ht="15" customHeight="1" x14ac:dyDescent="0.25">
      <c r="B200" s="81"/>
      <c r="C200" s="45" t="s">
        <v>39</v>
      </c>
      <c r="D200" s="44">
        <v>8</v>
      </c>
      <c r="E200" s="43">
        <v>8.3402835696413675E-4</v>
      </c>
    </row>
    <row r="201" spans="2:5" ht="15" customHeight="1" x14ac:dyDescent="0.25">
      <c r="B201" s="81"/>
      <c r="C201" s="45" t="s">
        <v>49</v>
      </c>
      <c r="D201" s="44">
        <v>9</v>
      </c>
      <c r="E201" s="43">
        <v>9.3828190158465384E-4</v>
      </c>
    </row>
    <row r="202" spans="2:5" ht="15" customHeight="1" x14ac:dyDescent="0.25">
      <c r="B202" s="81"/>
      <c r="C202" s="45" t="s">
        <v>33</v>
      </c>
      <c r="D202" s="44">
        <v>1</v>
      </c>
      <c r="E202" s="43">
        <v>1.0425354462051709E-4</v>
      </c>
    </row>
    <row r="203" spans="2:5" ht="15" customHeight="1" x14ac:dyDescent="0.25">
      <c r="B203" s="81"/>
      <c r="C203" s="45" t="s">
        <v>44</v>
      </c>
      <c r="D203" s="44">
        <v>9</v>
      </c>
      <c r="E203" s="43">
        <v>9.3828190158465384E-4</v>
      </c>
    </row>
    <row r="204" spans="2:5" ht="15" customHeight="1" x14ac:dyDescent="0.25">
      <c r="B204" s="81"/>
      <c r="C204" s="45" t="s">
        <v>244</v>
      </c>
      <c r="D204" s="44">
        <v>1</v>
      </c>
      <c r="E204" s="43">
        <v>1.0425354462051709E-4</v>
      </c>
    </row>
    <row r="205" spans="2:5" ht="15" customHeight="1" x14ac:dyDescent="0.25">
      <c r="B205" s="81"/>
      <c r="C205" s="45" t="s">
        <v>30</v>
      </c>
      <c r="D205" s="44">
        <v>1</v>
      </c>
      <c r="E205" s="43">
        <v>1.0425354462051709E-4</v>
      </c>
    </row>
    <row r="206" spans="2:5" ht="15" customHeight="1" x14ac:dyDescent="0.25">
      <c r="B206" s="81"/>
      <c r="C206" s="45" t="s">
        <v>42</v>
      </c>
      <c r="D206" s="44">
        <v>15</v>
      </c>
      <c r="E206" s="43">
        <v>1.5638031693077565E-3</v>
      </c>
    </row>
    <row r="207" spans="2:5" ht="15" customHeight="1" x14ac:dyDescent="0.25">
      <c r="B207" s="81"/>
      <c r="C207" s="45" t="s">
        <v>36</v>
      </c>
      <c r="D207" s="44">
        <v>1</v>
      </c>
      <c r="E207" s="43">
        <v>1.0425354462051709E-4</v>
      </c>
    </row>
    <row r="208" spans="2:5" ht="15" customHeight="1" x14ac:dyDescent="0.25">
      <c r="B208" s="81"/>
      <c r="C208" s="45" t="s">
        <v>58</v>
      </c>
      <c r="D208" s="44">
        <v>59</v>
      </c>
      <c r="E208" s="43">
        <v>6.1509591326105086E-3</v>
      </c>
    </row>
    <row r="209" spans="2:5" ht="15" customHeight="1" x14ac:dyDescent="0.25">
      <c r="B209" s="81"/>
      <c r="C209" s="45" t="s">
        <v>37</v>
      </c>
      <c r="D209" s="44">
        <v>8</v>
      </c>
      <c r="E209" s="43">
        <v>8.3402835696413675E-4</v>
      </c>
    </row>
    <row r="210" spans="2:5" ht="15" customHeight="1" x14ac:dyDescent="0.25">
      <c r="B210" s="81"/>
      <c r="C210" s="45" t="s">
        <v>59</v>
      </c>
      <c r="D210" s="44">
        <v>27</v>
      </c>
      <c r="E210" s="43">
        <v>2.8148457047539616E-3</v>
      </c>
    </row>
    <row r="211" spans="2:5" ht="15" customHeight="1" x14ac:dyDescent="0.25">
      <c r="B211" s="81"/>
      <c r="C211" s="45" t="s">
        <v>34</v>
      </c>
      <c r="D211" s="44">
        <v>3</v>
      </c>
      <c r="E211" s="43">
        <v>3.1276063386155128E-4</v>
      </c>
    </row>
    <row r="212" spans="2:5" ht="15" customHeight="1" x14ac:dyDescent="0.25">
      <c r="B212" s="81"/>
      <c r="C212" s="45" t="s">
        <v>31</v>
      </c>
      <c r="D212" s="44">
        <v>6</v>
      </c>
      <c r="E212" s="43">
        <v>6.2552126772310256E-4</v>
      </c>
    </row>
    <row r="213" spans="2:5" ht="15" customHeight="1" x14ac:dyDescent="0.25">
      <c r="B213" s="81"/>
      <c r="C213" s="45" t="s">
        <v>25</v>
      </c>
      <c r="D213" s="44">
        <v>1</v>
      </c>
      <c r="E213" s="43">
        <v>1.0425354462051709E-4</v>
      </c>
    </row>
    <row r="214" spans="2:5" ht="15" customHeight="1" x14ac:dyDescent="0.25">
      <c r="B214" s="81"/>
      <c r="C214" s="45" t="s">
        <v>45</v>
      </c>
      <c r="D214" s="44">
        <v>14</v>
      </c>
      <c r="E214" s="43">
        <v>1.4595496246872393E-3</v>
      </c>
    </row>
    <row r="215" spans="2:5" ht="15" customHeight="1" x14ac:dyDescent="0.25">
      <c r="B215" s="81"/>
      <c r="C215" s="45" t="s">
        <v>23</v>
      </c>
      <c r="D215" s="44">
        <v>1</v>
      </c>
      <c r="E215" s="43">
        <v>1.0425354462051709E-4</v>
      </c>
    </row>
    <row r="216" spans="2:5" ht="15" customHeight="1" x14ac:dyDescent="0.25">
      <c r="B216" s="81"/>
      <c r="C216" s="45" t="s">
        <v>56</v>
      </c>
      <c r="D216" s="44">
        <v>26</v>
      </c>
      <c r="E216" s="43">
        <v>2.7105921601334446E-3</v>
      </c>
    </row>
    <row r="217" spans="2:5" ht="15" customHeight="1" x14ac:dyDescent="0.25">
      <c r="B217" s="81"/>
      <c r="C217" s="45" t="s">
        <v>64</v>
      </c>
      <c r="D217" s="44">
        <v>2198</v>
      </c>
      <c r="E217" s="43">
        <v>0.22914929107589657</v>
      </c>
    </row>
    <row r="218" spans="2:5" ht="15" customHeight="1" x14ac:dyDescent="0.25">
      <c r="B218" s="81"/>
      <c r="C218" s="45" t="s">
        <v>46</v>
      </c>
      <c r="D218" s="44">
        <v>5</v>
      </c>
      <c r="E218" s="43">
        <v>5.2126772310258547E-4</v>
      </c>
    </row>
    <row r="219" spans="2:5" ht="15" customHeight="1" x14ac:dyDescent="0.25">
      <c r="B219" s="81"/>
      <c r="C219" s="45" t="s">
        <v>43</v>
      </c>
      <c r="D219" s="44">
        <v>7</v>
      </c>
      <c r="E219" s="43">
        <v>7.2977481234361965E-4</v>
      </c>
    </row>
    <row r="220" spans="2:5" ht="15" customHeight="1" x14ac:dyDescent="0.25">
      <c r="B220" s="81"/>
      <c r="C220" s="45" t="s">
        <v>40</v>
      </c>
      <c r="D220" s="44">
        <v>3</v>
      </c>
      <c r="E220" s="43">
        <v>3.1276063386155128E-4</v>
      </c>
    </row>
    <row r="221" spans="2:5" ht="15" customHeight="1" x14ac:dyDescent="0.25">
      <c r="B221" s="81"/>
      <c r="C221" s="45" t="s">
        <v>51</v>
      </c>
      <c r="D221" s="44">
        <v>9</v>
      </c>
      <c r="E221" s="43">
        <v>9.3828190158465384E-4</v>
      </c>
    </row>
    <row r="222" spans="2:5" ht="15" customHeight="1" x14ac:dyDescent="0.25">
      <c r="B222" s="81"/>
      <c r="C222" s="45" t="s">
        <v>24</v>
      </c>
      <c r="D222" s="44">
        <v>1</v>
      </c>
      <c r="E222" s="43">
        <v>1.0425354462051709E-4</v>
      </c>
    </row>
    <row r="223" spans="2:5" ht="15" customHeight="1" x14ac:dyDescent="0.25">
      <c r="B223" s="82"/>
      <c r="C223" s="42" t="s">
        <v>22</v>
      </c>
      <c r="D223" s="41">
        <v>2800</v>
      </c>
      <c r="E223" s="40">
        <v>0.29190992493744788</v>
      </c>
    </row>
    <row r="224" spans="2:5" ht="15" customHeight="1" x14ac:dyDescent="0.25">
      <c r="B224" s="80" t="s">
        <v>181</v>
      </c>
      <c r="C224" s="45" t="s">
        <v>55</v>
      </c>
      <c r="D224" s="44">
        <v>2</v>
      </c>
      <c r="E224" s="43">
        <v>2.0850708924103419E-4</v>
      </c>
    </row>
    <row r="225" spans="2:5" ht="15" customHeight="1" x14ac:dyDescent="0.25">
      <c r="B225" s="81"/>
      <c r="C225" s="45" t="s">
        <v>62</v>
      </c>
      <c r="D225" s="44">
        <v>12</v>
      </c>
      <c r="E225" s="43">
        <v>1.2510425354462051E-3</v>
      </c>
    </row>
    <row r="226" spans="2:5" ht="15" customHeight="1" x14ac:dyDescent="0.25">
      <c r="B226" s="81"/>
      <c r="C226" s="45" t="s">
        <v>52</v>
      </c>
      <c r="D226" s="44">
        <v>1</v>
      </c>
      <c r="E226" s="43">
        <v>1.0425354462051709E-4</v>
      </c>
    </row>
    <row r="227" spans="2:5" ht="15" customHeight="1" x14ac:dyDescent="0.25">
      <c r="B227" s="81"/>
      <c r="C227" s="45" t="s">
        <v>61</v>
      </c>
      <c r="D227" s="44">
        <v>7</v>
      </c>
      <c r="E227" s="43">
        <v>7.2977481234361965E-4</v>
      </c>
    </row>
    <row r="228" spans="2:5" ht="15" customHeight="1" x14ac:dyDescent="0.25">
      <c r="B228" s="81"/>
      <c r="C228" s="45" t="s">
        <v>60</v>
      </c>
      <c r="D228" s="44">
        <v>8</v>
      </c>
      <c r="E228" s="43">
        <v>8.3402835696413675E-4</v>
      </c>
    </row>
    <row r="229" spans="2:5" ht="15" customHeight="1" x14ac:dyDescent="0.25">
      <c r="B229" s="81"/>
      <c r="C229" s="45" t="s">
        <v>29</v>
      </c>
      <c r="D229" s="44">
        <v>1</v>
      </c>
      <c r="E229" s="43">
        <v>1.0425354462051709E-4</v>
      </c>
    </row>
    <row r="230" spans="2:5" ht="15" customHeight="1" x14ac:dyDescent="0.25">
      <c r="B230" s="81"/>
      <c r="C230" s="45" t="s">
        <v>63</v>
      </c>
      <c r="D230" s="44">
        <v>18</v>
      </c>
      <c r="E230" s="43">
        <v>1.8765638031693077E-3</v>
      </c>
    </row>
    <row r="231" spans="2:5" ht="15" customHeight="1" x14ac:dyDescent="0.25">
      <c r="B231" s="81"/>
      <c r="C231" s="45" t="s">
        <v>54</v>
      </c>
      <c r="D231" s="44">
        <v>1</v>
      </c>
      <c r="E231" s="43">
        <v>1.0425354462051709E-4</v>
      </c>
    </row>
    <row r="232" spans="2:5" ht="15" customHeight="1" x14ac:dyDescent="0.25">
      <c r="B232" s="81"/>
      <c r="C232" s="45" t="s">
        <v>47</v>
      </c>
      <c r="D232" s="44">
        <v>2</v>
      </c>
      <c r="E232" s="43">
        <v>2.0850708924103419E-4</v>
      </c>
    </row>
    <row r="233" spans="2:5" ht="15" customHeight="1" x14ac:dyDescent="0.25">
      <c r="B233" s="81"/>
      <c r="C233" s="45" t="s">
        <v>50</v>
      </c>
      <c r="D233" s="44">
        <v>1</v>
      </c>
      <c r="E233" s="43">
        <v>1.0425354462051709E-4</v>
      </c>
    </row>
    <row r="234" spans="2:5" ht="15" customHeight="1" x14ac:dyDescent="0.25">
      <c r="B234" s="81"/>
      <c r="C234" s="45" t="s">
        <v>57</v>
      </c>
      <c r="D234" s="44">
        <v>5</v>
      </c>
      <c r="E234" s="43">
        <v>5.2126772310258547E-4</v>
      </c>
    </row>
    <row r="235" spans="2:5" ht="15" customHeight="1" x14ac:dyDescent="0.25">
      <c r="B235" s="81"/>
      <c r="C235" s="45" t="s">
        <v>48</v>
      </c>
      <c r="D235" s="44">
        <v>2</v>
      </c>
      <c r="E235" s="43">
        <v>2.0850708924103419E-4</v>
      </c>
    </row>
    <row r="236" spans="2:5" ht="15" customHeight="1" x14ac:dyDescent="0.25">
      <c r="B236" s="81"/>
      <c r="C236" s="45" t="s">
        <v>33</v>
      </c>
      <c r="D236" s="44">
        <v>2</v>
      </c>
      <c r="E236" s="43">
        <v>2.0850708924103419E-4</v>
      </c>
    </row>
    <row r="237" spans="2:5" ht="15" customHeight="1" x14ac:dyDescent="0.25">
      <c r="B237" s="81"/>
      <c r="C237" s="45" t="s">
        <v>58</v>
      </c>
      <c r="D237" s="44">
        <v>7</v>
      </c>
      <c r="E237" s="43">
        <v>7.2977481234361965E-4</v>
      </c>
    </row>
    <row r="238" spans="2:5" ht="15" customHeight="1" x14ac:dyDescent="0.25">
      <c r="B238" s="81"/>
      <c r="C238" s="45" t="s">
        <v>59</v>
      </c>
      <c r="D238" s="44">
        <v>2</v>
      </c>
      <c r="E238" s="43">
        <v>2.0850708924103419E-4</v>
      </c>
    </row>
    <row r="239" spans="2:5" ht="15" customHeight="1" x14ac:dyDescent="0.25">
      <c r="B239" s="81"/>
      <c r="C239" s="45" t="s">
        <v>34</v>
      </c>
      <c r="D239" s="44">
        <v>1</v>
      </c>
      <c r="E239" s="43">
        <v>1.0425354462051709E-4</v>
      </c>
    </row>
    <row r="240" spans="2:5" ht="15" customHeight="1" x14ac:dyDescent="0.25">
      <c r="B240" s="81"/>
      <c r="C240" s="45" t="s">
        <v>56</v>
      </c>
      <c r="D240" s="44">
        <v>7</v>
      </c>
      <c r="E240" s="43">
        <v>7.2977481234361965E-4</v>
      </c>
    </row>
    <row r="241" spans="2:5" ht="15" customHeight="1" x14ac:dyDescent="0.25">
      <c r="B241" s="81"/>
      <c r="C241" s="45" t="s">
        <v>64</v>
      </c>
      <c r="D241" s="44">
        <v>397</v>
      </c>
      <c r="E241" s="43">
        <v>4.1388657214345287E-2</v>
      </c>
    </row>
    <row r="242" spans="2:5" ht="15" customHeight="1" x14ac:dyDescent="0.25">
      <c r="B242" s="81"/>
      <c r="C242" s="45" t="s">
        <v>46</v>
      </c>
      <c r="D242" s="44">
        <v>2</v>
      </c>
      <c r="E242" s="43">
        <v>2.0850708924103419E-4</v>
      </c>
    </row>
    <row r="243" spans="2:5" ht="15" customHeight="1" x14ac:dyDescent="0.25">
      <c r="B243" s="81"/>
      <c r="C243" s="45" t="s">
        <v>43</v>
      </c>
      <c r="D243" s="44">
        <v>1</v>
      </c>
      <c r="E243" s="43">
        <v>1.0425354462051709E-4</v>
      </c>
    </row>
    <row r="244" spans="2:5" ht="15" customHeight="1" x14ac:dyDescent="0.25">
      <c r="B244" s="81"/>
      <c r="C244" s="45" t="s">
        <v>51</v>
      </c>
      <c r="D244" s="44">
        <v>5</v>
      </c>
      <c r="E244" s="43">
        <v>5.2126772310258547E-4</v>
      </c>
    </row>
    <row r="245" spans="2:5" ht="15" customHeight="1" x14ac:dyDescent="0.25">
      <c r="B245" s="82"/>
      <c r="C245" s="42" t="s">
        <v>22</v>
      </c>
      <c r="D245" s="41">
        <v>484</v>
      </c>
      <c r="E245" s="40">
        <v>5.0458715596330278E-2</v>
      </c>
    </row>
    <row r="246" spans="2:5" ht="15" customHeight="1" x14ac:dyDescent="0.25">
      <c r="B246" s="80" t="s">
        <v>180</v>
      </c>
      <c r="C246" s="45" t="s">
        <v>53</v>
      </c>
      <c r="D246" s="44">
        <v>3</v>
      </c>
      <c r="E246" s="43">
        <v>3.1276063386155128E-4</v>
      </c>
    </row>
    <row r="247" spans="2:5" ht="15" customHeight="1" x14ac:dyDescent="0.25">
      <c r="B247" s="81"/>
      <c r="C247" s="45" t="s">
        <v>55</v>
      </c>
      <c r="D247" s="44">
        <v>7</v>
      </c>
      <c r="E247" s="43">
        <v>7.2977481234361965E-4</v>
      </c>
    </row>
    <row r="248" spans="2:5" ht="15" customHeight="1" x14ac:dyDescent="0.25">
      <c r="B248" s="81"/>
      <c r="C248" s="45" t="s">
        <v>62</v>
      </c>
      <c r="D248" s="44">
        <v>17</v>
      </c>
      <c r="E248" s="43">
        <v>1.7723102585487907E-3</v>
      </c>
    </row>
    <row r="249" spans="2:5" ht="15" customHeight="1" x14ac:dyDescent="0.25">
      <c r="B249" s="81"/>
      <c r="C249" s="45" t="s">
        <v>52</v>
      </c>
      <c r="D249" s="44">
        <v>1</v>
      </c>
      <c r="E249" s="43">
        <v>1.0425354462051709E-4</v>
      </c>
    </row>
    <row r="250" spans="2:5" ht="15" customHeight="1" x14ac:dyDescent="0.25">
      <c r="B250" s="81"/>
      <c r="C250" s="45" t="s">
        <v>61</v>
      </c>
      <c r="D250" s="44">
        <v>10</v>
      </c>
      <c r="E250" s="43">
        <v>1.0425354462051709E-3</v>
      </c>
    </row>
    <row r="251" spans="2:5" ht="15" customHeight="1" x14ac:dyDescent="0.25">
      <c r="B251" s="81"/>
      <c r="C251" s="45" t="s">
        <v>60</v>
      </c>
      <c r="D251" s="44">
        <v>9</v>
      </c>
      <c r="E251" s="43">
        <v>9.3828190158465384E-4</v>
      </c>
    </row>
    <row r="252" spans="2:5" ht="15" customHeight="1" x14ac:dyDescent="0.25">
      <c r="B252" s="81"/>
      <c r="C252" s="45" t="s">
        <v>29</v>
      </c>
      <c r="D252" s="44">
        <v>4</v>
      </c>
      <c r="E252" s="43">
        <v>4.1701417848206837E-4</v>
      </c>
    </row>
    <row r="253" spans="2:5" ht="15" customHeight="1" x14ac:dyDescent="0.25">
      <c r="B253" s="81"/>
      <c r="C253" s="45" t="s">
        <v>63</v>
      </c>
      <c r="D253" s="44">
        <v>14</v>
      </c>
      <c r="E253" s="43">
        <v>1.4595496246872393E-3</v>
      </c>
    </row>
    <row r="254" spans="2:5" ht="15" customHeight="1" x14ac:dyDescent="0.25">
      <c r="B254" s="81"/>
      <c r="C254" s="45" t="s">
        <v>54</v>
      </c>
      <c r="D254" s="44">
        <v>7</v>
      </c>
      <c r="E254" s="43">
        <v>7.2977481234361965E-4</v>
      </c>
    </row>
    <row r="255" spans="2:5" ht="15" customHeight="1" x14ac:dyDescent="0.25">
      <c r="B255" s="81"/>
      <c r="C255" s="45" t="s">
        <v>35</v>
      </c>
      <c r="D255" s="44">
        <v>2</v>
      </c>
      <c r="E255" s="43">
        <v>2.0850708924103419E-4</v>
      </c>
    </row>
    <row r="256" spans="2:5" ht="15" customHeight="1" x14ac:dyDescent="0.25">
      <c r="B256" s="81"/>
      <c r="C256" s="45" t="s">
        <v>47</v>
      </c>
      <c r="D256" s="44">
        <v>2</v>
      </c>
      <c r="E256" s="43">
        <v>2.0850708924103419E-4</v>
      </c>
    </row>
    <row r="257" spans="2:5" ht="15" customHeight="1" x14ac:dyDescent="0.25">
      <c r="B257" s="81"/>
      <c r="C257" s="45" t="s">
        <v>38</v>
      </c>
      <c r="D257" s="44">
        <v>2</v>
      </c>
      <c r="E257" s="43">
        <v>2.0850708924103419E-4</v>
      </c>
    </row>
    <row r="258" spans="2:5" ht="15" customHeight="1" x14ac:dyDescent="0.25">
      <c r="B258" s="81"/>
      <c r="C258" s="45" t="s">
        <v>50</v>
      </c>
      <c r="D258" s="44">
        <v>11</v>
      </c>
      <c r="E258" s="43">
        <v>1.1467889908256881E-3</v>
      </c>
    </row>
    <row r="259" spans="2:5" ht="15" customHeight="1" x14ac:dyDescent="0.25">
      <c r="B259" s="81"/>
      <c r="C259" s="45" t="s">
        <v>32</v>
      </c>
      <c r="D259" s="44">
        <v>1</v>
      </c>
      <c r="E259" s="43">
        <v>1.0425354462051709E-4</v>
      </c>
    </row>
    <row r="260" spans="2:5" ht="15" customHeight="1" x14ac:dyDescent="0.25">
      <c r="B260" s="81"/>
      <c r="C260" s="45" t="s">
        <v>57</v>
      </c>
      <c r="D260" s="44">
        <v>6</v>
      </c>
      <c r="E260" s="43">
        <v>6.2552126772310256E-4</v>
      </c>
    </row>
    <row r="261" spans="2:5" ht="15" customHeight="1" x14ac:dyDescent="0.25">
      <c r="B261" s="81"/>
      <c r="C261" s="45" t="s">
        <v>39</v>
      </c>
      <c r="D261" s="44">
        <v>2</v>
      </c>
      <c r="E261" s="43">
        <v>2.0850708924103419E-4</v>
      </c>
    </row>
    <row r="262" spans="2:5" ht="15" customHeight="1" x14ac:dyDescent="0.25">
      <c r="B262" s="81"/>
      <c r="C262" s="45" t="s">
        <v>49</v>
      </c>
      <c r="D262" s="44">
        <v>1</v>
      </c>
      <c r="E262" s="43">
        <v>1.0425354462051709E-4</v>
      </c>
    </row>
    <row r="263" spans="2:5" ht="15" customHeight="1" x14ac:dyDescent="0.25">
      <c r="B263" s="81"/>
      <c r="C263" s="45" t="s">
        <v>33</v>
      </c>
      <c r="D263" s="44">
        <v>1</v>
      </c>
      <c r="E263" s="43">
        <v>1.0425354462051709E-4</v>
      </c>
    </row>
    <row r="264" spans="2:5" ht="15" customHeight="1" x14ac:dyDescent="0.25">
      <c r="B264" s="81"/>
      <c r="C264" s="45" t="s">
        <v>44</v>
      </c>
      <c r="D264" s="44">
        <v>5</v>
      </c>
      <c r="E264" s="43">
        <v>5.2126772310258547E-4</v>
      </c>
    </row>
    <row r="265" spans="2:5" ht="15" customHeight="1" x14ac:dyDescent="0.25">
      <c r="B265" s="81"/>
      <c r="C265" s="45" t="s">
        <v>30</v>
      </c>
      <c r="D265" s="44">
        <v>1</v>
      </c>
      <c r="E265" s="43">
        <v>1.0425354462051709E-4</v>
      </c>
    </row>
    <row r="266" spans="2:5" ht="15" customHeight="1" x14ac:dyDescent="0.25">
      <c r="B266" s="81"/>
      <c r="C266" s="45" t="s">
        <v>42</v>
      </c>
      <c r="D266" s="44">
        <v>3</v>
      </c>
      <c r="E266" s="43">
        <v>3.1276063386155128E-4</v>
      </c>
    </row>
    <row r="267" spans="2:5" ht="15" customHeight="1" x14ac:dyDescent="0.25">
      <c r="B267" s="81"/>
      <c r="C267" s="45" t="s">
        <v>58</v>
      </c>
      <c r="D267" s="44">
        <v>21</v>
      </c>
      <c r="E267" s="43">
        <v>2.1893244370308589E-3</v>
      </c>
    </row>
    <row r="268" spans="2:5" ht="15" customHeight="1" x14ac:dyDescent="0.25">
      <c r="B268" s="81"/>
      <c r="C268" s="45" t="s">
        <v>59</v>
      </c>
      <c r="D268" s="44">
        <v>6</v>
      </c>
      <c r="E268" s="43">
        <v>6.2552126772310256E-4</v>
      </c>
    </row>
    <row r="269" spans="2:5" ht="15" customHeight="1" x14ac:dyDescent="0.25">
      <c r="B269" s="81"/>
      <c r="C269" s="45" t="s">
        <v>31</v>
      </c>
      <c r="D269" s="44">
        <v>1</v>
      </c>
      <c r="E269" s="43">
        <v>1.0425354462051709E-4</v>
      </c>
    </row>
    <row r="270" spans="2:5" ht="15" customHeight="1" x14ac:dyDescent="0.25">
      <c r="B270" s="81"/>
      <c r="C270" s="45" t="s">
        <v>45</v>
      </c>
      <c r="D270" s="44">
        <v>3</v>
      </c>
      <c r="E270" s="43">
        <v>3.1276063386155128E-4</v>
      </c>
    </row>
    <row r="271" spans="2:5" ht="15" customHeight="1" x14ac:dyDescent="0.25">
      <c r="B271" s="81"/>
      <c r="C271" s="45" t="s">
        <v>56</v>
      </c>
      <c r="D271" s="44">
        <v>5</v>
      </c>
      <c r="E271" s="43">
        <v>5.2126772310258547E-4</v>
      </c>
    </row>
    <row r="272" spans="2:5" ht="15" customHeight="1" x14ac:dyDescent="0.25">
      <c r="B272" s="81"/>
      <c r="C272" s="45" t="s">
        <v>64</v>
      </c>
      <c r="D272" s="44">
        <v>513</v>
      </c>
      <c r="E272" s="43">
        <v>5.3482068390325273E-2</v>
      </c>
    </row>
    <row r="273" spans="2:5" ht="15" customHeight="1" x14ac:dyDescent="0.25">
      <c r="B273" s="81"/>
      <c r="C273" s="45" t="s">
        <v>46</v>
      </c>
      <c r="D273" s="44">
        <v>4</v>
      </c>
      <c r="E273" s="43">
        <v>4.1701417848206837E-4</v>
      </c>
    </row>
    <row r="274" spans="2:5" ht="15" customHeight="1" x14ac:dyDescent="0.25">
      <c r="B274" s="81"/>
      <c r="C274" s="45" t="s">
        <v>43</v>
      </c>
      <c r="D274" s="44">
        <v>1</v>
      </c>
      <c r="E274" s="43">
        <v>1.0425354462051709E-4</v>
      </c>
    </row>
    <row r="275" spans="2:5" ht="15" customHeight="1" x14ac:dyDescent="0.25">
      <c r="B275" s="81"/>
      <c r="C275" s="45" t="s">
        <v>40</v>
      </c>
      <c r="D275" s="44">
        <v>1</v>
      </c>
      <c r="E275" s="43">
        <v>1.0425354462051709E-4</v>
      </c>
    </row>
    <row r="276" spans="2:5" ht="15" customHeight="1" x14ac:dyDescent="0.25">
      <c r="B276" s="81"/>
      <c r="C276" s="45" t="s">
        <v>51</v>
      </c>
      <c r="D276" s="44">
        <v>6</v>
      </c>
      <c r="E276" s="43">
        <v>6.2552126772310256E-4</v>
      </c>
    </row>
    <row r="277" spans="2:5" ht="15" customHeight="1" x14ac:dyDescent="0.25">
      <c r="B277" s="81"/>
      <c r="C277" s="45" t="s">
        <v>24</v>
      </c>
      <c r="D277" s="44">
        <v>1</v>
      </c>
      <c r="E277" s="43">
        <v>1.0425354462051709E-4</v>
      </c>
    </row>
    <row r="278" spans="2:5" ht="15" customHeight="1" x14ac:dyDescent="0.25">
      <c r="B278" s="82"/>
      <c r="C278" s="42" t="s">
        <v>22</v>
      </c>
      <c r="D278" s="41">
        <v>671</v>
      </c>
      <c r="E278" s="40">
        <v>6.9954128440366969E-2</v>
      </c>
    </row>
    <row r="279" spans="2:5" ht="15" customHeight="1" x14ac:dyDescent="0.25">
      <c r="B279" s="80" t="s">
        <v>179</v>
      </c>
      <c r="C279" s="45" t="s">
        <v>53</v>
      </c>
      <c r="D279" s="44">
        <v>5</v>
      </c>
      <c r="E279" s="43">
        <v>5.2126772310258547E-4</v>
      </c>
    </row>
    <row r="280" spans="2:5" ht="15" customHeight="1" x14ac:dyDescent="0.25">
      <c r="B280" s="81"/>
      <c r="C280" s="45" t="s">
        <v>41</v>
      </c>
      <c r="D280" s="44">
        <v>3</v>
      </c>
      <c r="E280" s="43">
        <v>3.1276063386155128E-4</v>
      </c>
    </row>
    <row r="281" spans="2:5" ht="15" customHeight="1" x14ac:dyDescent="0.25">
      <c r="B281" s="81"/>
      <c r="C281" s="45" t="s">
        <v>55</v>
      </c>
      <c r="D281" s="44">
        <v>14</v>
      </c>
      <c r="E281" s="43">
        <v>1.4595496246872393E-3</v>
      </c>
    </row>
    <row r="282" spans="2:5" ht="15" customHeight="1" x14ac:dyDescent="0.25">
      <c r="B282" s="81"/>
      <c r="C282" s="45" t="s">
        <v>62</v>
      </c>
      <c r="D282" s="44">
        <v>62</v>
      </c>
      <c r="E282" s="43">
        <v>6.46371976647206E-3</v>
      </c>
    </row>
    <row r="283" spans="2:5" ht="15" customHeight="1" x14ac:dyDescent="0.25">
      <c r="B283" s="81"/>
      <c r="C283" s="45" t="s">
        <v>52</v>
      </c>
      <c r="D283" s="44">
        <v>7</v>
      </c>
      <c r="E283" s="43">
        <v>7.2977481234361965E-4</v>
      </c>
    </row>
    <row r="284" spans="2:5" ht="15" customHeight="1" x14ac:dyDescent="0.25">
      <c r="B284" s="81"/>
      <c r="C284" s="45" t="s">
        <v>28</v>
      </c>
      <c r="D284" s="44">
        <v>1</v>
      </c>
      <c r="E284" s="43">
        <v>1.0425354462051709E-4</v>
      </c>
    </row>
    <row r="285" spans="2:5" ht="15" customHeight="1" x14ac:dyDescent="0.25">
      <c r="B285" s="81"/>
      <c r="C285" s="45" t="s">
        <v>61</v>
      </c>
      <c r="D285" s="44">
        <v>25</v>
      </c>
      <c r="E285" s="43">
        <v>2.6063386155129272E-3</v>
      </c>
    </row>
    <row r="286" spans="2:5" ht="15" customHeight="1" x14ac:dyDescent="0.25">
      <c r="B286" s="81"/>
      <c r="C286" s="45" t="s">
        <v>60</v>
      </c>
      <c r="D286" s="44">
        <v>21</v>
      </c>
      <c r="E286" s="43">
        <v>2.1893244370308589E-3</v>
      </c>
    </row>
    <row r="287" spans="2:5" ht="15" customHeight="1" x14ac:dyDescent="0.25">
      <c r="B287" s="81"/>
      <c r="C287" s="45" t="s">
        <v>29</v>
      </c>
      <c r="D287" s="44">
        <v>3</v>
      </c>
      <c r="E287" s="43">
        <v>3.1276063386155128E-4</v>
      </c>
    </row>
    <row r="288" spans="2:5" ht="15" customHeight="1" x14ac:dyDescent="0.25">
      <c r="B288" s="81"/>
      <c r="C288" s="45" t="s">
        <v>63</v>
      </c>
      <c r="D288" s="44">
        <v>67</v>
      </c>
      <c r="E288" s="43">
        <v>6.9849874895746454E-3</v>
      </c>
    </row>
    <row r="289" spans="2:5" ht="15" customHeight="1" x14ac:dyDescent="0.25">
      <c r="B289" s="81"/>
      <c r="C289" s="45" t="s">
        <v>54</v>
      </c>
      <c r="D289" s="44">
        <v>15</v>
      </c>
      <c r="E289" s="43">
        <v>1.5638031693077565E-3</v>
      </c>
    </row>
    <row r="290" spans="2:5" ht="15" customHeight="1" x14ac:dyDescent="0.25">
      <c r="B290" s="81"/>
      <c r="C290" s="45" t="s">
        <v>35</v>
      </c>
      <c r="D290" s="44">
        <v>1</v>
      </c>
      <c r="E290" s="43">
        <v>1.0425354462051709E-4</v>
      </c>
    </row>
    <row r="291" spans="2:5" ht="15" customHeight="1" x14ac:dyDescent="0.25">
      <c r="B291" s="81"/>
      <c r="C291" s="45" t="s">
        <v>47</v>
      </c>
      <c r="D291" s="44">
        <v>7</v>
      </c>
      <c r="E291" s="43">
        <v>7.2977481234361965E-4</v>
      </c>
    </row>
    <row r="292" spans="2:5" ht="15" customHeight="1" x14ac:dyDescent="0.25">
      <c r="B292" s="81"/>
      <c r="C292" s="45" t="s">
        <v>38</v>
      </c>
      <c r="D292" s="44">
        <v>1</v>
      </c>
      <c r="E292" s="43">
        <v>1.0425354462051709E-4</v>
      </c>
    </row>
    <row r="293" spans="2:5" ht="15" customHeight="1" x14ac:dyDescent="0.25">
      <c r="B293" s="81"/>
      <c r="C293" s="45" t="s">
        <v>50</v>
      </c>
      <c r="D293" s="44">
        <v>12</v>
      </c>
      <c r="E293" s="43">
        <v>1.2510425354462051E-3</v>
      </c>
    </row>
    <row r="294" spans="2:5" ht="15" customHeight="1" x14ac:dyDescent="0.25">
      <c r="B294" s="81"/>
      <c r="C294" s="45" t="s">
        <v>32</v>
      </c>
      <c r="D294" s="44">
        <v>1</v>
      </c>
      <c r="E294" s="43">
        <v>1.0425354462051709E-4</v>
      </c>
    </row>
    <row r="295" spans="2:5" ht="15" customHeight="1" x14ac:dyDescent="0.25">
      <c r="B295" s="81"/>
      <c r="C295" s="45" t="s">
        <v>57</v>
      </c>
      <c r="D295" s="44">
        <v>16</v>
      </c>
      <c r="E295" s="43">
        <v>1.6680567139282735E-3</v>
      </c>
    </row>
    <row r="296" spans="2:5" ht="15" customHeight="1" x14ac:dyDescent="0.25">
      <c r="B296" s="81"/>
      <c r="C296" s="45" t="s">
        <v>48</v>
      </c>
      <c r="D296" s="44">
        <v>13</v>
      </c>
      <c r="E296" s="43">
        <v>1.3552960800667223E-3</v>
      </c>
    </row>
    <row r="297" spans="2:5" ht="15" customHeight="1" x14ac:dyDescent="0.25">
      <c r="B297" s="81"/>
      <c r="C297" s="45" t="s">
        <v>39</v>
      </c>
      <c r="D297" s="44">
        <v>5</v>
      </c>
      <c r="E297" s="43">
        <v>5.2126772310258547E-4</v>
      </c>
    </row>
    <row r="298" spans="2:5" ht="15" customHeight="1" x14ac:dyDescent="0.25">
      <c r="B298" s="81"/>
      <c r="C298" s="45" t="s">
        <v>49</v>
      </c>
      <c r="D298" s="44">
        <v>8</v>
      </c>
      <c r="E298" s="43">
        <v>8.3402835696413675E-4</v>
      </c>
    </row>
    <row r="299" spans="2:5" ht="15" customHeight="1" x14ac:dyDescent="0.25">
      <c r="B299" s="81"/>
      <c r="C299" s="45" t="s">
        <v>33</v>
      </c>
      <c r="D299" s="44">
        <v>4</v>
      </c>
      <c r="E299" s="43">
        <v>4.1701417848206837E-4</v>
      </c>
    </row>
    <row r="300" spans="2:5" ht="15" customHeight="1" x14ac:dyDescent="0.25">
      <c r="B300" s="81"/>
      <c r="C300" s="45" t="s">
        <v>44</v>
      </c>
      <c r="D300" s="44">
        <v>2</v>
      </c>
      <c r="E300" s="43">
        <v>2.0850708924103419E-4</v>
      </c>
    </row>
    <row r="301" spans="2:5" ht="15" customHeight="1" x14ac:dyDescent="0.25">
      <c r="B301" s="81"/>
      <c r="C301" s="45" t="s">
        <v>30</v>
      </c>
      <c r="D301" s="44">
        <v>1</v>
      </c>
      <c r="E301" s="43">
        <v>1.0425354462051709E-4</v>
      </c>
    </row>
    <row r="302" spans="2:5" ht="15" customHeight="1" x14ac:dyDescent="0.25">
      <c r="B302" s="81"/>
      <c r="C302" s="45" t="s">
        <v>42</v>
      </c>
      <c r="D302" s="44">
        <v>12</v>
      </c>
      <c r="E302" s="43">
        <v>1.2510425354462051E-3</v>
      </c>
    </row>
    <row r="303" spans="2:5" ht="15" customHeight="1" x14ac:dyDescent="0.25">
      <c r="B303" s="81"/>
      <c r="C303" s="45" t="s">
        <v>58</v>
      </c>
      <c r="D303" s="44">
        <v>23</v>
      </c>
      <c r="E303" s="43">
        <v>2.3978315262718933E-3</v>
      </c>
    </row>
    <row r="304" spans="2:5" ht="15" customHeight="1" x14ac:dyDescent="0.25">
      <c r="B304" s="81"/>
      <c r="C304" s="45" t="s">
        <v>59</v>
      </c>
      <c r="D304" s="44">
        <v>15</v>
      </c>
      <c r="E304" s="43">
        <v>1.5638031693077565E-3</v>
      </c>
    </row>
    <row r="305" spans="2:5" ht="15" customHeight="1" x14ac:dyDescent="0.25">
      <c r="B305" s="81"/>
      <c r="C305" s="45" t="s">
        <v>34</v>
      </c>
      <c r="D305" s="44">
        <v>2</v>
      </c>
      <c r="E305" s="43">
        <v>2.0850708924103419E-4</v>
      </c>
    </row>
    <row r="306" spans="2:5" ht="15" customHeight="1" x14ac:dyDescent="0.25">
      <c r="B306" s="81"/>
      <c r="C306" s="45" t="s">
        <v>45</v>
      </c>
      <c r="D306" s="44">
        <v>5</v>
      </c>
      <c r="E306" s="43">
        <v>5.2126772310258547E-4</v>
      </c>
    </row>
    <row r="307" spans="2:5" ht="15" customHeight="1" x14ac:dyDescent="0.25">
      <c r="B307" s="81"/>
      <c r="C307" s="45" t="s">
        <v>56</v>
      </c>
      <c r="D307" s="44">
        <v>13</v>
      </c>
      <c r="E307" s="43">
        <v>1.3552960800667223E-3</v>
      </c>
    </row>
    <row r="308" spans="2:5" ht="15" customHeight="1" x14ac:dyDescent="0.25">
      <c r="B308" s="81"/>
      <c r="C308" s="45" t="s">
        <v>64</v>
      </c>
      <c r="D308" s="44">
        <v>1893</v>
      </c>
      <c r="E308" s="43">
        <v>0.19735195996663887</v>
      </c>
    </row>
    <row r="309" spans="2:5" ht="15" customHeight="1" x14ac:dyDescent="0.25">
      <c r="B309" s="81"/>
      <c r="C309" s="45" t="s">
        <v>46</v>
      </c>
      <c r="D309" s="44">
        <v>5</v>
      </c>
      <c r="E309" s="43">
        <v>5.2126772310258547E-4</v>
      </c>
    </row>
    <row r="310" spans="2:5" ht="15" customHeight="1" x14ac:dyDescent="0.25">
      <c r="B310" s="81"/>
      <c r="C310" s="45" t="s">
        <v>43</v>
      </c>
      <c r="D310" s="44">
        <v>3</v>
      </c>
      <c r="E310" s="43">
        <v>3.1276063386155128E-4</v>
      </c>
    </row>
    <row r="311" spans="2:5" ht="15" customHeight="1" x14ac:dyDescent="0.25">
      <c r="B311" s="81"/>
      <c r="C311" s="45" t="s">
        <v>40</v>
      </c>
      <c r="D311" s="44">
        <v>4</v>
      </c>
      <c r="E311" s="43">
        <v>4.1701417848206837E-4</v>
      </c>
    </row>
    <row r="312" spans="2:5" ht="15" customHeight="1" x14ac:dyDescent="0.25">
      <c r="B312" s="81"/>
      <c r="C312" s="45" t="s">
        <v>51</v>
      </c>
      <c r="D312" s="44">
        <v>12</v>
      </c>
      <c r="E312" s="43">
        <v>1.2510425354462051E-3</v>
      </c>
    </row>
    <row r="313" spans="2:5" ht="15" customHeight="1" x14ac:dyDescent="0.25">
      <c r="B313" s="81"/>
      <c r="C313" s="45" t="s">
        <v>24</v>
      </c>
      <c r="D313" s="44">
        <v>2</v>
      </c>
      <c r="E313" s="43">
        <v>2.0850708924103419E-4</v>
      </c>
    </row>
    <row r="314" spans="2:5" ht="15" customHeight="1" x14ac:dyDescent="0.25">
      <c r="B314" s="82"/>
      <c r="C314" s="42" t="s">
        <v>22</v>
      </c>
      <c r="D314" s="41">
        <v>2283</v>
      </c>
      <c r="E314" s="40">
        <v>0.23801084236864054</v>
      </c>
    </row>
    <row r="315" spans="2:5" ht="15" customHeight="1" x14ac:dyDescent="0.25">
      <c r="B315" s="80" t="s">
        <v>178</v>
      </c>
      <c r="C315" s="45" t="s">
        <v>52</v>
      </c>
      <c r="D315" s="44">
        <v>1</v>
      </c>
      <c r="E315" s="43">
        <v>1.0425354462051709E-4</v>
      </c>
    </row>
    <row r="316" spans="2:5" ht="15" customHeight="1" x14ac:dyDescent="0.25">
      <c r="B316" s="81"/>
      <c r="C316" s="45" t="s">
        <v>60</v>
      </c>
      <c r="D316" s="44">
        <v>1</v>
      </c>
      <c r="E316" s="43">
        <v>1.0425354462051709E-4</v>
      </c>
    </row>
    <row r="317" spans="2:5" ht="15" customHeight="1" x14ac:dyDescent="0.25">
      <c r="B317" s="81"/>
      <c r="C317" s="45" t="s">
        <v>63</v>
      </c>
      <c r="D317" s="44">
        <v>3</v>
      </c>
      <c r="E317" s="43">
        <v>3.1276063386155128E-4</v>
      </c>
    </row>
    <row r="318" spans="2:5" ht="15" customHeight="1" x14ac:dyDescent="0.25">
      <c r="B318" s="81"/>
      <c r="C318" s="45" t="s">
        <v>49</v>
      </c>
      <c r="D318" s="44">
        <v>1</v>
      </c>
      <c r="E318" s="43">
        <v>1.0425354462051709E-4</v>
      </c>
    </row>
    <row r="319" spans="2:5" ht="15" customHeight="1" x14ac:dyDescent="0.25">
      <c r="B319" s="81"/>
      <c r="C319" s="45" t="s">
        <v>64</v>
      </c>
      <c r="D319" s="44">
        <v>47</v>
      </c>
      <c r="E319" s="43">
        <v>4.8999165971643039E-3</v>
      </c>
    </row>
    <row r="320" spans="2:5" ht="15" customHeight="1" x14ac:dyDescent="0.25">
      <c r="B320" s="82"/>
      <c r="C320" s="42" t="s">
        <v>22</v>
      </c>
      <c r="D320" s="41">
        <v>53</v>
      </c>
      <c r="E320" s="40">
        <v>5.5254378648874058E-3</v>
      </c>
    </row>
    <row r="321" spans="2:5" ht="15" customHeight="1" x14ac:dyDescent="0.25">
      <c r="B321" s="80" t="s">
        <v>177</v>
      </c>
      <c r="C321" s="45" t="s">
        <v>62</v>
      </c>
      <c r="D321" s="44">
        <v>1</v>
      </c>
      <c r="E321" s="43">
        <v>1.0425354462051709E-4</v>
      </c>
    </row>
    <row r="322" spans="2:5" ht="15" customHeight="1" x14ac:dyDescent="0.25">
      <c r="B322" s="81"/>
      <c r="C322" s="45" t="s">
        <v>63</v>
      </c>
      <c r="D322" s="44">
        <v>1</v>
      </c>
      <c r="E322" s="43">
        <v>1.0425354462051709E-4</v>
      </c>
    </row>
    <row r="323" spans="2:5" ht="15" customHeight="1" x14ac:dyDescent="0.25">
      <c r="B323" s="81"/>
      <c r="C323" s="45" t="s">
        <v>35</v>
      </c>
      <c r="D323" s="44">
        <v>1</v>
      </c>
      <c r="E323" s="43">
        <v>1.0425354462051709E-4</v>
      </c>
    </row>
    <row r="324" spans="2:5" ht="15" customHeight="1" x14ac:dyDescent="0.25">
      <c r="B324" s="81"/>
      <c r="C324" s="45" t="s">
        <v>42</v>
      </c>
      <c r="D324" s="44">
        <v>1</v>
      </c>
      <c r="E324" s="43">
        <v>1.0425354462051709E-4</v>
      </c>
    </row>
    <row r="325" spans="2:5" ht="15" customHeight="1" x14ac:dyDescent="0.25">
      <c r="B325" s="81"/>
      <c r="C325" s="45" t="s">
        <v>58</v>
      </c>
      <c r="D325" s="44">
        <v>1</v>
      </c>
      <c r="E325" s="43">
        <v>1.0425354462051709E-4</v>
      </c>
    </row>
    <row r="326" spans="2:5" ht="15" customHeight="1" x14ac:dyDescent="0.25">
      <c r="B326" s="81"/>
      <c r="C326" s="45" t="s">
        <v>56</v>
      </c>
      <c r="D326" s="44">
        <v>1</v>
      </c>
      <c r="E326" s="43">
        <v>1.0425354462051709E-4</v>
      </c>
    </row>
    <row r="327" spans="2:5" ht="15" customHeight="1" x14ac:dyDescent="0.25">
      <c r="B327" s="81"/>
      <c r="C327" s="45" t="s">
        <v>64</v>
      </c>
      <c r="D327" s="44">
        <v>26</v>
      </c>
      <c r="E327" s="43">
        <v>2.7105921601334446E-3</v>
      </c>
    </row>
    <row r="328" spans="2:5" ht="15" customHeight="1" x14ac:dyDescent="0.25">
      <c r="B328" s="82"/>
      <c r="C328" s="42" t="s">
        <v>22</v>
      </c>
      <c r="D328" s="41">
        <v>32</v>
      </c>
      <c r="E328" s="40">
        <v>3.336113427856547E-3</v>
      </c>
    </row>
    <row r="329" spans="2:5" ht="15" customHeight="1" x14ac:dyDescent="0.25">
      <c r="B329" s="80" t="s">
        <v>176</v>
      </c>
      <c r="C329" s="45" t="s">
        <v>62</v>
      </c>
      <c r="D329" s="44">
        <v>2</v>
      </c>
      <c r="E329" s="43">
        <v>2.0850708924103419E-4</v>
      </c>
    </row>
    <row r="330" spans="2:5" ht="15" customHeight="1" x14ac:dyDescent="0.25">
      <c r="B330" s="81"/>
      <c r="C330" s="45" t="s">
        <v>61</v>
      </c>
      <c r="D330" s="44">
        <v>1</v>
      </c>
      <c r="E330" s="43">
        <v>1.0425354462051709E-4</v>
      </c>
    </row>
    <row r="331" spans="2:5" ht="15" customHeight="1" x14ac:dyDescent="0.25">
      <c r="B331" s="81"/>
      <c r="C331" s="45" t="s">
        <v>56</v>
      </c>
      <c r="D331" s="44">
        <v>1</v>
      </c>
      <c r="E331" s="43">
        <v>1.0425354462051709E-4</v>
      </c>
    </row>
    <row r="332" spans="2:5" ht="15" customHeight="1" x14ac:dyDescent="0.25">
      <c r="B332" s="81"/>
      <c r="C332" s="45" t="s">
        <v>64</v>
      </c>
      <c r="D332" s="44">
        <v>21</v>
      </c>
      <c r="E332" s="43">
        <v>2.1893244370308589E-3</v>
      </c>
    </row>
    <row r="333" spans="2:5" ht="15" customHeight="1" x14ac:dyDescent="0.25">
      <c r="B333" s="82"/>
      <c r="C333" s="42" t="s">
        <v>22</v>
      </c>
      <c r="D333" s="41">
        <v>25</v>
      </c>
      <c r="E333" s="40">
        <v>2.6063386155129272E-3</v>
      </c>
    </row>
    <row r="334" spans="2:5" ht="15" customHeight="1" x14ac:dyDescent="0.25">
      <c r="B334" s="80" t="s">
        <v>175</v>
      </c>
      <c r="C334" s="45" t="s">
        <v>57</v>
      </c>
      <c r="D334" s="44">
        <v>1</v>
      </c>
      <c r="E334" s="43">
        <v>1.0425354462051709E-4</v>
      </c>
    </row>
    <row r="335" spans="2:5" ht="15" customHeight="1" x14ac:dyDescent="0.25">
      <c r="B335" s="81"/>
      <c r="C335" s="45" t="s">
        <v>48</v>
      </c>
      <c r="D335" s="44">
        <v>1</v>
      </c>
      <c r="E335" s="43">
        <v>1.0425354462051709E-4</v>
      </c>
    </row>
    <row r="336" spans="2:5" ht="15" customHeight="1" x14ac:dyDescent="0.25">
      <c r="B336" s="81"/>
      <c r="C336" s="45" t="s">
        <v>58</v>
      </c>
      <c r="D336" s="44">
        <v>1</v>
      </c>
      <c r="E336" s="43">
        <v>1.0425354462051709E-4</v>
      </c>
    </row>
    <row r="337" spans="2:5" ht="15" customHeight="1" x14ac:dyDescent="0.25">
      <c r="B337" s="81"/>
      <c r="C337" s="45" t="s">
        <v>64</v>
      </c>
      <c r="D337" s="44">
        <v>6</v>
      </c>
      <c r="E337" s="43">
        <v>6.2552126772310256E-4</v>
      </c>
    </row>
    <row r="338" spans="2:5" ht="15" customHeight="1" x14ac:dyDescent="0.25">
      <c r="B338" s="82"/>
      <c r="C338" s="42" t="s">
        <v>22</v>
      </c>
      <c r="D338" s="41">
        <v>9</v>
      </c>
      <c r="E338" s="40">
        <v>9.3828190158465384E-4</v>
      </c>
    </row>
    <row r="339" spans="2:5" ht="15" customHeight="1" x14ac:dyDescent="0.25">
      <c r="B339" s="80" t="s">
        <v>174</v>
      </c>
      <c r="C339" s="45" t="s">
        <v>41</v>
      </c>
      <c r="D339" s="44">
        <v>3</v>
      </c>
      <c r="E339" s="43">
        <v>3.1276063386155128E-4</v>
      </c>
    </row>
    <row r="340" spans="2:5" ht="15" customHeight="1" x14ac:dyDescent="0.25">
      <c r="B340" s="81"/>
      <c r="C340" s="45" t="s">
        <v>55</v>
      </c>
      <c r="D340" s="44">
        <v>1</v>
      </c>
      <c r="E340" s="43">
        <v>1.0425354462051709E-4</v>
      </c>
    </row>
    <row r="341" spans="2:5" ht="15" customHeight="1" x14ac:dyDescent="0.25">
      <c r="B341" s="81"/>
      <c r="C341" s="45" t="s">
        <v>62</v>
      </c>
      <c r="D341" s="44">
        <v>2</v>
      </c>
      <c r="E341" s="43">
        <v>2.0850708924103419E-4</v>
      </c>
    </row>
    <row r="342" spans="2:5" ht="15" customHeight="1" x14ac:dyDescent="0.25">
      <c r="B342" s="81"/>
      <c r="C342" s="45" t="s">
        <v>61</v>
      </c>
      <c r="D342" s="44">
        <v>4</v>
      </c>
      <c r="E342" s="43">
        <v>4.1701417848206837E-4</v>
      </c>
    </row>
    <row r="343" spans="2:5" ht="15" customHeight="1" x14ac:dyDescent="0.25">
      <c r="B343" s="81"/>
      <c r="C343" s="45" t="s">
        <v>60</v>
      </c>
      <c r="D343" s="44">
        <v>7</v>
      </c>
      <c r="E343" s="43">
        <v>7.2977481234361965E-4</v>
      </c>
    </row>
    <row r="344" spans="2:5" ht="15" customHeight="1" x14ac:dyDescent="0.25">
      <c r="B344" s="81"/>
      <c r="C344" s="45" t="s">
        <v>63</v>
      </c>
      <c r="D344" s="44">
        <v>10</v>
      </c>
      <c r="E344" s="43">
        <v>1.0425354462051709E-3</v>
      </c>
    </row>
    <row r="345" spans="2:5" ht="15" customHeight="1" x14ac:dyDescent="0.25">
      <c r="B345" s="81"/>
      <c r="C345" s="45" t="s">
        <v>54</v>
      </c>
      <c r="D345" s="44">
        <v>1</v>
      </c>
      <c r="E345" s="43">
        <v>1.0425354462051709E-4</v>
      </c>
    </row>
    <row r="346" spans="2:5" ht="15" customHeight="1" x14ac:dyDescent="0.25">
      <c r="B346" s="81"/>
      <c r="C346" s="45" t="s">
        <v>47</v>
      </c>
      <c r="D346" s="44">
        <v>2</v>
      </c>
      <c r="E346" s="43">
        <v>2.0850708924103419E-4</v>
      </c>
    </row>
    <row r="347" spans="2:5" ht="15" customHeight="1" x14ac:dyDescent="0.25">
      <c r="B347" s="81"/>
      <c r="C347" s="45" t="s">
        <v>50</v>
      </c>
      <c r="D347" s="44">
        <v>1</v>
      </c>
      <c r="E347" s="43">
        <v>1.0425354462051709E-4</v>
      </c>
    </row>
    <row r="348" spans="2:5" ht="15" customHeight="1" x14ac:dyDescent="0.25">
      <c r="B348" s="81"/>
      <c r="C348" s="45" t="s">
        <v>32</v>
      </c>
      <c r="D348" s="44">
        <v>1</v>
      </c>
      <c r="E348" s="43">
        <v>1.0425354462051709E-4</v>
      </c>
    </row>
    <row r="349" spans="2:5" ht="15" customHeight="1" x14ac:dyDescent="0.25">
      <c r="B349" s="81"/>
      <c r="C349" s="45" t="s">
        <v>27</v>
      </c>
      <c r="D349" s="44">
        <v>1</v>
      </c>
      <c r="E349" s="43">
        <v>1.0425354462051709E-4</v>
      </c>
    </row>
    <row r="350" spans="2:5" ht="15" customHeight="1" x14ac:dyDescent="0.25">
      <c r="B350" s="81"/>
      <c r="C350" s="45" t="s">
        <v>57</v>
      </c>
      <c r="D350" s="44">
        <v>3</v>
      </c>
      <c r="E350" s="43">
        <v>3.1276063386155128E-4</v>
      </c>
    </row>
    <row r="351" spans="2:5" ht="15" customHeight="1" x14ac:dyDescent="0.25">
      <c r="B351" s="81"/>
      <c r="C351" s="45" t="s">
        <v>48</v>
      </c>
      <c r="D351" s="44">
        <v>2</v>
      </c>
      <c r="E351" s="43">
        <v>2.0850708924103419E-4</v>
      </c>
    </row>
    <row r="352" spans="2:5" ht="15" customHeight="1" x14ac:dyDescent="0.25">
      <c r="B352" s="81"/>
      <c r="C352" s="45" t="s">
        <v>33</v>
      </c>
      <c r="D352" s="44">
        <v>1</v>
      </c>
      <c r="E352" s="43">
        <v>1.0425354462051709E-4</v>
      </c>
    </row>
    <row r="353" spans="2:5" ht="15" customHeight="1" x14ac:dyDescent="0.25">
      <c r="B353" s="81"/>
      <c r="C353" s="45" t="s">
        <v>42</v>
      </c>
      <c r="D353" s="44">
        <v>1</v>
      </c>
      <c r="E353" s="43">
        <v>1.0425354462051709E-4</v>
      </c>
    </row>
    <row r="354" spans="2:5" ht="15" customHeight="1" x14ac:dyDescent="0.25">
      <c r="B354" s="81"/>
      <c r="C354" s="45" t="s">
        <v>58</v>
      </c>
      <c r="D354" s="44">
        <v>4</v>
      </c>
      <c r="E354" s="43">
        <v>4.1701417848206837E-4</v>
      </c>
    </row>
    <row r="355" spans="2:5" ht="15" customHeight="1" x14ac:dyDescent="0.25">
      <c r="B355" s="81"/>
      <c r="C355" s="45" t="s">
        <v>31</v>
      </c>
      <c r="D355" s="44">
        <v>1</v>
      </c>
      <c r="E355" s="43">
        <v>1.0425354462051709E-4</v>
      </c>
    </row>
    <row r="356" spans="2:5" ht="15" customHeight="1" x14ac:dyDescent="0.25">
      <c r="B356" s="81"/>
      <c r="C356" s="45" t="s">
        <v>56</v>
      </c>
      <c r="D356" s="44">
        <v>1</v>
      </c>
      <c r="E356" s="43">
        <v>1.0425354462051709E-4</v>
      </c>
    </row>
    <row r="357" spans="2:5" ht="15" customHeight="1" x14ac:dyDescent="0.25">
      <c r="B357" s="81"/>
      <c r="C357" s="45" t="s">
        <v>64</v>
      </c>
      <c r="D357" s="44">
        <v>222</v>
      </c>
      <c r="E357" s="43">
        <v>2.3144286905754794E-2</v>
      </c>
    </row>
    <row r="358" spans="2:5" ht="15" customHeight="1" x14ac:dyDescent="0.25">
      <c r="B358" s="81"/>
      <c r="C358" s="45" t="s">
        <v>46</v>
      </c>
      <c r="D358" s="44">
        <v>3</v>
      </c>
      <c r="E358" s="43">
        <v>3.1276063386155128E-4</v>
      </c>
    </row>
    <row r="359" spans="2:5" ht="15" customHeight="1" x14ac:dyDescent="0.25">
      <c r="B359" s="81"/>
      <c r="C359" s="45" t="s">
        <v>51</v>
      </c>
      <c r="D359" s="44">
        <v>2</v>
      </c>
      <c r="E359" s="43">
        <v>2.0850708924103419E-4</v>
      </c>
    </row>
    <row r="360" spans="2:5" ht="15" customHeight="1" x14ac:dyDescent="0.25">
      <c r="B360" s="82"/>
      <c r="C360" s="42" t="s">
        <v>22</v>
      </c>
      <c r="D360" s="41">
        <v>273</v>
      </c>
      <c r="E360" s="40">
        <v>2.8461217681401169E-2</v>
      </c>
    </row>
    <row r="361" spans="2:5" ht="15" customHeight="1" x14ac:dyDescent="0.25">
      <c r="B361" s="80" t="s">
        <v>173</v>
      </c>
      <c r="C361" s="45" t="s">
        <v>53</v>
      </c>
      <c r="D361" s="44">
        <v>1</v>
      </c>
      <c r="E361" s="43">
        <v>1.0425354462051709E-4</v>
      </c>
    </row>
    <row r="362" spans="2:5" ht="15" customHeight="1" x14ac:dyDescent="0.25">
      <c r="B362" s="81"/>
      <c r="C362" s="45" t="s">
        <v>41</v>
      </c>
      <c r="D362" s="44">
        <v>2</v>
      </c>
      <c r="E362" s="43">
        <v>2.0850708924103419E-4</v>
      </c>
    </row>
    <row r="363" spans="2:5" ht="15" customHeight="1" x14ac:dyDescent="0.25">
      <c r="B363" s="81"/>
      <c r="C363" s="45" t="s">
        <v>55</v>
      </c>
      <c r="D363" s="44">
        <v>5</v>
      </c>
      <c r="E363" s="43">
        <v>5.2126772310258547E-4</v>
      </c>
    </row>
    <row r="364" spans="2:5" ht="15" customHeight="1" x14ac:dyDescent="0.25">
      <c r="B364" s="81"/>
      <c r="C364" s="45" t="s">
        <v>62</v>
      </c>
      <c r="D364" s="44">
        <v>25</v>
      </c>
      <c r="E364" s="43">
        <v>2.6063386155129272E-3</v>
      </c>
    </row>
    <row r="365" spans="2:5" ht="15" customHeight="1" x14ac:dyDescent="0.25">
      <c r="B365" s="81"/>
      <c r="C365" s="45" t="s">
        <v>52</v>
      </c>
      <c r="D365" s="44">
        <v>3</v>
      </c>
      <c r="E365" s="43">
        <v>3.1276063386155128E-4</v>
      </c>
    </row>
    <row r="366" spans="2:5" ht="15" customHeight="1" x14ac:dyDescent="0.25">
      <c r="B366" s="81"/>
      <c r="C366" s="45" t="s">
        <v>61</v>
      </c>
      <c r="D366" s="44">
        <v>4</v>
      </c>
      <c r="E366" s="43">
        <v>4.1701417848206837E-4</v>
      </c>
    </row>
    <row r="367" spans="2:5" ht="15" customHeight="1" x14ac:dyDescent="0.25">
      <c r="B367" s="81"/>
      <c r="C367" s="45" t="s">
        <v>60</v>
      </c>
      <c r="D367" s="44">
        <v>8</v>
      </c>
      <c r="E367" s="43">
        <v>8.3402835696413675E-4</v>
      </c>
    </row>
    <row r="368" spans="2:5" ht="15" customHeight="1" x14ac:dyDescent="0.25">
      <c r="B368" s="81"/>
      <c r="C368" s="45" t="s">
        <v>63</v>
      </c>
      <c r="D368" s="44">
        <v>14</v>
      </c>
      <c r="E368" s="43">
        <v>1.4595496246872393E-3</v>
      </c>
    </row>
    <row r="369" spans="2:5" ht="15" customHeight="1" x14ac:dyDescent="0.25">
      <c r="B369" s="81"/>
      <c r="C369" s="45" t="s">
        <v>54</v>
      </c>
      <c r="D369" s="44">
        <v>1</v>
      </c>
      <c r="E369" s="43">
        <v>1.0425354462051709E-4</v>
      </c>
    </row>
    <row r="370" spans="2:5" ht="15" customHeight="1" x14ac:dyDescent="0.25">
      <c r="B370" s="81"/>
      <c r="C370" s="45" t="s">
        <v>35</v>
      </c>
      <c r="D370" s="44">
        <v>1</v>
      </c>
      <c r="E370" s="43">
        <v>1.0425354462051709E-4</v>
      </c>
    </row>
    <row r="371" spans="2:5" ht="15" customHeight="1" x14ac:dyDescent="0.25">
      <c r="B371" s="81"/>
      <c r="C371" s="45" t="s">
        <v>47</v>
      </c>
      <c r="D371" s="44">
        <v>3</v>
      </c>
      <c r="E371" s="43">
        <v>3.1276063386155128E-4</v>
      </c>
    </row>
    <row r="372" spans="2:5" ht="15" customHeight="1" x14ac:dyDescent="0.25">
      <c r="B372" s="81"/>
      <c r="C372" s="45" t="s">
        <v>50</v>
      </c>
      <c r="D372" s="44">
        <v>4</v>
      </c>
      <c r="E372" s="43">
        <v>4.1701417848206837E-4</v>
      </c>
    </row>
    <row r="373" spans="2:5" ht="15" customHeight="1" x14ac:dyDescent="0.25">
      <c r="B373" s="81"/>
      <c r="C373" s="45" t="s">
        <v>32</v>
      </c>
      <c r="D373" s="44">
        <v>1</v>
      </c>
      <c r="E373" s="43">
        <v>1.0425354462051709E-4</v>
      </c>
    </row>
    <row r="374" spans="2:5" ht="15" customHeight="1" x14ac:dyDescent="0.25">
      <c r="B374" s="81"/>
      <c r="C374" s="45" t="s">
        <v>57</v>
      </c>
      <c r="D374" s="44">
        <v>3</v>
      </c>
      <c r="E374" s="43">
        <v>3.1276063386155128E-4</v>
      </c>
    </row>
    <row r="375" spans="2:5" ht="15" customHeight="1" x14ac:dyDescent="0.25">
      <c r="B375" s="81"/>
      <c r="C375" s="45" t="s">
        <v>48</v>
      </c>
      <c r="D375" s="44">
        <v>4</v>
      </c>
      <c r="E375" s="43">
        <v>4.1701417848206837E-4</v>
      </c>
    </row>
    <row r="376" spans="2:5" ht="15" customHeight="1" x14ac:dyDescent="0.25">
      <c r="B376" s="81"/>
      <c r="C376" s="45" t="s">
        <v>39</v>
      </c>
      <c r="D376" s="44">
        <v>1</v>
      </c>
      <c r="E376" s="43">
        <v>1.0425354462051709E-4</v>
      </c>
    </row>
    <row r="377" spans="2:5" ht="15" customHeight="1" x14ac:dyDescent="0.25">
      <c r="B377" s="81"/>
      <c r="C377" s="45" t="s">
        <v>49</v>
      </c>
      <c r="D377" s="44">
        <v>2</v>
      </c>
      <c r="E377" s="43">
        <v>2.0850708924103419E-4</v>
      </c>
    </row>
    <row r="378" spans="2:5" ht="15" customHeight="1" x14ac:dyDescent="0.25">
      <c r="B378" s="81"/>
      <c r="C378" s="45" t="s">
        <v>33</v>
      </c>
      <c r="D378" s="44">
        <v>1</v>
      </c>
      <c r="E378" s="43">
        <v>1.0425354462051709E-4</v>
      </c>
    </row>
    <row r="379" spans="2:5" ht="15" customHeight="1" x14ac:dyDescent="0.25">
      <c r="B379" s="81"/>
      <c r="C379" s="45" t="s">
        <v>44</v>
      </c>
      <c r="D379" s="44">
        <v>6</v>
      </c>
      <c r="E379" s="43">
        <v>6.2552126772310256E-4</v>
      </c>
    </row>
    <row r="380" spans="2:5" ht="15" customHeight="1" x14ac:dyDescent="0.25">
      <c r="B380" s="81"/>
      <c r="C380" s="45" t="s">
        <v>42</v>
      </c>
      <c r="D380" s="44">
        <v>2</v>
      </c>
      <c r="E380" s="43">
        <v>2.0850708924103419E-4</v>
      </c>
    </row>
    <row r="381" spans="2:5" ht="15" customHeight="1" x14ac:dyDescent="0.25">
      <c r="B381" s="81"/>
      <c r="C381" s="45" t="s">
        <v>36</v>
      </c>
      <c r="D381" s="44">
        <v>2</v>
      </c>
      <c r="E381" s="43">
        <v>2.0850708924103419E-4</v>
      </c>
    </row>
    <row r="382" spans="2:5" ht="15" customHeight="1" x14ac:dyDescent="0.25">
      <c r="B382" s="81"/>
      <c r="C382" s="45" t="s">
        <v>58</v>
      </c>
      <c r="D382" s="44">
        <v>9</v>
      </c>
      <c r="E382" s="43">
        <v>9.3828190158465384E-4</v>
      </c>
    </row>
    <row r="383" spans="2:5" ht="15" customHeight="1" x14ac:dyDescent="0.25">
      <c r="B383" s="81"/>
      <c r="C383" s="45" t="s">
        <v>37</v>
      </c>
      <c r="D383" s="44">
        <v>1</v>
      </c>
      <c r="E383" s="43">
        <v>1.0425354462051709E-4</v>
      </c>
    </row>
    <row r="384" spans="2:5" ht="15" customHeight="1" x14ac:dyDescent="0.25">
      <c r="B384" s="81"/>
      <c r="C384" s="45" t="s">
        <v>59</v>
      </c>
      <c r="D384" s="44">
        <v>3</v>
      </c>
      <c r="E384" s="43">
        <v>3.1276063386155128E-4</v>
      </c>
    </row>
    <row r="385" spans="2:5" ht="15" customHeight="1" x14ac:dyDescent="0.25">
      <c r="B385" s="81"/>
      <c r="C385" s="45" t="s">
        <v>34</v>
      </c>
      <c r="D385" s="44">
        <v>2</v>
      </c>
      <c r="E385" s="43">
        <v>2.0850708924103419E-4</v>
      </c>
    </row>
    <row r="386" spans="2:5" ht="15" customHeight="1" x14ac:dyDescent="0.25">
      <c r="B386" s="81"/>
      <c r="C386" s="45" t="s">
        <v>56</v>
      </c>
      <c r="D386" s="44">
        <v>4</v>
      </c>
      <c r="E386" s="43">
        <v>4.1701417848206837E-4</v>
      </c>
    </row>
    <row r="387" spans="2:5" ht="15" customHeight="1" x14ac:dyDescent="0.25">
      <c r="B387" s="81"/>
      <c r="C387" s="45" t="s">
        <v>64</v>
      </c>
      <c r="D387" s="44">
        <v>583</v>
      </c>
      <c r="E387" s="43">
        <v>6.0779816513761471E-2</v>
      </c>
    </row>
    <row r="388" spans="2:5" ht="15" customHeight="1" x14ac:dyDescent="0.25">
      <c r="B388" s="81"/>
      <c r="C388" s="45" t="s">
        <v>46</v>
      </c>
      <c r="D388" s="44">
        <v>2</v>
      </c>
      <c r="E388" s="43">
        <v>2.0850708924103419E-4</v>
      </c>
    </row>
    <row r="389" spans="2:5" ht="15" customHeight="1" x14ac:dyDescent="0.25">
      <c r="B389" s="81"/>
      <c r="C389" s="45" t="s">
        <v>40</v>
      </c>
      <c r="D389" s="44">
        <v>1</v>
      </c>
      <c r="E389" s="43">
        <v>1.0425354462051709E-4</v>
      </c>
    </row>
    <row r="390" spans="2:5" ht="15" customHeight="1" x14ac:dyDescent="0.25">
      <c r="B390" s="81"/>
      <c r="C390" s="45" t="s">
        <v>51</v>
      </c>
      <c r="D390" s="44">
        <v>5</v>
      </c>
      <c r="E390" s="43">
        <v>5.2126772310258547E-4</v>
      </c>
    </row>
    <row r="391" spans="2:5" ht="15" customHeight="1" x14ac:dyDescent="0.25">
      <c r="B391" s="82"/>
      <c r="C391" s="42" t="s">
        <v>22</v>
      </c>
      <c r="D391" s="41">
        <v>703</v>
      </c>
      <c r="E391" s="40">
        <v>7.3290241868223513E-2</v>
      </c>
    </row>
    <row r="392" spans="2:5" ht="15" customHeight="1" x14ac:dyDescent="0.25">
      <c r="B392" s="80" t="s">
        <v>172</v>
      </c>
      <c r="C392" s="45" t="s">
        <v>47</v>
      </c>
      <c r="D392" s="44">
        <v>2</v>
      </c>
      <c r="E392" s="43">
        <v>2.0850708924103419E-4</v>
      </c>
    </row>
    <row r="393" spans="2:5" ht="15" customHeight="1" x14ac:dyDescent="0.25">
      <c r="B393" s="81"/>
      <c r="C393" s="45" t="s">
        <v>42</v>
      </c>
      <c r="D393" s="44">
        <v>1</v>
      </c>
      <c r="E393" s="43">
        <v>1.0425354462051709E-4</v>
      </c>
    </row>
    <row r="394" spans="2:5" ht="15" customHeight="1" x14ac:dyDescent="0.25">
      <c r="B394" s="81"/>
      <c r="C394" s="45" t="s">
        <v>64</v>
      </c>
      <c r="D394" s="44">
        <v>11</v>
      </c>
      <c r="E394" s="43">
        <v>1.1467889908256881E-3</v>
      </c>
    </row>
    <row r="395" spans="2:5" ht="15" customHeight="1" x14ac:dyDescent="0.25">
      <c r="B395" s="82"/>
      <c r="C395" s="42" t="s">
        <v>22</v>
      </c>
      <c r="D395" s="41">
        <v>14</v>
      </c>
      <c r="E395" s="40">
        <v>1.4595496246872393E-3</v>
      </c>
    </row>
    <row r="396" spans="2:5" ht="15" customHeight="1" x14ac:dyDescent="0.25">
      <c r="B396" s="80" t="s">
        <v>171</v>
      </c>
      <c r="C396" s="45" t="s">
        <v>62</v>
      </c>
      <c r="D396" s="44">
        <v>2</v>
      </c>
      <c r="E396" s="43">
        <v>2.0850708924103419E-4</v>
      </c>
    </row>
    <row r="397" spans="2:5" ht="15" customHeight="1" x14ac:dyDescent="0.25">
      <c r="B397" s="81"/>
      <c r="C397" s="45" t="s">
        <v>60</v>
      </c>
      <c r="D397" s="44">
        <v>2</v>
      </c>
      <c r="E397" s="43">
        <v>2.0850708924103419E-4</v>
      </c>
    </row>
    <row r="398" spans="2:5" ht="15" customHeight="1" x14ac:dyDescent="0.25">
      <c r="B398" s="81"/>
      <c r="C398" s="45" t="s">
        <v>63</v>
      </c>
      <c r="D398" s="44">
        <v>2</v>
      </c>
      <c r="E398" s="43">
        <v>2.0850708924103419E-4</v>
      </c>
    </row>
    <row r="399" spans="2:5" ht="15" customHeight="1" x14ac:dyDescent="0.25">
      <c r="B399" s="81"/>
      <c r="C399" s="45" t="s">
        <v>32</v>
      </c>
      <c r="D399" s="44">
        <v>1</v>
      </c>
      <c r="E399" s="43">
        <v>1.0425354462051709E-4</v>
      </c>
    </row>
    <row r="400" spans="2:5" ht="15" customHeight="1" x14ac:dyDescent="0.25">
      <c r="B400" s="81"/>
      <c r="C400" s="45" t="s">
        <v>36</v>
      </c>
      <c r="D400" s="44">
        <v>1</v>
      </c>
      <c r="E400" s="43">
        <v>1.0425354462051709E-4</v>
      </c>
    </row>
    <row r="401" spans="2:5" ht="15" customHeight="1" x14ac:dyDescent="0.25">
      <c r="B401" s="81"/>
      <c r="C401" s="45" t="s">
        <v>37</v>
      </c>
      <c r="D401" s="44">
        <v>1</v>
      </c>
      <c r="E401" s="43">
        <v>1.0425354462051709E-4</v>
      </c>
    </row>
    <row r="402" spans="2:5" ht="15" customHeight="1" x14ac:dyDescent="0.25">
      <c r="B402" s="81"/>
      <c r="C402" s="45" t="s">
        <v>64</v>
      </c>
      <c r="D402" s="44">
        <v>20</v>
      </c>
      <c r="E402" s="43">
        <v>2.0850708924103419E-3</v>
      </c>
    </row>
    <row r="403" spans="2:5" ht="15" customHeight="1" x14ac:dyDescent="0.25">
      <c r="B403" s="81"/>
      <c r="C403" s="45" t="s">
        <v>46</v>
      </c>
      <c r="D403" s="44">
        <v>1</v>
      </c>
      <c r="E403" s="43">
        <v>1.0425354462051709E-4</v>
      </c>
    </row>
    <row r="404" spans="2:5" ht="15" customHeight="1" x14ac:dyDescent="0.25">
      <c r="B404" s="82"/>
      <c r="C404" s="42" t="s">
        <v>22</v>
      </c>
      <c r="D404" s="41">
        <v>30</v>
      </c>
      <c r="E404" s="40">
        <v>3.127606338615513E-3</v>
      </c>
    </row>
    <row r="405" spans="2:5" ht="15" customHeight="1" x14ac:dyDescent="0.25">
      <c r="B405" s="80" t="s">
        <v>170</v>
      </c>
      <c r="C405" s="45" t="s">
        <v>61</v>
      </c>
      <c r="D405" s="44">
        <v>1</v>
      </c>
      <c r="E405" s="43">
        <v>1.0425354462051709E-4</v>
      </c>
    </row>
    <row r="406" spans="2:5" ht="15" customHeight="1" x14ac:dyDescent="0.25">
      <c r="B406" s="81"/>
      <c r="C406" s="45" t="s">
        <v>60</v>
      </c>
      <c r="D406" s="44">
        <v>1</v>
      </c>
      <c r="E406" s="43">
        <v>1.0425354462051709E-4</v>
      </c>
    </row>
    <row r="407" spans="2:5" ht="15" customHeight="1" x14ac:dyDescent="0.25">
      <c r="B407" s="81"/>
      <c r="C407" s="45" t="s">
        <v>57</v>
      </c>
      <c r="D407" s="44">
        <v>1</v>
      </c>
      <c r="E407" s="43">
        <v>1.0425354462051709E-4</v>
      </c>
    </row>
    <row r="408" spans="2:5" ht="15" customHeight="1" x14ac:dyDescent="0.25">
      <c r="B408" s="81"/>
      <c r="C408" s="45" t="s">
        <v>64</v>
      </c>
      <c r="D408" s="44">
        <v>8</v>
      </c>
      <c r="E408" s="43">
        <v>8.3402835696413675E-4</v>
      </c>
    </row>
    <row r="409" spans="2:5" ht="15" customHeight="1" x14ac:dyDescent="0.25">
      <c r="B409" s="82"/>
      <c r="C409" s="42" t="s">
        <v>22</v>
      </c>
      <c r="D409" s="41">
        <v>11</v>
      </c>
      <c r="E409" s="40">
        <v>1.1467889908256881E-3</v>
      </c>
    </row>
    <row r="410" spans="2:5" ht="15" customHeight="1" x14ac:dyDescent="0.25">
      <c r="B410" s="83" t="s">
        <v>22</v>
      </c>
      <c r="C410" s="84"/>
      <c r="D410" s="39">
        <v>9592</v>
      </c>
      <c r="E410" s="38">
        <v>1</v>
      </c>
    </row>
    <row r="412" spans="2:5" ht="15" customHeight="1" x14ac:dyDescent="0.25">
      <c r="B412" s="19" t="s">
        <v>245</v>
      </c>
    </row>
    <row r="413" spans="2:5" ht="15" customHeight="1" x14ac:dyDescent="0.25">
      <c r="B413" s="21" t="s">
        <v>20</v>
      </c>
    </row>
    <row r="414" spans="2:5" ht="15" customHeight="1" x14ac:dyDescent="0.25">
      <c r="B414" s="20" t="s">
        <v>19</v>
      </c>
    </row>
    <row r="415" spans="2:5" ht="15" customHeight="1" x14ac:dyDescent="0.25">
      <c r="B415" s="19" t="s">
        <v>18</v>
      </c>
    </row>
    <row r="416" spans="2:5" ht="15" customHeight="1" x14ac:dyDescent="0.25">
      <c r="B416" s="19" t="s">
        <v>246</v>
      </c>
    </row>
  </sheetData>
  <mergeCells count="26">
    <mergeCell ref="B329:B333"/>
    <mergeCell ref="B334:B338"/>
    <mergeCell ref="B339:B360"/>
    <mergeCell ref="B361:B391"/>
    <mergeCell ref="B392:B395"/>
    <mergeCell ref="B141:B158"/>
    <mergeCell ref="B159:B182"/>
    <mergeCell ref="B183:B223"/>
    <mergeCell ref="B224:B245"/>
    <mergeCell ref="B246:B278"/>
    <mergeCell ref="B51:B60"/>
    <mergeCell ref="B61:B72"/>
    <mergeCell ref="B73:B96"/>
    <mergeCell ref="B97:B128"/>
    <mergeCell ref="B129:B140"/>
    <mergeCell ref="B7:E8"/>
    <mergeCell ref="B29:B37"/>
    <mergeCell ref="B10:B18"/>
    <mergeCell ref="B19:B28"/>
    <mergeCell ref="B38:B50"/>
    <mergeCell ref="B279:B314"/>
    <mergeCell ref="B315:B320"/>
    <mergeCell ref="B321:B328"/>
    <mergeCell ref="B396:B404"/>
    <mergeCell ref="B405:B409"/>
    <mergeCell ref="B410:C41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</sheetPr>
  <dimension ref="A1:E576"/>
  <sheetViews>
    <sheetView topLeftCell="A558" zoomScale="145" zoomScaleNormal="145" zoomScaleSheetLayoutView="85" workbookViewId="0">
      <selection activeCell="F15" sqref="F15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115</v>
      </c>
      <c r="C9" s="49" t="s">
        <v>195</v>
      </c>
      <c r="D9" s="48" t="s">
        <v>66</v>
      </c>
      <c r="E9" s="47" t="s">
        <v>65</v>
      </c>
    </row>
    <row r="10" spans="1:5" ht="15" customHeight="1" x14ac:dyDescent="0.25">
      <c r="B10" s="80" t="s">
        <v>78</v>
      </c>
      <c r="C10" s="45" t="s">
        <v>186</v>
      </c>
      <c r="D10" s="44">
        <v>1</v>
      </c>
      <c r="E10" s="43">
        <v>1.0425354462051709E-4</v>
      </c>
    </row>
    <row r="11" spans="1:5" ht="15" customHeight="1" x14ac:dyDescent="0.25">
      <c r="B11" s="81"/>
      <c r="C11" s="45" t="s">
        <v>184</v>
      </c>
      <c r="D11" s="44">
        <v>1</v>
      </c>
      <c r="E11" s="43">
        <v>1.0425354462051709E-4</v>
      </c>
    </row>
    <row r="12" spans="1:5" ht="15" customHeight="1" x14ac:dyDescent="0.25">
      <c r="B12" s="81"/>
      <c r="C12" s="45" t="s">
        <v>182</v>
      </c>
      <c r="D12" s="44">
        <v>13</v>
      </c>
      <c r="E12" s="43">
        <v>1.3552960800667223E-3</v>
      </c>
    </row>
    <row r="13" spans="1:5" ht="15" customHeight="1" x14ac:dyDescent="0.25">
      <c r="B13" s="81"/>
      <c r="C13" s="45" t="s">
        <v>180</v>
      </c>
      <c r="D13" s="44">
        <v>2</v>
      </c>
      <c r="E13" s="43">
        <v>2.0850708924103419E-4</v>
      </c>
    </row>
    <row r="14" spans="1:5" ht="15" customHeight="1" x14ac:dyDescent="0.25">
      <c r="B14" s="81"/>
      <c r="C14" s="45" t="s">
        <v>179</v>
      </c>
      <c r="D14" s="44">
        <v>8</v>
      </c>
      <c r="E14" s="43">
        <v>8.3402835696413675E-4</v>
      </c>
    </row>
    <row r="15" spans="1:5" ht="15" customHeight="1" x14ac:dyDescent="0.25">
      <c r="B15" s="81"/>
      <c r="C15" s="45" t="s">
        <v>174</v>
      </c>
      <c r="D15" s="44">
        <v>1</v>
      </c>
      <c r="E15" s="43">
        <v>1.0425354462051709E-4</v>
      </c>
    </row>
    <row r="16" spans="1:5" ht="15" customHeight="1" x14ac:dyDescent="0.25">
      <c r="B16" s="81"/>
      <c r="C16" s="45" t="s">
        <v>173</v>
      </c>
      <c r="D16" s="44">
        <v>2</v>
      </c>
      <c r="E16" s="43">
        <v>2.0850708924103419E-4</v>
      </c>
    </row>
    <row r="17" spans="2:5" ht="15" customHeight="1" x14ac:dyDescent="0.25">
      <c r="B17" s="82"/>
      <c r="C17" s="42" t="s">
        <v>22</v>
      </c>
      <c r="D17" s="41">
        <v>28</v>
      </c>
      <c r="E17" s="40">
        <v>2.9190992493744786E-3</v>
      </c>
    </row>
    <row r="18" spans="2:5" ht="15" customHeight="1" x14ac:dyDescent="0.25">
      <c r="B18" s="80" t="s">
        <v>110</v>
      </c>
      <c r="C18" s="45" t="s">
        <v>192</v>
      </c>
      <c r="D18" s="44">
        <v>2</v>
      </c>
      <c r="E18" s="43">
        <v>2.0850708924103419E-4</v>
      </c>
    </row>
    <row r="19" spans="2:5" ht="15" customHeight="1" x14ac:dyDescent="0.25">
      <c r="B19" s="81"/>
      <c r="C19" s="45" t="s">
        <v>191</v>
      </c>
      <c r="D19" s="44">
        <v>1</v>
      </c>
      <c r="E19" s="43">
        <v>1.0425354462051709E-4</v>
      </c>
    </row>
    <row r="20" spans="2:5" ht="15" customHeight="1" x14ac:dyDescent="0.25">
      <c r="B20" s="81"/>
      <c r="C20" s="45" t="s">
        <v>189</v>
      </c>
      <c r="D20" s="44">
        <v>2</v>
      </c>
      <c r="E20" s="43">
        <v>2.0850708924103419E-4</v>
      </c>
    </row>
    <row r="21" spans="2:5" ht="15" customHeight="1" x14ac:dyDescent="0.25">
      <c r="B21" s="81"/>
      <c r="C21" s="45" t="s">
        <v>188</v>
      </c>
      <c r="D21" s="44">
        <v>1</v>
      </c>
      <c r="E21" s="43">
        <v>1.0425354462051709E-4</v>
      </c>
    </row>
    <row r="22" spans="2:5" ht="15" customHeight="1" x14ac:dyDescent="0.25">
      <c r="B22" s="81"/>
      <c r="C22" s="45" t="s">
        <v>187</v>
      </c>
      <c r="D22" s="44">
        <v>10</v>
      </c>
      <c r="E22" s="43">
        <v>1.0425354462051709E-3</v>
      </c>
    </row>
    <row r="23" spans="2:5" ht="15" customHeight="1" x14ac:dyDescent="0.25">
      <c r="B23" s="81"/>
      <c r="C23" s="45" t="s">
        <v>186</v>
      </c>
      <c r="D23" s="44">
        <v>25</v>
      </c>
      <c r="E23" s="43">
        <v>2.6063386155129272E-3</v>
      </c>
    </row>
    <row r="24" spans="2:5" ht="15" customHeight="1" x14ac:dyDescent="0.25">
      <c r="B24" s="81"/>
      <c r="C24" s="45" t="s">
        <v>184</v>
      </c>
      <c r="D24" s="44">
        <v>5</v>
      </c>
      <c r="E24" s="43">
        <v>5.2126772310258547E-4</v>
      </c>
    </row>
    <row r="25" spans="2:5" ht="15" customHeight="1" x14ac:dyDescent="0.25">
      <c r="B25" s="81"/>
      <c r="C25" s="45" t="s">
        <v>183</v>
      </c>
      <c r="D25" s="44">
        <v>1</v>
      </c>
      <c r="E25" s="43">
        <v>1.0425354462051709E-4</v>
      </c>
    </row>
    <row r="26" spans="2:5" ht="15" customHeight="1" x14ac:dyDescent="0.25">
      <c r="B26" s="81"/>
      <c r="C26" s="45" t="s">
        <v>182</v>
      </c>
      <c r="D26" s="44">
        <v>90</v>
      </c>
      <c r="E26" s="43">
        <v>9.3828190158465382E-3</v>
      </c>
    </row>
    <row r="27" spans="2:5" ht="15" customHeight="1" x14ac:dyDescent="0.25">
      <c r="B27" s="81"/>
      <c r="C27" s="45" t="s">
        <v>181</v>
      </c>
      <c r="D27" s="44">
        <v>11</v>
      </c>
      <c r="E27" s="43">
        <v>1.1467889908256881E-3</v>
      </c>
    </row>
    <row r="28" spans="2:5" ht="15" customHeight="1" x14ac:dyDescent="0.25">
      <c r="B28" s="81"/>
      <c r="C28" s="45" t="s">
        <v>180</v>
      </c>
      <c r="D28" s="44">
        <v>16</v>
      </c>
      <c r="E28" s="43">
        <v>1.6680567139282735E-3</v>
      </c>
    </row>
    <row r="29" spans="2:5" ht="15" customHeight="1" x14ac:dyDescent="0.25">
      <c r="B29" s="81"/>
      <c r="C29" s="45" t="s">
        <v>179</v>
      </c>
      <c r="D29" s="44">
        <v>33</v>
      </c>
      <c r="E29" s="43">
        <v>3.4403669724770644E-3</v>
      </c>
    </row>
    <row r="30" spans="2:5" ht="15" customHeight="1" x14ac:dyDescent="0.25">
      <c r="B30" s="81"/>
      <c r="C30" s="45" t="s">
        <v>178</v>
      </c>
      <c r="D30" s="44">
        <v>1</v>
      </c>
      <c r="E30" s="43">
        <v>1.0425354462051709E-4</v>
      </c>
    </row>
    <row r="31" spans="2:5" ht="15" customHeight="1" x14ac:dyDescent="0.25">
      <c r="B31" s="81"/>
      <c r="C31" s="45" t="s">
        <v>177</v>
      </c>
      <c r="D31" s="44">
        <v>1</v>
      </c>
      <c r="E31" s="43">
        <v>1.0425354462051709E-4</v>
      </c>
    </row>
    <row r="32" spans="2:5" ht="15" customHeight="1" x14ac:dyDescent="0.25">
      <c r="B32" s="81"/>
      <c r="C32" s="45" t="s">
        <v>176</v>
      </c>
      <c r="D32" s="44">
        <v>1</v>
      </c>
      <c r="E32" s="43">
        <v>1.0425354462051709E-4</v>
      </c>
    </row>
    <row r="33" spans="2:5" ht="15" customHeight="1" x14ac:dyDescent="0.25">
      <c r="B33" s="81"/>
      <c r="C33" s="45" t="s">
        <v>174</v>
      </c>
      <c r="D33" s="44">
        <v>8</v>
      </c>
      <c r="E33" s="43">
        <v>8.3402835696413675E-4</v>
      </c>
    </row>
    <row r="34" spans="2:5" ht="15" customHeight="1" x14ac:dyDescent="0.25">
      <c r="B34" s="81"/>
      <c r="C34" s="45" t="s">
        <v>173</v>
      </c>
      <c r="D34" s="44">
        <v>11</v>
      </c>
      <c r="E34" s="43">
        <v>1.1467889908256881E-3</v>
      </c>
    </row>
    <row r="35" spans="2:5" ht="15" customHeight="1" x14ac:dyDescent="0.25">
      <c r="B35" s="81"/>
      <c r="C35" s="45" t="s">
        <v>171</v>
      </c>
      <c r="D35" s="44">
        <v>2</v>
      </c>
      <c r="E35" s="43">
        <v>2.0850708924103419E-4</v>
      </c>
    </row>
    <row r="36" spans="2:5" ht="15" customHeight="1" x14ac:dyDescent="0.25">
      <c r="B36" s="81"/>
      <c r="C36" s="45" t="s">
        <v>170</v>
      </c>
      <c r="D36" s="44">
        <v>1</v>
      </c>
      <c r="E36" s="43">
        <v>1.0425354462051709E-4</v>
      </c>
    </row>
    <row r="37" spans="2:5" ht="15" customHeight="1" x14ac:dyDescent="0.25">
      <c r="B37" s="82"/>
      <c r="C37" s="42" t="s">
        <v>22</v>
      </c>
      <c r="D37" s="41">
        <v>222</v>
      </c>
      <c r="E37" s="40">
        <v>2.3144286905754794E-2</v>
      </c>
    </row>
    <row r="38" spans="2:5" ht="15" customHeight="1" x14ac:dyDescent="0.25">
      <c r="B38" s="80" t="s">
        <v>100</v>
      </c>
      <c r="C38" s="45" t="s">
        <v>192</v>
      </c>
      <c r="D38" s="44">
        <v>1</v>
      </c>
      <c r="E38" s="43">
        <v>1.0425354462051709E-4</v>
      </c>
    </row>
    <row r="39" spans="2:5" ht="15" customHeight="1" x14ac:dyDescent="0.25">
      <c r="B39" s="81"/>
      <c r="C39" s="45" t="s">
        <v>191</v>
      </c>
      <c r="D39" s="44">
        <v>1</v>
      </c>
      <c r="E39" s="43">
        <v>1.0425354462051709E-4</v>
      </c>
    </row>
    <row r="40" spans="2:5" ht="15" customHeight="1" x14ac:dyDescent="0.25">
      <c r="B40" s="81"/>
      <c r="C40" s="45" t="s">
        <v>190</v>
      </c>
      <c r="D40" s="44">
        <v>4</v>
      </c>
      <c r="E40" s="43">
        <v>4.1701417848206837E-4</v>
      </c>
    </row>
    <row r="41" spans="2:5" ht="15" customHeight="1" x14ac:dyDescent="0.25">
      <c r="B41" s="81"/>
      <c r="C41" s="45" t="s">
        <v>189</v>
      </c>
      <c r="D41" s="44">
        <v>1</v>
      </c>
      <c r="E41" s="43">
        <v>1.0425354462051709E-4</v>
      </c>
    </row>
    <row r="42" spans="2:5" ht="15" customHeight="1" x14ac:dyDescent="0.25">
      <c r="B42" s="81"/>
      <c r="C42" s="45" t="s">
        <v>188</v>
      </c>
      <c r="D42" s="44">
        <v>3</v>
      </c>
      <c r="E42" s="43">
        <v>3.1276063386155128E-4</v>
      </c>
    </row>
    <row r="43" spans="2:5" ht="15" customHeight="1" x14ac:dyDescent="0.25">
      <c r="B43" s="81"/>
      <c r="C43" s="45" t="s">
        <v>187</v>
      </c>
      <c r="D43" s="44">
        <v>12</v>
      </c>
      <c r="E43" s="43">
        <v>1.2510425354462051E-3</v>
      </c>
    </row>
    <row r="44" spans="2:5" ht="15" customHeight="1" x14ac:dyDescent="0.25">
      <c r="B44" s="81"/>
      <c r="C44" s="45" t="s">
        <v>186</v>
      </c>
      <c r="D44" s="44">
        <v>23</v>
      </c>
      <c r="E44" s="43">
        <v>2.3978315262718933E-3</v>
      </c>
    </row>
    <row r="45" spans="2:5" ht="15" customHeight="1" x14ac:dyDescent="0.25">
      <c r="B45" s="81"/>
      <c r="C45" s="45" t="s">
        <v>185</v>
      </c>
      <c r="D45" s="44">
        <v>4</v>
      </c>
      <c r="E45" s="43">
        <v>4.1701417848206837E-4</v>
      </c>
    </row>
    <row r="46" spans="2:5" ht="15" customHeight="1" x14ac:dyDescent="0.25">
      <c r="B46" s="81"/>
      <c r="C46" s="45" t="s">
        <v>184</v>
      </c>
      <c r="D46" s="44">
        <v>10</v>
      </c>
      <c r="E46" s="43">
        <v>1.0425354462051709E-3</v>
      </c>
    </row>
    <row r="47" spans="2:5" ht="15" customHeight="1" x14ac:dyDescent="0.25">
      <c r="B47" s="81"/>
      <c r="C47" s="45" t="s">
        <v>183</v>
      </c>
      <c r="D47" s="44">
        <v>10</v>
      </c>
      <c r="E47" s="43">
        <v>1.0425354462051709E-3</v>
      </c>
    </row>
    <row r="48" spans="2:5" ht="15" customHeight="1" x14ac:dyDescent="0.25">
      <c r="B48" s="81"/>
      <c r="C48" s="45" t="s">
        <v>182</v>
      </c>
      <c r="D48" s="44">
        <v>74</v>
      </c>
      <c r="E48" s="43">
        <v>7.7147623019182656E-3</v>
      </c>
    </row>
    <row r="49" spans="2:5" ht="15" customHeight="1" x14ac:dyDescent="0.25">
      <c r="B49" s="81"/>
      <c r="C49" s="45" t="s">
        <v>181</v>
      </c>
      <c r="D49" s="44">
        <v>16</v>
      </c>
      <c r="E49" s="43">
        <v>1.6680567139282735E-3</v>
      </c>
    </row>
    <row r="50" spans="2:5" ht="15" customHeight="1" x14ac:dyDescent="0.25">
      <c r="B50" s="81"/>
      <c r="C50" s="45" t="s">
        <v>180</v>
      </c>
      <c r="D50" s="44">
        <v>15</v>
      </c>
      <c r="E50" s="43">
        <v>1.5638031693077565E-3</v>
      </c>
    </row>
    <row r="51" spans="2:5" ht="15" customHeight="1" x14ac:dyDescent="0.25">
      <c r="B51" s="81"/>
      <c r="C51" s="45" t="s">
        <v>179</v>
      </c>
      <c r="D51" s="44">
        <v>69</v>
      </c>
      <c r="E51" s="43">
        <v>7.1934945788156793E-3</v>
      </c>
    </row>
    <row r="52" spans="2:5" ht="15" customHeight="1" x14ac:dyDescent="0.25">
      <c r="B52" s="81"/>
      <c r="C52" s="45" t="s">
        <v>176</v>
      </c>
      <c r="D52" s="44">
        <v>2</v>
      </c>
      <c r="E52" s="43">
        <v>2.0850708924103419E-4</v>
      </c>
    </row>
    <row r="53" spans="2:5" ht="15" customHeight="1" x14ac:dyDescent="0.25">
      <c r="B53" s="81"/>
      <c r="C53" s="45" t="s">
        <v>174</v>
      </c>
      <c r="D53" s="44">
        <v>8</v>
      </c>
      <c r="E53" s="43">
        <v>8.3402835696413675E-4</v>
      </c>
    </row>
    <row r="54" spans="2:5" ht="15" customHeight="1" x14ac:dyDescent="0.25">
      <c r="B54" s="81"/>
      <c r="C54" s="45" t="s">
        <v>173</v>
      </c>
      <c r="D54" s="44">
        <v>22</v>
      </c>
      <c r="E54" s="43">
        <v>2.2935779816513763E-3</v>
      </c>
    </row>
    <row r="55" spans="2:5" ht="15" customHeight="1" x14ac:dyDescent="0.25">
      <c r="B55" s="81"/>
      <c r="C55" s="45" t="s">
        <v>171</v>
      </c>
      <c r="D55" s="44">
        <v>1</v>
      </c>
      <c r="E55" s="43">
        <v>1.0425354462051709E-4</v>
      </c>
    </row>
    <row r="56" spans="2:5" ht="15" customHeight="1" x14ac:dyDescent="0.25">
      <c r="B56" s="82"/>
      <c r="C56" s="42" t="s">
        <v>22</v>
      </c>
      <c r="D56" s="41">
        <v>276</v>
      </c>
      <c r="E56" s="40">
        <v>2.8773978315262717E-2</v>
      </c>
    </row>
    <row r="57" spans="2:5" ht="15" customHeight="1" x14ac:dyDescent="0.25">
      <c r="B57" s="80" t="s">
        <v>76</v>
      </c>
      <c r="C57" s="45" t="s">
        <v>193</v>
      </c>
      <c r="D57" s="44">
        <v>1</v>
      </c>
      <c r="E57" s="43">
        <v>1.0425354462051709E-4</v>
      </c>
    </row>
    <row r="58" spans="2:5" ht="15" customHeight="1" x14ac:dyDescent="0.25">
      <c r="B58" s="81"/>
      <c r="C58" s="45" t="s">
        <v>191</v>
      </c>
      <c r="D58" s="44">
        <v>1</v>
      </c>
      <c r="E58" s="43">
        <v>1.0425354462051709E-4</v>
      </c>
    </row>
    <row r="59" spans="2:5" ht="15" customHeight="1" x14ac:dyDescent="0.25">
      <c r="B59" s="81"/>
      <c r="C59" s="45" t="s">
        <v>187</v>
      </c>
      <c r="D59" s="44">
        <v>1</v>
      </c>
      <c r="E59" s="43">
        <v>1.0425354462051709E-4</v>
      </c>
    </row>
    <row r="60" spans="2:5" ht="15" customHeight="1" x14ac:dyDescent="0.25">
      <c r="B60" s="81"/>
      <c r="C60" s="45" t="s">
        <v>186</v>
      </c>
      <c r="D60" s="44">
        <v>1</v>
      </c>
      <c r="E60" s="43">
        <v>1.0425354462051709E-4</v>
      </c>
    </row>
    <row r="61" spans="2:5" ht="15" customHeight="1" x14ac:dyDescent="0.25">
      <c r="B61" s="81"/>
      <c r="C61" s="45" t="s">
        <v>182</v>
      </c>
      <c r="D61" s="44">
        <v>2</v>
      </c>
      <c r="E61" s="43">
        <v>2.0850708924103419E-4</v>
      </c>
    </row>
    <row r="62" spans="2:5" ht="15" customHeight="1" x14ac:dyDescent="0.25">
      <c r="B62" s="81"/>
      <c r="C62" s="45" t="s">
        <v>181</v>
      </c>
      <c r="D62" s="44">
        <v>1</v>
      </c>
      <c r="E62" s="43">
        <v>1.0425354462051709E-4</v>
      </c>
    </row>
    <row r="63" spans="2:5" ht="15" customHeight="1" x14ac:dyDescent="0.25">
      <c r="B63" s="81"/>
      <c r="C63" s="45" t="s">
        <v>180</v>
      </c>
      <c r="D63" s="44">
        <v>7</v>
      </c>
      <c r="E63" s="43">
        <v>7.2977481234361965E-4</v>
      </c>
    </row>
    <row r="64" spans="2:5" ht="15" customHeight="1" x14ac:dyDescent="0.25">
      <c r="B64" s="81"/>
      <c r="C64" s="45" t="s">
        <v>179</v>
      </c>
      <c r="D64" s="44">
        <v>4</v>
      </c>
      <c r="E64" s="43">
        <v>4.1701417848206837E-4</v>
      </c>
    </row>
    <row r="65" spans="2:5" ht="15" customHeight="1" x14ac:dyDescent="0.25">
      <c r="B65" s="82"/>
      <c r="C65" s="42" t="s">
        <v>22</v>
      </c>
      <c r="D65" s="41">
        <v>18</v>
      </c>
      <c r="E65" s="40">
        <v>1.8765638031693077E-3</v>
      </c>
    </row>
    <row r="66" spans="2:5" ht="15" customHeight="1" x14ac:dyDescent="0.25">
      <c r="B66" s="80" t="s">
        <v>72</v>
      </c>
      <c r="C66" s="45" t="s">
        <v>182</v>
      </c>
      <c r="D66" s="44">
        <v>2</v>
      </c>
      <c r="E66" s="43">
        <v>2.0850708924103419E-4</v>
      </c>
    </row>
    <row r="67" spans="2:5" ht="15" customHeight="1" x14ac:dyDescent="0.25">
      <c r="B67" s="81"/>
      <c r="C67" s="45" t="s">
        <v>174</v>
      </c>
      <c r="D67" s="44">
        <v>1</v>
      </c>
      <c r="E67" s="43">
        <v>1.0425354462051709E-4</v>
      </c>
    </row>
    <row r="68" spans="2:5" ht="15" customHeight="1" x14ac:dyDescent="0.25">
      <c r="B68" s="82"/>
      <c r="C68" s="42" t="s">
        <v>22</v>
      </c>
      <c r="D68" s="41">
        <v>3</v>
      </c>
      <c r="E68" s="40">
        <v>3.1276063386155128E-4</v>
      </c>
    </row>
    <row r="69" spans="2:5" ht="15" customHeight="1" x14ac:dyDescent="0.25">
      <c r="B69" s="80" t="s">
        <v>77</v>
      </c>
      <c r="C69" s="45" t="s">
        <v>191</v>
      </c>
      <c r="D69" s="44">
        <v>1</v>
      </c>
      <c r="E69" s="43">
        <v>1.0425354462051709E-4</v>
      </c>
    </row>
    <row r="70" spans="2:5" ht="15" customHeight="1" x14ac:dyDescent="0.25">
      <c r="B70" s="81"/>
      <c r="C70" s="45" t="s">
        <v>190</v>
      </c>
      <c r="D70" s="44">
        <v>1</v>
      </c>
      <c r="E70" s="43">
        <v>1.0425354462051709E-4</v>
      </c>
    </row>
    <row r="71" spans="2:5" ht="15" customHeight="1" x14ac:dyDescent="0.25">
      <c r="B71" s="81"/>
      <c r="C71" s="45" t="s">
        <v>189</v>
      </c>
      <c r="D71" s="44">
        <v>1</v>
      </c>
      <c r="E71" s="43">
        <v>1.0425354462051709E-4</v>
      </c>
    </row>
    <row r="72" spans="2:5" ht="15" customHeight="1" x14ac:dyDescent="0.25">
      <c r="B72" s="81"/>
      <c r="C72" s="45" t="s">
        <v>188</v>
      </c>
      <c r="D72" s="44">
        <v>1</v>
      </c>
      <c r="E72" s="43">
        <v>1.0425354462051709E-4</v>
      </c>
    </row>
    <row r="73" spans="2:5" ht="15" customHeight="1" x14ac:dyDescent="0.25">
      <c r="B73" s="81"/>
      <c r="C73" s="45" t="s">
        <v>187</v>
      </c>
      <c r="D73" s="44">
        <v>15</v>
      </c>
      <c r="E73" s="43">
        <v>1.5638031693077565E-3</v>
      </c>
    </row>
    <row r="74" spans="2:5" ht="15" customHeight="1" x14ac:dyDescent="0.25">
      <c r="B74" s="81"/>
      <c r="C74" s="45" t="s">
        <v>186</v>
      </c>
      <c r="D74" s="44">
        <v>4</v>
      </c>
      <c r="E74" s="43">
        <v>4.1701417848206837E-4</v>
      </c>
    </row>
    <row r="75" spans="2:5" ht="15" customHeight="1" x14ac:dyDescent="0.25">
      <c r="B75" s="81"/>
      <c r="C75" s="45" t="s">
        <v>185</v>
      </c>
      <c r="D75" s="44">
        <v>4</v>
      </c>
      <c r="E75" s="43">
        <v>4.1701417848206837E-4</v>
      </c>
    </row>
    <row r="76" spans="2:5" ht="15" customHeight="1" x14ac:dyDescent="0.25">
      <c r="B76" s="81"/>
      <c r="C76" s="45" t="s">
        <v>184</v>
      </c>
      <c r="D76" s="44">
        <v>1</v>
      </c>
      <c r="E76" s="43">
        <v>1.0425354462051709E-4</v>
      </c>
    </row>
    <row r="77" spans="2:5" ht="15" customHeight="1" x14ac:dyDescent="0.25">
      <c r="B77" s="81"/>
      <c r="C77" s="45" t="s">
        <v>183</v>
      </c>
      <c r="D77" s="44">
        <v>8</v>
      </c>
      <c r="E77" s="43">
        <v>8.3402835696413675E-4</v>
      </c>
    </row>
    <row r="78" spans="2:5" ht="15" customHeight="1" x14ac:dyDescent="0.25">
      <c r="B78" s="81"/>
      <c r="C78" s="45" t="s">
        <v>182</v>
      </c>
      <c r="D78" s="44">
        <v>27</v>
      </c>
      <c r="E78" s="43">
        <v>2.8148457047539616E-3</v>
      </c>
    </row>
    <row r="79" spans="2:5" ht="15" customHeight="1" x14ac:dyDescent="0.25">
      <c r="B79" s="81"/>
      <c r="C79" s="45" t="s">
        <v>181</v>
      </c>
      <c r="D79" s="44">
        <v>3</v>
      </c>
      <c r="E79" s="43">
        <v>3.1276063386155128E-4</v>
      </c>
    </row>
    <row r="80" spans="2:5" ht="15" customHeight="1" x14ac:dyDescent="0.25">
      <c r="B80" s="81"/>
      <c r="C80" s="45" t="s">
        <v>180</v>
      </c>
      <c r="D80" s="44">
        <v>7</v>
      </c>
      <c r="E80" s="43">
        <v>7.2977481234361965E-4</v>
      </c>
    </row>
    <row r="81" spans="2:5" ht="15" customHeight="1" x14ac:dyDescent="0.25">
      <c r="B81" s="81"/>
      <c r="C81" s="45" t="s">
        <v>179</v>
      </c>
      <c r="D81" s="44">
        <v>26</v>
      </c>
      <c r="E81" s="43">
        <v>2.7105921601334446E-3</v>
      </c>
    </row>
    <row r="82" spans="2:5" ht="15" customHeight="1" x14ac:dyDescent="0.25">
      <c r="B82" s="81"/>
      <c r="C82" s="45" t="s">
        <v>176</v>
      </c>
      <c r="D82" s="44">
        <v>2</v>
      </c>
      <c r="E82" s="43">
        <v>2.0850708924103419E-4</v>
      </c>
    </row>
    <row r="83" spans="2:5" ht="15" customHeight="1" x14ac:dyDescent="0.25">
      <c r="B83" s="81"/>
      <c r="C83" s="45" t="s">
        <v>174</v>
      </c>
      <c r="D83" s="44">
        <v>3</v>
      </c>
      <c r="E83" s="43">
        <v>3.1276063386155128E-4</v>
      </c>
    </row>
    <row r="84" spans="2:5" ht="15" customHeight="1" x14ac:dyDescent="0.25">
      <c r="B84" s="81"/>
      <c r="C84" s="45" t="s">
        <v>173</v>
      </c>
      <c r="D84" s="44">
        <v>22</v>
      </c>
      <c r="E84" s="43">
        <v>2.2935779816513763E-3</v>
      </c>
    </row>
    <row r="85" spans="2:5" ht="15" customHeight="1" x14ac:dyDescent="0.25">
      <c r="B85" s="82"/>
      <c r="C85" s="42" t="s">
        <v>22</v>
      </c>
      <c r="D85" s="41">
        <v>126</v>
      </c>
      <c r="E85" s="40">
        <v>1.3135946622185155E-2</v>
      </c>
    </row>
    <row r="86" spans="2:5" ht="15" customHeight="1" x14ac:dyDescent="0.25">
      <c r="B86" s="80" t="s">
        <v>248</v>
      </c>
      <c r="C86" s="45" t="s">
        <v>173</v>
      </c>
      <c r="D86" s="44">
        <v>1</v>
      </c>
      <c r="E86" s="43">
        <v>1.0425354462051709E-4</v>
      </c>
    </row>
    <row r="87" spans="2:5" ht="15" customHeight="1" x14ac:dyDescent="0.25">
      <c r="B87" s="82"/>
      <c r="C87" s="42" t="s">
        <v>22</v>
      </c>
      <c r="D87" s="41">
        <v>1</v>
      </c>
      <c r="E87" s="40">
        <v>1.0425354462051709E-4</v>
      </c>
    </row>
    <row r="88" spans="2:5" ht="15" customHeight="1" x14ac:dyDescent="0.25">
      <c r="B88" s="80" t="s">
        <v>113</v>
      </c>
      <c r="C88" s="45" t="s">
        <v>193</v>
      </c>
      <c r="D88" s="44">
        <v>1</v>
      </c>
      <c r="E88" s="43">
        <v>1.0425354462051709E-4</v>
      </c>
    </row>
    <row r="89" spans="2:5" ht="15" customHeight="1" x14ac:dyDescent="0.25">
      <c r="B89" s="81"/>
      <c r="C89" s="45" t="s">
        <v>190</v>
      </c>
      <c r="D89" s="44">
        <v>2</v>
      </c>
      <c r="E89" s="43">
        <v>2.0850708924103419E-4</v>
      </c>
    </row>
    <row r="90" spans="2:5" ht="15" customHeight="1" x14ac:dyDescent="0.25">
      <c r="B90" s="81"/>
      <c r="C90" s="45" t="s">
        <v>189</v>
      </c>
      <c r="D90" s="44">
        <v>1</v>
      </c>
      <c r="E90" s="43">
        <v>1.0425354462051709E-4</v>
      </c>
    </row>
    <row r="91" spans="2:5" ht="15" customHeight="1" x14ac:dyDescent="0.25">
      <c r="B91" s="81"/>
      <c r="C91" s="45" t="s">
        <v>188</v>
      </c>
      <c r="D91" s="44">
        <v>2</v>
      </c>
      <c r="E91" s="43">
        <v>2.0850708924103419E-4</v>
      </c>
    </row>
    <row r="92" spans="2:5" ht="15" customHeight="1" x14ac:dyDescent="0.25">
      <c r="B92" s="81"/>
      <c r="C92" s="45" t="s">
        <v>187</v>
      </c>
      <c r="D92" s="44">
        <v>6</v>
      </c>
      <c r="E92" s="43">
        <v>6.2552126772310256E-4</v>
      </c>
    </row>
    <row r="93" spans="2:5" ht="15" customHeight="1" x14ac:dyDescent="0.25">
      <c r="B93" s="81"/>
      <c r="C93" s="45" t="s">
        <v>186</v>
      </c>
      <c r="D93" s="44">
        <v>32</v>
      </c>
      <c r="E93" s="43">
        <v>3.336113427856547E-3</v>
      </c>
    </row>
    <row r="94" spans="2:5" ht="15" customHeight="1" x14ac:dyDescent="0.25">
      <c r="B94" s="81"/>
      <c r="C94" s="45" t="s">
        <v>185</v>
      </c>
      <c r="D94" s="44">
        <v>1</v>
      </c>
      <c r="E94" s="43">
        <v>1.0425354462051709E-4</v>
      </c>
    </row>
    <row r="95" spans="2:5" ht="15" customHeight="1" x14ac:dyDescent="0.25">
      <c r="B95" s="81"/>
      <c r="C95" s="45" t="s">
        <v>184</v>
      </c>
      <c r="D95" s="44">
        <v>6</v>
      </c>
      <c r="E95" s="43">
        <v>6.2552126772310256E-4</v>
      </c>
    </row>
    <row r="96" spans="2:5" ht="15" customHeight="1" x14ac:dyDescent="0.25">
      <c r="B96" s="81"/>
      <c r="C96" s="45" t="s">
        <v>183</v>
      </c>
      <c r="D96" s="44">
        <v>4</v>
      </c>
      <c r="E96" s="43">
        <v>4.1701417848206837E-4</v>
      </c>
    </row>
    <row r="97" spans="2:5" ht="15" customHeight="1" x14ac:dyDescent="0.25">
      <c r="B97" s="81"/>
      <c r="C97" s="45" t="s">
        <v>182</v>
      </c>
      <c r="D97" s="44">
        <v>91</v>
      </c>
      <c r="E97" s="43">
        <v>9.4870725604670556E-3</v>
      </c>
    </row>
    <row r="98" spans="2:5" ht="15" customHeight="1" x14ac:dyDescent="0.25">
      <c r="B98" s="81"/>
      <c r="C98" s="45" t="s">
        <v>181</v>
      </c>
      <c r="D98" s="44">
        <v>18</v>
      </c>
      <c r="E98" s="43">
        <v>1.8765638031693077E-3</v>
      </c>
    </row>
    <row r="99" spans="2:5" ht="15" customHeight="1" x14ac:dyDescent="0.25">
      <c r="B99" s="81"/>
      <c r="C99" s="45" t="s">
        <v>180</v>
      </c>
      <c r="D99" s="44">
        <v>16</v>
      </c>
      <c r="E99" s="43">
        <v>1.6680567139282735E-3</v>
      </c>
    </row>
    <row r="100" spans="2:5" ht="15" customHeight="1" x14ac:dyDescent="0.25">
      <c r="B100" s="81"/>
      <c r="C100" s="45" t="s">
        <v>179</v>
      </c>
      <c r="D100" s="44">
        <v>70</v>
      </c>
      <c r="E100" s="43">
        <v>7.2977481234361968E-3</v>
      </c>
    </row>
    <row r="101" spans="2:5" ht="15" customHeight="1" x14ac:dyDescent="0.25">
      <c r="B101" s="81"/>
      <c r="C101" s="45" t="s">
        <v>178</v>
      </c>
      <c r="D101" s="44">
        <v>3</v>
      </c>
      <c r="E101" s="43">
        <v>3.1276063386155128E-4</v>
      </c>
    </row>
    <row r="102" spans="2:5" ht="15" customHeight="1" x14ac:dyDescent="0.25">
      <c r="B102" s="81"/>
      <c r="C102" s="45" t="s">
        <v>177</v>
      </c>
      <c r="D102" s="44">
        <v>1</v>
      </c>
      <c r="E102" s="43">
        <v>1.0425354462051709E-4</v>
      </c>
    </row>
    <row r="103" spans="2:5" ht="15" customHeight="1" x14ac:dyDescent="0.25">
      <c r="B103" s="81"/>
      <c r="C103" s="45" t="s">
        <v>174</v>
      </c>
      <c r="D103" s="44">
        <v>10</v>
      </c>
      <c r="E103" s="43">
        <v>1.0425354462051709E-3</v>
      </c>
    </row>
    <row r="104" spans="2:5" ht="15" customHeight="1" x14ac:dyDescent="0.25">
      <c r="B104" s="81"/>
      <c r="C104" s="45" t="s">
        <v>173</v>
      </c>
      <c r="D104" s="44">
        <v>15</v>
      </c>
      <c r="E104" s="43">
        <v>1.5638031693077565E-3</v>
      </c>
    </row>
    <row r="105" spans="2:5" ht="15" customHeight="1" x14ac:dyDescent="0.25">
      <c r="B105" s="81"/>
      <c r="C105" s="45" t="s">
        <v>171</v>
      </c>
      <c r="D105" s="44">
        <v>2</v>
      </c>
      <c r="E105" s="43">
        <v>2.0850708924103419E-4</v>
      </c>
    </row>
    <row r="106" spans="2:5" ht="15" customHeight="1" x14ac:dyDescent="0.25">
      <c r="B106" s="82"/>
      <c r="C106" s="42" t="s">
        <v>22</v>
      </c>
      <c r="D106" s="41">
        <v>281</v>
      </c>
      <c r="E106" s="40">
        <v>2.9295246038365304E-2</v>
      </c>
    </row>
    <row r="107" spans="2:5" ht="15" customHeight="1" x14ac:dyDescent="0.25">
      <c r="B107" s="80" t="s">
        <v>111</v>
      </c>
      <c r="C107" s="45" t="s">
        <v>193</v>
      </c>
      <c r="D107" s="44">
        <v>2</v>
      </c>
      <c r="E107" s="43">
        <v>2.0850708924103419E-4</v>
      </c>
    </row>
    <row r="108" spans="2:5" ht="15" customHeight="1" x14ac:dyDescent="0.25">
      <c r="B108" s="81"/>
      <c r="C108" s="45" t="s">
        <v>192</v>
      </c>
      <c r="D108" s="44">
        <v>4</v>
      </c>
      <c r="E108" s="43">
        <v>4.1701417848206837E-4</v>
      </c>
    </row>
    <row r="109" spans="2:5" ht="15" customHeight="1" x14ac:dyDescent="0.25">
      <c r="B109" s="81"/>
      <c r="C109" s="45" t="s">
        <v>191</v>
      </c>
      <c r="D109" s="44">
        <v>4</v>
      </c>
      <c r="E109" s="43">
        <v>4.1701417848206837E-4</v>
      </c>
    </row>
    <row r="110" spans="2:5" ht="15" customHeight="1" x14ac:dyDescent="0.25">
      <c r="B110" s="81"/>
      <c r="C110" s="45" t="s">
        <v>190</v>
      </c>
      <c r="D110" s="44">
        <v>7</v>
      </c>
      <c r="E110" s="43">
        <v>7.2977481234361965E-4</v>
      </c>
    </row>
    <row r="111" spans="2:5" ht="15" customHeight="1" x14ac:dyDescent="0.25">
      <c r="B111" s="81"/>
      <c r="C111" s="45" t="s">
        <v>189</v>
      </c>
      <c r="D111" s="44">
        <v>5</v>
      </c>
      <c r="E111" s="43">
        <v>5.2126772310258547E-4</v>
      </c>
    </row>
    <row r="112" spans="2:5" ht="15" customHeight="1" x14ac:dyDescent="0.25">
      <c r="B112" s="81"/>
      <c r="C112" s="45" t="s">
        <v>188</v>
      </c>
      <c r="D112" s="44">
        <v>8</v>
      </c>
      <c r="E112" s="43">
        <v>8.3402835696413675E-4</v>
      </c>
    </row>
    <row r="113" spans="2:5" ht="15" customHeight="1" x14ac:dyDescent="0.25">
      <c r="B113" s="81"/>
      <c r="C113" s="45" t="s">
        <v>187</v>
      </c>
      <c r="D113" s="44">
        <v>82</v>
      </c>
      <c r="E113" s="43">
        <v>8.5487906588824023E-3</v>
      </c>
    </row>
    <row r="114" spans="2:5" ht="15" customHeight="1" x14ac:dyDescent="0.25">
      <c r="B114" s="81"/>
      <c r="C114" s="45" t="s">
        <v>186</v>
      </c>
      <c r="D114" s="44">
        <v>113</v>
      </c>
      <c r="E114" s="43">
        <v>1.1780650542118432E-2</v>
      </c>
    </row>
    <row r="115" spans="2:5" ht="15" customHeight="1" x14ac:dyDescent="0.25">
      <c r="B115" s="81"/>
      <c r="C115" s="45" t="s">
        <v>185</v>
      </c>
      <c r="D115" s="44">
        <v>8</v>
      </c>
      <c r="E115" s="43">
        <v>8.3402835696413675E-4</v>
      </c>
    </row>
    <row r="116" spans="2:5" ht="15" customHeight="1" x14ac:dyDescent="0.25">
      <c r="B116" s="81"/>
      <c r="C116" s="45" t="s">
        <v>184</v>
      </c>
      <c r="D116" s="44">
        <v>16</v>
      </c>
      <c r="E116" s="43">
        <v>1.6680567139282735E-3</v>
      </c>
    </row>
    <row r="117" spans="2:5" ht="15" customHeight="1" x14ac:dyDescent="0.25">
      <c r="B117" s="81"/>
      <c r="C117" s="45" t="s">
        <v>183</v>
      </c>
      <c r="D117" s="44">
        <v>38</v>
      </c>
      <c r="E117" s="43">
        <v>3.9616346955796498E-3</v>
      </c>
    </row>
    <row r="118" spans="2:5" ht="15" customHeight="1" x14ac:dyDescent="0.25">
      <c r="B118" s="81"/>
      <c r="C118" s="45" t="s">
        <v>182</v>
      </c>
      <c r="D118" s="44">
        <v>617</v>
      </c>
      <c r="E118" s="43">
        <v>6.432443703085905E-2</v>
      </c>
    </row>
    <row r="119" spans="2:5" ht="15" customHeight="1" x14ac:dyDescent="0.25">
      <c r="B119" s="81"/>
      <c r="C119" s="45" t="s">
        <v>181</v>
      </c>
      <c r="D119" s="44">
        <v>77</v>
      </c>
      <c r="E119" s="43">
        <v>8.027522935779817E-3</v>
      </c>
    </row>
    <row r="120" spans="2:5" ht="15" customHeight="1" x14ac:dyDescent="0.25">
      <c r="B120" s="81"/>
      <c r="C120" s="45" t="s">
        <v>180</v>
      </c>
      <c r="D120" s="44">
        <v>106</v>
      </c>
      <c r="E120" s="43">
        <v>1.1050875729774812E-2</v>
      </c>
    </row>
    <row r="121" spans="2:5" ht="15" customHeight="1" x14ac:dyDescent="0.25">
      <c r="B121" s="81"/>
      <c r="C121" s="45" t="s">
        <v>179</v>
      </c>
      <c r="D121" s="44">
        <v>429</v>
      </c>
      <c r="E121" s="43">
        <v>4.4724770642201837E-2</v>
      </c>
    </row>
    <row r="122" spans="2:5" ht="15" customHeight="1" x14ac:dyDescent="0.25">
      <c r="B122" s="81"/>
      <c r="C122" s="45" t="s">
        <v>178</v>
      </c>
      <c r="D122" s="44">
        <v>9</v>
      </c>
      <c r="E122" s="43">
        <v>9.3828190158465384E-4</v>
      </c>
    </row>
    <row r="123" spans="2:5" ht="15" customHeight="1" x14ac:dyDescent="0.25">
      <c r="B123" s="81"/>
      <c r="C123" s="45" t="s">
        <v>177</v>
      </c>
      <c r="D123" s="44">
        <v>5</v>
      </c>
      <c r="E123" s="43">
        <v>5.2126772310258547E-4</v>
      </c>
    </row>
    <row r="124" spans="2:5" ht="15" customHeight="1" x14ac:dyDescent="0.25">
      <c r="B124" s="81"/>
      <c r="C124" s="45" t="s">
        <v>176</v>
      </c>
      <c r="D124" s="44">
        <v>3</v>
      </c>
      <c r="E124" s="43">
        <v>3.1276063386155128E-4</v>
      </c>
    </row>
    <row r="125" spans="2:5" ht="15" customHeight="1" x14ac:dyDescent="0.25">
      <c r="B125" s="81"/>
      <c r="C125" s="45" t="s">
        <v>174</v>
      </c>
      <c r="D125" s="44">
        <v>47</v>
      </c>
      <c r="E125" s="43">
        <v>4.8999165971643039E-3</v>
      </c>
    </row>
    <row r="126" spans="2:5" ht="15" customHeight="1" x14ac:dyDescent="0.25">
      <c r="B126" s="81"/>
      <c r="C126" s="45" t="s">
        <v>173</v>
      </c>
      <c r="D126" s="44">
        <v>88</v>
      </c>
      <c r="E126" s="43">
        <v>9.1743119266055051E-3</v>
      </c>
    </row>
    <row r="127" spans="2:5" ht="15" customHeight="1" x14ac:dyDescent="0.25">
      <c r="B127" s="81"/>
      <c r="C127" s="45" t="s">
        <v>197</v>
      </c>
      <c r="D127" s="44">
        <v>2</v>
      </c>
      <c r="E127" s="43">
        <v>2.0850708924103419E-4</v>
      </c>
    </row>
    <row r="128" spans="2:5" ht="15" customHeight="1" x14ac:dyDescent="0.25">
      <c r="B128" s="82"/>
      <c r="C128" s="42" t="s">
        <v>22</v>
      </c>
      <c r="D128" s="41">
        <v>1670</v>
      </c>
      <c r="E128" s="40">
        <v>0.17410341951626354</v>
      </c>
    </row>
    <row r="129" spans="2:5" ht="15" customHeight="1" x14ac:dyDescent="0.25">
      <c r="B129" s="80" t="s">
        <v>202</v>
      </c>
      <c r="C129" s="45" t="s">
        <v>183</v>
      </c>
      <c r="D129" s="44">
        <v>1</v>
      </c>
      <c r="E129" s="43">
        <v>1.0425354462051709E-4</v>
      </c>
    </row>
    <row r="130" spans="2:5" ht="15" customHeight="1" x14ac:dyDescent="0.25">
      <c r="B130" s="81"/>
      <c r="C130" s="45" t="s">
        <v>182</v>
      </c>
      <c r="D130" s="44">
        <v>1</v>
      </c>
      <c r="E130" s="43">
        <v>1.0425354462051709E-4</v>
      </c>
    </row>
    <row r="131" spans="2:5" ht="15" customHeight="1" x14ac:dyDescent="0.25">
      <c r="B131" s="81"/>
      <c r="C131" s="45" t="s">
        <v>179</v>
      </c>
      <c r="D131" s="44">
        <v>1</v>
      </c>
      <c r="E131" s="43">
        <v>1.0425354462051709E-4</v>
      </c>
    </row>
    <row r="132" spans="2:5" ht="15" customHeight="1" x14ac:dyDescent="0.25">
      <c r="B132" s="81"/>
      <c r="C132" s="45" t="s">
        <v>173</v>
      </c>
      <c r="D132" s="44">
        <v>1</v>
      </c>
      <c r="E132" s="43">
        <v>1.0425354462051709E-4</v>
      </c>
    </row>
    <row r="133" spans="2:5" ht="15" customHeight="1" x14ac:dyDescent="0.25">
      <c r="B133" s="82"/>
      <c r="C133" s="42" t="s">
        <v>22</v>
      </c>
      <c r="D133" s="41">
        <v>4</v>
      </c>
      <c r="E133" s="40">
        <v>4.1701417848206837E-4</v>
      </c>
    </row>
    <row r="134" spans="2:5" ht="15" customHeight="1" x14ac:dyDescent="0.25">
      <c r="B134" s="80" t="s">
        <v>95</v>
      </c>
      <c r="C134" s="45" t="s">
        <v>193</v>
      </c>
      <c r="D134" s="44">
        <v>1</v>
      </c>
      <c r="E134" s="43">
        <v>1.0425354462051709E-4</v>
      </c>
    </row>
    <row r="135" spans="2:5" ht="15" customHeight="1" x14ac:dyDescent="0.25">
      <c r="B135" s="81"/>
      <c r="C135" s="45" t="s">
        <v>188</v>
      </c>
      <c r="D135" s="44">
        <v>1</v>
      </c>
      <c r="E135" s="43">
        <v>1.0425354462051709E-4</v>
      </c>
    </row>
    <row r="136" spans="2:5" ht="15" customHeight="1" x14ac:dyDescent="0.25">
      <c r="B136" s="81"/>
      <c r="C136" s="45" t="s">
        <v>187</v>
      </c>
      <c r="D136" s="44">
        <v>2</v>
      </c>
      <c r="E136" s="43">
        <v>2.0850708924103419E-4</v>
      </c>
    </row>
    <row r="137" spans="2:5" ht="15" customHeight="1" x14ac:dyDescent="0.25">
      <c r="B137" s="81"/>
      <c r="C137" s="45" t="s">
        <v>186</v>
      </c>
      <c r="D137" s="44">
        <v>3</v>
      </c>
      <c r="E137" s="43">
        <v>3.1276063386155128E-4</v>
      </c>
    </row>
    <row r="138" spans="2:5" ht="15" customHeight="1" x14ac:dyDescent="0.25">
      <c r="B138" s="81"/>
      <c r="C138" s="45" t="s">
        <v>184</v>
      </c>
      <c r="D138" s="44">
        <v>2</v>
      </c>
      <c r="E138" s="43">
        <v>2.0850708924103419E-4</v>
      </c>
    </row>
    <row r="139" spans="2:5" ht="15" customHeight="1" x14ac:dyDescent="0.25">
      <c r="B139" s="81"/>
      <c r="C139" s="45" t="s">
        <v>183</v>
      </c>
      <c r="D139" s="44">
        <v>3</v>
      </c>
      <c r="E139" s="43">
        <v>3.1276063386155128E-4</v>
      </c>
    </row>
    <row r="140" spans="2:5" ht="15" customHeight="1" x14ac:dyDescent="0.25">
      <c r="B140" s="81"/>
      <c r="C140" s="45" t="s">
        <v>182</v>
      </c>
      <c r="D140" s="44">
        <v>10</v>
      </c>
      <c r="E140" s="43">
        <v>1.0425354462051709E-3</v>
      </c>
    </row>
    <row r="141" spans="2:5" ht="15" customHeight="1" x14ac:dyDescent="0.25">
      <c r="B141" s="81"/>
      <c r="C141" s="45" t="s">
        <v>181</v>
      </c>
      <c r="D141" s="44">
        <v>1</v>
      </c>
      <c r="E141" s="43">
        <v>1.0425354462051709E-4</v>
      </c>
    </row>
    <row r="142" spans="2:5" ht="15" customHeight="1" x14ac:dyDescent="0.25">
      <c r="B142" s="81"/>
      <c r="C142" s="45" t="s">
        <v>180</v>
      </c>
      <c r="D142" s="44">
        <v>2</v>
      </c>
      <c r="E142" s="43">
        <v>2.0850708924103419E-4</v>
      </c>
    </row>
    <row r="143" spans="2:5" ht="15" customHeight="1" x14ac:dyDescent="0.25">
      <c r="B143" s="81"/>
      <c r="C143" s="45" t="s">
        <v>179</v>
      </c>
      <c r="D143" s="44">
        <v>9</v>
      </c>
      <c r="E143" s="43">
        <v>9.3828190158465384E-4</v>
      </c>
    </row>
    <row r="144" spans="2:5" ht="15" customHeight="1" x14ac:dyDescent="0.25">
      <c r="B144" s="81"/>
      <c r="C144" s="45" t="s">
        <v>178</v>
      </c>
      <c r="D144" s="44">
        <v>1</v>
      </c>
      <c r="E144" s="43">
        <v>1.0425354462051709E-4</v>
      </c>
    </row>
    <row r="145" spans="2:5" ht="15" customHeight="1" x14ac:dyDescent="0.25">
      <c r="B145" s="81"/>
      <c r="C145" s="45" t="s">
        <v>173</v>
      </c>
      <c r="D145" s="44">
        <v>3</v>
      </c>
      <c r="E145" s="43">
        <v>3.1276063386155128E-4</v>
      </c>
    </row>
    <row r="146" spans="2:5" ht="15" customHeight="1" x14ac:dyDescent="0.25">
      <c r="B146" s="82"/>
      <c r="C146" s="42" t="s">
        <v>22</v>
      </c>
      <c r="D146" s="41">
        <v>38</v>
      </c>
      <c r="E146" s="40">
        <v>3.9616346955796498E-3</v>
      </c>
    </row>
    <row r="147" spans="2:5" ht="15" customHeight="1" x14ac:dyDescent="0.25">
      <c r="B147" s="80" t="s">
        <v>81</v>
      </c>
      <c r="C147" s="45" t="s">
        <v>193</v>
      </c>
      <c r="D147" s="44">
        <v>1</v>
      </c>
      <c r="E147" s="43">
        <v>1.0425354462051709E-4</v>
      </c>
    </row>
    <row r="148" spans="2:5" ht="15" customHeight="1" x14ac:dyDescent="0.25">
      <c r="B148" s="81"/>
      <c r="C148" s="45" t="s">
        <v>190</v>
      </c>
      <c r="D148" s="44">
        <v>2</v>
      </c>
      <c r="E148" s="43">
        <v>2.0850708924103419E-4</v>
      </c>
    </row>
    <row r="149" spans="2:5" ht="15" customHeight="1" x14ac:dyDescent="0.25">
      <c r="B149" s="81"/>
      <c r="C149" s="45" t="s">
        <v>189</v>
      </c>
      <c r="D149" s="44">
        <v>1</v>
      </c>
      <c r="E149" s="43">
        <v>1.0425354462051709E-4</v>
      </c>
    </row>
    <row r="150" spans="2:5" ht="15" customHeight="1" x14ac:dyDescent="0.25">
      <c r="B150" s="81"/>
      <c r="C150" s="45" t="s">
        <v>188</v>
      </c>
      <c r="D150" s="44">
        <v>2</v>
      </c>
      <c r="E150" s="43">
        <v>2.0850708924103419E-4</v>
      </c>
    </row>
    <row r="151" spans="2:5" ht="15" customHeight="1" x14ac:dyDescent="0.25">
      <c r="B151" s="81"/>
      <c r="C151" s="45" t="s">
        <v>187</v>
      </c>
      <c r="D151" s="44">
        <v>7</v>
      </c>
      <c r="E151" s="43">
        <v>7.2977481234361965E-4</v>
      </c>
    </row>
    <row r="152" spans="2:5" ht="15" customHeight="1" x14ac:dyDescent="0.25">
      <c r="B152" s="81"/>
      <c r="C152" s="45" t="s">
        <v>186</v>
      </c>
      <c r="D152" s="44">
        <v>4</v>
      </c>
      <c r="E152" s="43">
        <v>4.1701417848206837E-4</v>
      </c>
    </row>
    <row r="153" spans="2:5" ht="15" customHeight="1" x14ac:dyDescent="0.25">
      <c r="B153" s="81"/>
      <c r="C153" s="45" t="s">
        <v>185</v>
      </c>
      <c r="D153" s="44">
        <v>1</v>
      </c>
      <c r="E153" s="43">
        <v>1.0425354462051709E-4</v>
      </c>
    </row>
    <row r="154" spans="2:5" ht="15" customHeight="1" x14ac:dyDescent="0.25">
      <c r="B154" s="81"/>
      <c r="C154" s="45" t="s">
        <v>184</v>
      </c>
      <c r="D154" s="44">
        <v>6</v>
      </c>
      <c r="E154" s="43">
        <v>6.2552126772310256E-4</v>
      </c>
    </row>
    <row r="155" spans="2:5" ht="15" customHeight="1" x14ac:dyDescent="0.25">
      <c r="B155" s="81"/>
      <c r="C155" s="45" t="s">
        <v>183</v>
      </c>
      <c r="D155" s="44">
        <v>3</v>
      </c>
      <c r="E155" s="43">
        <v>3.1276063386155128E-4</v>
      </c>
    </row>
    <row r="156" spans="2:5" ht="15" customHeight="1" x14ac:dyDescent="0.25">
      <c r="B156" s="81"/>
      <c r="C156" s="45" t="s">
        <v>182</v>
      </c>
      <c r="D156" s="44">
        <v>12</v>
      </c>
      <c r="E156" s="43">
        <v>1.2510425354462051E-3</v>
      </c>
    </row>
    <row r="157" spans="2:5" ht="15" customHeight="1" x14ac:dyDescent="0.25">
      <c r="B157" s="81"/>
      <c r="C157" s="45" t="s">
        <v>181</v>
      </c>
      <c r="D157" s="44">
        <v>5</v>
      </c>
      <c r="E157" s="43">
        <v>5.2126772310258547E-4</v>
      </c>
    </row>
    <row r="158" spans="2:5" ht="15" customHeight="1" x14ac:dyDescent="0.25">
      <c r="B158" s="81"/>
      <c r="C158" s="45" t="s">
        <v>180</v>
      </c>
      <c r="D158" s="44">
        <v>6</v>
      </c>
      <c r="E158" s="43">
        <v>6.2552126772310256E-4</v>
      </c>
    </row>
    <row r="159" spans="2:5" ht="15" customHeight="1" x14ac:dyDescent="0.25">
      <c r="B159" s="81"/>
      <c r="C159" s="45" t="s">
        <v>179</v>
      </c>
      <c r="D159" s="44">
        <v>16</v>
      </c>
      <c r="E159" s="43">
        <v>1.6680567139282735E-3</v>
      </c>
    </row>
    <row r="160" spans="2:5" ht="15" customHeight="1" x14ac:dyDescent="0.25">
      <c r="B160" s="81"/>
      <c r="C160" s="45" t="s">
        <v>175</v>
      </c>
      <c r="D160" s="44">
        <v>1</v>
      </c>
      <c r="E160" s="43">
        <v>1.0425354462051709E-4</v>
      </c>
    </row>
    <row r="161" spans="2:5" ht="15" customHeight="1" x14ac:dyDescent="0.25">
      <c r="B161" s="81"/>
      <c r="C161" s="45" t="s">
        <v>174</v>
      </c>
      <c r="D161" s="44">
        <v>3</v>
      </c>
      <c r="E161" s="43">
        <v>3.1276063386155128E-4</v>
      </c>
    </row>
    <row r="162" spans="2:5" ht="15" customHeight="1" x14ac:dyDescent="0.25">
      <c r="B162" s="81"/>
      <c r="C162" s="45" t="s">
        <v>173</v>
      </c>
      <c r="D162" s="44">
        <v>4</v>
      </c>
      <c r="E162" s="43">
        <v>4.1701417848206837E-4</v>
      </c>
    </row>
    <row r="163" spans="2:5" ht="15" customHeight="1" x14ac:dyDescent="0.25">
      <c r="B163" s="81"/>
      <c r="C163" s="45" t="s">
        <v>170</v>
      </c>
      <c r="D163" s="44">
        <v>1</v>
      </c>
      <c r="E163" s="43">
        <v>1.0425354462051709E-4</v>
      </c>
    </row>
    <row r="164" spans="2:5" ht="15" customHeight="1" x14ac:dyDescent="0.25">
      <c r="B164" s="82"/>
      <c r="C164" s="42" t="s">
        <v>22</v>
      </c>
      <c r="D164" s="41">
        <v>75</v>
      </c>
      <c r="E164" s="40">
        <v>7.8190158465387821E-3</v>
      </c>
    </row>
    <row r="165" spans="2:5" ht="15" customHeight="1" x14ac:dyDescent="0.25">
      <c r="B165" s="80" t="s">
        <v>69</v>
      </c>
      <c r="C165" s="45" t="s">
        <v>190</v>
      </c>
      <c r="D165" s="44">
        <v>1</v>
      </c>
      <c r="E165" s="43">
        <v>1.0425354462051709E-4</v>
      </c>
    </row>
    <row r="166" spans="2:5" ht="15" customHeight="1" x14ac:dyDescent="0.25">
      <c r="B166" s="82"/>
      <c r="C166" s="42" t="s">
        <v>22</v>
      </c>
      <c r="D166" s="41">
        <v>1</v>
      </c>
      <c r="E166" s="40">
        <v>1.0425354462051709E-4</v>
      </c>
    </row>
    <row r="167" spans="2:5" ht="15" customHeight="1" x14ac:dyDescent="0.25">
      <c r="B167" s="80" t="s">
        <v>79</v>
      </c>
      <c r="C167" s="45" t="s">
        <v>187</v>
      </c>
      <c r="D167" s="44">
        <v>3</v>
      </c>
      <c r="E167" s="43">
        <v>3.1276063386155128E-4</v>
      </c>
    </row>
    <row r="168" spans="2:5" ht="15" customHeight="1" x14ac:dyDescent="0.25">
      <c r="B168" s="81"/>
      <c r="C168" s="45" t="s">
        <v>186</v>
      </c>
      <c r="D168" s="44">
        <v>3</v>
      </c>
      <c r="E168" s="43">
        <v>3.1276063386155128E-4</v>
      </c>
    </row>
    <row r="169" spans="2:5" ht="15" customHeight="1" x14ac:dyDescent="0.25">
      <c r="B169" s="81"/>
      <c r="C169" s="45" t="s">
        <v>183</v>
      </c>
      <c r="D169" s="44">
        <v>1</v>
      </c>
      <c r="E169" s="43">
        <v>1.0425354462051709E-4</v>
      </c>
    </row>
    <row r="170" spans="2:5" ht="15" customHeight="1" x14ac:dyDescent="0.25">
      <c r="B170" s="81"/>
      <c r="C170" s="45" t="s">
        <v>182</v>
      </c>
      <c r="D170" s="44">
        <v>6</v>
      </c>
      <c r="E170" s="43">
        <v>6.2552126772310256E-4</v>
      </c>
    </row>
    <row r="171" spans="2:5" ht="15" customHeight="1" x14ac:dyDescent="0.25">
      <c r="B171" s="81"/>
      <c r="C171" s="45" t="s">
        <v>181</v>
      </c>
      <c r="D171" s="44">
        <v>3</v>
      </c>
      <c r="E171" s="43">
        <v>3.1276063386155128E-4</v>
      </c>
    </row>
    <row r="172" spans="2:5" ht="15" customHeight="1" x14ac:dyDescent="0.25">
      <c r="B172" s="81"/>
      <c r="C172" s="45" t="s">
        <v>180</v>
      </c>
      <c r="D172" s="44">
        <v>2</v>
      </c>
      <c r="E172" s="43">
        <v>2.0850708924103419E-4</v>
      </c>
    </row>
    <row r="173" spans="2:5" ht="15" customHeight="1" x14ac:dyDescent="0.25">
      <c r="B173" s="81"/>
      <c r="C173" s="45" t="s">
        <v>179</v>
      </c>
      <c r="D173" s="44">
        <v>5</v>
      </c>
      <c r="E173" s="43">
        <v>5.2126772310258547E-4</v>
      </c>
    </row>
    <row r="174" spans="2:5" ht="15" customHeight="1" x14ac:dyDescent="0.25">
      <c r="B174" s="81"/>
      <c r="C174" s="45" t="s">
        <v>177</v>
      </c>
      <c r="D174" s="44">
        <v>1</v>
      </c>
      <c r="E174" s="43">
        <v>1.0425354462051709E-4</v>
      </c>
    </row>
    <row r="175" spans="2:5" ht="15" customHeight="1" x14ac:dyDescent="0.25">
      <c r="B175" s="81"/>
      <c r="C175" s="45" t="s">
        <v>173</v>
      </c>
      <c r="D175" s="44">
        <v>5</v>
      </c>
      <c r="E175" s="43">
        <v>5.2126772310258547E-4</v>
      </c>
    </row>
    <row r="176" spans="2:5" ht="15" customHeight="1" x14ac:dyDescent="0.25">
      <c r="B176" s="81"/>
      <c r="C176" s="45" t="s">
        <v>197</v>
      </c>
      <c r="D176" s="44">
        <v>1</v>
      </c>
      <c r="E176" s="43">
        <v>1.0425354462051709E-4</v>
      </c>
    </row>
    <row r="177" spans="2:5" ht="15" customHeight="1" x14ac:dyDescent="0.25">
      <c r="B177" s="82"/>
      <c r="C177" s="42" t="s">
        <v>22</v>
      </c>
      <c r="D177" s="41">
        <v>30</v>
      </c>
      <c r="E177" s="40">
        <v>3.127606338615513E-3</v>
      </c>
    </row>
    <row r="178" spans="2:5" ht="15" customHeight="1" x14ac:dyDescent="0.25">
      <c r="B178" s="80" t="s">
        <v>92</v>
      </c>
      <c r="C178" s="45" t="s">
        <v>190</v>
      </c>
      <c r="D178" s="44">
        <v>1</v>
      </c>
      <c r="E178" s="43">
        <v>1.0425354462051709E-4</v>
      </c>
    </row>
    <row r="179" spans="2:5" ht="15" customHeight="1" x14ac:dyDescent="0.25">
      <c r="B179" s="81"/>
      <c r="C179" s="45" t="s">
        <v>183</v>
      </c>
      <c r="D179" s="44">
        <v>1</v>
      </c>
      <c r="E179" s="43">
        <v>1.0425354462051709E-4</v>
      </c>
    </row>
    <row r="180" spans="2:5" ht="15" customHeight="1" x14ac:dyDescent="0.25">
      <c r="B180" s="81"/>
      <c r="C180" s="45" t="s">
        <v>182</v>
      </c>
      <c r="D180" s="44">
        <v>6</v>
      </c>
      <c r="E180" s="43">
        <v>6.2552126772310256E-4</v>
      </c>
    </row>
    <row r="181" spans="2:5" ht="15" customHeight="1" x14ac:dyDescent="0.25">
      <c r="B181" s="81"/>
      <c r="C181" s="45" t="s">
        <v>180</v>
      </c>
      <c r="D181" s="44">
        <v>1</v>
      </c>
      <c r="E181" s="43">
        <v>1.0425354462051709E-4</v>
      </c>
    </row>
    <row r="182" spans="2:5" ht="15" customHeight="1" x14ac:dyDescent="0.25">
      <c r="B182" s="81"/>
      <c r="C182" s="45" t="s">
        <v>179</v>
      </c>
      <c r="D182" s="44">
        <v>1</v>
      </c>
      <c r="E182" s="43">
        <v>1.0425354462051709E-4</v>
      </c>
    </row>
    <row r="183" spans="2:5" ht="15" customHeight="1" x14ac:dyDescent="0.25">
      <c r="B183" s="81"/>
      <c r="C183" s="45" t="s">
        <v>174</v>
      </c>
      <c r="D183" s="44">
        <v>1</v>
      </c>
      <c r="E183" s="43">
        <v>1.0425354462051709E-4</v>
      </c>
    </row>
    <row r="184" spans="2:5" ht="15" customHeight="1" x14ac:dyDescent="0.25">
      <c r="B184" s="82"/>
      <c r="C184" s="42" t="s">
        <v>22</v>
      </c>
      <c r="D184" s="41">
        <v>11</v>
      </c>
      <c r="E184" s="40">
        <v>1.1467889908256881E-3</v>
      </c>
    </row>
    <row r="185" spans="2:5" ht="15" customHeight="1" x14ac:dyDescent="0.25">
      <c r="B185" s="80" t="s">
        <v>108</v>
      </c>
      <c r="C185" s="45" t="s">
        <v>192</v>
      </c>
      <c r="D185" s="44">
        <v>1</v>
      </c>
      <c r="E185" s="43">
        <v>1.0425354462051709E-4</v>
      </c>
    </row>
    <row r="186" spans="2:5" ht="15" customHeight="1" x14ac:dyDescent="0.25">
      <c r="B186" s="81"/>
      <c r="C186" s="45" t="s">
        <v>191</v>
      </c>
      <c r="D186" s="44">
        <v>2</v>
      </c>
      <c r="E186" s="43">
        <v>2.0850708924103419E-4</v>
      </c>
    </row>
    <row r="187" spans="2:5" ht="15" customHeight="1" x14ac:dyDescent="0.25">
      <c r="B187" s="81"/>
      <c r="C187" s="45" t="s">
        <v>190</v>
      </c>
      <c r="D187" s="44">
        <v>1</v>
      </c>
      <c r="E187" s="43">
        <v>1.0425354462051709E-4</v>
      </c>
    </row>
    <row r="188" spans="2:5" ht="15" customHeight="1" x14ac:dyDescent="0.25">
      <c r="B188" s="81"/>
      <c r="C188" s="45" t="s">
        <v>187</v>
      </c>
      <c r="D188" s="44">
        <v>3</v>
      </c>
      <c r="E188" s="43">
        <v>3.1276063386155128E-4</v>
      </c>
    </row>
    <row r="189" spans="2:5" ht="15" customHeight="1" x14ac:dyDescent="0.25">
      <c r="B189" s="81"/>
      <c r="C189" s="45" t="s">
        <v>186</v>
      </c>
      <c r="D189" s="44">
        <v>4</v>
      </c>
      <c r="E189" s="43">
        <v>4.1701417848206837E-4</v>
      </c>
    </row>
    <row r="190" spans="2:5" ht="15" customHeight="1" x14ac:dyDescent="0.25">
      <c r="B190" s="81"/>
      <c r="C190" s="45" t="s">
        <v>185</v>
      </c>
      <c r="D190" s="44">
        <v>1</v>
      </c>
      <c r="E190" s="43">
        <v>1.0425354462051709E-4</v>
      </c>
    </row>
    <row r="191" spans="2:5" ht="15" customHeight="1" x14ac:dyDescent="0.25">
      <c r="B191" s="81"/>
      <c r="C191" s="45" t="s">
        <v>184</v>
      </c>
      <c r="D191" s="44">
        <v>1</v>
      </c>
      <c r="E191" s="43">
        <v>1.0425354462051709E-4</v>
      </c>
    </row>
    <row r="192" spans="2:5" ht="15" customHeight="1" x14ac:dyDescent="0.25">
      <c r="B192" s="81"/>
      <c r="C192" s="45" t="s">
        <v>183</v>
      </c>
      <c r="D192" s="44">
        <v>2</v>
      </c>
      <c r="E192" s="43">
        <v>2.0850708924103419E-4</v>
      </c>
    </row>
    <row r="193" spans="2:5" ht="15" customHeight="1" x14ac:dyDescent="0.25">
      <c r="B193" s="81"/>
      <c r="C193" s="45" t="s">
        <v>182</v>
      </c>
      <c r="D193" s="44">
        <v>5</v>
      </c>
      <c r="E193" s="43">
        <v>5.2126772310258547E-4</v>
      </c>
    </row>
    <row r="194" spans="2:5" ht="15" customHeight="1" x14ac:dyDescent="0.25">
      <c r="B194" s="81"/>
      <c r="C194" s="45" t="s">
        <v>181</v>
      </c>
      <c r="D194" s="44">
        <v>1</v>
      </c>
      <c r="E194" s="43">
        <v>1.0425354462051709E-4</v>
      </c>
    </row>
    <row r="195" spans="2:5" ht="15" customHeight="1" x14ac:dyDescent="0.25">
      <c r="B195" s="81"/>
      <c r="C195" s="45" t="s">
        <v>180</v>
      </c>
      <c r="D195" s="44">
        <v>3</v>
      </c>
      <c r="E195" s="43">
        <v>3.1276063386155128E-4</v>
      </c>
    </row>
    <row r="196" spans="2:5" ht="15" customHeight="1" x14ac:dyDescent="0.25">
      <c r="B196" s="81"/>
      <c r="C196" s="45" t="s">
        <v>179</v>
      </c>
      <c r="D196" s="44">
        <v>9</v>
      </c>
      <c r="E196" s="43">
        <v>9.3828190158465384E-4</v>
      </c>
    </row>
    <row r="197" spans="2:5" ht="15" customHeight="1" x14ac:dyDescent="0.25">
      <c r="B197" s="81"/>
      <c r="C197" s="45" t="s">
        <v>176</v>
      </c>
      <c r="D197" s="44">
        <v>1</v>
      </c>
      <c r="E197" s="43">
        <v>1.0425354462051709E-4</v>
      </c>
    </row>
    <row r="198" spans="2:5" ht="15" customHeight="1" x14ac:dyDescent="0.25">
      <c r="B198" s="82"/>
      <c r="C198" s="42" t="s">
        <v>22</v>
      </c>
      <c r="D198" s="41">
        <v>34</v>
      </c>
      <c r="E198" s="40">
        <v>3.5446205170975814E-3</v>
      </c>
    </row>
    <row r="199" spans="2:5" ht="15" customHeight="1" x14ac:dyDescent="0.25">
      <c r="B199" s="80" t="s">
        <v>112</v>
      </c>
      <c r="C199" s="45" t="s">
        <v>193</v>
      </c>
      <c r="D199" s="44">
        <v>9</v>
      </c>
      <c r="E199" s="43">
        <v>9.3828190158465384E-4</v>
      </c>
    </row>
    <row r="200" spans="2:5" ht="15" customHeight="1" x14ac:dyDescent="0.25">
      <c r="B200" s="81"/>
      <c r="C200" s="45" t="s">
        <v>192</v>
      </c>
      <c r="D200" s="44">
        <v>3</v>
      </c>
      <c r="E200" s="43">
        <v>3.1276063386155128E-4</v>
      </c>
    </row>
    <row r="201" spans="2:5" ht="15" customHeight="1" x14ac:dyDescent="0.25">
      <c r="B201" s="81"/>
      <c r="C201" s="45" t="s">
        <v>191</v>
      </c>
      <c r="D201" s="44">
        <v>12</v>
      </c>
      <c r="E201" s="43">
        <v>1.2510425354462051E-3</v>
      </c>
    </row>
    <row r="202" spans="2:5" ht="15" customHeight="1" x14ac:dyDescent="0.25">
      <c r="B202" s="81"/>
      <c r="C202" s="45" t="s">
        <v>190</v>
      </c>
      <c r="D202" s="44">
        <v>21</v>
      </c>
      <c r="E202" s="43">
        <v>2.1893244370308589E-3</v>
      </c>
    </row>
    <row r="203" spans="2:5" ht="15" customHeight="1" x14ac:dyDescent="0.25">
      <c r="B203" s="81"/>
      <c r="C203" s="45" t="s">
        <v>189</v>
      </c>
      <c r="D203" s="44">
        <v>20</v>
      </c>
      <c r="E203" s="43">
        <v>2.0850708924103419E-3</v>
      </c>
    </row>
    <row r="204" spans="2:5" ht="15" customHeight="1" x14ac:dyDescent="0.25">
      <c r="B204" s="81"/>
      <c r="C204" s="45" t="s">
        <v>188</v>
      </c>
      <c r="D204" s="44">
        <v>29</v>
      </c>
      <c r="E204" s="43">
        <v>3.023352793994996E-3</v>
      </c>
    </row>
    <row r="205" spans="2:5" ht="15" customHeight="1" x14ac:dyDescent="0.25">
      <c r="B205" s="81"/>
      <c r="C205" s="45" t="s">
        <v>187</v>
      </c>
      <c r="D205" s="44">
        <v>151</v>
      </c>
      <c r="E205" s="43">
        <v>1.5742285237698082E-2</v>
      </c>
    </row>
    <row r="206" spans="2:5" ht="15" customHeight="1" x14ac:dyDescent="0.25">
      <c r="B206" s="81"/>
      <c r="C206" s="45" t="s">
        <v>186</v>
      </c>
      <c r="D206" s="44">
        <v>227</v>
      </c>
      <c r="E206" s="43">
        <v>2.3665554628857381E-2</v>
      </c>
    </row>
    <row r="207" spans="2:5" ht="15" customHeight="1" x14ac:dyDescent="0.25">
      <c r="B207" s="81"/>
      <c r="C207" s="45" t="s">
        <v>185</v>
      </c>
      <c r="D207" s="44">
        <v>19</v>
      </c>
      <c r="E207" s="43">
        <v>1.9808173477898249E-3</v>
      </c>
    </row>
    <row r="208" spans="2:5" ht="15" customHeight="1" x14ac:dyDescent="0.25">
      <c r="B208" s="81"/>
      <c r="C208" s="45" t="s">
        <v>184</v>
      </c>
      <c r="D208" s="44">
        <v>55</v>
      </c>
      <c r="E208" s="43">
        <v>5.7339449541284407E-3</v>
      </c>
    </row>
    <row r="209" spans="2:5" ht="15" customHeight="1" x14ac:dyDescent="0.25">
      <c r="B209" s="81"/>
      <c r="C209" s="45" t="s">
        <v>183</v>
      </c>
      <c r="D209" s="44">
        <v>126</v>
      </c>
      <c r="E209" s="43">
        <v>1.3135946622185155E-2</v>
      </c>
    </row>
    <row r="210" spans="2:5" ht="15" customHeight="1" x14ac:dyDescent="0.25">
      <c r="B210" s="81"/>
      <c r="C210" s="45" t="s">
        <v>182</v>
      </c>
      <c r="D210" s="44">
        <v>901</v>
      </c>
      <c r="E210" s="43">
        <v>9.3932443703085899E-2</v>
      </c>
    </row>
    <row r="211" spans="2:5" ht="15" customHeight="1" x14ac:dyDescent="0.25">
      <c r="B211" s="81"/>
      <c r="C211" s="45" t="s">
        <v>181</v>
      </c>
      <c r="D211" s="44">
        <v>167</v>
      </c>
      <c r="E211" s="43">
        <v>1.7410341951626357E-2</v>
      </c>
    </row>
    <row r="212" spans="2:5" ht="15" customHeight="1" x14ac:dyDescent="0.25">
      <c r="B212" s="81"/>
      <c r="C212" s="45" t="s">
        <v>180</v>
      </c>
      <c r="D212" s="44">
        <v>253</v>
      </c>
      <c r="E212" s="43">
        <v>2.6376146788990827E-2</v>
      </c>
    </row>
    <row r="213" spans="2:5" ht="15" customHeight="1" x14ac:dyDescent="0.25">
      <c r="B213" s="81"/>
      <c r="C213" s="45" t="s">
        <v>179</v>
      </c>
      <c r="D213" s="44">
        <v>825</v>
      </c>
      <c r="E213" s="43">
        <v>8.6009174311926603E-2</v>
      </c>
    </row>
    <row r="214" spans="2:5" ht="15" customHeight="1" x14ac:dyDescent="0.25">
      <c r="B214" s="81"/>
      <c r="C214" s="45" t="s">
        <v>178</v>
      </c>
      <c r="D214" s="44">
        <v>19</v>
      </c>
      <c r="E214" s="43">
        <v>1.9808173477898249E-3</v>
      </c>
    </row>
    <row r="215" spans="2:5" ht="15" customHeight="1" x14ac:dyDescent="0.25">
      <c r="B215" s="81"/>
      <c r="C215" s="45" t="s">
        <v>177</v>
      </c>
      <c r="D215" s="44">
        <v>10</v>
      </c>
      <c r="E215" s="43">
        <v>1.0425354462051709E-3</v>
      </c>
    </row>
    <row r="216" spans="2:5" ht="15" customHeight="1" x14ac:dyDescent="0.25">
      <c r="B216" s="81"/>
      <c r="C216" s="45" t="s">
        <v>176</v>
      </c>
      <c r="D216" s="44">
        <v>7</v>
      </c>
      <c r="E216" s="43">
        <v>7.2977481234361965E-4</v>
      </c>
    </row>
    <row r="217" spans="2:5" ht="15" customHeight="1" x14ac:dyDescent="0.25">
      <c r="B217" s="81"/>
      <c r="C217" s="45" t="s">
        <v>175</v>
      </c>
      <c r="D217" s="44">
        <v>2</v>
      </c>
      <c r="E217" s="43">
        <v>2.0850708924103419E-4</v>
      </c>
    </row>
    <row r="218" spans="2:5" ht="15" customHeight="1" x14ac:dyDescent="0.25">
      <c r="B218" s="81"/>
      <c r="C218" s="45" t="s">
        <v>174</v>
      </c>
      <c r="D218" s="44">
        <v>97</v>
      </c>
      <c r="E218" s="43">
        <v>1.0112593828190158E-2</v>
      </c>
    </row>
    <row r="219" spans="2:5" ht="15" customHeight="1" x14ac:dyDescent="0.25">
      <c r="B219" s="81"/>
      <c r="C219" s="45" t="s">
        <v>173</v>
      </c>
      <c r="D219" s="44">
        <v>195</v>
      </c>
      <c r="E219" s="43">
        <v>2.0329441201000834E-2</v>
      </c>
    </row>
    <row r="220" spans="2:5" ht="15" customHeight="1" x14ac:dyDescent="0.25">
      <c r="B220" s="81"/>
      <c r="C220" s="45" t="s">
        <v>197</v>
      </c>
      <c r="D220" s="44">
        <v>6</v>
      </c>
      <c r="E220" s="43">
        <v>6.2552126772310256E-4</v>
      </c>
    </row>
    <row r="221" spans="2:5" ht="15" customHeight="1" x14ac:dyDescent="0.25">
      <c r="B221" s="81"/>
      <c r="C221" s="45" t="s">
        <v>171</v>
      </c>
      <c r="D221" s="44">
        <v>7</v>
      </c>
      <c r="E221" s="43">
        <v>7.2977481234361965E-4</v>
      </c>
    </row>
    <row r="222" spans="2:5" ht="15" customHeight="1" x14ac:dyDescent="0.25">
      <c r="B222" s="81"/>
      <c r="C222" s="45" t="s">
        <v>170</v>
      </c>
      <c r="D222" s="44">
        <v>6</v>
      </c>
      <c r="E222" s="43">
        <v>6.2552126772310256E-4</v>
      </c>
    </row>
    <row r="223" spans="2:5" ht="15" customHeight="1" x14ac:dyDescent="0.25">
      <c r="B223" s="82"/>
      <c r="C223" s="42" t="s">
        <v>22</v>
      </c>
      <c r="D223" s="41">
        <v>3167</v>
      </c>
      <c r="E223" s="40">
        <v>0.33017097581317767</v>
      </c>
    </row>
    <row r="224" spans="2:5" ht="15" customHeight="1" x14ac:dyDescent="0.25">
      <c r="B224" s="80" t="s">
        <v>201</v>
      </c>
      <c r="C224" s="45" t="s">
        <v>191</v>
      </c>
      <c r="D224" s="44">
        <v>1</v>
      </c>
      <c r="E224" s="43">
        <v>1.0425354462051709E-4</v>
      </c>
    </row>
    <row r="225" spans="2:5" ht="15" customHeight="1" x14ac:dyDescent="0.25">
      <c r="B225" s="81"/>
      <c r="C225" s="45" t="s">
        <v>188</v>
      </c>
      <c r="D225" s="44">
        <v>1</v>
      </c>
      <c r="E225" s="43">
        <v>1.0425354462051709E-4</v>
      </c>
    </row>
    <row r="226" spans="2:5" ht="15" customHeight="1" x14ac:dyDescent="0.25">
      <c r="B226" s="81"/>
      <c r="C226" s="45" t="s">
        <v>187</v>
      </c>
      <c r="D226" s="44">
        <v>3</v>
      </c>
      <c r="E226" s="43">
        <v>3.1276063386155128E-4</v>
      </c>
    </row>
    <row r="227" spans="2:5" ht="15" customHeight="1" x14ac:dyDescent="0.25">
      <c r="B227" s="81"/>
      <c r="C227" s="45" t="s">
        <v>186</v>
      </c>
      <c r="D227" s="44">
        <v>9</v>
      </c>
      <c r="E227" s="43">
        <v>9.3828190158465384E-4</v>
      </c>
    </row>
    <row r="228" spans="2:5" ht="15" customHeight="1" x14ac:dyDescent="0.25">
      <c r="B228" s="81"/>
      <c r="C228" s="45" t="s">
        <v>184</v>
      </c>
      <c r="D228" s="44">
        <v>2</v>
      </c>
      <c r="E228" s="43">
        <v>2.0850708924103419E-4</v>
      </c>
    </row>
    <row r="229" spans="2:5" ht="15" customHeight="1" x14ac:dyDescent="0.25">
      <c r="B229" s="81"/>
      <c r="C229" s="45" t="s">
        <v>183</v>
      </c>
      <c r="D229" s="44">
        <v>1</v>
      </c>
      <c r="E229" s="43">
        <v>1.0425354462051709E-4</v>
      </c>
    </row>
    <row r="230" spans="2:5" ht="15" customHeight="1" x14ac:dyDescent="0.25">
      <c r="B230" s="81"/>
      <c r="C230" s="45" t="s">
        <v>182</v>
      </c>
      <c r="D230" s="44">
        <v>24</v>
      </c>
      <c r="E230" s="43">
        <v>2.5020850708924102E-3</v>
      </c>
    </row>
    <row r="231" spans="2:5" ht="15" customHeight="1" x14ac:dyDescent="0.25">
      <c r="B231" s="81"/>
      <c r="C231" s="45" t="s">
        <v>181</v>
      </c>
      <c r="D231" s="44">
        <v>1</v>
      </c>
      <c r="E231" s="43">
        <v>1.0425354462051709E-4</v>
      </c>
    </row>
    <row r="232" spans="2:5" ht="15" customHeight="1" x14ac:dyDescent="0.25">
      <c r="B232" s="81"/>
      <c r="C232" s="45" t="s">
        <v>180</v>
      </c>
      <c r="D232" s="44">
        <v>7</v>
      </c>
      <c r="E232" s="43">
        <v>7.2977481234361965E-4</v>
      </c>
    </row>
    <row r="233" spans="2:5" ht="15" customHeight="1" x14ac:dyDescent="0.25">
      <c r="B233" s="81"/>
      <c r="C233" s="45" t="s">
        <v>179</v>
      </c>
      <c r="D233" s="44">
        <v>13</v>
      </c>
      <c r="E233" s="43">
        <v>1.3552960800667223E-3</v>
      </c>
    </row>
    <row r="234" spans="2:5" ht="15" customHeight="1" x14ac:dyDescent="0.25">
      <c r="B234" s="81"/>
      <c r="C234" s="45" t="s">
        <v>174</v>
      </c>
      <c r="D234" s="44">
        <v>1</v>
      </c>
      <c r="E234" s="43">
        <v>1.0425354462051709E-4</v>
      </c>
    </row>
    <row r="235" spans="2:5" ht="15" customHeight="1" x14ac:dyDescent="0.25">
      <c r="B235" s="81"/>
      <c r="C235" s="45" t="s">
        <v>171</v>
      </c>
      <c r="D235" s="44">
        <v>1</v>
      </c>
      <c r="E235" s="43">
        <v>1.0425354462051709E-4</v>
      </c>
    </row>
    <row r="236" spans="2:5" ht="15" customHeight="1" x14ac:dyDescent="0.25">
      <c r="B236" s="82"/>
      <c r="C236" s="42" t="s">
        <v>22</v>
      </c>
      <c r="D236" s="41">
        <v>64</v>
      </c>
      <c r="E236" s="40">
        <v>6.672226855713094E-3</v>
      </c>
    </row>
    <row r="237" spans="2:5" ht="15" customHeight="1" x14ac:dyDescent="0.25">
      <c r="B237" s="80" t="s">
        <v>91</v>
      </c>
      <c r="C237" s="45" t="s">
        <v>192</v>
      </c>
      <c r="D237" s="44">
        <v>1</v>
      </c>
      <c r="E237" s="43">
        <v>1.0425354462051709E-4</v>
      </c>
    </row>
    <row r="238" spans="2:5" ht="15" customHeight="1" x14ac:dyDescent="0.25">
      <c r="B238" s="81"/>
      <c r="C238" s="45" t="s">
        <v>190</v>
      </c>
      <c r="D238" s="44">
        <v>2</v>
      </c>
      <c r="E238" s="43">
        <v>2.0850708924103419E-4</v>
      </c>
    </row>
    <row r="239" spans="2:5" ht="15" customHeight="1" x14ac:dyDescent="0.25">
      <c r="B239" s="81"/>
      <c r="C239" s="45" t="s">
        <v>189</v>
      </c>
      <c r="D239" s="44">
        <v>1</v>
      </c>
      <c r="E239" s="43">
        <v>1.0425354462051709E-4</v>
      </c>
    </row>
    <row r="240" spans="2:5" ht="15" customHeight="1" x14ac:dyDescent="0.25">
      <c r="B240" s="81"/>
      <c r="C240" s="45" t="s">
        <v>188</v>
      </c>
      <c r="D240" s="44">
        <v>1</v>
      </c>
      <c r="E240" s="43">
        <v>1.0425354462051709E-4</v>
      </c>
    </row>
    <row r="241" spans="2:5" ht="15" customHeight="1" x14ac:dyDescent="0.25">
      <c r="B241" s="81"/>
      <c r="C241" s="45" t="s">
        <v>186</v>
      </c>
      <c r="D241" s="44">
        <v>2</v>
      </c>
      <c r="E241" s="43">
        <v>2.0850708924103419E-4</v>
      </c>
    </row>
    <row r="242" spans="2:5" ht="15" customHeight="1" x14ac:dyDescent="0.25">
      <c r="B242" s="81"/>
      <c r="C242" s="45" t="s">
        <v>183</v>
      </c>
      <c r="D242" s="44">
        <v>3</v>
      </c>
      <c r="E242" s="43">
        <v>3.1276063386155128E-4</v>
      </c>
    </row>
    <row r="243" spans="2:5" ht="15" customHeight="1" x14ac:dyDescent="0.25">
      <c r="B243" s="81"/>
      <c r="C243" s="45" t="s">
        <v>182</v>
      </c>
      <c r="D243" s="44">
        <v>17</v>
      </c>
      <c r="E243" s="43">
        <v>1.7723102585487907E-3</v>
      </c>
    </row>
    <row r="244" spans="2:5" ht="15" customHeight="1" x14ac:dyDescent="0.25">
      <c r="B244" s="81"/>
      <c r="C244" s="45" t="s">
        <v>181</v>
      </c>
      <c r="D244" s="44">
        <v>2</v>
      </c>
      <c r="E244" s="43">
        <v>2.0850708924103419E-4</v>
      </c>
    </row>
    <row r="245" spans="2:5" ht="15" customHeight="1" x14ac:dyDescent="0.25">
      <c r="B245" s="81"/>
      <c r="C245" s="45" t="s">
        <v>180</v>
      </c>
      <c r="D245" s="44">
        <v>4</v>
      </c>
      <c r="E245" s="43">
        <v>4.1701417848206837E-4</v>
      </c>
    </row>
    <row r="246" spans="2:5" ht="15" customHeight="1" x14ac:dyDescent="0.25">
      <c r="B246" s="81"/>
      <c r="C246" s="45" t="s">
        <v>179</v>
      </c>
      <c r="D246" s="44">
        <v>15</v>
      </c>
      <c r="E246" s="43">
        <v>1.5638031693077565E-3</v>
      </c>
    </row>
    <row r="247" spans="2:5" ht="15" customHeight="1" x14ac:dyDescent="0.25">
      <c r="B247" s="81"/>
      <c r="C247" s="45" t="s">
        <v>178</v>
      </c>
      <c r="D247" s="44">
        <v>1</v>
      </c>
      <c r="E247" s="43">
        <v>1.0425354462051709E-4</v>
      </c>
    </row>
    <row r="248" spans="2:5" ht="15" customHeight="1" x14ac:dyDescent="0.25">
      <c r="B248" s="81"/>
      <c r="C248" s="45" t="s">
        <v>174</v>
      </c>
      <c r="D248" s="44">
        <v>2</v>
      </c>
      <c r="E248" s="43">
        <v>2.0850708924103419E-4</v>
      </c>
    </row>
    <row r="249" spans="2:5" ht="15" customHeight="1" x14ac:dyDescent="0.25">
      <c r="B249" s="81"/>
      <c r="C249" s="45" t="s">
        <v>173</v>
      </c>
      <c r="D249" s="44">
        <v>5</v>
      </c>
      <c r="E249" s="43">
        <v>5.2126772310258547E-4</v>
      </c>
    </row>
    <row r="250" spans="2:5" ht="15" customHeight="1" x14ac:dyDescent="0.25">
      <c r="B250" s="81"/>
      <c r="C250" s="45" t="s">
        <v>197</v>
      </c>
      <c r="D250" s="44">
        <v>2</v>
      </c>
      <c r="E250" s="43">
        <v>2.0850708924103419E-4</v>
      </c>
    </row>
    <row r="251" spans="2:5" ht="15" customHeight="1" x14ac:dyDescent="0.25">
      <c r="B251" s="82"/>
      <c r="C251" s="42" t="s">
        <v>22</v>
      </c>
      <c r="D251" s="41">
        <v>58</v>
      </c>
      <c r="E251" s="40">
        <v>6.0467055879899921E-3</v>
      </c>
    </row>
    <row r="252" spans="2:5" ht="15" customHeight="1" x14ac:dyDescent="0.25">
      <c r="B252" s="80" t="s">
        <v>75</v>
      </c>
      <c r="C252" s="45" t="s">
        <v>192</v>
      </c>
      <c r="D252" s="44">
        <v>1</v>
      </c>
      <c r="E252" s="43">
        <v>1.0425354462051709E-4</v>
      </c>
    </row>
    <row r="253" spans="2:5" ht="15" customHeight="1" x14ac:dyDescent="0.25">
      <c r="B253" s="81"/>
      <c r="C253" s="45" t="s">
        <v>191</v>
      </c>
      <c r="D253" s="44">
        <v>1</v>
      </c>
      <c r="E253" s="43">
        <v>1.0425354462051709E-4</v>
      </c>
    </row>
    <row r="254" spans="2:5" ht="15" customHeight="1" x14ac:dyDescent="0.25">
      <c r="B254" s="81"/>
      <c r="C254" s="45" t="s">
        <v>190</v>
      </c>
      <c r="D254" s="44">
        <v>1</v>
      </c>
      <c r="E254" s="43">
        <v>1.0425354462051709E-4</v>
      </c>
    </row>
    <row r="255" spans="2:5" ht="15" customHeight="1" x14ac:dyDescent="0.25">
      <c r="B255" s="81"/>
      <c r="C255" s="45" t="s">
        <v>189</v>
      </c>
      <c r="D255" s="44">
        <v>1</v>
      </c>
      <c r="E255" s="43">
        <v>1.0425354462051709E-4</v>
      </c>
    </row>
    <row r="256" spans="2:5" ht="15" customHeight="1" x14ac:dyDescent="0.25">
      <c r="B256" s="81"/>
      <c r="C256" s="45" t="s">
        <v>188</v>
      </c>
      <c r="D256" s="44">
        <v>3</v>
      </c>
      <c r="E256" s="43">
        <v>3.1276063386155128E-4</v>
      </c>
    </row>
    <row r="257" spans="2:5" ht="15" customHeight="1" x14ac:dyDescent="0.25">
      <c r="B257" s="81"/>
      <c r="C257" s="45" t="s">
        <v>187</v>
      </c>
      <c r="D257" s="44">
        <v>22</v>
      </c>
      <c r="E257" s="43">
        <v>2.2935779816513763E-3</v>
      </c>
    </row>
    <row r="258" spans="2:5" ht="15" customHeight="1" x14ac:dyDescent="0.25">
      <c r="B258" s="81"/>
      <c r="C258" s="45" t="s">
        <v>186</v>
      </c>
      <c r="D258" s="44">
        <v>12</v>
      </c>
      <c r="E258" s="43">
        <v>1.2510425354462051E-3</v>
      </c>
    </row>
    <row r="259" spans="2:5" ht="15" customHeight="1" x14ac:dyDescent="0.25">
      <c r="B259" s="81"/>
      <c r="C259" s="45" t="s">
        <v>185</v>
      </c>
      <c r="D259" s="44">
        <v>1</v>
      </c>
      <c r="E259" s="43">
        <v>1.0425354462051709E-4</v>
      </c>
    </row>
    <row r="260" spans="2:5" ht="15" customHeight="1" x14ac:dyDescent="0.25">
      <c r="B260" s="81"/>
      <c r="C260" s="45" t="s">
        <v>184</v>
      </c>
      <c r="D260" s="44">
        <v>5</v>
      </c>
      <c r="E260" s="43">
        <v>5.2126772310258547E-4</v>
      </c>
    </row>
    <row r="261" spans="2:5" ht="15" customHeight="1" x14ac:dyDescent="0.25">
      <c r="B261" s="81"/>
      <c r="C261" s="45" t="s">
        <v>183</v>
      </c>
      <c r="D261" s="44">
        <v>16</v>
      </c>
      <c r="E261" s="43">
        <v>1.6680567139282735E-3</v>
      </c>
    </row>
    <row r="262" spans="2:5" ht="15" customHeight="1" x14ac:dyDescent="0.25">
      <c r="B262" s="81"/>
      <c r="C262" s="45" t="s">
        <v>182</v>
      </c>
      <c r="D262" s="44">
        <v>53</v>
      </c>
      <c r="E262" s="43">
        <v>5.5254378648874058E-3</v>
      </c>
    </row>
    <row r="263" spans="2:5" ht="15" customHeight="1" x14ac:dyDescent="0.25">
      <c r="B263" s="81"/>
      <c r="C263" s="45" t="s">
        <v>181</v>
      </c>
      <c r="D263" s="44">
        <v>16</v>
      </c>
      <c r="E263" s="43">
        <v>1.6680567139282735E-3</v>
      </c>
    </row>
    <row r="264" spans="2:5" ht="15" customHeight="1" x14ac:dyDescent="0.25">
      <c r="B264" s="81"/>
      <c r="C264" s="45" t="s">
        <v>180</v>
      </c>
      <c r="D264" s="44">
        <v>21</v>
      </c>
      <c r="E264" s="43">
        <v>2.1893244370308589E-3</v>
      </c>
    </row>
    <row r="265" spans="2:5" ht="15" customHeight="1" x14ac:dyDescent="0.25">
      <c r="B265" s="81"/>
      <c r="C265" s="45" t="s">
        <v>179</v>
      </c>
      <c r="D265" s="44">
        <v>40</v>
      </c>
      <c r="E265" s="43">
        <v>4.1701417848206837E-3</v>
      </c>
    </row>
    <row r="266" spans="2:5" ht="15" customHeight="1" x14ac:dyDescent="0.25">
      <c r="B266" s="81"/>
      <c r="C266" s="45" t="s">
        <v>178</v>
      </c>
      <c r="D266" s="44">
        <v>4</v>
      </c>
      <c r="E266" s="43">
        <v>4.1701417848206837E-4</v>
      </c>
    </row>
    <row r="267" spans="2:5" ht="15" customHeight="1" x14ac:dyDescent="0.25">
      <c r="B267" s="81"/>
      <c r="C267" s="45" t="s">
        <v>177</v>
      </c>
      <c r="D267" s="44">
        <v>2</v>
      </c>
      <c r="E267" s="43">
        <v>2.0850708924103419E-4</v>
      </c>
    </row>
    <row r="268" spans="2:5" ht="15" customHeight="1" x14ac:dyDescent="0.25">
      <c r="B268" s="81"/>
      <c r="C268" s="45" t="s">
        <v>176</v>
      </c>
      <c r="D268" s="44">
        <v>3</v>
      </c>
      <c r="E268" s="43">
        <v>3.1276063386155128E-4</v>
      </c>
    </row>
    <row r="269" spans="2:5" ht="15" customHeight="1" x14ac:dyDescent="0.25">
      <c r="B269" s="81"/>
      <c r="C269" s="45" t="s">
        <v>174</v>
      </c>
      <c r="D269" s="44">
        <v>11</v>
      </c>
      <c r="E269" s="43">
        <v>1.1467889908256881E-3</v>
      </c>
    </row>
    <row r="270" spans="2:5" ht="15" customHeight="1" x14ac:dyDescent="0.25">
      <c r="B270" s="81"/>
      <c r="C270" s="45" t="s">
        <v>173</v>
      </c>
      <c r="D270" s="44">
        <v>35</v>
      </c>
      <c r="E270" s="43">
        <v>3.6488740617180984E-3</v>
      </c>
    </row>
    <row r="271" spans="2:5" ht="15" customHeight="1" x14ac:dyDescent="0.25">
      <c r="B271" s="82"/>
      <c r="C271" s="42" t="s">
        <v>22</v>
      </c>
      <c r="D271" s="41">
        <v>248</v>
      </c>
      <c r="E271" s="40">
        <v>2.585487906588824E-2</v>
      </c>
    </row>
    <row r="272" spans="2:5" ht="15" customHeight="1" x14ac:dyDescent="0.25">
      <c r="B272" s="80" t="s">
        <v>98</v>
      </c>
      <c r="C272" s="45" t="s">
        <v>189</v>
      </c>
      <c r="D272" s="44">
        <v>1</v>
      </c>
      <c r="E272" s="43">
        <v>1.0425354462051709E-4</v>
      </c>
    </row>
    <row r="273" spans="2:5" ht="15" customHeight="1" x14ac:dyDescent="0.25">
      <c r="B273" s="81"/>
      <c r="C273" s="45" t="s">
        <v>187</v>
      </c>
      <c r="D273" s="44">
        <v>1</v>
      </c>
      <c r="E273" s="43">
        <v>1.0425354462051709E-4</v>
      </c>
    </row>
    <row r="274" spans="2:5" ht="15" customHeight="1" x14ac:dyDescent="0.25">
      <c r="B274" s="81"/>
      <c r="C274" s="45" t="s">
        <v>185</v>
      </c>
      <c r="D274" s="44">
        <v>1</v>
      </c>
      <c r="E274" s="43">
        <v>1.0425354462051709E-4</v>
      </c>
    </row>
    <row r="275" spans="2:5" ht="15" customHeight="1" x14ac:dyDescent="0.25">
      <c r="B275" s="81"/>
      <c r="C275" s="45" t="s">
        <v>183</v>
      </c>
      <c r="D275" s="44">
        <v>1</v>
      </c>
      <c r="E275" s="43">
        <v>1.0425354462051709E-4</v>
      </c>
    </row>
    <row r="276" spans="2:5" ht="15" customHeight="1" x14ac:dyDescent="0.25">
      <c r="B276" s="81"/>
      <c r="C276" s="45" t="s">
        <v>182</v>
      </c>
      <c r="D276" s="44">
        <v>9</v>
      </c>
      <c r="E276" s="43">
        <v>9.3828190158465384E-4</v>
      </c>
    </row>
    <row r="277" spans="2:5" ht="15" customHeight="1" x14ac:dyDescent="0.25">
      <c r="B277" s="81"/>
      <c r="C277" s="45" t="s">
        <v>180</v>
      </c>
      <c r="D277" s="44">
        <v>3</v>
      </c>
      <c r="E277" s="43">
        <v>3.1276063386155128E-4</v>
      </c>
    </row>
    <row r="278" spans="2:5" ht="15" customHeight="1" x14ac:dyDescent="0.25">
      <c r="B278" s="81"/>
      <c r="C278" s="45" t="s">
        <v>179</v>
      </c>
      <c r="D278" s="44">
        <v>2</v>
      </c>
      <c r="E278" s="43">
        <v>2.0850708924103419E-4</v>
      </c>
    </row>
    <row r="279" spans="2:5" ht="15" customHeight="1" x14ac:dyDescent="0.25">
      <c r="B279" s="81"/>
      <c r="C279" s="45" t="s">
        <v>173</v>
      </c>
      <c r="D279" s="44">
        <v>6</v>
      </c>
      <c r="E279" s="43">
        <v>6.2552126772310256E-4</v>
      </c>
    </row>
    <row r="280" spans="2:5" ht="15" customHeight="1" x14ac:dyDescent="0.25">
      <c r="B280" s="82"/>
      <c r="C280" s="42" t="s">
        <v>22</v>
      </c>
      <c r="D280" s="41">
        <v>24</v>
      </c>
      <c r="E280" s="40">
        <v>2.5020850708924102E-3</v>
      </c>
    </row>
    <row r="281" spans="2:5" ht="15" customHeight="1" x14ac:dyDescent="0.25">
      <c r="B281" s="80" t="s">
        <v>102</v>
      </c>
      <c r="C281" s="45" t="s">
        <v>192</v>
      </c>
      <c r="D281" s="44">
        <v>1</v>
      </c>
      <c r="E281" s="43">
        <v>1.0425354462051709E-4</v>
      </c>
    </row>
    <row r="282" spans="2:5" ht="15" customHeight="1" x14ac:dyDescent="0.25">
      <c r="B282" s="81"/>
      <c r="C282" s="45" t="s">
        <v>191</v>
      </c>
      <c r="D282" s="44">
        <v>1</v>
      </c>
      <c r="E282" s="43">
        <v>1.0425354462051709E-4</v>
      </c>
    </row>
    <row r="283" spans="2:5" ht="15" customHeight="1" x14ac:dyDescent="0.25">
      <c r="B283" s="81"/>
      <c r="C283" s="45" t="s">
        <v>190</v>
      </c>
      <c r="D283" s="44">
        <v>1</v>
      </c>
      <c r="E283" s="43">
        <v>1.0425354462051709E-4</v>
      </c>
    </row>
    <row r="284" spans="2:5" ht="15" customHeight="1" x14ac:dyDescent="0.25">
      <c r="B284" s="81"/>
      <c r="C284" s="45" t="s">
        <v>188</v>
      </c>
      <c r="D284" s="44">
        <v>2</v>
      </c>
      <c r="E284" s="43">
        <v>2.0850708924103419E-4</v>
      </c>
    </row>
    <row r="285" spans="2:5" ht="15" customHeight="1" x14ac:dyDescent="0.25">
      <c r="B285" s="81"/>
      <c r="C285" s="45" t="s">
        <v>187</v>
      </c>
      <c r="D285" s="44">
        <v>1</v>
      </c>
      <c r="E285" s="43">
        <v>1.0425354462051709E-4</v>
      </c>
    </row>
    <row r="286" spans="2:5" ht="15" customHeight="1" x14ac:dyDescent="0.25">
      <c r="B286" s="81"/>
      <c r="C286" s="45" t="s">
        <v>186</v>
      </c>
      <c r="D286" s="44">
        <v>13</v>
      </c>
      <c r="E286" s="43">
        <v>1.3552960800667223E-3</v>
      </c>
    </row>
    <row r="287" spans="2:5" ht="15" customHeight="1" x14ac:dyDescent="0.25">
      <c r="B287" s="81"/>
      <c r="C287" s="45" t="s">
        <v>185</v>
      </c>
      <c r="D287" s="44">
        <v>1</v>
      </c>
      <c r="E287" s="43">
        <v>1.0425354462051709E-4</v>
      </c>
    </row>
    <row r="288" spans="2:5" ht="15" customHeight="1" x14ac:dyDescent="0.25">
      <c r="B288" s="81"/>
      <c r="C288" s="45" t="s">
        <v>184</v>
      </c>
      <c r="D288" s="44">
        <v>3</v>
      </c>
      <c r="E288" s="43">
        <v>3.1276063386155128E-4</v>
      </c>
    </row>
    <row r="289" spans="2:5" ht="15" customHeight="1" x14ac:dyDescent="0.25">
      <c r="B289" s="81"/>
      <c r="C289" s="45" t="s">
        <v>183</v>
      </c>
      <c r="D289" s="44">
        <v>6</v>
      </c>
      <c r="E289" s="43">
        <v>6.2552126772310256E-4</v>
      </c>
    </row>
    <row r="290" spans="2:5" ht="15" customHeight="1" x14ac:dyDescent="0.25">
      <c r="B290" s="81"/>
      <c r="C290" s="45" t="s">
        <v>182</v>
      </c>
      <c r="D290" s="44">
        <v>51</v>
      </c>
      <c r="E290" s="43">
        <v>5.3169307756463719E-3</v>
      </c>
    </row>
    <row r="291" spans="2:5" ht="15" customHeight="1" x14ac:dyDescent="0.25">
      <c r="B291" s="81"/>
      <c r="C291" s="45" t="s">
        <v>181</v>
      </c>
      <c r="D291" s="44">
        <v>8</v>
      </c>
      <c r="E291" s="43">
        <v>8.3402835696413675E-4</v>
      </c>
    </row>
    <row r="292" spans="2:5" ht="15" customHeight="1" x14ac:dyDescent="0.25">
      <c r="B292" s="81"/>
      <c r="C292" s="45" t="s">
        <v>180</v>
      </c>
      <c r="D292" s="44">
        <v>13</v>
      </c>
      <c r="E292" s="43">
        <v>1.3552960800667223E-3</v>
      </c>
    </row>
    <row r="293" spans="2:5" ht="15" customHeight="1" x14ac:dyDescent="0.25">
      <c r="B293" s="81"/>
      <c r="C293" s="45" t="s">
        <v>179</v>
      </c>
      <c r="D293" s="44">
        <v>35</v>
      </c>
      <c r="E293" s="43">
        <v>3.6488740617180984E-3</v>
      </c>
    </row>
    <row r="294" spans="2:5" ht="15" customHeight="1" x14ac:dyDescent="0.25">
      <c r="B294" s="81"/>
      <c r="C294" s="45" t="s">
        <v>174</v>
      </c>
      <c r="D294" s="44">
        <v>1</v>
      </c>
      <c r="E294" s="43">
        <v>1.0425354462051709E-4</v>
      </c>
    </row>
    <row r="295" spans="2:5" ht="15" customHeight="1" x14ac:dyDescent="0.25">
      <c r="B295" s="81"/>
      <c r="C295" s="45" t="s">
        <v>173</v>
      </c>
      <c r="D295" s="44">
        <v>9</v>
      </c>
      <c r="E295" s="43">
        <v>9.3828190158465384E-4</v>
      </c>
    </row>
    <row r="296" spans="2:5" ht="15" customHeight="1" x14ac:dyDescent="0.25">
      <c r="B296" s="82"/>
      <c r="C296" s="42" t="s">
        <v>22</v>
      </c>
      <c r="D296" s="41">
        <v>146</v>
      </c>
      <c r="E296" s="40">
        <v>1.5221017514595496E-2</v>
      </c>
    </row>
    <row r="297" spans="2:5" ht="15" customHeight="1" x14ac:dyDescent="0.25">
      <c r="B297" s="80" t="s">
        <v>200</v>
      </c>
      <c r="C297" s="45" t="s">
        <v>192</v>
      </c>
      <c r="D297" s="44">
        <v>1</v>
      </c>
      <c r="E297" s="43">
        <v>1.0425354462051709E-4</v>
      </c>
    </row>
    <row r="298" spans="2:5" ht="15" customHeight="1" x14ac:dyDescent="0.25">
      <c r="B298" s="81"/>
      <c r="C298" s="45" t="s">
        <v>187</v>
      </c>
      <c r="D298" s="44">
        <v>3</v>
      </c>
      <c r="E298" s="43">
        <v>3.1276063386155128E-4</v>
      </c>
    </row>
    <row r="299" spans="2:5" ht="15" customHeight="1" x14ac:dyDescent="0.25">
      <c r="B299" s="81"/>
      <c r="C299" s="45" t="s">
        <v>186</v>
      </c>
      <c r="D299" s="44">
        <v>3</v>
      </c>
      <c r="E299" s="43">
        <v>3.1276063386155128E-4</v>
      </c>
    </row>
    <row r="300" spans="2:5" ht="15" customHeight="1" x14ac:dyDescent="0.25">
      <c r="B300" s="81"/>
      <c r="C300" s="45" t="s">
        <v>185</v>
      </c>
      <c r="D300" s="44">
        <v>1</v>
      </c>
      <c r="E300" s="43">
        <v>1.0425354462051709E-4</v>
      </c>
    </row>
    <row r="301" spans="2:5" ht="15" customHeight="1" x14ac:dyDescent="0.25">
      <c r="B301" s="81"/>
      <c r="C301" s="45" t="s">
        <v>184</v>
      </c>
      <c r="D301" s="44">
        <v>2</v>
      </c>
      <c r="E301" s="43">
        <v>2.0850708924103419E-4</v>
      </c>
    </row>
    <row r="302" spans="2:5" ht="15" customHeight="1" x14ac:dyDescent="0.25">
      <c r="B302" s="81"/>
      <c r="C302" s="45" t="s">
        <v>182</v>
      </c>
      <c r="D302" s="44">
        <v>19</v>
      </c>
      <c r="E302" s="43">
        <v>1.9808173477898249E-3</v>
      </c>
    </row>
    <row r="303" spans="2:5" ht="15" customHeight="1" x14ac:dyDescent="0.25">
      <c r="B303" s="81"/>
      <c r="C303" s="45" t="s">
        <v>181</v>
      </c>
      <c r="D303" s="44">
        <v>4</v>
      </c>
      <c r="E303" s="43">
        <v>4.1701417848206837E-4</v>
      </c>
    </row>
    <row r="304" spans="2:5" ht="15" customHeight="1" x14ac:dyDescent="0.25">
      <c r="B304" s="81"/>
      <c r="C304" s="45" t="s">
        <v>180</v>
      </c>
      <c r="D304" s="44">
        <v>3</v>
      </c>
      <c r="E304" s="43">
        <v>3.1276063386155128E-4</v>
      </c>
    </row>
    <row r="305" spans="2:5" ht="15" customHeight="1" x14ac:dyDescent="0.25">
      <c r="B305" s="81"/>
      <c r="C305" s="45" t="s">
        <v>179</v>
      </c>
      <c r="D305" s="44">
        <v>24</v>
      </c>
      <c r="E305" s="43">
        <v>2.5020850708924102E-3</v>
      </c>
    </row>
    <row r="306" spans="2:5" ht="15" customHeight="1" x14ac:dyDescent="0.25">
      <c r="B306" s="81"/>
      <c r="C306" s="45" t="s">
        <v>174</v>
      </c>
      <c r="D306" s="44">
        <v>1</v>
      </c>
      <c r="E306" s="43">
        <v>1.0425354462051709E-4</v>
      </c>
    </row>
    <row r="307" spans="2:5" ht="15" customHeight="1" x14ac:dyDescent="0.25">
      <c r="B307" s="81"/>
      <c r="C307" s="45" t="s">
        <v>173</v>
      </c>
      <c r="D307" s="44">
        <v>6</v>
      </c>
      <c r="E307" s="43">
        <v>6.2552126772310256E-4</v>
      </c>
    </row>
    <row r="308" spans="2:5" ht="15" customHeight="1" x14ac:dyDescent="0.25">
      <c r="B308" s="81"/>
      <c r="C308" s="45" t="s">
        <v>171</v>
      </c>
      <c r="D308" s="44">
        <v>1</v>
      </c>
      <c r="E308" s="43">
        <v>1.0425354462051709E-4</v>
      </c>
    </row>
    <row r="309" spans="2:5" ht="15" customHeight="1" x14ac:dyDescent="0.25">
      <c r="B309" s="82"/>
      <c r="C309" s="42" t="s">
        <v>22</v>
      </c>
      <c r="D309" s="41">
        <v>68</v>
      </c>
      <c r="E309" s="40">
        <v>7.0892410341951628E-3</v>
      </c>
    </row>
    <row r="310" spans="2:5" ht="15" customHeight="1" x14ac:dyDescent="0.25">
      <c r="B310" s="80" t="s">
        <v>199</v>
      </c>
      <c r="C310" s="45" t="s">
        <v>193</v>
      </c>
      <c r="D310" s="44">
        <v>9</v>
      </c>
      <c r="E310" s="43">
        <v>9.3828190158465384E-4</v>
      </c>
    </row>
    <row r="311" spans="2:5" ht="15" customHeight="1" x14ac:dyDescent="0.25">
      <c r="B311" s="81"/>
      <c r="C311" s="45" t="s">
        <v>192</v>
      </c>
      <c r="D311" s="44">
        <v>6</v>
      </c>
      <c r="E311" s="43">
        <v>6.2552126772310256E-4</v>
      </c>
    </row>
    <row r="312" spans="2:5" ht="15" customHeight="1" x14ac:dyDescent="0.25">
      <c r="B312" s="81"/>
      <c r="C312" s="45" t="s">
        <v>191</v>
      </c>
      <c r="D312" s="44">
        <v>10</v>
      </c>
      <c r="E312" s="43">
        <v>1.0425354462051709E-3</v>
      </c>
    </row>
    <row r="313" spans="2:5" ht="15" customHeight="1" x14ac:dyDescent="0.25">
      <c r="B313" s="81"/>
      <c r="C313" s="45" t="s">
        <v>190</v>
      </c>
      <c r="D313" s="44">
        <v>37</v>
      </c>
      <c r="E313" s="43">
        <v>3.8573811509591328E-3</v>
      </c>
    </row>
    <row r="314" spans="2:5" ht="15" customHeight="1" x14ac:dyDescent="0.25">
      <c r="B314" s="81"/>
      <c r="C314" s="45" t="s">
        <v>189</v>
      </c>
      <c r="D314" s="44">
        <v>25</v>
      </c>
      <c r="E314" s="43">
        <v>2.6063386155129272E-3</v>
      </c>
    </row>
    <row r="315" spans="2:5" ht="15" customHeight="1" x14ac:dyDescent="0.25">
      <c r="B315" s="81"/>
      <c r="C315" s="45" t="s">
        <v>188</v>
      </c>
      <c r="D315" s="44">
        <v>18</v>
      </c>
      <c r="E315" s="43">
        <v>1.8765638031693077E-3</v>
      </c>
    </row>
    <row r="316" spans="2:5" ht="15" customHeight="1" x14ac:dyDescent="0.25">
      <c r="B316" s="81"/>
      <c r="C316" s="45" t="s">
        <v>187</v>
      </c>
      <c r="D316" s="44">
        <v>141</v>
      </c>
      <c r="E316" s="43">
        <v>1.4699749791492911E-2</v>
      </c>
    </row>
    <row r="317" spans="2:5" ht="15" customHeight="1" x14ac:dyDescent="0.25">
      <c r="B317" s="81"/>
      <c r="C317" s="45" t="s">
        <v>186</v>
      </c>
      <c r="D317" s="44">
        <v>113</v>
      </c>
      <c r="E317" s="43">
        <v>1.1780650542118432E-2</v>
      </c>
    </row>
    <row r="318" spans="2:5" ht="15" customHeight="1" x14ac:dyDescent="0.25">
      <c r="B318" s="81"/>
      <c r="C318" s="45" t="s">
        <v>185</v>
      </c>
      <c r="D318" s="44">
        <v>19</v>
      </c>
      <c r="E318" s="43">
        <v>1.9808173477898249E-3</v>
      </c>
    </row>
    <row r="319" spans="2:5" ht="15" customHeight="1" x14ac:dyDescent="0.25">
      <c r="B319" s="81"/>
      <c r="C319" s="45" t="s">
        <v>184</v>
      </c>
      <c r="D319" s="44">
        <v>50</v>
      </c>
      <c r="E319" s="43">
        <v>5.2126772310258545E-3</v>
      </c>
    </row>
    <row r="320" spans="2:5" ht="15" customHeight="1" x14ac:dyDescent="0.25">
      <c r="B320" s="81"/>
      <c r="C320" s="45" t="s">
        <v>183</v>
      </c>
      <c r="D320" s="44">
        <v>77</v>
      </c>
      <c r="E320" s="43">
        <v>8.027522935779817E-3</v>
      </c>
    </row>
    <row r="321" spans="2:5" ht="15" customHeight="1" x14ac:dyDescent="0.25">
      <c r="B321" s="81"/>
      <c r="C321" s="45" t="s">
        <v>182</v>
      </c>
      <c r="D321" s="44">
        <v>345</v>
      </c>
      <c r="E321" s="43">
        <v>3.5967472894078402E-2</v>
      </c>
    </row>
    <row r="322" spans="2:5" ht="15" customHeight="1" x14ac:dyDescent="0.25">
      <c r="B322" s="81"/>
      <c r="C322" s="45" t="s">
        <v>181</v>
      </c>
      <c r="D322" s="44">
        <v>66</v>
      </c>
      <c r="E322" s="43">
        <v>6.8807339449541288E-3</v>
      </c>
    </row>
    <row r="323" spans="2:5" ht="15" customHeight="1" x14ac:dyDescent="0.25">
      <c r="B323" s="81"/>
      <c r="C323" s="45" t="s">
        <v>180</v>
      </c>
      <c r="D323" s="44">
        <v>79</v>
      </c>
      <c r="E323" s="43">
        <v>8.2360300250208501E-3</v>
      </c>
    </row>
    <row r="324" spans="2:5" ht="15" customHeight="1" x14ac:dyDescent="0.25">
      <c r="B324" s="81"/>
      <c r="C324" s="45" t="s">
        <v>179</v>
      </c>
      <c r="D324" s="44">
        <v>306</v>
      </c>
      <c r="E324" s="43">
        <v>3.1901584653878233E-2</v>
      </c>
    </row>
    <row r="325" spans="2:5" ht="15" customHeight="1" x14ac:dyDescent="0.25">
      <c r="B325" s="81"/>
      <c r="C325" s="45" t="s">
        <v>178</v>
      </c>
      <c r="D325" s="44">
        <v>11</v>
      </c>
      <c r="E325" s="43">
        <v>1.1467889908256881E-3</v>
      </c>
    </row>
    <row r="326" spans="2:5" ht="15" customHeight="1" x14ac:dyDescent="0.25">
      <c r="B326" s="81"/>
      <c r="C326" s="45" t="s">
        <v>177</v>
      </c>
      <c r="D326" s="44">
        <v>5</v>
      </c>
      <c r="E326" s="43">
        <v>5.2126772310258547E-4</v>
      </c>
    </row>
    <row r="327" spans="2:5" ht="15" customHeight="1" x14ac:dyDescent="0.25">
      <c r="B327" s="81"/>
      <c r="C327" s="45" t="s">
        <v>176</v>
      </c>
      <c r="D327" s="44">
        <v>3</v>
      </c>
      <c r="E327" s="43">
        <v>3.1276063386155128E-4</v>
      </c>
    </row>
    <row r="328" spans="2:5" ht="15" customHeight="1" x14ac:dyDescent="0.25">
      <c r="B328" s="81"/>
      <c r="C328" s="45" t="s">
        <v>175</v>
      </c>
      <c r="D328" s="44">
        <v>1</v>
      </c>
      <c r="E328" s="43">
        <v>1.0425354462051709E-4</v>
      </c>
    </row>
    <row r="329" spans="2:5" ht="15" customHeight="1" x14ac:dyDescent="0.25">
      <c r="B329" s="81"/>
      <c r="C329" s="45" t="s">
        <v>174</v>
      </c>
      <c r="D329" s="44">
        <v>33</v>
      </c>
      <c r="E329" s="43">
        <v>3.4403669724770644E-3</v>
      </c>
    </row>
    <row r="330" spans="2:5" ht="15" customHeight="1" x14ac:dyDescent="0.25">
      <c r="B330" s="81"/>
      <c r="C330" s="45" t="s">
        <v>173</v>
      </c>
      <c r="D330" s="44">
        <v>122</v>
      </c>
      <c r="E330" s="43">
        <v>1.2718932443703085E-2</v>
      </c>
    </row>
    <row r="331" spans="2:5" ht="15" customHeight="1" x14ac:dyDescent="0.25">
      <c r="B331" s="81"/>
      <c r="C331" s="45" t="s">
        <v>197</v>
      </c>
      <c r="D331" s="44">
        <v>2</v>
      </c>
      <c r="E331" s="43">
        <v>2.0850708924103419E-4</v>
      </c>
    </row>
    <row r="332" spans="2:5" ht="15" customHeight="1" x14ac:dyDescent="0.25">
      <c r="B332" s="81"/>
      <c r="C332" s="45" t="s">
        <v>171</v>
      </c>
      <c r="D332" s="44">
        <v>6</v>
      </c>
      <c r="E332" s="43">
        <v>6.2552126772310256E-4</v>
      </c>
    </row>
    <row r="333" spans="2:5" ht="15" customHeight="1" x14ac:dyDescent="0.25">
      <c r="B333" s="81"/>
      <c r="C333" s="45" t="s">
        <v>170</v>
      </c>
      <c r="D333" s="44">
        <v>1</v>
      </c>
      <c r="E333" s="43">
        <v>1.0425354462051709E-4</v>
      </c>
    </row>
    <row r="334" spans="2:5" ht="15" customHeight="1" x14ac:dyDescent="0.25">
      <c r="B334" s="82"/>
      <c r="C334" s="42" t="s">
        <v>22</v>
      </c>
      <c r="D334" s="41">
        <v>1485</v>
      </c>
      <c r="E334" s="40">
        <v>0.15481651376146788</v>
      </c>
    </row>
    <row r="335" spans="2:5" ht="15" customHeight="1" x14ac:dyDescent="0.25">
      <c r="B335" s="80" t="s">
        <v>88</v>
      </c>
      <c r="C335" s="45" t="s">
        <v>192</v>
      </c>
      <c r="D335" s="44">
        <v>1</v>
      </c>
      <c r="E335" s="43">
        <v>1.0425354462051709E-4</v>
      </c>
    </row>
    <row r="336" spans="2:5" ht="15" customHeight="1" x14ac:dyDescent="0.25">
      <c r="B336" s="81"/>
      <c r="C336" s="45" t="s">
        <v>191</v>
      </c>
      <c r="D336" s="44">
        <v>1</v>
      </c>
      <c r="E336" s="43">
        <v>1.0425354462051709E-4</v>
      </c>
    </row>
    <row r="337" spans="2:5" ht="15" customHeight="1" x14ac:dyDescent="0.25">
      <c r="B337" s="81"/>
      <c r="C337" s="45" t="s">
        <v>190</v>
      </c>
      <c r="D337" s="44">
        <v>1</v>
      </c>
      <c r="E337" s="43">
        <v>1.0425354462051709E-4</v>
      </c>
    </row>
    <row r="338" spans="2:5" ht="15" customHeight="1" x14ac:dyDescent="0.25">
      <c r="B338" s="81"/>
      <c r="C338" s="45" t="s">
        <v>189</v>
      </c>
      <c r="D338" s="44">
        <v>1</v>
      </c>
      <c r="E338" s="43">
        <v>1.0425354462051709E-4</v>
      </c>
    </row>
    <row r="339" spans="2:5" ht="15" customHeight="1" x14ac:dyDescent="0.25">
      <c r="B339" s="81"/>
      <c r="C339" s="45" t="s">
        <v>187</v>
      </c>
      <c r="D339" s="44">
        <v>2</v>
      </c>
      <c r="E339" s="43">
        <v>2.0850708924103419E-4</v>
      </c>
    </row>
    <row r="340" spans="2:5" ht="15" customHeight="1" x14ac:dyDescent="0.25">
      <c r="B340" s="81"/>
      <c r="C340" s="45" t="s">
        <v>186</v>
      </c>
      <c r="D340" s="44">
        <v>3</v>
      </c>
      <c r="E340" s="43">
        <v>3.1276063386155128E-4</v>
      </c>
    </row>
    <row r="341" spans="2:5" ht="15" customHeight="1" x14ac:dyDescent="0.25">
      <c r="B341" s="81"/>
      <c r="C341" s="45" t="s">
        <v>185</v>
      </c>
      <c r="D341" s="44">
        <v>2</v>
      </c>
      <c r="E341" s="43">
        <v>2.0850708924103419E-4</v>
      </c>
    </row>
    <row r="342" spans="2:5" ht="15" customHeight="1" x14ac:dyDescent="0.25">
      <c r="B342" s="81"/>
      <c r="C342" s="45" t="s">
        <v>184</v>
      </c>
      <c r="D342" s="44">
        <v>2</v>
      </c>
      <c r="E342" s="43">
        <v>2.0850708924103419E-4</v>
      </c>
    </row>
    <row r="343" spans="2:5" ht="15" customHeight="1" x14ac:dyDescent="0.25">
      <c r="B343" s="81"/>
      <c r="C343" s="45" t="s">
        <v>182</v>
      </c>
      <c r="D343" s="44">
        <v>14</v>
      </c>
      <c r="E343" s="43">
        <v>1.4595496246872393E-3</v>
      </c>
    </row>
    <row r="344" spans="2:5" ht="15" customHeight="1" x14ac:dyDescent="0.25">
      <c r="B344" s="81"/>
      <c r="C344" s="45" t="s">
        <v>181</v>
      </c>
      <c r="D344" s="44">
        <v>1</v>
      </c>
      <c r="E344" s="43">
        <v>1.0425354462051709E-4</v>
      </c>
    </row>
    <row r="345" spans="2:5" ht="15" customHeight="1" x14ac:dyDescent="0.25">
      <c r="B345" s="81"/>
      <c r="C345" s="45" t="s">
        <v>180</v>
      </c>
      <c r="D345" s="44">
        <v>2</v>
      </c>
      <c r="E345" s="43">
        <v>2.0850708924103419E-4</v>
      </c>
    </row>
    <row r="346" spans="2:5" ht="15" customHeight="1" x14ac:dyDescent="0.25">
      <c r="B346" s="81"/>
      <c r="C346" s="45" t="s">
        <v>179</v>
      </c>
      <c r="D346" s="44">
        <v>10</v>
      </c>
      <c r="E346" s="43">
        <v>1.0425354462051709E-3</v>
      </c>
    </row>
    <row r="347" spans="2:5" ht="15" customHeight="1" x14ac:dyDescent="0.25">
      <c r="B347" s="81"/>
      <c r="C347" s="45" t="s">
        <v>176</v>
      </c>
      <c r="D347" s="44">
        <v>1</v>
      </c>
      <c r="E347" s="43">
        <v>1.0425354462051709E-4</v>
      </c>
    </row>
    <row r="348" spans="2:5" ht="15" customHeight="1" x14ac:dyDescent="0.25">
      <c r="B348" s="81"/>
      <c r="C348" s="45" t="s">
        <v>174</v>
      </c>
      <c r="D348" s="44">
        <v>2</v>
      </c>
      <c r="E348" s="43">
        <v>2.0850708924103419E-4</v>
      </c>
    </row>
    <row r="349" spans="2:5" ht="15" customHeight="1" x14ac:dyDescent="0.25">
      <c r="B349" s="81"/>
      <c r="C349" s="45" t="s">
        <v>173</v>
      </c>
      <c r="D349" s="44">
        <v>4</v>
      </c>
      <c r="E349" s="43">
        <v>4.1701417848206837E-4</v>
      </c>
    </row>
    <row r="350" spans="2:5" ht="15" customHeight="1" x14ac:dyDescent="0.25">
      <c r="B350" s="81"/>
      <c r="C350" s="45" t="s">
        <v>170</v>
      </c>
      <c r="D350" s="44">
        <v>1</v>
      </c>
      <c r="E350" s="43">
        <v>1.0425354462051709E-4</v>
      </c>
    </row>
    <row r="351" spans="2:5" ht="15" customHeight="1" x14ac:dyDescent="0.25">
      <c r="B351" s="82"/>
      <c r="C351" s="42" t="s">
        <v>22</v>
      </c>
      <c r="D351" s="41">
        <v>48</v>
      </c>
      <c r="E351" s="40">
        <v>5.0041701417848205E-3</v>
      </c>
    </row>
    <row r="352" spans="2:5" ht="15" customHeight="1" x14ac:dyDescent="0.25">
      <c r="B352" s="80" t="s">
        <v>87</v>
      </c>
      <c r="C352" s="45" t="s">
        <v>193</v>
      </c>
      <c r="D352" s="44">
        <v>1</v>
      </c>
      <c r="E352" s="43">
        <v>1.0425354462051709E-4</v>
      </c>
    </row>
    <row r="353" spans="2:5" ht="15" customHeight="1" x14ac:dyDescent="0.25">
      <c r="B353" s="81"/>
      <c r="C353" s="45" t="s">
        <v>190</v>
      </c>
      <c r="D353" s="44">
        <v>1</v>
      </c>
      <c r="E353" s="43">
        <v>1.0425354462051709E-4</v>
      </c>
    </row>
    <row r="354" spans="2:5" ht="15" customHeight="1" x14ac:dyDescent="0.25">
      <c r="B354" s="81"/>
      <c r="C354" s="45" t="s">
        <v>186</v>
      </c>
      <c r="D354" s="44">
        <v>10</v>
      </c>
      <c r="E354" s="43">
        <v>1.0425354462051709E-3</v>
      </c>
    </row>
    <row r="355" spans="2:5" ht="15" customHeight="1" x14ac:dyDescent="0.25">
      <c r="B355" s="81"/>
      <c r="C355" s="45" t="s">
        <v>185</v>
      </c>
      <c r="D355" s="44">
        <v>1</v>
      </c>
      <c r="E355" s="43">
        <v>1.0425354462051709E-4</v>
      </c>
    </row>
    <row r="356" spans="2:5" ht="15" customHeight="1" x14ac:dyDescent="0.25">
      <c r="B356" s="81"/>
      <c r="C356" s="45" t="s">
        <v>183</v>
      </c>
      <c r="D356" s="44">
        <v>1</v>
      </c>
      <c r="E356" s="43">
        <v>1.0425354462051709E-4</v>
      </c>
    </row>
    <row r="357" spans="2:5" ht="15" customHeight="1" x14ac:dyDescent="0.25">
      <c r="B357" s="81"/>
      <c r="C357" s="45" t="s">
        <v>182</v>
      </c>
      <c r="D357" s="44">
        <v>9</v>
      </c>
      <c r="E357" s="43">
        <v>9.3828190158465384E-4</v>
      </c>
    </row>
    <row r="358" spans="2:5" ht="15" customHeight="1" x14ac:dyDescent="0.25">
      <c r="B358" s="81"/>
      <c r="C358" s="45" t="s">
        <v>181</v>
      </c>
      <c r="D358" s="44">
        <v>5</v>
      </c>
      <c r="E358" s="43">
        <v>5.2126772310258547E-4</v>
      </c>
    </row>
    <row r="359" spans="2:5" ht="15" customHeight="1" x14ac:dyDescent="0.25">
      <c r="B359" s="81"/>
      <c r="C359" s="45" t="s">
        <v>180</v>
      </c>
      <c r="D359" s="44">
        <v>5</v>
      </c>
      <c r="E359" s="43">
        <v>5.2126772310258547E-4</v>
      </c>
    </row>
    <row r="360" spans="2:5" ht="15" customHeight="1" x14ac:dyDescent="0.25">
      <c r="B360" s="81"/>
      <c r="C360" s="45" t="s">
        <v>179</v>
      </c>
      <c r="D360" s="44">
        <v>11</v>
      </c>
      <c r="E360" s="43">
        <v>1.1467889908256881E-3</v>
      </c>
    </row>
    <row r="361" spans="2:5" ht="15" customHeight="1" x14ac:dyDescent="0.25">
      <c r="B361" s="81"/>
      <c r="C361" s="45" t="s">
        <v>174</v>
      </c>
      <c r="D361" s="44">
        <v>2</v>
      </c>
      <c r="E361" s="43">
        <v>2.0850708924103419E-4</v>
      </c>
    </row>
    <row r="362" spans="2:5" ht="15" customHeight="1" x14ac:dyDescent="0.25">
      <c r="B362" s="81"/>
      <c r="C362" s="45" t="s">
        <v>173</v>
      </c>
      <c r="D362" s="44">
        <v>5</v>
      </c>
      <c r="E362" s="43">
        <v>5.2126772310258547E-4</v>
      </c>
    </row>
    <row r="363" spans="2:5" ht="15" customHeight="1" x14ac:dyDescent="0.25">
      <c r="B363" s="82"/>
      <c r="C363" s="42" t="s">
        <v>22</v>
      </c>
      <c r="D363" s="41">
        <v>51</v>
      </c>
      <c r="E363" s="40">
        <v>5.3169307756463719E-3</v>
      </c>
    </row>
    <row r="364" spans="2:5" ht="15" customHeight="1" x14ac:dyDescent="0.25">
      <c r="B364" s="80" t="s">
        <v>80</v>
      </c>
      <c r="C364" s="45" t="s">
        <v>193</v>
      </c>
      <c r="D364" s="44">
        <v>1</v>
      </c>
      <c r="E364" s="43">
        <v>1.0425354462051709E-4</v>
      </c>
    </row>
    <row r="365" spans="2:5" ht="15" customHeight="1" x14ac:dyDescent="0.25">
      <c r="B365" s="81"/>
      <c r="C365" s="45" t="s">
        <v>188</v>
      </c>
      <c r="D365" s="44">
        <v>1</v>
      </c>
      <c r="E365" s="43">
        <v>1.0425354462051709E-4</v>
      </c>
    </row>
    <row r="366" spans="2:5" ht="15" customHeight="1" x14ac:dyDescent="0.25">
      <c r="B366" s="81"/>
      <c r="C366" s="45" t="s">
        <v>187</v>
      </c>
      <c r="D366" s="44">
        <v>5</v>
      </c>
      <c r="E366" s="43">
        <v>5.2126772310258547E-4</v>
      </c>
    </row>
    <row r="367" spans="2:5" ht="15" customHeight="1" x14ac:dyDescent="0.25">
      <c r="B367" s="81"/>
      <c r="C367" s="45" t="s">
        <v>186</v>
      </c>
      <c r="D367" s="44">
        <v>7</v>
      </c>
      <c r="E367" s="43">
        <v>7.2977481234361965E-4</v>
      </c>
    </row>
    <row r="368" spans="2:5" ht="15" customHeight="1" x14ac:dyDescent="0.25">
      <c r="B368" s="81"/>
      <c r="C368" s="45" t="s">
        <v>185</v>
      </c>
      <c r="D368" s="44">
        <v>1</v>
      </c>
      <c r="E368" s="43">
        <v>1.0425354462051709E-4</v>
      </c>
    </row>
    <row r="369" spans="2:5" ht="15" customHeight="1" x14ac:dyDescent="0.25">
      <c r="B369" s="81"/>
      <c r="C369" s="45" t="s">
        <v>184</v>
      </c>
      <c r="D369" s="44">
        <v>2</v>
      </c>
      <c r="E369" s="43">
        <v>2.0850708924103419E-4</v>
      </c>
    </row>
    <row r="370" spans="2:5" ht="15" customHeight="1" x14ac:dyDescent="0.25">
      <c r="B370" s="81"/>
      <c r="C370" s="45" t="s">
        <v>183</v>
      </c>
      <c r="D370" s="44">
        <v>6</v>
      </c>
      <c r="E370" s="43">
        <v>6.2552126772310256E-4</v>
      </c>
    </row>
    <row r="371" spans="2:5" ht="15" customHeight="1" x14ac:dyDescent="0.25">
      <c r="B371" s="81"/>
      <c r="C371" s="45" t="s">
        <v>182</v>
      </c>
      <c r="D371" s="44">
        <v>25</v>
      </c>
      <c r="E371" s="43">
        <v>2.6063386155129272E-3</v>
      </c>
    </row>
    <row r="372" spans="2:5" ht="15" customHeight="1" x14ac:dyDescent="0.25">
      <c r="B372" s="81"/>
      <c r="C372" s="45" t="s">
        <v>181</v>
      </c>
      <c r="D372" s="44">
        <v>1</v>
      </c>
      <c r="E372" s="43">
        <v>1.0425354462051709E-4</v>
      </c>
    </row>
    <row r="373" spans="2:5" ht="15" customHeight="1" x14ac:dyDescent="0.25">
      <c r="B373" s="81"/>
      <c r="C373" s="45" t="s">
        <v>180</v>
      </c>
      <c r="D373" s="44">
        <v>13</v>
      </c>
      <c r="E373" s="43">
        <v>1.3552960800667223E-3</v>
      </c>
    </row>
    <row r="374" spans="2:5" ht="15" customHeight="1" x14ac:dyDescent="0.25">
      <c r="B374" s="81"/>
      <c r="C374" s="45" t="s">
        <v>179</v>
      </c>
      <c r="D374" s="44">
        <v>17</v>
      </c>
      <c r="E374" s="43">
        <v>1.7723102585487907E-3</v>
      </c>
    </row>
    <row r="375" spans="2:5" ht="15" customHeight="1" x14ac:dyDescent="0.25">
      <c r="B375" s="81"/>
      <c r="C375" s="45" t="s">
        <v>174</v>
      </c>
      <c r="D375" s="44">
        <v>1</v>
      </c>
      <c r="E375" s="43">
        <v>1.0425354462051709E-4</v>
      </c>
    </row>
    <row r="376" spans="2:5" ht="15" customHeight="1" x14ac:dyDescent="0.25">
      <c r="B376" s="81"/>
      <c r="C376" s="45" t="s">
        <v>173</v>
      </c>
      <c r="D376" s="44">
        <v>5</v>
      </c>
      <c r="E376" s="43">
        <v>5.2126772310258547E-4</v>
      </c>
    </row>
    <row r="377" spans="2:5" ht="15" customHeight="1" x14ac:dyDescent="0.25">
      <c r="B377" s="82"/>
      <c r="C377" s="42" t="s">
        <v>22</v>
      </c>
      <c r="D377" s="41">
        <v>85</v>
      </c>
      <c r="E377" s="40">
        <v>8.8615512927439528E-3</v>
      </c>
    </row>
    <row r="378" spans="2:5" ht="15" customHeight="1" x14ac:dyDescent="0.25">
      <c r="B378" s="80" t="s">
        <v>109</v>
      </c>
      <c r="C378" s="45" t="s">
        <v>191</v>
      </c>
      <c r="D378" s="44">
        <v>1</v>
      </c>
      <c r="E378" s="43">
        <v>1.0425354462051709E-4</v>
      </c>
    </row>
    <row r="379" spans="2:5" ht="15" customHeight="1" x14ac:dyDescent="0.25">
      <c r="B379" s="81"/>
      <c r="C379" s="45" t="s">
        <v>186</v>
      </c>
      <c r="D379" s="44">
        <v>1</v>
      </c>
      <c r="E379" s="43">
        <v>1.0425354462051709E-4</v>
      </c>
    </row>
    <row r="380" spans="2:5" ht="15" customHeight="1" x14ac:dyDescent="0.25">
      <c r="B380" s="81"/>
      <c r="C380" s="45" t="s">
        <v>182</v>
      </c>
      <c r="D380" s="44">
        <v>2</v>
      </c>
      <c r="E380" s="43">
        <v>2.0850708924103419E-4</v>
      </c>
    </row>
    <row r="381" spans="2:5" ht="15" customHeight="1" x14ac:dyDescent="0.25">
      <c r="B381" s="81"/>
      <c r="C381" s="45" t="s">
        <v>180</v>
      </c>
      <c r="D381" s="44">
        <v>1</v>
      </c>
      <c r="E381" s="43">
        <v>1.0425354462051709E-4</v>
      </c>
    </row>
    <row r="382" spans="2:5" ht="15" customHeight="1" x14ac:dyDescent="0.25">
      <c r="B382" s="81"/>
      <c r="C382" s="45" t="s">
        <v>179</v>
      </c>
      <c r="D382" s="44">
        <v>1</v>
      </c>
      <c r="E382" s="43">
        <v>1.0425354462051709E-4</v>
      </c>
    </row>
    <row r="383" spans="2:5" ht="15" customHeight="1" x14ac:dyDescent="0.25">
      <c r="B383" s="81"/>
      <c r="C383" s="45" t="s">
        <v>173</v>
      </c>
      <c r="D383" s="44">
        <v>2</v>
      </c>
      <c r="E383" s="43">
        <v>2.0850708924103419E-4</v>
      </c>
    </row>
    <row r="384" spans="2:5" ht="15" customHeight="1" x14ac:dyDescent="0.25">
      <c r="B384" s="81"/>
      <c r="C384" s="45" t="s">
        <v>171</v>
      </c>
      <c r="D384" s="44">
        <v>1</v>
      </c>
      <c r="E384" s="43">
        <v>1.0425354462051709E-4</v>
      </c>
    </row>
    <row r="385" spans="2:5" ht="15" customHeight="1" x14ac:dyDescent="0.25">
      <c r="B385" s="82"/>
      <c r="C385" s="42" t="s">
        <v>22</v>
      </c>
      <c r="D385" s="41">
        <v>9</v>
      </c>
      <c r="E385" s="40">
        <v>9.3828190158465384E-4</v>
      </c>
    </row>
    <row r="386" spans="2:5" ht="15" customHeight="1" x14ac:dyDescent="0.25">
      <c r="B386" s="80" t="s">
        <v>82</v>
      </c>
      <c r="C386" s="45" t="s">
        <v>192</v>
      </c>
      <c r="D386" s="44">
        <v>1</v>
      </c>
      <c r="E386" s="43">
        <v>1.0425354462051709E-4</v>
      </c>
    </row>
    <row r="387" spans="2:5" ht="15" customHeight="1" x14ac:dyDescent="0.25">
      <c r="B387" s="81"/>
      <c r="C387" s="45" t="s">
        <v>187</v>
      </c>
      <c r="D387" s="44">
        <v>2</v>
      </c>
      <c r="E387" s="43">
        <v>2.0850708924103419E-4</v>
      </c>
    </row>
    <row r="388" spans="2:5" ht="15" customHeight="1" x14ac:dyDescent="0.25">
      <c r="B388" s="81"/>
      <c r="C388" s="45" t="s">
        <v>186</v>
      </c>
      <c r="D388" s="44">
        <v>1</v>
      </c>
      <c r="E388" s="43">
        <v>1.0425354462051709E-4</v>
      </c>
    </row>
    <row r="389" spans="2:5" ht="15" customHeight="1" x14ac:dyDescent="0.25">
      <c r="B389" s="81"/>
      <c r="C389" s="45" t="s">
        <v>184</v>
      </c>
      <c r="D389" s="44">
        <v>1</v>
      </c>
      <c r="E389" s="43">
        <v>1.0425354462051709E-4</v>
      </c>
    </row>
    <row r="390" spans="2:5" ht="15" customHeight="1" x14ac:dyDescent="0.25">
      <c r="B390" s="81"/>
      <c r="C390" s="45" t="s">
        <v>183</v>
      </c>
      <c r="D390" s="44">
        <v>1</v>
      </c>
      <c r="E390" s="43">
        <v>1.0425354462051709E-4</v>
      </c>
    </row>
    <row r="391" spans="2:5" ht="15" customHeight="1" x14ac:dyDescent="0.25">
      <c r="B391" s="81"/>
      <c r="C391" s="45" t="s">
        <v>182</v>
      </c>
      <c r="D391" s="44">
        <v>6</v>
      </c>
      <c r="E391" s="43">
        <v>6.2552126772310256E-4</v>
      </c>
    </row>
    <row r="392" spans="2:5" ht="15" customHeight="1" x14ac:dyDescent="0.25">
      <c r="B392" s="81"/>
      <c r="C392" s="45" t="s">
        <v>181</v>
      </c>
      <c r="D392" s="44">
        <v>2</v>
      </c>
      <c r="E392" s="43">
        <v>2.0850708924103419E-4</v>
      </c>
    </row>
    <row r="393" spans="2:5" ht="15" customHeight="1" x14ac:dyDescent="0.25">
      <c r="B393" s="81"/>
      <c r="C393" s="45" t="s">
        <v>180</v>
      </c>
      <c r="D393" s="44">
        <v>3</v>
      </c>
      <c r="E393" s="43">
        <v>3.1276063386155128E-4</v>
      </c>
    </row>
    <row r="394" spans="2:5" ht="15" customHeight="1" x14ac:dyDescent="0.25">
      <c r="B394" s="81"/>
      <c r="C394" s="45" t="s">
        <v>179</v>
      </c>
      <c r="D394" s="44">
        <v>5</v>
      </c>
      <c r="E394" s="43">
        <v>5.2126772310258547E-4</v>
      </c>
    </row>
    <row r="395" spans="2:5" ht="15" customHeight="1" x14ac:dyDescent="0.25">
      <c r="B395" s="81"/>
      <c r="C395" s="45" t="s">
        <v>177</v>
      </c>
      <c r="D395" s="44">
        <v>1</v>
      </c>
      <c r="E395" s="43">
        <v>1.0425354462051709E-4</v>
      </c>
    </row>
    <row r="396" spans="2:5" ht="15" customHeight="1" x14ac:dyDescent="0.25">
      <c r="B396" s="81"/>
      <c r="C396" s="45" t="s">
        <v>174</v>
      </c>
      <c r="D396" s="44">
        <v>1</v>
      </c>
      <c r="E396" s="43">
        <v>1.0425354462051709E-4</v>
      </c>
    </row>
    <row r="397" spans="2:5" ht="15" customHeight="1" x14ac:dyDescent="0.25">
      <c r="B397" s="81"/>
      <c r="C397" s="45" t="s">
        <v>173</v>
      </c>
      <c r="D397" s="44">
        <v>2</v>
      </c>
      <c r="E397" s="43">
        <v>2.0850708924103419E-4</v>
      </c>
    </row>
    <row r="398" spans="2:5" ht="15" customHeight="1" x14ac:dyDescent="0.25">
      <c r="B398" s="82"/>
      <c r="C398" s="42" t="s">
        <v>22</v>
      </c>
      <c r="D398" s="41">
        <v>26</v>
      </c>
      <c r="E398" s="40">
        <v>2.7105921601334446E-3</v>
      </c>
    </row>
    <row r="399" spans="2:5" ht="15" customHeight="1" x14ac:dyDescent="0.25">
      <c r="B399" s="80" t="s">
        <v>101</v>
      </c>
      <c r="C399" s="45" t="s">
        <v>190</v>
      </c>
      <c r="D399" s="44">
        <v>2</v>
      </c>
      <c r="E399" s="43">
        <v>2.0850708924103419E-4</v>
      </c>
    </row>
    <row r="400" spans="2:5" ht="15" customHeight="1" x14ac:dyDescent="0.25">
      <c r="B400" s="81"/>
      <c r="C400" s="45" t="s">
        <v>189</v>
      </c>
      <c r="D400" s="44">
        <v>1</v>
      </c>
      <c r="E400" s="43">
        <v>1.0425354462051709E-4</v>
      </c>
    </row>
    <row r="401" spans="2:5" ht="15" customHeight="1" x14ac:dyDescent="0.25">
      <c r="B401" s="81"/>
      <c r="C401" s="45" t="s">
        <v>187</v>
      </c>
      <c r="D401" s="44">
        <v>8</v>
      </c>
      <c r="E401" s="43">
        <v>8.3402835696413675E-4</v>
      </c>
    </row>
    <row r="402" spans="2:5" ht="15" customHeight="1" x14ac:dyDescent="0.25">
      <c r="B402" s="81"/>
      <c r="C402" s="45" t="s">
        <v>186</v>
      </c>
      <c r="D402" s="44">
        <v>4</v>
      </c>
      <c r="E402" s="43">
        <v>4.1701417848206837E-4</v>
      </c>
    </row>
    <row r="403" spans="2:5" ht="15" customHeight="1" x14ac:dyDescent="0.25">
      <c r="B403" s="81"/>
      <c r="C403" s="45" t="s">
        <v>185</v>
      </c>
      <c r="D403" s="44">
        <v>3</v>
      </c>
      <c r="E403" s="43">
        <v>3.1276063386155128E-4</v>
      </c>
    </row>
    <row r="404" spans="2:5" ht="15" customHeight="1" x14ac:dyDescent="0.25">
      <c r="B404" s="81"/>
      <c r="C404" s="45" t="s">
        <v>184</v>
      </c>
      <c r="D404" s="44">
        <v>5</v>
      </c>
      <c r="E404" s="43">
        <v>5.2126772310258547E-4</v>
      </c>
    </row>
    <row r="405" spans="2:5" ht="15" customHeight="1" x14ac:dyDescent="0.25">
      <c r="B405" s="81"/>
      <c r="C405" s="45" t="s">
        <v>183</v>
      </c>
      <c r="D405" s="44">
        <v>3</v>
      </c>
      <c r="E405" s="43">
        <v>3.1276063386155128E-4</v>
      </c>
    </row>
    <row r="406" spans="2:5" ht="15" customHeight="1" x14ac:dyDescent="0.25">
      <c r="B406" s="81"/>
      <c r="C406" s="45" t="s">
        <v>182</v>
      </c>
      <c r="D406" s="44">
        <v>44</v>
      </c>
      <c r="E406" s="43">
        <v>4.5871559633027525E-3</v>
      </c>
    </row>
    <row r="407" spans="2:5" ht="15" customHeight="1" x14ac:dyDescent="0.25">
      <c r="B407" s="81"/>
      <c r="C407" s="45" t="s">
        <v>181</v>
      </c>
      <c r="D407" s="44">
        <v>6</v>
      </c>
      <c r="E407" s="43">
        <v>6.2552126772310256E-4</v>
      </c>
    </row>
    <row r="408" spans="2:5" ht="15" customHeight="1" x14ac:dyDescent="0.25">
      <c r="B408" s="81"/>
      <c r="C408" s="45" t="s">
        <v>180</v>
      </c>
      <c r="D408" s="44">
        <v>8</v>
      </c>
      <c r="E408" s="43">
        <v>8.3402835696413675E-4</v>
      </c>
    </row>
    <row r="409" spans="2:5" ht="15" customHeight="1" x14ac:dyDescent="0.25">
      <c r="B409" s="81"/>
      <c r="C409" s="45" t="s">
        <v>179</v>
      </c>
      <c r="D409" s="44">
        <v>15</v>
      </c>
      <c r="E409" s="43">
        <v>1.5638031693077565E-3</v>
      </c>
    </row>
    <row r="410" spans="2:5" ht="15" customHeight="1" x14ac:dyDescent="0.25">
      <c r="B410" s="81"/>
      <c r="C410" s="45" t="s">
        <v>174</v>
      </c>
      <c r="D410" s="44">
        <v>2</v>
      </c>
      <c r="E410" s="43">
        <v>2.0850708924103419E-4</v>
      </c>
    </row>
    <row r="411" spans="2:5" ht="15" customHeight="1" x14ac:dyDescent="0.25">
      <c r="B411" s="82"/>
      <c r="C411" s="42" t="s">
        <v>22</v>
      </c>
      <c r="D411" s="41">
        <v>101</v>
      </c>
      <c r="E411" s="40">
        <v>1.0529608006672226E-2</v>
      </c>
    </row>
    <row r="412" spans="2:5" ht="15" customHeight="1" x14ac:dyDescent="0.25">
      <c r="B412" s="80" t="s">
        <v>97</v>
      </c>
      <c r="C412" s="45" t="s">
        <v>191</v>
      </c>
      <c r="D412" s="44">
        <v>1</v>
      </c>
      <c r="E412" s="43">
        <v>1.0425354462051709E-4</v>
      </c>
    </row>
    <row r="413" spans="2:5" ht="15" customHeight="1" x14ac:dyDescent="0.25">
      <c r="B413" s="81"/>
      <c r="C413" s="45" t="s">
        <v>186</v>
      </c>
      <c r="D413" s="44">
        <v>1</v>
      </c>
      <c r="E413" s="43">
        <v>1.0425354462051709E-4</v>
      </c>
    </row>
    <row r="414" spans="2:5" ht="15" customHeight="1" x14ac:dyDescent="0.25">
      <c r="B414" s="81"/>
      <c r="C414" s="45" t="s">
        <v>182</v>
      </c>
      <c r="D414" s="44">
        <v>1</v>
      </c>
      <c r="E414" s="43">
        <v>1.0425354462051709E-4</v>
      </c>
    </row>
    <row r="415" spans="2:5" ht="15" customHeight="1" x14ac:dyDescent="0.25">
      <c r="B415" s="81"/>
      <c r="C415" s="45" t="s">
        <v>180</v>
      </c>
      <c r="D415" s="44">
        <v>1</v>
      </c>
      <c r="E415" s="43">
        <v>1.0425354462051709E-4</v>
      </c>
    </row>
    <row r="416" spans="2:5" ht="15" customHeight="1" x14ac:dyDescent="0.25">
      <c r="B416" s="81"/>
      <c r="C416" s="45" t="s">
        <v>173</v>
      </c>
      <c r="D416" s="44">
        <v>4</v>
      </c>
      <c r="E416" s="43">
        <v>4.1701417848206837E-4</v>
      </c>
    </row>
    <row r="417" spans="2:5" ht="15" customHeight="1" x14ac:dyDescent="0.25">
      <c r="B417" s="82"/>
      <c r="C417" s="42" t="s">
        <v>22</v>
      </c>
      <c r="D417" s="41">
        <v>8</v>
      </c>
      <c r="E417" s="40">
        <v>8.3402835696413675E-4</v>
      </c>
    </row>
    <row r="418" spans="2:5" ht="15" customHeight="1" x14ac:dyDescent="0.25">
      <c r="B418" s="80" t="s">
        <v>85</v>
      </c>
      <c r="C418" s="45" t="s">
        <v>187</v>
      </c>
      <c r="D418" s="44">
        <v>2</v>
      </c>
      <c r="E418" s="43">
        <v>2.0850708924103419E-4</v>
      </c>
    </row>
    <row r="419" spans="2:5" ht="15" customHeight="1" x14ac:dyDescent="0.25">
      <c r="B419" s="81"/>
      <c r="C419" s="45" t="s">
        <v>186</v>
      </c>
      <c r="D419" s="44">
        <v>4</v>
      </c>
      <c r="E419" s="43">
        <v>4.1701417848206837E-4</v>
      </c>
    </row>
    <row r="420" spans="2:5" ht="15" customHeight="1" x14ac:dyDescent="0.25">
      <c r="B420" s="81"/>
      <c r="C420" s="45" t="s">
        <v>182</v>
      </c>
      <c r="D420" s="44">
        <v>3</v>
      </c>
      <c r="E420" s="43">
        <v>3.1276063386155128E-4</v>
      </c>
    </row>
    <row r="421" spans="2:5" ht="15" customHeight="1" x14ac:dyDescent="0.25">
      <c r="B421" s="81"/>
      <c r="C421" s="45" t="s">
        <v>179</v>
      </c>
      <c r="D421" s="44">
        <v>2</v>
      </c>
      <c r="E421" s="43">
        <v>2.0850708924103419E-4</v>
      </c>
    </row>
    <row r="422" spans="2:5" ht="15" customHeight="1" x14ac:dyDescent="0.25">
      <c r="B422" s="81"/>
      <c r="C422" s="45" t="s">
        <v>174</v>
      </c>
      <c r="D422" s="44">
        <v>2</v>
      </c>
      <c r="E422" s="43">
        <v>2.0850708924103419E-4</v>
      </c>
    </row>
    <row r="423" spans="2:5" ht="15" customHeight="1" x14ac:dyDescent="0.25">
      <c r="B423" s="81"/>
      <c r="C423" s="45" t="s">
        <v>173</v>
      </c>
      <c r="D423" s="44">
        <v>2</v>
      </c>
      <c r="E423" s="43">
        <v>2.0850708924103419E-4</v>
      </c>
    </row>
    <row r="424" spans="2:5" ht="15" customHeight="1" x14ac:dyDescent="0.25">
      <c r="B424" s="82"/>
      <c r="C424" s="42" t="s">
        <v>22</v>
      </c>
      <c r="D424" s="41">
        <v>15</v>
      </c>
      <c r="E424" s="40">
        <v>1.5638031693077565E-3</v>
      </c>
    </row>
    <row r="425" spans="2:5" ht="15" customHeight="1" x14ac:dyDescent="0.25">
      <c r="B425" s="80" t="s">
        <v>89</v>
      </c>
      <c r="C425" s="45" t="s">
        <v>182</v>
      </c>
      <c r="D425" s="44">
        <v>3</v>
      </c>
      <c r="E425" s="43">
        <v>3.1276063386155128E-4</v>
      </c>
    </row>
    <row r="426" spans="2:5" ht="15" customHeight="1" x14ac:dyDescent="0.25">
      <c r="B426" s="81"/>
      <c r="C426" s="45" t="s">
        <v>181</v>
      </c>
      <c r="D426" s="44">
        <v>1</v>
      </c>
      <c r="E426" s="43">
        <v>1.0425354462051709E-4</v>
      </c>
    </row>
    <row r="427" spans="2:5" ht="15" customHeight="1" x14ac:dyDescent="0.25">
      <c r="B427" s="81"/>
      <c r="C427" s="45" t="s">
        <v>179</v>
      </c>
      <c r="D427" s="44">
        <v>1</v>
      </c>
      <c r="E427" s="43">
        <v>1.0425354462051709E-4</v>
      </c>
    </row>
    <row r="428" spans="2:5" ht="15" customHeight="1" x14ac:dyDescent="0.25">
      <c r="B428" s="81"/>
      <c r="C428" s="45" t="s">
        <v>173</v>
      </c>
      <c r="D428" s="44">
        <v>2</v>
      </c>
      <c r="E428" s="43">
        <v>2.0850708924103419E-4</v>
      </c>
    </row>
    <row r="429" spans="2:5" ht="15" customHeight="1" x14ac:dyDescent="0.25">
      <c r="B429" s="82"/>
      <c r="C429" s="42" t="s">
        <v>22</v>
      </c>
      <c r="D429" s="41">
        <v>7</v>
      </c>
      <c r="E429" s="40">
        <v>7.2977481234361965E-4</v>
      </c>
    </row>
    <row r="430" spans="2:5" ht="15" customHeight="1" x14ac:dyDescent="0.25">
      <c r="B430" s="80" t="s">
        <v>73</v>
      </c>
      <c r="C430" s="45" t="s">
        <v>190</v>
      </c>
      <c r="D430" s="44">
        <v>1</v>
      </c>
      <c r="E430" s="43">
        <v>1.0425354462051709E-4</v>
      </c>
    </row>
    <row r="431" spans="2:5" ht="15" customHeight="1" x14ac:dyDescent="0.25">
      <c r="B431" s="81"/>
      <c r="C431" s="45" t="s">
        <v>186</v>
      </c>
      <c r="D431" s="44">
        <v>1</v>
      </c>
      <c r="E431" s="43">
        <v>1.0425354462051709E-4</v>
      </c>
    </row>
    <row r="432" spans="2:5" ht="15" customHeight="1" x14ac:dyDescent="0.25">
      <c r="B432" s="81"/>
      <c r="C432" s="45" t="s">
        <v>182</v>
      </c>
      <c r="D432" s="44">
        <v>2</v>
      </c>
      <c r="E432" s="43">
        <v>2.0850708924103419E-4</v>
      </c>
    </row>
    <row r="433" spans="2:5" ht="15" customHeight="1" x14ac:dyDescent="0.25">
      <c r="B433" s="81"/>
      <c r="C433" s="45" t="s">
        <v>181</v>
      </c>
      <c r="D433" s="44">
        <v>1</v>
      </c>
      <c r="E433" s="43">
        <v>1.0425354462051709E-4</v>
      </c>
    </row>
    <row r="434" spans="2:5" ht="15" customHeight="1" x14ac:dyDescent="0.25">
      <c r="B434" s="81"/>
      <c r="C434" s="45" t="s">
        <v>173</v>
      </c>
      <c r="D434" s="44">
        <v>1</v>
      </c>
      <c r="E434" s="43">
        <v>1.0425354462051709E-4</v>
      </c>
    </row>
    <row r="435" spans="2:5" ht="15" customHeight="1" x14ac:dyDescent="0.25">
      <c r="B435" s="82"/>
      <c r="C435" s="42" t="s">
        <v>22</v>
      </c>
      <c r="D435" s="41">
        <v>6</v>
      </c>
      <c r="E435" s="40">
        <v>6.2552126772310256E-4</v>
      </c>
    </row>
    <row r="436" spans="2:5" ht="15" customHeight="1" x14ac:dyDescent="0.25">
      <c r="B436" s="80" t="s">
        <v>107</v>
      </c>
      <c r="C436" s="45" t="s">
        <v>193</v>
      </c>
      <c r="D436" s="44">
        <v>5</v>
      </c>
      <c r="E436" s="43">
        <v>5.2126772310258547E-4</v>
      </c>
    </row>
    <row r="437" spans="2:5" ht="15" customHeight="1" x14ac:dyDescent="0.25">
      <c r="B437" s="81"/>
      <c r="C437" s="45" t="s">
        <v>192</v>
      </c>
      <c r="D437" s="44">
        <v>2</v>
      </c>
      <c r="E437" s="43">
        <v>2.0850708924103419E-4</v>
      </c>
    </row>
    <row r="438" spans="2:5" ht="15" customHeight="1" x14ac:dyDescent="0.25">
      <c r="B438" s="81"/>
      <c r="C438" s="45" t="s">
        <v>190</v>
      </c>
      <c r="D438" s="44">
        <v>3</v>
      </c>
      <c r="E438" s="43">
        <v>3.1276063386155128E-4</v>
      </c>
    </row>
    <row r="439" spans="2:5" ht="15" customHeight="1" x14ac:dyDescent="0.25">
      <c r="B439" s="81"/>
      <c r="C439" s="45" t="s">
        <v>188</v>
      </c>
      <c r="D439" s="44">
        <v>2</v>
      </c>
      <c r="E439" s="43">
        <v>2.0850708924103419E-4</v>
      </c>
    </row>
    <row r="440" spans="2:5" ht="15" customHeight="1" x14ac:dyDescent="0.25">
      <c r="B440" s="81"/>
      <c r="C440" s="45" t="s">
        <v>187</v>
      </c>
      <c r="D440" s="44">
        <v>4</v>
      </c>
      <c r="E440" s="43">
        <v>4.1701417848206837E-4</v>
      </c>
    </row>
    <row r="441" spans="2:5" ht="15" customHeight="1" x14ac:dyDescent="0.25">
      <c r="B441" s="81"/>
      <c r="C441" s="45" t="s">
        <v>186</v>
      </c>
      <c r="D441" s="44">
        <v>25</v>
      </c>
      <c r="E441" s="43">
        <v>2.6063386155129272E-3</v>
      </c>
    </row>
    <row r="442" spans="2:5" ht="15" customHeight="1" x14ac:dyDescent="0.25">
      <c r="B442" s="81"/>
      <c r="C442" s="45" t="s">
        <v>185</v>
      </c>
      <c r="D442" s="44">
        <v>1</v>
      </c>
      <c r="E442" s="43">
        <v>1.0425354462051709E-4</v>
      </c>
    </row>
    <row r="443" spans="2:5" ht="15" customHeight="1" x14ac:dyDescent="0.25">
      <c r="B443" s="81"/>
      <c r="C443" s="45" t="s">
        <v>184</v>
      </c>
      <c r="D443" s="44">
        <v>7</v>
      </c>
      <c r="E443" s="43">
        <v>7.2977481234361965E-4</v>
      </c>
    </row>
    <row r="444" spans="2:5" ht="15" customHeight="1" x14ac:dyDescent="0.25">
      <c r="B444" s="81"/>
      <c r="C444" s="45" t="s">
        <v>183</v>
      </c>
      <c r="D444" s="44">
        <v>7</v>
      </c>
      <c r="E444" s="43">
        <v>7.2977481234361965E-4</v>
      </c>
    </row>
    <row r="445" spans="2:5" ht="15" customHeight="1" x14ac:dyDescent="0.25">
      <c r="B445" s="81"/>
      <c r="C445" s="45" t="s">
        <v>182</v>
      </c>
      <c r="D445" s="44">
        <v>73</v>
      </c>
      <c r="E445" s="43">
        <v>7.6105087572977482E-3</v>
      </c>
    </row>
    <row r="446" spans="2:5" ht="15" customHeight="1" x14ac:dyDescent="0.25">
      <c r="B446" s="81"/>
      <c r="C446" s="45" t="s">
        <v>181</v>
      </c>
      <c r="D446" s="44">
        <v>7</v>
      </c>
      <c r="E446" s="43">
        <v>7.2977481234361965E-4</v>
      </c>
    </row>
    <row r="447" spans="2:5" ht="15" customHeight="1" x14ac:dyDescent="0.25">
      <c r="B447" s="81"/>
      <c r="C447" s="45" t="s">
        <v>180</v>
      </c>
      <c r="D447" s="44">
        <v>24</v>
      </c>
      <c r="E447" s="43">
        <v>2.5020850708924102E-3</v>
      </c>
    </row>
    <row r="448" spans="2:5" ht="15" customHeight="1" x14ac:dyDescent="0.25">
      <c r="B448" s="81"/>
      <c r="C448" s="45" t="s">
        <v>179</v>
      </c>
      <c r="D448" s="44">
        <v>28</v>
      </c>
      <c r="E448" s="43">
        <v>2.9190992493744786E-3</v>
      </c>
    </row>
    <row r="449" spans="2:5" ht="15" customHeight="1" x14ac:dyDescent="0.25">
      <c r="B449" s="81"/>
      <c r="C449" s="45" t="s">
        <v>177</v>
      </c>
      <c r="D449" s="44">
        <v>1</v>
      </c>
      <c r="E449" s="43">
        <v>1.0425354462051709E-4</v>
      </c>
    </row>
    <row r="450" spans="2:5" ht="15" customHeight="1" x14ac:dyDescent="0.25">
      <c r="B450" s="81"/>
      <c r="C450" s="45" t="s">
        <v>175</v>
      </c>
      <c r="D450" s="44">
        <v>1</v>
      </c>
      <c r="E450" s="43">
        <v>1.0425354462051709E-4</v>
      </c>
    </row>
    <row r="451" spans="2:5" ht="15" customHeight="1" x14ac:dyDescent="0.25">
      <c r="B451" s="81"/>
      <c r="C451" s="45" t="s">
        <v>174</v>
      </c>
      <c r="D451" s="44">
        <v>4</v>
      </c>
      <c r="E451" s="43">
        <v>4.1701417848206837E-4</v>
      </c>
    </row>
    <row r="452" spans="2:5" ht="15" customHeight="1" x14ac:dyDescent="0.25">
      <c r="B452" s="81"/>
      <c r="C452" s="45" t="s">
        <v>173</v>
      </c>
      <c r="D452" s="44">
        <v>9</v>
      </c>
      <c r="E452" s="43">
        <v>9.3828190158465384E-4</v>
      </c>
    </row>
    <row r="453" spans="2:5" ht="15" customHeight="1" x14ac:dyDescent="0.25">
      <c r="B453" s="82"/>
      <c r="C453" s="42" t="s">
        <v>22</v>
      </c>
      <c r="D453" s="41">
        <v>203</v>
      </c>
      <c r="E453" s="40">
        <v>2.116346955796497E-2</v>
      </c>
    </row>
    <row r="454" spans="2:5" ht="15" customHeight="1" x14ac:dyDescent="0.25">
      <c r="B454" s="80" t="s">
        <v>99</v>
      </c>
      <c r="C454" s="45" t="s">
        <v>187</v>
      </c>
      <c r="D454" s="44">
        <v>2</v>
      </c>
      <c r="E454" s="43">
        <v>2.0850708924103419E-4</v>
      </c>
    </row>
    <row r="455" spans="2:5" ht="15" customHeight="1" x14ac:dyDescent="0.25">
      <c r="B455" s="81"/>
      <c r="C455" s="45" t="s">
        <v>186</v>
      </c>
      <c r="D455" s="44">
        <v>3</v>
      </c>
      <c r="E455" s="43">
        <v>3.1276063386155128E-4</v>
      </c>
    </row>
    <row r="456" spans="2:5" ht="15" customHeight="1" x14ac:dyDescent="0.25">
      <c r="B456" s="81"/>
      <c r="C456" s="45" t="s">
        <v>185</v>
      </c>
      <c r="D456" s="44">
        <v>1</v>
      </c>
      <c r="E456" s="43">
        <v>1.0425354462051709E-4</v>
      </c>
    </row>
    <row r="457" spans="2:5" ht="15" customHeight="1" x14ac:dyDescent="0.25">
      <c r="B457" s="81"/>
      <c r="C457" s="45" t="s">
        <v>179</v>
      </c>
      <c r="D457" s="44">
        <v>4</v>
      </c>
      <c r="E457" s="43">
        <v>4.1701417848206837E-4</v>
      </c>
    </row>
    <row r="458" spans="2:5" ht="15" customHeight="1" x14ac:dyDescent="0.25">
      <c r="B458" s="81"/>
      <c r="C458" s="45" t="s">
        <v>174</v>
      </c>
      <c r="D458" s="44">
        <v>1</v>
      </c>
      <c r="E458" s="43">
        <v>1.0425354462051709E-4</v>
      </c>
    </row>
    <row r="459" spans="2:5" ht="15" customHeight="1" x14ac:dyDescent="0.25">
      <c r="B459" s="81"/>
      <c r="C459" s="45" t="s">
        <v>173</v>
      </c>
      <c r="D459" s="44">
        <v>2</v>
      </c>
      <c r="E459" s="43">
        <v>2.0850708924103419E-4</v>
      </c>
    </row>
    <row r="460" spans="2:5" ht="15" customHeight="1" x14ac:dyDescent="0.25">
      <c r="B460" s="82"/>
      <c r="C460" s="42" t="s">
        <v>22</v>
      </c>
      <c r="D460" s="41">
        <v>13</v>
      </c>
      <c r="E460" s="40">
        <v>1.3552960800667223E-3</v>
      </c>
    </row>
    <row r="461" spans="2:5" ht="15" customHeight="1" x14ac:dyDescent="0.25">
      <c r="B461" s="80" t="s">
        <v>84</v>
      </c>
      <c r="C461" s="45" t="s">
        <v>187</v>
      </c>
      <c r="D461" s="44">
        <v>1</v>
      </c>
      <c r="E461" s="43">
        <v>1.0425354462051709E-4</v>
      </c>
    </row>
    <row r="462" spans="2:5" ht="15" customHeight="1" x14ac:dyDescent="0.25">
      <c r="B462" s="81"/>
      <c r="C462" s="45" t="s">
        <v>186</v>
      </c>
      <c r="D462" s="44">
        <v>7</v>
      </c>
      <c r="E462" s="43">
        <v>7.2977481234361965E-4</v>
      </c>
    </row>
    <row r="463" spans="2:5" ht="15" customHeight="1" x14ac:dyDescent="0.25">
      <c r="B463" s="81"/>
      <c r="C463" s="45" t="s">
        <v>184</v>
      </c>
      <c r="D463" s="44">
        <v>1</v>
      </c>
      <c r="E463" s="43">
        <v>1.0425354462051709E-4</v>
      </c>
    </row>
    <row r="464" spans="2:5" ht="15" customHeight="1" x14ac:dyDescent="0.25">
      <c r="B464" s="81"/>
      <c r="C464" s="45" t="s">
        <v>183</v>
      </c>
      <c r="D464" s="44">
        <v>2</v>
      </c>
      <c r="E464" s="43">
        <v>2.0850708924103419E-4</v>
      </c>
    </row>
    <row r="465" spans="2:5" ht="15" customHeight="1" x14ac:dyDescent="0.25">
      <c r="B465" s="81"/>
      <c r="C465" s="45" t="s">
        <v>182</v>
      </c>
      <c r="D465" s="44">
        <v>23</v>
      </c>
      <c r="E465" s="43">
        <v>2.3978315262718933E-3</v>
      </c>
    </row>
    <row r="466" spans="2:5" ht="15" customHeight="1" x14ac:dyDescent="0.25">
      <c r="B466" s="81"/>
      <c r="C466" s="45" t="s">
        <v>181</v>
      </c>
      <c r="D466" s="44">
        <v>2</v>
      </c>
      <c r="E466" s="43">
        <v>2.0850708924103419E-4</v>
      </c>
    </row>
    <row r="467" spans="2:5" ht="15" customHeight="1" x14ac:dyDescent="0.25">
      <c r="B467" s="81"/>
      <c r="C467" s="45" t="s">
        <v>180</v>
      </c>
      <c r="D467" s="44">
        <v>1</v>
      </c>
      <c r="E467" s="43">
        <v>1.0425354462051709E-4</v>
      </c>
    </row>
    <row r="468" spans="2:5" ht="15" customHeight="1" x14ac:dyDescent="0.25">
      <c r="B468" s="81"/>
      <c r="C468" s="45" t="s">
        <v>179</v>
      </c>
      <c r="D468" s="44">
        <v>14</v>
      </c>
      <c r="E468" s="43">
        <v>1.4595496246872393E-3</v>
      </c>
    </row>
    <row r="469" spans="2:5" ht="15" customHeight="1" x14ac:dyDescent="0.25">
      <c r="B469" s="81"/>
      <c r="C469" s="45" t="s">
        <v>175</v>
      </c>
      <c r="D469" s="44">
        <v>1</v>
      </c>
      <c r="E469" s="43">
        <v>1.0425354462051709E-4</v>
      </c>
    </row>
    <row r="470" spans="2:5" ht="15" customHeight="1" x14ac:dyDescent="0.25">
      <c r="B470" s="81"/>
      <c r="C470" s="45" t="s">
        <v>174</v>
      </c>
      <c r="D470" s="44">
        <v>2</v>
      </c>
      <c r="E470" s="43">
        <v>2.0850708924103419E-4</v>
      </c>
    </row>
    <row r="471" spans="2:5" ht="15" customHeight="1" x14ac:dyDescent="0.25">
      <c r="B471" s="81"/>
      <c r="C471" s="45" t="s">
        <v>173</v>
      </c>
      <c r="D471" s="44">
        <v>4</v>
      </c>
      <c r="E471" s="43">
        <v>4.1701417848206837E-4</v>
      </c>
    </row>
    <row r="472" spans="2:5" ht="15" customHeight="1" x14ac:dyDescent="0.25">
      <c r="B472" s="82"/>
      <c r="C472" s="42" t="s">
        <v>22</v>
      </c>
      <c r="D472" s="41">
        <v>58</v>
      </c>
      <c r="E472" s="40">
        <v>6.0467055879899921E-3</v>
      </c>
    </row>
    <row r="473" spans="2:5" ht="15" customHeight="1" x14ac:dyDescent="0.25">
      <c r="B473" s="80" t="s">
        <v>86</v>
      </c>
      <c r="C473" s="45" t="s">
        <v>189</v>
      </c>
      <c r="D473" s="44">
        <v>1</v>
      </c>
      <c r="E473" s="43">
        <v>1.0425354462051709E-4</v>
      </c>
    </row>
    <row r="474" spans="2:5" ht="15" customHeight="1" x14ac:dyDescent="0.25">
      <c r="B474" s="81"/>
      <c r="C474" s="45" t="s">
        <v>187</v>
      </c>
      <c r="D474" s="44">
        <v>3</v>
      </c>
      <c r="E474" s="43">
        <v>3.1276063386155128E-4</v>
      </c>
    </row>
    <row r="475" spans="2:5" ht="15" customHeight="1" x14ac:dyDescent="0.25">
      <c r="B475" s="81"/>
      <c r="C475" s="45" t="s">
        <v>186</v>
      </c>
      <c r="D475" s="44">
        <v>2</v>
      </c>
      <c r="E475" s="43">
        <v>2.0850708924103419E-4</v>
      </c>
    </row>
    <row r="476" spans="2:5" ht="15" customHeight="1" x14ac:dyDescent="0.25">
      <c r="B476" s="81"/>
      <c r="C476" s="45" t="s">
        <v>183</v>
      </c>
      <c r="D476" s="44">
        <v>1</v>
      </c>
      <c r="E476" s="43">
        <v>1.0425354462051709E-4</v>
      </c>
    </row>
    <row r="477" spans="2:5" ht="15" customHeight="1" x14ac:dyDescent="0.25">
      <c r="B477" s="81"/>
      <c r="C477" s="45" t="s">
        <v>182</v>
      </c>
      <c r="D477" s="44">
        <v>6</v>
      </c>
      <c r="E477" s="43">
        <v>6.2552126772310256E-4</v>
      </c>
    </row>
    <row r="478" spans="2:5" ht="15" customHeight="1" x14ac:dyDescent="0.25">
      <c r="B478" s="81"/>
      <c r="C478" s="45" t="s">
        <v>181</v>
      </c>
      <c r="D478" s="44">
        <v>2</v>
      </c>
      <c r="E478" s="43">
        <v>2.0850708924103419E-4</v>
      </c>
    </row>
    <row r="479" spans="2:5" ht="15" customHeight="1" x14ac:dyDescent="0.25">
      <c r="B479" s="81"/>
      <c r="C479" s="45" t="s">
        <v>180</v>
      </c>
      <c r="D479" s="44">
        <v>4</v>
      </c>
      <c r="E479" s="43">
        <v>4.1701417848206837E-4</v>
      </c>
    </row>
    <row r="480" spans="2:5" ht="15" customHeight="1" x14ac:dyDescent="0.25">
      <c r="B480" s="81"/>
      <c r="C480" s="45" t="s">
        <v>179</v>
      </c>
      <c r="D480" s="44">
        <v>5</v>
      </c>
      <c r="E480" s="43">
        <v>5.2126772310258547E-4</v>
      </c>
    </row>
    <row r="481" spans="2:5" ht="15" customHeight="1" x14ac:dyDescent="0.25">
      <c r="B481" s="81"/>
      <c r="C481" s="45" t="s">
        <v>174</v>
      </c>
      <c r="D481" s="44">
        <v>3</v>
      </c>
      <c r="E481" s="43">
        <v>3.1276063386155128E-4</v>
      </c>
    </row>
    <row r="482" spans="2:5" ht="15" customHeight="1" x14ac:dyDescent="0.25">
      <c r="B482" s="81"/>
      <c r="C482" s="45" t="s">
        <v>173</v>
      </c>
      <c r="D482" s="44">
        <v>2</v>
      </c>
      <c r="E482" s="43">
        <v>2.0850708924103419E-4</v>
      </c>
    </row>
    <row r="483" spans="2:5" ht="15" customHeight="1" x14ac:dyDescent="0.25">
      <c r="B483" s="81"/>
      <c r="C483" s="45" t="s">
        <v>171</v>
      </c>
      <c r="D483" s="44">
        <v>1</v>
      </c>
      <c r="E483" s="43">
        <v>1.0425354462051709E-4</v>
      </c>
    </row>
    <row r="484" spans="2:5" ht="15" customHeight="1" x14ac:dyDescent="0.25">
      <c r="B484" s="82"/>
      <c r="C484" s="42" t="s">
        <v>22</v>
      </c>
      <c r="D484" s="41">
        <v>30</v>
      </c>
      <c r="E484" s="40">
        <v>3.127606338615513E-3</v>
      </c>
    </row>
    <row r="485" spans="2:5" ht="15" customHeight="1" x14ac:dyDescent="0.25">
      <c r="B485" s="80" t="s">
        <v>94</v>
      </c>
      <c r="C485" s="45" t="s">
        <v>193</v>
      </c>
      <c r="D485" s="44">
        <v>2</v>
      </c>
      <c r="E485" s="43">
        <v>2.0850708924103419E-4</v>
      </c>
    </row>
    <row r="486" spans="2:5" ht="15" customHeight="1" x14ac:dyDescent="0.25">
      <c r="B486" s="81"/>
      <c r="C486" s="45" t="s">
        <v>192</v>
      </c>
      <c r="D486" s="44">
        <v>2</v>
      </c>
      <c r="E486" s="43">
        <v>2.0850708924103419E-4</v>
      </c>
    </row>
    <row r="487" spans="2:5" ht="15" customHeight="1" x14ac:dyDescent="0.25">
      <c r="B487" s="81"/>
      <c r="C487" s="45" t="s">
        <v>191</v>
      </c>
      <c r="D487" s="44">
        <v>2</v>
      </c>
      <c r="E487" s="43">
        <v>2.0850708924103419E-4</v>
      </c>
    </row>
    <row r="488" spans="2:5" ht="15" customHeight="1" x14ac:dyDescent="0.25">
      <c r="B488" s="81"/>
      <c r="C488" s="45" t="s">
        <v>190</v>
      </c>
      <c r="D488" s="44">
        <v>5</v>
      </c>
      <c r="E488" s="43">
        <v>5.2126772310258547E-4</v>
      </c>
    </row>
    <row r="489" spans="2:5" ht="15" customHeight="1" x14ac:dyDescent="0.25">
      <c r="B489" s="81"/>
      <c r="C489" s="45" t="s">
        <v>189</v>
      </c>
      <c r="D489" s="44">
        <v>2</v>
      </c>
      <c r="E489" s="43">
        <v>2.0850708924103419E-4</v>
      </c>
    </row>
    <row r="490" spans="2:5" ht="15" customHeight="1" x14ac:dyDescent="0.25">
      <c r="B490" s="81"/>
      <c r="C490" s="45" t="s">
        <v>188</v>
      </c>
      <c r="D490" s="44">
        <v>4</v>
      </c>
      <c r="E490" s="43">
        <v>4.1701417848206837E-4</v>
      </c>
    </row>
    <row r="491" spans="2:5" ht="15" customHeight="1" x14ac:dyDescent="0.25">
      <c r="B491" s="81"/>
      <c r="C491" s="45" t="s">
        <v>187</v>
      </c>
      <c r="D491" s="44">
        <v>48</v>
      </c>
      <c r="E491" s="43">
        <v>5.0041701417848205E-3</v>
      </c>
    </row>
    <row r="492" spans="2:5" ht="15" customHeight="1" x14ac:dyDescent="0.25">
      <c r="B492" s="81"/>
      <c r="C492" s="45" t="s">
        <v>186</v>
      </c>
      <c r="D492" s="44">
        <v>26</v>
      </c>
      <c r="E492" s="43">
        <v>2.7105921601334446E-3</v>
      </c>
    </row>
    <row r="493" spans="2:5" ht="15" customHeight="1" x14ac:dyDescent="0.25">
      <c r="B493" s="81"/>
      <c r="C493" s="45" t="s">
        <v>185</v>
      </c>
      <c r="D493" s="44">
        <v>6</v>
      </c>
      <c r="E493" s="43">
        <v>6.2552126772310256E-4</v>
      </c>
    </row>
    <row r="494" spans="2:5" ht="15" customHeight="1" x14ac:dyDescent="0.25">
      <c r="B494" s="81"/>
      <c r="C494" s="45" t="s">
        <v>184</v>
      </c>
      <c r="D494" s="44">
        <v>12</v>
      </c>
      <c r="E494" s="43">
        <v>1.2510425354462051E-3</v>
      </c>
    </row>
    <row r="495" spans="2:5" ht="15" customHeight="1" x14ac:dyDescent="0.25">
      <c r="B495" s="81"/>
      <c r="C495" s="45" t="s">
        <v>183</v>
      </c>
      <c r="D495" s="44">
        <v>27</v>
      </c>
      <c r="E495" s="43">
        <v>2.8148457047539616E-3</v>
      </c>
    </row>
    <row r="496" spans="2:5" ht="15" customHeight="1" x14ac:dyDescent="0.25">
      <c r="B496" s="81"/>
      <c r="C496" s="45" t="s">
        <v>182</v>
      </c>
      <c r="D496" s="44">
        <v>176</v>
      </c>
      <c r="E496" s="43">
        <v>1.834862385321101E-2</v>
      </c>
    </row>
    <row r="497" spans="2:5" ht="15" customHeight="1" x14ac:dyDescent="0.25">
      <c r="B497" s="81"/>
      <c r="C497" s="45" t="s">
        <v>181</v>
      </c>
      <c r="D497" s="44">
        <v>48</v>
      </c>
      <c r="E497" s="43">
        <v>5.0041701417848205E-3</v>
      </c>
    </row>
    <row r="498" spans="2:5" ht="15" customHeight="1" x14ac:dyDescent="0.25">
      <c r="B498" s="81"/>
      <c r="C498" s="45" t="s">
        <v>180</v>
      </c>
      <c r="D498" s="44">
        <v>30</v>
      </c>
      <c r="E498" s="43">
        <v>3.127606338615513E-3</v>
      </c>
    </row>
    <row r="499" spans="2:5" ht="15" customHeight="1" x14ac:dyDescent="0.25">
      <c r="B499" s="81"/>
      <c r="C499" s="45" t="s">
        <v>179</v>
      </c>
      <c r="D499" s="44">
        <v>196</v>
      </c>
      <c r="E499" s="43">
        <v>2.0433694745621352E-2</v>
      </c>
    </row>
    <row r="500" spans="2:5" ht="15" customHeight="1" x14ac:dyDescent="0.25">
      <c r="B500" s="81"/>
      <c r="C500" s="45" t="s">
        <v>178</v>
      </c>
      <c r="D500" s="44">
        <v>4</v>
      </c>
      <c r="E500" s="43">
        <v>4.1701417848206837E-4</v>
      </c>
    </row>
    <row r="501" spans="2:5" ht="15" customHeight="1" x14ac:dyDescent="0.25">
      <c r="B501" s="81"/>
      <c r="C501" s="45" t="s">
        <v>177</v>
      </c>
      <c r="D501" s="44">
        <v>4</v>
      </c>
      <c r="E501" s="43">
        <v>4.1701417848206837E-4</v>
      </c>
    </row>
    <row r="502" spans="2:5" ht="15" customHeight="1" x14ac:dyDescent="0.25">
      <c r="B502" s="81"/>
      <c r="C502" s="45" t="s">
        <v>176</v>
      </c>
      <c r="D502" s="44">
        <v>1</v>
      </c>
      <c r="E502" s="43">
        <v>1.0425354462051709E-4</v>
      </c>
    </row>
    <row r="503" spans="2:5" ht="15" customHeight="1" x14ac:dyDescent="0.25">
      <c r="B503" s="81"/>
      <c r="C503" s="45" t="s">
        <v>175</v>
      </c>
      <c r="D503" s="44">
        <v>3</v>
      </c>
      <c r="E503" s="43">
        <v>3.1276063386155128E-4</v>
      </c>
    </row>
    <row r="504" spans="2:5" ht="15" customHeight="1" x14ac:dyDescent="0.25">
      <c r="B504" s="81"/>
      <c r="C504" s="45" t="s">
        <v>174</v>
      </c>
      <c r="D504" s="44">
        <v>23</v>
      </c>
      <c r="E504" s="43">
        <v>2.3978315262718933E-3</v>
      </c>
    </row>
    <row r="505" spans="2:5" ht="15" customHeight="1" x14ac:dyDescent="0.25">
      <c r="B505" s="81"/>
      <c r="C505" s="45" t="s">
        <v>173</v>
      </c>
      <c r="D505" s="44">
        <v>93</v>
      </c>
      <c r="E505" s="43">
        <v>9.6955796497080905E-3</v>
      </c>
    </row>
    <row r="506" spans="2:5" ht="15" customHeight="1" x14ac:dyDescent="0.25">
      <c r="B506" s="81"/>
      <c r="C506" s="45" t="s">
        <v>197</v>
      </c>
      <c r="D506" s="44">
        <v>1</v>
      </c>
      <c r="E506" s="43">
        <v>1.0425354462051709E-4</v>
      </c>
    </row>
    <row r="507" spans="2:5" ht="15" customHeight="1" x14ac:dyDescent="0.25">
      <c r="B507" s="81"/>
      <c r="C507" s="45" t="s">
        <v>171</v>
      </c>
      <c r="D507" s="44">
        <v>6</v>
      </c>
      <c r="E507" s="43">
        <v>6.2552126772310256E-4</v>
      </c>
    </row>
    <row r="508" spans="2:5" ht="15" customHeight="1" x14ac:dyDescent="0.25">
      <c r="B508" s="81"/>
      <c r="C508" s="45" t="s">
        <v>170</v>
      </c>
      <c r="D508" s="44">
        <v>1</v>
      </c>
      <c r="E508" s="43">
        <v>1.0425354462051709E-4</v>
      </c>
    </row>
    <row r="509" spans="2:5" ht="15" customHeight="1" x14ac:dyDescent="0.25">
      <c r="B509" s="82"/>
      <c r="C509" s="42" t="s">
        <v>22</v>
      </c>
      <c r="D509" s="41">
        <v>722</v>
      </c>
      <c r="E509" s="40">
        <v>7.5271059216013347E-2</v>
      </c>
    </row>
    <row r="510" spans="2:5" ht="15" customHeight="1" x14ac:dyDescent="0.25">
      <c r="B510" s="80" t="s">
        <v>106</v>
      </c>
      <c r="C510" s="45" t="s">
        <v>191</v>
      </c>
      <c r="D510" s="44">
        <v>1</v>
      </c>
      <c r="E510" s="43">
        <v>1.0425354462051709E-4</v>
      </c>
    </row>
    <row r="511" spans="2:5" ht="15" customHeight="1" x14ac:dyDescent="0.25">
      <c r="B511" s="81"/>
      <c r="C511" s="45" t="s">
        <v>187</v>
      </c>
      <c r="D511" s="44">
        <v>2</v>
      </c>
      <c r="E511" s="43">
        <v>2.0850708924103419E-4</v>
      </c>
    </row>
    <row r="512" spans="2:5" ht="15" customHeight="1" x14ac:dyDescent="0.25">
      <c r="B512" s="81"/>
      <c r="C512" s="45" t="s">
        <v>186</v>
      </c>
      <c r="D512" s="44">
        <v>2</v>
      </c>
      <c r="E512" s="43">
        <v>2.0850708924103419E-4</v>
      </c>
    </row>
    <row r="513" spans="2:5" ht="15" customHeight="1" x14ac:dyDescent="0.25">
      <c r="B513" s="81"/>
      <c r="C513" s="45" t="s">
        <v>183</v>
      </c>
      <c r="D513" s="44">
        <v>3</v>
      </c>
      <c r="E513" s="43">
        <v>3.1276063386155128E-4</v>
      </c>
    </row>
    <row r="514" spans="2:5" ht="15" customHeight="1" x14ac:dyDescent="0.25">
      <c r="B514" s="81"/>
      <c r="C514" s="45" t="s">
        <v>182</v>
      </c>
      <c r="D514" s="44">
        <v>8</v>
      </c>
      <c r="E514" s="43">
        <v>8.3402835696413675E-4</v>
      </c>
    </row>
    <row r="515" spans="2:5" ht="15" customHeight="1" x14ac:dyDescent="0.25">
      <c r="B515" s="81"/>
      <c r="C515" s="45" t="s">
        <v>181</v>
      </c>
      <c r="D515" s="44">
        <v>4</v>
      </c>
      <c r="E515" s="43">
        <v>4.1701417848206837E-4</v>
      </c>
    </row>
    <row r="516" spans="2:5" ht="15" customHeight="1" x14ac:dyDescent="0.25">
      <c r="B516" s="81"/>
      <c r="C516" s="45" t="s">
        <v>180</v>
      </c>
      <c r="D516" s="44">
        <v>6</v>
      </c>
      <c r="E516" s="43">
        <v>6.2552126772310256E-4</v>
      </c>
    </row>
    <row r="517" spans="2:5" ht="15" customHeight="1" x14ac:dyDescent="0.25">
      <c r="B517" s="81"/>
      <c r="C517" s="45" t="s">
        <v>179</v>
      </c>
      <c r="D517" s="44">
        <v>14</v>
      </c>
      <c r="E517" s="43">
        <v>1.4595496246872393E-3</v>
      </c>
    </row>
    <row r="518" spans="2:5" ht="15" customHeight="1" x14ac:dyDescent="0.25">
      <c r="B518" s="81"/>
      <c r="C518" s="45" t="s">
        <v>173</v>
      </c>
      <c r="D518" s="44">
        <v>3</v>
      </c>
      <c r="E518" s="43">
        <v>3.1276063386155128E-4</v>
      </c>
    </row>
    <row r="519" spans="2:5" ht="15" customHeight="1" x14ac:dyDescent="0.25">
      <c r="B519" s="82"/>
      <c r="C519" s="42" t="s">
        <v>22</v>
      </c>
      <c r="D519" s="41">
        <v>43</v>
      </c>
      <c r="E519" s="40">
        <v>4.4829024186822351E-3</v>
      </c>
    </row>
    <row r="520" spans="2:5" ht="15" customHeight="1" x14ac:dyDescent="0.25">
      <c r="B520" s="80" t="s">
        <v>90</v>
      </c>
      <c r="C520" s="45" t="s">
        <v>182</v>
      </c>
      <c r="D520" s="44">
        <v>4</v>
      </c>
      <c r="E520" s="43">
        <v>4.1701417848206837E-4</v>
      </c>
    </row>
    <row r="521" spans="2:5" ht="15" customHeight="1" x14ac:dyDescent="0.25">
      <c r="B521" s="81"/>
      <c r="C521" s="45" t="s">
        <v>181</v>
      </c>
      <c r="D521" s="44">
        <v>1</v>
      </c>
      <c r="E521" s="43">
        <v>1.0425354462051709E-4</v>
      </c>
    </row>
    <row r="522" spans="2:5" ht="15" customHeight="1" x14ac:dyDescent="0.25">
      <c r="B522" s="81"/>
      <c r="C522" s="45" t="s">
        <v>180</v>
      </c>
      <c r="D522" s="44">
        <v>1</v>
      </c>
      <c r="E522" s="43">
        <v>1.0425354462051709E-4</v>
      </c>
    </row>
    <row r="523" spans="2:5" ht="15" customHeight="1" x14ac:dyDescent="0.25">
      <c r="B523" s="81"/>
      <c r="C523" s="45" t="s">
        <v>179</v>
      </c>
      <c r="D523" s="44">
        <v>3</v>
      </c>
      <c r="E523" s="43">
        <v>3.1276063386155128E-4</v>
      </c>
    </row>
    <row r="524" spans="2:5" ht="15" customHeight="1" x14ac:dyDescent="0.25">
      <c r="B524" s="81"/>
      <c r="C524" s="45" t="s">
        <v>173</v>
      </c>
      <c r="D524" s="44">
        <v>3</v>
      </c>
      <c r="E524" s="43">
        <v>3.1276063386155128E-4</v>
      </c>
    </row>
    <row r="525" spans="2:5" ht="15" customHeight="1" x14ac:dyDescent="0.25">
      <c r="B525" s="81"/>
      <c r="C525" s="45" t="s">
        <v>171</v>
      </c>
      <c r="D525" s="44">
        <v>1</v>
      </c>
      <c r="E525" s="43">
        <v>1.0425354462051709E-4</v>
      </c>
    </row>
    <row r="526" spans="2:5" ht="15" customHeight="1" x14ac:dyDescent="0.25">
      <c r="B526" s="82"/>
      <c r="C526" s="42" t="s">
        <v>22</v>
      </c>
      <c r="D526" s="41">
        <v>13</v>
      </c>
      <c r="E526" s="40">
        <v>1.3552960800667223E-3</v>
      </c>
    </row>
    <row r="527" spans="2:5" ht="15" customHeight="1" x14ac:dyDescent="0.25">
      <c r="B527" s="80" t="s">
        <v>103</v>
      </c>
      <c r="C527" s="45" t="s">
        <v>186</v>
      </c>
      <c r="D527" s="44">
        <v>2</v>
      </c>
      <c r="E527" s="43">
        <v>2.0850708924103419E-4</v>
      </c>
    </row>
    <row r="528" spans="2:5" ht="15" customHeight="1" x14ac:dyDescent="0.25">
      <c r="B528" s="81"/>
      <c r="C528" s="45" t="s">
        <v>183</v>
      </c>
      <c r="D528" s="44">
        <v>1</v>
      </c>
      <c r="E528" s="43">
        <v>1.0425354462051709E-4</v>
      </c>
    </row>
    <row r="529" spans="2:5" ht="15" customHeight="1" x14ac:dyDescent="0.25">
      <c r="B529" s="81"/>
      <c r="C529" s="45" t="s">
        <v>182</v>
      </c>
      <c r="D529" s="44">
        <v>4</v>
      </c>
      <c r="E529" s="43">
        <v>4.1701417848206837E-4</v>
      </c>
    </row>
    <row r="530" spans="2:5" ht="15" customHeight="1" x14ac:dyDescent="0.25">
      <c r="B530" s="81"/>
      <c r="C530" s="45" t="s">
        <v>180</v>
      </c>
      <c r="D530" s="44">
        <v>2</v>
      </c>
      <c r="E530" s="43">
        <v>2.0850708924103419E-4</v>
      </c>
    </row>
    <row r="531" spans="2:5" ht="15" customHeight="1" x14ac:dyDescent="0.25">
      <c r="B531" s="81"/>
      <c r="C531" s="45" t="s">
        <v>179</v>
      </c>
      <c r="D531" s="44">
        <v>4</v>
      </c>
      <c r="E531" s="43">
        <v>4.1701417848206837E-4</v>
      </c>
    </row>
    <row r="532" spans="2:5" ht="15" customHeight="1" x14ac:dyDescent="0.25">
      <c r="B532" s="81"/>
      <c r="C532" s="45" t="s">
        <v>176</v>
      </c>
      <c r="D532" s="44">
        <v>1</v>
      </c>
      <c r="E532" s="43">
        <v>1.0425354462051709E-4</v>
      </c>
    </row>
    <row r="533" spans="2:5" ht="15" customHeight="1" x14ac:dyDescent="0.25">
      <c r="B533" s="81"/>
      <c r="C533" s="45" t="s">
        <v>173</v>
      </c>
      <c r="D533" s="44">
        <v>1</v>
      </c>
      <c r="E533" s="43">
        <v>1.0425354462051709E-4</v>
      </c>
    </row>
    <row r="534" spans="2:5" ht="15" customHeight="1" x14ac:dyDescent="0.25">
      <c r="B534" s="82"/>
      <c r="C534" s="42" t="s">
        <v>22</v>
      </c>
      <c r="D534" s="41">
        <v>15</v>
      </c>
      <c r="E534" s="40">
        <v>1.5638031693077565E-3</v>
      </c>
    </row>
    <row r="535" spans="2:5" ht="15" customHeight="1" x14ac:dyDescent="0.25">
      <c r="B535" s="80" t="s">
        <v>198</v>
      </c>
      <c r="C535" s="45" t="s">
        <v>192</v>
      </c>
      <c r="D535" s="44">
        <v>1</v>
      </c>
      <c r="E535" s="43">
        <v>1.0425354462051709E-4</v>
      </c>
    </row>
    <row r="536" spans="2:5" ht="15" customHeight="1" x14ac:dyDescent="0.25">
      <c r="B536" s="81"/>
      <c r="C536" s="45" t="s">
        <v>184</v>
      </c>
      <c r="D536" s="44">
        <v>1</v>
      </c>
      <c r="E536" s="43">
        <v>1.0425354462051709E-4</v>
      </c>
    </row>
    <row r="537" spans="2:5" ht="15" customHeight="1" x14ac:dyDescent="0.25">
      <c r="B537" s="81"/>
      <c r="C537" s="45" t="s">
        <v>182</v>
      </c>
      <c r="D537" s="44">
        <v>2</v>
      </c>
      <c r="E537" s="43">
        <v>2.0850708924103419E-4</v>
      </c>
    </row>
    <row r="538" spans="2:5" ht="15" customHeight="1" x14ac:dyDescent="0.25">
      <c r="B538" s="81"/>
      <c r="C538" s="45" t="s">
        <v>181</v>
      </c>
      <c r="D538" s="44">
        <v>2</v>
      </c>
      <c r="E538" s="43">
        <v>2.0850708924103419E-4</v>
      </c>
    </row>
    <row r="539" spans="2:5" ht="15" customHeight="1" x14ac:dyDescent="0.25">
      <c r="B539" s="81"/>
      <c r="C539" s="45" t="s">
        <v>179</v>
      </c>
      <c r="D539" s="44">
        <v>3</v>
      </c>
      <c r="E539" s="43">
        <v>3.1276063386155128E-4</v>
      </c>
    </row>
    <row r="540" spans="2:5" ht="15" customHeight="1" x14ac:dyDescent="0.25">
      <c r="B540" s="81"/>
      <c r="C540" s="45" t="s">
        <v>173</v>
      </c>
      <c r="D540" s="44">
        <v>1</v>
      </c>
      <c r="E540" s="43">
        <v>1.0425354462051709E-4</v>
      </c>
    </row>
    <row r="541" spans="2:5" ht="15" customHeight="1" x14ac:dyDescent="0.25">
      <c r="B541" s="82"/>
      <c r="C541" s="42" t="s">
        <v>22</v>
      </c>
      <c r="D541" s="41">
        <v>10</v>
      </c>
      <c r="E541" s="40">
        <v>1.0425354462051709E-3</v>
      </c>
    </row>
    <row r="542" spans="2:5" ht="15" customHeight="1" x14ac:dyDescent="0.25">
      <c r="B542" s="80" t="s">
        <v>105</v>
      </c>
      <c r="C542" s="45" t="s">
        <v>185</v>
      </c>
      <c r="D542" s="44">
        <v>1</v>
      </c>
      <c r="E542" s="43">
        <v>1.0425354462051709E-4</v>
      </c>
    </row>
    <row r="543" spans="2:5" ht="15" customHeight="1" x14ac:dyDescent="0.25">
      <c r="B543" s="81"/>
      <c r="C543" s="45" t="s">
        <v>182</v>
      </c>
      <c r="D543" s="44">
        <v>8</v>
      </c>
      <c r="E543" s="43">
        <v>8.3402835696413675E-4</v>
      </c>
    </row>
    <row r="544" spans="2:5" ht="15" customHeight="1" x14ac:dyDescent="0.25">
      <c r="B544" s="81"/>
      <c r="C544" s="45" t="s">
        <v>180</v>
      </c>
      <c r="D544" s="44">
        <v>1</v>
      </c>
      <c r="E544" s="43">
        <v>1.0425354462051709E-4</v>
      </c>
    </row>
    <row r="545" spans="2:5" ht="15" customHeight="1" x14ac:dyDescent="0.25">
      <c r="B545" s="81"/>
      <c r="C545" s="45" t="s">
        <v>179</v>
      </c>
      <c r="D545" s="44">
        <v>1</v>
      </c>
      <c r="E545" s="43">
        <v>1.0425354462051709E-4</v>
      </c>
    </row>
    <row r="546" spans="2:5" ht="15" customHeight="1" x14ac:dyDescent="0.25">
      <c r="B546" s="81"/>
      <c r="C546" s="45" t="s">
        <v>177</v>
      </c>
      <c r="D546" s="44">
        <v>1</v>
      </c>
      <c r="E546" s="43">
        <v>1.0425354462051709E-4</v>
      </c>
    </row>
    <row r="547" spans="2:5" ht="15" customHeight="1" x14ac:dyDescent="0.25">
      <c r="B547" s="81"/>
      <c r="C547" s="45" t="s">
        <v>173</v>
      </c>
      <c r="D547" s="44">
        <v>4</v>
      </c>
      <c r="E547" s="43">
        <v>4.1701417848206837E-4</v>
      </c>
    </row>
    <row r="548" spans="2:5" ht="15" customHeight="1" x14ac:dyDescent="0.25">
      <c r="B548" s="82"/>
      <c r="C548" s="42" t="s">
        <v>22</v>
      </c>
      <c r="D548" s="41">
        <v>16</v>
      </c>
      <c r="E548" s="40">
        <v>1.6680567139282735E-3</v>
      </c>
    </row>
    <row r="549" spans="2:5" ht="15" customHeight="1" x14ac:dyDescent="0.25">
      <c r="B549" s="80" t="s">
        <v>83</v>
      </c>
      <c r="C549" s="45" t="s">
        <v>190</v>
      </c>
      <c r="D549" s="44">
        <v>1</v>
      </c>
      <c r="E549" s="43">
        <v>1.0425354462051709E-4</v>
      </c>
    </row>
    <row r="550" spans="2:5" ht="15" customHeight="1" x14ac:dyDescent="0.25">
      <c r="B550" s="81"/>
      <c r="C550" s="45" t="s">
        <v>185</v>
      </c>
      <c r="D550" s="44">
        <v>1</v>
      </c>
      <c r="E550" s="43">
        <v>1.0425354462051709E-4</v>
      </c>
    </row>
    <row r="551" spans="2:5" ht="15" customHeight="1" x14ac:dyDescent="0.25">
      <c r="B551" s="81"/>
      <c r="C551" s="45" t="s">
        <v>182</v>
      </c>
      <c r="D551" s="44">
        <v>3</v>
      </c>
      <c r="E551" s="43">
        <v>3.1276063386155128E-4</v>
      </c>
    </row>
    <row r="552" spans="2:5" ht="15" customHeight="1" x14ac:dyDescent="0.25">
      <c r="B552" s="81"/>
      <c r="C552" s="45" t="s">
        <v>180</v>
      </c>
      <c r="D552" s="44">
        <v>1</v>
      </c>
      <c r="E552" s="43">
        <v>1.0425354462051709E-4</v>
      </c>
    </row>
    <row r="553" spans="2:5" ht="15" customHeight="1" x14ac:dyDescent="0.25">
      <c r="B553" s="81"/>
      <c r="C553" s="45" t="s">
        <v>179</v>
      </c>
      <c r="D553" s="44">
        <v>4</v>
      </c>
      <c r="E553" s="43">
        <v>4.1701417848206837E-4</v>
      </c>
    </row>
    <row r="554" spans="2:5" ht="15" customHeight="1" x14ac:dyDescent="0.25">
      <c r="B554" s="81"/>
      <c r="C554" s="45" t="s">
        <v>173</v>
      </c>
      <c r="D554" s="44">
        <v>1</v>
      </c>
      <c r="E554" s="43">
        <v>1.0425354462051709E-4</v>
      </c>
    </row>
    <row r="555" spans="2:5" ht="15" customHeight="1" x14ac:dyDescent="0.25">
      <c r="B555" s="82"/>
      <c r="C555" s="42" t="s">
        <v>22</v>
      </c>
      <c r="D555" s="41">
        <v>11</v>
      </c>
      <c r="E555" s="40">
        <v>1.1467889908256881E-3</v>
      </c>
    </row>
    <row r="556" spans="2:5" ht="15" customHeight="1" x14ac:dyDescent="0.25">
      <c r="B556" s="80" t="s">
        <v>74</v>
      </c>
      <c r="C556" s="45" t="s">
        <v>182</v>
      </c>
      <c r="D556" s="44">
        <v>1</v>
      </c>
      <c r="E556" s="43">
        <v>1.0425354462051709E-4</v>
      </c>
    </row>
    <row r="557" spans="2:5" ht="15" customHeight="1" x14ac:dyDescent="0.25">
      <c r="B557" s="81"/>
      <c r="C557" s="45" t="s">
        <v>179</v>
      </c>
      <c r="D557" s="44">
        <v>1</v>
      </c>
      <c r="E557" s="43">
        <v>1.0425354462051709E-4</v>
      </c>
    </row>
    <row r="558" spans="2:5" ht="15" customHeight="1" x14ac:dyDescent="0.25">
      <c r="B558" s="81"/>
      <c r="C558" s="45" t="s">
        <v>174</v>
      </c>
      <c r="D558" s="44">
        <v>1</v>
      </c>
      <c r="E558" s="43">
        <v>1.0425354462051709E-4</v>
      </c>
    </row>
    <row r="559" spans="2:5" ht="15" customHeight="1" x14ac:dyDescent="0.25">
      <c r="B559" s="82"/>
      <c r="C559" s="42" t="s">
        <v>22</v>
      </c>
      <c r="D559" s="41">
        <v>3</v>
      </c>
      <c r="E559" s="40">
        <v>3.1276063386155128E-4</v>
      </c>
    </row>
    <row r="560" spans="2:5" ht="15" customHeight="1" x14ac:dyDescent="0.25">
      <c r="B560" s="80" t="s">
        <v>40</v>
      </c>
      <c r="C560" s="45" t="s">
        <v>186</v>
      </c>
      <c r="D560" s="44">
        <v>1</v>
      </c>
      <c r="E560" s="43">
        <v>1.0425354462051709E-4</v>
      </c>
    </row>
    <row r="561" spans="2:5" ht="15" customHeight="1" x14ac:dyDescent="0.25">
      <c r="B561" s="81"/>
      <c r="C561" s="45" t="s">
        <v>183</v>
      </c>
      <c r="D561" s="44">
        <v>2</v>
      </c>
      <c r="E561" s="43">
        <v>2.0850708924103419E-4</v>
      </c>
    </row>
    <row r="562" spans="2:5" ht="15" customHeight="1" x14ac:dyDescent="0.25">
      <c r="B562" s="81"/>
      <c r="C562" s="45" t="s">
        <v>182</v>
      </c>
      <c r="D562" s="44">
        <v>8</v>
      </c>
      <c r="E562" s="43">
        <v>8.3402835696413675E-4</v>
      </c>
    </row>
    <row r="563" spans="2:5" ht="15" customHeight="1" x14ac:dyDescent="0.25">
      <c r="B563" s="81"/>
      <c r="C563" s="45" t="s">
        <v>181</v>
      </c>
      <c r="D563" s="44">
        <v>1</v>
      </c>
      <c r="E563" s="43">
        <v>1.0425354462051709E-4</v>
      </c>
    </row>
    <row r="564" spans="2:5" ht="15" customHeight="1" x14ac:dyDescent="0.25">
      <c r="B564" s="81"/>
      <c r="C564" s="45" t="s">
        <v>180</v>
      </c>
      <c r="D564" s="44">
        <v>2</v>
      </c>
      <c r="E564" s="43">
        <v>2.0850708924103419E-4</v>
      </c>
    </row>
    <row r="565" spans="2:5" ht="15" customHeight="1" x14ac:dyDescent="0.25">
      <c r="B565" s="81"/>
      <c r="C565" s="45" t="s">
        <v>179</v>
      </c>
      <c r="D565" s="44">
        <v>4</v>
      </c>
      <c r="E565" s="43">
        <v>4.1701417848206837E-4</v>
      </c>
    </row>
    <row r="566" spans="2:5" ht="15" customHeight="1" x14ac:dyDescent="0.25">
      <c r="B566" s="81"/>
      <c r="C566" s="45" t="s">
        <v>174</v>
      </c>
      <c r="D566" s="44">
        <v>1</v>
      </c>
      <c r="E566" s="43">
        <v>1.0425354462051709E-4</v>
      </c>
    </row>
    <row r="567" spans="2:5" ht="15" customHeight="1" x14ac:dyDescent="0.25">
      <c r="B567" s="81"/>
      <c r="C567" s="45" t="s">
        <v>173</v>
      </c>
      <c r="D567" s="44">
        <v>1</v>
      </c>
      <c r="E567" s="43">
        <v>1.0425354462051709E-4</v>
      </c>
    </row>
    <row r="568" spans="2:5" ht="15" customHeight="1" x14ac:dyDescent="0.25">
      <c r="B568" s="81"/>
      <c r="C568" s="45" t="s">
        <v>171</v>
      </c>
      <c r="D568" s="44">
        <v>1</v>
      </c>
      <c r="E568" s="43">
        <v>1.0425354462051709E-4</v>
      </c>
    </row>
    <row r="569" spans="2:5" ht="15" customHeight="1" x14ac:dyDescent="0.25">
      <c r="B569" s="82"/>
      <c r="C569" s="42" t="s">
        <v>22</v>
      </c>
      <c r="D569" s="41">
        <v>21</v>
      </c>
      <c r="E569" s="40">
        <v>2.1893244370308589E-3</v>
      </c>
    </row>
    <row r="570" spans="2:5" ht="15" customHeight="1" x14ac:dyDescent="0.25">
      <c r="B570" s="83" t="s">
        <v>22</v>
      </c>
      <c r="C570" s="84"/>
      <c r="D570" s="39">
        <v>9592</v>
      </c>
      <c r="E570" s="38">
        <v>1</v>
      </c>
    </row>
    <row r="572" spans="2:5" ht="15" customHeight="1" x14ac:dyDescent="0.25">
      <c r="B572" s="19" t="s">
        <v>245</v>
      </c>
    </row>
    <row r="573" spans="2:5" ht="15" customHeight="1" x14ac:dyDescent="0.25">
      <c r="B573" s="21" t="s">
        <v>20</v>
      </c>
    </row>
    <row r="574" spans="2:5" ht="15" customHeight="1" x14ac:dyDescent="0.25">
      <c r="B574" s="20" t="s">
        <v>19</v>
      </c>
    </row>
    <row r="575" spans="2:5" ht="15" customHeight="1" x14ac:dyDescent="0.25">
      <c r="B575" s="19" t="s">
        <v>18</v>
      </c>
    </row>
    <row r="576" spans="2:5" ht="15" customHeight="1" x14ac:dyDescent="0.25">
      <c r="B576" s="19" t="s">
        <v>246</v>
      </c>
    </row>
  </sheetData>
  <mergeCells count="49">
    <mergeCell ref="B10:B17"/>
    <mergeCell ref="B18:B37"/>
    <mergeCell ref="B38:B56"/>
    <mergeCell ref="B57:B65"/>
    <mergeCell ref="B66:B68"/>
    <mergeCell ref="B69:B85"/>
    <mergeCell ref="B86:B87"/>
    <mergeCell ref="B88:B106"/>
    <mergeCell ref="B107:B128"/>
    <mergeCell ref="B129:B133"/>
    <mergeCell ref="B134:B146"/>
    <mergeCell ref="B7:E8"/>
    <mergeCell ref="B185:B198"/>
    <mergeCell ref="B199:B223"/>
    <mergeCell ref="B224:B236"/>
    <mergeCell ref="B237:B251"/>
    <mergeCell ref="B252:B271"/>
    <mergeCell ref="B272:B280"/>
    <mergeCell ref="B281:B296"/>
    <mergeCell ref="B147:B164"/>
    <mergeCell ref="B165:B166"/>
    <mergeCell ref="B167:B177"/>
    <mergeCell ref="B178:B184"/>
    <mergeCell ref="B364:B377"/>
    <mergeCell ref="B378:B385"/>
    <mergeCell ref="B386:B398"/>
    <mergeCell ref="B399:B411"/>
    <mergeCell ref="B412:B417"/>
    <mergeCell ref="B418:B424"/>
    <mergeCell ref="B425:B429"/>
    <mergeCell ref="B430:B435"/>
    <mergeCell ref="B436:B453"/>
    <mergeCell ref="B297:B309"/>
    <mergeCell ref="B310:B334"/>
    <mergeCell ref="B335:B351"/>
    <mergeCell ref="B352:B363"/>
    <mergeCell ref="B485:B509"/>
    <mergeCell ref="B510:B519"/>
    <mergeCell ref="B520:B526"/>
    <mergeCell ref="B527:B534"/>
    <mergeCell ref="B535:B541"/>
    <mergeCell ref="B542:B548"/>
    <mergeCell ref="B549:B555"/>
    <mergeCell ref="B556:B559"/>
    <mergeCell ref="B560:B569"/>
    <mergeCell ref="B570:C570"/>
    <mergeCell ref="B454:B460"/>
    <mergeCell ref="B461:B472"/>
    <mergeCell ref="B473:B4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H21" sqref="H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253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206</v>
      </c>
      <c r="C11" s="31" t="s">
        <v>66</v>
      </c>
      <c r="D11" s="30" t="s">
        <v>65</v>
      </c>
    </row>
    <row r="12" spans="1:5" x14ac:dyDescent="0.25">
      <c r="B12" s="27" t="s">
        <v>205</v>
      </c>
      <c r="C12" s="26">
        <v>4978</v>
      </c>
      <c r="D12" s="25">
        <v>0.51897414512093409</v>
      </c>
    </row>
    <row r="13" spans="1:5" x14ac:dyDescent="0.25">
      <c r="B13" s="27" t="s">
        <v>204</v>
      </c>
      <c r="C13" s="26">
        <v>4614</v>
      </c>
      <c r="D13" s="25">
        <v>0.48102585487906591</v>
      </c>
    </row>
    <row r="14" spans="1:5" x14ac:dyDescent="0.25">
      <c r="B14" s="24" t="s">
        <v>203</v>
      </c>
      <c r="C14" s="23">
        <v>9592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245</v>
      </c>
      <c r="C16" s="61"/>
      <c r="D16" s="61"/>
      <c r="E16" s="28"/>
    </row>
    <row r="17" spans="2:4" x14ac:dyDescent="0.25">
      <c r="B17" s="21" t="s">
        <v>20</v>
      </c>
      <c r="C17" s="60"/>
      <c r="D17" s="60"/>
    </row>
    <row r="18" spans="2:4" x14ac:dyDescent="0.25">
      <c r="B18" s="20" t="s">
        <v>19</v>
      </c>
      <c r="C18" s="59"/>
      <c r="D18" s="59"/>
    </row>
    <row r="19" spans="2:4" x14ac:dyDescent="0.25">
      <c r="B19" s="19" t="s">
        <v>18</v>
      </c>
    </row>
    <row r="20" spans="2:4" x14ac:dyDescent="0.25">
      <c r="B20" s="19" t="s">
        <v>246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zoomScale="98" zoomScaleNormal="98" zoomScaleSheetLayoutView="100" workbookViewId="0">
      <selection activeCell="I22" sqref="I22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254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115</v>
      </c>
      <c r="C11" s="65" t="s">
        <v>206</v>
      </c>
      <c r="D11" s="65" t="s">
        <v>66</v>
      </c>
      <c r="E11" s="65" t="s">
        <v>65</v>
      </c>
    </row>
    <row r="12" spans="1:6" ht="13.5" x14ac:dyDescent="0.2">
      <c r="B12" s="87" t="s">
        <v>78</v>
      </c>
      <c r="C12" s="63" t="s">
        <v>207</v>
      </c>
      <c r="D12" s="26">
        <v>18</v>
      </c>
      <c r="E12" s="25">
        <v>1.8765638031693077E-3</v>
      </c>
    </row>
    <row r="13" spans="1:6" ht="13.5" x14ac:dyDescent="0.2">
      <c r="B13" s="88"/>
      <c r="C13" s="63" t="s">
        <v>208</v>
      </c>
      <c r="D13" s="26">
        <v>10</v>
      </c>
      <c r="E13" s="25">
        <v>1.0425354462051709E-3</v>
      </c>
    </row>
    <row r="14" spans="1:6" ht="13.5" x14ac:dyDescent="0.2">
      <c r="B14" s="89"/>
      <c r="C14" s="92" t="s">
        <v>22</v>
      </c>
      <c r="D14" s="93">
        <v>28</v>
      </c>
      <c r="E14" s="94">
        <v>2.9190992493744786E-3</v>
      </c>
    </row>
    <row r="15" spans="1:6" ht="13.5" x14ac:dyDescent="0.2">
      <c r="B15" s="87" t="s">
        <v>110</v>
      </c>
      <c r="C15" s="63" t="s">
        <v>207</v>
      </c>
      <c r="D15" s="26">
        <v>124</v>
      </c>
      <c r="E15" s="25">
        <v>1.292743953294412E-2</v>
      </c>
    </row>
    <row r="16" spans="1:6" ht="13.5" x14ac:dyDescent="0.2">
      <c r="B16" s="88"/>
      <c r="C16" s="63" t="s">
        <v>208</v>
      </c>
      <c r="D16" s="26">
        <v>98</v>
      </c>
      <c r="E16" s="25">
        <v>1.0216847372810676E-2</v>
      </c>
    </row>
    <row r="17" spans="2:5" ht="13.5" x14ac:dyDescent="0.2">
      <c r="B17" s="89"/>
      <c r="C17" s="92" t="s">
        <v>22</v>
      </c>
      <c r="D17" s="93">
        <v>222</v>
      </c>
      <c r="E17" s="94">
        <v>2.3144286905754794E-2</v>
      </c>
    </row>
    <row r="18" spans="2:5" ht="13.5" x14ac:dyDescent="0.2">
      <c r="B18" s="87" t="s">
        <v>100</v>
      </c>
      <c r="C18" s="63" t="s">
        <v>207</v>
      </c>
      <c r="D18" s="26">
        <v>147</v>
      </c>
      <c r="E18" s="25">
        <v>1.5325271059216014E-2</v>
      </c>
    </row>
    <row r="19" spans="2:5" ht="13.5" x14ac:dyDescent="0.2">
      <c r="B19" s="88"/>
      <c r="C19" s="63" t="s">
        <v>208</v>
      </c>
      <c r="D19" s="26">
        <v>129</v>
      </c>
      <c r="E19" s="25">
        <v>1.3448707256046705E-2</v>
      </c>
    </row>
    <row r="20" spans="2:5" ht="13.5" x14ac:dyDescent="0.2">
      <c r="B20" s="89"/>
      <c r="C20" s="92" t="s">
        <v>22</v>
      </c>
      <c r="D20" s="93">
        <v>276</v>
      </c>
      <c r="E20" s="94">
        <v>2.8773978315262717E-2</v>
      </c>
    </row>
    <row r="21" spans="2:5" ht="13.5" x14ac:dyDescent="0.2">
      <c r="B21" s="87" t="s">
        <v>76</v>
      </c>
      <c r="C21" s="63" t="s">
        <v>207</v>
      </c>
      <c r="D21" s="26">
        <v>15</v>
      </c>
      <c r="E21" s="25">
        <v>1.5638031693077565E-3</v>
      </c>
    </row>
    <row r="22" spans="2:5" ht="13.5" x14ac:dyDescent="0.2">
      <c r="B22" s="88"/>
      <c r="C22" s="63" t="s">
        <v>208</v>
      </c>
      <c r="D22" s="26">
        <v>3</v>
      </c>
      <c r="E22" s="25">
        <v>3.1276063386155128E-4</v>
      </c>
    </row>
    <row r="23" spans="2:5" ht="13.5" x14ac:dyDescent="0.2">
      <c r="B23" s="89"/>
      <c r="C23" s="92" t="s">
        <v>22</v>
      </c>
      <c r="D23" s="93">
        <v>18</v>
      </c>
      <c r="E23" s="94">
        <v>1.8765638031693077E-3</v>
      </c>
    </row>
    <row r="24" spans="2:5" ht="13.5" x14ac:dyDescent="0.2">
      <c r="B24" s="87" t="s">
        <v>72</v>
      </c>
      <c r="C24" s="63" t="s">
        <v>207</v>
      </c>
      <c r="D24" s="26">
        <v>2</v>
      </c>
      <c r="E24" s="25">
        <v>2.0850708924103419E-4</v>
      </c>
    </row>
    <row r="25" spans="2:5" ht="13.5" x14ac:dyDescent="0.2">
      <c r="B25" s="88"/>
      <c r="C25" s="63" t="s">
        <v>208</v>
      </c>
      <c r="D25" s="26">
        <v>1</v>
      </c>
      <c r="E25" s="25">
        <v>1.0425354462051709E-4</v>
      </c>
    </row>
    <row r="26" spans="2:5" ht="13.5" x14ac:dyDescent="0.2">
      <c r="B26" s="89"/>
      <c r="C26" s="92" t="s">
        <v>22</v>
      </c>
      <c r="D26" s="93">
        <v>3</v>
      </c>
      <c r="E26" s="94">
        <v>3.1276063386155128E-4</v>
      </c>
    </row>
    <row r="27" spans="2:5" ht="13.5" x14ac:dyDescent="0.2">
      <c r="B27" s="87" t="s">
        <v>77</v>
      </c>
      <c r="C27" s="63" t="s">
        <v>207</v>
      </c>
      <c r="D27" s="26">
        <v>61</v>
      </c>
      <c r="E27" s="25">
        <v>6.3594662218515426E-3</v>
      </c>
    </row>
    <row r="28" spans="2:5" ht="13.5" x14ac:dyDescent="0.2">
      <c r="B28" s="88"/>
      <c r="C28" s="63" t="s">
        <v>208</v>
      </c>
      <c r="D28" s="26">
        <v>65</v>
      </c>
      <c r="E28" s="25">
        <v>6.7764804003336114E-3</v>
      </c>
    </row>
    <row r="29" spans="2:5" ht="13.5" x14ac:dyDescent="0.2">
      <c r="B29" s="89"/>
      <c r="C29" s="92" t="s">
        <v>22</v>
      </c>
      <c r="D29" s="93">
        <v>126</v>
      </c>
      <c r="E29" s="94">
        <v>1.3135946622185155E-2</v>
      </c>
    </row>
    <row r="30" spans="2:5" ht="13.5" x14ac:dyDescent="0.2">
      <c r="B30" s="87" t="s">
        <v>248</v>
      </c>
      <c r="C30" s="63" t="s">
        <v>207</v>
      </c>
      <c r="D30" s="26">
        <v>1</v>
      </c>
      <c r="E30" s="25">
        <v>1.0425354462051709E-4</v>
      </c>
    </row>
    <row r="31" spans="2:5" ht="13.5" x14ac:dyDescent="0.2">
      <c r="B31" s="89"/>
      <c r="C31" s="92" t="s">
        <v>22</v>
      </c>
      <c r="D31" s="93">
        <v>1</v>
      </c>
      <c r="E31" s="94">
        <v>1.0425354462051709E-4</v>
      </c>
    </row>
    <row r="32" spans="2:5" ht="13.5" x14ac:dyDescent="0.2">
      <c r="B32" s="87" t="s">
        <v>113</v>
      </c>
      <c r="C32" s="63" t="s">
        <v>207</v>
      </c>
      <c r="D32" s="26">
        <v>139</v>
      </c>
      <c r="E32" s="25">
        <v>1.4491242702251876E-2</v>
      </c>
    </row>
    <row r="33" spans="2:5" ht="13.5" x14ac:dyDescent="0.2">
      <c r="B33" s="88"/>
      <c r="C33" s="63" t="s">
        <v>208</v>
      </c>
      <c r="D33" s="26">
        <v>142</v>
      </c>
      <c r="E33" s="25">
        <v>1.4804003336113428E-2</v>
      </c>
    </row>
    <row r="34" spans="2:5" ht="13.5" x14ac:dyDescent="0.2">
      <c r="B34" s="89"/>
      <c r="C34" s="92" t="s">
        <v>22</v>
      </c>
      <c r="D34" s="93">
        <v>281</v>
      </c>
      <c r="E34" s="94">
        <v>2.9295246038365304E-2</v>
      </c>
    </row>
    <row r="35" spans="2:5" ht="13.5" x14ac:dyDescent="0.2">
      <c r="B35" s="87" t="s">
        <v>111</v>
      </c>
      <c r="C35" s="63" t="s">
        <v>207</v>
      </c>
      <c r="D35" s="26">
        <v>882</v>
      </c>
      <c r="E35" s="25">
        <v>9.1951626355296079E-2</v>
      </c>
    </row>
    <row r="36" spans="2:5" ht="13.5" x14ac:dyDescent="0.2">
      <c r="B36" s="88"/>
      <c r="C36" s="63" t="s">
        <v>208</v>
      </c>
      <c r="D36" s="26">
        <v>788</v>
      </c>
      <c r="E36" s="25">
        <v>8.2151793160967476E-2</v>
      </c>
    </row>
    <row r="37" spans="2:5" ht="13.5" x14ac:dyDescent="0.2">
      <c r="B37" s="89"/>
      <c r="C37" s="92" t="s">
        <v>22</v>
      </c>
      <c r="D37" s="93">
        <v>1670</v>
      </c>
      <c r="E37" s="94">
        <v>0.17410341951626354</v>
      </c>
    </row>
    <row r="38" spans="2:5" ht="13.5" x14ac:dyDescent="0.2">
      <c r="B38" s="87" t="s">
        <v>202</v>
      </c>
      <c r="C38" s="63" t="s">
        <v>207</v>
      </c>
      <c r="D38" s="26">
        <v>2</v>
      </c>
      <c r="E38" s="25">
        <v>2.0850708924103419E-4</v>
      </c>
    </row>
    <row r="39" spans="2:5" ht="13.5" x14ac:dyDescent="0.2">
      <c r="B39" s="88"/>
      <c r="C39" s="63" t="s">
        <v>208</v>
      </c>
      <c r="D39" s="26">
        <v>2</v>
      </c>
      <c r="E39" s="25">
        <v>2.0850708924103419E-4</v>
      </c>
    </row>
    <row r="40" spans="2:5" ht="13.5" x14ac:dyDescent="0.2">
      <c r="B40" s="89"/>
      <c r="C40" s="92" t="s">
        <v>22</v>
      </c>
      <c r="D40" s="93">
        <v>4</v>
      </c>
      <c r="E40" s="94">
        <v>4.1701417848206837E-4</v>
      </c>
    </row>
    <row r="41" spans="2:5" ht="13.5" x14ac:dyDescent="0.2">
      <c r="B41" s="87" t="s">
        <v>95</v>
      </c>
      <c r="C41" s="63" t="s">
        <v>207</v>
      </c>
      <c r="D41" s="26">
        <v>26</v>
      </c>
      <c r="E41" s="25">
        <v>2.7105921601334446E-3</v>
      </c>
    </row>
    <row r="42" spans="2:5" ht="13.5" x14ac:dyDescent="0.2">
      <c r="B42" s="88"/>
      <c r="C42" s="63" t="s">
        <v>208</v>
      </c>
      <c r="D42" s="26">
        <v>12</v>
      </c>
      <c r="E42" s="25">
        <v>1.2510425354462051E-3</v>
      </c>
    </row>
    <row r="43" spans="2:5" ht="13.5" x14ac:dyDescent="0.2">
      <c r="B43" s="89"/>
      <c r="C43" s="92" t="s">
        <v>22</v>
      </c>
      <c r="D43" s="93">
        <v>38</v>
      </c>
      <c r="E43" s="94">
        <v>3.9616346955796498E-3</v>
      </c>
    </row>
    <row r="44" spans="2:5" ht="13.5" x14ac:dyDescent="0.2">
      <c r="B44" s="87" t="s">
        <v>81</v>
      </c>
      <c r="C44" s="63" t="s">
        <v>207</v>
      </c>
      <c r="D44" s="26">
        <v>36</v>
      </c>
      <c r="E44" s="25">
        <v>3.7531276063386154E-3</v>
      </c>
    </row>
    <row r="45" spans="2:5" ht="13.5" x14ac:dyDescent="0.2">
      <c r="B45" s="88"/>
      <c r="C45" s="63" t="s">
        <v>208</v>
      </c>
      <c r="D45" s="26">
        <v>39</v>
      </c>
      <c r="E45" s="25">
        <v>4.0658882402001672E-3</v>
      </c>
    </row>
    <row r="46" spans="2:5" ht="13.5" x14ac:dyDescent="0.2">
      <c r="B46" s="89"/>
      <c r="C46" s="92" t="s">
        <v>22</v>
      </c>
      <c r="D46" s="93">
        <v>75</v>
      </c>
      <c r="E46" s="94">
        <v>7.8190158465387821E-3</v>
      </c>
    </row>
    <row r="47" spans="2:5" ht="13.5" x14ac:dyDescent="0.2">
      <c r="B47" s="87" t="s">
        <v>69</v>
      </c>
      <c r="C47" s="63" t="s">
        <v>208</v>
      </c>
      <c r="D47" s="26">
        <v>1</v>
      </c>
      <c r="E47" s="25">
        <v>1.0425354462051709E-4</v>
      </c>
    </row>
    <row r="48" spans="2:5" ht="13.5" x14ac:dyDescent="0.2">
      <c r="B48" s="89"/>
      <c r="C48" s="92" t="s">
        <v>22</v>
      </c>
      <c r="D48" s="93">
        <v>1</v>
      </c>
      <c r="E48" s="94">
        <v>1.0425354462051709E-4</v>
      </c>
    </row>
    <row r="49" spans="2:5" ht="13.5" x14ac:dyDescent="0.2">
      <c r="B49" s="87" t="s">
        <v>79</v>
      </c>
      <c r="C49" s="63" t="s">
        <v>207</v>
      </c>
      <c r="D49" s="26">
        <v>20</v>
      </c>
      <c r="E49" s="25">
        <v>2.0850708924103419E-3</v>
      </c>
    </row>
    <row r="50" spans="2:5" ht="13.5" x14ac:dyDescent="0.2">
      <c r="B50" s="88"/>
      <c r="C50" s="63" t="s">
        <v>208</v>
      </c>
      <c r="D50" s="26">
        <v>10</v>
      </c>
      <c r="E50" s="25">
        <v>1.0425354462051709E-3</v>
      </c>
    </row>
    <row r="51" spans="2:5" ht="13.5" x14ac:dyDescent="0.2">
      <c r="B51" s="89"/>
      <c r="C51" s="92" t="s">
        <v>22</v>
      </c>
      <c r="D51" s="93">
        <v>30</v>
      </c>
      <c r="E51" s="94">
        <v>3.127606338615513E-3</v>
      </c>
    </row>
    <row r="52" spans="2:5" ht="13.5" x14ac:dyDescent="0.2">
      <c r="B52" s="87" t="s">
        <v>92</v>
      </c>
      <c r="C52" s="63" t="s">
        <v>207</v>
      </c>
      <c r="D52" s="26">
        <v>6</v>
      </c>
      <c r="E52" s="25">
        <v>6.2552126772310256E-4</v>
      </c>
    </row>
    <row r="53" spans="2:5" ht="13.5" x14ac:dyDescent="0.2">
      <c r="B53" s="88"/>
      <c r="C53" s="63" t="s">
        <v>208</v>
      </c>
      <c r="D53" s="26">
        <v>5</v>
      </c>
      <c r="E53" s="25">
        <v>5.2126772310258547E-4</v>
      </c>
    </row>
    <row r="54" spans="2:5" ht="13.5" x14ac:dyDescent="0.2">
      <c r="B54" s="89"/>
      <c r="C54" s="92" t="s">
        <v>22</v>
      </c>
      <c r="D54" s="93">
        <v>11</v>
      </c>
      <c r="E54" s="94">
        <v>1.1467889908256881E-3</v>
      </c>
    </row>
    <row r="55" spans="2:5" ht="13.5" x14ac:dyDescent="0.2">
      <c r="B55" s="87" t="s">
        <v>108</v>
      </c>
      <c r="C55" s="63" t="s">
        <v>207</v>
      </c>
      <c r="D55" s="26">
        <v>14</v>
      </c>
      <c r="E55" s="25">
        <v>1.4595496246872393E-3</v>
      </c>
    </row>
    <row r="56" spans="2:5" ht="13.5" x14ac:dyDescent="0.2">
      <c r="B56" s="88"/>
      <c r="C56" s="63" t="s">
        <v>208</v>
      </c>
      <c r="D56" s="26">
        <v>20</v>
      </c>
      <c r="E56" s="25">
        <v>2.0850708924103419E-3</v>
      </c>
    </row>
    <row r="57" spans="2:5" ht="13.5" x14ac:dyDescent="0.2">
      <c r="B57" s="89"/>
      <c r="C57" s="92" t="s">
        <v>22</v>
      </c>
      <c r="D57" s="93">
        <v>34</v>
      </c>
      <c r="E57" s="94">
        <v>3.5446205170975814E-3</v>
      </c>
    </row>
    <row r="58" spans="2:5" ht="13.5" x14ac:dyDescent="0.2">
      <c r="B58" s="87" t="s">
        <v>112</v>
      </c>
      <c r="C58" s="63" t="s">
        <v>207</v>
      </c>
      <c r="D58" s="26">
        <v>1666</v>
      </c>
      <c r="E58" s="25">
        <v>0.17368640533778149</v>
      </c>
    </row>
    <row r="59" spans="2:5" ht="13.5" x14ac:dyDescent="0.2">
      <c r="B59" s="88"/>
      <c r="C59" s="63" t="s">
        <v>208</v>
      </c>
      <c r="D59" s="26">
        <v>1501</v>
      </c>
      <c r="E59" s="25">
        <v>0.15648457047539616</v>
      </c>
    </row>
    <row r="60" spans="2:5" ht="13.5" x14ac:dyDescent="0.2">
      <c r="B60" s="89"/>
      <c r="C60" s="92" t="s">
        <v>22</v>
      </c>
      <c r="D60" s="93">
        <v>3167</v>
      </c>
      <c r="E60" s="94">
        <v>0.33017097581317767</v>
      </c>
    </row>
    <row r="61" spans="2:5" ht="13.5" x14ac:dyDescent="0.2">
      <c r="B61" s="87" t="s">
        <v>201</v>
      </c>
      <c r="C61" s="63" t="s">
        <v>207</v>
      </c>
      <c r="D61" s="26">
        <v>39</v>
      </c>
      <c r="E61" s="25">
        <v>4.0658882402001672E-3</v>
      </c>
    </row>
    <row r="62" spans="2:5" ht="13.5" x14ac:dyDescent="0.2">
      <c r="B62" s="88"/>
      <c r="C62" s="63" t="s">
        <v>208</v>
      </c>
      <c r="D62" s="26">
        <v>25</v>
      </c>
      <c r="E62" s="25">
        <v>2.6063386155129272E-3</v>
      </c>
    </row>
    <row r="63" spans="2:5" ht="13.5" x14ac:dyDescent="0.2">
      <c r="B63" s="89"/>
      <c r="C63" s="92" t="s">
        <v>22</v>
      </c>
      <c r="D63" s="93">
        <v>64</v>
      </c>
      <c r="E63" s="94">
        <v>6.672226855713094E-3</v>
      </c>
    </row>
    <row r="64" spans="2:5" ht="13.5" x14ac:dyDescent="0.2">
      <c r="B64" s="87" t="s">
        <v>91</v>
      </c>
      <c r="C64" s="63" t="s">
        <v>207</v>
      </c>
      <c r="D64" s="26">
        <v>29</v>
      </c>
      <c r="E64" s="25">
        <v>3.023352793994996E-3</v>
      </c>
    </row>
    <row r="65" spans="2:5" ht="13.5" x14ac:dyDescent="0.2">
      <c r="B65" s="88"/>
      <c r="C65" s="63" t="s">
        <v>208</v>
      </c>
      <c r="D65" s="26">
        <v>29</v>
      </c>
      <c r="E65" s="25">
        <v>3.023352793994996E-3</v>
      </c>
    </row>
    <row r="66" spans="2:5" ht="13.5" x14ac:dyDescent="0.2">
      <c r="B66" s="89"/>
      <c r="C66" s="92" t="s">
        <v>22</v>
      </c>
      <c r="D66" s="93">
        <v>58</v>
      </c>
      <c r="E66" s="94">
        <v>6.0467055879899921E-3</v>
      </c>
    </row>
    <row r="67" spans="2:5" ht="13.5" x14ac:dyDescent="0.2">
      <c r="B67" s="87" t="s">
        <v>75</v>
      </c>
      <c r="C67" s="63" t="s">
        <v>207</v>
      </c>
      <c r="D67" s="26">
        <v>116</v>
      </c>
      <c r="E67" s="25">
        <v>1.2093411175979984E-2</v>
      </c>
    </row>
    <row r="68" spans="2:5" ht="13.5" x14ac:dyDescent="0.2">
      <c r="B68" s="88"/>
      <c r="C68" s="63" t="s">
        <v>208</v>
      </c>
      <c r="D68" s="26">
        <v>132</v>
      </c>
      <c r="E68" s="25">
        <v>1.3761467889908258E-2</v>
      </c>
    </row>
    <row r="69" spans="2:5" ht="13.5" x14ac:dyDescent="0.2">
      <c r="B69" s="89"/>
      <c r="C69" s="92" t="s">
        <v>22</v>
      </c>
      <c r="D69" s="93">
        <v>248</v>
      </c>
      <c r="E69" s="94">
        <v>2.585487906588824E-2</v>
      </c>
    </row>
    <row r="70" spans="2:5" ht="13.5" x14ac:dyDescent="0.2">
      <c r="B70" s="87" t="s">
        <v>98</v>
      </c>
      <c r="C70" s="63" t="s">
        <v>207</v>
      </c>
      <c r="D70" s="26">
        <v>14</v>
      </c>
      <c r="E70" s="25">
        <v>1.4595496246872393E-3</v>
      </c>
    </row>
    <row r="71" spans="2:5" ht="13.5" x14ac:dyDescent="0.2">
      <c r="B71" s="88"/>
      <c r="C71" s="63" t="s">
        <v>208</v>
      </c>
      <c r="D71" s="26">
        <v>10</v>
      </c>
      <c r="E71" s="25">
        <v>1.0425354462051709E-3</v>
      </c>
    </row>
    <row r="72" spans="2:5" ht="13.5" x14ac:dyDescent="0.2">
      <c r="B72" s="89"/>
      <c r="C72" s="92" t="s">
        <v>22</v>
      </c>
      <c r="D72" s="93">
        <v>24</v>
      </c>
      <c r="E72" s="94">
        <v>2.5020850708924102E-3</v>
      </c>
    </row>
    <row r="73" spans="2:5" ht="13.5" x14ac:dyDescent="0.2">
      <c r="B73" s="87" t="s">
        <v>102</v>
      </c>
      <c r="C73" s="63" t="s">
        <v>207</v>
      </c>
      <c r="D73" s="26">
        <v>75</v>
      </c>
      <c r="E73" s="25">
        <v>7.8190158465387821E-3</v>
      </c>
    </row>
    <row r="74" spans="2:5" ht="13.5" x14ac:dyDescent="0.2">
      <c r="B74" s="88"/>
      <c r="C74" s="63" t="s">
        <v>208</v>
      </c>
      <c r="D74" s="26">
        <v>71</v>
      </c>
      <c r="E74" s="25">
        <v>7.4020016680567142E-3</v>
      </c>
    </row>
    <row r="75" spans="2:5" ht="13.5" x14ac:dyDescent="0.2">
      <c r="B75" s="89"/>
      <c r="C75" s="92" t="s">
        <v>22</v>
      </c>
      <c r="D75" s="93">
        <v>146</v>
      </c>
      <c r="E75" s="94">
        <v>1.5221017514595496E-2</v>
      </c>
    </row>
    <row r="76" spans="2:5" ht="13.5" x14ac:dyDescent="0.2">
      <c r="B76" s="87" t="s">
        <v>200</v>
      </c>
      <c r="C76" s="63" t="s">
        <v>207</v>
      </c>
      <c r="D76" s="26">
        <v>41</v>
      </c>
      <c r="E76" s="25">
        <v>4.2743953294412012E-3</v>
      </c>
    </row>
    <row r="77" spans="2:5" ht="13.5" x14ac:dyDescent="0.2">
      <c r="B77" s="88"/>
      <c r="C77" s="63" t="s">
        <v>208</v>
      </c>
      <c r="D77" s="26">
        <v>27</v>
      </c>
      <c r="E77" s="25">
        <v>2.8148457047539616E-3</v>
      </c>
    </row>
    <row r="78" spans="2:5" ht="13.5" x14ac:dyDescent="0.2">
      <c r="B78" s="89"/>
      <c r="C78" s="92" t="s">
        <v>22</v>
      </c>
      <c r="D78" s="93">
        <v>68</v>
      </c>
      <c r="E78" s="94">
        <v>7.0892410341951628E-3</v>
      </c>
    </row>
    <row r="79" spans="2:5" ht="13.5" x14ac:dyDescent="0.2">
      <c r="B79" s="87" t="s">
        <v>199</v>
      </c>
      <c r="C79" s="63" t="s">
        <v>207</v>
      </c>
      <c r="D79" s="26">
        <v>718</v>
      </c>
      <c r="E79" s="25">
        <v>7.4854045037531278E-2</v>
      </c>
    </row>
    <row r="80" spans="2:5" ht="13.5" x14ac:dyDescent="0.2">
      <c r="B80" s="88"/>
      <c r="C80" s="63" t="s">
        <v>208</v>
      </c>
      <c r="D80" s="26">
        <v>767</v>
      </c>
      <c r="E80" s="25">
        <v>7.9962468723936614E-2</v>
      </c>
    </row>
    <row r="81" spans="2:5" ht="13.5" x14ac:dyDescent="0.2">
      <c r="B81" s="89"/>
      <c r="C81" s="92" t="s">
        <v>22</v>
      </c>
      <c r="D81" s="93">
        <v>1485</v>
      </c>
      <c r="E81" s="94">
        <v>0.15481651376146788</v>
      </c>
    </row>
    <row r="82" spans="2:5" ht="13.5" x14ac:dyDescent="0.2">
      <c r="B82" s="87" t="s">
        <v>88</v>
      </c>
      <c r="C82" s="63" t="s">
        <v>207</v>
      </c>
      <c r="D82" s="26">
        <v>27</v>
      </c>
      <c r="E82" s="25">
        <v>2.8148457047539616E-3</v>
      </c>
    </row>
    <row r="83" spans="2:5" ht="13.5" x14ac:dyDescent="0.2">
      <c r="B83" s="88"/>
      <c r="C83" s="63" t="s">
        <v>208</v>
      </c>
      <c r="D83" s="26">
        <v>21</v>
      </c>
      <c r="E83" s="25">
        <v>2.1893244370308589E-3</v>
      </c>
    </row>
    <row r="84" spans="2:5" ht="13.5" x14ac:dyDescent="0.2">
      <c r="B84" s="89"/>
      <c r="C84" s="92" t="s">
        <v>22</v>
      </c>
      <c r="D84" s="93">
        <v>48</v>
      </c>
      <c r="E84" s="94">
        <v>5.0041701417848205E-3</v>
      </c>
    </row>
    <row r="85" spans="2:5" ht="13.5" x14ac:dyDescent="0.2">
      <c r="B85" s="87" t="s">
        <v>87</v>
      </c>
      <c r="C85" s="63" t="s">
        <v>207</v>
      </c>
      <c r="D85" s="26">
        <v>22</v>
      </c>
      <c r="E85" s="25">
        <v>2.2935779816513763E-3</v>
      </c>
    </row>
    <row r="86" spans="2:5" ht="13.5" x14ac:dyDescent="0.2">
      <c r="B86" s="88"/>
      <c r="C86" s="63" t="s">
        <v>208</v>
      </c>
      <c r="D86" s="26">
        <v>29</v>
      </c>
      <c r="E86" s="25">
        <v>3.023352793994996E-3</v>
      </c>
    </row>
    <row r="87" spans="2:5" ht="13.5" x14ac:dyDescent="0.2">
      <c r="B87" s="89"/>
      <c r="C87" s="92" t="s">
        <v>22</v>
      </c>
      <c r="D87" s="93">
        <v>51</v>
      </c>
      <c r="E87" s="94">
        <v>5.3169307756463719E-3</v>
      </c>
    </row>
    <row r="88" spans="2:5" ht="13.5" x14ac:dyDescent="0.2">
      <c r="B88" s="87" t="s">
        <v>80</v>
      </c>
      <c r="C88" s="63" t="s">
        <v>207</v>
      </c>
      <c r="D88" s="26">
        <v>47</v>
      </c>
      <c r="E88" s="25">
        <v>4.8999165971643039E-3</v>
      </c>
    </row>
    <row r="89" spans="2:5" ht="13.5" x14ac:dyDescent="0.2">
      <c r="B89" s="88"/>
      <c r="C89" s="63" t="s">
        <v>208</v>
      </c>
      <c r="D89" s="26">
        <v>38</v>
      </c>
      <c r="E89" s="25">
        <v>3.9616346955796498E-3</v>
      </c>
    </row>
    <row r="90" spans="2:5" ht="13.5" x14ac:dyDescent="0.2">
      <c r="B90" s="89"/>
      <c r="C90" s="92" t="s">
        <v>22</v>
      </c>
      <c r="D90" s="93">
        <v>85</v>
      </c>
      <c r="E90" s="94">
        <v>8.8615512927439528E-3</v>
      </c>
    </row>
    <row r="91" spans="2:5" ht="13.5" x14ac:dyDescent="0.2">
      <c r="B91" s="87" t="s">
        <v>109</v>
      </c>
      <c r="C91" s="63" t="s">
        <v>207</v>
      </c>
      <c r="D91" s="26">
        <v>5</v>
      </c>
      <c r="E91" s="25">
        <v>5.2126772310258547E-4</v>
      </c>
    </row>
    <row r="92" spans="2:5" ht="13.5" x14ac:dyDescent="0.2">
      <c r="B92" s="88"/>
      <c r="C92" s="63" t="s">
        <v>208</v>
      </c>
      <c r="D92" s="26">
        <v>4</v>
      </c>
      <c r="E92" s="25">
        <v>4.1701417848206837E-4</v>
      </c>
    </row>
    <row r="93" spans="2:5" ht="13.5" x14ac:dyDescent="0.2">
      <c r="B93" s="89"/>
      <c r="C93" s="92" t="s">
        <v>22</v>
      </c>
      <c r="D93" s="93">
        <v>9</v>
      </c>
      <c r="E93" s="94">
        <v>9.3828190158465384E-4</v>
      </c>
    </row>
    <row r="94" spans="2:5" ht="13.5" x14ac:dyDescent="0.2">
      <c r="B94" s="87" t="s">
        <v>82</v>
      </c>
      <c r="C94" s="63" t="s">
        <v>207</v>
      </c>
      <c r="D94" s="26">
        <v>14</v>
      </c>
      <c r="E94" s="25">
        <v>1.4595496246872393E-3</v>
      </c>
    </row>
    <row r="95" spans="2:5" ht="13.5" x14ac:dyDescent="0.2">
      <c r="B95" s="88"/>
      <c r="C95" s="63" t="s">
        <v>208</v>
      </c>
      <c r="D95" s="26">
        <v>12</v>
      </c>
      <c r="E95" s="25">
        <v>1.2510425354462051E-3</v>
      </c>
    </row>
    <row r="96" spans="2:5" ht="13.5" x14ac:dyDescent="0.2">
      <c r="B96" s="89"/>
      <c r="C96" s="92" t="s">
        <v>22</v>
      </c>
      <c r="D96" s="93">
        <v>26</v>
      </c>
      <c r="E96" s="94">
        <v>2.7105921601334446E-3</v>
      </c>
    </row>
    <row r="97" spans="2:5" ht="13.5" x14ac:dyDescent="0.2">
      <c r="B97" s="87" t="s">
        <v>101</v>
      </c>
      <c r="C97" s="63" t="s">
        <v>207</v>
      </c>
      <c r="D97" s="26">
        <v>53</v>
      </c>
      <c r="E97" s="25">
        <v>5.5254378648874058E-3</v>
      </c>
    </row>
    <row r="98" spans="2:5" ht="13.5" x14ac:dyDescent="0.2">
      <c r="B98" s="88"/>
      <c r="C98" s="63" t="s">
        <v>208</v>
      </c>
      <c r="D98" s="26">
        <v>48</v>
      </c>
      <c r="E98" s="25">
        <v>5.0041701417848205E-3</v>
      </c>
    </row>
    <row r="99" spans="2:5" ht="13.5" x14ac:dyDescent="0.2">
      <c r="B99" s="89"/>
      <c r="C99" s="92" t="s">
        <v>22</v>
      </c>
      <c r="D99" s="93">
        <v>101</v>
      </c>
      <c r="E99" s="94">
        <v>1.0529608006672226E-2</v>
      </c>
    </row>
    <row r="100" spans="2:5" ht="13.5" x14ac:dyDescent="0.2">
      <c r="B100" s="87" t="s">
        <v>97</v>
      </c>
      <c r="C100" s="63" t="s">
        <v>207</v>
      </c>
      <c r="D100" s="26">
        <v>6</v>
      </c>
      <c r="E100" s="25">
        <v>6.2552126772310256E-4</v>
      </c>
    </row>
    <row r="101" spans="2:5" ht="13.5" x14ac:dyDescent="0.2">
      <c r="B101" s="88"/>
      <c r="C101" s="63" t="s">
        <v>208</v>
      </c>
      <c r="D101" s="26">
        <v>2</v>
      </c>
      <c r="E101" s="25">
        <v>2.0850708924103419E-4</v>
      </c>
    </row>
    <row r="102" spans="2:5" ht="13.5" x14ac:dyDescent="0.2">
      <c r="B102" s="89"/>
      <c r="C102" s="92" t="s">
        <v>22</v>
      </c>
      <c r="D102" s="93">
        <v>8</v>
      </c>
      <c r="E102" s="94">
        <v>8.3402835696413675E-4</v>
      </c>
    </row>
    <row r="103" spans="2:5" ht="13.5" x14ac:dyDescent="0.2">
      <c r="B103" s="87" t="s">
        <v>85</v>
      </c>
      <c r="C103" s="63" t="s">
        <v>207</v>
      </c>
      <c r="D103" s="26">
        <v>7</v>
      </c>
      <c r="E103" s="25">
        <v>7.2977481234361965E-4</v>
      </c>
    </row>
    <row r="104" spans="2:5" ht="13.5" x14ac:dyDescent="0.2">
      <c r="B104" s="88"/>
      <c r="C104" s="63" t="s">
        <v>208</v>
      </c>
      <c r="D104" s="26">
        <v>8</v>
      </c>
      <c r="E104" s="25">
        <v>8.3402835696413675E-4</v>
      </c>
    </row>
    <row r="105" spans="2:5" ht="13.5" x14ac:dyDescent="0.2">
      <c r="B105" s="89"/>
      <c r="C105" s="92" t="s">
        <v>22</v>
      </c>
      <c r="D105" s="93">
        <v>15</v>
      </c>
      <c r="E105" s="94">
        <v>1.5638031693077565E-3</v>
      </c>
    </row>
    <row r="106" spans="2:5" ht="13.5" x14ac:dyDescent="0.2">
      <c r="B106" s="87" t="s">
        <v>89</v>
      </c>
      <c r="C106" s="63" t="s">
        <v>207</v>
      </c>
      <c r="D106" s="26">
        <v>2</v>
      </c>
      <c r="E106" s="25">
        <v>2.0850708924103419E-4</v>
      </c>
    </row>
    <row r="107" spans="2:5" ht="13.5" x14ac:dyDescent="0.2">
      <c r="B107" s="88"/>
      <c r="C107" s="63" t="s">
        <v>208</v>
      </c>
      <c r="D107" s="26">
        <v>5</v>
      </c>
      <c r="E107" s="25">
        <v>5.2126772310258547E-4</v>
      </c>
    </row>
    <row r="108" spans="2:5" ht="13.5" x14ac:dyDescent="0.2">
      <c r="B108" s="89"/>
      <c r="C108" s="92" t="s">
        <v>22</v>
      </c>
      <c r="D108" s="93">
        <v>7</v>
      </c>
      <c r="E108" s="94">
        <v>7.2977481234361965E-4</v>
      </c>
    </row>
    <row r="109" spans="2:5" ht="13.5" x14ac:dyDescent="0.2">
      <c r="B109" s="87" t="s">
        <v>73</v>
      </c>
      <c r="C109" s="63" t="s">
        <v>207</v>
      </c>
      <c r="D109" s="26">
        <v>5</v>
      </c>
      <c r="E109" s="25">
        <v>5.2126772310258547E-4</v>
      </c>
    </row>
    <row r="110" spans="2:5" ht="13.5" x14ac:dyDescent="0.2">
      <c r="B110" s="88"/>
      <c r="C110" s="63" t="s">
        <v>208</v>
      </c>
      <c r="D110" s="26">
        <v>1</v>
      </c>
      <c r="E110" s="25">
        <v>1.0425354462051709E-4</v>
      </c>
    </row>
    <row r="111" spans="2:5" ht="13.5" x14ac:dyDescent="0.2">
      <c r="B111" s="89"/>
      <c r="C111" s="92" t="s">
        <v>22</v>
      </c>
      <c r="D111" s="93">
        <v>6</v>
      </c>
      <c r="E111" s="94">
        <v>6.2552126772310256E-4</v>
      </c>
    </row>
    <row r="112" spans="2:5" ht="13.5" x14ac:dyDescent="0.2">
      <c r="B112" s="87" t="s">
        <v>107</v>
      </c>
      <c r="C112" s="63" t="s">
        <v>207</v>
      </c>
      <c r="D112" s="26">
        <v>119</v>
      </c>
      <c r="E112" s="25">
        <v>1.2406171809841535E-2</v>
      </c>
    </row>
    <row r="113" spans="2:5" ht="13.5" x14ac:dyDescent="0.2">
      <c r="B113" s="88"/>
      <c r="C113" s="63" t="s">
        <v>208</v>
      </c>
      <c r="D113" s="26">
        <v>84</v>
      </c>
      <c r="E113" s="25">
        <v>8.7572977481234354E-3</v>
      </c>
    </row>
    <row r="114" spans="2:5" ht="13.5" x14ac:dyDescent="0.2">
      <c r="B114" s="89"/>
      <c r="C114" s="92" t="s">
        <v>22</v>
      </c>
      <c r="D114" s="93">
        <v>203</v>
      </c>
      <c r="E114" s="94">
        <v>2.116346955796497E-2</v>
      </c>
    </row>
    <row r="115" spans="2:5" ht="13.5" x14ac:dyDescent="0.2">
      <c r="B115" s="87" t="s">
        <v>99</v>
      </c>
      <c r="C115" s="63" t="s">
        <v>207</v>
      </c>
      <c r="D115" s="26">
        <v>7</v>
      </c>
      <c r="E115" s="25">
        <v>7.2977481234361965E-4</v>
      </c>
    </row>
    <row r="116" spans="2:5" ht="13.5" x14ac:dyDescent="0.2">
      <c r="B116" s="88"/>
      <c r="C116" s="63" t="s">
        <v>208</v>
      </c>
      <c r="D116" s="26">
        <v>6</v>
      </c>
      <c r="E116" s="25">
        <v>6.2552126772310256E-4</v>
      </c>
    </row>
    <row r="117" spans="2:5" ht="13.5" x14ac:dyDescent="0.2">
      <c r="B117" s="89"/>
      <c r="C117" s="92" t="s">
        <v>22</v>
      </c>
      <c r="D117" s="93">
        <v>13</v>
      </c>
      <c r="E117" s="94">
        <v>1.3552960800667223E-3</v>
      </c>
    </row>
    <row r="118" spans="2:5" ht="13.5" x14ac:dyDescent="0.2">
      <c r="B118" s="87" t="s">
        <v>84</v>
      </c>
      <c r="C118" s="63" t="s">
        <v>207</v>
      </c>
      <c r="D118" s="26">
        <v>35</v>
      </c>
      <c r="E118" s="25">
        <v>3.6488740617180984E-3</v>
      </c>
    </row>
    <row r="119" spans="2:5" ht="13.5" x14ac:dyDescent="0.2">
      <c r="B119" s="88"/>
      <c r="C119" s="63" t="s">
        <v>208</v>
      </c>
      <c r="D119" s="26">
        <v>23</v>
      </c>
      <c r="E119" s="25">
        <v>2.3978315262718933E-3</v>
      </c>
    </row>
    <row r="120" spans="2:5" ht="13.5" x14ac:dyDescent="0.2">
      <c r="B120" s="89"/>
      <c r="C120" s="92" t="s">
        <v>22</v>
      </c>
      <c r="D120" s="93">
        <v>58</v>
      </c>
      <c r="E120" s="94">
        <v>6.0467055879899921E-3</v>
      </c>
    </row>
    <row r="121" spans="2:5" ht="13.5" x14ac:dyDescent="0.2">
      <c r="B121" s="87" t="s">
        <v>86</v>
      </c>
      <c r="C121" s="63" t="s">
        <v>207</v>
      </c>
      <c r="D121" s="26">
        <v>15</v>
      </c>
      <c r="E121" s="25">
        <v>1.5638031693077565E-3</v>
      </c>
    </row>
    <row r="122" spans="2:5" ht="13.5" x14ac:dyDescent="0.2">
      <c r="B122" s="88"/>
      <c r="C122" s="63" t="s">
        <v>208</v>
      </c>
      <c r="D122" s="26">
        <v>15</v>
      </c>
      <c r="E122" s="25">
        <v>1.5638031693077565E-3</v>
      </c>
    </row>
    <row r="123" spans="2:5" ht="13.5" x14ac:dyDescent="0.2">
      <c r="B123" s="89"/>
      <c r="C123" s="92" t="s">
        <v>22</v>
      </c>
      <c r="D123" s="93">
        <v>30</v>
      </c>
      <c r="E123" s="94">
        <v>3.127606338615513E-3</v>
      </c>
    </row>
    <row r="124" spans="2:5" ht="13.5" x14ac:dyDescent="0.2">
      <c r="B124" s="87" t="s">
        <v>94</v>
      </c>
      <c r="C124" s="63" t="s">
        <v>207</v>
      </c>
      <c r="D124" s="26">
        <v>357</v>
      </c>
      <c r="E124" s="25">
        <v>3.7218515429524604E-2</v>
      </c>
    </row>
    <row r="125" spans="2:5" ht="13.5" x14ac:dyDescent="0.2">
      <c r="B125" s="88"/>
      <c r="C125" s="63" t="s">
        <v>208</v>
      </c>
      <c r="D125" s="26">
        <v>365</v>
      </c>
      <c r="E125" s="25">
        <v>3.8052543786488743E-2</v>
      </c>
    </row>
    <row r="126" spans="2:5" ht="13.5" x14ac:dyDescent="0.2">
      <c r="B126" s="89"/>
      <c r="C126" s="92" t="s">
        <v>22</v>
      </c>
      <c r="D126" s="93">
        <v>722</v>
      </c>
      <c r="E126" s="94">
        <v>7.5271059216013347E-2</v>
      </c>
    </row>
    <row r="127" spans="2:5" ht="13.5" x14ac:dyDescent="0.2">
      <c r="B127" s="87" t="s">
        <v>106</v>
      </c>
      <c r="C127" s="63" t="s">
        <v>207</v>
      </c>
      <c r="D127" s="26">
        <v>16</v>
      </c>
      <c r="E127" s="25">
        <v>1.6680567139282735E-3</v>
      </c>
    </row>
    <row r="128" spans="2:5" ht="13.5" x14ac:dyDescent="0.2">
      <c r="B128" s="88"/>
      <c r="C128" s="63" t="s">
        <v>208</v>
      </c>
      <c r="D128" s="26">
        <v>27</v>
      </c>
      <c r="E128" s="25">
        <v>2.8148457047539616E-3</v>
      </c>
    </row>
    <row r="129" spans="2:5" ht="13.5" x14ac:dyDescent="0.2">
      <c r="B129" s="89"/>
      <c r="C129" s="92" t="s">
        <v>22</v>
      </c>
      <c r="D129" s="93">
        <v>43</v>
      </c>
      <c r="E129" s="94">
        <v>4.4829024186822351E-3</v>
      </c>
    </row>
    <row r="130" spans="2:5" ht="13.5" x14ac:dyDescent="0.2">
      <c r="B130" s="87" t="s">
        <v>90</v>
      </c>
      <c r="C130" s="63" t="s">
        <v>207</v>
      </c>
      <c r="D130" s="26">
        <v>8</v>
      </c>
      <c r="E130" s="25">
        <v>8.3402835696413675E-4</v>
      </c>
    </row>
    <row r="131" spans="2:5" ht="13.5" x14ac:dyDescent="0.2">
      <c r="B131" s="88"/>
      <c r="C131" s="63" t="s">
        <v>208</v>
      </c>
      <c r="D131" s="26">
        <v>5</v>
      </c>
      <c r="E131" s="25">
        <v>5.2126772310258547E-4</v>
      </c>
    </row>
    <row r="132" spans="2:5" ht="13.5" x14ac:dyDescent="0.2">
      <c r="B132" s="89"/>
      <c r="C132" s="92" t="s">
        <v>22</v>
      </c>
      <c r="D132" s="93">
        <v>13</v>
      </c>
      <c r="E132" s="94">
        <v>1.3552960800667223E-3</v>
      </c>
    </row>
    <row r="133" spans="2:5" ht="13.5" x14ac:dyDescent="0.2">
      <c r="B133" s="87" t="s">
        <v>103</v>
      </c>
      <c r="C133" s="63" t="s">
        <v>207</v>
      </c>
      <c r="D133" s="26">
        <v>9</v>
      </c>
      <c r="E133" s="25">
        <v>9.3828190158465384E-4</v>
      </c>
    </row>
    <row r="134" spans="2:5" ht="13.5" x14ac:dyDescent="0.2">
      <c r="B134" s="88"/>
      <c r="C134" s="63" t="s">
        <v>208</v>
      </c>
      <c r="D134" s="26">
        <v>6</v>
      </c>
      <c r="E134" s="25">
        <v>6.2552126772310256E-4</v>
      </c>
    </row>
    <row r="135" spans="2:5" ht="13.5" x14ac:dyDescent="0.2">
      <c r="B135" s="89"/>
      <c r="C135" s="92" t="s">
        <v>22</v>
      </c>
      <c r="D135" s="93">
        <v>15</v>
      </c>
      <c r="E135" s="94">
        <v>1.5638031693077565E-3</v>
      </c>
    </row>
    <row r="136" spans="2:5" ht="13.5" x14ac:dyDescent="0.2">
      <c r="B136" s="87" t="s">
        <v>198</v>
      </c>
      <c r="C136" s="63" t="s">
        <v>207</v>
      </c>
      <c r="D136" s="26">
        <v>4</v>
      </c>
      <c r="E136" s="25">
        <v>4.1701417848206837E-4</v>
      </c>
    </row>
    <row r="137" spans="2:5" ht="13.5" x14ac:dyDescent="0.2">
      <c r="B137" s="88"/>
      <c r="C137" s="63" t="s">
        <v>208</v>
      </c>
      <c r="D137" s="26">
        <v>6</v>
      </c>
      <c r="E137" s="25">
        <v>6.2552126772310256E-4</v>
      </c>
    </row>
    <row r="138" spans="2:5" ht="13.5" x14ac:dyDescent="0.2">
      <c r="B138" s="89"/>
      <c r="C138" s="92" t="s">
        <v>22</v>
      </c>
      <c r="D138" s="93">
        <v>10</v>
      </c>
      <c r="E138" s="94">
        <v>1.0425354462051709E-3</v>
      </c>
    </row>
    <row r="139" spans="2:5" ht="13.5" x14ac:dyDescent="0.2">
      <c r="B139" s="87" t="s">
        <v>105</v>
      </c>
      <c r="C139" s="63" t="s">
        <v>207</v>
      </c>
      <c r="D139" s="26">
        <v>7</v>
      </c>
      <c r="E139" s="25">
        <v>7.2977481234361965E-4</v>
      </c>
    </row>
    <row r="140" spans="2:5" ht="13.5" x14ac:dyDescent="0.2">
      <c r="B140" s="88"/>
      <c r="C140" s="63" t="s">
        <v>208</v>
      </c>
      <c r="D140" s="26">
        <v>9</v>
      </c>
      <c r="E140" s="25">
        <v>9.3828190158465384E-4</v>
      </c>
    </row>
    <row r="141" spans="2:5" ht="13.5" x14ac:dyDescent="0.2">
      <c r="B141" s="89"/>
      <c r="C141" s="92" t="s">
        <v>22</v>
      </c>
      <c r="D141" s="93">
        <v>16</v>
      </c>
      <c r="E141" s="94">
        <v>1.6680567139282735E-3</v>
      </c>
    </row>
    <row r="142" spans="2:5" ht="13.5" x14ac:dyDescent="0.2">
      <c r="B142" s="87" t="s">
        <v>83</v>
      </c>
      <c r="C142" s="63" t="s">
        <v>207</v>
      </c>
      <c r="D142" s="26">
        <v>7</v>
      </c>
      <c r="E142" s="25">
        <v>7.2977481234361965E-4</v>
      </c>
    </row>
    <row r="143" spans="2:5" ht="13.5" x14ac:dyDescent="0.2">
      <c r="B143" s="88"/>
      <c r="C143" s="63" t="s">
        <v>208</v>
      </c>
      <c r="D143" s="26">
        <v>4</v>
      </c>
      <c r="E143" s="25">
        <v>4.1701417848206837E-4</v>
      </c>
    </row>
    <row r="144" spans="2:5" ht="13.5" x14ac:dyDescent="0.2">
      <c r="B144" s="89"/>
      <c r="C144" s="92" t="s">
        <v>22</v>
      </c>
      <c r="D144" s="93">
        <v>11</v>
      </c>
      <c r="E144" s="94">
        <v>1.1467889908256881E-3</v>
      </c>
    </row>
    <row r="145" spans="2:5" ht="13.5" x14ac:dyDescent="0.2">
      <c r="B145" s="87" t="s">
        <v>74</v>
      </c>
      <c r="C145" s="63" t="s">
        <v>207</v>
      </c>
      <c r="D145" s="26">
        <v>2</v>
      </c>
      <c r="E145" s="25">
        <v>2.0850708924103419E-4</v>
      </c>
    </row>
    <row r="146" spans="2:5" ht="13.5" x14ac:dyDescent="0.2">
      <c r="B146" s="88"/>
      <c r="C146" s="63" t="s">
        <v>208</v>
      </c>
      <c r="D146" s="26">
        <v>1</v>
      </c>
      <c r="E146" s="25">
        <v>1.0425354462051709E-4</v>
      </c>
    </row>
    <row r="147" spans="2:5" ht="13.5" x14ac:dyDescent="0.2">
      <c r="B147" s="89"/>
      <c r="C147" s="92" t="s">
        <v>22</v>
      </c>
      <c r="D147" s="93">
        <v>3</v>
      </c>
      <c r="E147" s="94">
        <v>3.1276063386155128E-4</v>
      </c>
    </row>
    <row r="148" spans="2:5" ht="13.5" x14ac:dyDescent="0.2">
      <c r="B148" s="87" t="s">
        <v>40</v>
      </c>
      <c r="C148" s="63" t="s">
        <v>207</v>
      </c>
      <c r="D148" s="26">
        <v>13</v>
      </c>
      <c r="E148" s="25">
        <v>1.3552960800667223E-3</v>
      </c>
    </row>
    <row r="149" spans="2:5" ht="13.5" x14ac:dyDescent="0.2">
      <c r="B149" s="88"/>
      <c r="C149" s="63" t="s">
        <v>208</v>
      </c>
      <c r="D149" s="26">
        <v>8</v>
      </c>
      <c r="E149" s="25">
        <v>8.3402835696413675E-4</v>
      </c>
    </row>
    <row r="150" spans="2:5" ht="13.5" x14ac:dyDescent="0.2">
      <c r="B150" s="89"/>
      <c r="C150" s="92" t="s">
        <v>22</v>
      </c>
      <c r="D150" s="93">
        <v>21</v>
      </c>
      <c r="E150" s="94">
        <v>2.1893244370308589E-3</v>
      </c>
    </row>
    <row r="151" spans="2:5" ht="13.5" x14ac:dyDescent="0.2">
      <c r="B151" s="83" t="s">
        <v>203</v>
      </c>
      <c r="C151" s="84"/>
      <c r="D151" s="95">
        <v>9592</v>
      </c>
      <c r="E151" s="96">
        <v>1</v>
      </c>
    </row>
    <row r="153" spans="2:5" x14ac:dyDescent="0.2">
      <c r="B153" s="19" t="s">
        <v>245</v>
      </c>
    </row>
    <row r="154" spans="2:5" x14ac:dyDescent="0.2">
      <c r="B154" s="21" t="s">
        <v>20</v>
      </c>
    </row>
    <row r="155" spans="2:5" x14ac:dyDescent="0.2">
      <c r="B155" s="20" t="s">
        <v>19</v>
      </c>
    </row>
    <row r="156" spans="2:5" x14ac:dyDescent="0.2">
      <c r="B156" s="19" t="s">
        <v>18</v>
      </c>
    </row>
    <row r="157" spans="2:5" x14ac:dyDescent="0.2">
      <c r="B157" s="19" t="s">
        <v>246</v>
      </c>
    </row>
  </sheetData>
  <mergeCells count="49">
    <mergeCell ref="B151:C151"/>
    <mergeCell ref="B12:B14"/>
    <mergeCell ref="B15:B17"/>
    <mergeCell ref="B18:B20"/>
    <mergeCell ref="B21:B23"/>
    <mergeCell ref="B30:B31"/>
    <mergeCell ref="B24:B26"/>
    <mergeCell ref="B27:B29"/>
    <mergeCell ref="B32:B34"/>
    <mergeCell ref="B35:B37"/>
    <mergeCell ref="B38:B40"/>
    <mergeCell ref="B8:E10"/>
    <mergeCell ref="B52:B54"/>
    <mergeCell ref="B55:B57"/>
    <mergeCell ref="B58:B60"/>
    <mergeCell ref="B61:B63"/>
    <mergeCell ref="B64:B66"/>
    <mergeCell ref="B67:B69"/>
    <mergeCell ref="B41:B43"/>
    <mergeCell ref="B44:B46"/>
    <mergeCell ref="B47:B48"/>
    <mergeCell ref="B49:B51"/>
    <mergeCell ref="B82:B84"/>
    <mergeCell ref="B85:B87"/>
    <mergeCell ref="B88:B90"/>
    <mergeCell ref="B91:B93"/>
    <mergeCell ref="B94:B96"/>
    <mergeCell ref="B97:B99"/>
    <mergeCell ref="B70:B72"/>
    <mergeCell ref="B73:B75"/>
    <mergeCell ref="B76:B78"/>
    <mergeCell ref="B79:B81"/>
    <mergeCell ref="B112:B114"/>
    <mergeCell ref="B115:B117"/>
    <mergeCell ref="B118:B120"/>
    <mergeCell ref="B121:B123"/>
    <mergeCell ref="B124:B126"/>
    <mergeCell ref="B127:B129"/>
    <mergeCell ref="B100:B102"/>
    <mergeCell ref="B103:B105"/>
    <mergeCell ref="B106:B108"/>
    <mergeCell ref="B109:B111"/>
    <mergeCell ref="B130:B132"/>
    <mergeCell ref="B133:B135"/>
    <mergeCell ref="B136:B138"/>
    <mergeCell ref="B139:B141"/>
    <mergeCell ref="B142:B144"/>
    <mergeCell ref="B145:B147"/>
    <mergeCell ref="B148:B15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opLeftCell="A7" zoomScale="95" zoomScaleNormal="95" zoomScaleSheetLayoutView="100" workbookViewId="0">
      <selection activeCell="I22" sqref="I22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220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206</v>
      </c>
      <c r="C11" s="65" t="s">
        <v>219</v>
      </c>
      <c r="D11" s="65" t="s">
        <v>66</v>
      </c>
      <c r="E11" s="65" t="s">
        <v>218</v>
      </c>
      <c r="F11" s="65" t="s">
        <v>217</v>
      </c>
    </row>
    <row r="12" spans="1:7" ht="13.5" x14ac:dyDescent="0.2">
      <c r="B12" s="87" t="s">
        <v>207</v>
      </c>
      <c r="C12" s="63" t="s">
        <v>216</v>
      </c>
      <c r="D12" s="26">
        <v>11</v>
      </c>
      <c r="E12" s="97">
        <v>2.2097227802330252E-3</v>
      </c>
      <c r="F12" s="25">
        <f t="shared" ref="F12:F28" si="0">D12/$D$28</f>
        <v>1.1467889908256881E-3</v>
      </c>
    </row>
    <row r="13" spans="1:7" ht="13.5" x14ac:dyDescent="0.2">
      <c r="B13" s="88"/>
      <c r="C13" s="63" t="s">
        <v>215</v>
      </c>
      <c r="D13" s="26">
        <v>119</v>
      </c>
      <c r="E13" s="97">
        <v>2.3905182804339092E-2</v>
      </c>
      <c r="F13" s="25">
        <f t="shared" si="0"/>
        <v>1.2406171809841535E-2</v>
      </c>
    </row>
    <row r="14" spans="1:7" ht="13.5" x14ac:dyDescent="0.2">
      <c r="B14" s="88"/>
      <c r="C14" s="63" t="s">
        <v>214</v>
      </c>
      <c r="D14" s="26">
        <v>609</v>
      </c>
      <c r="E14" s="97">
        <v>0.12233828846926477</v>
      </c>
      <c r="F14" s="25">
        <f t="shared" si="0"/>
        <v>6.349040867389491E-2</v>
      </c>
    </row>
    <row r="15" spans="1:7" ht="13.5" x14ac:dyDescent="0.2">
      <c r="B15" s="88"/>
      <c r="C15" s="63" t="s">
        <v>213</v>
      </c>
      <c r="D15" s="26">
        <v>1082</v>
      </c>
      <c r="E15" s="97">
        <v>0.21735636801928485</v>
      </c>
      <c r="F15" s="25">
        <f t="shared" si="0"/>
        <v>0.11280233527939949</v>
      </c>
    </row>
    <row r="16" spans="1:7" ht="27" x14ac:dyDescent="0.2">
      <c r="B16" s="88"/>
      <c r="C16" s="63" t="s">
        <v>212</v>
      </c>
      <c r="D16" s="26">
        <v>1621</v>
      </c>
      <c r="E16" s="97">
        <v>0.32563278425070308</v>
      </c>
      <c r="F16" s="25">
        <f t="shared" si="0"/>
        <v>0.16899499582985822</v>
      </c>
    </row>
    <row r="17" spans="2:6" ht="13.5" x14ac:dyDescent="0.2">
      <c r="B17" s="88"/>
      <c r="C17" s="63" t="s">
        <v>211</v>
      </c>
      <c r="D17" s="26">
        <v>1276</v>
      </c>
      <c r="E17" s="97">
        <v>0.25632784250703095</v>
      </c>
      <c r="F17" s="25">
        <f t="shared" si="0"/>
        <v>0.13302752293577982</v>
      </c>
    </row>
    <row r="18" spans="2:6" ht="13.5" x14ac:dyDescent="0.2">
      <c r="B18" s="88"/>
      <c r="C18" s="63" t="s">
        <v>210</v>
      </c>
      <c r="D18" s="26">
        <v>206</v>
      </c>
      <c r="E18" s="97">
        <v>4.1382081157091202E-2</v>
      </c>
      <c r="F18" s="25">
        <f t="shared" si="0"/>
        <v>2.1476230191826522E-2</v>
      </c>
    </row>
    <row r="19" spans="2:6" ht="13.5" x14ac:dyDescent="0.2">
      <c r="B19" s="89"/>
      <c r="C19" s="63" t="s">
        <v>209</v>
      </c>
      <c r="D19" s="26">
        <v>54</v>
      </c>
      <c r="E19" s="97">
        <v>1.0847730012053034E-2</v>
      </c>
      <c r="F19" s="25">
        <f t="shared" si="0"/>
        <v>5.6296914095079233E-3</v>
      </c>
    </row>
    <row r="20" spans="2:6" ht="13.5" x14ac:dyDescent="0.2">
      <c r="B20" s="87" t="s">
        <v>208</v>
      </c>
      <c r="C20" s="63" t="s">
        <v>216</v>
      </c>
      <c r="D20" s="26">
        <v>12</v>
      </c>
      <c r="E20" s="98">
        <v>2.6007802340702211E-3</v>
      </c>
      <c r="F20" s="25">
        <f t="shared" si="0"/>
        <v>1.2510425354462051E-3</v>
      </c>
    </row>
    <row r="21" spans="2:6" ht="13.5" x14ac:dyDescent="0.2">
      <c r="B21" s="88"/>
      <c r="C21" s="63" t="s">
        <v>215</v>
      </c>
      <c r="D21" s="26">
        <v>89</v>
      </c>
      <c r="E21" s="98">
        <v>1.928912006935414E-2</v>
      </c>
      <c r="F21" s="25">
        <f t="shared" si="0"/>
        <v>9.2785654712260225E-3</v>
      </c>
    </row>
    <row r="22" spans="2:6" ht="13.5" x14ac:dyDescent="0.2">
      <c r="B22" s="88"/>
      <c r="C22" s="63" t="s">
        <v>214</v>
      </c>
      <c r="D22" s="26">
        <v>589</v>
      </c>
      <c r="E22" s="98">
        <v>0.12765496315561334</v>
      </c>
      <c r="F22" s="25">
        <f t="shared" si="0"/>
        <v>6.1405337781484569E-2</v>
      </c>
    </row>
    <row r="23" spans="2:6" ht="13.5" x14ac:dyDescent="0.2">
      <c r="B23" s="88"/>
      <c r="C23" s="63" t="s">
        <v>213</v>
      </c>
      <c r="D23" s="26">
        <v>1101</v>
      </c>
      <c r="E23" s="98">
        <v>0.23862158647594278</v>
      </c>
      <c r="F23" s="25">
        <f t="shared" si="0"/>
        <v>0.11478315262718933</v>
      </c>
    </row>
    <row r="24" spans="2:6" ht="27" x14ac:dyDescent="0.2">
      <c r="B24" s="88"/>
      <c r="C24" s="63" t="s">
        <v>212</v>
      </c>
      <c r="D24" s="26">
        <v>1539</v>
      </c>
      <c r="E24" s="98">
        <v>0.33355006501950585</v>
      </c>
      <c r="F24" s="25">
        <f t="shared" si="0"/>
        <v>0.16044620517097583</v>
      </c>
    </row>
    <row r="25" spans="2:6" ht="13.5" x14ac:dyDescent="0.2">
      <c r="B25" s="88"/>
      <c r="C25" s="63" t="s">
        <v>211</v>
      </c>
      <c r="D25" s="26">
        <v>1084</v>
      </c>
      <c r="E25" s="98">
        <v>0.23493714781100997</v>
      </c>
      <c r="F25" s="25">
        <f t="shared" si="0"/>
        <v>0.11301084236864054</v>
      </c>
    </row>
    <row r="26" spans="2:6" ht="13.5" x14ac:dyDescent="0.2">
      <c r="B26" s="88"/>
      <c r="C26" s="63" t="s">
        <v>210</v>
      </c>
      <c r="D26" s="26">
        <v>147</v>
      </c>
      <c r="E26" s="98">
        <v>3.1859557867360208E-2</v>
      </c>
      <c r="F26" s="25">
        <f t="shared" si="0"/>
        <v>1.5325271059216014E-2</v>
      </c>
    </row>
    <row r="27" spans="2:6" ht="13.5" x14ac:dyDescent="0.2">
      <c r="B27" s="89"/>
      <c r="C27" s="63" t="s">
        <v>209</v>
      </c>
      <c r="D27" s="26">
        <v>53</v>
      </c>
      <c r="E27" s="98">
        <v>1.1486779367143476E-2</v>
      </c>
      <c r="F27" s="25">
        <f t="shared" si="0"/>
        <v>5.5254378648874058E-3</v>
      </c>
    </row>
    <row r="28" spans="2:6" ht="13.5" x14ac:dyDescent="0.2">
      <c r="B28" s="99" t="s">
        <v>22</v>
      </c>
      <c r="C28" s="99"/>
      <c r="D28" s="95">
        <v>9592</v>
      </c>
      <c r="E28" s="96"/>
      <c r="F28" s="96">
        <f t="shared" si="0"/>
        <v>1</v>
      </c>
    </row>
    <row r="30" spans="2:6" x14ac:dyDescent="0.2">
      <c r="B30" s="19" t="s">
        <v>245</v>
      </c>
    </row>
    <row r="31" spans="2:6" x14ac:dyDescent="0.2">
      <c r="B31" s="21" t="s">
        <v>20</v>
      </c>
    </row>
    <row r="32" spans="2:6" x14ac:dyDescent="0.2">
      <c r="B32" s="20" t="s">
        <v>19</v>
      </c>
    </row>
    <row r="33" spans="2:2" x14ac:dyDescent="0.2">
      <c r="B33" s="19" t="s">
        <v>18</v>
      </c>
    </row>
    <row r="34" spans="2:2" x14ac:dyDescent="0.2">
      <c r="B34" s="19" t="s">
        <v>246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1"/>
  <sheetViews>
    <sheetView showGridLines="0" zoomScaleNormal="100" zoomScaleSheetLayoutView="115" workbookViewId="0">
      <selection activeCell="I21" sqref="I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68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255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241</v>
      </c>
      <c r="C11" s="31" t="s">
        <v>66</v>
      </c>
      <c r="D11" s="30" t="s">
        <v>65</v>
      </c>
    </row>
    <row r="12" spans="1:5" x14ac:dyDescent="0.25">
      <c r="B12" s="27" t="s">
        <v>240</v>
      </c>
      <c r="C12" s="26">
        <v>4477</v>
      </c>
      <c r="D12" s="25">
        <f t="shared" ref="D12:D35" si="0">C12/$C$35</f>
        <v>0.46674311926605505</v>
      </c>
    </row>
    <row r="13" spans="1:5" x14ac:dyDescent="0.25">
      <c r="B13" s="27" t="s">
        <v>239</v>
      </c>
      <c r="C13" s="26">
        <v>2742</v>
      </c>
      <c r="D13" s="25">
        <f t="shared" si="0"/>
        <v>0.28586321934945791</v>
      </c>
    </row>
    <row r="14" spans="1:5" ht="15.75" x14ac:dyDescent="0.25">
      <c r="B14" s="27" t="s">
        <v>238</v>
      </c>
      <c r="C14" s="26">
        <v>736</v>
      </c>
      <c r="D14" s="25">
        <f t="shared" si="0"/>
        <v>7.6730608840700584E-2</v>
      </c>
      <c r="E14" s="28"/>
    </row>
    <row r="15" spans="1:5" ht="15.75" x14ac:dyDescent="0.25">
      <c r="B15" s="27" t="s">
        <v>237</v>
      </c>
      <c r="C15" s="26">
        <v>456</v>
      </c>
      <c r="D15" s="25">
        <f t="shared" si="0"/>
        <v>4.7539616346955797E-2</v>
      </c>
      <c r="E15" s="28"/>
    </row>
    <row r="16" spans="1:5" x14ac:dyDescent="0.25">
      <c r="B16" s="27" t="s">
        <v>236</v>
      </c>
      <c r="C16" s="26">
        <v>300</v>
      </c>
      <c r="D16" s="25">
        <f t="shared" si="0"/>
        <v>3.1276063386155128E-2</v>
      </c>
    </row>
    <row r="17" spans="2:4" x14ac:dyDescent="0.25">
      <c r="B17" s="27" t="s">
        <v>230</v>
      </c>
      <c r="C17" s="26">
        <v>114</v>
      </c>
      <c r="D17" s="25">
        <f t="shared" si="0"/>
        <v>1.1884904086738949E-2</v>
      </c>
    </row>
    <row r="18" spans="2:4" x14ac:dyDescent="0.25">
      <c r="B18" s="27" t="s">
        <v>234</v>
      </c>
      <c r="C18" s="26">
        <v>113</v>
      </c>
      <c r="D18" s="25">
        <f t="shared" si="0"/>
        <v>1.1780650542118432E-2</v>
      </c>
    </row>
    <row r="19" spans="2:4" x14ac:dyDescent="0.25">
      <c r="B19" s="27" t="s">
        <v>235</v>
      </c>
      <c r="C19" s="26">
        <v>100</v>
      </c>
      <c r="D19" s="25">
        <f t="shared" si="0"/>
        <v>1.0425354462051709E-2</v>
      </c>
    </row>
    <row r="20" spans="2:4" x14ac:dyDescent="0.25">
      <c r="B20" s="27" t="s">
        <v>231</v>
      </c>
      <c r="C20" s="26">
        <v>97</v>
      </c>
      <c r="D20" s="25">
        <f t="shared" si="0"/>
        <v>1.0112593828190158E-2</v>
      </c>
    </row>
    <row r="21" spans="2:4" x14ac:dyDescent="0.25">
      <c r="B21" s="27" t="s">
        <v>233</v>
      </c>
      <c r="C21" s="26">
        <v>90</v>
      </c>
      <c r="D21" s="25">
        <f t="shared" si="0"/>
        <v>9.3828190158465382E-3</v>
      </c>
    </row>
    <row r="22" spans="2:4" x14ac:dyDescent="0.25">
      <c r="B22" s="27" t="s">
        <v>232</v>
      </c>
      <c r="C22" s="26">
        <v>85</v>
      </c>
      <c r="D22" s="25">
        <f t="shared" si="0"/>
        <v>8.8615512927439528E-3</v>
      </c>
    </row>
    <row r="23" spans="2:4" x14ac:dyDescent="0.25">
      <c r="B23" s="27" t="s">
        <v>229</v>
      </c>
      <c r="C23" s="26">
        <v>73</v>
      </c>
      <c r="D23" s="25">
        <f t="shared" si="0"/>
        <v>7.6105087572977482E-3</v>
      </c>
    </row>
    <row r="24" spans="2:4" x14ac:dyDescent="0.25">
      <c r="B24" s="27" t="s">
        <v>226</v>
      </c>
      <c r="C24" s="26">
        <v>50</v>
      </c>
      <c r="D24" s="25">
        <f t="shared" si="0"/>
        <v>5.2126772310258545E-3</v>
      </c>
    </row>
    <row r="25" spans="2:4" x14ac:dyDescent="0.25">
      <c r="B25" s="27" t="s">
        <v>228</v>
      </c>
      <c r="C25" s="26">
        <v>49</v>
      </c>
      <c r="D25" s="25">
        <f t="shared" si="0"/>
        <v>5.1084236864053379E-3</v>
      </c>
    </row>
    <row r="26" spans="2:4" x14ac:dyDescent="0.25">
      <c r="B26" s="27" t="s">
        <v>227</v>
      </c>
      <c r="C26" s="26">
        <v>49</v>
      </c>
      <c r="D26" s="25">
        <f t="shared" si="0"/>
        <v>5.1084236864053379E-3</v>
      </c>
    </row>
    <row r="27" spans="2:4" x14ac:dyDescent="0.25">
      <c r="B27" s="27" t="s">
        <v>225</v>
      </c>
      <c r="C27" s="26">
        <v>31</v>
      </c>
      <c r="D27" s="25">
        <f t="shared" si="0"/>
        <v>3.23185988323603E-3</v>
      </c>
    </row>
    <row r="28" spans="2:4" x14ac:dyDescent="0.25">
      <c r="B28" s="27" t="s">
        <v>224</v>
      </c>
      <c r="C28" s="26">
        <v>19</v>
      </c>
      <c r="D28" s="25">
        <f t="shared" si="0"/>
        <v>1.9808173477898249E-3</v>
      </c>
    </row>
    <row r="29" spans="2:4" x14ac:dyDescent="0.25">
      <c r="B29" s="27" t="s">
        <v>222</v>
      </c>
      <c r="C29" s="26">
        <v>4</v>
      </c>
      <c r="D29" s="25">
        <f t="shared" si="0"/>
        <v>4.1701417848206837E-4</v>
      </c>
    </row>
    <row r="30" spans="2:4" x14ac:dyDescent="0.25">
      <c r="B30" s="27" t="s">
        <v>256</v>
      </c>
      <c r="C30" s="26">
        <v>2</v>
      </c>
      <c r="D30" s="25">
        <f t="shared" si="0"/>
        <v>2.0850708924103419E-4</v>
      </c>
    </row>
    <row r="31" spans="2:4" x14ac:dyDescent="0.25">
      <c r="B31" s="27" t="s">
        <v>223</v>
      </c>
      <c r="C31" s="26">
        <v>2</v>
      </c>
      <c r="D31" s="25">
        <f t="shared" si="0"/>
        <v>2.0850708924103419E-4</v>
      </c>
    </row>
    <row r="32" spans="2:4" x14ac:dyDescent="0.25">
      <c r="B32" s="27" t="s">
        <v>257</v>
      </c>
      <c r="C32" s="26">
        <v>1</v>
      </c>
      <c r="D32" s="25">
        <f t="shared" si="0"/>
        <v>1.0425354462051709E-4</v>
      </c>
    </row>
    <row r="33" spans="1:4" x14ac:dyDescent="0.25">
      <c r="B33" s="27" t="s">
        <v>221</v>
      </c>
      <c r="C33" s="26">
        <v>1</v>
      </c>
      <c r="D33" s="25">
        <f t="shared" si="0"/>
        <v>1.0425354462051709E-4</v>
      </c>
    </row>
    <row r="34" spans="1:4" x14ac:dyDescent="0.25">
      <c r="B34" s="27" t="s">
        <v>258</v>
      </c>
      <c r="C34" s="26">
        <v>1</v>
      </c>
      <c r="D34" s="25">
        <f t="shared" si="0"/>
        <v>1.0425354462051709E-4</v>
      </c>
    </row>
    <row r="35" spans="1:4" x14ac:dyDescent="0.25">
      <c r="B35" s="24" t="s">
        <v>22</v>
      </c>
      <c r="C35" s="23">
        <v>9592</v>
      </c>
      <c r="D35" s="22">
        <f t="shared" si="0"/>
        <v>1</v>
      </c>
    </row>
    <row r="37" spans="1:4" x14ac:dyDescent="0.25">
      <c r="A37" s="58" t="s">
        <v>245</v>
      </c>
    </row>
    <row r="38" spans="1:4" x14ac:dyDescent="0.25">
      <c r="A38" s="58" t="s">
        <v>20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246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Nuevo León_EdoUsa</vt:lpstr>
      <vt:lpstr>Nuevo León_Cons</vt:lpstr>
      <vt:lpstr>Nuevo LeónXCons</vt:lpstr>
      <vt:lpstr>Nuevo León_EdoMun</vt:lpstr>
      <vt:lpstr>Nuevo León_USAMuni</vt:lpstr>
      <vt:lpstr>Nuevo León_MUNICIPIO</vt:lpstr>
      <vt:lpstr>Nuevo León_educ_gral</vt:lpstr>
      <vt:lpstr>Nuevo León_NivelE_Cons</vt:lpstr>
      <vt:lpstr>Nuevo León_EducCons</vt:lpstr>
      <vt:lpstr>Nuevo León_GenGral</vt:lpstr>
      <vt:lpstr>Nuevo León_GENERO</vt:lpstr>
      <vt:lpstr>Nuevo León_Gen_Edad</vt:lpstr>
      <vt:lpstr>Nuevo León_ocup_gral</vt:lpstr>
      <vt:lpstr>'Nuevo León_EducCons'!Área_de_impresión</vt:lpstr>
      <vt:lpstr>'Nuevo León_MUNICIPIO'!Área_de_impresión</vt:lpstr>
      <vt:lpstr>'Nuevo León_NivelE_Cons'!Área_de_impresión</vt:lpstr>
      <vt:lpstr>'Nuevo León_USAMuni'!Área_de_impresión</vt:lpstr>
      <vt:lpstr>'Nuevo León_Cons'!Títulos_a_imprimir</vt:lpstr>
      <vt:lpstr>'Nuevo León_EdoMun'!Títulos_a_imprimir</vt:lpstr>
      <vt:lpstr>'Nuevo León_EdoUsa'!Títulos_a_imprimir</vt:lpstr>
      <vt:lpstr>'Nuevo León_educ_gral'!Títulos_a_imprimir</vt:lpstr>
      <vt:lpstr>'Nuevo León_EducCons'!Títulos_a_imprimir</vt:lpstr>
      <vt:lpstr>'Nuevo León_Gen_Edad'!Títulos_a_imprimir</vt:lpstr>
      <vt:lpstr>'Nuevo León_GENERO'!Títulos_a_imprimir</vt:lpstr>
      <vt:lpstr>'Nuevo León_GenGral'!Títulos_a_imprimir</vt:lpstr>
      <vt:lpstr>'Nuevo León_MUNICIPIO'!Títulos_a_imprimir</vt:lpstr>
      <vt:lpstr>'Nuevo León_NivelE_Cons'!Títulos_a_imprimir</vt:lpstr>
      <vt:lpstr>'Nuevo León_ocup_gral'!Títulos_a_imprimir</vt:lpstr>
      <vt:lpstr>'Nuevo León_USAMuni'!Títulos_a_imprimir</vt:lpstr>
      <vt:lpstr>'Nuevo LeónXCons'!Títulos_a_imprimir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2020-06-03T21:31:53Z</dcterms:created>
  <dcterms:modified xsi:type="dcterms:W3CDTF">2021-11-05T17:42:51Z</dcterms:modified>
</cp:coreProperties>
</file>