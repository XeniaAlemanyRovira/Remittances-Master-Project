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\\esoto\AnálisisInfo2.7\Matrículas\Anual\Matrículas2020\República Mexicana\Finales_RM\"/>
    </mc:Choice>
  </mc:AlternateContent>
  <bookViews>
    <workbookView xWindow="0" yWindow="0" windowWidth="17970" windowHeight="5730" tabRatio="841"/>
  </bookViews>
  <sheets>
    <sheet name="Índice" sheetId="1" r:id="rId1"/>
    <sheet name="Colima_EdoUsa" sheetId="2" r:id="rId2"/>
    <sheet name="Colima_Cons" sheetId="15" r:id="rId3"/>
    <sheet name="ColimaXCons" sheetId="16" r:id="rId4"/>
    <sheet name="Colima_EdoMun" sheetId="5" r:id="rId5"/>
    <sheet name="Colima_USAMuni" sheetId="6" r:id="rId6"/>
    <sheet name="Colima_MUNICIPIO" sheetId="7" r:id="rId7"/>
    <sheet name="Colima_educ_gral" sheetId="8" r:id="rId8"/>
    <sheet name="Colima_NivelE_Cons" sheetId="9" r:id="rId9"/>
    <sheet name="Colima_EducCons" sheetId="10" r:id="rId10"/>
    <sheet name="Colima_GenGral" sheetId="11" r:id="rId11"/>
    <sheet name="Colima_GENERO" sheetId="12" r:id="rId12"/>
    <sheet name="Colima_Gen_Edad" sheetId="13" r:id="rId13"/>
    <sheet name="Colima_ocup_gral" sheetId="14" r:id="rId14"/>
  </sheets>
  <definedNames>
    <definedName name="_xlnm._FilterDatabase" localSheetId="2" hidden="1">Colima_Cons!$B$11:$D$11</definedName>
    <definedName name="_xlnm._FilterDatabase" localSheetId="4" hidden="1">Colima_EdoMun!$B$11:$D$11</definedName>
    <definedName name="_xlnm._FilterDatabase" localSheetId="1" hidden="1">Colima_EdoUsa!$B$11:$D$11</definedName>
    <definedName name="_xlnm._FilterDatabase" localSheetId="7" hidden="1">Colima_educ_gral!$B$11:$D$12</definedName>
    <definedName name="_xlnm._FilterDatabase" localSheetId="9" hidden="1">Colima_EducCons!$B$9:$E$9</definedName>
    <definedName name="_xlnm._FilterDatabase" localSheetId="11" hidden="1">Colima_GENERO!$B$11:$E$11</definedName>
    <definedName name="_xlnm._FilterDatabase" localSheetId="10" hidden="1">Colima_GenGral!$B$11:$D$12</definedName>
    <definedName name="_xlnm._FilterDatabase" localSheetId="6" hidden="1">Colima_MUNICIPIO!$B$9:$E$9</definedName>
    <definedName name="_xlnm._FilterDatabase" localSheetId="8" hidden="1">Colima_NivelE_Cons!$B$9:$E$9</definedName>
    <definedName name="_xlnm._FilterDatabase" localSheetId="13" hidden="1">Colima_ocup_gral!$B$11:$D$11</definedName>
    <definedName name="_xlnm._FilterDatabase" localSheetId="5" hidden="1">Colima_USAMuni!$B$9:$E$9</definedName>
    <definedName name="_xlnm._FilterDatabase" localSheetId="3" hidden="1">ColimaXCons!$B$11:$D$12</definedName>
    <definedName name="_xlnm.Print_Area" localSheetId="9">Colima_EducCons!$A$1:$E$9</definedName>
    <definedName name="_xlnm.Print_Area" localSheetId="6">Colima_MUNICIPIO!$A$1:$E$9</definedName>
    <definedName name="_xlnm.Print_Area" localSheetId="8">Colima_NivelE_Cons!$A$1:$E$9</definedName>
    <definedName name="_xlnm.Print_Area" localSheetId="5">Colima_USAMuni!$A$1:$E$9</definedName>
    <definedName name="_xlnm.Print_Titles" localSheetId="2">Colima_Cons!$1:$11</definedName>
    <definedName name="_xlnm.Print_Titles" localSheetId="4">Colima_EdoMun!$1:$11</definedName>
    <definedName name="_xlnm.Print_Titles" localSheetId="1">Colima_EdoUsa!$1:$11</definedName>
    <definedName name="_xlnm.Print_Titles" localSheetId="7">Colima_educ_gral!$1:$11</definedName>
    <definedName name="_xlnm.Print_Titles" localSheetId="9">Colima_EducCons!$1:$9</definedName>
    <definedName name="_xlnm.Print_Titles" localSheetId="12">Colima_Gen_Edad!$1:$11</definedName>
    <definedName name="_xlnm.Print_Titles" localSheetId="11">Colima_GENERO!$1:$11</definedName>
    <definedName name="_xlnm.Print_Titles" localSheetId="10">Colima_GenGral!$1:$11</definedName>
    <definedName name="_xlnm.Print_Titles" localSheetId="6">Colima_MUNICIPIO!$1:$9</definedName>
    <definedName name="_xlnm.Print_Titles" localSheetId="8">Colima_NivelE_Cons!$1:$9</definedName>
    <definedName name="_xlnm.Print_Titles" localSheetId="13">Colima_ocup_gral!$1:$11</definedName>
    <definedName name="_xlnm.Print_Titles" localSheetId="5">Colima_USAMuni!$1:$9</definedName>
    <definedName name="_xlnm.Print_Titles" localSheetId="3">ColimaXCons!$1:$11</definedName>
  </definedNames>
  <calcPr calcId="152511"/>
</workbook>
</file>

<file path=xl/calcChain.xml><?xml version="1.0" encoding="utf-8"?>
<calcChain xmlns="http://schemas.openxmlformats.org/spreadsheetml/2006/main">
  <c r="C22" i="16" l="1"/>
  <c r="D21" i="16" s="1"/>
  <c r="D18" i="16"/>
  <c r="D14" i="16"/>
  <c r="D15" i="16" l="1"/>
  <c r="D19" i="16"/>
  <c r="D22" i="16"/>
  <c r="D12" i="16"/>
  <c r="D16" i="16"/>
  <c r="D20" i="16"/>
  <c r="D13" i="16"/>
  <c r="D17" i="16"/>
  <c r="F27" i="13" l="1"/>
  <c r="F26" i="13"/>
  <c r="F25" i="13"/>
  <c r="F24" i="13"/>
  <c r="F23" i="13"/>
  <c r="F22" i="13"/>
  <c r="F21" i="13"/>
  <c r="F20" i="13"/>
  <c r="F19" i="13"/>
  <c r="F18" i="13"/>
  <c r="F17" i="13"/>
  <c r="F16" i="13"/>
  <c r="F15" i="13"/>
  <c r="F14" i="13"/>
  <c r="F13" i="13"/>
  <c r="F12" i="13"/>
  <c r="D29" i="14" l="1"/>
  <c r="D28" i="14"/>
  <c r="D27" i="14"/>
  <c r="D26" i="14"/>
  <c r="D25" i="14"/>
  <c r="D24" i="14"/>
  <c r="D23" i="14"/>
  <c r="D22" i="14"/>
  <c r="D21" i="14"/>
  <c r="D20" i="14"/>
  <c r="D19" i="14"/>
  <c r="D18" i="14"/>
  <c r="D17" i="14"/>
  <c r="D16" i="14"/>
  <c r="D15" i="14"/>
  <c r="D14" i="14"/>
  <c r="D13" i="14"/>
  <c r="D12" i="14"/>
  <c r="D35" i="8" l="1"/>
  <c r="D34" i="8"/>
  <c r="D33" i="8"/>
  <c r="D32" i="8"/>
  <c r="D31" i="8"/>
  <c r="D30" i="8"/>
  <c r="D29" i="8"/>
  <c r="D28" i="8"/>
  <c r="D2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</calcChain>
</file>

<file path=xl/sharedStrings.xml><?xml version="1.0" encoding="utf-8"?>
<sst xmlns="http://schemas.openxmlformats.org/spreadsheetml/2006/main" count="1912" uniqueCount="202">
  <si>
    <t xml:space="preserve">Da clic al texto para ir a la información, selecciona                 para regresar. </t>
  </si>
  <si>
    <t>1. Por Estados de USA</t>
  </si>
  <si>
    <t>2. Por Circunscripción Consular</t>
  </si>
  <si>
    <t>2.1 Top ten por circunscripción consular</t>
  </si>
  <si>
    <t>3. Por Municipio de origen</t>
  </si>
  <si>
    <t>3.1 Municipio general</t>
  </si>
  <si>
    <t>3.2 Por Estado de USA</t>
  </si>
  <si>
    <t>3.3 Por Circunscripción Consular</t>
  </si>
  <si>
    <t>4. Por Nivel Educativo</t>
  </si>
  <si>
    <t>4.1 Educación general</t>
  </si>
  <si>
    <t>4.2 Por Estado de USA</t>
  </si>
  <si>
    <t>4.3 Por Circunscripción Consular</t>
  </si>
  <si>
    <t>5. Por Género</t>
  </si>
  <si>
    <t>5.1 Género General</t>
  </si>
  <si>
    <t>5.2 Por Circunscripción Consular</t>
  </si>
  <si>
    <t>6. Por estructura de Edad</t>
  </si>
  <si>
    <t>7. Por Ocupación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</si>
  <si>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</si>
  <si>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</si>
  <si>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</si>
  <si>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Total</t>
  </si>
  <si>
    <t>Vermont</t>
  </si>
  <si>
    <t>South Dakota</t>
  </si>
  <si>
    <t>Massachusetts</t>
  </si>
  <si>
    <t>Wyoming</t>
  </si>
  <si>
    <t>New Jersey</t>
  </si>
  <si>
    <t>New Hampshire</t>
  </si>
  <si>
    <t>Louisiana</t>
  </si>
  <si>
    <t>Connecticut</t>
  </si>
  <si>
    <t>New York</t>
  </si>
  <si>
    <t>Kentucky</t>
  </si>
  <si>
    <t>South Carolina</t>
  </si>
  <si>
    <t>Ohio</t>
  </si>
  <si>
    <t>Alabama</t>
  </si>
  <si>
    <t>Wisconsin</t>
  </si>
  <si>
    <t>Michigan</t>
  </si>
  <si>
    <t>New Mexico</t>
  </si>
  <si>
    <t>Nebraska</t>
  </si>
  <si>
    <t>Iowa</t>
  </si>
  <si>
    <t>Minnesota</t>
  </si>
  <si>
    <t>Kansas</t>
  </si>
  <si>
    <t>Arkansas</t>
  </si>
  <si>
    <t>Virginia</t>
  </si>
  <si>
    <t>Oklahoma</t>
  </si>
  <si>
    <t>Missouri</t>
  </si>
  <si>
    <t>Tennessee</t>
  </si>
  <si>
    <t>North Carolina</t>
  </si>
  <si>
    <t>Indiana</t>
  </si>
  <si>
    <t>Idaho</t>
  </si>
  <si>
    <t>Colorado</t>
  </si>
  <si>
    <t>Florida</t>
  </si>
  <si>
    <t>Georgia</t>
  </si>
  <si>
    <t>Arizona</t>
  </si>
  <si>
    <t>Utah</t>
  </si>
  <si>
    <t>Oregon</t>
  </si>
  <si>
    <t>Illinois</t>
  </si>
  <si>
    <t>Washington</t>
  </si>
  <si>
    <t>Nevada</t>
  </si>
  <si>
    <t>Texas</t>
  </si>
  <si>
    <t>California</t>
  </si>
  <si>
    <t>Porcentaje de Matrículas</t>
  </si>
  <si>
    <t>Número de Matrículas</t>
  </si>
  <si>
    <t xml:space="preserve">Estado </t>
  </si>
  <si>
    <t>Aguascalientes</t>
  </si>
  <si>
    <t>Del Río</t>
  </si>
  <si>
    <t>Caléxico</t>
  </si>
  <si>
    <t>Yuma</t>
  </si>
  <si>
    <t>Boston</t>
  </si>
  <si>
    <t>Tucson</t>
  </si>
  <si>
    <t>Laredo</t>
  </si>
  <si>
    <t>Boise</t>
  </si>
  <si>
    <t>Brownsville</t>
  </si>
  <si>
    <t>Albuquerque</t>
  </si>
  <si>
    <t>El Paso</t>
  </si>
  <si>
    <t>Nueva Orleans</t>
  </si>
  <si>
    <t>Detroit</t>
  </si>
  <si>
    <t>Omaha</t>
  </si>
  <si>
    <t>Seattle</t>
  </si>
  <si>
    <t>Saint Paul</t>
  </si>
  <si>
    <t>Phoenix</t>
  </si>
  <si>
    <t>Salt Lake City</t>
  </si>
  <si>
    <t>Milwaukee</t>
  </si>
  <si>
    <t>Miami</t>
  </si>
  <si>
    <t>Portland</t>
  </si>
  <si>
    <t>San Diego</t>
  </si>
  <si>
    <t>Kansas City</t>
  </si>
  <si>
    <t>Filadelfia</t>
  </si>
  <si>
    <t>Mcallen</t>
  </si>
  <si>
    <t>San Antonio</t>
  </si>
  <si>
    <t>Denver</t>
  </si>
  <si>
    <t>Indianápolis</t>
  </si>
  <si>
    <t>Oxnard</t>
  </si>
  <si>
    <t>Las Vegas</t>
  </si>
  <si>
    <t>Sacramento</t>
  </si>
  <si>
    <t>Austin</t>
  </si>
  <si>
    <t>Orlando</t>
  </si>
  <si>
    <t>Little Rock</t>
  </si>
  <si>
    <t>San Francisco</t>
  </si>
  <si>
    <t>San José</t>
  </si>
  <si>
    <t>Santa Ana</t>
  </si>
  <si>
    <t>San Bernardino</t>
  </si>
  <si>
    <t>Raleigh</t>
  </si>
  <si>
    <t>Fresno</t>
  </si>
  <si>
    <t>Nueva York</t>
  </si>
  <si>
    <t>Atlanta</t>
  </si>
  <si>
    <t>Dallas</t>
  </si>
  <si>
    <t>Houston</t>
  </si>
  <si>
    <t>Chicago</t>
  </si>
  <si>
    <t>Los Ángeles</t>
  </si>
  <si>
    <t>Consulado</t>
  </si>
  <si>
    <t>Minatitlán</t>
  </si>
  <si>
    <t>Ixtlahuacán</t>
  </si>
  <si>
    <t>Comala</t>
  </si>
  <si>
    <t>Cuauhtémoc</t>
  </si>
  <si>
    <t>Coquimatlán</t>
  </si>
  <si>
    <t>Villa de Álvarez</t>
  </si>
  <si>
    <t>Armería</t>
  </si>
  <si>
    <t>Manzanillo</t>
  </si>
  <si>
    <t>Tecomán</t>
  </si>
  <si>
    <t>Colima</t>
  </si>
  <si>
    <t>Municipio de origen</t>
  </si>
  <si>
    <t>Municipio de Origen</t>
  </si>
  <si>
    <t>Estado</t>
  </si>
  <si>
    <t>Posgrado [Maestría]</t>
  </si>
  <si>
    <t>Menores De Edad</t>
  </si>
  <si>
    <t>Profesional titulado</t>
  </si>
  <si>
    <t>Profesional pasante</t>
  </si>
  <si>
    <t>4° Año de profesional</t>
  </si>
  <si>
    <t>3° Año de profesional</t>
  </si>
  <si>
    <t>2° Año de profesional</t>
  </si>
  <si>
    <t>1° Año de profesional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</si>
  <si>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</si>
  <si>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</si>
  <si>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</si>
  <si>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</si>
  <si>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</si>
  <si>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</si>
  <si>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</si>
  <si>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</si>
  <si>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</si>
  <si>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5° Primaria</t>
  </si>
  <si>
    <t>4° Primaria</t>
  </si>
  <si>
    <t>3° Primaria</t>
  </si>
  <si>
    <t>2° Primaria</t>
  </si>
  <si>
    <t>1° Primaria</t>
  </si>
  <si>
    <t>Sin Estudios</t>
  </si>
  <si>
    <t>Número de matrículas</t>
  </si>
  <si>
    <t>Nivel de Estudios</t>
  </si>
  <si>
    <t>Nivel</t>
  </si>
  <si>
    <t>Menores de edad</t>
  </si>
  <si>
    <t>San Jose</t>
  </si>
  <si>
    <t>Mc Allen</t>
  </si>
  <si>
    <t>Los Angeles</t>
  </si>
  <si>
    <t>Indianapolis</t>
  </si>
  <si>
    <t>Calexico</t>
  </si>
  <si>
    <t>TOTAL</t>
  </si>
  <si>
    <t>MUJER</t>
  </si>
  <si>
    <t>HOMBRE</t>
  </si>
  <si>
    <t>Género</t>
  </si>
  <si>
    <t>Mujer</t>
  </si>
  <si>
    <t>Hombre</t>
  </si>
  <si>
    <t>Más de 75 Años</t>
  </si>
  <si>
    <t>Entre 66 y 75 Años</t>
  </si>
  <si>
    <t>Entre 50 y 65 Años</t>
  </si>
  <si>
    <t>Entre 40 y 49 Años</t>
  </si>
  <si>
    <t>Entre 29 y 39 Años</t>
  </si>
  <si>
    <t>Entre 18 y 28 Años</t>
  </si>
  <si>
    <t>Entre 11 y 17 Años</t>
  </si>
  <si>
    <t>Hasta 10 Años</t>
  </si>
  <si>
    <t>Porcentaje con respecto al total de Matrículas</t>
  </si>
  <si>
    <t>Porcentaje con respecto al Género</t>
  </si>
  <si>
    <t>Edad Cumplida</t>
  </si>
  <si>
    <t>MATRÍCULAS CONSULARES EXPEDIDAS A ORIGINARIOS DE COLIMA POR GÉNERO Y EDAD EN EE.UU.</t>
  </si>
  <si>
    <t>Operario(a)</t>
  </si>
  <si>
    <t>Mesero(a)</t>
  </si>
  <si>
    <t>Profesionista</t>
  </si>
  <si>
    <t>Jubilado(a)</t>
  </si>
  <si>
    <t>Chofer</t>
  </si>
  <si>
    <t>Cajero(a)</t>
  </si>
  <si>
    <t>Comerciante</t>
  </si>
  <si>
    <t>Pintor(a)</t>
  </si>
  <si>
    <t>Albañil</t>
  </si>
  <si>
    <t>Cocinero(a)</t>
  </si>
  <si>
    <t>Jardinero(a)</t>
  </si>
  <si>
    <t>Otro</t>
  </si>
  <si>
    <t>Obrero(a)</t>
  </si>
  <si>
    <t>Campesino(a)</t>
  </si>
  <si>
    <t>Estudiante</t>
  </si>
  <si>
    <t>Hogar</t>
  </si>
  <si>
    <t>Empleado(a)</t>
  </si>
  <si>
    <t>Ocupación</t>
  </si>
  <si>
    <t>Tamaño de la muestra: 497,795</t>
  </si>
  <si>
    <t>Octubre de 2021</t>
  </si>
  <si>
    <t>MATRÍCULAS CONSULARES DE ALTA SEGURIDAD EXPEDIDAS A ORIGINARIOS DE COLIMA POR ESTADO DE LA UNIÓN AMERICANA. DURANTE EL 2020</t>
  </si>
  <si>
    <t>MATRÍCULAS CONSULARES DE ALTA SEGURIDAD EXPEDIDAS POR MUNICIPIO A ORIGINARIOS DEL ESTADO DE COLIMA EN LOS CONSULADOS DE MÉXICO EN EE.UU. 2020</t>
  </si>
  <si>
    <t>MATRÍCULAS CONSULARES EXPEDIDAS A ORIGINARIOS DE COLIMA POR GÉNERO EN EE.UU DURANTE EL 2020.</t>
  </si>
  <si>
    <t>MATRÍCULAS CONSULARES EXPEDIDAS EN EE.UU. A ORIGINARIOS DE COLIMA POR NIVEL DE EDUCACIÓN, 2020.</t>
  </si>
  <si>
    <t>MATRÍCULAS CONSULARES EXPEDIDAS EN EE.UU. A ORIGINARIOS DE COLIMA POR PERFIL OCUPACIONAL, 2020.</t>
  </si>
  <si>
    <t>Del Rio</t>
  </si>
  <si>
    <t>MATRÍCULAS CONSULARES EXPEDIDAS A ORIGINARIOS DE COLIMA POR GÉNERO Y CONSULADO DE MÉXICO 2020.</t>
  </si>
  <si>
    <t>MATRÍCULAS CONSULARES DE ALTA SEGURIDAD EXPEDIDAS DURANTE EL 2020 A ORIGINARIOS DE COLIMA EN LOS CONSULADOS DE MÉXICO EN EE.UU.</t>
  </si>
  <si>
    <t>Matrículas consulares expedidas a originarios de Colima  en el 2020.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</si>
</sst>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,###"/>
  </numFmts>
  <fonts count="25" x14ac:knownFonts="1">
    <font>
      <sz val="11"/>
      <color theme="1"/>
      <name val="Calibri"/>
      <family val="2"/>
      <scheme val="minor"/>
    </font>
    <font>
      <b/>
      <sz val="11"/>
      <color theme="0"/>
      <name val="Montserrat"/>
    </font>
    <font>
      <sz val="11"/>
      <color theme="1"/>
      <name val="Montserrat"/>
    </font>
    <font>
      <u/>
      <sz val="11"/>
      <color theme="10"/>
      <name val="Calibri"/>
      <family val="2"/>
      <scheme val="minor"/>
    </font>
    <font>
      <u/>
      <sz val="11"/>
      <color theme="10"/>
      <name val="Montserrat"/>
    </font>
    <font>
      <sz val="10"/>
      <name val="Arial"/>
      <family val="2"/>
    </font>
    <font>
      <sz val="11"/>
      <color indexed="8"/>
      <name val="Calibri"/>
      <family val="2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9"/>
      <name val="Montserrat"/>
    </font>
    <font>
      <sz val="8"/>
      <color theme="1"/>
      <name val="Soberana Sans"/>
      <family val="3"/>
    </font>
    <font>
      <b/>
      <sz val="9"/>
      <color indexed="9"/>
      <name val="Montserrat"/>
    </font>
    <font>
      <b/>
      <sz val="11"/>
      <name val="Arial Narrow"/>
      <family val="2"/>
    </font>
    <font>
      <sz val="8"/>
      <color theme="1"/>
      <name val="Calibri"/>
      <family val="2"/>
      <scheme val="minor"/>
    </font>
    <font>
      <sz val="8"/>
      <color indexed="8"/>
      <name val="Soberana Sans"/>
      <family val="3"/>
    </font>
    <font>
      <sz val="10.5"/>
      <color theme="1"/>
      <name val="Montserrat"/>
    </font>
    <font>
      <sz val="10"/>
      <name val="Montserrat"/>
    </font>
  </fonts>
  <fills count="10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0" fontId="5" fillId="0" borderId="0"/>
    <xf numFmtId="0" fontId="6" fillId="0" borderId="0"/>
  </cellStyleXfs>
  <cellXfs count="100">
    <xf numFmtId="0" fontId="0" fillId="0" borderId="0" xfId="0"/>
    <xf numFmtId="0" fontId="2" fillId="0" borderId="0" xfId="0" applyFont="1"/>
    <xf numFmtId="0" fontId="2" fillId="0" borderId="4" xfId="0" applyFont="1" applyBorder="1" applyAlignment="1">
      <alignment horizontal="left"/>
    </xf>
    <xf numFmtId="0" fontId="2" fillId="0" borderId="0" xfId="0" applyFont="1" applyBorder="1" applyAlignment="1">
      <alignment horizontal="left"/>
    </xf>
    <xf numFmtId="0" fontId="2" fillId="0" borderId="5" xfId="0" applyFont="1" applyBorder="1" applyAlignment="1">
      <alignment horizontal="left"/>
    </xf>
    <xf numFmtId="0" fontId="2" fillId="0" borderId="4" xfId="0" applyFont="1" applyBorder="1" applyAlignment="1">
      <alignment horizontal="left" wrapText="1"/>
    </xf>
    <xf numFmtId="0" fontId="2" fillId="0" borderId="0" xfId="0" applyFont="1" applyBorder="1" applyAlignment="1">
      <alignment horizontal="left" wrapText="1"/>
    </xf>
    <xf numFmtId="0" fontId="2" fillId="0" borderId="5" xfId="0" applyFont="1" applyBorder="1" applyAlignment="1">
      <alignment horizontal="left" wrapText="1"/>
    </xf>
    <xf numFmtId="0" fontId="2" fillId="0" borderId="4" xfId="0" applyFont="1" applyBorder="1" applyAlignment="1"/>
    <xf numFmtId="0" fontId="2" fillId="0" borderId="0" xfId="0" applyFont="1" applyBorder="1" applyAlignment="1"/>
    <xf numFmtId="0" fontId="2" fillId="0" borderId="5" xfId="0" applyFont="1" applyBorder="1" applyAlignment="1"/>
    <xf numFmtId="0" fontId="2" fillId="0" borderId="4" xfId="0" applyFont="1" applyBorder="1"/>
    <xf numFmtId="0" fontId="2" fillId="0" borderId="0" xfId="0" applyFont="1" applyBorder="1"/>
    <xf numFmtId="0" fontId="2" fillId="0" borderId="5" xfId="0" applyFont="1" applyBorder="1"/>
    <xf numFmtId="0" fontId="2" fillId="0" borderId="6" xfId="0" applyFont="1" applyBorder="1"/>
    <xf numFmtId="0" fontId="2" fillId="0" borderId="7" xfId="0" applyFont="1" applyBorder="1"/>
    <xf numFmtId="0" fontId="2" fillId="0" borderId="8" xfId="0" applyFont="1" applyBorder="1"/>
    <xf numFmtId="0" fontId="0" fillId="3" borderId="0" xfId="0" applyFont="1" applyFill="1"/>
    <xf numFmtId="3" fontId="0" fillId="3" borderId="0" xfId="0" applyNumberFormat="1" applyFont="1" applyFill="1"/>
    <xf numFmtId="0" fontId="7" fillId="3" borderId="0" xfId="0" applyFont="1" applyFill="1"/>
    <xf numFmtId="0" fontId="7" fillId="3" borderId="0" xfId="0" applyFont="1" applyFill="1" applyAlignment="1">
      <alignment vertical="top"/>
    </xf>
    <xf numFmtId="0" fontId="7" fillId="3" borderId="0" xfId="0" applyFont="1" applyFill="1" applyAlignment="1">
      <alignment vertical="center"/>
    </xf>
    <xf numFmtId="164" fontId="8" fillId="4" borderId="9" xfId="0" applyNumberFormat="1" applyFont="1" applyFill="1" applyBorder="1" applyAlignment="1">
      <alignment horizontal="right" vertical="center" wrapText="1"/>
    </xf>
    <xf numFmtId="3" fontId="8" fillId="4" borderId="9" xfId="0" applyNumberFormat="1" applyFont="1" applyFill="1" applyBorder="1" applyAlignment="1">
      <alignment horizontal="right" vertical="center" wrapText="1"/>
    </xf>
    <xf numFmtId="49" fontId="8" fillId="4" borderId="9" xfId="0" applyNumberFormat="1" applyFont="1" applyFill="1" applyBorder="1" applyAlignment="1">
      <alignment vertical="center" wrapText="1"/>
    </xf>
    <xf numFmtId="164" fontId="9" fillId="3" borderId="9" xfId="0" applyNumberFormat="1" applyFont="1" applyFill="1" applyBorder="1" applyAlignment="1">
      <alignment horizontal="right" vertical="center" wrapText="1"/>
    </xf>
    <xf numFmtId="3" fontId="9" fillId="3" borderId="9" xfId="0" applyNumberFormat="1" applyFont="1" applyFill="1" applyBorder="1" applyAlignment="1">
      <alignment horizontal="right" vertical="center" wrapText="1"/>
    </xf>
    <xf numFmtId="49" fontId="10" fillId="3" borderId="9" xfId="0" applyNumberFormat="1" applyFont="1" applyFill="1" applyBorder="1" applyAlignment="1">
      <alignment vertical="center" wrapText="1"/>
    </xf>
    <xf numFmtId="0" fontId="11" fillId="3" borderId="0" xfId="0" applyFont="1" applyFill="1"/>
    <xf numFmtId="0" fontId="12" fillId="0" borderId="0" xfId="0" applyFont="1"/>
    <xf numFmtId="0" fontId="8" fillId="2" borderId="10" xfId="0" applyFont="1" applyFill="1" applyBorder="1" applyAlignment="1">
      <alignment horizontal="center" vertical="center" wrapText="1"/>
    </xf>
    <xf numFmtId="1" fontId="8" fillId="2" borderId="10" xfId="0" applyNumberFormat="1" applyFont="1" applyFill="1" applyBorder="1" applyAlignment="1">
      <alignment horizontal="center" vertical="center" wrapText="1"/>
    </xf>
    <xf numFmtId="0" fontId="8" fillId="2" borderId="11" xfId="0" applyFont="1" applyFill="1" applyBorder="1" applyAlignment="1">
      <alignment horizontal="center" vertical="center" wrapText="1"/>
    </xf>
    <xf numFmtId="0" fontId="13" fillId="0" borderId="0" xfId="0" applyFont="1" applyBorder="1" applyAlignment="1">
      <alignment horizontal="center" vertical="center" wrapText="1"/>
    </xf>
    <xf numFmtId="3" fontId="12" fillId="0" borderId="0" xfId="0" applyNumberFormat="1" applyFont="1"/>
    <xf numFmtId="1" fontId="12" fillId="0" borderId="0" xfId="0" applyNumberFormat="1" applyFont="1"/>
    <xf numFmtId="0" fontId="15" fillId="3" borderId="0" xfId="0" applyFont="1" applyFill="1"/>
    <xf numFmtId="0" fontId="16" fillId="3" borderId="0" xfId="0" applyFont="1" applyFill="1"/>
    <xf numFmtId="164" fontId="8" fillId="5" borderId="9" xfId="0" applyNumberFormat="1" applyFont="1" applyFill="1" applyBorder="1" applyAlignment="1">
      <alignment horizontal="right" wrapText="1"/>
    </xf>
    <xf numFmtId="3" fontId="8" fillId="5" borderId="9" xfId="0" applyNumberFormat="1" applyFont="1" applyFill="1" applyBorder="1" applyAlignment="1">
      <alignment horizontal="right" wrapText="1"/>
    </xf>
    <xf numFmtId="164" fontId="8" fillId="6" borderId="9" xfId="2" applyNumberFormat="1" applyFont="1" applyFill="1" applyBorder="1" applyAlignment="1">
      <alignment horizontal="right" vertical="top" wrapText="1"/>
    </xf>
    <xf numFmtId="165" fontId="8" fillId="6" borderId="9" xfId="2" applyNumberFormat="1" applyFont="1" applyFill="1" applyBorder="1" applyAlignment="1">
      <alignment horizontal="right" vertical="top" wrapText="1"/>
    </xf>
    <xf numFmtId="49" fontId="8" fillId="6" borderId="9" xfId="2" applyNumberFormat="1" applyFont="1" applyFill="1" applyBorder="1" applyAlignment="1">
      <alignment vertical="top" wrapText="1"/>
    </xf>
    <xf numFmtId="164" fontId="17" fillId="3" borderId="9" xfId="2" applyNumberFormat="1" applyFont="1" applyFill="1" applyBorder="1" applyAlignment="1">
      <alignment horizontal="right" vertical="top" wrapText="1"/>
    </xf>
    <xf numFmtId="165" fontId="17" fillId="3" borderId="9" xfId="2" applyNumberFormat="1" applyFont="1" applyFill="1" applyBorder="1" applyAlignment="1">
      <alignment horizontal="right" vertical="top" wrapText="1"/>
    </xf>
    <xf numFmtId="49" fontId="17" fillId="3" borderId="9" xfId="2" applyNumberFormat="1" applyFont="1" applyFill="1" applyBorder="1" applyAlignment="1">
      <alignment vertical="top" wrapText="1"/>
    </xf>
    <xf numFmtId="0" fontId="18" fillId="3" borderId="0" xfId="0" applyFont="1" applyFill="1"/>
    <xf numFmtId="0" fontId="19" fillId="2" borderId="10" xfId="3" applyFont="1" applyFill="1" applyBorder="1" applyAlignment="1">
      <alignment horizontal="center" vertical="center" wrapText="1"/>
    </xf>
    <xf numFmtId="1" fontId="19" fillId="2" borderId="10" xfId="3" applyNumberFormat="1" applyFont="1" applyFill="1" applyBorder="1" applyAlignment="1">
      <alignment horizontal="center" vertical="center" wrapText="1"/>
    </xf>
    <xf numFmtId="0" fontId="8" fillId="2" borderId="10" xfId="3" applyFont="1" applyFill="1" applyBorder="1" applyAlignment="1">
      <alignment horizontal="center" vertical="center" wrapText="1"/>
    </xf>
    <xf numFmtId="0" fontId="12" fillId="3" borderId="0" xfId="0" applyFont="1" applyFill="1"/>
    <xf numFmtId="0" fontId="20" fillId="3" borderId="0" xfId="0" applyFont="1" applyFill="1" applyAlignment="1"/>
    <xf numFmtId="0" fontId="18" fillId="3" borderId="0" xfId="0" applyFont="1" applyFill="1" applyAlignment="1">
      <alignment vertical="center"/>
    </xf>
    <xf numFmtId="0" fontId="12" fillId="3" borderId="0" xfId="0" applyFont="1" applyFill="1" applyBorder="1"/>
    <xf numFmtId="3" fontId="12" fillId="3" borderId="0" xfId="0" applyNumberFormat="1" applyFont="1" applyFill="1" applyBorder="1"/>
    <xf numFmtId="1" fontId="12" fillId="3" borderId="0" xfId="0" applyNumberFormat="1" applyFont="1" applyFill="1" applyBorder="1"/>
    <xf numFmtId="0" fontId="18" fillId="3" borderId="0" xfId="0" applyFont="1" applyFill="1" applyBorder="1"/>
    <xf numFmtId="0" fontId="18" fillId="3" borderId="0" xfId="0" applyFont="1" applyFill="1" applyBorder="1" applyAlignment="1">
      <alignment vertical="center"/>
    </xf>
    <xf numFmtId="0" fontId="21" fillId="3" borderId="0" xfId="0" applyFont="1" applyFill="1"/>
    <xf numFmtId="0" fontId="22" fillId="0" borderId="0" xfId="0" applyFont="1" applyAlignment="1">
      <alignment vertical="top"/>
    </xf>
    <xf numFmtId="0" fontId="22" fillId="0" borderId="0" xfId="0" applyFont="1" applyAlignment="1">
      <alignment horizontal="justify" vertical="center"/>
    </xf>
    <xf numFmtId="3" fontId="11" fillId="3" borderId="0" xfId="0" applyNumberFormat="1" applyFont="1" applyFill="1"/>
    <xf numFmtId="3" fontId="12" fillId="3" borderId="0" xfId="0" applyNumberFormat="1" applyFont="1" applyFill="1"/>
    <xf numFmtId="49" fontId="10" fillId="3" borderId="9" xfId="0" applyNumberFormat="1" applyFont="1" applyFill="1" applyBorder="1" applyAlignment="1">
      <alignment horizontal="left" vertical="center" wrapText="1"/>
    </xf>
    <xf numFmtId="0" fontId="0" fillId="3" borderId="0" xfId="0" applyFill="1"/>
    <xf numFmtId="0" fontId="19" fillId="2" borderId="9" xfId="3" applyFont="1" applyFill="1" applyBorder="1" applyAlignment="1">
      <alignment horizontal="center" vertical="center" wrapText="1"/>
    </xf>
    <xf numFmtId="0" fontId="0" fillId="3" borderId="0" xfId="0" applyFont="1" applyFill="1" applyBorder="1"/>
    <xf numFmtId="0" fontId="5" fillId="3" borderId="0" xfId="0" applyFont="1" applyFill="1" applyBorder="1"/>
    <xf numFmtId="0" fontId="12" fillId="3" borderId="0" xfId="0" applyFont="1" applyFill="1" applyBorder="1" applyAlignment="1">
      <alignment vertical="center"/>
    </xf>
    <xf numFmtId="0" fontId="12" fillId="0" borderId="0" xfId="0" applyFont="1" applyBorder="1" applyAlignment="1">
      <alignment vertical="center"/>
    </xf>
    <xf numFmtId="0" fontId="4" fillId="0" borderId="0" xfId="1" applyFont="1" applyBorder="1" applyAlignment="1">
      <alignment horizontal="left"/>
    </xf>
    <xf numFmtId="0" fontId="4" fillId="0" borderId="5" xfId="1" applyFont="1" applyBorder="1" applyAlignment="1">
      <alignment horizontal="left"/>
    </xf>
    <xf numFmtId="0" fontId="4" fillId="0" borderId="4" xfId="1" applyFont="1" applyBorder="1" applyAlignment="1">
      <alignment horizontal="left"/>
    </xf>
    <xf numFmtId="0" fontId="1" fillId="2" borderId="1" xfId="0" applyFont="1" applyFill="1" applyBorder="1" applyAlignment="1">
      <alignment horizontal="center" wrapText="1"/>
    </xf>
    <xf numFmtId="0" fontId="1" fillId="2" borderId="2" xfId="0" applyFont="1" applyFill="1" applyBorder="1" applyAlignment="1">
      <alignment horizontal="center" wrapText="1"/>
    </xf>
    <xf numFmtId="0" fontId="1" fillId="2" borderId="3" xfId="0" applyFont="1" applyFill="1" applyBorder="1" applyAlignment="1">
      <alignment horizontal="center" wrapText="1"/>
    </xf>
    <xf numFmtId="0" fontId="2" fillId="0" borderId="4" xfId="0" applyFont="1" applyBorder="1" applyAlignment="1">
      <alignment horizontal="left" wrapText="1"/>
    </xf>
    <xf numFmtId="0" fontId="2" fillId="0" borderId="0" xfId="0" applyFont="1" applyBorder="1" applyAlignment="1">
      <alignment horizontal="left" wrapText="1"/>
    </xf>
    <xf numFmtId="0" fontId="2" fillId="0" borderId="5" xfId="0" applyFont="1" applyBorder="1" applyAlignment="1">
      <alignment horizontal="left" wrapText="1"/>
    </xf>
    <xf numFmtId="0" fontId="14" fillId="0" borderId="0" xfId="0" applyFont="1" applyBorder="1" applyAlignment="1">
      <alignment horizontal="center" vertical="center" wrapText="1"/>
    </xf>
    <xf numFmtId="49" fontId="8" fillId="5" borderId="13" xfId="0" applyNumberFormat="1" applyFont="1" applyFill="1" applyBorder="1" applyAlignment="1">
      <alignment horizontal="center" vertical="center" wrapText="1"/>
    </xf>
    <xf numFmtId="49" fontId="8" fillId="5" borderId="12" xfId="0" applyNumberFormat="1" applyFont="1" applyFill="1" applyBorder="1" applyAlignment="1">
      <alignment horizontal="center" vertical="center" wrapText="1"/>
    </xf>
    <xf numFmtId="49" fontId="17" fillId="3" borderId="10" xfId="2" applyNumberFormat="1" applyFont="1" applyFill="1" applyBorder="1" applyAlignment="1">
      <alignment horizontal="center" vertical="center" wrapText="1"/>
    </xf>
    <xf numFmtId="49" fontId="17" fillId="3" borderId="14" xfId="2" applyNumberFormat="1" applyFont="1" applyFill="1" applyBorder="1" applyAlignment="1">
      <alignment horizontal="center" vertical="center" wrapText="1"/>
    </xf>
    <xf numFmtId="49" fontId="17" fillId="3" borderId="15" xfId="2" applyNumberFormat="1" applyFont="1" applyFill="1" applyBorder="1" applyAlignment="1">
      <alignment horizontal="center" vertical="center" wrapText="1"/>
    </xf>
    <xf numFmtId="0" fontId="11" fillId="3" borderId="0" xfId="0" applyFont="1" applyFill="1" applyAlignment="1">
      <alignment horizontal="center" wrapText="1"/>
    </xf>
    <xf numFmtId="0" fontId="23" fillId="0" borderId="0" xfId="0" applyFont="1" applyBorder="1" applyAlignment="1">
      <alignment horizontal="center" vertical="center" wrapText="1"/>
    </xf>
    <xf numFmtId="49" fontId="10" fillId="3" borderId="10" xfId="0" applyNumberFormat="1" applyFont="1" applyFill="1" applyBorder="1" applyAlignment="1">
      <alignment horizontal="center" vertical="center" wrapText="1"/>
    </xf>
    <xf numFmtId="49" fontId="10" fillId="3" borderId="15" xfId="0" applyNumberFormat="1" applyFont="1" applyFill="1" applyBorder="1" applyAlignment="1">
      <alignment horizontal="center" vertical="center" wrapText="1"/>
    </xf>
    <xf numFmtId="49" fontId="10" fillId="3" borderId="14" xfId="0" applyNumberFormat="1" applyFont="1" applyFill="1" applyBorder="1" applyAlignment="1">
      <alignment horizontal="center" vertical="center" wrapText="1"/>
    </xf>
    <xf numFmtId="0" fontId="24" fillId="3" borderId="0" xfId="0" applyFont="1" applyFill="1" applyBorder="1" applyAlignment="1">
      <alignment horizontal="center" vertical="distributed"/>
    </xf>
    <xf numFmtId="0" fontId="24" fillId="3" borderId="16" xfId="0" applyFont="1" applyFill="1" applyBorder="1" applyAlignment="1">
      <alignment horizontal="center" vertical="distributed"/>
    </xf>
    <xf numFmtId="164" fontId="9" fillId="7" borderId="9" xfId="0" applyNumberFormat="1" applyFont="1" applyFill="1" applyBorder="1" applyAlignment="1">
      <alignment horizontal="right" vertical="center" wrapText="1"/>
    </xf>
    <xf numFmtId="164" fontId="9" fillId="8" borderId="9" xfId="0" applyNumberFormat="1" applyFont="1" applyFill="1" applyBorder="1" applyAlignment="1">
      <alignment horizontal="right" vertical="center" wrapText="1"/>
    </xf>
    <xf numFmtId="49" fontId="8" fillId="5" borderId="9" xfId="0" applyNumberFormat="1" applyFont="1" applyFill="1" applyBorder="1" applyAlignment="1">
      <alignment vertical="center" wrapText="1"/>
    </xf>
    <xf numFmtId="3" fontId="8" fillId="5" borderId="9" xfId="0" applyNumberFormat="1" applyFont="1" applyFill="1" applyBorder="1" applyAlignment="1">
      <alignment horizontal="right" vertical="center" wrapText="1"/>
    </xf>
    <xf numFmtId="164" fontId="8" fillId="5" borderId="9" xfId="0" applyNumberFormat="1" applyFont="1" applyFill="1" applyBorder="1" applyAlignment="1">
      <alignment horizontal="right" vertical="center" wrapText="1"/>
    </xf>
    <xf numFmtId="49" fontId="8" fillId="9" borderId="12" xfId="0" applyNumberFormat="1" applyFont="1" applyFill="1" applyBorder="1" applyAlignment="1">
      <alignment vertical="center" wrapText="1"/>
    </xf>
    <xf numFmtId="3" fontId="8" fillId="9" borderId="9" xfId="0" applyNumberFormat="1" applyFont="1" applyFill="1" applyBorder="1" applyAlignment="1">
      <alignment horizontal="right" vertical="center" wrapText="1"/>
    </xf>
    <xf numFmtId="164" fontId="8" fillId="9" borderId="9" xfId="0" applyNumberFormat="1" applyFont="1" applyFill="1" applyBorder="1" applyAlignment="1">
      <alignment horizontal="right" vertical="center" wrapText="1"/>
    </xf>
  </cellXfs>
  <cellStyles count="4">
    <cellStyle name="Hipervínculo" xfId="1" builtinId="8"/>
    <cellStyle name="Normal" xfId="0" builtinId="0"/>
    <cellStyle name="Normal 2" xfId="2"/>
    <cellStyle name="Normal_Hoja1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10241</xdr:colOff>
      <xdr:row>2</xdr:row>
      <xdr:rowOff>12392</xdr:rowOff>
    </xdr:from>
    <xdr:to>
      <xdr:col>3</xdr:col>
      <xdr:colOff>522338</xdr:colOff>
      <xdr:row>3</xdr:row>
      <xdr:rowOff>12392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334466" y="726767"/>
          <a:ext cx="512097" cy="18097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COLIMA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257175</xdr:colOff>
      <xdr:row>7</xdr:row>
      <xdr:rowOff>152400</xdr:rowOff>
    </xdr:from>
    <xdr:to>
      <xdr:col>5</xdr:col>
      <xdr:colOff>150147</xdr:colOff>
      <xdr:row>8</xdr:row>
      <xdr:rowOff>146255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86300" y="167640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COLIMA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228600</xdr:colOff>
      <xdr:row>8</xdr:row>
      <xdr:rowOff>0</xdr:rowOff>
    </xdr:from>
    <xdr:to>
      <xdr:col>5</xdr:col>
      <xdr:colOff>121572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57725" y="171450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COLIMA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228600</xdr:colOff>
      <xdr:row>8</xdr:row>
      <xdr:rowOff>0</xdr:rowOff>
    </xdr:from>
    <xdr:to>
      <xdr:col>5</xdr:col>
      <xdr:colOff>121572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57725" y="171450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COLIMA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190500</xdr:colOff>
      <xdr:row>7</xdr:row>
      <xdr:rowOff>171450</xdr:rowOff>
    </xdr:from>
    <xdr:to>
      <xdr:col>5</xdr:col>
      <xdr:colOff>83472</xdr:colOff>
      <xdr:row>8</xdr:row>
      <xdr:rowOff>165305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19625" y="169545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COLIMA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POR MUNICIPIO A ORIGINARIOS DEL ESTADO DE COLIMA POR ESTADO EN EE.UU. 2020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433551</xdr:colOff>
      <xdr:row>7</xdr:row>
      <xdr:rowOff>78827</xdr:rowOff>
    </xdr:from>
    <xdr:to>
      <xdr:col>4</xdr:col>
      <xdr:colOff>945648</xdr:colOff>
      <xdr:row>7</xdr:row>
      <xdr:rowOff>263182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071241" y="1819603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COLIMA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POR MUNICIPIO A ORIGINARIOS DEL ESTADO DE COLIMA EN LOS CONSULADOS DE MÉXICO EN EE.UU. 2020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499241</xdr:colOff>
      <xdr:row>7</xdr:row>
      <xdr:rowOff>131379</xdr:rowOff>
    </xdr:from>
    <xdr:to>
      <xdr:col>4</xdr:col>
      <xdr:colOff>1011338</xdr:colOff>
      <xdr:row>7</xdr:row>
      <xdr:rowOff>315734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36931" y="1872155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COLIMA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0</xdr:colOff>
      <xdr:row>8</xdr:row>
      <xdr:rowOff>0</xdr:rowOff>
    </xdr:from>
    <xdr:to>
      <xdr:col>4</xdr:col>
      <xdr:colOff>512097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429125" y="171450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COLIMA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A ORIGINARIOS DEL ESTADO DE COLIMA POR NIVEL DE EDUCACIÓN Y ESTADO EN EE.UU. DURANTE EL 2020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0</xdr:colOff>
      <xdr:row>7</xdr:row>
      <xdr:rowOff>0</xdr:rowOff>
    </xdr:from>
    <xdr:to>
      <xdr:col>5</xdr:col>
      <xdr:colOff>512097</xdr:colOff>
      <xdr:row>7</xdr:row>
      <xdr:rowOff>184355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760983" y="1740776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COLIMA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A ORIGINARIOS DEL ESTADO DE COLIMA POR CONSULADO Y NIVEL DE EDUCACIÓN EN EE.UU. DURANTE EL 2020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440121</xdr:colOff>
      <xdr:row>7</xdr:row>
      <xdr:rowOff>151086</xdr:rowOff>
    </xdr:from>
    <xdr:to>
      <xdr:col>4</xdr:col>
      <xdr:colOff>952218</xdr:colOff>
      <xdr:row>7</xdr:row>
      <xdr:rowOff>335441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077811" y="1891862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COLIMA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219075</xdr:colOff>
      <xdr:row>8</xdr:row>
      <xdr:rowOff>123825</xdr:rowOff>
    </xdr:from>
    <xdr:to>
      <xdr:col>5</xdr:col>
      <xdr:colOff>112047</xdr:colOff>
      <xdr:row>8</xdr:row>
      <xdr:rowOff>308180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48200" y="1838325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C00-000002000000}"/>
            </a:ext>
          </a:extLst>
        </xdr:cNvPr>
        <xdr:cNvSpPr txBox="1"/>
      </xdr:nvSpPr>
      <xdr:spPr>
        <a:xfrm>
          <a:off x="762000" y="97254"/>
          <a:ext cx="3105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COLIMA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24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408214</xdr:colOff>
      <xdr:row>8</xdr:row>
      <xdr:rowOff>136071</xdr:rowOff>
    </xdr:from>
    <xdr:to>
      <xdr:col>4</xdr:col>
      <xdr:colOff>920311</xdr:colOff>
      <xdr:row>9</xdr:row>
      <xdr:rowOff>136071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10100" y="1703614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6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762000" y="97254"/>
          <a:ext cx="3867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COLIMA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5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86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478971</xdr:colOff>
      <xdr:row>8</xdr:row>
      <xdr:rowOff>108857</xdr:rowOff>
    </xdr:from>
    <xdr:to>
      <xdr:col>5</xdr:col>
      <xdr:colOff>991068</xdr:colOff>
      <xdr:row>9</xdr:row>
      <xdr:rowOff>102712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5519057" y="167640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COLIMA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114300</xdr:colOff>
      <xdr:row>8</xdr:row>
      <xdr:rowOff>0</xdr:rowOff>
    </xdr:from>
    <xdr:to>
      <xdr:col>5</xdr:col>
      <xdr:colOff>7272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543425" y="171450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8"/>
  <sheetViews>
    <sheetView showGridLines="0" tabSelected="1" view="pageBreakPreview" zoomScale="93" zoomScaleNormal="100" zoomScaleSheetLayoutView="93" workbookViewId="0">
      <selection activeCell="I7" sqref="I7"/>
    </sheetView>
  </sheetViews>
  <sheetFormatPr baseColWidth="10" defaultColWidth="11.42578125" defaultRowHeight="18" x14ac:dyDescent="0.35"/>
  <cols>
    <col min="1" max="1" width="5.140625" style="1" customWidth="1"/>
    <col min="2" max="2" width="20" style="1" customWidth="1"/>
    <col min="3" max="3" width="24.7109375" style="1" customWidth="1"/>
    <col min="4" max="4" width="20.42578125" style="1" customWidth="1"/>
    <col min="5" max="16384" width="11.42578125" style="1"/>
  </cols>
  <sheetData>
    <row r="1" spans="1:4" ht="42" customHeight="1" thickBot="1" x14ac:dyDescent="0.4">
      <c r="A1" s="73" t="s">
        <v>201</v>
      </c>
      <c r="B1" s="74"/>
      <c r="C1" s="74"/>
      <c r="D1" s="75"/>
    </row>
    <row r="2" spans="1:4" x14ac:dyDescent="0.35">
      <c r="A2" s="2"/>
      <c r="B2" s="3"/>
      <c r="C2" s="3"/>
      <c r="D2" s="4"/>
    </row>
    <row r="3" spans="1:4" x14ac:dyDescent="0.35">
      <c r="A3" s="76" t="s">
        <v>0</v>
      </c>
      <c r="B3" s="77"/>
      <c r="C3" s="77"/>
      <c r="D3" s="78"/>
    </row>
    <row r="4" spans="1:4" x14ac:dyDescent="0.35">
      <c r="A4" s="76"/>
      <c r="B4" s="77"/>
      <c r="C4" s="77"/>
      <c r="D4" s="78"/>
    </row>
    <row r="5" spans="1:4" x14ac:dyDescent="0.35">
      <c r="A5" s="5"/>
      <c r="B5" s="6"/>
      <c r="C5" s="6"/>
      <c r="D5" s="7"/>
    </row>
    <row r="6" spans="1:4" x14ac:dyDescent="0.35">
      <c r="A6" s="72" t="s">
        <v>1</v>
      </c>
      <c r="B6" s="70"/>
      <c r="C6" s="70"/>
      <c r="D6" s="71"/>
    </row>
    <row r="7" spans="1:4" x14ac:dyDescent="0.35">
      <c r="A7" s="8"/>
      <c r="B7" s="9"/>
      <c r="C7" s="9"/>
      <c r="D7" s="10"/>
    </row>
    <row r="8" spans="1:4" x14ac:dyDescent="0.35">
      <c r="A8" s="72" t="s">
        <v>2</v>
      </c>
      <c r="B8" s="70"/>
      <c r="C8" s="70"/>
      <c r="D8" s="71"/>
    </row>
    <row r="9" spans="1:4" x14ac:dyDescent="0.35">
      <c r="A9" s="11"/>
      <c r="B9" s="70" t="s">
        <v>3</v>
      </c>
      <c r="C9" s="70"/>
      <c r="D9" s="71"/>
    </row>
    <row r="10" spans="1:4" x14ac:dyDescent="0.35">
      <c r="A10" s="11"/>
      <c r="B10" s="12"/>
      <c r="C10" s="12"/>
      <c r="D10" s="13"/>
    </row>
    <row r="11" spans="1:4" x14ac:dyDescent="0.35">
      <c r="A11" s="11" t="s">
        <v>4</v>
      </c>
      <c r="B11" s="12"/>
      <c r="C11" s="12"/>
      <c r="D11" s="13"/>
    </row>
    <row r="12" spans="1:4" x14ac:dyDescent="0.35">
      <c r="A12" s="11"/>
      <c r="B12" s="70" t="s">
        <v>5</v>
      </c>
      <c r="C12" s="70"/>
      <c r="D12" s="71"/>
    </row>
    <row r="13" spans="1:4" x14ac:dyDescent="0.35">
      <c r="A13" s="11"/>
      <c r="B13" s="70" t="s">
        <v>6</v>
      </c>
      <c r="C13" s="70"/>
      <c r="D13" s="71"/>
    </row>
    <row r="14" spans="1:4" x14ac:dyDescent="0.35">
      <c r="A14" s="11"/>
      <c r="B14" s="70" t="s">
        <v>7</v>
      </c>
      <c r="C14" s="70"/>
      <c r="D14" s="71"/>
    </row>
    <row r="15" spans="1:4" x14ac:dyDescent="0.35">
      <c r="A15" s="11"/>
      <c r="B15" s="12"/>
      <c r="C15" s="12"/>
      <c r="D15" s="13"/>
    </row>
    <row r="16" spans="1:4" x14ac:dyDescent="0.35">
      <c r="A16" s="11" t="s">
        <v>8</v>
      </c>
      <c r="B16" s="12"/>
      <c r="C16" s="12"/>
      <c r="D16" s="13"/>
    </row>
    <row r="17" spans="1:4" x14ac:dyDescent="0.35">
      <c r="A17" s="11"/>
      <c r="B17" s="70" t="s">
        <v>9</v>
      </c>
      <c r="C17" s="70"/>
      <c r="D17" s="71"/>
    </row>
    <row r="18" spans="1:4" x14ac:dyDescent="0.35">
      <c r="A18" s="11"/>
      <c r="B18" s="70" t="s">
        <v>10</v>
      </c>
      <c r="C18" s="70"/>
      <c r="D18" s="71"/>
    </row>
    <row r="19" spans="1:4" x14ac:dyDescent="0.35">
      <c r="A19" s="11"/>
      <c r="B19" s="70" t="s">
        <v>11</v>
      </c>
      <c r="C19" s="70"/>
      <c r="D19" s="71"/>
    </row>
    <row r="20" spans="1:4" x14ac:dyDescent="0.35">
      <c r="A20" s="11"/>
      <c r="B20" s="12"/>
      <c r="C20" s="12"/>
      <c r="D20" s="13"/>
    </row>
    <row r="21" spans="1:4" x14ac:dyDescent="0.35">
      <c r="A21" s="11" t="s">
        <v>12</v>
      </c>
      <c r="B21" s="12"/>
      <c r="C21" s="12"/>
      <c r="D21" s="13"/>
    </row>
    <row r="22" spans="1:4" x14ac:dyDescent="0.35">
      <c r="A22" s="11"/>
      <c r="B22" s="70" t="s">
        <v>13</v>
      </c>
      <c r="C22" s="70"/>
      <c r="D22" s="71"/>
    </row>
    <row r="23" spans="1:4" x14ac:dyDescent="0.35">
      <c r="A23" s="11"/>
      <c r="B23" s="70" t="s">
        <v>14</v>
      </c>
      <c r="C23" s="70"/>
      <c r="D23" s="71"/>
    </row>
    <row r="24" spans="1:4" x14ac:dyDescent="0.35">
      <c r="A24" s="11"/>
      <c r="B24" s="12"/>
      <c r="C24" s="12"/>
      <c r="D24" s="13"/>
    </row>
    <row r="25" spans="1:4" x14ac:dyDescent="0.35">
      <c r="A25" s="72" t="s">
        <v>15</v>
      </c>
      <c r="B25" s="70"/>
      <c r="C25" s="70"/>
      <c r="D25" s="71"/>
    </row>
    <row r="26" spans="1:4" x14ac:dyDescent="0.35">
      <c r="A26" s="11"/>
      <c r="B26" s="12"/>
      <c r="C26" s="12"/>
      <c r="D26" s="13"/>
    </row>
    <row r="27" spans="1:4" x14ac:dyDescent="0.35">
      <c r="A27" s="72" t="s">
        <v>16</v>
      </c>
      <c r="B27" s="70"/>
      <c r="C27" s="70"/>
      <c r="D27" s="71"/>
    </row>
    <row r="28" spans="1:4" ht="18.75" thickBot="1" x14ac:dyDescent="0.4">
      <c r="A28" s="14"/>
      <c r="B28" s="15"/>
      <c r="C28" s="15"/>
      <c r="D28" s="16"/>
    </row>
  </sheetData>
  <mergeCells count="15">
    <mergeCell ref="B12:D12"/>
    <mergeCell ref="A1:D1"/>
    <mergeCell ref="A3:D4"/>
    <mergeCell ref="A6:D6"/>
    <mergeCell ref="A8:D8"/>
    <mergeCell ref="B9:D9"/>
    <mergeCell ref="B23:D23"/>
    <mergeCell ref="A25:D25"/>
    <mergeCell ref="A27:D27"/>
    <mergeCell ref="B13:D13"/>
    <mergeCell ref="B14:D14"/>
    <mergeCell ref="B17:D17"/>
    <mergeCell ref="B18:D18"/>
    <mergeCell ref="B19:D19"/>
    <mergeCell ref="B22:D22"/>
  </mergeCells>
  <hyperlinks>
    <hyperlink ref="A6" location="Aguascalientes_EdoUsa!A1" display="1. Por Estados de USA"/>
    <hyperlink ref="A8" location="Aguascalientes_Cons_2018!A1" display="2. Por Circunscripción Consular"/>
    <hyperlink ref="B9" location="AguascalientesXCons2018!A1" display="2.1 Top ten por circunscripción consular"/>
    <hyperlink ref="B12" location="Aguascalientes_EdoMun!A1" display="3.1 Municipio general"/>
    <hyperlink ref="B13" location="Aguascalientes_USAMuni2016!A1" display="3.2 Por Estado de USA"/>
    <hyperlink ref="B14" location="Aguascalientes_MUNICIPIO!A1" display="3.3 Por Circunscripción Consular"/>
    <hyperlink ref="B17" location="Aguascalientes_educ_gral!A1" display="4.1 Educación general"/>
    <hyperlink ref="B18" location="Aguascalientes_NivelE_Cons!A1" display="4.2 Por Estado de USA"/>
    <hyperlink ref="B19" location="Aguascalientes_EducCons!A1" display="4.3 Por Circunscripción Consular"/>
    <hyperlink ref="B22" location="Aguascalientes_GenGral!A1" display="5.1 Género General"/>
    <hyperlink ref="B23" location="Aguascalientes_GENERO!A1" display="5.3 Por Circunscripción Consular"/>
    <hyperlink ref="A25" location="Aguascalientes_Gen_Edad!A1" display="6. Por estructura de Edad"/>
    <hyperlink ref="A27" location="Aguascalientes_ocup_gral!A1" display="7. Por Ocupación"/>
    <hyperlink ref="B13:D13" location="Colima_USAMuni!A1" display="3.2 Por Estado de USA"/>
    <hyperlink ref="A8:D8" location="Colima_Cons!A1" display="2. Por Circunscripción Consular"/>
    <hyperlink ref="B9:D9" location="ColimaXCons!A1" display="2.1 Top ten por circunscripción consular"/>
    <hyperlink ref="A6:D6" location="Colima_EdoUsa!A1" display="1. Por Estados de USA"/>
    <hyperlink ref="B12:D12" location="Colima_EdoMun!A1" display="3.1 Municipio general"/>
    <hyperlink ref="B14:D14" location="Colima_MUNICIPIO!A1" display="3.3 Por Circunscripción Consular"/>
    <hyperlink ref="B17:D17" location="Colima_educ_gral!A1" display="4.1 Educación general"/>
    <hyperlink ref="B18:D18" location="Colima_NivelE_Cons!A1" display="4.2 Por Estado de USA"/>
    <hyperlink ref="B19:D19" location="Colima_EducCons!A1" display="4.3 Por Circunscripción Consular"/>
    <hyperlink ref="B22:D22" location="Colima_GenGral!A1" display="5.1 Género General"/>
    <hyperlink ref="B23:D23" location="Colima_GENERO!A1" display="5.2 Por Circunscripción Consular"/>
    <hyperlink ref="A25:D25" location="Colima_Gen_Edad!A1" display="6. Por estructura de Edad"/>
    <hyperlink ref="A27:D27" location="Colima_ocup_gral!A1" display="7. Por Ocupación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D57"/>
  <sheetViews>
    <sheetView showGridLines="0" zoomScale="85" zoomScaleNormal="85" zoomScaleSheetLayoutView="115" workbookViewId="0">
      <selection activeCell="C1" sqref="C1"/>
    </sheetView>
  </sheetViews>
  <sheetFormatPr baseColWidth="10" defaultColWidth="11.42578125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 x14ac:dyDescent="0.2">
      <c r="C1" s="35"/>
    </row>
    <row r="2" spans="1:4" s="29" customFormat="1" ht="15" customHeight="1" x14ac:dyDescent="0.2">
      <c r="C2" s="35"/>
    </row>
    <row r="3" spans="1:4" s="29" customFormat="1" ht="15" customHeight="1" x14ac:dyDescent="0.2">
      <c r="A3" s="29" t="s">
        <v>63</v>
      </c>
      <c r="C3" s="35"/>
    </row>
    <row r="4" spans="1:4" s="29" customFormat="1" ht="30" customHeight="1" x14ac:dyDescent="0.2">
      <c r="C4" s="35"/>
      <c r="D4" s="34"/>
    </row>
    <row r="5" spans="1:4" s="29" customFormat="1" ht="15" customHeight="1" x14ac:dyDescent="0.2">
      <c r="C5" s="35"/>
      <c r="D5" s="34"/>
    </row>
    <row r="6" spans="1:4" s="29" customFormat="1" ht="15" customHeight="1" x14ac:dyDescent="0.2">
      <c r="C6" s="35"/>
      <c r="D6" s="34"/>
    </row>
    <row r="7" spans="1:4" s="29" customFormat="1" ht="15" customHeight="1" x14ac:dyDescent="0.2">
      <c r="B7" s="79" t="s">
        <v>193</v>
      </c>
      <c r="C7" s="79"/>
      <c r="D7" s="79"/>
    </row>
    <row r="8" spans="1:4" s="29" customFormat="1" ht="15" customHeight="1" x14ac:dyDescent="0.2">
      <c r="B8" s="79"/>
      <c r="C8" s="79"/>
      <c r="D8" s="79"/>
    </row>
    <row r="9" spans="1:4" s="29" customFormat="1" ht="33" customHeight="1" x14ac:dyDescent="0.2">
      <c r="B9" s="79"/>
      <c r="C9" s="79"/>
      <c r="D9" s="79"/>
    </row>
    <row r="10" spans="1:4" s="29" customFormat="1" ht="4.5" customHeight="1" x14ac:dyDescent="0.2">
      <c r="B10" s="33"/>
      <c r="C10" s="33"/>
      <c r="D10" s="33"/>
    </row>
    <row r="11" spans="1:4" s="29" customFormat="1" ht="33" customHeight="1" x14ac:dyDescent="0.2">
      <c r="B11" s="32" t="s">
        <v>62</v>
      </c>
      <c r="C11" s="31" t="s">
        <v>61</v>
      </c>
      <c r="D11" s="30" t="s">
        <v>60</v>
      </c>
    </row>
    <row r="12" spans="1:4" x14ac:dyDescent="0.25">
      <c r="B12" s="27" t="s">
        <v>59</v>
      </c>
      <c r="C12" s="26">
        <v>1610</v>
      </c>
      <c r="D12" s="25">
        <v>0.65393988627132416</v>
      </c>
    </row>
    <row r="13" spans="1:4" x14ac:dyDescent="0.25">
      <c r="B13" s="27" t="s">
        <v>58</v>
      </c>
      <c r="C13" s="26">
        <v>164</v>
      </c>
      <c r="D13" s="25">
        <v>6.6612510154346063E-2</v>
      </c>
    </row>
    <row r="14" spans="1:4" x14ac:dyDescent="0.25">
      <c r="B14" s="27" t="s">
        <v>57</v>
      </c>
      <c r="C14" s="26">
        <v>110</v>
      </c>
      <c r="D14" s="25">
        <v>4.4679122664500408E-2</v>
      </c>
    </row>
    <row r="15" spans="1:4" x14ac:dyDescent="0.25">
      <c r="B15" s="27" t="s">
        <v>55</v>
      </c>
      <c r="C15" s="26">
        <v>86</v>
      </c>
      <c r="D15" s="25">
        <v>3.4930950446791224E-2</v>
      </c>
    </row>
    <row r="16" spans="1:4" x14ac:dyDescent="0.25">
      <c r="B16" s="27" t="s">
        <v>56</v>
      </c>
      <c r="C16" s="26">
        <v>48</v>
      </c>
      <c r="D16" s="25">
        <v>1.949634443541836E-2</v>
      </c>
    </row>
    <row r="17" spans="2:4" x14ac:dyDescent="0.25">
      <c r="B17" s="27" t="s">
        <v>54</v>
      </c>
      <c r="C17" s="26">
        <v>45</v>
      </c>
      <c r="D17" s="25">
        <v>1.8277822908204712E-2</v>
      </c>
    </row>
    <row r="18" spans="2:4" x14ac:dyDescent="0.25">
      <c r="B18" s="27" t="s">
        <v>52</v>
      </c>
      <c r="C18" s="26">
        <v>40</v>
      </c>
      <c r="D18" s="25">
        <v>1.6246953696181964E-2</v>
      </c>
    </row>
    <row r="19" spans="2:4" x14ac:dyDescent="0.25">
      <c r="B19" s="27" t="s">
        <v>53</v>
      </c>
      <c r="C19" s="26">
        <v>40</v>
      </c>
      <c r="D19" s="25">
        <v>1.6246953696181964E-2</v>
      </c>
    </row>
    <row r="20" spans="2:4" x14ac:dyDescent="0.25">
      <c r="B20" s="27" t="s">
        <v>48</v>
      </c>
      <c r="C20" s="26">
        <v>36</v>
      </c>
      <c r="D20" s="25">
        <v>1.462225832656377E-2</v>
      </c>
    </row>
    <row r="21" spans="2:4" x14ac:dyDescent="0.25">
      <c r="B21" s="27" t="s">
        <v>46</v>
      </c>
      <c r="C21" s="26">
        <v>33</v>
      </c>
      <c r="D21" s="25">
        <v>1.3403736799350122E-2</v>
      </c>
    </row>
    <row r="22" spans="2:4" x14ac:dyDescent="0.25">
      <c r="B22" s="27" t="s">
        <v>49</v>
      </c>
      <c r="C22" s="26">
        <v>30</v>
      </c>
      <c r="D22" s="25">
        <v>1.2185215272136474E-2</v>
      </c>
    </row>
    <row r="23" spans="2:4" x14ac:dyDescent="0.25">
      <c r="B23" s="27" t="s">
        <v>50</v>
      </c>
      <c r="C23" s="26">
        <v>29</v>
      </c>
      <c r="D23" s="25">
        <v>1.1779041429731926E-2</v>
      </c>
    </row>
    <row r="24" spans="2:4" x14ac:dyDescent="0.25">
      <c r="B24" s="27" t="s">
        <v>47</v>
      </c>
      <c r="C24" s="26">
        <v>19</v>
      </c>
      <c r="D24" s="25">
        <v>7.717303005686434E-3</v>
      </c>
    </row>
    <row r="25" spans="2:4" x14ac:dyDescent="0.25">
      <c r="B25" s="27" t="s">
        <v>51</v>
      </c>
      <c r="C25" s="26">
        <v>18</v>
      </c>
      <c r="D25" s="25">
        <v>7.311129163281885E-3</v>
      </c>
    </row>
    <row r="26" spans="2:4" x14ac:dyDescent="0.25">
      <c r="B26" s="27" t="s">
        <v>44</v>
      </c>
      <c r="C26" s="26">
        <v>18</v>
      </c>
      <c r="D26" s="25">
        <v>7.311129163281885E-3</v>
      </c>
    </row>
    <row r="27" spans="2:4" x14ac:dyDescent="0.25">
      <c r="B27" s="27" t="s">
        <v>39</v>
      </c>
      <c r="C27" s="26">
        <v>14</v>
      </c>
      <c r="D27" s="25">
        <v>5.686433793663688E-3</v>
      </c>
    </row>
    <row r="28" spans="2:4" x14ac:dyDescent="0.25">
      <c r="B28" s="27" t="s">
        <v>38</v>
      </c>
      <c r="C28" s="26">
        <v>13</v>
      </c>
      <c r="D28" s="25">
        <v>5.280259951259139E-3</v>
      </c>
    </row>
    <row r="29" spans="2:4" x14ac:dyDescent="0.25">
      <c r="B29" s="27" t="s">
        <v>45</v>
      </c>
      <c r="C29" s="26">
        <v>10</v>
      </c>
      <c r="D29" s="25">
        <v>4.0617384240454911E-3</v>
      </c>
    </row>
    <row r="30" spans="2:4" x14ac:dyDescent="0.25">
      <c r="B30" s="27" t="s">
        <v>37</v>
      </c>
      <c r="C30" s="26">
        <v>9</v>
      </c>
      <c r="D30" s="25">
        <v>3.6555645816409425E-3</v>
      </c>
    </row>
    <row r="31" spans="2:4" x14ac:dyDescent="0.25">
      <c r="B31" s="27" t="s">
        <v>29</v>
      </c>
      <c r="C31" s="26">
        <v>9</v>
      </c>
      <c r="D31" s="25">
        <v>3.6555645816409425E-3</v>
      </c>
    </row>
    <row r="32" spans="2:4" x14ac:dyDescent="0.25">
      <c r="B32" s="27" t="s">
        <v>32</v>
      </c>
      <c r="C32" s="26">
        <v>9</v>
      </c>
      <c r="D32" s="25">
        <v>3.6555645816409425E-3</v>
      </c>
    </row>
    <row r="33" spans="2:4" x14ac:dyDescent="0.25">
      <c r="B33" s="27" t="s">
        <v>31</v>
      </c>
      <c r="C33" s="26">
        <v>9</v>
      </c>
      <c r="D33" s="25">
        <v>3.6555645816409425E-3</v>
      </c>
    </row>
    <row r="34" spans="2:4" x14ac:dyDescent="0.25">
      <c r="B34" s="27" t="s">
        <v>24</v>
      </c>
      <c r="C34" s="26">
        <v>9</v>
      </c>
      <c r="D34" s="25">
        <v>3.6555645816409425E-3</v>
      </c>
    </row>
    <row r="35" spans="2:4" x14ac:dyDescent="0.25">
      <c r="B35" s="27" t="s">
        <v>35</v>
      </c>
      <c r="C35" s="26">
        <v>8</v>
      </c>
      <c r="D35" s="25">
        <v>3.249390739236393E-3</v>
      </c>
    </row>
    <row r="36" spans="2:4" x14ac:dyDescent="0.25">
      <c r="B36" s="27" t="s">
        <v>43</v>
      </c>
      <c r="C36" s="26">
        <v>7</v>
      </c>
      <c r="D36" s="25">
        <v>2.843216896831844E-3</v>
      </c>
    </row>
    <row r="37" spans="2:4" x14ac:dyDescent="0.25">
      <c r="B37" s="27" t="s">
        <v>34</v>
      </c>
      <c r="C37" s="26">
        <v>6</v>
      </c>
      <c r="D37" s="25">
        <v>2.437043054427295E-3</v>
      </c>
    </row>
    <row r="38" spans="2:4" x14ac:dyDescent="0.25">
      <c r="B38" s="27" t="s">
        <v>36</v>
      </c>
      <c r="C38" s="26">
        <v>5</v>
      </c>
      <c r="D38" s="25">
        <v>2.0308692120227455E-3</v>
      </c>
    </row>
    <row r="39" spans="2:4" x14ac:dyDescent="0.25">
      <c r="B39" s="27" t="s">
        <v>40</v>
      </c>
      <c r="C39" s="26">
        <v>4</v>
      </c>
      <c r="D39" s="25">
        <v>1.6246953696181965E-3</v>
      </c>
    </row>
    <row r="40" spans="2:4" x14ac:dyDescent="0.25">
      <c r="B40" s="27" t="s">
        <v>26</v>
      </c>
      <c r="C40" s="26">
        <v>4</v>
      </c>
      <c r="D40" s="25">
        <v>1.6246953696181965E-3</v>
      </c>
    </row>
    <row r="41" spans="2:4" x14ac:dyDescent="0.25">
      <c r="B41" s="27" t="s">
        <v>25</v>
      </c>
      <c r="C41" s="26">
        <v>4</v>
      </c>
      <c r="D41" s="25">
        <v>1.6246953696181965E-3</v>
      </c>
    </row>
    <row r="42" spans="2:4" x14ac:dyDescent="0.25">
      <c r="B42" s="27" t="s">
        <v>41</v>
      </c>
      <c r="C42" s="26">
        <v>3</v>
      </c>
      <c r="D42" s="25">
        <v>1.2185215272136475E-3</v>
      </c>
    </row>
    <row r="43" spans="2:4" x14ac:dyDescent="0.25">
      <c r="B43" s="27" t="s">
        <v>33</v>
      </c>
      <c r="C43" s="26">
        <v>2</v>
      </c>
      <c r="D43" s="25">
        <v>8.1234768480909826E-4</v>
      </c>
    </row>
    <row r="44" spans="2:4" x14ac:dyDescent="0.25">
      <c r="B44" s="27" t="s">
        <v>28</v>
      </c>
      <c r="C44" s="26">
        <v>2</v>
      </c>
      <c r="D44" s="25">
        <v>8.1234768480909826E-4</v>
      </c>
    </row>
    <row r="45" spans="2:4" x14ac:dyDescent="0.25">
      <c r="B45" s="27" t="s">
        <v>30</v>
      </c>
      <c r="C45" s="26">
        <v>2</v>
      </c>
      <c r="D45" s="25">
        <v>8.1234768480909826E-4</v>
      </c>
    </row>
    <row r="46" spans="2:4" x14ac:dyDescent="0.25">
      <c r="B46" s="27" t="s">
        <v>27</v>
      </c>
      <c r="C46" s="26">
        <v>2</v>
      </c>
      <c r="D46" s="25">
        <v>8.1234768480909826E-4</v>
      </c>
    </row>
    <row r="47" spans="2:4" x14ac:dyDescent="0.25">
      <c r="B47" s="27" t="s">
        <v>23</v>
      </c>
      <c r="C47" s="26">
        <v>2</v>
      </c>
      <c r="D47" s="25">
        <v>8.1234768480909826E-4</v>
      </c>
    </row>
    <row r="48" spans="2:4" x14ac:dyDescent="0.25">
      <c r="B48" s="27" t="s">
        <v>22</v>
      </c>
      <c r="C48" s="26">
        <v>1</v>
      </c>
      <c r="D48" s="25">
        <v>4.0617384240454913E-4</v>
      </c>
    </row>
    <row r="49" spans="2:4" x14ac:dyDescent="0.25">
      <c r="B49" s="27" t="s">
        <v>21</v>
      </c>
      <c r="C49" s="26">
        <v>1</v>
      </c>
      <c r="D49" s="25">
        <v>4.0617384240454913E-4</v>
      </c>
    </row>
    <row r="50" spans="2:4" x14ac:dyDescent="0.25">
      <c r="B50" s="27" t="s">
        <v>42</v>
      </c>
      <c r="C50" s="26">
        <v>1</v>
      </c>
      <c r="D50" s="25">
        <v>4.0617384240454913E-4</v>
      </c>
    </row>
    <row r="51" spans="2:4" x14ac:dyDescent="0.25">
      <c r="B51" s="24" t="s">
        <v>20</v>
      </c>
      <c r="C51" s="23">
        <v>2462</v>
      </c>
      <c r="D51" s="22">
        <v>1</v>
      </c>
    </row>
    <row r="53" spans="2:4" x14ac:dyDescent="0.25">
      <c r="B53" s="19" t="s">
        <v>191</v>
      </c>
    </row>
    <row r="54" spans="2:4" x14ac:dyDescent="0.25">
      <c r="B54" s="21" t="s">
        <v>19</v>
      </c>
    </row>
    <row r="55" spans="2:4" x14ac:dyDescent="0.25">
      <c r="B55" s="20" t="s">
        <v>18</v>
      </c>
    </row>
    <row r="56" spans="2:4" x14ac:dyDescent="0.25">
      <c r="B56" s="19" t="s">
        <v>17</v>
      </c>
    </row>
    <row r="57" spans="2:4" x14ac:dyDescent="0.25">
      <c r="B57" s="19" t="s">
        <v>192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D64"/>
  <sheetViews>
    <sheetView showGridLines="0" zoomScaleNormal="100" zoomScaleSheetLayoutView="115" workbookViewId="0">
      <selection activeCell="D1" sqref="D1"/>
    </sheetView>
  </sheetViews>
  <sheetFormatPr baseColWidth="10" defaultColWidth="11.42578125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 x14ac:dyDescent="0.2">
      <c r="C1" s="35"/>
    </row>
    <row r="2" spans="1:4" s="29" customFormat="1" ht="15" customHeight="1" x14ac:dyDescent="0.2">
      <c r="C2" s="35"/>
    </row>
    <row r="3" spans="1:4" s="29" customFormat="1" ht="15" customHeight="1" x14ac:dyDescent="0.2">
      <c r="A3" s="29" t="s">
        <v>63</v>
      </c>
      <c r="C3" s="35"/>
    </row>
    <row r="4" spans="1:4" s="29" customFormat="1" ht="30" customHeight="1" x14ac:dyDescent="0.2">
      <c r="C4" s="35"/>
      <c r="D4" s="34"/>
    </row>
    <row r="5" spans="1:4" s="29" customFormat="1" ht="15" customHeight="1" x14ac:dyDescent="0.2">
      <c r="C5" s="35"/>
      <c r="D5" s="34"/>
    </row>
    <row r="6" spans="1:4" s="29" customFormat="1" ht="15" customHeight="1" x14ac:dyDescent="0.2">
      <c r="C6" s="35"/>
      <c r="D6" s="34"/>
    </row>
    <row r="7" spans="1:4" s="29" customFormat="1" ht="15" customHeight="1" x14ac:dyDescent="0.2">
      <c r="B7" s="79" t="s">
        <v>200</v>
      </c>
      <c r="C7" s="79"/>
      <c r="D7" s="79"/>
    </row>
    <row r="8" spans="1:4" s="29" customFormat="1" ht="15" customHeight="1" x14ac:dyDescent="0.2">
      <c r="B8" s="79"/>
      <c r="C8" s="79"/>
      <c r="D8" s="79"/>
    </row>
    <row r="9" spans="1:4" s="29" customFormat="1" ht="33" customHeight="1" x14ac:dyDescent="0.2">
      <c r="B9" s="79"/>
      <c r="C9" s="79"/>
      <c r="D9" s="79"/>
    </row>
    <row r="10" spans="1:4" s="29" customFormat="1" ht="4.5" customHeight="1" x14ac:dyDescent="0.2">
      <c r="B10" s="33"/>
      <c r="C10" s="33"/>
      <c r="D10" s="33"/>
    </row>
    <row r="11" spans="1:4" s="29" customFormat="1" ht="33" customHeight="1" x14ac:dyDescent="0.2">
      <c r="B11" s="32" t="s">
        <v>109</v>
      </c>
      <c r="C11" s="31" t="s">
        <v>61</v>
      </c>
      <c r="D11" s="30" t="s">
        <v>60</v>
      </c>
    </row>
    <row r="12" spans="1:4" x14ac:dyDescent="0.25">
      <c r="B12" s="27" t="s">
        <v>102</v>
      </c>
      <c r="C12" s="26">
        <v>448</v>
      </c>
      <c r="D12" s="25">
        <v>0.18196588139723802</v>
      </c>
    </row>
    <row r="13" spans="1:4" x14ac:dyDescent="0.25">
      <c r="B13" s="27" t="s">
        <v>152</v>
      </c>
      <c r="C13" s="26">
        <v>439</v>
      </c>
      <c r="D13" s="25">
        <v>0.17831031681559709</v>
      </c>
    </row>
    <row r="14" spans="1:4" x14ac:dyDescent="0.25">
      <c r="B14" s="27" t="s">
        <v>100</v>
      </c>
      <c r="C14" s="26">
        <v>209</v>
      </c>
      <c r="D14" s="25">
        <v>8.4890333062550768E-2</v>
      </c>
    </row>
    <row r="15" spans="1:4" x14ac:dyDescent="0.25">
      <c r="B15" s="27" t="s">
        <v>93</v>
      </c>
      <c r="C15" s="26">
        <v>148</v>
      </c>
      <c r="D15" s="25">
        <v>6.0113728675873272E-2</v>
      </c>
    </row>
    <row r="16" spans="1:4" x14ac:dyDescent="0.25">
      <c r="B16" s="27" t="s">
        <v>150</v>
      </c>
      <c r="C16" s="26">
        <v>129</v>
      </c>
      <c r="D16" s="25">
        <v>5.239642567018684E-2</v>
      </c>
    </row>
    <row r="17" spans="2:4" x14ac:dyDescent="0.25">
      <c r="B17" s="27" t="s">
        <v>92</v>
      </c>
      <c r="C17" s="26">
        <v>109</v>
      </c>
      <c r="D17" s="25">
        <v>4.4272948822095856E-2</v>
      </c>
    </row>
    <row r="18" spans="2:4" x14ac:dyDescent="0.25">
      <c r="B18" s="27" t="s">
        <v>107</v>
      </c>
      <c r="C18" s="26">
        <v>97</v>
      </c>
      <c r="D18" s="25">
        <v>3.9398862713241264E-2</v>
      </c>
    </row>
    <row r="19" spans="2:4" x14ac:dyDescent="0.25">
      <c r="B19" s="27" t="s">
        <v>97</v>
      </c>
      <c r="C19" s="26">
        <v>77</v>
      </c>
      <c r="D19" s="25">
        <v>3.1275385865150288E-2</v>
      </c>
    </row>
    <row r="20" spans="2:4" x14ac:dyDescent="0.25">
      <c r="B20" s="27" t="s">
        <v>99</v>
      </c>
      <c r="C20" s="26">
        <v>67</v>
      </c>
      <c r="D20" s="25">
        <v>2.7213647441104792E-2</v>
      </c>
    </row>
    <row r="21" spans="2:4" x14ac:dyDescent="0.25">
      <c r="B21" s="27" t="s">
        <v>106</v>
      </c>
      <c r="C21" s="26">
        <v>64</v>
      </c>
      <c r="D21" s="25">
        <v>2.5995125913891144E-2</v>
      </c>
    </row>
    <row r="22" spans="2:4" x14ac:dyDescent="0.25">
      <c r="B22" s="27" t="s">
        <v>105</v>
      </c>
      <c r="C22" s="26">
        <v>59</v>
      </c>
      <c r="D22" s="25">
        <v>2.39642567018684E-2</v>
      </c>
    </row>
    <row r="23" spans="2:4" x14ac:dyDescent="0.25">
      <c r="B23" s="27" t="s">
        <v>91</v>
      </c>
      <c r="C23" s="26">
        <v>50</v>
      </c>
      <c r="D23" s="25">
        <v>2.0308692120227456E-2</v>
      </c>
    </row>
    <row r="24" spans="2:4" x14ac:dyDescent="0.25">
      <c r="B24" s="27" t="s">
        <v>80</v>
      </c>
      <c r="C24" s="26">
        <v>47</v>
      </c>
      <c r="D24" s="25">
        <v>1.9090170593013808E-2</v>
      </c>
    </row>
    <row r="25" spans="2:4" x14ac:dyDescent="0.25">
      <c r="B25" s="27" t="s">
        <v>83</v>
      </c>
      <c r="C25" s="26">
        <v>46</v>
      </c>
      <c r="D25" s="25">
        <v>1.868399675060926E-2</v>
      </c>
    </row>
    <row r="26" spans="2:4" x14ac:dyDescent="0.25">
      <c r="B26" s="27" t="s">
        <v>77</v>
      </c>
      <c r="C26" s="26">
        <v>45</v>
      </c>
      <c r="D26" s="25">
        <v>1.8277822908204712E-2</v>
      </c>
    </row>
    <row r="27" spans="2:4" x14ac:dyDescent="0.25">
      <c r="B27" s="27" t="s">
        <v>84</v>
      </c>
      <c r="C27" s="26">
        <v>44</v>
      </c>
      <c r="D27" s="25">
        <v>1.7871649065800164E-2</v>
      </c>
    </row>
    <row r="28" spans="2:4" x14ac:dyDescent="0.25">
      <c r="B28" s="27" t="s">
        <v>101</v>
      </c>
      <c r="C28" s="26">
        <v>42</v>
      </c>
      <c r="D28" s="25">
        <v>1.7059301380991064E-2</v>
      </c>
    </row>
    <row r="29" spans="2:4" x14ac:dyDescent="0.25">
      <c r="B29" s="27" t="s">
        <v>70</v>
      </c>
      <c r="C29" s="26">
        <v>38</v>
      </c>
      <c r="D29" s="25">
        <v>1.5434606011372868E-2</v>
      </c>
    </row>
    <row r="30" spans="2:4" x14ac:dyDescent="0.25">
      <c r="B30" s="27" t="s">
        <v>79</v>
      </c>
      <c r="C30" s="26">
        <v>33</v>
      </c>
      <c r="D30" s="25">
        <v>1.3403736799350122E-2</v>
      </c>
    </row>
    <row r="31" spans="2:4" x14ac:dyDescent="0.25">
      <c r="B31" s="27" t="s">
        <v>89</v>
      </c>
      <c r="C31" s="26">
        <v>32</v>
      </c>
      <c r="D31" s="25">
        <v>1.2997562956945572E-2</v>
      </c>
    </row>
    <row r="32" spans="2:4" x14ac:dyDescent="0.25">
      <c r="B32" s="27" t="s">
        <v>104</v>
      </c>
      <c r="C32" s="26">
        <v>23</v>
      </c>
      <c r="D32" s="25">
        <v>9.3419983753046301E-3</v>
      </c>
    </row>
    <row r="33" spans="2:4" x14ac:dyDescent="0.25">
      <c r="B33" s="27" t="s">
        <v>85</v>
      </c>
      <c r="C33" s="26">
        <v>22</v>
      </c>
      <c r="D33" s="25">
        <v>8.9358245329000819E-3</v>
      </c>
    </row>
    <row r="34" spans="2:4" x14ac:dyDescent="0.25">
      <c r="B34" s="27" t="s">
        <v>76</v>
      </c>
      <c r="C34" s="26">
        <v>22</v>
      </c>
      <c r="D34" s="25">
        <v>8.9358245329000819E-3</v>
      </c>
    </row>
    <row r="35" spans="2:4" x14ac:dyDescent="0.25">
      <c r="B35" s="27" t="s">
        <v>153</v>
      </c>
      <c r="C35" s="26">
        <v>18</v>
      </c>
      <c r="D35" s="25">
        <v>7.311129163281885E-3</v>
      </c>
    </row>
    <row r="36" spans="2:4" x14ac:dyDescent="0.25">
      <c r="B36" s="27" t="s">
        <v>95</v>
      </c>
      <c r="C36" s="26">
        <v>17</v>
      </c>
      <c r="D36" s="25">
        <v>6.9049553208773351E-3</v>
      </c>
    </row>
    <row r="37" spans="2:4" x14ac:dyDescent="0.25">
      <c r="B37" s="27" t="s">
        <v>96</v>
      </c>
      <c r="C37" s="26">
        <v>15</v>
      </c>
      <c r="D37" s="25">
        <v>6.092607636068237E-3</v>
      </c>
    </row>
    <row r="38" spans="2:4" x14ac:dyDescent="0.25">
      <c r="B38" s="27" t="s">
        <v>78</v>
      </c>
      <c r="C38" s="26">
        <v>15</v>
      </c>
      <c r="D38" s="25">
        <v>6.092607636068237E-3</v>
      </c>
    </row>
    <row r="39" spans="2:4" x14ac:dyDescent="0.25">
      <c r="B39" s="27" t="s">
        <v>82</v>
      </c>
      <c r="C39" s="26">
        <v>12</v>
      </c>
      <c r="D39" s="25">
        <v>4.87408610885459E-3</v>
      </c>
    </row>
    <row r="40" spans="2:4" x14ac:dyDescent="0.25">
      <c r="B40" s="27" t="s">
        <v>103</v>
      </c>
      <c r="C40" s="26">
        <v>12</v>
      </c>
      <c r="D40" s="25">
        <v>4.87408610885459E-3</v>
      </c>
    </row>
    <row r="41" spans="2:4" x14ac:dyDescent="0.25">
      <c r="B41" s="27" t="s">
        <v>88</v>
      </c>
      <c r="C41" s="26">
        <v>12</v>
      </c>
      <c r="D41" s="25">
        <v>4.87408610885459E-3</v>
      </c>
    </row>
    <row r="42" spans="2:4" x14ac:dyDescent="0.25">
      <c r="B42" s="27" t="s">
        <v>94</v>
      </c>
      <c r="C42" s="26">
        <v>11</v>
      </c>
      <c r="D42" s="25">
        <v>4.4679122664500409E-3</v>
      </c>
    </row>
    <row r="43" spans="2:4" x14ac:dyDescent="0.25">
      <c r="B43" s="27" t="s">
        <v>151</v>
      </c>
      <c r="C43" s="26">
        <v>10</v>
      </c>
      <c r="D43" s="25">
        <v>4.0617384240454911E-3</v>
      </c>
    </row>
    <row r="44" spans="2:4" x14ac:dyDescent="0.25">
      <c r="B44" s="27" t="s">
        <v>75</v>
      </c>
      <c r="C44" s="26">
        <v>9</v>
      </c>
      <c r="D44" s="25">
        <v>3.6555645816409425E-3</v>
      </c>
    </row>
    <row r="45" spans="2:4" x14ac:dyDescent="0.25">
      <c r="B45" s="27" t="s">
        <v>67</v>
      </c>
      <c r="C45" s="26">
        <v>7</v>
      </c>
      <c r="D45" s="25">
        <v>2.843216896831844E-3</v>
      </c>
    </row>
    <row r="46" spans="2:4" x14ac:dyDescent="0.25">
      <c r="B46" s="27" t="s">
        <v>81</v>
      </c>
      <c r="C46" s="26">
        <v>6</v>
      </c>
      <c r="D46" s="25">
        <v>2.437043054427295E-3</v>
      </c>
    </row>
    <row r="47" spans="2:4" x14ac:dyDescent="0.25">
      <c r="B47" s="27" t="s">
        <v>68</v>
      </c>
      <c r="C47" s="26">
        <v>6</v>
      </c>
      <c r="D47" s="25">
        <v>2.437043054427295E-3</v>
      </c>
    </row>
    <row r="48" spans="2:4" x14ac:dyDescent="0.25">
      <c r="B48" s="27" t="s">
        <v>71</v>
      </c>
      <c r="C48" s="26">
        <v>5</v>
      </c>
      <c r="D48" s="25">
        <v>2.0308692120227455E-3</v>
      </c>
    </row>
    <row r="49" spans="2:4" x14ac:dyDescent="0.25">
      <c r="B49" s="27" t="s">
        <v>72</v>
      </c>
      <c r="C49" s="26">
        <v>4</v>
      </c>
      <c r="D49" s="25">
        <v>1.6246953696181965E-3</v>
      </c>
    </row>
    <row r="50" spans="2:4" x14ac:dyDescent="0.25">
      <c r="B50" s="27" t="s">
        <v>86</v>
      </c>
      <c r="C50" s="26">
        <v>3</v>
      </c>
      <c r="D50" s="25">
        <v>1.2185215272136475E-3</v>
      </c>
    </row>
    <row r="51" spans="2:4" x14ac:dyDescent="0.25">
      <c r="B51" s="27" t="s">
        <v>74</v>
      </c>
      <c r="C51" s="26">
        <v>3</v>
      </c>
      <c r="D51" s="25">
        <v>1.2185215272136475E-3</v>
      </c>
    </row>
    <row r="52" spans="2:4" x14ac:dyDescent="0.25">
      <c r="B52" s="27" t="s">
        <v>66</v>
      </c>
      <c r="C52" s="26">
        <v>2</v>
      </c>
      <c r="D52" s="25">
        <v>8.1234768480909826E-4</v>
      </c>
    </row>
    <row r="53" spans="2:4" x14ac:dyDescent="0.25">
      <c r="B53" s="27" t="s">
        <v>154</v>
      </c>
      <c r="C53" s="26">
        <v>1</v>
      </c>
      <c r="D53" s="25">
        <v>4.0617384240454913E-4</v>
      </c>
    </row>
    <row r="54" spans="2:4" x14ac:dyDescent="0.25">
      <c r="B54" s="27" t="s">
        <v>198</v>
      </c>
      <c r="C54" s="26">
        <v>1</v>
      </c>
      <c r="D54" s="25">
        <v>4.0617384240454913E-4</v>
      </c>
    </row>
    <row r="55" spans="2:4" x14ac:dyDescent="0.25">
      <c r="B55" s="27" t="s">
        <v>73</v>
      </c>
      <c r="C55" s="26">
        <v>1</v>
      </c>
      <c r="D55" s="25">
        <v>4.0617384240454913E-4</v>
      </c>
    </row>
    <row r="56" spans="2:4" x14ac:dyDescent="0.25">
      <c r="B56" s="27" t="s">
        <v>69</v>
      </c>
      <c r="C56" s="26">
        <v>1</v>
      </c>
      <c r="D56" s="25">
        <v>4.0617384240454913E-4</v>
      </c>
    </row>
    <row r="57" spans="2:4" x14ac:dyDescent="0.25">
      <c r="B57" s="27" t="s">
        <v>56</v>
      </c>
      <c r="C57" s="26">
        <v>1</v>
      </c>
      <c r="D57" s="25">
        <v>4.0617384240454913E-4</v>
      </c>
    </row>
    <row r="58" spans="2:4" x14ac:dyDescent="0.25">
      <c r="B58" s="24" t="s">
        <v>20</v>
      </c>
      <c r="C58" s="23">
        <v>2462</v>
      </c>
      <c r="D58" s="22">
        <v>1</v>
      </c>
    </row>
    <row r="60" spans="2:4" x14ac:dyDescent="0.25">
      <c r="B60" s="19" t="s">
        <v>191</v>
      </c>
    </row>
    <row r="61" spans="2:4" x14ac:dyDescent="0.25">
      <c r="B61" s="21" t="s">
        <v>19</v>
      </c>
    </row>
    <row r="62" spans="2:4" x14ac:dyDescent="0.25">
      <c r="B62" s="20" t="s">
        <v>18</v>
      </c>
    </row>
    <row r="63" spans="2:4" x14ac:dyDescent="0.25">
      <c r="B63" s="19" t="s">
        <v>17</v>
      </c>
    </row>
    <row r="64" spans="2:4" x14ac:dyDescent="0.25">
      <c r="B64" s="19" t="s">
        <v>192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D28"/>
  <sheetViews>
    <sheetView showGridLines="0" zoomScaleNormal="100" zoomScaleSheetLayoutView="115" workbookViewId="0">
      <selection activeCell="D11" sqref="D11"/>
    </sheetView>
  </sheetViews>
  <sheetFormatPr baseColWidth="10" defaultColWidth="11.42578125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 x14ac:dyDescent="0.2">
      <c r="C1" s="35"/>
    </row>
    <row r="2" spans="1:4" s="29" customFormat="1" ht="15" customHeight="1" x14ac:dyDescent="0.2">
      <c r="C2" s="35"/>
    </row>
    <row r="3" spans="1:4" s="29" customFormat="1" ht="15" customHeight="1" x14ac:dyDescent="0.2">
      <c r="A3" s="29" t="s">
        <v>63</v>
      </c>
      <c r="C3" s="35"/>
    </row>
    <row r="4" spans="1:4" s="29" customFormat="1" ht="30" customHeight="1" x14ac:dyDescent="0.2">
      <c r="C4" s="35"/>
      <c r="D4" s="34"/>
    </row>
    <row r="5" spans="1:4" s="29" customFormat="1" ht="15" customHeight="1" x14ac:dyDescent="0.2">
      <c r="C5" s="35"/>
      <c r="D5" s="34"/>
    </row>
    <row r="6" spans="1:4" s="29" customFormat="1" ht="15" customHeight="1" x14ac:dyDescent="0.2">
      <c r="C6" s="35"/>
      <c r="D6" s="34"/>
    </row>
    <row r="7" spans="1:4" s="29" customFormat="1" ht="15" customHeight="1" x14ac:dyDescent="0.2">
      <c r="B7" s="79" t="s">
        <v>200</v>
      </c>
      <c r="C7" s="79"/>
      <c r="D7" s="79"/>
    </row>
    <row r="8" spans="1:4" s="29" customFormat="1" ht="15" customHeight="1" x14ac:dyDescent="0.2">
      <c r="B8" s="79"/>
      <c r="C8" s="79"/>
      <c r="D8" s="79"/>
    </row>
    <row r="9" spans="1:4" s="29" customFormat="1" ht="33" customHeight="1" x14ac:dyDescent="0.2">
      <c r="B9" s="79"/>
      <c r="C9" s="79"/>
      <c r="D9" s="79"/>
    </row>
    <row r="10" spans="1:4" s="29" customFormat="1" ht="4.5" customHeight="1" x14ac:dyDescent="0.2">
      <c r="B10" s="33"/>
      <c r="C10" s="33"/>
      <c r="D10" s="33"/>
    </row>
    <row r="11" spans="1:4" s="29" customFormat="1" ht="33" customHeight="1" x14ac:dyDescent="0.2">
      <c r="B11" s="32" t="s">
        <v>109</v>
      </c>
      <c r="C11" s="31" t="s">
        <v>61</v>
      </c>
      <c r="D11" s="30" t="s">
        <v>60</v>
      </c>
    </row>
    <row r="12" spans="1:4" ht="15" customHeight="1" x14ac:dyDescent="0.25">
      <c r="B12" s="27" t="s">
        <v>102</v>
      </c>
      <c r="C12" s="26">
        <v>448</v>
      </c>
      <c r="D12" s="25">
        <f t="shared" ref="D12:D22" si="0">C12/$C$22</f>
        <v>0.2506994963626189</v>
      </c>
    </row>
    <row r="13" spans="1:4" x14ac:dyDescent="0.25">
      <c r="B13" s="27" t="s">
        <v>108</v>
      </c>
      <c r="C13" s="26">
        <v>439</v>
      </c>
      <c r="D13" s="25">
        <f t="shared" si="0"/>
        <v>0.24566312255176273</v>
      </c>
    </row>
    <row r="14" spans="1:4" s="28" customFormat="1" ht="15.75" x14ac:dyDescent="0.25">
      <c r="A14" s="17"/>
      <c r="B14" s="27" t="s">
        <v>100</v>
      </c>
      <c r="C14" s="26">
        <v>209</v>
      </c>
      <c r="D14" s="25">
        <f t="shared" si="0"/>
        <v>0.11695579182988249</v>
      </c>
    </row>
    <row r="15" spans="1:4" s="28" customFormat="1" ht="15.75" x14ac:dyDescent="0.25">
      <c r="A15" s="17"/>
      <c r="B15" s="27" t="s">
        <v>93</v>
      </c>
      <c r="C15" s="26">
        <v>148</v>
      </c>
      <c r="D15" s="25">
        <f t="shared" si="0"/>
        <v>8.2820369334079463E-2</v>
      </c>
    </row>
    <row r="16" spans="1:4" x14ac:dyDescent="0.25">
      <c r="B16" s="27" t="s">
        <v>98</v>
      </c>
      <c r="C16" s="26">
        <v>129</v>
      </c>
      <c r="D16" s="25">
        <f t="shared" si="0"/>
        <v>7.218802462227196E-2</v>
      </c>
    </row>
    <row r="17" spans="2:4" x14ac:dyDescent="0.25">
      <c r="B17" s="27" t="s">
        <v>92</v>
      </c>
      <c r="C17" s="26">
        <v>109</v>
      </c>
      <c r="D17" s="25">
        <f t="shared" si="0"/>
        <v>6.0996082820369335E-2</v>
      </c>
    </row>
    <row r="18" spans="2:4" x14ac:dyDescent="0.25">
      <c r="B18" s="27" t="s">
        <v>107</v>
      </c>
      <c r="C18" s="26">
        <v>97</v>
      </c>
      <c r="D18" s="25">
        <f t="shared" si="0"/>
        <v>5.4280917739227753E-2</v>
      </c>
    </row>
    <row r="19" spans="2:4" x14ac:dyDescent="0.25">
      <c r="B19" s="27" t="s">
        <v>97</v>
      </c>
      <c r="C19" s="26">
        <v>77</v>
      </c>
      <c r="D19" s="25">
        <f t="shared" si="0"/>
        <v>4.3088975937325129E-2</v>
      </c>
    </row>
    <row r="20" spans="2:4" x14ac:dyDescent="0.25">
      <c r="B20" s="27" t="s">
        <v>99</v>
      </c>
      <c r="C20" s="26">
        <v>67</v>
      </c>
      <c r="D20" s="25">
        <f t="shared" si="0"/>
        <v>3.749300503637381E-2</v>
      </c>
    </row>
    <row r="21" spans="2:4" x14ac:dyDescent="0.25">
      <c r="B21" s="27" t="s">
        <v>106</v>
      </c>
      <c r="C21" s="26">
        <v>64</v>
      </c>
      <c r="D21" s="25">
        <f t="shared" si="0"/>
        <v>3.5814213766088419E-2</v>
      </c>
    </row>
    <row r="22" spans="2:4" x14ac:dyDescent="0.25">
      <c r="B22" s="24" t="s">
        <v>155</v>
      </c>
      <c r="C22" s="23">
        <f>SUM(C12:C21)</f>
        <v>1787</v>
      </c>
      <c r="D22" s="22">
        <f t="shared" si="0"/>
        <v>1</v>
      </c>
    </row>
    <row r="24" spans="2:4" x14ac:dyDescent="0.25">
      <c r="B24" s="19" t="s">
        <v>191</v>
      </c>
    </row>
    <row r="25" spans="2:4" x14ac:dyDescent="0.25">
      <c r="B25" s="21" t="s">
        <v>19</v>
      </c>
    </row>
    <row r="26" spans="2:4" x14ac:dyDescent="0.25">
      <c r="B26" s="20" t="s">
        <v>18</v>
      </c>
    </row>
    <row r="27" spans="2:4" x14ac:dyDescent="0.25">
      <c r="B27" s="19" t="s">
        <v>17</v>
      </c>
    </row>
    <row r="28" spans="2:4" x14ac:dyDescent="0.25">
      <c r="B28" s="19" t="s">
        <v>192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D28"/>
  <sheetViews>
    <sheetView showGridLines="0" zoomScale="85" zoomScaleNormal="85" zoomScaleSheetLayoutView="115" workbookViewId="0">
      <selection activeCell="I1" sqref="I1"/>
    </sheetView>
  </sheetViews>
  <sheetFormatPr baseColWidth="10" defaultColWidth="11.42578125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 x14ac:dyDescent="0.2">
      <c r="C1" s="35"/>
    </row>
    <row r="2" spans="1:4" s="29" customFormat="1" ht="15" customHeight="1" x14ac:dyDescent="0.2">
      <c r="C2" s="35"/>
    </row>
    <row r="3" spans="1:4" s="29" customFormat="1" ht="15" customHeight="1" x14ac:dyDescent="0.2">
      <c r="A3" s="29" t="s">
        <v>63</v>
      </c>
      <c r="C3" s="35"/>
    </row>
    <row r="4" spans="1:4" s="29" customFormat="1" ht="30" customHeight="1" x14ac:dyDescent="0.2">
      <c r="C4" s="35"/>
      <c r="D4" s="34"/>
    </row>
    <row r="5" spans="1:4" s="29" customFormat="1" ht="15" customHeight="1" x14ac:dyDescent="0.2">
      <c r="C5" s="35"/>
      <c r="D5" s="34"/>
    </row>
    <row r="6" spans="1:4" s="29" customFormat="1" ht="15" customHeight="1" x14ac:dyDescent="0.2">
      <c r="C6" s="35"/>
      <c r="D6" s="34"/>
    </row>
    <row r="7" spans="1:4" s="29" customFormat="1" ht="15" customHeight="1" x14ac:dyDescent="0.2">
      <c r="B7" s="79" t="s">
        <v>194</v>
      </c>
      <c r="C7" s="79"/>
      <c r="D7" s="79"/>
    </row>
    <row r="8" spans="1:4" s="29" customFormat="1" ht="15" customHeight="1" x14ac:dyDescent="0.2">
      <c r="B8" s="79"/>
      <c r="C8" s="79"/>
      <c r="D8" s="79"/>
    </row>
    <row r="9" spans="1:4" s="29" customFormat="1" ht="33" customHeight="1" x14ac:dyDescent="0.2">
      <c r="B9" s="79"/>
      <c r="C9" s="79"/>
      <c r="D9" s="79"/>
    </row>
    <row r="10" spans="1:4" s="29" customFormat="1" ht="4.5" customHeight="1" x14ac:dyDescent="0.2">
      <c r="B10" s="33"/>
      <c r="C10" s="33"/>
      <c r="D10" s="33"/>
    </row>
    <row r="11" spans="1:4" s="29" customFormat="1" ht="33" customHeight="1" x14ac:dyDescent="0.2">
      <c r="B11" s="32" t="s">
        <v>120</v>
      </c>
      <c r="C11" s="31" t="s">
        <v>61</v>
      </c>
      <c r="D11" s="30" t="s">
        <v>60</v>
      </c>
    </row>
    <row r="12" spans="1:4" x14ac:dyDescent="0.25">
      <c r="B12" s="27" t="s">
        <v>119</v>
      </c>
      <c r="C12" s="26">
        <v>691</v>
      </c>
      <c r="D12" s="25">
        <v>0.28066612510154348</v>
      </c>
    </row>
    <row r="13" spans="1:4" x14ac:dyDescent="0.25">
      <c r="B13" s="27" t="s">
        <v>118</v>
      </c>
      <c r="C13" s="26">
        <v>686</v>
      </c>
      <c r="D13" s="25">
        <v>0.27863525588952071</v>
      </c>
    </row>
    <row r="14" spans="1:4" x14ac:dyDescent="0.25">
      <c r="B14" s="27" t="s">
        <v>117</v>
      </c>
      <c r="C14" s="26">
        <v>460</v>
      </c>
      <c r="D14" s="25">
        <v>0.18683996750609261</v>
      </c>
    </row>
    <row r="15" spans="1:4" x14ac:dyDescent="0.25">
      <c r="B15" s="27" t="s">
        <v>116</v>
      </c>
      <c r="C15" s="26">
        <v>130</v>
      </c>
      <c r="D15" s="25">
        <v>5.2802599512591392E-2</v>
      </c>
    </row>
    <row r="16" spans="1:4" x14ac:dyDescent="0.25">
      <c r="B16" s="27" t="s">
        <v>115</v>
      </c>
      <c r="C16" s="26">
        <v>113</v>
      </c>
      <c r="D16" s="25">
        <v>4.5897644191714056E-2</v>
      </c>
    </row>
    <row r="17" spans="2:4" x14ac:dyDescent="0.25">
      <c r="B17" s="27" t="s">
        <v>113</v>
      </c>
      <c r="C17" s="26">
        <v>103</v>
      </c>
      <c r="D17" s="25">
        <v>4.183590576766856E-2</v>
      </c>
    </row>
    <row r="18" spans="2:4" x14ac:dyDescent="0.25">
      <c r="B18" s="27" t="s">
        <v>114</v>
      </c>
      <c r="C18" s="26">
        <v>96</v>
      </c>
      <c r="D18" s="25">
        <v>3.899268887083672E-2</v>
      </c>
    </row>
    <row r="19" spans="2:4" x14ac:dyDescent="0.25">
      <c r="B19" s="27" t="s">
        <v>112</v>
      </c>
      <c r="C19" s="26">
        <v>78</v>
      </c>
      <c r="D19" s="25">
        <v>3.1681559707554832E-2</v>
      </c>
    </row>
    <row r="20" spans="2:4" x14ac:dyDescent="0.25">
      <c r="B20" s="27" t="s">
        <v>110</v>
      </c>
      <c r="C20" s="26">
        <v>66</v>
      </c>
      <c r="D20" s="25">
        <v>2.6807473598700244E-2</v>
      </c>
    </row>
    <row r="21" spans="2:4" x14ac:dyDescent="0.25">
      <c r="B21" s="27" t="s">
        <v>111</v>
      </c>
      <c r="C21" s="26">
        <v>39</v>
      </c>
      <c r="D21" s="25">
        <v>1.5840779853777416E-2</v>
      </c>
    </row>
    <row r="22" spans="2:4" x14ac:dyDescent="0.25">
      <c r="B22" s="24" t="s">
        <v>20</v>
      </c>
      <c r="C22" s="23">
        <v>2462</v>
      </c>
      <c r="D22" s="22">
        <v>1</v>
      </c>
    </row>
    <row r="24" spans="2:4" x14ac:dyDescent="0.25">
      <c r="B24" s="19" t="s">
        <v>191</v>
      </c>
    </row>
    <row r="25" spans="2:4" x14ac:dyDescent="0.25">
      <c r="B25" s="21" t="s">
        <v>19</v>
      </c>
    </row>
    <row r="26" spans="2:4" x14ac:dyDescent="0.25">
      <c r="B26" s="20" t="s">
        <v>18</v>
      </c>
    </row>
    <row r="27" spans="2:4" x14ac:dyDescent="0.25">
      <c r="B27" s="19" t="s">
        <v>17</v>
      </c>
    </row>
    <row r="28" spans="2:4" x14ac:dyDescent="0.25">
      <c r="B28" s="19" t="s">
        <v>192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238"/>
  <sheetViews>
    <sheetView zoomScale="85" zoomScaleNormal="85" zoomScaleSheetLayoutView="85" workbookViewId="0">
      <selection activeCell="C1" sqref="C1"/>
    </sheetView>
  </sheetViews>
  <sheetFormatPr baseColWidth="10" defaultColWidth="35" defaultRowHeight="15" customHeight="1" x14ac:dyDescent="0.25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3" customFormat="1" ht="12" customHeight="1" x14ac:dyDescent="0.2">
      <c r="B1" s="57"/>
      <c r="C1" s="56"/>
      <c r="D1" s="56"/>
      <c r="E1" s="56"/>
    </row>
    <row r="2" spans="1:5" s="53" customFormat="1" ht="15" customHeight="1" x14ac:dyDescent="0.2">
      <c r="C2" s="55"/>
    </row>
    <row r="3" spans="1:5" s="53" customFormat="1" ht="15" customHeight="1" x14ac:dyDescent="0.2">
      <c r="C3" s="55"/>
    </row>
    <row r="4" spans="1:5" s="53" customFormat="1" ht="30" customHeight="1" x14ac:dyDescent="0.2">
      <c r="C4" s="55"/>
      <c r="D4" s="54"/>
    </row>
    <row r="5" spans="1:5" s="53" customFormat="1" ht="15" customHeight="1" x14ac:dyDescent="0.2">
      <c r="C5" s="55"/>
      <c r="D5" s="54"/>
    </row>
    <row r="6" spans="1:5" s="50" customFormat="1" ht="24" customHeight="1" x14ac:dyDescent="0.2">
      <c r="B6" s="52"/>
      <c r="C6" s="46"/>
      <c r="D6" s="46"/>
      <c r="E6" s="46"/>
    </row>
    <row r="7" spans="1:5" s="50" customFormat="1" ht="26.25" customHeight="1" x14ac:dyDescent="0.3">
      <c r="A7" s="51"/>
      <c r="B7" s="85"/>
      <c r="C7" s="85"/>
      <c r="D7" s="85"/>
      <c r="E7" s="85"/>
    </row>
    <row r="8" spans="1:5" s="50" customFormat="1" ht="33" customHeight="1" x14ac:dyDescent="0.3">
      <c r="A8" s="51"/>
      <c r="B8" s="85"/>
      <c r="C8" s="85"/>
      <c r="D8" s="85"/>
      <c r="E8" s="85"/>
    </row>
    <row r="9" spans="1:5" s="29" customFormat="1" ht="40.5" customHeight="1" x14ac:dyDescent="0.2">
      <c r="B9" s="47" t="s">
        <v>122</v>
      </c>
      <c r="C9" s="49" t="s">
        <v>121</v>
      </c>
      <c r="D9" s="48" t="s">
        <v>61</v>
      </c>
      <c r="E9" s="47" t="s">
        <v>60</v>
      </c>
    </row>
    <row r="10" spans="1:5" ht="15" customHeight="1" x14ac:dyDescent="0.25">
      <c r="B10" s="82" t="s">
        <v>33</v>
      </c>
      <c r="C10" s="45" t="s">
        <v>114</v>
      </c>
      <c r="D10" s="44">
        <v>1</v>
      </c>
      <c r="E10" s="43">
        <v>4.0617384240454913E-4</v>
      </c>
    </row>
    <row r="11" spans="1:5" ht="15" customHeight="1" x14ac:dyDescent="0.25">
      <c r="B11" s="84"/>
      <c r="C11" s="45" t="s">
        <v>118</v>
      </c>
      <c r="D11" s="44">
        <v>1</v>
      </c>
      <c r="E11" s="43">
        <v>4.0617384240454913E-4</v>
      </c>
    </row>
    <row r="12" spans="1:5" ht="15" customHeight="1" x14ac:dyDescent="0.25">
      <c r="B12" s="83"/>
      <c r="C12" s="42" t="s">
        <v>20</v>
      </c>
      <c r="D12" s="41">
        <v>2</v>
      </c>
      <c r="E12" s="40">
        <v>8.1234768480909826E-4</v>
      </c>
    </row>
    <row r="13" spans="1:5" ht="15" customHeight="1" x14ac:dyDescent="0.25">
      <c r="B13" s="82" t="s">
        <v>52</v>
      </c>
      <c r="C13" s="45" t="s">
        <v>116</v>
      </c>
      <c r="D13" s="44">
        <v>6</v>
      </c>
      <c r="E13" s="43">
        <v>2.437043054427295E-3</v>
      </c>
    </row>
    <row r="14" spans="1:5" ht="15" customHeight="1" x14ac:dyDescent="0.25">
      <c r="B14" s="84"/>
      <c r="C14" s="45" t="s">
        <v>119</v>
      </c>
      <c r="D14" s="44">
        <v>8</v>
      </c>
      <c r="E14" s="43">
        <v>3.249390739236393E-3</v>
      </c>
    </row>
    <row r="15" spans="1:5" ht="15" customHeight="1" x14ac:dyDescent="0.25">
      <c r="B15" s="84"/>
      <c r="C15" s="45" t="s">
        <v>112</v>
      </c>
      <c r="D15" s="44">
        <v>1</v>
      </c>
      <c r="E15" s="43">
        <v>4.0617384240454913E-4</v>
      </c>
    </row>
    <row r="16" spans="1:5" ht="15" customHeight="1" x14ac:dyDescent="0.25">
      <c r="B16" s="84"/>
      <c r="C16" s="45" t="s">
        <v>114</v>
      </c>
      <c r="D16" s="44">
        <v>2</v>
      </c>
      <c r="E16" s="43">
        <v>8.1234768480909826E-4</v>
      </c>
    </row>
    <row r="17" spans="2:5" ht="15" customHeight="1" x14ac:dyDescent="0.25">
      <c r="B17" s="84"/>
      <c r="C17" s="45" t="s">
        <v>117</v>
      </c>
      <c r="D17" s="44">
        <v>10</v>
      </c>
      <c r="E17" s="43">
        <v>4.0617384240454911E-3</v>
      </c>
    </row>
    <row r="18" spans="2:5" ht="15" customHeight="1" x14ac:dyDescent="0.25">
      <c r="B18" s="84"/>
      <c r="C18" s="45" t="s">
        <v>118</v>
      </c>
      <c r="D18" s="44">
        <v>11</v>
      </c>
      <c r="E18" s="43">
        <v>4.4679122664500409E-3</v>
      </c>
    </row>
    <row r="19" spans="2:5" ht="15" customHeight="1" x14ac:dyDescent="0.25">
      <c r="B19" s="84"/>
      <c r="C19" s="45" t="s">
        <v>115</v>
      </c>
      <c r="D19" s="44">
        <v>2</v>
      </c>
      <c r="E19" s="43">
        <v>8.1234768480909826E-4</v>
      </c>
    </row>
    <row r="20" spans="2:5" ht="15" customHeight="1" x14ac:dyDescent="0.25">
      <c r="B20" s="83"/>
      <c r="C20" s="42" t="s">
        <v>20</v>
      </c>
      <c r="D20" s="41">
        <v>40</v>
      </c>
      <c r="E20" s="40">
        <v>1.6246953696181964E-2</v>
      </c>
    </row>
    <row r="21" spans="2:5" ht="15" customHeight="1" x14ac:dyDescent="0.25">
      <c r="B21" s="82" t="s">
        <v>41</v>
      </c>
      <c r="C21" s="45" t="s">
        <v>119</v>
      </c>
      <c r="D21" s="44">
        <v>1</v>
      </c>
      <c r="E21" s="43">
        <v>4.0617384240454913E-4</v>
      </c>
    </row>
    <row r="22" spans="2:5" ht="15" customHeight="1" x14ac:dyDescent="0.25">
      <c r="B22" s="84"/>
      <c r="C22" s="45" t="s">
        <v>117</v>
      </c>
      <c r="D22" s="44">
        <v>1</v>
      </c>
      <c r="E22" s="43">
        <v>4.0617384240454913E-4</v>
      </c>
    </row>
    <row r="23" spans="2:5" ht="15" customHeight="1" x14ac:dyDescent="0.25">
      <c r="B23" s="84"/>
      <c r="C23" s="45" t="s">
        <v>118</v>
      </c>
      <c r="D23" s="44">
        <v>1</v>
      </c>
      <c r="E23" s="43">
        <v>4.0617384240454913E-4</v>
      </c>
    </row>
    <row r="24" spans="2:5" ht="15" customHeight="1" x14ac:dyDescent="0.25">
      <c r="B24" s="83"/>
      <c r="C24" s="42" t="s">
        <v>20</v>
      </c>
      <c r="D24" s="41">
        <v>3</v>
      </c>
      <c r="E24" s="40">
        <v>1.2185215272136475E-3</v>
      </c>
    </row>
    <row r="25" spans="2:5" ht="15" customHeight="1" x14ac:dyDescent="0.25">
      <c r="B25" s="82" t="s">
        <v>59</v>
      </c>
      <c r="C25" s="45" t="s">
        <v>116</v>
      </c>
      <c r="D25" s="44">
        <v>91</v>
      </c>
      <c r="E25" s="43">
        <v>3.6961819658813976E-2</v>
      </c>
    </row>
    <row r="26" spans="2:5" ht="15" customHeight="1" x14ac:dyDescent="0.25">
      <c r="B26" s="84"/>
      <c r="C26" s="45" t="s">
        <v>119</v>
      </c>
      <c r="D26" s="44">
        <v>459</v>
      </c>
      <c r="E26" s="43">
        <v>0.18643379366368806</v>
      </c>
    </row>
    <row r="27" spans="2:5" ht="15" customHeight="1" x14ac:dyDescent="0.25">
      <c r="B27" s="84"/>
      <c r="C27" s="45" t="s">
        <v>112</v>
      </c>
      <c r="D27" s="44">
        <v>55</v>
      </c>
      <c r="E27" s="43">
        <v>2.2339561332250204E-2</v>
      </c>
    </row>
    <row r="28" spans="2:5" ht="15" customHeight="1" x14ac:dyDescent="0.25">
      <c r="B28" s="84"/>
      <c r="C28" s="45" t="s">
        <v>114</v>
      </c>
      <c r="D28" s="44">
        <v>76</v>
      </c>
      <c r="E28" s="43">
        <v>3.0869212022745736E-2</v>
      </c>
    </row>
    <row r="29" spans="2:5" ht="15" customHeight="1" x14ac:dyDescent="0.25">
      <c r="B29" s="84"/>
      <c r="C29" s="45" t="s">
        <v>113</v>
      </c>
      <c r="D29" s="44">
        <v>73</v>
      </c>
      <c r="E29" s="43">
        <v>2.9650690495532088E-2</v>
      </c>
    </row>
    <row r="30" spans="2:5" ht="15" customHeight="1" x14ac:dyDescent="0.25">
      <c r="B30" s="84"/>
      <c r="C30" s="45" t="s">
        <v>111</v>
      </c>
      <c r="D30" s="44">
        <v>19</v>
      </c>
      <c r="E30" s="43">
        <v>7.717303005686434E-3</v>
      </c>
    </row>
    <row r="31" spans="2:5" ht="15" customHeight="1" x14ac:dyDescent="0.25">
      <c r="B31" s="84"/>
      <c r="C31" s="45" t="s">
        <v>117</v>
      </c>
      <c r="D31" s="44">
        <v>272</v>
      </c>
      <c r="E31" s="43">
        <v>0.11047928513403736</v>
      </c>
    </row>
    <row r="32" spans="2:5" ht="15" customHeight="1" x14ac:dyDescent="0.25">
      <c r="B32" s="84"/>
      <c r="C32" s="45" t="s">
        <v>110</v>
      </c>
      <c r="D32" s="44">
        <v>39</v>
      </c>
      <c r="E32" s="43">
        <v>1.5840779853777416E-2</v>
      </c>
    </row>
    <row r="33" spans="2:5" ht="15" customHeight="1" x14ac:dyDescent="0.25">
      <c r="B33" s="84"/>
      <c r="C33" s="45" t="s">
        <v>118</v>
      </c>
      <c r="D33" s="44">
        <v>447</v>
      </c>
      <c r="E33" s="43">
        <v>0.18155970755483347</v>
      </c>
    </row>
    <row r="34" spans="2:5" ht="15" customHeight="1" x14ac:dyDescent="0.25">
      <c r="B34" s="84"/>
      <c r="C34" s="45" t="s">
        <v>115</v>
      </c>
      <c r="D34" s="44">
        <v>79</v>
      </c>
      <c r="E34" s="43">
        <v>3.2087733549959384E-2</v>
      </c>
    </row>
    <row r="35" spans="2:5" ht="15" customHeight="1" x14ac:dyDescent="0.25">
      <c r="B35" s="83"/>
      <c r="C35" s="42" t="s">
        <v>20</v>
      </c>
      <c r="D35" s="41">
        <v>1610</v>
      </c>
      <c r="E35" s="40">
        <v>0.65393988627132416</v>
      </c>
    </row>
    <row r="36" spans="2:5" ht="15" customHeight="1" x14ac:dyDescent="0.25">
      <c r="B36" s="82" t="s">
        <v>49</v>
      </c>
      <c r="C36" s="45" t="s">
        <v>119</v>
      </c>
      <c r="D36" s="44">
        <v>8</v>
      </c>
      <c r="E36" s="43">
        <v>3.249390739236393E-3</v>
      </c>
    </row>
    <row r="37" spans="2:5" ht="15" customHeight="1" x14ac:dyDescent="0.25">
      <c r="B37" s="84"/>
      <c r="C37" s="45" t="s">
        <v>114</v>
      </c>
      <c r="D37" s="44">
        <v>2</v>
      </c>
      <c r="E37" s="43">
        <v>8.1234768480909826E-4</v>
      </c>
    </row>
    <row r="38" spans="2:5" ht="15" customHeight="1" x14ac:dyDescent="0.25">
      <c r="B38" s="84"/>
      <c r="C38" s="45" t="s">
        <v>113</v>
      </c>
      <c r="D38" s="44">
        <v>1</v>
      </c>
      <c r="E38" s="43">
        <v>4.0617384240454913E-4</v>
      </c>
    </row>
    <row r="39" spans="2:5" ht="15" customHeight="1" x14ac:dyDescent="0.25">
      <c r="B39" s="84"/>
      <c r="C39" s="45" t="s">
        <v>117</v>
      </c>
      <c r="D39" s="44">
        <v>6</v>
      </c>
      <c r="E39" s="43">
        <v>2.437043054427295E-3</v>
      </c>
    </row>
    <row r="40" spans="2:5" ht="15" customHeight="1" x14ac:dyDescent="0.25">
      <c r="B40" s="84"/>
      <c r="C40" s="45" t="s">
        <v>118</v>
      </c>
      <c r="D40" s="44">
        <v>11</v>
      </c>
      <c r="E40" s="43">
        <v>4.4679122664500409E-3</v>
      </c>
    </row>
    <row r="41" spans="2:5" ht="15" customHeight="1" x14ac:dyDescent="0.25">
      <c r="B41" s="84"/>
      <c r="C41" s="45" t="s">
        <v>115</v>
      </c>
      <c r="D41" s="44">
        <v>2</v>
      </c>
      <c r="E41" s="43">
        <v>8.1234768480909826E-4</v>
      </c>
    </row>
    <row r="42" spans="2:5" ht="15" customHeight="1" x14ac:dyDescent="0.25">
      <c r="B42" s="83"/>
      <c r="C42" s="42" t="s">
        <v>20</v>
      </c>
      <c r="D42" s="41">
        <v>30</v>
      </c>
      <c r="E42" s="40">
        <v>1.2185215272136474E-2</v>
      </c>
    </row>
    <row r="43" spans="2:5" ht="15" customHeight="1" x14ac:dyDescent="0.25">
      <c r="B43" s="82" t="s">
        <v>28</v>
      </c>
      <c r="C43" s="45" t="s">
        <v>119</v>
      </c>
      <c r="D43" s="44">
        <v>1</v>
      </c>
      <c r="E43" s="43">
        <v>4.0617384240454913E-4</v>
      </c>
    </row>
    <row r="44" spans="2:5" ht="15" customHeight="1" x14ac:dyDescent="0.25">
      <c r="B44" s="84"/>
      <c r="C44" s="45" t="s">
        <v>118</v>
      </c>
      <c r="D44" s="44">
        <v>1</v>
      </c>
      <c r="E44" s="43">
        <v>4.0617384240454913E-4</v>
      </c>
    </row>
    <row r="45" spans="2:5" ht="15" customHeight="1" x14ac:dyDescent="0.25">
      <c r="B45" s="83"/>
      <c r="C45" s="42" t="s">
        <v>20</v>
      </c>
      <c r="D45" s="41">
        <v>2</v>
      </c>
      <c r="E45" s="40">
        <v>8.1234768480909826E-4</v>
      </c>
    </row>
    <row r="46" spans="2:5" ht="15" customHeight="1" x14ac:dyDescent="0.25">
      <c r="B46" s="82" t="s">
        <v>50</v>
      </c>
      <c r="C46" s="45" t="s">
        <v>116</v>
      </c>
      <c r="D46" s="44">
        <v>2</v>
      </c>
      <c r="E46" s="43">
        <v>8.1234768480909826E-4</v>
      </c>
    </row>
    <row r="47" spans="2:5" ht="15" customHeight="1" x14ac:dyDescent="0.25">
      <c r="B47" s="84"/>
      <c r="C47" s="45" t="s">
        <v>119</v>
      </c>
      <c r="D47" s="44">
        <v>8</v>
      </c>
      <c r="E47" s="43">
        <v>3.249390739236393E-3</v>
      </c>
    </row>
    <row r="48" spans="2:5" ht="15" customHeight="1" x14ac:dyDescent="0.25">
      <c r="B48" s="84"/>
      <c r="C48" s="45" t="s">
        <v>112</v>
      </c>
      <c r="D48" s="44">
        <v>1</v>
      </c>
      <c r="E48" s="43">
        <v>4.0617384240454913E-4</v>
      </c>
    </row>
    <row r="49" spans="2:5" ht="15" customHeight="1" x14ac:dyDescent="0.25">
      <c r="B49" s="84"/>
      <c r="C49" s="45" t="s">
        <v>114</v>
      </c>
      <c r="D49" s="44">
        <v>1</v>
      </c>
      <c r="E49" s="43">
        <v>4.0617384240454913E-4</v>
      </c>
    </row>
    <row r="50" spans="2:5" ht="15" customHeight="1" x14ac:dyDescent="0.25">
      <c r="B50" s="84"/>
      <c r="C50" s="45" t="s">
        <v>113</v>
      </c>
      <c r="D50" s="44">
        <v>1</v>
      </c>
      <c r="E50" s="43">
        <v>4.0617384240454913E-4</v>
      </c>
    </row>
    <row r="51" spans="2:5" ht="15" customHeight="1" x14ac:dyDescent="0.25">
      <c r="B51" s="84"/>
      <c r="C51" s="45" t="s">
        <v>111</v>
      </c>
      <c r="D51" s="44">
        <v>1</v>
      </c>
      <c r="E51" s="43">
        <v>4.0617384240454913E-4</v>
      </c>
    </row>
    <row r="52" spans="2:5" ht="15" customHeight="1" x14ac:dyDescent="0.25">
      <c r="B52" s="84"/>
      <c r="C52" s="45" t="s">
        <v>117</v>
      </c>
      <c r="D52" s="44">
        <v>5</v>
      </c>
      <c r="E52" s="43">
        <v>2.0308692120227455E-3</v>
      </c>
    </row>
    <row r="53" spans="2:5" ht="15" customHeight="1" x14ac:dyDescent="0.25">
      <c r="B53" s="84"/>
      <c r="C53" s="45" t="s">
        <v>118</v>
      </c>
      <c r="D53" s="44">
        <v>10</v>
      </c>
      <c r="E53" s="43">
        <v>4.0617384240454911E-3</v>
      </c>
    </row>
    <row r="54" spans="2:5" ht="15" customHeight="1" x14ac:dyDescent="0.25">
      <c r="B54" s="83"/>
      <c r="C54" s="42" t="s">
        <v>20</v>
      </c>
      <c r="D54" s="41">
        <v>29</v>
      </c>
      <c r="E54" s="40">
        <v>1.1779041429731926E-2</v>
      </c>
    </row>
    <row r="55" spans="2:5" ht="15" customHeight="1" x14ac:dyDescent="0.25">
      <c r="B55" s="82" t="s">
        <v>51</v>
      </c>
      <c r="C55" s="45" t="s">
        <v>119</v>
      </c>
      <c r="D55" s="44">
        <v>5</v>
      </c>
      <c r="E55" s="43">
        <v>2.0308692120227455E-3</v>
      </c>
    </row>
    <row r="56" spans="2:5" ht="15" customHeight="1" x14ac:dyDescent="0.25">
      <c r="B56" s="84"/>
      <c r="C56" s="45" t="s">
        <v>112</v>
      </c>
      <c r="D56" s="44">
        <v>1</v>
      </c>
      <c r="E56" s="43">
        <v>4.0617384240454913E-4</v>
      </c>
    </row>
    <row r="57" spans="2:5" ht="15" customHeight="1" x14ac:dyDescent="0.25">
      <c r="B57" s="84"/>
      <c r="C57" s="45" t="s">
        <v>117</v>
      </c>
      <c r="D57" s="44">
        <v>5</v>
      </c>
      <c r="E57" s="43">
        <v>2.0308692120227455E-3</v>
      </c>
    </row>
    <row r="58" spans="2:5" ht="15" customHeight="1" x14ac:dyDescent="0.25">
      <c r="B58" s="84"/>
      <c r="C58" s="45" t="s">
        <v>118</v>
      </c>
      <c r="D58" s="44">
        <v>7</v>
      </c>
      <c r="E58" s="43">
        <v>2.843216896831844E-3</v>
      </c>
    </row>
    <row r="59" spans="2:5" ht="15" customHeight="1" x14ac:dyDescent="0.25">
      <c r="B59" s="83"/>
      <c r="C59" s="42" t="s">
        <v>20</v>
      </c>
      <c r="D59" s="41">
        <v>18</v>
      </c>
      <c r="E59" s="40">
        <v>7.311129163281885E-3</v>
      </c>
    </row>
    <row r="60" spans="2:5" ht="15" customHeight="1" x14ac:dyDescent="0.25">
      <c r="B60" s="82" t="s">
        <v>48</v>
      </c>
      <c r="C60" s="45" t="s">
        <v>119</v>
      </c>
      <c r="D60" s="44">
        <v>11</v>
      </c>
      <c r="E60" s="43">
        <v>4.4679122664500409E-3</v>
      </c>
    </row>
    <row r="61" spans="2:5" ht="15" customHeight="1" x14ac:dyDescent="0.25">
      <c r="B61" s="84"/>
      <c r="C61" s="45" t="s">
        <v>112</v>
      </c>
      <c r="D61" s="44">
        <v>1</v>
      </c>
      <c r="E61" s="43">
        <v>4.0617384240454913E-4</v>
      </c>
    </row>
    <row r="62" spans="2:5" ht="15" customHeight="1" x14ac:dyDescent="0.25">
      <c r="B62" s="84"/>
      <c r="C62" s="45" t="s">
        <v>114</v>
      </c>
      <c r="D62" s="44">
        <v>1</v>
      </c>
      <c r="E62" s="43">
        <v>4.0617384240454913E-4</v>
      </c>
    </row>
    <row r="63" spans="2:5" ht="15" customHeight="1" x14ac:dyDescent="0.25">
      <c r="B63" s="84"/>
      <c r="C63" s="45" t="s">
        <v>111</v>
      </c>
      <c r="D63" s="44">
        <v>2</v>
      </c>
      <c r="E63" s="43">
        <v>8.1234768480909826E-4</v>
      </c>
    </row>
    <row r="64" spans="2:5" ht="15" customHeight="1" x14ac:dyDescent="0.25">
      <c r="B64" s="84"/>
      <c r="C64" s="45" t="s">
        <v>117</v>
      </c>
      <c r="D64" s="44">
        <v>9</v>
      </c>
      <c r="E64" s="43">
        <v>3.6555645816409425E-3</v>
      </c>
    </row>
    <row r="65" spans="2:5" ht="15" customHeight="1" x14ac:dyDescent="0.25">
      <c r="B65" s="84"/>
      <c r="C65" s="45" t="s">
        <v>110</v>
      </c>
      <c r="D65" s="44">
        <v>1</v>
      </c>
      <c r="E65" s="43">
        <v>4.0617384240454913E-4</v>
      </c>
    </row>
    <row r="66" spans="2:5" ht="15" customHeight="1" x14ac:dyDescent="0.25">
      <c r="B66" s="84"/>
      <c r="C66" s="45" t="s">
        <v>118</v>
      </c>
      <c r="D66" s="44">
        <v>8</v>
      </c>
      <c r="E66" s="43">
        <v>3.249390739236393E-3</v>
      </c>
    </row>
    <row r="67" spans="2:5" ht="15" customHeight="1" x14ac:dyDescent="0.25">
      <c r="B67" s="84"/>
      <c r="C67" s="45" t="s">
        <v>115</v>
      </c>
      <c r="D67" s="44">
        <v>3</v>
      </c>
      <c r="E67" s="43">
        <v>1.2185215272136475E-3</v>
      </c>
    </row>
    <row r="68" spans="2:5" ht="15" customHeight="1" x14ac:dyDescent="0.25">
      <c r="B68" s="83"/>
      <c r="C68" s="42" t="s">
        <v>20</v>
      </c>
      <c r="D68" s="41">
        <v>36</v>
      </c>
      <c r="E68" s="40">
        <v>1.462225832656377E-2</v>
      </c>
    </row>
    <row r="69" spans="2:5" ht="15" customHeight="1" x14ac:dyDescent="0.25">
      <c r="B69" s="82" t="s">
        <v>55</v>
      </c>
      <c r="C69" s="45" t="s">
        <v>116</v>
      </c>
      <c r="D69" s="44">
        <v>4</v>
      </c>
      <c r="E69" s="43">
        <v>1.6246953696181965E-3</v>
      </c>
    </row>
    <row r="70" spans="2:5" ht="15" customHeight="1" x14ac:dyDescent="0.25">
      <c r="B70" s="84"/>
      <c r="C70" s="45" t="s">
        <v>119</v>
      </c>
      <c r="D70" s="44">
        <v>14</v>
      </c>
      <c r="E70" s="43">
        <v>5.686433793663688E-3</v>
      </c>
    </row>
    <row r="71" spans="2:5" ht="15" customHeight="1" x14ac:dyDescent="0.25">
      <c r="B71" s="84"/>
      <c r="C71" s="45" t="s">
        <v>112</v>
      </c>
      <c r="D71" s="44">
        <v>2</v>
      </c>
      <c r="E71" s="43">
        <v>8.1234768480909826E-4</v>
      </c>
    </row>
    <row r="72" spans="2:5" ht="15" customHeight="1" x14ac:dyDescent="0.25">
      <c r="B72" s="84"/>
      <c r="C72" s="45" t="s">
        <v>114</v>
      </c>
      <c r="D72" s="44">
        <v>1</v>
      </c>
      <c r="E72" s="43">
        <v>4.0617384240454913E-4</v>
      </c>
    </row>
    <row r="73" spans="2:5" ht="15" customHeight="1" x14ac:dyDescent="0.25">
      <c r="B73" s="84"/>
      <c r="C73" s="45" t="s">
        <v>113</v>
      </c>
      <c r="D73" s="44">
        <v>2</v>
      </c>
      <c r="E73" s="43">
        <v>8.1234768480909826E-4</v>
      </c>
    </row>
    <row r="74" spans="2:5" ht="15" customHeight="1" x14ac:dyDescent="0.25">
      <c r="B74" s="84"/>
      <c r="C74" s="45" t="s">
        <v>111</v>
      </c>
      <c r="D74" s="44">
        <v>1</v>
      </c>
      <c r="E74" s="43">
        <v>4.0617384240454913E-4</v>
      </c>
    </row>
    <row r="75" spans="2:5" ht="15" customHeight="1" x14ac:dyDescent="0.25">
      <c r="B75" s="84"/>
      <c r="C75" s="45" t="s">
        <v>117</v>
      </c>
      <c r="D75" s="44">
        <v>26</v>
      </c>
      <c r="E75" s="43">
        <v>1.0560519902518278E-2</v>
      </c>
    </row>
    <row r="76" spans="2:5" ht="15" customHeight="1" x14ac:dyDescent="0.25">
      <c r="B76" s="84"/>
      <c r="C76" s="45" t="s">
        <v>118</v>
      </c>
      <c r="D76" s="44">
        <v>33</v>
      </c>
      <c r="E76" s="43">
        <v>1.3403736799350122E-2</v>
      </c>
    </row>
    <row r="77" spans="2:5" ht="15" customHeight="1" x14ac:dyDescent="0.25">
      <c r="B77" s="84"/>
      <c r="C77" s="45" t="s">
        <v>115</v>
      </c>
      <c r="D77" s="44">
        <v>3</v>
      </c>
      <c r="E77" s="43">
        <v>1.2185215272136475E-3</v>
      </c>
    </row>
    <row r="78" spans="2:5" ht="15" customHeight="1" x14ac:dyDescent="0.25">
      <c r="B78" s="83"/>
      <c r="C78" s="42" t="s">
        <v>20</v>
      </c>
      <c r="D78" s="41">
        <v>86</v>
      </c>
      <c r="E78" s="40">
        <v>3.4930950446791224E-2</v>
      </c>
    </row>
    <row r="79" spans="2:5" ht="15" customHeight="1" x14ac:dyDescent="0.25">
      <c r="B79" s="82" t="s">
        <v>47</v>
      </c>
      <c r="C79" s="45" t="s">
        <v>116</v>
      </c>
      <c r="D79" s="44">
        <v>2</v>
      </c>
      <c r="E79" s="43">
        <v>8.1234768480909826E-4</v>
      </c>
    </row>
    <row r="80" spans="2:5" ht="15" customHeight="1" x14ac:dyDescent="0.25">
      <c r="B80" s="84"/>
      <c r="C80" s="45" t="s">
        <v>119</v>
      </c>
      <c r="D80" s="44">
        <v>4</v>
      </c>
      <c r="E80" s="43">
        <v>1.6246953696181965E-3</v>
      </c>
    </row>
    <row r="81" spans="2:5" ht="15" customHeight="1" x14ac:dyDescent="0.25">
      <c r="B81" s="84"/>
      <c r="C81" s="45" t="s">
        <v>114</v>
      </c>
      <c r="D81" s="44">
        <v>3</v>
      </c>
      <c r="E81" s="43">
        <v>1.2185215272136475E-3</v>
      </c>
    </row>
    <row r="82" spans="2:5" ht="15" customHeight="1" x14ac:dyDescent="0.25">
      <c r="B82" s="84"/>
      <c r="C82" s="45" t="s">
        <v>117</v>
      </c>
      <c r="D82" s="44">
        <v>5</v>
      </c>
      <c r="E82" s="43">
        <v>2.0308692120227455E-3</v>
      </c>
    </row>
    <row r="83" spans="2:5" ht="15" customHeight="1" x14ac:dyDescent="0.25">
      <c r="B83" s="84"/>
      <c r="C83" s="45" t="s">
        <v>110</v>
      </c>
      <c r="D83" s="44">
        <v>2</v>
      </c>
      <c r="E83" s="43">
        <v>8.1234768480909826E-4</v>
      </c>
    </row>
    <row r="84" spans="2:5" ht="15" customHeight="1" x14ac:dyDescent="0.25">
      <c r="B84" s="84"/>
      <c r="C84" s="45" t="s">
        <v>118</v>
      </c>
      <c r="D84" s="44">
        <v>3</v>
      </c>
      <c r="E84" s="43">
        <v>1.2185215272136475E-3</v>
      </c>
    </row>
    <row r="85" spans="2:5" ht="15" customHeight="1" x14ac:dyDescent="0.25">
      <c r="B85" s="83"/>
      <c r="C85" s="42" t="s">
        <v>20</v>
      </c>
      <c r="D85" s="41">
        <v>19</v>
      </c>
      <c r="E85" s="40">
        <v>7.717303005686434E-3</v>
      </c>
    </row>
    <row r="86" spans="2:5" ht="15" customHeight="1" x14ac:dyDescent="0.25">
      <c r="B86" s="82" t="s">
        <v>38</v>
      </c>
      <c r="C86" s="45" t="s">
        <v>119</v>
      </c>
      <c r="D86" s="44">
        <v>2</v>
      </c>
      <c r="E86" s="43">
        <v>8.1234768480909826E-4</v>
      </c>
    </row>
    <row r="87" spans="2:5" ht="15" customHeight="1" x14ac:dyDescent="0.25">
      <c r="B87" s="84"/>
      <c r="C87" s="45" t="s">
        <v>113</v>
      </c>
      <c r="D87" s="44">
        <v>1</v>
      </c>
      <c r="E87" s="43">
        <v>4.0617384240454913E-4</v>
      </c>
    </row>
    <row r="88" spans="2:5" ht="15" customHeight="1" x14ac:dyDescent="0.25">
      <c r="B88" s="84"/>
      <c r="C88" s="45" t="s">
        <v>117</v>
      </c>
      <c r="D88" s="44">
        <v>1</v>
      </c>
      <c r="E88" s="43">
        <v>4.0617384240454913E-4</v>
      </c>
    </row>
    <row r="89" spans="2:5" ht="15" customHeight="1" x14ac:dyDescent="0.25">
      <c r="B89" s="84"/>
      <c r="C89" s="45" t="s">
        <v>118</v>
      </c>
      <c r="D89" s="44">
        <v>9</v>
      </c>
      <c r="E89" s="43">
        <v>3.6555645816409425E-3</v>
      </c>
    </row>
    <row r="90" spans="2:5" ht="15" customHeight="1" x14ac:dyDescent="0.25">
      <c r="B90" s="83"/>
      <c r="C90" s="42" t="s">
        <v>20</v>
      </c>
      <c r="D90" s="41">
        <v>13</v>
      </c>
      <c r="E90" s="40">
        <v>5.280259951259139E-3</v>
      </c>
    </row>
    <row r="91" spans="2:5" ht="15" customHeight="1" x14ac:dyDescent="0.25">
      <c r="B91" s="82" t="s">
        <v>40</v>
      </c>
      <c r="C91" s="45" t="s">
        <v>119</v>
      </c>
      <c r="D91" s="44">
        <v>2</v>
      </c>
      <c r="E91" s="43">
        <v>8.1234768480909826E-4</v>
      </c>
    </row>
    <row r="92" spans="2:5" ht="15" customHeight="1" x14ac:dyDescent="0.25">
      <c r="B92" s="84"/>
      <c r="C92" s="45" t="s">
        <v>114</v>
      </c>
      <c r="D92" s="44">
        <v>1</v>
      </c>
      <c r="E92" s="43">
        <v>4.0617384240454913E-4</v>
      </c>
    </row>
    <row r="93" spans="2:5" ht="15" customHeight="1" x14ac:dyDescent="0.25">
      <c r="B93" s="84"/>
      <c r="C93" s="45" t="s">
        <v>118</v>
      </c>
      <c r="D93" s="44">
        <v>1</v>
      </c>
      <c r="E93" s="43">
        <v>4.0617384240454913E-4</v>
      </c>
    </row>
    <row r="94" spans="2:5" ht="15" customHeight="1" x14ac:dyDescent="0.25">
      <c r="B94" s="83"/>
      <c r="C94" s="42" t="s">
        <v>20</v>
      </c>
      <c r="D94" s="41">
        <v>4</v>
      </c>
      <c r="E94" s="40">
        <v>1.6246953696181965E-3</v>
      </c>
    </row>
    <row r="95" spans="2:5" ht="15" customHeight="1" x14ac:dyDescent="0.25">
      <c r="B95" s="82" t="s">
        <v>30</v>
      </c>
      <c r="C95" s="45" t="s">
        <v>116</v>
      </c>
      <c r="D95" s="44">
        <v>1</v>
      </c>
      <c r="E95" s="43">
        <v>4.0617384240454913E-4</v>
      </c>
    </row>
    <row r="96" spans="2:5" ht="15" customHeight="1" x14ac:dyDescent="0.25">
      <c r="B96" s="84"/>
      <c r="C96" s="45" t="s">
        <v>119</v>
      </c>
      <c r="D96" s="44">
        <v>1</v>
      </c>
      <c r="E96" s="43">
        <v>4.0617384240454913E-4</v>
      </c>
    </row>
    <row r="97" spans="2:5" ht="15" customHeight="1" x14ac:dyDescent="0.25">
      <c r="B97" s="83"/>
      <c r="C97" s="42" t="s">
        <v>20</v>
      </c>
      <c r="D97" s="41">
        <v>2</v>
      </c>
      <c r="E97" s="40">
        <v>8.1234768480909826E-4</v>
      </c>
    </row>
    <row r="98" spans="2:5" ht="15" customHeight="1" x14ac:dyDescent="0.25">
      <c r="B98" s="82" t="s">
        <v>27</v>
      </c>
      <c r="C98" s="45" t="s">
        <v>112</v>
      </c>
      <c r="D98" s="44">
        <v>1</v>
      </c>
      <c r="E98" s="43">
        <v>4.0617384240454913E-4</v>
      </c>
    </row>
    <row r="99" spans="2:5" ht="15" customHeight="1" x14ac:dyDescent="0.25">
      <c r="B99" s="84"/>
      <c r="C99" s="45" t="s">
        <v>115</v>
      </c>
      <c r="D99" s="44">
        <v>1</v>
      </c>
      <c r="E99" s="43">
        <v>4.0617384240454913E-4</v>
      </c>
    </row>
    <row r="100" spans="2:5" ht="15" customHeight="1" x14ac:dyDescent="0.25">
      <c r="B100" s="83"/>
      <c r="C100" s="42" t="s">
        <v>20</v>
      </c>
      <c r="D100" s="41">
        <v>2</v>
      </c>
      <c r="E100" s="40">
        <v>8.1234768480909826E-4</v>
      </c>
    </row>
    <row r="101" spans="2:5" ht="15" customHeight="1" x14ac:dyDescent="0.25">
      <c r="B101" s="82" t="s">
        <v>23</v>
      </c>
      <c r="C101" s="45" t="s">
        <v>112</v>
      </c>
      <c r="D101" s="44">
        <v>1</v>
      </c>
      <c r="E101" s="43">
        <v>4.0617384240454913E-4</v>
      </c>
    </row>
    <row r="102" spans="2:5" ht="15" customHeight="1" x14ac:dyDescent="0.25">
      <c r="B102" s="84"/>
      <c r="C102" s="45" t="s">
        <v>117</v>
      </c>
      <c r="D102" s="44">
        <v>1</v>
      </c>
      <c r="E102" s="43">
        <v>4.0617384240454913E-4</v>
      </c>
    </row>
    <row r="103" spans="2:5" ht="15" customHeight="1" x14ac:dyDescent="0.25">
      <c r="B103" s="83"/>
      <c r="C103" s="42" t="s">
        <v>20</v>
      </c>
      <c r="D103" s="41">
        <v>2</v>
      </c>
      <c r="E103" s="40">
        <v>8.1234768480909826E-4</v>
      </c>
    </row>
    <row r="104" spans="2:5" ht="15" customHeight="1" x14ac:dyDescent="0.25">
      <c r="B104" s="82" t="s">
        <v>35</v>
      </c>
      <c r="C104" s="45" t="s">
        <v>119</v>
      </c>
      <c r="D104" s="44">
        <v>2</v>
      </c>
      <c r="E104" s="43">
        <v>8.1234768480909826E-4</v>
      </c>
    </row>
    <row r="105" spans="2:5" ht="15" customHeight="1" x14ac:dyDescent="0.25">
      <c r="B105" s="84"/>
      <c r="C105" s="45" t="s">
        <v>117</v>
      </c>
      <c r="D105" s="44">
        <v>1</v>
      </c>
      <c r="E105" s="43">
        <v>4.0617384240454913E-4</v>
      </c>
    </row>
    <row r="106" spans="2:5" ht="15" customHeight="1" x14ac:dyDescent="0.25">
      <c r="B106" s="84"/>
      <c r="C106" s="45" t="s">
        <v>118</v>
      </c>
      <c r="D106" s="44">
        <v>5</v>
      </c>
      <c r="E106" s="43">
        <v>2.0308692120227455E-3</v>
      </c>
    </row>
    <row r="107" spans="2:5" ht="15" customHeight="1" x14ac:dyDescent="0.25">
      <c r="B107" s="83"/>
      <c r="C107" s="42" t="s">
        <v>20</v>
      </c>
      <c r="D107" s="41">
        <v>8</v>
      </c>
      <c r="E107" s="40">
        <v>3.249390739236393E-3</v>
      </c>
    </row>
    <row r="108" spans="2:5" ht="15" customHeight="1" x14ac:dyDescent="0.25">
      <c r="B108" s="82" t="s">
        <v>39</v>
      </c>
      <c r="C108" s="45" t="s">
        <v>119</v>
      </c>
      <c r="D108" s="44">
        <v>3</v>
      </c>
      <c r="E108" s="43">
        <v>1.2185215272136475E-3</v>
      </c>
    </row>
    <row r="109" spans="2:5" ht="15" customHeight="1" x14ac:dyDescent="0.25">
      <c r="B109" s="84"/>
      <c r="C109" s="45" t="s">
        <v>117</v>
      </c>
      <c r="D109" s="44">
        <v>7</v>
      </c>
      <c r="E109" s="43">
        <v>2.843216896831844E-3</v>
      </c>
    </row>
    <row r="110" spans="2:5" ht="15" customHeight="1" x14ac:dyDescent="0.25">
      <c r="B110" s="84"/>
      <c r="C110" s="45" t="s">
        <v>118</v>
      </c>
      <c r="D110" s="44">
        <v>4</v>
      </c>
      <c r="E110" s="43">
        <v>1.6246953696181965E-3</v>
      </c>
    </row>
    <row r="111" spans="2:5" ht="15" customHeight="1" x14ac:dyDescent="0.25">
      <c r="B111" s="83"/>
      <c r="C111" s="42" t="s">
        <v>20</v>
      </c>
      <c r="D111" s="41">
        <v>14</v>
      </c>
      <c r="E111" s="40">
        <v>5.686433793663688E-3</v>
      </c>
    </row>
    <row r="112" spans="2:5" ht="15" customHeight="1" x14ac:dyDescent="0.25">
      <c r="B112" s="82" t="s">
        <v>44</v>
      </c>
      <c r="C112" s="45" t="s">
        <v>116</v>
      </c>
      <c r="D112" s="44">
        <v>5</v>
      </c>
      <c r="E112" s="43">
        <v>2.0308692120227455E-3</v>
      </c>
    </row>
    <row r="113" spans="2:5" ht="15" customHeight="1" x14ac:dyDescent="0.25">
      <c r="B113" s="84"/>
      <c r="C113" s="45" t="s">
        <v>119</v>
      </c>
      <c r="D113" s="44">
        <v>1</v>
      </c>
      <c r="E113" s="43">
        <v>4.0617384240454913E-4</v>
      </c>
    </row>
    <row r="114" spans="2:5" ht="15" customHeight="1" x14ac:dyDescent="0.25">
      <c r="B114" s="84"/>
      <c r="C114" s="45" t="s">
        <v>117</v>
      </c>
      <c r="D114" s="44">
        <v>1</v>
      </c>
      <c r="E114" s="43">
        <v>4.0617384240454913E-4</v>
      </c>
    </row>
    <row r="115" spans="2:5" ht="15" customHeight="1" x14ac:dyDescent="0.25">
      <c r="B115" s="84"/>
      <c r="C115" s="45" t="s">
        <v>118</v>
      </c>
      <c r="D115" s="44">
        <v>11</v>
      </c>
      <c r="E115" s="43">
        <v>4.4679122664500409E-3</v>
      </c>
    </row>
    <row r="116" spans="2:5" ht="15" customHeight="1" x14ac:dyDescent="0.25">
      <c r="B116" s="83"/>
      <c r="C116" s="42" t="s">
        <v>20</v>
      </c>
      <c r="D116" s="41">
        <v>18</v>
      </c>
      <c r="E116" s="40">
        <v>7.311129163281885E-3</v>
      </c>
    </row>
    <row r="117" spans="2:5" ht="15" customHeight="1" x14ac:dyDescent="0.25">
      <c r="B117" s="82" t="s">
        <v>37</v>
      </c>
      <c r="C117" s="45" t="s">
        <v>119</v>
      </c>
      <c r="D117" s="44">
        <v>3</v>
      </c>
      <c r="E117" s="43">
        <v>1.2185215272136475E-3</v>
      </c>
    </row>
    <row r="118" spans="2:5" ht="15" customHeight="1" x14ac:dyDescent="0.25">
      <c r="B118" s="84"/>
      <c r="C118" s="45" t="s">
        <v>117</v>
      </c>
      <c r="D118" s="44">
        <v>3</v>
      </c>
      <c r="E118" s="43">
        <v>1.2185215272136475E-3</v>
      </c>
    </row>
    <row r="119" spans="2:5" ht="15" customHeight="1" x14ac:dyDescent="0.25">
      <c r="B119" s="84"/>
      <c r="C119" s="45" t="s">
        <v>110</v>
      </c>
      <c r="D119" s="44">
        <v>2</v>
      </c>
      <c r="E119" s="43">
        <v>8.1234768480909826E-4</v>
      </c>
    </row>
    <row r="120" spans="2:5" ht="15" customHeight="1" x14ac:dyDescent="0.25">
      <c r="B120" s="84"/>
      <c r="C120" s="45" t="s">
        <v>118</v>
      </c>
      <c r="D120" s="44">
        <v>1</v>
      </c>
      <c r="E120" s="43">
        <v>4.0617384240454913E-4</v>
      </c>
    </row>
    <row r="121" spans="2:5" ht="15" customHeight="1" x14ac:dyDescent="0.25">
      <c r="B121" s="83"/>
      <c r="C121" s="42" t="s">
        <v>20</v>
      </c>
      <c r="D121" s="41">
        <v>9</v>
      </c>
      <c r="E121" s="40">
        <v>3.6555645816409425E-3</v>
      </c>
    </row>
    <row r="122" spans="2:5" ht="15" customHeight="1" x14ac:dyDescent="0.25">
      <c r="B122" s="82" t="s">
        <v>57</v>
      </c>
      <c r="C122" s="45" t="s">
        <v>116</v>
      </c>
      <c r="D122" s="44">
        <v>4</v>
      </c>
      <c r="E122" s="43">
        <v>1.6246953696181965E-3</v>
      </c>
    </row>
    <row r="123" spans="2:5" ht="15" customHeight="1" x14ac:dyDescent="0.25">
      <c r="B123" s="84"/>
      <c r="C123" s="45" t="s">
        <v>119</v>
      </c>
      <c r="D123" s="44">
        <v>28</v>
      </c>
      <c r="E123" s="43">
        <v>1.1372867587327376E-2</v>
      </c>
    </row>
    <row r="124" spans="2:5" ht="15" customHeight="1" x14ac:dyDescent="0.25">
      <c r="B124" s="84"/>
      <c r="C124" s="45" t="s">
        <v>112</v>
      </c>
      <c r="D124" s="44">
        <v>4</v>
      </c>
      <c r="E124" s="43">
        <v>1.6246953696181965E-3</v>
      </c>
    </row>
    <row r="125" spans="2:5" ht="15" customHeight="1" x14ac:dyDescent="0.25">
      <c r="B125" s="84"/>
      <c r="C125" s="45" t="s">
        <v>114</v>
      </c>
      <c r="D125" s="44">
        <v>3</v>
      </c>
      <c r="E125" s="43">
        <v>1.2185215272136475E-3</v>
      </c>
    </row>
    <row r="126" spans="2:5" ht="15" customHeight="1" x14ac:dyDescent="0.25">
      <c r="B126" s="84"/>
      <c r="C126" s="45" t="s">
        <v>113</v>
      </c>
      <c r="D126" s="44">
        <v>9</v>
      </c>
      <c r="E126" s="43">
        <v>3.6555645816409425E-3</v>
      </c>
    </row>
    <row r="127" spans="2:5" ht="15" customHeight="1" x14ac:dyDescent="0.25">
      <c r="B127" s="84"/>
      <c r="C127" s="45" t="s">
        <v>111</v>
      </c>
      <c r="D127" s="44">
        <v>1</v>
      </c>
      <c r="E127" s="43">
        <v>4.0617384240454913E-4</v>
      </c>
    </row>
    <row r="128" spans="2:5" ht="15" customHeight="1" x14ac:dyDescent="0.25">
      <c r="B128" s="84"/>
      <c r="C128" s="45" t="s">
        <v>117</v>
      </c>
      <c r="D128" s="44">
        <v>23</v>
      </c>
      <c r="E128" s="43">
        <v>9.3419983753046301E-3</v>
      </c>
    </row>
    <row r="129" spans="2:5" ht="15" customHeight="1" x14ac:dyDescent="0.25">
      <c r="B129" s="84"/>
      <c r="C129" s="45" t="s">
        <v>110</v>
      </c>
      <c r="D129" s="44">
        <v>16</v>
      </c>
      <c r="E129" s="43">
        <v>6.498781478472786E-3</v>
      </c>
    </row>
    <row r="130" spans="2:5" ht="15" customHeight="1" x14ac:dyDescent="0.25">
      <c r="B130" s="84"/>
      <c r="C130" s="45" t="s">
        <v>118</v>
      </c>
      <c r="D130" s="44">
        <v>12</v>
      </c>
      <c r="E130" s="43">
        <v>4.87408610885459E-3</v>
      </c>
    </row>
    <row r="131" spans="2:5" ht="15" customHeight="1" x14ac:dyDescent="0.25">
      <c r="B131" s="84"/>
      <c r="C131" s="45" t="s">
        <v>115</v>
      </c>
      <c r="D131" s="44">
        <v>10</v>
      </c>
      <c r="E131" s="43">
        <v>4.0617384240454911E-3</v>
      </c>
    </row>
    <row r="132" spans="2:5" ht="15" customHeight="1" x14ac:dyDescent="0.25">
      <c r="B132" s="83"/>
      <c r="C132" s="42" t="s">
        <v>20</v>
      </c>
      <c r="D132" s="41">
        <v>110</v>
      </c>
      <c r="E132" s="40">
        <v>4.4679122664500408E-2</v>
      </c>
    </row>
    <row r="133" spans="2:5" ht="15" customHeight="1" x14ac:dyDescent="0.25">
      <c r="B133" s="82" t="s">
        <v>26</v>
      </c>
      <c r="C133" s="45" t="s">
        <v>117</v>
      </c>
      <c r="D133" s="44">
        <v>4</v>
      </c>
      <c r="E133" s="43">
        <v>1.6246953696181965E-3</v>
      </c>
    </row>
    <row r="134" spans="2:5" ht="15" customHeight="1" x14ac:dyDescent="0.25">
      <c r="B134" s="83"/>
      <c r="C134" s="42" t="s">
        <v>20</v>
      </c>
      <c r="D134" s="41">
        <v>4</v>
      </c>
      <c r="E134" s="40">
        <v>1.6246953696181965E-3</v>
      </c>
    </row>
    <row r="135" spans="2:5" ht="15" customHeight="1" x14ac:dyDescent="0.25">
      <c r="B135" s="82" t="s">
        <v>25</v>
      </c>
      <c r="C135" s="45" t="s">
        <v>119</v>
      </c>
      <c r="D135" s="44">
        <v>3</v>
      </c>
      <c r="E135" s="43">
        <v>1.2185215272136475E-3</v>
      </c>
    </row>
    <row r="136" spans="2:5" ht="15" customHeight="1" x14ac:dyDescent="0.25">
      <c r="B136" s="84"/>
      <c r="C136" s="45" t="s">
        <v>111</v>
      </c>
      <c r="D136" s="44">
        <v>1</v>
      </c>
      <c r="E136" s="43">
        <v>4.0617384240454913E-4</v>
      </c>
    </row>
    <row r="137" spans="2:5" ht="15" customHeight="1" x14ac:dyDescent="0.25">
      <c r="B137" s="83"/>
      <c r="C137" s="42" t="s">
        <v>20</v>
      </c>
      <c r="D137" s="41">
        <v>4</v>
      </c>
      <c r="E137" s="40">
        <v>1.6246953696181965E-3</v>
      </c>
    </row>
    <row r="138" spans="2:5" ht="15" customHeight="1" x14ac:dyDescent="0.25">
      <c r="B138" s="82" t="s">
        <v>36</v>
      </c>
      <c r="C138" s="45" t="s">
        <v>119</v>
      </c>
      <c r="D138" s="44">
        <v>1</v>
      </c>
      <c r="E138" s="43">
        <v>4.0617384240454913E-4</v>
      </c>
    </row>
    <row r="139" spans="2:5" ht="15" customHeight="1" x14ac:dyDescent="0.25">
      <c r="B139" s="84"/>
      <c r="C139" s="45" t="s">
        <v>117</v>
      </c>
      <c r="D139" s="44">
        <v>3</v>
      </c>
      <c r="E139" s="43">
        <v>1.2185215272136475E-3</v>
      </c>
    </row>
    <row r="140" spans="2:5" ht="15" customHeight="1" x14ac:dyDescent="0.25">
      <c r="B140" s="84"/>
      <c r="C140" s="45" t="s">
        <v>118</v>
      </c>
      <c r="D140" s="44">
        <v>1</v>
      </c>
      <c r="E140" s="43">
        <v>4.0617384240454913E-4</v>
      </c>
    </row>
    <row r="141" spans="2:5" ht="15" customHeight="1" x14ac:dyDescent="0.25">
      <c r="B141" s="83"/>
      <c r="C141" s="42" t="s">
        <v>20</v>
      </c>
      <c r="D141" s="41">
        <v>5</v>
      </c>
      <c r="E141" s="40">
        <v>2.0308692120227455E-3</v>
      </c>
    </row>
    <row r="142" spans="2:5" ht="15" customHeight="1" x14ac:dyDescent="0.25">
      <c r="B142" s="82" t="s">
        <v>29</v>
      </c>
      <c r="C142" s="45" t="s">
        <v>119</v>
      </c>
      <c r="D142" s="44">
        <v>3</v>
      </c>
      <c r="E142" s="43">
        <v>1.2185215272136475E-3</v>
      </c>
    </row>
    <row r="143" spans="2:5" ht="15" customHeight="1" x14ac:dyDescent="0.25">
      <c r="B143" s="84"/>
      <c r="C143" s="45" t="s">
        <v>111</v>
      </c>
      <c r="D143" s="44">
        <v>1</v>
      </c>
      <c r="E143" s="43">
        <v>4.0617384240454913E-4</v>
      </c>
    </row>
    <row r="144" spans="2:5" ht="15" customHeight="1" x14ac:dyDescent="0.25">
      <c r="B144" s="84"/>
      <c r="C144" s="45" t="s">
        <v>117</v>
      </c>
      <c r="D144" s="44">
        <v>1</v>
      </c>
      <c r="E144" s="43">
        <v>4.0617384240454913E-4</v>
      </c>
    </row>
    <row r="145" spans="2:5" ht="15" customHeight="1" x14ac:dyDescent="0.25">
      <c r="B145" s="84"/>
      <c r="C145" s="45" t="s">
        <v>118</v>
      </c>
      <c r="D145" s="44">
        <v>4</v>
      </c>
      <c r="E145" s="43">
        <v>1.6246953696181965E-3</v>
      </c>
    </row>
    <row r="146" spans="2:5" ht="15" customHeight="1" x14ac:dyDescent="0.25">
      <c r="B146" s="83"/>
      <c r="C146" s="42" t="s">
        <v>20</v>
      </c>
      <c r="D146" s="41">
        <v>9</v>
      </c>
      <c r="E146" s="40">
        <v>3.6555645816409425E-3</v>
      </c>
    </row>
    <row r="147" spans="2:5" ht="15" customHeight="1" x14ac:dyDescent="0.25">
      <c r="B147" s="82" t="s">
        <v>46</v>
      </c>
      <c r="C147" s="45" t="s">
        <v>116</v>
      </c>
      <c r="D147" s="44">
        <v>1</v>
      </c>
      <c r="E147" s="43">
        <v>4.0617384240454913E-4</v>
      </c>
    </row>
    <row r="148" spans="2:5" ht="15" customHeight="1" x14ac:dyDescent="0.25">
      <c r="B148" s="84"/>
      <c r="C148" s="45" t="s">
        <v>119</v>
      </c>
      <c r="D148" s="44">
        <v>9</v>
      </c>
      <c r="E148" s="43">
        <v>3.6555645816409425E-3</v>
      </c>
    </row>
    <row r="149" spans="2:5" ht="15" customHeight="1" x14ac:dyDescent="0.25">
      <c r="B149" s="84"/>
      <c r="C149" s="45" t="s">
        <v>113</v>
      </c>
      <c r="D149" s="44">
        <v>1</v>
      </c>
      <c r="E149" s="43">
        <v>4.0617384240454913E-4</v>
      </c>
    </row>
    <row r="150" spans="2:5" ht="15" customHeight="1" x14ac:dyDescent="0.25">
      <c r="B150" s="84"/>
      <c r="C150" s="45" t="s">
        <v>111</v>
      </c>
      <c r="D150" s="44">
        <v>3</v>
      </c>
      <c r="E150" s="43">
        <v>1.2185215272136475E-3</v>
      </c>
    </row>
    <row r="151" spans="2:5" ht="15" customHeight="1" x14ac:dyDescent="0.25">
      <c r="B151" s="84"/>
      <c r="C151" s="45" t="s">
        <v>117</v>
      </c>
      <c r="D151" s="44">
        <v>5</v>
      </c>
      <c r="E151" s="43">
        <v>2.0308692120227455E-3</v>
      </c>
    </row>
    <row r="152" spans="2:5" ht="15" customHeight="1" x14ac:dyDescent="0.25">
      <c r="B152" s="84"/>
      <c r="C152" s="45" t="s">
        <v>118</v>
      </c>
      <c r="D152" s="44">
        <v>13</v>
      </c>
      <c r="E152" s="43">
        <v>5.280259951259139E-3</v>
      </c>
    </row>
    <row r="153" spans="2:5" ht="15" customHeight="1" x14ac:dyDescent="0.25">
      <c r="B153" s="84"/>
      <c r="C153" s="45" t="s">
        <v>115</v>
      </c>
      <c r="D153" s="44">
        <v>1</v>
      </c>
      <c r="E153" s="43">
        <v>4.0617384240454913E-4</v>
      </c>
    </row>
    <row r="154" spans="2:5" ht="15" customHeight="1" x14ac:dyDescent="0.25">
      <c r="B154" s="83"/>
      <c r="C154" s="42" t="s">
        <v>20</v>
      </c>
      <c r="D154" s="41">
        <v>33</v>
      </c>
      <c r="E154" s="40">
        <v>1.3403736799350122E-2</v>
      </c>
    </row>
    <row r="155" spans="2:5" ht="15" customHeight="1" x14ac:dyDescent="0.25">
      <c r="B155" s="82" t="s">
        <v>32</v>
      </c>
      <c r="C155" s="45" t="s">
        <v>119</v>
      </c>
      <c r="D155" s="44">
        <v>5</v>
      </c>
      <c r="E155" s="43">
        <v>2.0308692120227455E-3</v>
      </c>
    </row>
    <row r="156" spans="2:5" ht="15" customHeight="1" x14ac:dyDescent="0.25">
      <c r="B156" s="84"/>
      <c r="C156" s="45" t="s">
        <v>117</v>
      </c>
      <c r="D156" s="44">
        <v>1</v>
      </c>
      <c r="E156" s="43">
        <v>4.0617384240454913E-4</v>
      </c>
    </row>
    <row r="157" spans="2:5" ht="15" customHeight="1" x14ac:dyDescent="0.25">
      <c r="B157" s="84"/>
      <c r="C157" s="45" t="s">
        <v>118</v>
      </c>
      <c r="D157" s="44">
        <v>1</v>
      </c>
      <c r="E157" s="43">
        <v>4.0617384240454913E-4</v>
      </c>
    </row>
    <row r="158" spans="2:5" ht="15" customHeight="1" x14ac:dyDescent="0.25">
      <c r="B158" s="84"/>
      <c r="C158" s="45" t="s">
        <v>115</v>
      </c>
      <c r="D158" s="44">
        <v>2</v>
      </c>
      <c r="E158" s="43">
        <v>8.1234768480909826E-4</v>
      </c>
    </row>
    <row r="159" spans="2:5" ht="15" customHeight="1" x14ac:dyDescent="0.25">
      <c r="B159" s="83"/>
      <c r="C159" s="42" t="s">
        <v>20</v>
      </c>
      <c r="D159" s="41">
        <v>9</v>
      </c>
      <c r="E159" s="40">
        <v>3.6555645816409425E-3</v>
      </c>
    </row>
    <row r="160" spans="2:5" ht="15" customHeight="1" x14ac:dyDescent="0.25">
      <c r="B160" s="82" t="s">
        <v>43</v>
      </c>
      <c r="C160" s="45" t="s">
        <v>119</v>
      </c>
      <c r="D160" s="44">
        <v>2</v>
      </c>
      <c r="E160" s="43">
        <v>8.1234768480909826E-4</v>
      </c>
    </row>
    <row r="161" spans="2:5" ht="15" customHeight="1" x14ac:dyDescent="0.25">
      <c r="B161" s="84"/>
      <c r="C161" s="45" t="s">
        <v>117</v>
      </c>
      <c r="D161" s="44">
        <v>1</v>
      </c>
      <c r="E161" s="43">
        <v>4.0617384240454913E-4</v>
      </c>
    </row>
    <row r="162" spans="2:5" ht="15" customHeight="1" x14ac:dyDescent="0.25">
      <c r="B162" s="84"/>
      <c r="C162" s="45" t="s">
        <v>118</v>
      </c>
      <c r="D162" s="44">
        <v>4</v>
      </c>
      <c r="E162" s="43">
        <v>1.6246953696181965E-3</v>
      </c>
    </row>
    <row r="163" spans="2:5" ht="15" customHeight="1" x14ac:dyDescent="0.25">
      <c r="B163" s="83"/>
      <c r="C163" s="42" t="s">
        <v>20</v>
      </c>
      <c r="D163" s="41">
        <v>7</v>
      </c>
      <c r="E163" s="40">
        <v>2.843216896831844E-3</v>
      </c>
    </row>
    <row r="164" spans="2:5" ht="15" customHeight="1" x14ac:dyDescent="0.25">
      <c r="B164" s="82" t="s">
        <v>54</v>
      </c>
      <c r="C164" s="45" t="s">
        <v>116</v>
      </c>
      <c r="D164" s="44">
        <v>1</v>
      </c>
      <c r="E164" s="43">
        <v>4.0617384240454913E-4</v>
      </c>
    </row>
    <row r="165" spans="2:5" ht="15" customHeight="1" x14ac:dyDescent="0.25">
      <c r="B165" s="84"/>
      <c r="C165" s="45" t="s">
        <v>119</v>
      </c>
      <c r="D165" s="44">
        <v>12</v>
      </c>
      <c r="E165" s="43">
        <v>4.87408610885459E-3</v>
      </c>
    </row>
    <row r="166" spans="2:5" ht="15" customHeight="1" x14ac:dyDescent="0.25">
      <c r="B166" s="84"/>
      <c r="C166" s="45" t="s">
        <v>112</v>
      </c>
      <c r="D166" s="44">
        <v>4</v>
      </c>
      <c r="E166" s="43">
        <v>1.6246953696181965E-3</v>
      </c>
    </row>
    <row r="167" spans="2:5" ht="15" customHeight="1" x14ac:dyDescent="0.25">
      <c r="B167" s="84"/>
      <c r="C167" s="45" t="s">
        <v>113</v>
      </c>
      <c r="D167" s="44">
        <v>3</v>
      </c>
      <c r="E167" s="43">
        <v>1.2185215272136475E-3</v>
      </c>
    </row>
    <row r="168" spans="2:5" ht="15" customHeight="1" x14ac:dyDescent="0.25">
      <c r="B168" s="84"/>
      <c r="C168" s="45" t="s">
        <v>111</v>
      </c>
      <c r="D168" s="44">
        <v>1</v>
      </c>
      <c r="E168" s="43">
        <v>4.0617384240454913E-4</v>
      </c>
    </row>
    <row r="169" spans="2:5" ht="15" customHeight="1" x14ac:dyDescent="0.25">
      <c r="B169" s="84"/>
      <c r="C169" s="45" t="s">
        <v>117</v>
      </c>
      <c r="D169" s="44">
        <v>2</v>
      </c>
      <c r="E169" s="43">
        <v>8.1234768480909826E-4</v>
      </c>
    </row>
    <row r="170" spans="2:5" ht="15" customHeight="1" x14ac:dyDescent="0.25">
      <c r="B170" s="84"/>
      <c r="C170" s="45" t="s">
        <v>110</v>
      </c>
      <c r="D170" s="44">
        <v>1</v>
      </c>
      <c r="E170" s="43">
        <v>4.0617384240454913E-4</v>
      </c>
    </row>
    <row r="171" spans="2:5" ht="15" customHeight="1" x14ac:dyDescent="0.25">
      <c r="B171" s="84"/>
      <c r="C171" s="45" t="s">
        <v>118</v>
      </c>
      <c r="D171" s="44">
        <v>21</v>
      </c>
      <c r="E171" s="43">
        <v>8.529650690495532E-3</v>
      </c>
    </row>
    <row r="172" spans="2:5" ht="15" customHeight="1" x14ac:dyDescent="0.25">
      <c r="B172" s="83"/>
      <c r="C172" s="42" t="s">
        <v>20</v>
      </c>
      <c r="D172" s="41">
        <v>45</v>
      </c>
      <c r="E172" s="40">
        <v>1.8277822908204712E-2</v>
      </c>
    </row>
    <row r="173" spans="2:5" ht="15" customHeight="1" x14ac:dyDescent="0.25">
      <c r="B173" s="82" t="s">
        <v>31</v>
      </c>
      <c r="C173" s="45" t="s">
        <v>119</v>
      </c>
      <c r="D173" s="44">
        <v>2</v>
      </c>
      <c r="E173" s="43">
        <v>8.1234768480909826E-4</v>
      </c>
    </row>
    <row r="174" spans="2:5" ht="15" customHeight="1" x14ac:dyDescent="0.25">
      <c r="B174" s="84"/>
      <c r="C174" s="45" t="s">
        <v>112</v>
      </c>
      <c r="D174" s="44">
        <v>1</v>
      </c>
      <c r="E174" s="43">
        <v>4.0617384240454913E-4</v>
      </c>
    </row>
    <row r="175" spans="2:5" ht="15" customHeight="1" x14ac:dyDescent="0.25">
      <c r="B175" s="84"/>
      <c r="C175" s="45" t="s">
        <v>117</v>
      </c>
      <c r="D175" s="44">
        <v>2</v>
      </c>
      <c r="E175" s="43">
        <v>8.1234768480909826E-4</v>
      </c>
    </row>
    <row r="176" spans="2:5" ht="15" customHeight="1" x14ac:dyDescent="0.25">
      <c r="B176" s="84"/>
      <c r="C176" s="45" t="s">
        <v>110</v>
      </c>
      <c r="D176" s="44">
        <v>1</v>
      </c>
      <c r="E176" s="43">
        <v>4.0617384240454913E-4</v>
      </c>
    </row>
    <row r="177" spans="2:5" ht="15" customHeight="1" x14ac:dyDescent="0.25">
      <c r="B177" s="84"/>
      <c r="C177" s="45" t="s">
        <v>118</v>
      </c>
      <c r="D177" s="44">
        <v>3</v>
      </c>
      <c r="E177" s="43">
        <v>1.2185215272136475E-3</v>
      </c>
    </row>
    <row r="178" spans="2:5" ht="15" customHeight="1" x14ac:dyDescent="0.25">
      <c r="B178" s="83"/>
      <c r="C178" s="42" t="s">
        <v>20</v>
      </c>
      <c r="D178" s="41">
        <v>9</v>
      </c>
      <c r="E178" s="40">
        <v>3.6555645816409425E-3</v>
      </c>
    </row>
    <row r="179" spans="2:5" ht="15" customHeight="1" x14ac:dyDescent="0.25">
      <c r="B179" s="82" t="s">
        <v>22</v>
      </c>
      <c r="C179" s="45" t="s">
        <v>117</v>
      </c>
      <c r="D179" s="44">
        <v>1</v>
      </c>
      <c r="E179" s="43">
        <v>4.0617384240454913E-4</v>
      </c>
    </row>
    <row r="180" spans="2:5" ht="15" customHeight="1" x14ac:dyDescent="0.25">
      <c r="B180" s="83"/>
      <c r="C180" s="42" t="s">
        <v>20</v>
      </c>
      <c r="D180" s="41">
        <v>1</v>
      </c>
      <c r="E180" s="40">
        <v>4.0617384240454913E-4</v>
      </c>
    </row>
    <row r="181" spans="2:5" ht="15" customHeight="1" x14ac:dyDescent="0.25">
      <c r="B181" s="82" t="s">
        <v>45</v>
      </c>
      <c r="C181" s="45" t="s">
        <v>119</v>
      </c>
      <c r="D181" s="44">
        <v>3</v>
      </c>
      <c r="E181" s="43">
        <v>1.2185215272136475E-3</v>
      </c>
    </row>
    <row r="182" spans="2:5" ht="15" customHeight="1" x14ac:dyDescent="0.25">
      <c r="B182" s="84"/>
      <c r="C182" s="45" t="s">
        <v>112</v>
      </c>
      <c r="D182" s="44">
        <v>1</v>
      </c>
      <c r="E182" s="43">
        <v>4.0617384240454913E-4</v>
      </c>
    </row>
    <row r="183" spans="2:5" ht="15" customHeight="1" x14ac:dyDescent="0.25">
      <c r="B183" s="84"/>
      <c r="C183" s="45" t="s">
        <v>113</v>
      </c>
      <c r="D183" s="44">
        <v>1</v>
      </c>
      <c r="E183" s="43">
        <v>4.0617384240454913E-4</v>
      </c>
    </row>
    <row r="184" spans="2:5" ht="15" customHeight="1" x14ac:dyDescent="0.25">
      <c r="B184" s="84"/>
      <c r="C184" s="45" t="s">
        <v>117</v>
      </c>
      <c r="D184" s="44">
        <v>2</v>
      </c>
      <c r="E184" s="43">
        <v>8.1234768480909826E-4</v>
      </c>
    </row>
    <row r="185" spans="2:5" ht="15" customHeight="1" x14ac:dyDescent="0.25">
      <c r="B185" s="84"/>
      <c r="C185" s="45" t="s">
        <v>118</v>
      </c>
      <c r="D185" s="44">
        <v>2</v>
      </c>
      <c r="E185" s="43">
        <v>8.1234768480909826E-4</v>
      </c>
    </row>
    <row r="186" spans="2:5" ht="15" customHeight="1" x14ac:dyDescent="0.25">
      <c r="B186" s="84"/>
      <c r="C186" s="45" t="s">
        <v>115</v>
      </c>
      <c r="D186" s="44">
        <v>1</v>
      </c>
      <c r="E186" s="43">
        <v>4.0617384240454913E-4</v>
      </c>
    </row>
    <row r="187" spans="2:5" ht="15" customHeight="1" x14ac:dyDescent="0.25">
      <c r="B187" s="83"/>
      <c r="C187" s="42" t="s">
        <v>20</v>
      </c>
      <c r="D187" s="41">
        <v>10</v>
      </c>
      <c r="E187" s="40">
        <v>4.0617384240454911E-3</v>
      </c>
    </row>
    <row r="188" spans="2:5" ht="15" customHeight="1" x14ac:dyDescent="0.25">
      <c r="B188" s="82" t="s">
        <v>58</v>
      </c>
      <c r="C188" s="45" t="s">
        <v>116</v>
      </c>
      <c r="D188" s="44">
        <v>5</v>
      </c>
      <c r="E188" s="43">
        <v>2.0308692120227455E-3</v>
      </c>
    </row>
    <row r="189" spans="2:5" ht="15" customHeight="1" x14ac:dyDescent="0.25">
      <c r="B189" s="84"/>
      <c r="C189" s="45" t="s">
        <v>119</v>
      </c>
      <c r="D189" s="44">
        <v>60</v>
      </c>
      <c r="E189" s="43">
        <v>2.4370430544272948E-2</v>
      </c>
    </row>
    <row r="190" spans="2:5" ht="15" customHeight="1" x14ac:dyDescent="0.25">
      <c r="B190" s="84"/>
      <c r="C190" s="45" t="s">
        <v>112</v>
      </c>
      <c r="D190" s="44">
        <v>1</v>
      </c>
      <c r="E190" s="43">
        <v>4.0617384240454913E-4</v>
      </c>
    </row>
    <row r="191" spans="2:5" ht="15" customHeight="1" x14ac:dyDescent="0.25">
      <c r="B191" s="84"/>
      <c r="C191" s="45" t="s">
        <v>114</v>
      </c>
      <c r="D191" s="44">
        <v>3</v>
      </c>
      <c r="E191" s="43">
        <v>1.2185215272136475E-3</v>
      </c>
    </row>
    <row r="192" spans="2:5" ht="15" customHeight="1" x14ac:dyDescent="0.25">
      <c r="B192" s="84"/>
      <c r="C192" s="45" t="s">
        <v>113</v>
      </c>
      <c r="D192" s="44">
        <v>9</v>
      </c>
      <c r="E192" s="43">
        <v>3.6555645816409425E-3</v>
      </c>
    </row>
    <row r="193" spans="2:5" ht="15" customHeight="1" x14ac:dyDescent="0.25">
      <c r="B193" s="84"/>
      <c r="C193" s="45" t="s">
        <v>111</v>
      </c>
      <c r="D193" s="44">
        <v>3</v>
      </c>
      <c r="E193" s="43">
        <v>1.2185215272136475E-3</v>
      </c>
    </row>
    <row r="194" spans="2:5" ht="15" customHeight="1" x14ac:dyDescent="0.25">
      <c r="B194" s="84"/>
      <c r="C194" s="45" t="s">
        <v>117</v>
      </c>
      <c r="D194" s="44">
        <v>40</v>
      </c>
      <c r="E194" s="43">
        <v>1.6246953696181964E-2</v>
      </c>
    </row>
    <row r="195" spans="2:5" ht="15" customHeight="1" x14ac:dyDescent="0.25">
      <c r="B195" s="84"/>
      <c r="C195" s="45" t="s">
        <v>110</v>
      </c>
      <c r="D195" s="44">
        <v>2</v>
      </c>
      <c r="E195" s="43">
        <v>8.1234768480909826E-4</v>
      </c>
    </row>
    <row r="196" spans="2:5" ht="15" customHeight="1" x14ac:dyDescent="0.25">
      <c r="B196" s="84"/>
      <c r="C196" s="45" t="s">
        <v>118</v>
      </c>
      <c r="D196" s="44">
        <v>36</v>
      </c>
      <c r="E196" s="43">
        <v>1.462225832656377E-2</v>
      </c>
    </row>
    <row r="197" spans="2:5" ht="15" customHeight="1" x14ac:dyDescent="0.25">
      <c r="B197" s="84"/>
      <c r="C197" s="45" t="s">
        <v>115</v>
      </c>
      <c r="D197" s="44">
        <v>5</v>
      </c>
      <c r="E197" s="43">
        <v>2.0308692120227455E-3</v>
      </c>
    </row>
    <row r="198" spans="2:5" ht="15" customHeight="1" x14ac:dyDescent="0.25">
      <c r="B198" s="83"/>
      <c r="C198" s="42" t="s">
        <v>20</v>
      </c>
      <c r="D198" s="41">
        <v>164</v>
      </c>
      <c r="E198" s="40">
        <v>6.6612510154346063E-2</v>
      </c>
    </row>
    <row r="199" spans="2:5" ht="15" customHeight="1" x14ac:dyDescent="0.25">
      <c r="B199" s="82" t="s">
        <v>53</v>
      </c>
      <c r="C199" s="45" t="s">
        <v>116</v>
      </c>
      <c r="D199" s="44">
        <v>1</v>
      </c>
      <c r="E199" s="43">
        <v>4.0617384240454913E-4</v>
      </c>
    </row>
    <row r="200" spans="2:5" ht="15" customHeight="1" x14ac:dyDescent="0.25">
      <c r="B200" s="84"/>
      <c r="C200" s="45" t="s">
        <v>119</v>
      </c>
      <c r="D200" s="44">
        <v>13</v>
      </c>
      <c r="E200" s="43">
        <v>5.280259951259139E-3</v>
      </c>
    </row>
    <row r="201" spans="2:5" ht="15" customHeight="1" x14ac:dyDescent="0.25">
      <c r="B201" s="84"/>
      <c r="C201" s="45" t="s">
        <v>112</v>
      </c>
      <c r="D201" s="44">
        <v>2</v>
      </c>
      <c r="E201" s="43">
        <v>8.1234768480909826E-4</v>
      </c>
    </row>
    <row r="202" spans="2:5" ht="15" customHeight="1" x14ac:dyDescent="0.25">
      <c r="B202" s="84"/>
      <c r="C202" s="45" t="s">
        <v>113</v>
      </c>
      <c r="D202" s="44">
        <v>2</v>
      </c>
      <c r="E202" s="43">
        <v>8.1234768480909826E-4</v>
      </c>
    </row>
    <row r="203" spans="2:5" ht="15" customHeight="1" x14ac:dyDescent="0.25">
      <c r="B203" s="84"/>
      <c r="C203" s="45" t="s">
        <v>111</v>
      </c>
      <c r="D203" s="44">
        <v>4</v>
      </c>
      <c r="E203" s="43">
        <v>1.6246953696181965E-3</v>
      </c>
    </row>
    <row r="204" spans="2:5" ht="15" customHeight="1" x14ac:dyDescent="0.25">
      <c r="B204" s="84"/>
      <c r="C204" s="45" t="s">
        <v>117</v>
      </c>
      <c r="D204" s="44">
        <v>10</v>
      </c>
      <c r="E204" s="43">
        <v>4.0617384240454911E-3</v>
      </c>
    </row>
    <row r="205" spans="2:5" ht="15" customHeight="1" x14ac:dyDescent="0.25">
      <c r="B205" s="84"/>
      <c r="C205" s="45" t="s">
        <v>118</v>
      </c>
      <c r="D205" s="44">
        <v>7</v>
      </c>
      <c r="E205" s="43">
        <v>2.843216896831844E-3</v>
      </c>
    </row>
    <row r="206" spans="2:5" ht="15" customHeight="1" x14ac:dyDescent="0.25">
      <c r="B206" s="84"/>
      <c r="C206" s="45" t="s">
        <v>115</v>
      </c>
      <c r="D206" s="44">
        <v>1</v>
      </c>
      <c r="E206" s="43">
        <v>4.0617384240454913E-4</v>
      </c>
    </row>
    <row r="207" spans="2:5" ht="15" customHeight="1" x14ac:dyDescent="0.25">
      <c r="B207" s="83"/>
      <c r="C207" s="42" t="s">
        <v>20</v>
      </c>
      <c r="D207" s="41">
        <v>40</v>
      </c>
      <c r="E207" s="40">
        <v>1.6246953696181964E-2</v>
      </c>
    </row>
    <row r="208" spans="2:5" ht="15" customHeight="1" x14ac:dyDescent="0.25">
      <c r="B208" s="82" t="s">
        <v>21</v>
      </c>
      <c r="C208" s="45" t="s">
        <v>112</v>
      </c>
      <c r="D208" s="44">
        <v>1</v>
      </c>
      <c r="E208" s="43">
        <v>4.0617384240454913E-4</v>
      </c>
    </row>
    <row r="209" spans="2:5" ht="15" customHeight="1" x14ac:dyDescent="0.25">
      <c r="B209" s="83"/>
      <c r="C209" s="42" t="s">
        <v>20</v>
      </c>
      <c r="D209" s="41">
        <v>1</v>
      </c>
      <c r="E209" s="40">
        <v>4.0617384240454913E-4</v>
      </c>
    </row>
    <row r="210" spans="2:5" ht="15" customHeight="1" x14ac:dyDescent="0.25">
      <c r="B210" s="82" t="s">
        <v>42</v>
      </c>
      <c r="C210" s="45" t="s">
        <v>117</v>
      </c>
      <c r="D210" s="44">
        <v>1</v>
      </c>
      <c r="E210" s="43">
        <v>4.0617384240454913E-4</v>
      </c>
    </row>
    <row r="211" spans="2:5" ht="15" customHeight="1" x14ac:dyDescent="0.25">
      <c r="B211" s="83"/>
      <c r="C211" s="42" t="s">
        <v>20</v>
      </c>
      <c r="D211" s="41">
        <v>1</v>
      </c>
      <c r="E211" s="40">
        <v>4.0617384240454913E-4</v>
      </c>
    </row>
    <row r="212" spans="2:5" ht="15" customHeight="1" x14ac:dyDescent="0.25">
      <c r="B212" s="82" t="s">
        <v>56</v>
      </c>
      <c r="C212" s="45" t="s">
        <v>116</v>
      </c>
      <c r="D212" s="44">
        <v>6</v>
      </c>
      <c r="E212" s="43">
        <v>2.437043054427295E-3</v>
      </c>
    </row>
    <row r="213" spans="2:5" ht="15" customHeight="1" x14ac:dyDescent="0.25">
      <c r="B213" s="84"/>
      <c r="C213" s="45" t="s">
        <v>119</v>
      </c>
      <c r="D213" s="44">
        <v>11</v>
      </c>
      <c r="E213" s="43">
        <v>4.4679122664500409E-3</v>
      </c>
    </row>
    <row r="214" spans="2:5" ht="15" customHeight="1" x14ac:dyDescent="0.25">
      <c r="B214" s="84"/>
      <c r="C214" s="45" t="s">
        <v>112</v>
      </c>
      <c r="D214" s="44">
        <v>1</v>
      </c>
      <c r="E214" s="43">
        <v>4.0617384240454913E-4</v>
      </c>
    </row>
    <row r="215" spans="2:5" ht="15" customHeight="1" x14ac:dyDescent="0.25">
      <c r="B215" s="84"/>
      <c r="C215" s="45" t="s">
        <v>114</v>
      </c>
      <c r="D215" s="44">
        <v>2</v>
      </c>
      <c r="E215" s="43">
        <v>8.1234768480909826E-4</v>
      </c>
    </row>
    <row r="216" spans="2:5" ht="15" customHeight="1" x14ac:dyDescent="0.25">
      <c r="B216" s="84"/>
      <c r="C216" s="45" t="s">
        <v>111</v>
      </c>
      <c r="D216" s="44">
        <v>2</v>
      </c>
      <c r="E216" s="43">
        <v>8.1234768480909826E-4</v>
      </c>
    </row>
    <row r="217" spans="2:5" ht="15" customHeight="1" x14ac:dyDescent="0.25">
      <c r="B217" s="84"/>
      <c r="C217" s="45" t="s">
        <v>117</v>
      </c>
      <c r="D217" s="44">
        <v>8</v>
      </c>
      <c r="E217" s="43">
        <v>3.249390739236393E-3</v>
      </c>
    </row>
    <row r="218" spans="2:5" ht="15" customHeight="1" x14ac:dyDescent="0.25">
      <c r="B218" s="84"/>
      <c r="C218" s="45" t="s">
        <v>110</v>
      </c>
      <c r="D218" s="44">
        <v>1</v>
      </c>
      <c r="E218" s="43">
        <v>4.0617384240454913E-4</v>
      </c>
    </row>
    <row r="219" spans="2:5" ht="15" customHeight="1" x14ac:dyDescent="0.25">
      <c r="B219" s="84"/>
      <c r="C219" s="45" t="s">
        <v>118</v>
      </c>
      <c r="D219" s="44">
        <v>14</v>
      </c>
      <c r="E219" s="43">
        <v>5.686433793663688E-3</v>
      </c>
    </row>
    <row r="220" spans="2:5" ht="15" customHeight="1" x14ac:dyDescent="0.25">
      <c r="B220" s="84"/>
      <c r="C220" s="45" t="s">
        <v>115</v>
      </c>
      <c r="D220" s="44">
        <v>3</v>
      </c>
      <c r="E220" s="43">
        <v>1.2185215272136475E-3</v>
      </c>
    </row>
    <row r="221" spans="2:5" ht="15" customHeight="1" x14ac:dyDescent="0.25">
      <c r="B221" s="83"/>
      <c r="C221" s="42" t="s">
        <v>20</v>
      </c>
      <c r="D221" s="41">
        <v>48</v>
      </c>
      <c r="E221" s="40">
        <v>1.949634443541836E-2</v>
      </c>
    </row>
    <row r="222" spans="2:5" ht="15" customHeight="1" x14ac:dyDescent="0.25">
      <c r="B222" s="82" t="s">
        <v>34</v>
      </c>
      <c r="C222" s="45" t="s">
        <v>119</v>
      </c>
      <c r="D222" s="44">
        <v>1</v>
      </c>
      <c r="E222" s="43">
        <v>4.0617384240454913E-4</v>
      </c>
    </row>
    <row r="223" spans="2:5" ht="15" customHeight="1" x14ac:dyDescent="0.25">
      <c r="B223" s="84"/>
      <c r="C223" s="45" t="s">
        <v>117</v>
      </c>
      <c r="D223" s="44">
        <v>2</v>
      </c>
      <c r="E223" s="43">
        <v>8.1234768480909826E-4</v>
      </c>
    </row>
    <row r="224" spans="2:5" ht="15" customHeight="1" x14ac:dyDescent="0.25">
      <c r="B224" s="84"/>
      <c r="C224" s="45" t="s">
        <v>110</v>
      </c>
      <c r="D224" s="44">
        <v>1</v>
      </c>
      <c r="E224" s="43">
        <v>4.0617384240454913E-4</v>
      </c>
    </row>
    <row r="225" spans="2:5" ht="15" customHeight="1" x14ac:dyDescent="0.25">
      <c r="B225" s="84"/>
      <c r="C225" s="45" t="s">
        <v>118</v>
      </c>
      <c r="D225" s="44">
        <v>2</v>
      </c>
      <c r="E225" s="43">
        <v>8.1234768480909826E-4</v>
      </c>
    </row>
    <row r="226" spans="2:5" ht="15" customHeight="1" x14ac:dyDescent="0.25">
      <c r="B226" s="83"/>
      <c r="C226" s="42" t="s">
        <v>20</v>
      </c>
      <c r="D226" s="41">
        <v>6</v>
      </c>
      <c r="E226" s="40">
        <v>2.437043054427295E-3</v>
      </c>
    </row>
    <row r="227" spans="2:5" ht="15" customHeight="1" x14ac:dyDescent="0.25">
      <c r="B227" s="82" t="s">
        <v>24</v>
      </c>
      <c r="C227" s="45" t="s">
        <v>116</v>
      </c>
      <c r="D227" s="44">
        <v>1</v>
      </c>
      <c r="E227" s="43">
        <v>4.0617384240454913E-4</v>
      </c>
    </row>
    <row r="228" spans="2:5" ht="15" customHeight="1" x14ac:dyDescent="0.25">
      <c r="B228" s="84"/>
      <c r="C228" s="45" t="s">
        <v>119</v>
      </c>
      <c r="D228" s="44">
        <v>5</v>
      </c>
      <c r="E228" s="43">
        <v>2.0308692120227455E-3</v>
      </c>
    </row>
    <row r="229" spans="2:5" ht="15" customHeight="1" x14ac:dyDescent="0.25">
      <c r="B229" s="84"/>
      <c r="C229" s="45" t="s">
        <v>117</v>
      </c>
      <c r="D229" s="44">
        <v>1</v>
      </c>
      <c r="E229" s="43">
        <v>4.0617384240454913E-4</v>
      </c>
    </row>
    <row r="230" spans="2:5" ht="15" customHeight="1" x14ac:dyDescent="0.25">
      <c r="B230" s="84"/>
      <c r="C230" s="45" t="s">
        <v>118</v>
      </c>
      <c r="D230" s="44">
        <v>2</v>
      </c>
      <c r="E230" s="43">
        <v>8.1234768480909826E-4</v>
      </c>
    </row>
    <row r="231" spans="2:5" ht="15" customHeight="1" x14ac:dyDescent="0.25">
      <c r="B231" s="83"/>
      <c r="C231" s="42" t="s">
        <v>20</v>
      </c>
      <c r="D231" s="41">
        <v>9</v>
      </c>
      <c r="E231" s="40">
        <v>3.6555645816409425E-3</v>
      </c>
    </row>
    <row r="232" spans="2:5" ht="15" customHeight="1" x14ac:dyDescent="0.25">
      <c r="B232" s="80" t="s">
        <v>20</v>
      </c>
      <c r="C232" s="81"/>
      <c r="D232" s="39">
        <v>2462</v>
      </c>
      <c r="E232" s="38">
        <v>1</v>
      </c>
    </row>
    <row r="234" spans="2:5" ht="15" customHeight="1" x14ac:dyDescent="0.25">
      <c r="B234" s="19" t="s">
        <v>191</v>
      </c>
    </row>
    <row r="235" spans="2:5" ht="15" customHeight="1" x14ac:dyDescent="0.25">
      <c r="B235" s="21" t="s">
        <v>19</v>
      </c>
    </row>
    <row r="236" spans="2:5" ht="15" customHeight="1" x14ac:dyDescent="0.25">
      <c r="B236" s="20" t="s">
        <v>18</v>
      </c>
    </row>
    <row r="237" spans="2:5" ht="15" customHeight="1" x14ac:dyDescent="0.25">
      <c r="B237" s="19" t="s">
        <v>17</v>
      </c>
    </row>
    <row r="238" spans="2:5" ht="15" customHeight="1" x14ac:dyDescent="0.25">
      <c r="B238" s="19" t="s">
        <v>192</v>
      </c>
    </row>
  </sheetData>
  <mergeCells count="41">
    <mergeCell ref="B10:B12"/>
    <mergeCell ref="B13:B20"/>
    <mergeCell ref="B21:B24"/>
    <mergeCell ref="B25:B35"/>
    <mergeCell ref="B36:B42"/>
    <mergeCell ref="B7:E8"/>
    <mergeCell ref="B60:B68"/>
    <mergeCell ref="B69:B78"/>
    <mergeCell ref="B79:B85"/>
    <mergeCell ref="B86:B90"/>
    <mergeCell ref="B91:B94"/>
    <mergeCell ref="B95:B97"/>
    <mergeCell ref="B98:B100"/>
    <mergeCell ref="B101:B103"/>
    <mergeCell ref="B104:B107"/>
    <mergeCell ref="B43:B45"/>
    <mergeCell ref="B46:B54"/>
    <mergeCell ref="B55:B59"/>
    <mergeCell ref="B122:B132"/>
    <mergeCell ref="B133:B134"/>
    <mergeCell ref="B135:B137"/>
    <mergeCell ref="B138:B141"/>
    <mergeCell ref="B142:B146"/>
    <mergeCell ref="B147:B154"/>
    <mergeCell ref="B108:B111"/>
    <mergeCell ref="B112:B116"/>
    <mergeCell ref="B117:B121"/>
    <mergeCell ref="B155:B159"/>
    <mergeCell ref="B160:B163"/>
    <mergeCell ref="B164:B172"/>
    <mergeCell ref="B173:B178"/>
    <mergeCell ref="B179:B180"/>
    <mergeCell ref="B181:B187"/>
    <mergeCell ref="B188:B198"/>
    <mergeCell ref="B199:B207"/>
    <mergeCell ref="B208:B209"/>
    <mergeCell ref="B210:B211"/>
    <mergeCell ref="B212:B221"/>
    <mergeCell ref="B222:B226"/>
    <mergeCell ref="B227:B231"/>
    <mergeCell ref="B232:C232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321"/>
  <sheetViews>
    <sheetView zoomScale="85" zoomScaleNormal="85" zoomScaleSheetLayoutView="85" workbookViewId="0">
      <selection activeCell="G1" sqref="G1"/>
    </sheetView>
  </sheetViews>
  <sheetFormatPr baseColWidth="10" defaultColWidth="35" defaultRowHeight="15" customHeight="1" x14ac:dyDescent="0.25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3" customFormat="1" ht="12" customHeight="1" x14ac:dyDescent="0.2">
      <c r="B1" s="57"/>
      <c r="C1" s="56"/>
      <c r="D1" s="56"/>
      <c r="E1" s="56"/>
    </row>
    <row r="2" spans="1:5" s="53" customFormat="1" ht="15" customHeight="1" x14ac:dyDescent="0.2">
      <c r="C2" s="55"/>
    </row>
    <row r="3" spans="1:5" s="53" customFormat="1" ht="15" customHeight="1" x14ac:dyDescent="0.2">
      <c r="C3" s="55"/>
    </row>
    <row r="4" spans="1:5" s="53" customFormat="1" ht="30" customHeight="1" x14ac:dyDescent="0.2">
      <c r="C4" s="55"/>
      <c r="D4" s="54"/>
    </row>
    <row r="5" spans="1:5" s="53" customFormat="1" ht="15" customHeight="1" x14ac:dyDescent="0.2">
      <c r="C5" s="55"/>
      <c r="D5" s="54"/>
    </row>
    <row r="6" spans="1:5" s="50" customFormat="1" ht="24" customHeight="1" x14ac:dyDescent="0.2">
      <c r="B6" s="52"/>
      <c r="C6" s="46"/>
      <c r="D6" s="46"/>
      <c r="E6" s="46"/>
    </row>
    <row r="7" spans="1:5" s="50" customFormat="1" ht="26.25" customHeight="1" x14ac:dyDescent="0.3">
      <c r="A7" s="51"/>
      <c r="B7" s="85"/>
      <c r="C7" s="85"/>
      <c r="D7" s="85"/>
      <c r="E7" s="85"/>
    </row>
    <row r="8" spans="1:5" s="50" customFormat="1" ht="33" customHeight="1" x14ac:dyDescent="0.3">
      <c r="A8" s="51"/>
      <c r="B8" s="85"/>
      <c r="C8" s="85"/>
      <c r="D8" s="85"/>
      <c r="E8" s="85"/>
    </row>
    <row r="9" spans="1:5" s="29" customFormat="1" ht="40.5" customHeight="1" x14ac:dyDescent="0.2">
      <c r="B9" s="47" t="s">
        <v>109</v>
      </c>
      <c r="C9" s="49" t="s">
        <v>121</v>
      </c>
      <c r="D9" s="48" t="s">
        <v>61</v>
      </c>
      <c r="E9" s="47" t="s">
        <v>60</v>
      </c>
    </row>
    <row r="10" spans="1:5" ht="15" customHeight="1" x14ac:dyDescent="0.25">
      <c r="B10" s="82" t="s">
        <v>72</v>
      </c>
      <c r="C10" s="45" t="s">
        <v>117</v>
      </c>
      <c r="D10" s="44">
        <v>3</v>
      </c>
      <c r="E10" s="43">
        <v>1.2185215272136475E-3</v>
      </c>
    </row>
    <row r="11" spans="1:5" ht="15" customHeight="1" x14ac:dyDescent="0.25">
      <c r="B11" s="84"/>
      <c r="C11" s="45" t="s">
        <v>118</v>
      </c>
      <c r="D11" s="44">
        <v>1</v>
      </c>
      <c r="E11" s="43">
        <v>4.0617384240454913E-4</v>
      </c>
    </row>
    <row r="12" spans="1:5" ht="15" customHeight="1" x14ac:dyDescent="0.25">
      <c r="B12" s="83"/>
      <c r="C12" s="42" t="s">
        <v>20</v>
      </c>
      <c r="D12" s="41">
        <v>4</v>
      </c>
      <c r="E12" s="40">
        <v>1.6246953696181965E-3</v>
      </c>
    </row>
    <row r="13" spans="1:5" ht="15" customHeight="1" x14ac:dyDescent="0.25">
      <c r="B13" s="82" t="s">
        <v>104</v>
      </c>
      <c r="C13" s="45" t="s">
        <v>119</v>
      </c>
      <c r="D13" s="44">
        <v>6</v>
      </c>
      <c r="E13" s="43">
        <v>2.437043054427295E-3</v>
      </c>
    </row>
    <row r="14" spans="1:5" ht="15" customHeight="1" x14ac:dyDescent="0.25">
      <c r="B14" s="84"/>
      <c r="C14" s="45" t="s">
        <v>112</v>
      </c>
      <c r="D14" s="44">
        <v>1</v>
      </c>
      <c r="E14" s="43">
        <v>4.0617384240454913E-4</v>
      </c>
    </row>
    <row r="15" spans="1:5" ht="15" customHeight="1" x14ac:dyDescent="0.25">
      <c r="B15" s="84"/>
      <c r="C15" s="45" t="s">
        <v>117</v>
      </c>
      <c r="D15" s="44">
        <v>6</v>
      </c>
      <c r="E15" s="43">
        <v>2.437043054427295E-3</v>
      </c>
    </row>
    <row r="16" spans="1:5" ht="15" customHeight="1" x14ac:dyDescent="0.25">
      <c r="B16" s="84"/>
      <c r="C16" s="45" t="s">
        <v>118</v>
      </c>
      <c r="D16" s="44">
        <v>9</v>
      </c>
      <c r="E16" s="43">
        <v>3.6555645816409425E-3</v>
      </c>
    </row>
    <row r="17" spans="2:5" ht="15" customHeight="1" x14ac:dyDescent="0.25">
      <c r="B17" s="84"/>
      <c r="C17" s="45" t="s">
        <v>115</v>
      </c>
      <c r="D17" s="44">
        <v>1</v>
      </c>
      <c r="E17" s="43">
        <v>4.0617384240454913E-4</v>
      </c>
    </row>
    <row r="18" spans="2:5" ht="15" customHeight="1" x14ac:dyDescent="0.25">
      <c r="B18" s="83"/>
      <c r="C18" s="42" t="s">
        <v>20</v>
      </c>
      <c r="D18" s="41">
        <v>23</v>
      </c>
      <c r="E18" s="40">
        <v>9.3419983753046301E-3</v>
      </c>
    </row>
    <row r="19" spans="2:5" ht="15" customHeight="1" x14ac:dyDescent="0.25">
      <c r="B19" s="82" t="s">
        <v>94</v>
      </c>
      <c r="C19" s="45" t="s">
        <v>116</v>
      </c>
      <c r="D19" s="44">
        <v>1</v>
      </c>
      <c r="E19" s="43">
        <v>4.0617384240454913E-4</v>
      </c>
    </row>
    <row r="20" spans="2:5" ht="15" customHeight="1" x14ac:dyDescent="0.25">
      <c r="B20" s="84"/>
      <c r="C20" s="45" t="s">
        <v>119</v>
      </c>
      <c r="D20" s="44">
        <v>4</v>
      </c>
      <c r="E20" s="43">
        <v>1.6246953696181965E-3</v>
      </c>
    </row>
    <row r="21" spans="2:5" ht="15" customHeight="1" x14ac:dyDescent="0.25">
      <c r="B21" s="84"/>
      <c r="C21" s="45" t="s">
        <v>117</v>
      </c>
      <c r="D21" s="44">
        <v>3</v>
      </c>
      <c r="E21" s="43">
        <v>1.2185215272136475E-3</v>
      </c>
    </row>
    <row r="22" spans="2:5" ht="15" customHeight="1" x14ac:dyDescent="0.25">
      <c r="B22" s="84"/>
      <c r="C22" s="45" t="s">
        <v>110</v>
      </c>
      <c r="D22" s="44">
        <v>1</v>
      </c>
      <c r="E22" s="43">
        <v>4.0617384240454913E-4</v>
      </c>
    </row>
    <row r="23" spans="2:5" ht="15" customHeight="1" x14ac:dyDescent="0.25">
      <c r="B23" s="84"/>
      <c r="C23" s="45" t="s">
        <v>118</v>
      </c>
      <c r="D23" s="44">
        <v>2</v>
      </c>
      <c r="E23" s="43">
        <v>8.1234768480909826E-4</v>
      </c>
    </row>
    <row r="24" spans="2:5" ht="15" customHeight="1" x14ac:dyDescent="0.25">
      <c r="B24" s="83"/>
      <c r="C24" s="42" t="s">
        <v>20</v>
      </c>
      <c r="D24" s="41">
        <v>11</v>
      </c>
      <c r="E24" s="40">
        <v>4.4679122664500409E-3</v>
      </c>
    </row>
    <row r="25" spans="2:5" ht="15" customHeight="1" x14ac:dyDescent="0.25">
      <c r="B25" s="82" t="s">
        <v>70</v>
      </c>
      <c r="C25" s="45" t="s">
        <v>119</v>
      </c>
      <c r="D25" s="44">
        <v>11</v>
      </c>
      <c r="E25" s="43">
        <v>4.4679122664500409E-3</v>
      </c>
    </row>
    <row r="26" spans="2:5" ht="15" customHeight="1" x14ac:dyDescent="0.25">
      <c r="B26" s="84"/>
      <c r="C26" s="45" t="s">
        <v>112</v>
      </c>
      <c r="D26" s="44">
        <v>2</v>
      </c>
      <c r="E26" s="43">
        <v>8.1234768480909826E-4</v>
      </c>
    </row>
    <row r="27" spans="2:5" ht="15" customHeight="1" x14ac:dyDescent="0.25">
      <c r="B27" s="84"/>
      <c r="C27" s="45" t="s">
        <v>114</v>
      </c>
      <c r="D27" s="44">
        <v>1</v>
      </c>
      <c r="E27" s="43">
        <v>4.0617384240454913E-4</v>
      </c>
    </row>
    <row r="28" spans="2:5" ht="15" customHeight="1" x14ac:dyDescent="0.25">
      <c r="B28" s="84"/>
      <c r="C28" s="45" t="s">
        <v>111</v>
      </c>
      <c r="D28" s="44">
        <v>2</v>
      </c>
      <c r="E28" s="43">
        <v>8.1234768480909826E-4</v>
      </c>
    </row>
    <row r="29" spans="2:5" ht="15" customHeight="1" x14ac:dyDescent="0.25">
      <c r="B29" s="84"/>
      <c r="C29" s="45" t="s">
        <v>117</v>
      </c>
      <c r="D29" s="44">
        <v>9</v>
      </c>
      <c r="E29" s="43">
        <v>3.6555645816409425E-3</v>
      </c>
    </row>
    <row r="30" spans="2:5" ht="15" customHeight="1" x14ac:dyDescent="0.25">
      <c r="B30" s="84"/>
      <c r="C30" s="45" t="s">
        <v>110</v>
      </c>
      <c r="D30" s="44">
        <v>1</v>
      </c>
      <c r="E30" s="43">
        <v>4.0617384240454913E-4</v>
      </c>
    </row>
    <row r="31" spans="2:5" ht="15" customHeight="1" x14ac:dyDescent="0.25">
      <c r="B31" s="84"/>
      <c r="C31" s="45" t="s">
        <v>118</v>
      </c>
      <c r="D31" s="44">
        <v>9</v>
      </c>
      <c r="E31" s="43">
        <v>3.6555645816409425E-3</v>
      </c>
    </row>
    <row r="32" spans="2:5" ht="15" customHeight="1" x14ac:dyDescent="0.25">
      <c r="B32" s="84"/>
      <c r="C32" s="45" t="s">
        <v>115</v>
      </c>
      <c r="D32" s="44">
        <v>3</v>
      </c>
      <c r="E32" s="43">
        <v>1.2185215272136475E-3</v>
      </c>
    </row>
    <row r="33" spans="2:5" ht="15" customHeight="1" x14ac:dyDescent="0.25">
      <c r="B33" s="83"/>
      <c r="C33" s="42" t="s">
        <v>20</v>
      </c>
      <c r="D33" s="41">
        <v>38</v>
      </c>
      <c r="E33" s="40">
        <v>1.5434606011372868E-2</v>
      </c>
    </row>
    <row r="34" spans="2:5" ht="15" customHeight="1" x14ac:dyDescent="0.25">
      <c r="B34" s="82" t="s">
        <v>67</v>
      </c>
      <c r="C34" s="45" t="s">
        <v>112</v>
      </c>
      <c r="D34" s="44">
        <v>2</v>
      </c>
      <c r="E34" s="43">
        <v>8.1234768480909826E-4</v>
      </c>
    </row>
    <row r="35" spans="2:5" ht="15" customHeight="1" x14ac:dyDescent="0.25">
      <c r="B35" s="84"/>
      <c r="C35" s="45" t="s">
        <v>117</v>
      </c>
      <c r="D35" s="44">
        <v>5</v>
      </c>
      <c r="E35" s="43">
        <v>2.0308692120227455E-3</v>
      </c>
    </row>
    <row r="36" spans="2:5" ht="15" customHeight="1" x14ac:dyDescent="0.25">
      <c r="B36" s="83"/>
      <c r="C36" s="42" t="s">
        <v>20</v>
      </c>
      <c r="D36" s="41">
        <v>7</v>
      </c>
      <c r="E36" s="40">
        <v>2.843216896831844E-3</v>
      </c>
    </row>
    <row r="37" spans="2:5" ht="15" customHeight="1" x14ac:dyDescent="0.25">
      <c r="B37" s="82" t="s">
        <v>71</v>
      </c>
      <c r="C37" s="45" t="s">
        <v>119</v>
      </c>
      <c r="D37" s="44">
        <v>3</v>
      </c>
      <c r="E37" s="43">
        <v>1.2185215272136475E-3</v>
      </c>
    </row>
    <row r="38" spans="2:5" ht="15" customHeight="1" x14ac:dyDescent="0.25">
      <c r="B38" s="84"/>
      <c r="C38" s="45" t="s">
        <v>117</v>
      </c>
      <c r="D38" s="44">
        <v>2</v>
      </c>
      <c r="E38" s="43">
        <v>8.1234768480909826E-4</v>
      </c>
    </row>
    <row r="39" spans="2:5" ht="15" customHeight="1" x14ac:dyDescent="0.25">
      <c r="B39" s="83"/>
      <c r="C39" s="42" t="s">
        <v>20</v>
      </c>
      <c r="D39" s="41">
        <v>5</v>
      </c>
      <c r="E39" s="40">
        <v>2.0308692120227455E-3</v>
      </c>
    </row>
    <row r="40" spans="2:5" ht="15" customHeight="1" x14ac:dyDescent="0.25">
      <c r="B40" s="82" t="s">
        <v>65</v>
      </c>
      <c r="C40" s="45" t="s">
        <v>119</v>
      </c>
      <c r="D40" s="44">
        <v>1</v>
      </c>
      <c r="E40" s="43">
        <v>4.0617384240454913E-4</v>
      </c>
    </row>
    <row r="41" spans="2:5" ht="15" customHeight="1" x14ac:dyDescent="0.25">
      <c r="B41" s="83"/>
      <c r="C41" s="42" t="s">
        <v>20</v>
      </c>
      <c r="D41" s="41">
        <v>1</v>
      </c>
      <c r="E41" s="40">
        <v>4.0617384240454913E-4</v>
      </c>
    </row>
    <row r="42" spans="2:5" ht="15" customHeight="1" x14ac:dyDescent="0.25">
      <c r="B42" s="82" t="s">
        <v>107</v>
      </c>
      <c r="C42" s="45" t="s">
        <v>116</v>
      </c>
      <c r="D42" s="44">
        <v>6</v>
      </c>
      <c r="E42" s="43">
        <v>2.437043054427295E-3</v>
      </c>
    </row>
    <row r="43" spans="2:5" ht="15" customHeight="1" x14ac:dyDescent="0.25">
      <c r="B43" s="84"/>
      <c r="C43" s="45" t="s">
        <v>119</v>
      </c>
      <c r="D43" s="44">
        <v>16</v>
      </c>
      <c r="E43" s="43">
        <v>6.498781478472786E-3</v>
      </c>
    </row>
    <row r="44" spans="2:5" ht="15" customHeight="1" x14ac:dyDescent="0.25">
      <c r="B44" s="84"/>
      <c r="C44" s="45" t="s">
        <v>112</v>
      </c>
      <c r="D44" s="44">
        <v>2</v>
      </c>
      <c r="E44" s="43">
        <v>8.1234768480909826E-4</v>
      </c>
    </row>
    <row r="45" spans="2:5" ht="15" customHeight="1" x14ac:dyDescent="0.25">
      <c r="B45" s="84"/>
      <c r="C45" s="45" t="s">
        <v>114</v>
      </c>
      <c r="D45" s="44">
        <v>1</v>
      </c>
      <c r="E45" s="43">
        <v>4.0617384240454913E-4</v>
      </c>
    </row>
    <row r="46" spans="2:5" ht="15" customHeight="1" x14ac:dyDescent="0.25">
      <c r="B46" s="84"/>
      <c r="C46" s="45" t="s">
        <v>113</v>
      </c>
      <c r="D46" s="44">
        <v>2</v>
      </c>
      <c r="E46" s="43">
        <v>8.1234768480909826E-4</v>
      </c>
    </row>
    <row r="47" spans="2:5" ht="15" customHeight="1" x14ac:dyDescent="0.25">
      <c r="B47" s="84"/>
      <c r="C47" s="45" t="s">
        <v>111</v>
      </c>
      <c r="D47" s="44">
        <v>1</v>
      </c>
      <c r="E47" s="43">
        <v>4.0617384240454913E-4</v>
      </c>
    </row>
    <row r="48" spans="2:5" ht="15" customHeight="1" x14ac:dyDescent="0.25">
      <c r="B48" s="84"/>
      <c r="C48" s="45" t="s">
        <v>117</v>
      </c>
      <c r="D48" s="44">
        <v>28</v>
      </c>
      <c r="E48" s="43">
        <v>1.1372867587327376E-2</v>
      </c>
    </row>
    <row r="49" spans="2:5" ht="15" customHeight="1" x14ac:dyDescent="0.25">
      <c r="B49" s="84"/>
      <c r="C49" s="45" t="s">
        <v>110</v>
      </c>
      <c r="D49" s="44">
        <v>2</v>
      </c>
      <c r="E49" s="43">
        <v>8.1234768480909826E-4</v>
      </c>
    </row>
    <row r="50" spans="2:5" ht="15" customHeight="1" x14ac:dyDescent="0.25">
      <c r="B50" s="84"/>
      <c r="C50" s="45" t="s">
        <v>118</v>
      </c>
      <c r="D50" s="44">
        <v>35</v>
      </c>
      <c r="E50" s="43">
        <v>1.421608448415922E-2</v>
      </c>
    </row>
    <row r="51" spans="2:5" ht="15" customHeight="1" x14ac:dyDescent="0.25">
      <c r="B51" s="84"/>
      <c r="C51" s="45" t="s">
        <v>115</v>
      </c>
      <c r="D51" s="44">
        <v>4</v>
      </c>
      <c r="E51" s="43">
        <v>1.6246953696181965E-3</v>
      </c>
    </row>
    <row r="52" spans="2:5" ht="15" customHeight="1" x14ac:dyDescent="0.25">
      <c r="B52" s="83"/>
      <c r="C52" s="42" t="s">
        <v>20</v>
      </c>
      <c r="D52" s="41">
        <v>97</v>
      </c>
      <c r="E52" s="40">
        <v>3.9398862713241264E-2</v>
      </c>
    </row>
    <row r="53" spans="2:5" ht="15" customHeight="1" x14ac:dyDescent="0.25">
      <c r="B53" s="82" t="s">
        <v>105</v>
      </c>
      <c r="C53" s="45" t="s">
        <v>116</v>
      </c>
      <c r="D53" s="44">
        <v>2</v>
      </c>
      <c r="E53" s="43">
        <v>8.1234768480909826E-4</v>
      </c>
    </row>
    <row r="54" spans="2:5" ht="15" customHeight="1" x14ac:dyDescent="0.25">
      <c r="B54" s="84"/>
      <c r="C54" s="45" t="s">
        <v>119</v>
      </c>
      <c r="D54" s="44">
        <v>15</v>
      </c>
      <c r="E54" s="43">
        <v>6.092607636068237E-3</v>
      </c>
    </row>
    <row r="55" spans="2:5" ht="15" customHeight="1" x14ac:dyDescent="0.25">
      <c r="B55" s="84"/>
      <c r="C55" s="45" t="s">
        <v>114</v>
      </c>
      <c r="D55" s="44">
        <v>2</v>
      </c>
      <c r="E55" s="43">
        <v>8.1234768480909826E-4</v>
      </c>
    </row>
    <row r="56" spans="2:5" ht="15" customHeight="1" x14ac:dyDescent="0.25">
      <c r="B56" s="84"/>
      <c r="C56" s="45" t="s">
        <v>113</v>
      </c>
      <c r="D56" s="44">
        <v>3</v>
      </c>
      <c r="E56" s="43">
        <v>1.2185215272136475E-3</v>
      </c>
    </row>
    <row r="57" spans="2:5" ht="15" customHeight="1" x14ac:dyDescent="0.25">
      <c r="B57" s="84"/>
      <c r="C57" s="45" t="s">
        <v>117</v>
      </c>
      <c r="D57" s="44">
        <v>27</v>
      </c>
      <c r="E57" s="43">
        <v>1.0966693744922826E-2</v>
      </c>
    </row>
    <row r="58" spans="2:5" ht="15" customHeight="1" x14ac:dyDescent="0.25">
      <c r="B58" s="84"/>
      <c r="C58" s="45" t="s">
        <v>118</v>
      </c>
      <c r="D58" s="44">
        <v>9</v>
      </c>
      <c r="E58" s="43">
        <v>3.6555645816409425E-3</v>
      </c>
    </row>
    <row r="59" spans="2:5" ht="15" customHeight="1" x14ac:dyDescent="0.25">
      <c r="B59" s="84"/>
      <c r="C59" s="45" t="s">
        <v>115</v>
      </c>
      <c r="D59" s="44">
        <v>1</v>
      </c>
      <c r="E59" s="43">
        <v>4.0617384240454913E-4</v>
      </c>
    </row>
    <row r="60" spans="2:5" ht="15" customHeight="1" x14ac:dyDescent="0.25">
      <c r="B60" s="83"/>
      <c r="C60" s="42" t="s">
        <v>20</v>
      </c>
      <c r="D60" s="41">
        <v>59</v>
      </c>
      <c r="E60" s="40">
        <v>2.39642567018684E-2</v>
      </c>
    </row>
    <row r="61" spans="2:5" ht="15" customHeight="1" x14ac:dyDescent="0.25">
      <c r="B61" s="82" t="s">
        <v>64</v>
      </c>
      <c r="C61" s="45" t="s">
        <v>119</v>
      </c>
      <c r="D61" s="44">
        <v>1</v>
      </c>
      <c r="E61" s="43">
        <v>4.0617384240454913E-4</v>
      </c>
    </row>
    <row r="62" spans="2:5" ht="15" customHeight="1" x14ac:dyDescent="0.25">
      <c r="B62" s="83"/>
      <c r="C62" s="42" t="s">
        <v>20</v>
      </c>
      <c r="D62" s="41">
        <v>1</v>
      </c>
      <c r="E62" s="40">
        <v>4.0617384240454913E-4</v>
      </c>
    </row>
    <row r="63" spans="2:5" ht="15" customHeight="1" x14ac:dyDescent="0.25">
      <c r="B63" s="82" t="s">
        <v>89</v>
      </c>
      <c r="C63" s="45" t="s">
        <v>116</v>
      </c>
      <c r="D63" s="44">
        <v>1</v>
      </c>
      <c r="E63" s="43">
        <v>4.0617384240454913E-4</v>
      </c>
    </row>
    <row r="64" spans="2:5" ht="15" customHeight="1" x14ac:dyDescent="0.25">
      <c r="B64" s="84"/>
      <c r="C64" s="45" t="s">
        <v>119</v>
      </c>
      <c r="D64" s="44">
        <v>9</v>
      </c>
      <c r="E64" s="43">
        <v>3.6555645816409425E-3</v>
      </c>
    </row>
    <row r="65" spans="2:5" ht="15" customHeight="1" x14ac:dyDescent="0.25">
      <c r="B65" s="84"/>
      <c r="C65" s="45" t="s">
        <v>114</v>
      </c>
      <c r="D65" s="44">
        <v>2</v>
      </c>
      <c r="E65" s="43">
        <v>8.1234768480909826E-4</v>
      </c>
    </row>
    <row r="66" spans="2:5" ht="15" customHeight="1" x14ac:dyDescent="0.25">
      <c r="B66" s="84"/>
      <c r="C66" s="45" t="s">
        <v>113</v>
      </c>
      <c r="D66" s="44">
        <v>1</v>
      </c>
      <c r="E66" s="43">
        <v>4.0617384240454913E-4</v>
      </c>
    </row>
    <row r="67" spans="2:5" ht="15" customHeight="1" x14ac:dyDescent="0.25">
      <c r="B67" s="84"/>
      <c r="C67" s="45" t="s">
        <v>117</v>
      </c>
      <c r="D67" s="44">
        <v>6</v>
      </c>
      <c r="E67" s="43">
        <v>2.437043054427295E-3</v>
      </c>
    </row>
    <row r="68" spans="2:5" ht="15" customHeight="1" x14ac:dyDescent="0.25">
      <c r="B68" s="84"/>
      <c r="C68" s="45" t="s">
        <v>118</v>
      </c>
      <c r="D68" s="44">
        <v>11</v>
      </c>
      <c r="E68" s="43">
        <v>4.4679122664500409E-3</v>
      </c>
    </row>
    <row r="69" spans="2:5" ht="15" customHeight="1" x14ac:dyDescent="0.25">
      <c r="B69" s="84"/>
      <c r="C69" s="45" t="s">
        <v>115</v>
      </c>
      <c r="D69" s="44">
        <v>2</v>
      </c>
      <c r="E69" s="43">
        <v>8.1234768480909826E-4</v>
      </c>
    </row>
    <row r="70" spans="2:5" ht="15" customHeight="1" x14ac:dyDescent="0.25">
      <c r="B70" s="83"/>
      <c r="C70" s="42" t="s">
        <v>20</v>
      </c>
      <c r="D70" s="41">
        <v>32</v>
      </c>
      <c r="E70" s="40">
        <v>1.2997562956945572E-2</v>
      </c>
    </row>
    <row r="71" spans="2:5" ht="15" customHeight="1" x14ac:dyDescent="0.25">
      <c r="B71" s="82" t="s">
        <v>75</v>
      </c>
      <c r="C71" s="45" t="s">
        <v>119</v>
      </c>
      <c r="D71" s="44">
        <v>3</v>
      </c>
      <c r="E71" s="43">
        <v>1.2185215272136475E-3</v>
      </c>
    </row>
    <row r="72" spans="2:5" ht="15" customHeight="1" x14ac:dyDescent="0.25">
      <c r="B72" s="84"/>
      <c r="C72" s="45" t="s">
        <v>117</v>
      </c>
      <c r="D72" s="44">
        <v>1</v>
      </c>
      <c r="E72" s="43">
        <v>4.0617384240454913E-4</v>
      </c>
    </row>
    <row r="73" spans="2:5" ht="15" customHeight="1" x14ac:dyDescent="0.25">
      <c r="B73" s="84"/>
      <c r="C73" s="45" t="s">
        <v>118</v>
      </c>
      <c r="D73" s="44">
        <v>5</v>
      </c>
      <c r="E73" s="43">
        <v>2.0308692120227455E-3</v>
      </c>
    </row>
    <row r="74" spans="2:5" ht="15" customHeight="1" x14ac:dyDescent="0.25">
      <c r="B74" s="83"/>
      <c r="C74" s="42" t="s">
        <v>20</v>
      </c>
      <c r="D74" s="41">
        <v>9</v>
      </c>
      <c r="E74" s="40">
        <v>3.6555645816409425E-3</v>
      </c>
    </row>
    <row r="75" spans="2:5" ht="15" customHeight="1" x14ac:dyDescent="0.25">
      <c r="B75" s="82" t="s">
        <v>73</v>
      </c>
      <c r="C75" s="45" t="s">
        <v>119</v>
      </c>
      <c r="D75" s="44">
        <v>1</v>
      </c>
      <c r="E75" s="43">
        <v>4.0617384240454913E-4</v>
      </c>
    </row>
    <row r="76" spans="2:5" ht="15" customHeight="1" x14ac:dyDescent="0.25">
      <c r="B76" s="83"/>
      <c r="C76" s="42" t="s">
        <v>20</v>
      </c>
      <c r="D76" s="41">
        <v>1</v>
      </c>
      <c r="E76" s="40">
        <v>4.0617384240454913E-4</v>
      </c>
    </row>
    <row r="77" spans="2:5" ht="15" customHeight="1" x14ac:dyDescent="0.25">
      <c r="B77" s="82" t="s">
        <v>86</v>
      </c>
      <c r="C77" s="45" t="s">
        <v>119</v>
      </c>
      <c r="D77" s="44">
        <v>2</v>
      </c>
      <c r="E77" s="43">
        <v>8.1234768480909826E-4</v>
      </c>
    </row>
    <row r="78" spans="2:5" ht="15" customHeight="1" x14ac:dyDescent="0.25">
      <c r="B78" s="84"/>
      <c r="C78" s="45" t="s">
        <v>111</v>
      </c>
      <c r="D78" s="44">
        <v>1</v>
      </c>
      <c r="E78" s="43">
        <v>4.0617384240454913E-4</v>
      </c>
    </row>
    <row r="79" spans="2:5" ht="15" customHeight="1" x14ac:dyDescent="0.25">
      <c r="B79" s="83"/>
      <c r="C79" s="42" t="s">
        <v>20</v>
      </c>
      <c r="D79" s="41">
        <v>3</v>
      </c>
      <c r="E79" s="40">
        <v>1.2185215272136475E-3</v>
      </c>
    </row>
    <row r="80" spans="2:5" ht="15" customHeight="1" x14ac:dyDescent="0.25">
      <c r="B80" s="82" t="s">
        <v>102</v>
      </c>
      <c r="C80" s="45" t="s">
        <v>116</v>
      </c>
      <c r="D80" s="44">
        <v>25</v>
      </c>
      <c r="E80" s="43">
        <v>1.0154346060113728E-2</v>
      </c>
    </row>
    <row r="81" spans="2:5" ht="15" customHeight="1" x14ac:dyDescent="0.25">
      <c r="B81" s="84"/>
      <c r="C81" s="45" t="s">
        <v>119</v>
      </c>
      <c r="D81" s="44">
        <v>123</v>
      </c>
      <c r="E81" s="43">
        <v>4.9959382615759544E-2</v>
      </c>
    </row>
    <row r="82" spans="2:5" ht="15" customHeight="1" x14ac:dyDescent="0.25">
      <c r="B82" s="84"/>
      <c r="C82" s="45" t="s">
        <v>112</v>
      </c>
      <c r="D82" s="44">
        <v>10</v>
      </c>
      <c r="E82" s="43">
        <v>4.0617384240454911E-3</v>
      </c>
    </row>
    <row r="83" spans="2:5" ht="15" customHeight="1" x14ac:dyDescent="0.25">
      <c r="B83" s="84"/>
      <c r="C83" s="45" t="s">
        <v>114</v>
      </c>
      <c r="D83" s="44">
        <v>30</v>
      </c>
      <c r="E83" s="43">
        <v>1.2185215272136474E-2</v>
      </c>
    </row>
    <row r="84" spans="2:5" ht="15" customHeight="1" x14ac:dyDescent="0.25">
      <c r="B84" s="84"/>
      <c r="C84" s="45" t="s">
        <v>113</v>
      </c>
      <c r="D84" s="44">
        <v>17</v>
      </c>
      <c r="E84" s="43">
        <v>6.9049553208773351E-3</v>
      </c>
    </row>
    <row r="85" spans="2:5" ht="15" customHeight="1" x14ac:dyDescent="0.25">
      <c r="B85" s="84"/>
      <c r="C85" s="45" t="s">
        <v>111</v>
      </c>
      <c r="D85" s="44">
        <v>5</v>
      </c>
      <c r="E85" s="43">
        <v>2.0308692120227455E-3</v>
      </c>
    </row>
    <row r="86" spans="2:5" ht="15" customHeight="1" x14ac:dyDescent="0.25">
      <c r="B86" s="84"/>
      <c r="C86" s="45" t="s">
        <v>117</v>
      </c>
      <c r="D86" s="44">
        <v>65</v>
      </c>
      <c r="E86" s="43">
        <v>2.6401299756295696E-2</v>
      </c>
    </row>
    <row r="87" spans="2:5" ht="15" customHeight="1" x14ac:dyDescent="0.25">
      <c r="B87" s="84"/>
      <c r="C87" s="45" t="s">
        <v>110</v>
      </c>
      <c r="D87" s="44">
        <v>8</v>
      </c>
      <c r="E87" s="43">
        <v>3.249390739236393E-3</v>
      </c>
    </row>
    <row r="88" spans="2:5" ht="15" customHeight="1" x14ac:dyDescent="0.25">
      <c r="B88" s="84"/>
      <c r="C88" s="45" t="s">
        <v>118</v>
      </c>
      <c r="D88" s="44">
        <v>154</v>
      </c>
      <c r="E88" s="43">
        <v>6.2550771730300575E-2</v>
      </c>
    </row>
    <row r="89" spans="2:5" ht="15" customHeight="1" x14ac:dyDescent="0.25">
      <c r="B89" s="84"/>
      <c r="C89" s="45" t="s">
        <v>115</v>
      </c>
      <c r="D89" s="44">
        <v>11</v>
      </c>
      <c r="E89" s="43">
        <v>4.4679122664500409E-3</v>
      </c>
    </row>
    <row r="90" spans="2:5" ht="15" customHeight="1" x14ac:dyDescent="0.25">
      <c r="B90" s="83"/>
      <c r="C90" s="42" t="s">
        <v>20</v>
      </c>
      <c r="D90" s="41">
        <v>448</v>
      </c>
      <c r="E90" s="40">
        <v>0.18196588139723802</v>
      </c>
    </row>
    <row r="91" spans="2:5" ht="15" customHeight="1" x14ac:dyDescent="0.25">
      <c r="B91" s="82" t="s">
        <v>106</v>
      </c>
      <c r="C91" s="45" t="s">
        <v>116</v>
      </c>
      <c r="D91" s="44">
        <v>2</v>
      </c>
      <c r="E91" s="43">
        <v>8.1234768480909826E-4</v>
      </c>
    </row>
    <row r="92" spans="2:5" ht="15" customHeight="1" x14ac:dyDescent="0.25">
      <c r="B92" s="84"/>
      <c r="C92" s="45" t="s">
        <v>119</v>
      </c>
      <c r="D92" s="44">
        <v>26</v>
      </c>
      <c r="E92" s="43">
        <v>1.0560519902518278E-2</v>
      </c>
    </row>
    <row r="93" spans="2:5" ht="15" customHeight="1" x14ac:dyDescent="0.25">
      <c r="B93" s="84"/>
      <c r="C93" s="45" t="s">
        <v>112</v>
      </c>
      <c r="D93" s="44">
        <v>1</v>
      </c>
      <c r="E93" s="43">
        <v>4.0617384240454913E-4</v>
      </c>
    </row>
    <row r="94" spans="2:5" ht="15" customHeight="1" x14ac:dyDescent="0.25">
      <c r="B94" s="84"/>
      <c r="C94" s="45" t="s">
        <v>113</v>
      </c>
      <c r="D94" s="44">
        <v>5</v>
      </c>
      <c r="E94" s="43">
        <v>2.0308692120227455E-3</v>
      </c>
    </row>
    <row r="95" spans="2:5" ht="15" customHeight="1" x14ac:dyDescent="0.25">
      <c r="B95" s="84"/>
      <c r="C95" s="45" t="s">
        <v>117</v>
      </c>
      <c r="D95" s="44">
        <v>7</v>
      </c>
      <c r="E95" s="43">
        <v>2.843216896831844E-3</v>
      </c>
    </row>
    <row r="96" spans="2:5" ht="15" customHeight="1" x14ac:dyDescent="0.25">
      <c r="B96" s="84"/>
      <c r="C96" s="45" t="s">
        <v>110</v>
      </c>
      <c r="D96" s="44">
        <v>1</v>
      </c>
      <c r="E96" s="43">
        <v>4.0617384240454913E-4</v>
      </c>
    </row>
    <row r="97" spans="2:5" ht="15" customHeight="1" x14ac:dyDescent="0.25">
      <c r="B97" s="84"/>
      <c r="C97" s="45" t="s">
        <v>118</v>
      </c>
      <c r="D97" s="44">
        <v>19</v>
      </c>
      <c r="E97" s="43">
        <v>7.717303005686434E-3</v>
      </c>
    </row>
    <row r="98" spans="2:5" ht="15" customHeight="1" x14ac:dyDescent="0.25">
      <c r="B98" s="84"/>
      <c r="C98" s="45" t="s">
        <v>115</v>
      </c>
      <c r="D98" s="44">
        <v>3</v>
      </c>
      <c r="E98" s="43">
        <v>1.2185215272136475E-3</v>
      </c>
    </row>
    <row r="99" spans="2:5" ht="15" customHeight="1" x14ac:dyDescent="0.25">
      <c r="B99" s="83"/>
      <c r="C99" s="42" t="s">
        <v>20</v>
      </c>
      <c r="D99" s="41">
        <v>64</v>
      </c>
      <c r="E99" s="40">
        <v>2.5995125913891144E-2</v>
      </c>
    </row>
    <row r="100" spans="2:5" ht="15" customHeight="1" x14ac:dyDescent="0.25">
      <c r="B100" s="82" t="s">
        <v>90</v>
      </c>
      <c r="C100" s="45" t="s">
        <v>116</v>
      </c>
      <c r="D100" s="44">
        <v>1</v>
      </c>
      <c r="E100" s="43">
        <v>4.0617384240454913E-4</v>
      </c>
    </row>
    <row r="101" spans="2:5" ht="15" customHeight="1" x14ac:dyDescent="0.25">
      <c r="B101" s="84"/>
      <c r="C101" s="45" t="s">
        <v>119</v>
      </c>
      <c r="D101" s="44">
        <v>7</v>
      </c>
      <c r="E101" s="43">
        <v>2.843216896831844E-3</v>
      </c>
    </row>
    <row r="102" spans="2:5" ht="15" customHeight="1" x14ac:dyDescent="0.25">
      <c r="B102" s="84"/>
      <c r="C102" s="45" t="s">
        <v>114</v>
      </c>
      <c r="D102" s="44">
        <v>3</v>
      </c>
      <c r="E102" s="43">
        <v>1.2185215272136475E-3</v>
      </c>
    </row>
    <row r="103" spans="2:5" ht="15" customHeight="1" x14ac:dyDescent="0.25">
      <c r="B103" s="84"/>
      <c r="C103" s="45" t="s">
        <v>117</v>
      </c>
      <c r="D103" s="44">
        <v>4</v>
      </c>
      <c r="E103" s="43">
        <v>1.6246953696181965E-3</v>
      </c>
    </row>
    <row r="104" spans="2:5" ht="15" customHeight="1" x14ac:dyDescent="0.25">
      <c r="B104" s="84"/>
      <c r="C104" s="45" t="s">
        <v>118</v>
      </c>
      <c r="D104" s="44">
        <v>2</v>
      </c>
      <c r="E104" s="43">
        <v>8.1234768480909826E-4</v>
      </c>
    </row>
    <row r="105" spans="2:5" ht="15" customHeight="1" x14ac:dyDescent="0.25">
      <c r="B105" s="84"/>
      <c r="C105" s="45" t="s">
        <v>115</v>
      </c>
      <c r="D105" s="44">
        <v>1</v>
      </c>
      <c r="E105" s="43">
        <v>4.0617384240454913E-4</v>
      </c>
    </row>
    <row r="106" spans="2:5" ht="15" customHeight="1" x14ac:dyDescent="0.25">
      <c r="B106" s="83"/>
      <c r="C106" s="42" t="s">
        <v>20</v>
      </c>
      <c r="D106" s="41">
        <v>18</v>
      </c>
      <c r="E106" s="40">
        <v>7.311129163281885E-3</v>
      </c>
    </row>
    <row r="107" spans="2:5" ht="15" customHeight="1" x14ac:dyDescent="0.25">
      <c r="B107" s="82" t="s">
        <v>85</v>
      </c>
      <c r="C107" s="45" t="s">
        <v>116</v>
      </c>
      <c r="D107" s="44">
        <v>5</v>
      </c>
      <c r="E107" s="43">
        <v>2.0308692120227455E-3</v>
      </c>
    </row>
    <row r="108" spans="2:5" ht="15" customHeight="1" x14ac:dyDescent="0.25">
      <c r="B108" s="84"/>
      <c r="C108" s="45" t="s">
        <v>119</v>
      </c>
      <c r="D108" s="44">
        <v>3</v>
      </c>
      <c r="E108" s="43">
        <v>1.2185215272136475E-3</v>
      </c>
    </row>
    <row r="109" spans="2:5" ht="15" customHeight="1" x14ac:dyDescent="0.25">
      <c r="B109" s="84"/>
      <c r="C109" s="45" t="s">
        <v>114</v>
      </c>
      <c r="D109" s="44">
        <v>1</v>
      </c>
      <c r="E109" s="43">
        <v>4.0617384240454913E-4</v>
      </c>
    </row>
    <row r="110" spans="2:5" ht="15" customHeight="1" x14ac:dyDescent="0.25">
      <c r="B110" s="84"/>
      <c r="C110" s="45" t="s">
        <v>117</v>
      </c>
      <c r="D110" s="44">
        <v>1</v>
      </c>
      <c r="E110" s="43">
        <v>4.0617384240454913E-4</v>
      </c>
    </row>
    <row r="111" spans="2:5" ht="15" customHeight="1" x14ac:dyDescent="0.25">
      <c r="B111" s="84"/>
      <c r="C111" s="45" t="s">
        <v>118</v>
      </c>
      <c r="D111" s="44">
        <v>12</v>
      </c>
      <c r="E111" s="43">
        <v>4.87408610885459E-3</v>
      </c>
    </row>
    <row r="112" spans="2:5" ht="15" customHeight="1" x14ac:dyDescent="0.25">
      <c r="B112" s="83"/>
      <c r="C112" s="42" t="s">
        <v>20</v>
      </c>
      <c r="D112" s="41">
        <v>22</v>
      </c>
      <c r="E112" s="40">
        <v>8.9358245329000819E-3</v>
      </c>
    </row>
    <row r="113" spans="2:5" ht="15" customHeight="1" x14ac:dyDescent="0.25">
      <c r="B113" s="82" t="s">
        <v>69</v>
      </c>
      <c r="C113" s="45" t="s">
        <v>119</v>
      </c>
      <c r="D113" s="44">
        <v>1</v>
      </c>
      <c r="E113" s="43">
        <v>4.0617384240454913E-4</v>
      </c>
    </row>
    <row r="114" spans="2:5" ht="15" customHeight="1" x14ac:dyDescent="0.25">
      <c r="B114" s="83"/>
      <c r="C114" s="42" t="s">
        <v>20</v>
      </c>
      <c r="D114" s="41">
        <v>1</v>
      </c>
      <c r="E114" s="40">
        <v>4.0617384240454913E-4</v>
      </c>
    </row>
    <row r="115" spans="2:5" ht="15" customHeight="1" x14ac:dyDescent="0.25">
      <c r="B115" s="82" t="s">
        <v>92</v>
      </c>
      <c r="C115" s="45" t="s">
        <v>116</v>
      </c>
      <c r="D115" s="44">
        <v>4</v>
      </c>
      <c r="E115" s="43">
        <v>1.6246953696181965E-3</v>
      </c>
    </row>
    <row r="116" spans="2:5" ht="15" customHeight="1" x14ac:dyDescent="0.25">
      <c r="B116" s="84"/>
      <c r="C116" s="45" t="s">
        <v>119</v>
      </c>
      <c r="D116" s="44">
        <v>28</v>
      </c>
      <c r="E116" s="43">
        <v>1.1372867587327376E-2</v>
      </c>
    </row>
    <row r="117" spans="2:5" ht="15" customHeight="1" x14ac:dyDescent="0.25">
      <c r="B117" s="84"/>
      <c r="C117" s="45" t="s">
        <v>112</v>
      </c>
      <c r="D117" s="44">
        <v>4</v>
      </c>
      <c r="E117" s="43">
        <v>1.6246953696181965E-3</v>
      </c>
    </row>
    <row r="118" spans="2:5" ht="15" customHeight="1" x14ac:dyDescent="0.25">
      <c r="B118" s="84"/>
      <c r="C118" s="45" t="s">
        <v>114</v>
      </c>
      <c r="D118" s="44">
        <v>3</v>
      </c>
      <c r="E118" s="43">
        <v>1.2185215272136475E-3</v>
      </c>
    </row>
    <row r="119" spans="2:5" ht="15" customHeight="1" x14ac:dyDescent="0.25">
      <c r="B119" s="84"/>
      <c r="C119" s="45" t="s">
        <v>113</v>
      </c>
      <c r="D119" s="44">
        <v>9</v>
      </c>
      <c r="E119" s="43">
        <v>3.6555645816409425E-3</v>
      </c>
    </row>
    <row r="120" spans="2:5" ht="15" customHeight="1" x14ac:dyDescent="0.25">
      <c r="B120" s="84"/>
      <c r="C120" s="45" t="s">
        <v>111</v>
      </c>
      <c r="D120" s="44">
        <v>1</v>
      </c>
      <c r="E120" s="43">
        <v>4.0617384240454913E-4</v>
      </c>
    </row>
    <row r="121" spans="2:5" ht="15" customHeight="1" x14ac:dyDescent="0.25">
      <c r="B121" s="84"/>
      <c r="C121" s="45" t="s">
        <v>117</v>
      </c>
      <c r="D121" s="44">
        <v>22</v>
      </c>
      <c r="E121" s="43">
        <v>8.9358245329000819E-3</v>
      </c>
    </row>
    <row r="122" spans="2:5" ht="15" customHeight="1" x14ac:dyDescent="0.25">
      <c r="B122" s="84"/>
      <c r="C122" s="45" t="s">
        <v>110</v>
      </c>
      <c r="D122" s="44">
        <v>16</v>
      </c>
      <c r="E122" s="43">
        <v>6.498781478472786E-3</v>
      </c>
    </row>
    <row r="123" spans="2:5" ht="15" customHeight="1" x14ac:dyDescent="0.25">
      <c r="B123" s="84"/>
      <c r="C123" s="45" t="s">
        <v>118</v>
      </c>
      <c r="D123" s="44">
        <v>12</v>
      </c>
      <c r="E123" s="43">
        <v>4.87408610885459E-3</v>
      </c>
    </row>
    <row r="124" spans="2:5" ht="15" customHeight="1" x14ac:dyDescent="0.25">
      <c r="B124" s="84"/>
      <c r="C124" s="45" t="s">
        <v>115</v>
      </c>
      <c r="D124" s="44">
        <v>10</v>
      </c>
      <c r="E124" s="43">
        <v>4.0617384240454911E-3</v>
      </c>
    </row>
    <row r="125" spans="2:5" ht="15" customHeight="1" x14ac:dyDescent="0.25">
      <c r="B125" s="83"/>
      <c r="C125" s="42" t="s">
        <v>20</v>
      </c>
      <c r="D125" s="41">
        <v>109</v>
      </c>
      <c r="E125" s="40">
        <v>4.4272948822095856E-2</v>
      </c>
    </row>
    <row r="126" spans="2:5" ht="15" customHeight="1" x14ac:dyDescent="0.25">
      <c r="B126" s="82" t="s">
        <v>96</v>
      </c>
      <c r="C126" s="45" t="s">
        <v>119</v>
      </c>
      <c r="D126" s="44">
        <v>5</v>
      </c>
      <c r="E126" s="43">
        <v>2.0308692120227455E-3</v>
      </c>
    </row>
    <row r="127" spans="2:5" ht="15" customHeight="1" x14ac:dyDescent="0.25">
      <c r="B127" s="84"/>
      <c r="C127" s="45" t="s">
        <v>112</v>
      </c>
      <c r="D127" s="44">
        <v>1</v>
      </c>
      <c r="E127" s="43">
        <v>4.0617384240454913E-4</v>
      </c>
    </row>
    <row r="128" spans="2:5" ht="15" customHeight="1" x14ac:dyDescent="0.25">
      <c r="B128" s="84"/>
      <c r="C128" s="45" t="s">
        <v>113</v>
      </c>
      <c r="D128" s="44">
        <v>1</v>
      </c>
      <c r="E128" s="43">
        <v>4.0617384240454913E-4</v>
      </c>
    </row>
    <row r="129" spans="2:5" ht="15" customHeight="1" x14ac:dyDescent="0.25">
      <c r="B129" s="84"/>
      <c r="C129" s="45" t="s">
        <v>117</v>
      </c>
      <c r="D129" s="44">
        <v>3</v>
      </c>
      <c r="E129" s="43">
        <v>1.2185215272136475E-3</v>
      </c>
    </row>
    <row r="130" spans="2:5" ht="15" customHeight="1" x14ac:dyDescent="0.25">
      <c r="B130" s="84"/>
      <c r="C130" s="45" t="s">
        <v>118</v>
      </c>
      <c r="D130" s="44">
        <v>5</v>
      </c>
      <c r="E130" s="43">
        <v>2.0308692120227455E-3</v>
      </c>
    </row>
    <row r="131" spans="2:5" ht="15" customHeight="1" x14ac:dyDescent="0.25">
      <c r="B131" s="83"/>
      <c r="C131" s="42" t="s">
        <v>20</v>
      </c>
      <c r="D131" s="41">
        <v>15</v>
      </c>
      <c r="E131" s="40">
        <v>6.092607636068237E-3</v>
      </c>
    </row>
    <row r="132" spans="2:5" ht="15" customHeight="1" x14ac:dyDescent="0.25">
      <c r="B132" s="82" t="s">
        <v>108</v>
      </c>
      <c r="C132" s="45" t="s">
        <v>116</v>
      </c>
      <c r="D132" s="44">
        <v>22</v>
      </c>
      <c r="E132" s="43">
        <v>8.9358245329000819E-3</v>
      </c>
    </row>
    <row r="133" spans="2:5" ht="15" customHeight="1" x14ac:dyDescent="0.25">
      <c r="B133" s="84"/>
      <c r="C133" s="45" t="s">
        <v>119</v>
      </c>
      <c r="D133" s="44">
        <v>138</v>
      </c>
      <c r="E133" s="43">
        <v>5.6051990251827784E-2</v>
      </c>
    </row>
    <row r="134" spans="2:5" ht="15" customHeight="1" x14ac:dyDescent="0.25">
      <c r="B134" s="84"/>
      <c r="C134" s="45" t="s">
        <v>112</v>
      </c>
      <c r="D134" s="44">
        <v>20</v>
      </c>
      <c r="E134" s="43">
        <v>8.1234768480909821E-3</v>
      </c>
    </row>
    <row r="135" spans="2:5" ht="15" customHeight="1" x14ac:dyDescent="0.25">
      <c r="B135" s="84"/>
      <c r="C135" s="45" t="s">
        <v>114</v>
      </c>
      <c r="D135" s="44">
        <v>25</v>
      </c>
      <c r="E135" s="43">
        <v>1.0154346060113728E-2</v>
      </c>
    </row>
    <row r="136" spans="2:5" ht="15" customHeight="1" x14ac:dyDescent="0.25">
      <c r="B136" s="84"/>
      <c r="C136" s="45" t="s">
        <v>113</v>
      </c>
      <c r="D136" s="44">
        <v>20</v>
      </c>
      <c r="E136" s="43">
        <v>8.1234768480909821E-3</v>
      </c>
    </row>
    <row r="137" spans="2:5" ht="15" customHeight="1" x14ac:dyDescent="0.25">
      <c r="B137" s="84"/>
      <c r="C137" s="45" t="s">
        <v>111</v>
      </c>
      <c r="D137" s="44">
        <v>10</v>
      </c>
      <c r="E137" s="43">
        <v>4.0617384240454911E-3</v>
      </c>
    </row>
    <row r="138" spans="2:5" ht="15" customHeight="1" x14ac:dyDescent="0.25">
      <c r="B138" s="84"/>
      <c r="C138" s="45" t="s">
        <v>117</v>
      </c>
      <c r="D138" s="44">
        <v>60</v>
      </c>
      <c r="E138" s="43">
        <v>2.4370430544272948E-2</v>
      </c>
    </row>
    <row r="139" spans="2:5" ht="15" customHeight="1" x14ac:dyDescent="0.25">
      <c r="B139" s="84"/>
      <c r="C139" s="45" t="s">
        <v>110</v>
      </c>
      <c r="D139" s="44">
        <v>7</v>
      </c>
      <c r="E139" s="43">
        <v>2.843216896831844E-3</v>
      </c>
    </row>
    <row r="140" spans="2:5" ht="15" customHeight="1" x14ac:dyDescent="0.25">
      <c r="B140" s="84"/>
      <c r="C140" s="45" t="s">
        <v>118</v>
      </c>
      <c r="D140" s="44">
        <v>109</v>
      </c>
      <c r="E140" s="43">
        <v>4.4272948822095856E-2</v>
      </c>
    </row>
    <row r="141" spans="2:5" ht="15" customHeight="1" x14ac:dyDescent="0.25">
      <c r="B141" s="84"/>
      <c r="C141" s="45" t="s">
        <v>115</v>
      </c>
      <c r="D141" s="44">
        <v>28</v>
      </c>
      <c r="E141" s="43">
        <v>1.1372867587327376E-2</v>
      </c>
    </row>
    <row r="142" spans="2:5" ht="15" customHeight="1" x14ac:dyDescent="0.25">
      <c r="B142" s="83"/>
      <c r="C142" s="42" t="s">
        <v>20</v>
      </c>
      <c r="D142" s="41">
        <v>439</v>
      </c>
      <c r="E142" s="40">
        <v>0.17831031681559709</v>
      </c>
    </row>
    <row r="143" spans="2:5" ht="15" customHeight="1" x14ac:dyDescent="0.25">
      <c r="B143" s="82" t="s">
        <v>87</v>
      </c>
      <c r="C143" s="45" t="s">
        <v>119</v>
      </c>
      <c r="D143" s="44">
        <v>4</v>
      </c>
      <c r="E143" s="43">
        <v>1.6246953696181965E-3</v>
      </c>
    </row>
    <row r="144" spans="2:5" ht="15" customHeight="1" x14ac:dyDescent="0.25">
      <c r="B144" s="84"/>
      <c r="C144" s="45" t="s">
        <v>113</v>
      </c>
      <c r="D144" s="44">
        <v>1</v>
      </c>
      <c r="E144" s="43">
        <v>4.0617384240454913E-4</v>
      </c>
    </row>
    <row r="145" spans="2:5" ht="15" customHeight="1" x14ac:dyDescent="0.25">
      <c r="B145" s="84"/>
      <c r="C145" s="45" t="s">
        <v>111</v>
      </c>
      <c r="D145" s="44">
        <v>1</v>
      </c>
      <c r="E145" s="43">
        <v>4.0617384240454913E-4</v>
      </c>
    </row>
    <row r="146" spans="2:5" ht="15" customHeight="1" x14ac:dyDescent="0.25">
      <c r="B146" s="84"/>
      <c r="C146" s="45" t="s">
        <v>118</v>
      </c>
      <c r="D146" s="44">
        <v>4</v>
      </c>
      <c r="E146" s="43">
        <v>1.6246953696181965E-3</v>
      </c>
    </row>
    <row r="147" spans="2:5" ht="15" customHeight="1" x14ac:dyDescent="0.25">
      <c r="B147" s="83"/>
      <c r="C147" s="42" t="s">
        <v>20</v>
      </c>
      <c r="D147" s="41">
        <v>10</v>
      </c>
      <c r="E147" s="40">
        <v>4.0617384240454911E-3</v>
      </c>
    </row>
    <row r="148" spans="2:5" ht="15" customHeight="1" x14ac:dyDescent="0.25">
      <c r="B148" s="82" t="s">
        <v>82</v>
      </c>
      <c r="C148" s="45" t="s">
        <v>116</v>
      </c>
      <c r="D148" s="44">
        <v>2</v>
      </c>
      <c r="E148" s="43">
        <v>8.1234768480909826E-4</v>
      </c>
    </row>
    <row r="149" spans="2:5" ht="15" customHeight="1" x14ac:dyDescent="0.25">
      <c r="B149" s="84"/>
      <c r="C149" s="45" t="s">
        <v>119</v>
      </c>
      <c r="D149" s="44">
        <v>4</v>
      </c>
      <c r="E149" s="43">
        <v>1.6246953696181965E-3</v>
      </c>
    </row>
    <row r="150" spans="2:5" ht="15" customHeight="1" x14ac:dyDescent="0.25">
      <c r="B150" s="84"/>
      <c r="C150" s="45" t="s">
        <v>113</v>
      </c>
      <c r="D150" s="44">
        <v>1</v>
      </c>
      <c r="E150" s="43">
        <v>4.0617384240454913E-4</v>
      </c>
    </row>
    <row r="151" spans="2:5" ht="15" customHeight="1" x14ac:dyDescent="0.25">
      <c r="B151" s="84"/>
      <c r="C151" s="45" t="s">
        <v>111</v>
      </c>
      <c r="D151" s="44">
        <v>1</v>
      </c>
      <c r="E151" s="43">
        <v>4.0617384240454913E-4</v>
      </c>
    </row>
    <row r="152" spans="2:5" ht="15" customHeight="1" x14ac:dyDescent="0.25">
      <c r="B152" s="84"/>
      <c r="C152" s="45" t="s">
        <v>117</v>
      </c>
      <c r="D152" s="44">
        <v>3</v>
      </c>
      <c r="E152" s="43">
        <v>1.2185215272136475E-3</v>
      </c>
    </row>
    <row r="153" spans="2:5" ht="15" customHeight="1" x14ac:dyDescent="0.25">
      <c r="B153" s="84"/>
      <c r="C153" s="45" t="s">
        <v>118</v>
      </c>
      <c r="D153" s="44">
        <v>1</v>
      </c>
      <c r="E153" s="43">
        <v>4.0617384240454913E-4</v>
      </c>
    </row>
    <row r="154" spans="2:5" ht="15" customHeight="1" x14ac:dyDescent="0.25">
      <c r="B154" s="83"/>
      <c r="C154" s="42" t="s">
        <v>20</v>
      </c>
      <c r="D154" s="41">
        <v>12</v>
      </c>
      <c r="E154" s="40">
        <v>4.87408610885459E-3</v>
      </c>
    </row>
    <row r="155" spans="2:5" ht="15" customHeight="1" x14ac:dyDescent="0.25">
      <c r="B155" s="82" t="s">
        <v>81</v>
      </c>
      <c r="C155" s="45" t="s">
        <v>119</v>
      </c>
      <c r="D155" s="44">
        <v>1</v>
      </c>
      <c r="E155" s="43">
        <v>4.0617384240454913E-4</v>
      </c>
    </row>
    <row r="156" spans="2:5" ht="15" customHeight="1" x14ac:dyDescent="0.25">
      <c r="B156" s="84"/>
      <c r="C156" s="45" t="s">
        <v>117</v>
      </c>
      <c r="D156" s="44">
        <v>2</v>
      </c>
      <c r="E156" s="43">
        <v>8.1234768480909826E-4</v>
      </c>
    </row>
    <row r="157" spans="2:5" ht="15" customHeight="1" x14ac:dyDescent="0.25">
      <c r="B157" s="84"/>
      <c r="C157" s="45" t="s">
        <v>110</v>
      </c>
      <c r="D157" s="44">
        <v>1</v>
      </c>
      <c r="E157" s="43">
        <v>4.0617384240454913E-4</v>
      </c>
    </row>
    <row r="158" spans="2:5" ht="15" customHeight="1" x14ac:dyDescent="0.25">
      <c r="B158" s="84"/>
      <c r="C158" s="45" t="s">
        <v>118</v>
      </c>
      <c r="D158" s="44">
        <v>2</v>
      </c>
      <c r="E158" s="43">
        <v>8.1234768480909826E-4</v>
      </c>
    </row>
    <row r="159" spans="2:5" ht="15" customHeight="1" x14ac:dyDescent="0.25">
      <c r="B159" s="83"/>
      <c r="C159" s="42" t="s">
        <v>20</v>
      </c>
      <c r="D159" s="41">
        <v>6</v>
      </c>
      <c r="E159" s="40">
        <v>2.437043054427295E-3</v>
      </c>
    </row>
    <row r="160" spans="2:5" ht="15" customHeight="1" x14ac:dyDescent="0.25">
      <c r="B160" s="82" t="s">
        <v>74</v>
      </c>
      <c r="C160" s="45" t="s">
        <v>112</v>
      </c>
      <c r="D160" s="44">
        <v>1</v>
      </c>
      <c r="E160" s="43">
        <v>4.0617384240454913E-4</v>
      </c>
    </row>
    <row r="161" spans="2:5" ht="15" customHeight="1" x14ac:dyDescent="0.25">
      <c r="B161" s="84"/>
      <c r="C161" s="45" t="s">
        <v>111</v>
      </c>
      <c r="D161" s="44">
        <v>1</v>
      </c>
      <c r="E161" s="43">
        <v>4.0617384240454913E-4</v>
      </c>
    </row>
    <row r="162" spans="2:5" ht="15" customHeight="1" x14ac:dyDescent="0.25">
      <c r="B162" s="84"/>
      <c r="C162" s="45" t="s">
        <v>115</v>
      </c>
      <c r="D162" s="44">
        <v>1</v>
      </c>
      <c r="E162" s="43">
        <v>4.0617384240454913E-4</v>
      </c>
    </row>
    <row r="163" spans="2:5" ht="15" customHeight="1" x14ac:dyDescent="0.25">
      <c r="B163" s="83"/>
      <c r="C163" s="42" t="s">
        <v>20</v>
      </c>
      <c r="D163" s="41">
        <v>3</v>
      </c>
      <c r="E163" s="40">
        <v>1.2185215272136475E-3</v>
      </c>
    </row>
    <row r="164" spans="2:5" ht="15" customHeight="1" x14ac:dyDescent="0.25">
      <c r="B164" s="82" t="s">
        <v>103</v>
      </c>
      <c r="C164" s="45" t="s">
        <v>119</v>
      </c>
      <c r="D164" s="44">
        <v>5</v>
      </c>
      <c r="E164" s="43">
        <v>2.0308692120227455E-3</v>
      </c>
    </row>
    <row r="165" spans="2:5" ht="15" customHeight="1" x14ac:dyDescent="0.25">
      <c r="B165" s="84"/>
      <c r="C165" s="45" t="s">
        <v>111</v>
      </c>
      <c r="D165" s="44">
        <v>1</v>
      </c>
      <c r="E165" s="43">
        <v>4.0617384240454913E-4</v>
      </c>
    </row>
    <row r="166" spans="2:5" ht="15" customHeight="1" x14ac:dyDescent="0.25">
      <c r="B166" s="84"/>
      <c r="C166" s="45" t="s">
        <v>117</v>
      </c>
      <c r="D166" s="44">
        <v>1</v>
      </c>
      <c r="E166" s="43">
        <v>4.0617384240454913E-4</v>
      </c>
    </row>
    <row r="167" spans="2:5" ht="15" customHeight="1" x14ac:dyDescent="0.25">
      <c r="B167" s="84"/>
      <c r="C167" s="45" t="s">
        <v>118</v>
      </c>
      <c r="D167" s="44">
        <v>5</v>
      </c>
      <c r="E167" s="43">
        <v>2.0308692120227455E-3</v>
      </c>
    </row>
    <row r="168" spans="2:5" ht="15" customHeight="1" x14ac:dyDescent="0.25">
      <c r="B168" s="83"/>
      <c r="C168" s="42" t="s">
        <v>20</v>
      </c>
      <c r="D168" s="41">
        <v>12</v>
      </c>
      <c r="E168" s="40">
        <v>4.87408610885459E-3</v>
      </c>
    </row>
    <row r="169" spans="2:5" ht="15" customHeight="1" x14ac:dyDescent="0.25">
      <c r="B169" s="82" t="s">
        <v>76</v>
      </c>
      <c r="C169" s="45" t="s">
        <v>119</v>
      </c>
      <c r="D169" s="44">
        <v>5</v>
      </c>
      <c r="E169" s="43">
        <v>2.0308692120227455E-3</v>
      </c>
    </row>
    <row r="170" spans="2:5" ht="15" customHeight="1" x14ac:dyDescent="0.25">
      <c r="B170" s="84"/>
      <c r="C170" s="45" t="s">
        <v>113</v>
      </c>
      <c r="D170" s="44">
        <v>1</v>
      </c>
      <c r="E170" s="43">
        <v>4.0617384240454913E-4</v>
      </c>
    </row>
    <row r="171" spans="2:5" ht="15" customHeight="1" x14ac:dyDescent="0.25">
      <c r="B171" s="84"/>
      <c r="C171" s="45" t="s">
        <v>117</v>
      </c>
      <c r="D171" s="44">
        <v>4</v>
      </c>
      <c r="E171" s="43">
        <v>1.6246953696181965E-3</v>
      </c>
    </row>
    <row r="172" spans="2:5" ht="15" customHeight="1" x14ac:dyDescent="0.25">
      <c r="B172" s="84"/>
      <c r="C172" s="45" t="s">
        <v>110</v>
      </c>
      <c r="D172" s="44">
        <v>2</v>
      </c>
      <c r="E172" s="43">
        <v>8.1234768480909826E-4</v>
      </c>
    </row>
    <row r="173" spans="2:5" ht="15" customHeight="1" x14ac:dyDescent="0.25">
      <c r="B173" s="84"/>
      <c r="C173" s="45" t="s">
        <v>118</v>
      </c>
      <c r="D173" s="44">
        <v>10</v>
      </c>
      <c r="E173" s="43">
        <v>4.0617384240454911E-3</v>
      </c>
    </row>
    <row r="174" spans="2:5" ht="15" customHeight="1" x14ac:dyDescent="0.25">
      <c r="B174" s="83"/>
      <c r="C174" s="42" t="s">
        <v>20</v>
      </c>
      <c r="D174" s="41">
        <v>22</v>
      </c>
      <c r="E174" s="40">
        <v>8.9358245329000819E-3</v>
      </c>
    </row>
    <row r="175" spans="2:5" ht="15" customHeight="1" x14ac:dyDescent="0.25">
      <c r="B175" s="82" t="s">
        <v>95</v>
      </c>
      <c r="C175" s="45" t="s">
        <v>119</v>
      </c>
      <c r="D175" s="44">
        <v>4</v>
      </c>
      <c r="E175" s="43">
        <v>1.6246953696181965E-3</v>
      </c>
    </row>
    <row r="176" spans="2:5" ht="15" customHeight="1" x14ac:dyDescent="0.25">
      <c r="B176" s="84"/>
      <c r="C176" s="45" t="s">
        <v>112</v>
      </c>
      <c r="D176" s="44">
        <v>1</v>
      </c>
      <c r="E176" s="43">
        <v>4.0617384240454913E-4</v>
      </c>
    </row>
    <row r="177" spans="2:5" ht="15" customHeight="1" x14ac:dyDescent="0.25">
      <c r="B177" s="84"/>
      <c r="C177" s="45" t="s">
        <v>114</v>
      </c>
      <c r="D177" s="44">
        <v>1</v>
      </c>
      <c r="E177" s="43">
        <v>4.0617384240454913E-4</v>
      </c>
    </row>
    <row r="178" spans="2:5" ht="15" customHeight="1" x14ac:dyDescent="0.25">
      <c r="B178" s="84"/>
      <c r="C178" s="45" t="s">
        <v>117</v>
      </c>
      <c r="D178" s="44">
        <v>2</v>
      </c>
      <c r="E178" s="43">
        <v>8.1234768480909826E-4</v>
      </c>
    </row>
    <row r="179" spans="2:5" ht="15" customHeight="1" x14ac:dyDescent="0.25">
      <c r="B179" s="84"/>
      <c r="C179" s="45" t="s">
        <v>118</v>
      </c>
      <c r="D179" s="44">
        <v>9</v>
      </c>
      <c r="E179" s="43">
        <v>3.6555645816409425E-3</v>
      </c>
    </row>
    <row r="180" spans="2:5" ht="15" customHeight="1" x14ac:dyDescent="0.25">
      <c r="B180" s="83"/>
      <c r="C180" s="42" t="s">
        <v>20</v>
      </c>
      <c r="D180" s="41">
        <v>17</v>
      </c>
      <c r="E180" s="40">
        <v>6.9049553208773351E-3</v>
      </c>
    </row>
    <row r="181" spans="2:5" ht="15" customHeight="1" x14ac:dyDescent="0.25">
      <c r="B181" s="82" t="s">
        <v>91</v>
      </c>
      <c r="C181" s="45" t="s">
        <v>116</v>
      </c>
      <c r="D181" s="44">
        <v>6</v>
      </c>
      <c r="E181" s="43">
        <v>2.437043054427295E-3</v>
      </c>
    </row>
    <row r="182" spans="2:5" ht="15" customHeight="1" x14ac:dyDescent="0.25">
      <c r="B182" s="84"/>
      <c r="C182" s="45" t="s">
        <v>119</v>
      </c>
      <c r="D182" s="44">
        <v>11</v>
      </c>
      <c r="E182" s="43">
        <v>4.4679122664500409E-3</v>
      </c>
    </row>
    <row r="183" spans="2:5" ht="15" customHeight="1" x14ac:dyDescent="0.25">
      <c r="B183" s="84"/>
      <c r="C183" s="45" t="s">
        <v>112</v>
      </c>
      <c r="D183" s="44">
        <v>2</v>
      </c>
      <c r="E183" s="43">
        <v>8.1234768480909826E-4</v>
      </c>
    </row>
    <row r="184" spans="2:5" ht="15" customHeight="1" x14ac:dyDescent="0.25">
      <c r="B184" s="84"/>
      <c r="C184" s="45" t="s">
        <v>114</v>
      </c>
      <c r="D184" s="44">
        <v>1</v>
      </c>
      <c r="E184" s="43">
        <v>4.0617384240454913E-4</v>
      </c>
    </row>
    <row r="185" spans="2:5" ht="15" customHeight="1" x14ac:dyDescent="0.25">
      <c r="B185" s="84"/>
      <c r="C185" s="45" t="s">
        <v>113</v>
      </c>
      <c r="D185" s="44">
        <v>2</v>
      </c>
      <c r="E185" s="43">
        <v>8.1234768480909826E-4</v>
      </c>
    </row>
    <row r="186" spans="2:5" ht="15" customHeight="1" x14ac:dyDescent="0.25">
      <c r="B186" s="84"/>
      <c r="C186" s="45" t="s">
        <v>117</v>
      </c>
      <c r="D186" s="44">
        <v>4</v>
      </c>
      <c r="E186" s="43">
        <v>1.6246953696181965E-3</v>
      </c>
    </row>
    <row r="187" spans="2:5" ht="15" customHeight="1" x14ac:dyDescent="0.25">
      <c r="B187" s="84"/>
      <c r="C187" s="45" t="s">
        <v>118</v>
      </c>
      <c r="D187" s="44">
        <v>19</v>
      </c>
      <c r="E187" s="43">
        <v>7.717303005686434E-3</v>
      </c>
    </row>
    <row r="188" spans="2:5" ht="15" customHeight="1" x14ac:dyDescent="0.25">
      <c r="B188" s="84"/>
      <c r="C188" s="45" t="s">
        <v>115</v>
      </c>
      <c r="D188" s="44">
        <v>5</v>
      </c>
      <c r="E188" s="43">
        <v>2.0308692120227455E-3</v>
      </c>
    </row>
    <row r="189" spans="2:5" ht="15" customHeight="1" x14ac:dyDescent="0.25">
      <c r="B189" s="83"/>
      <c r="C189" s="42" t="s">
        <v>20</v>
      </c>
      <c r="D189" s="41">
        <v>50</v>
      </c>
      <c r="E189" s="40">
        <v>2.0308692120227456E-2</v>
      </c>
    </row>
    <row r="190" spans="2:5" ht="15" customHeight="1" x14ac:dyDescent="0.25">
      <c r="B190" s="82" t="s">
        <v>79</v>
      </c>
      <c r="C190" s="45" t="s">
        <v>116</v>
      </c>
      <c r="D190" s="44">
        <v>5</v>
      </c>
      <c r="E190" s="43">
        <v>2.0308692120227455E-3</v>
      </c>
    </row>
    <row r="191" spans="2:5" ht="15" customHeight="1" x14ac:dyDescent="0.25">
      <c r="B191" s="84"/>
      <c r="C191" s="45" t="s">
        <v>119</v>
      </c>
      <c r="D191" s="44">
        <v>6</v>
      </c>
      <c r="E191" s="43">
        <v>2.437043054427295E-3</v>
      </c>
    </row>
    <row r="192" spans="2:5" ht="15" customHeight="1" x14ac:dyDescent="0.25">
      <c r="B192" s="84"/>
      <c r="C192" s="45" t="s">
        <v>114</v>
      </c>
      <c r="D192" s="44">
        <v>1</v>
      </c>
      <c r="E192" s="43">
        <v>4.0617384240454913E-4</v>
      </c>
    </row>
    <row r="193" spans="2:5" ht="15" customHeight="1" x14ac:dyDescent="0.25">
      <c r="B193" s="84"/>
      <c r="C193" s="45" t="s">
        <v>117</v>
      </c>
      <c r="D193" s="44">
        <v>7</v>
      </c>
      <c r="E193" s="43">
        <v>2.843216896831844E-3</v>
      </c>
    </row>
    <row r="194" spans="2:5" ht="15" customHeight="1" x14ac:dyDescent="0.25">
      <c r="B194" s="84"/>
      <c r="C194" s="45" t="s">
        <v>118</v>
      </c>
      <c r="D194" s="44">
        <v>12</v>
      </c>
      <c r="E194" s="43">
        <v>4.87408610885459E-3</v>
      </c>
    </row>
    <row r="195" spans="2:5" ht="15" customHeight="1" x14ac:dyDescent="0.25">
      <c r="B195" s="84"/>
      <c r="C195" s="45" t="s">
        <v>115</v>
      </c>
      <c r="D195" s="44">
        <v>2</v>
      </c>
      <c r="E195" s="43">
        <v>8.1234768480909826E-4</v>
      </c>
    </row>
    <row r="196" spans="2:5" ht="15" customHeight="1" x14ac:dyDescent="0.25">
      <c r="B196" s="83"/>
      <c r="C196" s="42" t="s">
        <v>20</v>
      </c>
      <c r="D196" s="41">
        <v>33</v>
      </c>
      <c r="E196" s="40">
        <v>1.3403736799350122E-2</v>
      </c>
    </row>
    <row r="197" spans="2:5" ht="15" customHeight="1" x14ac:dyDescent="0.25">
      <c r="B197" s="82" t="s">
        <v>83</v>
      </c>
      <c r="C197" s="45" t="s">
        <v>116</v>
      </c>
      <c r="D197" s="44">
        <v>1</v>
      </c>
      <c r="E197" s="43">
        <v>4.0617384240454913E-4</v>
      </c>
    </row>
    <row r="198" spans="2:5" ht="15" customHeight="1" x14ac:dyDescent="0.25">
      <c r="B198" s="84"/>
      <c r="C198" s="45" t="s">
        <v>119</v>
      </c>
      <c r="D198" s="44">
        <v>14</v>
      </c>
      <c r="E198" s="43">
        <v>5.686433793663688E-3</v>
      </c>
    </row>
    <row r="199" spans="2:5" ht="15" customHeight="1" x14ac:dyDescent="0.25">
      <c r="B199" s="84"/>
      <c r="C199" s="45" t="s">
        <v>112</v>
      </c>
      <c r="D199" s="44">
        <v>3</v>
      </c>
      <c r="E199" s="43">
        <v>1.2185215272136475E-3</v>
      </c>
    </row>
    <row r="200" spans="2:5" ht="15" customHeight="1" x14ac:dyDescent="0.25">
      <c r="B200" s="84"/>
      <c r="C200" s="45" t="s">
        <v>113</v>
      </c>
      <c r="D200" s="44">
        <v>3</v>
      </c>
      <c r="E200" s="43">
        <v>1.2185215272136475E-3</v>
      </c>
    </row>
    <row r="201" spans="2:5" ht="15" customHeight="1" x14ac:dyDescent="0.25">
      <c r="B201" s="84"/>
      <c r="C201" s="45" t="s">
        <v>111</v>
      </c>
      <c r="D201" s="44">
        <v>1</v>
      </c>
      <c r="E201" s="43">
        <v>4.0617384240454913E-4</v>
      </c>
    </row>
    <row r="202" spans="2:5" ht="15" customHeight="1" x14ac:dyDescent="0.25">
      <c r="B202" s="84"/>
      <c r="C202" s="45" t="s">
        <v>117</v>
      </c>
      <c r="D202" s="44">
        <v>2</v>
      </c>
      <c r="E202" s="43">
        <v>8.1234768480909826E-4</v>
      </c>
    </row>
    <row r="203" spans="2:5" ht="15" customHeight="1" x14ac:dyDescent="0.25">
      <c r="B203" s="84"/>
      <c r="C203" s="45" t="s">
        <v>110</v>
      </c>
      <c r="D203" s="44">
        <v>1</v>
      </c>
      <c r="E203" s="43">
        <v>4.0617384240454913E-4</v>
      </c>
    </row>
    <row r="204" spans="2:5" ht="15" customHeight="1" x14ac:dyDescent="0.25">
      <c r="B204" s="84"/>
      <c r="C204" s="45" t="s">
        <v>118</v>
      </c>
      <c r="D204" s="44">
        <v>20</v>
      </c>
      <c r="E204" s="43">
        <v>8.1234768480909821E-3</v>
      </c>
    </row>
    <row r="205" spans="2:5" ht="15" customHeight="1" x14ac:dyDescent="0.25">
      <c r="B205" s="84"/>
      <c r="C205" s="45" t="s">
        <v>115</v>
      </c>
      <c r="D205" s="44">
        <v>1</v>
      </c>
      <c r="E205" s="43">
        <v>4.0617384240454913E-4</v>
      </c>
    </row>
    <row r="206" spans="2:5" ht="15" customHeight="1" x14ac:dyDescent="0.25">
      <c r="B206" s="83"/>
      <c r="C206" s="42" t="s">
        <v>20</v>
      </c>
      <c r="D206" s="41">
        <v>46</v>
      </c>
      <c r="E206" s="40">
        <v>1.868399675060926E-2</v>
      </c>
    </row>
    <row r="207" spans="2:5" ht="15" customHeight="1" x14ac:dyDescent="0.25">
      <c r="B207" s="82" t="s">
        <v>101</v>
      </c>
      <c r="C207" s="45" t="s">
        <v>116</v>
      </c>
      <c r="D207" s="44">
        <v>1</v>
      </c>
      <c r="E207" s="43">
        <v>4.0617384240454913E-4</v>
      </c>
    </row>
    <row r="208" spans="2:5" ht="15" customHeight="1" x14ac:dyDescent="0.25">
      <c r="B208" s="84"/>
      <c r="C208" s="45" t="s">
        <v>119</v>
      </c>
      <c r="D208" s="44">
        <v>11</v>
      </c>
      <c r="E208" s="43">
        <v>4.4679122664500409E-3</v>
      </c>
    </row>
    <row r="209" spans="2:5" ht="15" customHeight="1" x14ac:dyDescent="0.25">
      <c r="B209" s="84"/>
      <c r="C209" s="45" t="s">
        <v>112</v>
      </c>
      <c r="D209" s="44">
        <v>1</v>
      </c>
      <c r="E209" s="43">
        <v>4.0617384240454913E-4</v>
      </c>
    </row>
    <row r="210" spans="2:5" ht="15" customHeight="1" x14ac:dyDescent="0.25">
      <c r="B210" s="84"/>
      <c r="C210" s="45" t="s">
        <v>113</v>
      </c>
      <c r="D210" s="44">
        <v>1</v>
      </c>
      <c r="E210" s="43">
        <v>4.0617384240454913E-4</v>
      </c>
    </row>
    <row r="211" spans="2:5" ht="15" customHeight="1" x14ac:dyDescent="0.25">
      <c r="B211" s="84"/>
      <c r="C211" s="45" t="s">
        <v>111</v>
      </c>
      <c r="D211" s="44">
        <v>3</v>
      </c>
      <c r="E211" s="43">
        <v>1.2185215272136475E-3</v>
      </c>
    </row>
    <row r="212" spans="2:5" ht="15" customHeight="1" x14ac:dyDescent="0.25">
      <c r="B212" s="84"/>
      <c r="C212" s="45" t="s">
        <v>117</v>
      </c>
      <c r="D212" s="44">
        <v>7</v>
      </c>
      <c r="E212" s="43">
        <v>2.843216896831844E-3</v>
      </c>
    </row>
    <row r="213" spans="2:5" ht="15" customHeight="1" x14ac:dyDescent="0.25">
      <c r="B213" s="84"/>
      <c r="C213" s="45" t="s">
        <v>110</v>
      </c>
      <c r="D213" s="44">
        <v>1</v>
      </c>
      <c r="E213" s="43">
        <v>4.0617384240454913E-4</v>
      </c>
    </row>
    <row r="214" spans="2:5" ht="15" customHeight="1" x14ac:dyDescent="0.25">
      <c r="B214" s="84"/>
      <c r="C214" s="45" t="s">
        <v>118</v>
      </c>
      <c r="D214" s="44">
        <v>16</v>
      </c>
      <c r="E214" s="43">
        <v>6.498781478472786E-3</v>
      </c>
    </row>
    <row r="215" spans="2:5" ht="15" customHeight="1" x14ac:dyDescent="0.25">
      <c r="B215" s="84"/>
      <c r="C215" s="45" t="s">
        <v>115</v>
      </c>
      <c r="D215" s="44">
        <v>1</v>
      </c>
      <c r="E215" s="43">
        <v>4.0617384240454913E-4</v>
      </c>
    </row>
    <row r="216" spans="2:5" ht="15" customHeight="1" x14ac:dyDescent="0.25">
      <c r="B216" s="83"/>
      <c r="C216" s="42" t="s">
        <v>20</v>
      </c>
      <c r="D216" s="41">
        <v>42</v>
      </c>
      <c r="E216" s="40">
        <v>1.7059301380991064E-2</v>
      </c>
    </row>
    <row r="217" spans="2:5" ht="15" customHeight="1" x14ac:dyDescent="0.25">
      <c r="B217" s="82" t="s">
        <v>93</v>
      </c>
      <c r="C217" s="45" t="s">
        <v>116</v>
      </c>
      <c r="D217" s="44">
        <v>10</v>
      </c>
      <c r="E217" s="43">
        <v>4.0617384240454911E-3</v>
      </c>
    </row>
    <row r="218" spans="2:5" ht="15" customHeight="1" x14ac:dyDescent="0.25">
      <c r="B218" s="84"/>
      <c r="C218" s="45" t="s">
        <v>119</v>
      </c>
      <c r="D218" s="44">
        <v>39</v>
      </c>
      <c r="E218" s="43">
        <v>1.5840779853777416E-2</v>
      </c>
    </row>
    <row r="219" spans="2:5" ht="15" customHeight="1" x14ac:dyDescent="0.25">
      <c r="B219" s="84"/>
      <c r="C219" s="45" t="s">
        <v>112</v>
      </c>
      <c r="D219" s="44">
        <v>12</v>
      </c>
      <c r="E219" s="43">
        <v>4.87408610885459E-3</v>
      </c>
    </row>
    <row r="220" spans="2:5" ht="15" customHeight="1" x14ac:dyDescent="0.25">
      <c r="B220" s="84"/>
      <c r="C220" s="45" t="s">
        <v>114</v>
      </c>
      <c r="D220" s="44">
        <v>3</v>
      </c>
      <c r="E220" s="43">
        <v>1.2185215272136475E-3</v>
      </c>
    </row>
    <row r="221" spans="2:5" ht="15" customHeight="1" x14ac:dyDescent="0.25">
      <c r="B221" s="84"/>
      <c r="C221" s="45" t="s">
        <v>113</v>
      </c>
      <c r="D221" s="44">
        <v>4</v>
      </c>
      <c r="E221" s="43">
        <v>1.6246953696181965E-3</v>
      </c>
    </row>
    <row r="222" spans="2:5" ht="15" customHeight="1" x14ac:dyDescent="0.25">
      <c r="B222" s="84"/>
      <c r="C222" s="45" t="s">
        <v>117</v>
      </c>
      <c r="D222" s="44">
        <v>30</v>
      </c>
      <c r="E222" s="43">
        <v>1.2185215272136474E-2</v>
      </c>
    </row>
    <row r="223" spans="2:5" ht="15" customHeight="1" x14ac:dyDescent="0.25">
      <c r="B223" s="84"/>
      <c r="C223" s="45" t="s">
        <v>110</v>
      </c>
      <c r="D223" s="44">
        <v>3</v>
      </c>
      <c r="E223" s="43">
        <v>1.2185215272136475E-3</v>
      </c>
    </row>
    <row r="224" spans="2:5" ht="15" customHeight="1" x14ac:dyDescent="0.25">
      <c r="B224" s="84"/>
      <c r="C224" s="45" t="s">
        <v>118</v>
      </c>
      <c r="D224" s="44">
        <v>38</v>
      </c>
      <c r="E224" s="43">
        <v>1.5434606011372868E-2</v>
      </c>
    </row>
    <row r="225" spans="2:5" ht="15" customHeight="1" x14ac:dyDescent="0.25">
      <c r="B225" s="84"/>
      <c r="C225" s="45" t="s">
        <v>115</v>
      </c>
      <c r="D225" s="44">
        <v>9</v>
      </c>
      <c r="E225" s="43">
        <v>3.6555645816409425E-3</v>
      </c>
    </row>
    <row r="226" spans="2:5" ht="15" customHeight="1" x14ac:dyDescent="0.25">
      <c r="B226" s="83"/>
      <c r="C226" s="42" t="s">
        <v>20</v>
      </c>
      <c r="D226" s="41">
        <v>148</v>
      </c>
      <c r="E226" s="40">
        <v>6.0113728675873272E-2</v>
      </c>
    </row>
    <row r="227" spans="2:5" ht="15" customHeight="1" x14ac:dyDescent="0.25">
      <c r="B227" s="82" t="s">
        <v>78</v>
      </c>
      <c r="C227" s="45" t="s">
        <v>119</v>
      </c>
      <c r="D227" s="44">
        <v>3</v>
      </c>
      <c r="E227" s="43">
        <v>1.2185215272136475E-3</v>
      </c>
    </row>
    <row r="228" spans="2:5" ht="15" customHeight="1" x14ac:dyDescent="0.25">
      <c r="B228" s="84"/>
      <c r="C228" s="45" t="s">
        <v>117</v>
      </c>
      <c r="D228" s="44">
        <v>8</v>
      </c>
      <c r="E228" s="43">
        <v>3.249390739236393E-3</v>
      </c>
    </row>
    <row r="229" spans="2:5" ht="15" customHeight="1" x14ac:dyDescent="0.25">
      <c r="B229" s="84"/>
      <c r="C229" s="45" t="s">
        <v>118</v>
      </c>
      <c r="D229" s="44">
        <v>4</v>
      </c>
      <c r="E229" s="43">
        <v>1.6246953696181965E-3</v>
      </c>
    </row>
    <row r="230" spans="2:5" ht="15" customHeight="1" x14ac:dyDescent="0.25">
      <c r="B230" s="83"/>
      <c r="C230" s="42" t="s">
        <v>20</v>
      </c>
      <c r="D230" s="41">
        <v>15</v>
      </c>
      <c r="E230" s="40">
        <v>6.092607636068237E-3</v>
      </c>
    </row>
    <row r="231" spans="2:5" ht="15" customHeight="1" x14ac:dyDescent="0.25">
      <c r="B231" s="82" t="s">
        <v>80</v>
      </c>
      <c r="C231" s="45" t="s">
        <v>116</v>
      </c>
      <c r="D231" s="44">
        <v>1</v>
      </c>
      <c r="E231" s="43">
        <v>4.0617384240454913E-4</v>
      </c>
    </row>
    <row r="232" spans="2:5" ht="15" customHeight="1" x14ac:dyDescent="0.25">
      <c r="B232" s="84"/>
      <c r="C232" s="45" t="s">
        <v>119</v>
      </c>
      <c r="D232" s="44">
        <v>17</v>
      </c>
      <c r="E232" s="43">
        <v>6.9049553208773351E-3</v>
      </c>
    </row>
    <row r="233" spans="2:5" ht="15" customHeight="1" x14ac:dyDescent="0.25">
      <c r="B233" s="84"/>
      <c r="C233" s="45" t="s">
        <v>112</v>
      </c>
      <c r="D233" s="44">
        <v>2</v>
      </c>
      <c r="E233" s="43">
        <v>8.1234768480909826E-4</v>
      </c>
    </row>
    <row r="234" spans="2:5" ht="15" customHeight="1" x14ac:dyDescent="0.25">
      <c r="B234" s="84"/>
      <c r="C234" s="45" t="s">
        <v>113</v>
      </c>
      <c r="D234" s="44">
        <v>2</v>
      </c>
      <c r="E234" s="43">
        <v>8.1234768480909826E-4</v>
      </c>
    </row>
    <row r="235" spans="2:5" ht="15" customHeight="1" x14ac:dyDescent="0.25">
      <c r="B235" s="84"/>
      <c r="C235" s="45" t="s">
        <v>111</v>
      </c>
      <c r="D235" s="44">
        <v>4</v>
      </c>
      <c r="E235" s="43">
        <v>1.6246953696181965E-3</v>
      </c>
    </row>
    <row r="236" spans="2:5" ht="15" customHeight="1" x14ac:dyDescent="0.25">
      <c r="B236" s="84"/>
      <c r="C236" s="45" t="s">
        <v>117</v>
      </c>
      <c r="D236" s="44">
        <v>11</v>
      </c>
      <c r="E236" s="43">
        <v>4.4679122664500409E-3</v>
      </c>
    </row>
    <row r="237" spans="2:5" ht="15" customHeight="1" x14ac:dyDescent="0.25">
      <c r="B237" s="84"/>
      <c r="C237" s="45" t="s">
        <v>118</v>
      </c>
      <c r="D237" s="44">
        <v>9</v>
      </c>
      <c r="E237" s="43">
        <v>3.6555645816409425E-3</v>
      </c>
    </row>
    <row r="238" spans="2:5" ht="15" customHeight="1" x14ac:dyDescent="0.25">
      <c r="B238" s="84"/>
      <c r="C238" s="45" t="s">
        <v>115</v>
      </c>
      <c r="D238" s="44">
        <v>1</v>
      </c>
      <c r="E238" s="43">
        <v>4.0617384240454913E-4</v>
      </c>
    </row>
    <row r="239" spans="2:5" ht="15" customHeight="1" x14ac:dyDescent="0.25">
      <c r="B239" s="83"/>
      <c r="C239" s="42" t="s">
        <v>20</v>
      </c>
      <c r="D239" s="41">
        <v>47</v>
      </c>
      <c r="E239" s="40">
        <v>1.9090170593013808E-2</v>
      </c>
    </row>
    <row r="240" spans="2:5" ht="15" customHeight="1" x14ac:dyDescent="0.25">
      <c r="B240" s="82" t="s">
        <v>88</v>
      </c>
      <c r="C240" s="45" t="s">
        <v>119</v>
      </c>
      <c r="D240" s="44">
        <v>6</v>
      </c>
      <c r="E240" s="43">
        <v>2.437043054427295E-3</v>
      </c>
    </row>
    <row r="241" spans="2:5" ht="15" customHeight="1" x14ac:dyDescent="0.25">
      <c r="B241" s="84"/>
      <c r="C241" s="45" t="s">
        <v>114</v>
      </c>
      <c r="D241" s="44">
        <v>1</v>
      </c>
      <c r="E241" s="43">
        <v>4.0617384240454913E-4</v>
      </c>
    </row>
    <row r="242" spans="2:5" ht="15" customHeight="1" x14ac:dyDescent="0.25">
      <c r="B242" s="84"/>
      <c r="C242" s="45" t="s">
        <v>111</v>
      </c>
      <c r="D242" s="44">
        <v>1</v>
      </c>
      <c r="E242" s="43">
        <v>4.0617384240454913E-4</v>
      </c>
    </row>
    <row r="243" spans="2:5" ht="15" customHeight="1" x14ac:dyDescent="0.25">
      <c r="B243" s="84"/>
      <c r="C243" s="45" t="s">
        <v>117</v>
      </c>
      <c r="D243" s="44">
        <v>1</v>
      </c>
      <c r="E243" s="43">
        <v>4.0617384240454913E-4</v>
      </c>
    </row>
    <row r="244" spans="2:5" ht="15" customHeight="1" x14ac:dyDescent="0.25">
      <c r="B244" s="84"/>
      <c r="C244" s="45" t="s">
        <v>118</v>
      </c>
      <c r="D244" s="44">
        <v>2</v>
      </c>
      <c r="E244" s="43">
        <v>8.1234768480909826E-4</v>
      </c>
    </row>
    <row r="245" spans="2:5" ht="15" customHeight="1" x14ac:dyDescent="0.25">
      <c r="B245" s="84"/>
      <c r="C245" s="45" t="s">
        <v>115</v>
      </c>
      <c r="D245" s="44">
        <v>1</v>
      </c>
      <c r="E245" s="43">
        <v>4.0617384240454913E-4</v>
      </c>
    </row>
    <row r="246" spans="2:5" ht="15" customHeight="1" x14ac:dyDescent="0.25">
      <c r="B246" s="83"/>
      <c r="C246" s="42" t="s">
        <v>20</v>
      </c>
      <c r="D246" s="41">
        <v>12</v>
      </c>
      <c r="E246" s="40">
        <v>4.87408610885459E-3</v>
      </c>
    </row>
    <row r="247" spans="2:5" ht="15" customHeight="1" x14ac:dyDescent="0.25">
      <c r="B247" s="82" t="s">
        <v>100</v>
      </c>
      <c r="C247" s="45" t="s">
        <v>116</v>
      </c>
      <c r="D247" s="44">
        <v>13</v>
      </c>
      <c r="E247" s="43">
        <v>5.280259951259139E-3</v>
      </c>
    </row>
    <row r="248" spans="2:5" ht="15" customHeight="1" x14ac:dyDescent="0.25">
      <c r="B248" s="84"/>
      <c r="C248" s="45" t="s">
        <v>119</v>
      </c>
      <c r="D248" s="44">
        <v>61</v>
      </c>
      <c r="E248" s="43">
        <v>2.4776604386677496E-2</v>
      </c>
    </row>
    <row r="249" spans="2:5" ht="15" customHeight="1" x14ac:dyDescent="0.25">
      <c r="B249" s="84"/>
      <c r="C249" s="45" t="s">
        <v>112</v>
      </c>
      <c r="D249" s="44">
        <v>4</v>
      </c>
      <c r="E249" s="43">
        <v>1.6246953696181965E-3</v>
      </c>
    </row>
    <row r="250" spans="2:5" ht="15" customHeight="1" x14ac:dyDescent="0.25">
      <c r="B250" s="84"/>
      <c r="C250" s="45" t="s">
        <v>114</v>
      </c>
      <c r="D250" s="44">
        <v>5</v>
      </c>
      <c r="E250" s="43">
        <v>2.0308692120227455E-3</v>
      </c>
    </row>
    <row r="251" spans="2:5" ht="15" customHeight="1" x14ac:dyDescent="0.25">
      <c r="B251" s="84"/>
      <c r="C251" s="45" t="s">
        <v>113</v>
      </c>
      <c r="D251" s="44">
        <v>16</v>
      </c>
      <c r="E251" s="43">
        <v>6.498781478472786E-3</v>
      </c>
    </row>
    <row r="252" spans="2:5" ht="15" customHeight="1" x14ac:dyDescent="0.25">
      <c r="B252" s="84"/>
      <c r="C252" s="45" t="s">
        <v>111</v>
      </c>
      <c r="D252" s="44">
        <v>4</v>
      </c>
      <c r="E252" s="43">
        <v>1.6246953696181965E-3</v>
      </c>
    </row>
    <row r="253" spans="2:5" ht="15" customHeight="1" x14ac:dyDescent="0.25">
      <c r="B253" s="84"/>
      <c r="C253" s="45" t="s">
        <v>117</v>
      </c>
      <c r="D253" s="44">
        <v>47</v>
      </c>
      <c r="E253" s="43">
        <v>1.9090170593013808E-2</v>
      </c>
    </row>
    <row r="254" spans="2:5" ht="15" customHeight="1" x14ac:dyDescent="0.25">
      <c r="B254" s="84"/>
      <c r="C254" s="45" t="s">
        <v>110</v>
      </c>
      <c r="D254" s="44">
        <v>3</v>
      </c>
      <c r="E254" s="43">
        <v>1.2185215272136475E-3</v>
      </c>
    </row>
    <row r="255" spans="2:5" ht="15" customHeight="1" x14ac:dyDescent="0.25">
      <c r="B255" s="84"/>
      <c r="C255" s="45" t="s">
        <v>118</v>
      </c>
      <c r="D255" s="44">
        <v>48</v>
      </c>
      <c r="E255" s="43">
        <v>1.949634443541836E-2</v>
      </c>
    </row>
    <row r="256" spans="2:5" ht="15" customHeight="1" x14ac:dyDescent="0.25">
      <c r="B256" s="84"/>
      <c r="C256" s="45" t="s">
        <v>115</v>
      </c>
      <c r="D256" s="44">
        <v>8</v>
      </c>
      <c r="E256" s="43">
        <v>3.249390739236393E-3</v>
      </c>
    </row>
    <row r="257" spans="2:5" ht="15" customHeight="1" x14ac:dyDescent="0.25">
      <c r="B257" s="83"/>
      <c r="C257" s="42" t="s">
        <v>20</v>
      </c>
      <c r="D257" s="41">
        <v>209</v>
      </c>
      <c r="E257" s="40">
        <v>8.4890333062550768E-2</v>
      </c>
    </row>
    <row r="258" spans="2:5" ht="15" customHeight="1" x14ac:dyDescent="0.25">
      <c r="B258" s="82" t="s">
        <v>84</v>
      </c>
      <c r="C258" s="45" t="s">
        <v>116</v>
      </c>
      <c r="D258" s="44">
        <v>3</v>
      </c>
      <c r="E258" s="43">
        <v>1.2185215272136475E-3</v>
      </c>
    </row>
    <row r="259" spans="2:5" ht="15" customHeight="1" x14ac:dyDescent="0.25">
      <c r="B259" s="84"/>
      <c r="C259" s="45" t="s">
        <v>119</v>
      </c>
      <c r="D259" s="44">
        <v>12</v>
      </c>
      <c r="E259" s="43">
        <v>4.87408610885459E-3</v>
      </c>
    </row>
    <row r="260" spans="2:5" ht="15" customHeight="1" x14ac:dyDescent="0.25">
      <c r="B260" s="84"/>
      <c r="C260" s="45" t="s">
        <v>114</v>
      </c>
      <c r="D260" s="44">
        <v>2</v>
      </c>
      <c r="E260" s="43">
        <v>8.1234768480909826E-4</v>
      </c>
    </row>
    <row r="261" spans="2:5" ht="15" customHeight="1" x14ac:dyDescent="0.25">
      <c r="B261" s="84"/>
      <c r="C261" s="45" t="s">
        <v>113</v>
      </c>
      <c r="D261" s="44">
        <v>1</v>
      </c>
      <c r="E261" s="43">
        <v>4.0617384240454913E-4</v>
      </c>
    </row>
    <row r="262" spans="2:5" ht="15" customHeight="1" x14ac:dyDescent="0.25">
      <c r="B262" s="84"/>
      <c r="C262" s="45" t="s">
        <v>117</v>
      </c>
      <c r="D262" s="44">
        <v>11</v>
      </c>
      <c r="E262" s="43">
        <v>4.4679122664500409E-3</v>
      </c>
    </row>
    <row r="263" spans="2:5" ht="15" customHeight="1" x14ac:dyDescent="0.25">
      <c r="B263" s="84"/>
      <c r="C263" s="45" t="s">
        <v>110</v>
      </c>
      <c r="D263" s="44">
        <v>3</v>
      </c>
      <c r="E263" s="43">
        <v>1.2185215272136475E-3</v>
      </c>
    </row>
    <row r="264" spans="2:5" ht="15" customHeight="1" x14ac:dyDescent="0.25">
      <c r="B264" s="84"/>
      <c r="C264" s="45" t="s">
        <v>118</v>
      </c>
      <c r="D264" s="44">
        <v>12</v>
      </c>
      <c r="E264" s="43">
        <v>4.87408610885459E-3</v>
      </c>
    </row>
    <row r="265" spans="2:5" ht="15" customHeight="1" x14ac:dyDescent="0.25">
      <c r="B265" s="83"/>
      <c r="C265" s="42" t="s">
        <v>20</v>
      </c>
      <c r="D265" s="41">
        <v>44</v>
      </c>
      <c r="E265" s="40">
        <v>1.7871649065800164E-2</v>
      </c>
    </row>
    <row r="266" spans="2:5" ht="15" customHeight="1" x14ac:dyDescent="0.25">
      <c r="B266" s="82" t="s">
        <v>97</v>
      </c>
      <c r="C266" s="45" t="s">
        <v>116</v>
      </c>
      <c r="D266" s="44">
        <v>7</v>
      </c>
      <c r="E266" s="43">
        <v>2.843216896831844E-3</v>
      </c>
    </row>
    <row r="267" spans="2:5" ht="15" customHeight="1" x14ac:dyDescent="0.25">
      <c r="B267" s="84"/>
      <c r="C267" s="45" t="s">
        <v>119</v>
      </c>
      <c r="D267" s="44">
        <v>17</v>
      </c>
      <c r="E267" s="43">
        <v>6.9049553208773351E-3</v>
      </c>
    </row>
    <row r="268" spans="2:5" ht="15" customHeight="1" x14ac:dyDescent="0.25">
      <c r="B268" s="84"/>
      <c r="C268" s="45" t="s">
        <v>114</v>
      </c>
      <c r="D268" s="44">
        <v>2</v>
      </c>
      <c r="E268" s="43">
        <v>8.1234768480909826E-4</v>
      </c>
    </row>
    <row r="269" spans="2:5" ht="15" customHeight="1" x14ac:dyDescent="0.25">
      <c r="B269" s="84"/>
      <c r="C269" s="45" t="s">
        <v>113</v>
      </c>
      <c r="D269" s="44">
        <v>3</v>
      </c>
      <c r="E269" s="43">
        <v>1.2185215272136475E-3</v>
      </c>
    </row>
    <row r="270" spans="2:5" ht="15" customHeight="1" x14ac:dyDescent="0.25">
      <c r="B270" s="84"/>
      <c r="C270" s="45" t="s">
        <v>117</v>
      </c>
      <c r="D270" s="44">
        <v>17</v>
      </c>
      <c r="E270" s="43">
        <v>6.9049553208773351E-3</v>
      </c>
    </row>
    <row r="271" spans="2:5" ht="15" customHeight="1" x14ac:dyDescent="0.25">
      <c r="B271" s="84"/>
      <c r="C271" s="45" t="s">
        <v>110</v>
      </c>
      <c r="D271" s="44">
        <v>3</v>
      </c>
      <c r="E271" s="43">
        <v>1.2185215272136475E-3</v>
      </c>
    </row>
    <row r="272" spans="2:5" ht="15" customHeight="1" x14ac:dyDescent="0.25">
      <c r="B272" s="84"/>
      <c r="C272" s="45" t="s">
        <v>118</v>
      </c>
      <c r="D272" s="44">
        <v>26</v>
      </c>
      <c r="E272" s="43">
        <v>1.0560519902518278E-2</v>
      </c>
    </row>
    <row r="273" spans="2:5" ht="15" customHeight="1" x14ac:dyDescent="0.25">
      <c r="B273" s="84"/>
      <c r="C273" s="45" t="s">
        <v>115</v>
      </c>
      <c r="D273" s="44">
        <v>2</v>
      </c>
      <c r="E273" s="43">
        <v>8.1234768480909826E-4</v>
      </c>
    </row>
    <row r="274" spans="2:5" ht="15" customHeight="1" x14ac:dyDescent="0.25">
      <c r="B274" s="83"/>
      <c r="C274" s="42" t="s">
        <v>20</v>
      </c>
      <c r="D274" s="41">
        <v>77</v>
      </c>
      <c r="E274" s="40">
        <v>3.1275385865150288E-2</v>
      </c>
    </row>
    <row r="275" spans="2:5" ht="15" customHeight="1" x14ac:dyDescent="0.25">
      <c r="B275" s="82" t="s">
        <v>98</v>
      </c>
      <c r="C275" s="45" t="s">
        <v>116</v>
      </c>
      <c r="D275" s="44">
        <v>3</v>
      </c>
      <c r="E275" s="43">
        <v>1.2185215272136475E-3</v>
      </c>
    </row>
    <row r="276" spans="2:5" ht="15" customHeight="1" x14ac:dyDescent="0.25">
      <c r="B276" s="84"/>
      <c r="C276" s="45" t="s">
        <v>119</v>
      </c>
      <c r="D276" s="44">
        <v>44</v>
      </c>
      <c r="E276" s="43">
        <v>1.7871649065800164E-2</v>
      </c>
    </row>
    <row r="277" spans="2:5" ht="15" customHeight="1" x14ac:dyDescent="0.25">
      <c r="B277" s="84"/>
      <c r="C277" s="45" t="s">
        <v>112</v>
      </c>
      <c r="D277" s="44">
        <v>3</v>
      </c>
      <c r="E277" s="43">
        <v>1.2185215272136475E-3</v>
      </c>
    </row>
    <row r="278" spans="2:5" ht="15" customHeight="1" x14ac:dyDescent="0.25">
      <c r="B278" s="84"/>
      <c r="C278" s="45" t="s">
        <v>114</v>
      </c>
      <c r="D278" s="44">
        <v>7</v>
      </c>
      <c r="E278" s="43">
        <v>2.843216896831844E-3</v>
      </c>
    </row>
    <row r="279" spans="2:5" ht="15" customHeight="1" x14ac:dyDescent="0.25">
      <c r="B279" s="84"/>
      <c r="C279" s="45" t="s">
        <v>113</v>
      </c>
      <c r="D279" s="44">
        <v>3</v>
      </c>
      <c r="E279" s="43">
        <v>1.2185215272136475E-3</v>
      </c>
    </row>
    <row r="280" spans="2:5" ht="15" customHeight="1" x14ac:dyDescent="0.25">
      <c r="B280" s="84"/>
      <c r="C280" s="45" t="s">
        <v>117</v>
      </c>
      <c r="D280" s="44">
        <v>22</v>
      </c>
      <c r="E280" s="43">
        <v>8.9358245329000819E-3</v>
      </c>
    </row>
    <row r="281" spans="2:5" ht="15" customHeight="1" x14ac:dyDescent="0.25">
      <c r="B281" s="84"/>
      <c r="C281" s="45" t="s">
        <v>110</v>
      </c>
      <c r="D281" s="44">
        <v>10</v>
      </c>
      <c r="E281" s="43">
        <v>4.0617384240454911E-3</v>
      </c>
    </row>
    <row r="282" spans="2:5" ht="15" customHeight="1" x14ac:dyDescent="0.25">
      <c r="B282" s="84"/>
      <c r="C282" s="45" t="s">
        <v>118</v>
      </c>
      <c r="D282" s="44">
        <v>26</v>
      </c>
      <c r="E282" s="43">
        <v>1.0560519902518278E-2</v>
      </c>
    </row>
    <row r="283" spans="2:5" ht="15" customHeight="1" x14ac:dyDescent="0.25">
      <c r="B283" s="84"/>
      <c r="C283" s="45" t="s">
        <v>115</v>
      </c>
      <c r="D283" s="44">
        <v>11</v>
      </c>
      <c r="E283" s="43">
        <v>4.4679122664500409E-3</v>
      </c>
    </row>
    <row r="284" spans="2:5" ht="15" customHeight="1" x14ac:dyDescent="0.25">
      <c r="B284" s="83"/>
      <c r="C284" s="42" t="s">
        <v>20</v>
      </c>
      <c r="D284" s="41">
        <v>129</v>
      </c>
      <c r="E284" s="40">
        <v>5.239642567018684E-2</v>
      </c>
    </row>
    <row r="285" spans="2:5" ht="15" customHeight="1" x14ac:dyDescent="0.25">
      <c r="B285" s="82" t="s">
        <v>99</v>
      </c>
      <c r="C285" s="45" t="s">
        <v>116</v>
      </c>
      <c r="D285" s="44">
        <v>2</v>
      </c>
      <c r="E285" s="43">
        <v>8.1234768480909826E-4</v>
      </c>
    </row>
    <row r="286" spans="2:5" ht="15" customHeight="1" x14ac:dyDescent="0.25">
      <c r="B286" s="84"/>
      <c r="C286" s="45" t="s">
        <v>119</v>
      </c>
      <c r="D286" s="44">
        <v>13</v>
      </c>
      <c r="E286" s="43">
        <v>5.280259951259139E-3</v>
      </c>
    </row>
    <row r="287" spans="2:5" ht="15" customHeight="1" x14ac:dyDescent="0.25">
      <c r="B287" s="84"/>
      <c r="C287" s="45" t="s">
        <v>112</v>
      </c>
      <c r="D287" s="44">
        <v>4</v>
      </c>
      <c r="E287" s="43">
        <v>1.6246953696181965E-3</v>
      </c>
    </row>
    <row r="288" spans="2:5" ht="15" customHeight="1" x14ac:dyDescent="0.25">
      <c r="B288" s="84"/>
      <c r="C288" s="45" t="s">
        <v>114</v>
      </c>
      <c r="D288" s="44">
        <v>2</v>
      </c>
      <c r="E288" s="43">
        <v>8.1234768480909826E-4</v>
      </c>
    </row>
    <row r="289" spans="2:5" ht="15" customHeight="1" x14ac:dyDescent="0.25">
      <c r="B289" s="84"/>
      <c r="C289" s="45" t="s">
        <v>113</v>
      </c>
      <c r="D289" s="44">
        <v>7</v>
      </c>
      <c r="E289" s="43">
        <v>2.843216896831844E-3</v>
      </c>
    </row>
    <row r="290" spans="2:5" ht="15" customHeight="1" x14ac:dyDescent="0.25">
      <c r="B290" s="84"/>
      <c r="C290" s="45" t="s">
        <v>117</v>
      </c>
      <c r="D290" s="44">
        <v>17</v>
      </c>
      <c r="E290" s="43">
        <v>6.9049553208773351E-3</v>
      </c>
    </row>
    <row r="291" spans="2:5" ht="15" customHeight="1" x14ac:dyDescent="0.25">
      <c r="B291" s="84"/>
      <c r="C291" s="45" t="s">
        <v>110</v>
      </c>
      <c r="D291" s="44">
        <v>2</v>
      </c>
      <c r="E291" s="43">
        <v>8.1234768480909826E-4</v>
      </c>
    </row>
    <row r="292" spans="2:5" ht="15" customHeight="1" x14ac:dyDescent="0.25">
      <c r="B292" s="84"/>
      <c r="C292" s="45" t="s">
        <v>118</v>
      </c>
      <c r="D292" s="44">
        <v>15</v>
      </c>
      <c r="E292" s="43">
        <v>6.092607636068237E-3</v>
      </c>
    </row>
    <row r="293" spans="2:5" ht="15" customHeight="1" x14ac:dyDescent="0.25">
      <c r="B293" s="84"/>
      <c r="C293" s="45" t="s">
        <v>115</v>
      </c>
      <c r="D293" s="44">
        <v>5</v>
      </c>
      <c r="E293" s="43">
        <v>2.0308692120227455E-3</v>
      </c>
    </row>
    <row r="294" spans="2:5" ht="15" customHeight="1" x14ac:dyDescent="0.25">
      <c r="B294" s="83"/>
      <c r="C294" s="42" t="s">
        <v>20</v>
      </c>
      <c r="D294" s="41">
        <v>67</v>
      </c>
      <c r="E294" s="40">
        <v>2.7213647441104792E-2</v>
      </c>
    </row>
    <row r="295" spans="2:5" ht="15" customHeight="1" x14ac:dyDescent="0.25">
      <c r="B295" s="82" t="s">
        <v>77</v>
      </c>
      <c r="C295" s="45" t="s">
        <v>116</v>
      </c>
      <c r="D295" s="44">
        <v>6</v>
      </c>
      <c r="E295" s="43">
        <v>2.437043054427295E-3</v>
      </c>
    </row>
    <row r="296" spans="2:5" ht="15" customHeight="1" x14ac:dyDescent="0.25">
      <c r="B296" s="84"/>
      <c r="C296" s="45" t="s">
        <v>119</v>
      </c>
      <c r="D296" s="44">
        <v>9</v>
      </c>
      <c r="E296" s="43">
        <v>3.6555645816409425E-3</v>
      </c>
    </row>
    <row r="297" spans="2:5" ht="15" customHeight="1" x14ac:dyDescent="0.25">
      <c r="B297" s="84"/>
      <c r="C297" s="45" t="s">
        <v>112</v>
      </c>
      <c r="D297" s="44">
        <v>1</v>
      </c>
      <c r="E297" s="43">
        <v>4.0617384240454913E-4</v>
      </c>
    </row>
    <row r="298" spans="2:5" ht="15" customHeight="1" x14ac:dyDescent="0.25">
      <c r="B298" s="84"/>
      <c r="C298" s="45" t="s">
        <v>114</v>
      </c>
      <c r="D298" s="44">
        <v>2</v>
      </c>
      <c r="E298" s="43">
        <v>8.1234768480909826E-4</v>
      </c>
    </row>
    <row r="299" spans="2:5" ht="15" customHeight="1" x14ac:dyDescent="0.25">
      <c r="B299" s="84"/>
      <c r="C299" s="45" t="s">
        <v>111</v>
      </c>
      <c r="D299" s="44">
        <v>2</v>
      </c>
      <c r="E299" s="43">
        <v>8.1234768480909826E-4</v>
      </c>
    </row>
    <row r="300" spans="2:5" ht="15" customHeight="1" x14ac:dyDescent="0.25">
      <c r="B300" s="84"/>
      <c r="C300" s="45" t="s">
        <v>117</v>
      </c>
      <c r="D300" s="44">
        <v>8</v>
      </c>
      <c r="E300" s="43">
        <v>3.249390739236393E-3</v>
      </c>
    </row>
    <row r="301" spans="2:5" ht="15" customHeight="1" x14ac:dyDescent="0.25">
      <c r="B301" s="84"/>
      <c r="C301" s="45" t="s">
        <v>110</v>
      </c>
      <c r="D301" s="44">
        <v>1</v>
      </c>
      <c r="E301" s="43">
        <v>4.0617384240454913E-4</v>
      </c>
    </row>
    <row r="302" spans="2:5" ht="15" customHeight="1" x14ac:dyDescent="0.25">
      <c r="B302" s="84"/>
      <c r="C302" s="45" t="s">
        <v>118</v>
      </c>
      <c r="D302" s="44">
        <v>14</v>
      </c>
      <c r="E302" s="43">
        <v>5.686433793663688E-3</v>
      </c>
    </row>
    <row r="303" spans="2:5" ht="15" customHeight="1" x14ac:dyDescent="0.25">
      <c r="B303" s="84"/>
      <c r="C303" s="45" t="s">
        <v>115</v>
      </c>
      <c r="D303" s="44">
        <v>2</v>
      </c>
      <c r="E303" s="43">
        <v>8.1234768480909826E-4</v>
      </c>
    </row>
    <row r="304" spans="2:5" ht="15" customHeight="1" x14ac:dyDescent="0.25">
      <c r="B304" s="83"/>
      <c r="C304" s="42" t="s">
        <v>20</v>
      </c>
      <c r="D304" s="41">
        <v>45</v>
      </c>
      <c r="E304" s="40">
        <v>1.8277822908204712E-2</v>
      </c>
    </row>
    <row r="305" spans="2:5" ht="15" customHeight="1" x14ac:dyDescent="0.25">
      <c r="B305" s="82" t="s">
        <v>68</v>
      </c>
      <c r="C305" s="45" t="s">
        <v>119</v>
      </c>
      <c r="D305" s="44">
        <v>1</v>
      </c>
      <c r="E305" s="43">
        <v>4.0617384240454913E-4</v>
      </c>
    </row>
    <row r="306" spans="2:5" ht="15" customHeight="1" x14ac:dyDescent="0.25">
      <c r="B306" s="84"/>
      <c r="C306" s="45" t="s">
        <v>112</v>
      </c>
      <c r="D306" s="44">
        <v>1</v>
      </c>
      <c r="E306" s="43">
        <v>4.0617384240454913E-4</v>
      </c>
    </row>
    <row r="307" spans="2:5" ht="15" customHeight="1" x14ac:dyDescent="0.25">
      <c r="B307" s="84"/>
      <c r="C307" s="45" t="s">
        <v>114</v>
      </c>
      <c r="D307" s="44">
        <v>1</v>
      </c>
      <c r="E307" s="43">
        <v>4.0617384240454913E-4</v>
      </c>
    </row>
    <row r="308" spans="2:5" ht="15" customHeight="1" x14ac:dyDescent="0.25">
      <c r="B308" s="84"/>
      <c r="C308" s="45" t="s">
        <v>117</v>
      </c>
      <c r="D308" s="44">
        <v>3</v>
      </c>
      <c r="E308" s="43">
        <v>1.2185215272136475E-3</v>
      </c>
    </row>
    <row r="309" spans="2:5" ht="15" customHeight="1" x14ac:dyDescent="0.25">
      <c r="B309" s="83"/>
      <c r="C309" s="42" t="s">
        <v>20</v>
      </c>
      <c r="D309" s="41">
        <v>6</v>
      </c>
      <c r="E309" s="40">
        <v>2.437043054427295E-3</v>
      </c>
    </row>
    <row r="310" spans="2:5" ht="15" customHeight="1" x14ac:dyDescent="0.25">
      <c r="B310" s="82" t="s">
        <v>56</v>
      </c>
      <c r="C310" s="45" t="s">
        <v>117</v>
      </c>
      <c r="D310" s="44">
        <v>1</v>
      </c>
      <c r="E310" s="43">
        <v>4.0617384240454913E-4</v>
      </c>
    </row>
    <row r="311" spans="2:5" ht="15" customHeight="1" x14ac:dyDescent="0.25">
      <c r="B311" s="83"/>
      <c r="C311" s="42" t="s">
        <v>20</v>
      </c>
      <c r="D311" s="41">
        <v>1</v>
      </c>
      <c r="E311" s="40">
        <v>4.0617384240454913E-4</v>
      </c>
    </row>
    <row r="312" spans="2:5" ht="15" customHeight="1" x14ac:dyDescent="0.25">
      <c r="B312" s="82" t="s">
        <v>66</v>
      </c>
      <c r="C312" s="45" t="s">
        <v>116</v>
      </c>
      <c r="D312" s="44">
        <v>1</v>
      </c>
      <c r="E312" s="43">
        <v>4.0617384240454913E-4</v>
      </c>
    </row>
    <row r="313" spans="2:5" ht="15" customHeight="1" x14ac:dyDescent="0.25">
      <c r="B313" s="84"/>
      <c r="C313" s="45" t="s">
        <v>119</v>
      </c>
      <c r="D313" s="44">
        <v>1</v>
      </c>
      <c r="E313" s="43">
        <v>4.0617384240454913E-4</v>
      </c>
    </row>
    <row r="314" spans="2:5" ht="15" customHeight="1" x14ac:dyDescent="0.25">
      <c r="B314" s="83"/>
      <c r="C314" s="42" t="s">
        <v>20</v>
      </c>
      <c r="D314" s="41">
        <v>2</v>
      </c>
      <c r="E314" s="40">
        <v>8.1234768480909826E-4</v>
      </c>
    </row>
    <row r="315" spans="2:5" ht="15" customHeight="1" x14ac:dyDescent="0.25">
      <c r="B315" s="80" t="s">
        <v>155</v>
      </c>
      <c r="C315" s="81"/>
      <c r="D315" s="39">
        <v>2462</v>
      </c>
      <c r="E315" s="38">
        <v>1</v>
      </c>
    </row>
    <row r="317" spans="2:5" ht="15" customHeight="1" x14ac:dyDescent="0.25">
      <c r="B317" s="19" t="s">
        <v>191</v>
      </c>
    </row>
    <row r="318" spans="2:5" ht="15" customHeight="1" x14ac:dyDescent="0.25">
      <c r="B318" s="21" t="s">
        <v>19</v>
      </c>
    </row>
    <row r="319" spans="2:5" ht="15" customHeight="1" x14ac:dyDescent="0.25">
      <c r="B319" s="20" t="s">
        <v>18</v>
      </c>
    </row>
    <row r="320" spans="2:5" ht="15" customHeight="1" x14ac:dyDescent="0.25">
      <c r="B320" s="19" t="s">
        <v>17</v>
      </c>
    </row>
    <row r="321" spans="2:2" ht="15" customHeight="1" x14ac:dyDescent="0.25">
      <c r="B321" s="19" t="s">
        <v>192</v>
      </c>
    </row>
  </sheetData>
  <mergeCells count="48">
    <mergeCell ref="B10:B12"/>
    <mergeCell ref="B13:B18"/>
    <mergeCell ref="B19:B24"/>
    <mergeCell ref="B25:B33"/>
    <mergeCell ref="B34:B36"/>
    <mergeCell ref="B37:B39"/>
    <mergeCell ref="B40:B41"/>
    <mergeCell ref="B42:B52"/>
    <mergeCell ref="B53:B60"/>
    <mergeCell ref="B61:B62"/>
    <mergeCell ref="B63:B70"/>
    <mergeCell ref="B7:E8"/>
    <mergeCell ref="B100:B106"/>
    <mergeCell ref="B107:B112"/>
    <mergeCell ref="B113:B114"/>
    <mergeCell ref="B115:B125"/>
    <mergeCell ref="B126:B131"/>
    <mergeCell ref="B132:B142"/>
    <mergeCell ref="B71:B74"/>
    <mergeCell ref="B75:B76"/>
    <mergeCell ref="B77:B79"/>
    <mergeCell ref="B80:B90"/>
    <mergeCell ref="B91:B99"/>
    <mergeCell ref="B181:B189"/>
    <mergeCell ref="B190:B196"/>
    <mergeCell ref="B197:B206"/>
    <mergeCell ref="B207:B216"/>
    <mergeCell ref="B175:B180"/>
    <mergeCell ref="B143:B147"/>
    <mergeCell ref="B148:B154"/>
    <mergeCell ref="B155:B159"/>
    <mergeCell ref="B160:B163"/>
    <mergeCell ref="B164:B168"/>
    <mergeCell ref="B169:B174"/>
    <mergeCell ref="B247:B257"/>
    <mergeCell ref="B258:B265"/>
    <mergeCell ref="B266:B274"/>
    <mergeCell ref="B275:B284"/>
    <mergeCell ref="B285:B294"/>
    <mergeCell ref="B295:B304"/>
    <mergeCell ref="B217:B226"/>
    <mergeCell ref="B227:B230"/>
    <mergeCell ref="B231:B239"/>
    <mergeCell ref="B240:B246"/>
    <mergeCell ref="B305:B309"/>
    <mergeCell ref="B310:B311"/>
    <mergeCell ref="B312:B314"/>
    <mergeCell ref="B315:C315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D43"/>
  <sheetViews>
    <sheetView showGridLines="0" zoomScale="85" zoomScaleNormal="85" zoomScaleSheetLayoutView="115" workbookViewId="0">
      <selection activeCell="I1" sqref="I1"/>
    </sheetView>
  </sheetViews>
  <sheetFormatPr baseColWidth="10" defaultColWidth="11.42578125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8" width="11.42578125" style="17"/>
    <col min="9" max="9" width="22.7109375" style="17" customWidth="1"/>
    <col min="10" max="16384" width="11.42578125" style="17"/>
  </cols>
  <sheetData>
    <row r="1" spans="1:4" s="29" customFormat="1" ht="15" customHeight="1" x14ac:dyDescent="0.2">
      <c r="C1" s="35"/>
    </row>
    <row r="2" spans="1:4" s="29" customFormat="1" ht="15" customHeight="1" x14ac:dyDescent="0.2">
      <c r="C2" s="35"/>
    </row>
    <row r="3" spans="1:4" s="29" customFormat="1" ht="15" customHeight="1" x14ac:dyDescent="0.2">
      <c r="A3" s="29" t="s">
        <v>63</v>
      </c>
      <c r="C3" s="35"/>
    </row>
    <row r="4" spans="1:4" s="29" customFormat="1" ht="30" customHeight="1" x14ac:dyDescent="0.2">
      <c r="C4" s="35"/>
      <c r="D4" s="34"/>
    </row>
    <row r="5" spans="1:4" s="29" customFormat="1" ht="15" customHeight="1" x14ac:dyDescent="0.2">
      <c r="C5" s="35"/>
      <c r="D5" s="34"/>
    </row>
    <row r="6" spans="1:4" s="29" customFormat="1" ht="15" customHeight="1" x14ac:dyDescent="0.2">
      <c r="C6" s="35"/>
      <c r="D6" s="34"/>
    </row>
    <row r="7" spans="1:4" s="29" customFormat="1" ht="15" customHeight="1" x14ac:dyDescent="0.2">
      <c r="B7" s="79" t="s">
        <v>196</v>
      </c>
      <c r="C7" s="79"/>
      <c r="D7" s="79"/>
    </row>
    <row r="8" spans="1:4" s="29" customFormat="1" ht="15" customHeight="1" x14ac:dyDescent="0.2">
      <c r="B8" s="79"/>
      <c r="C8" s="79"/>
      <c r="D8" s="79"/>
    </row>
    <row r="9" spans="1:4" s="29" customFormat="1" ht="33" customHeight="1" x14ac:dyDescent="0.2">
      <c r="B9" s="79"/>
      <c r="C9" s="79"/>
      <c r="D9" s="79"/>
    </row>
    <row r="10" spans="1:4" s="29" customFormat="1" ht="4.5" customHeight="1" x14ac:dyDescent="0.2">
      <c r="B10" s="33"/>
      <c r="C10" s="33"/>
      <c r="D10" s="33"/>
    </row>
    <row r="11" spans="1:4" s="29" customFormat="1" ht="33" customHeight="1" x14ac:dyDescent="0.2">
      <c r="B11" s="32" t="s">
        <v>147</v>
      </c>
      <c r="C11" s="31" t="s">
        <v>146</v>
      </c>
      <c r="D11" s="30" t="s">
        <v>60</v>
      </c>
    </row>
    <row r="12" spans="1:4" ht="15" customHeight="1" x14ac:dyDescent="0.25">
      <c r="B12" s="27" t="s">
        <v>145</v>
      </c>
      <c r="C12" s="26">
        <v>31</v>
      </c>
      <c r="D12" s="25">
        <f t="shared" ref="D12:D35" si="0">C12/$C$35</f>
        <v>1.2591389114541024E-2</v>
      </c>
    </row>
    <row r="13" spans="1:4" x14ac:dyDescent="0.25">
      <c r="B13" s="27" t="s">
        <v>144</v>
      </c>
      <c r="C13" s="26">
        <v>20</v>
      </c>
      <c r="D13" s="25">
        <f t="shared" si="0"/>
        <v>8.1234768480909821E-3</v>
      </c>
    </row>
    <row r="14" spans="1:4" s="28" customFormat="1" ht="15.75" x14ac:dyDescent="0.25">
      <c r="A14" s="17"/>
      <c r="B14" s="27" t="s">
        <v>143</v>
      </c>
      <c r="C14" s="26">
        <v>31</v>
      </c>
      <c r="D14" s="25">
        <f t="shared" si="0"/>
        <v>1.2591389114541024E-2</v>
      </c>
    </row>
    <row r="15" spans="1:4" s="28" customFormat="1" ht="15.75" x14ac:dyDescent="0.25">
      <c r="A15" s="17"/>
      <c r="B15" s="27" t="s">
        <v>142</v>
      </c>
      <c r="C15" s="26">
        <v>43</v>
      </c>
      <c r="D15" s="25">
        <f t="shared" si="0"/>
        <v>1.7465475223395612E-2</v>
      </c>
    </row>
    <row r="16" spans="1:4" x14ac:dyDescent="0.25">
      <c r="B16" s="27" t="s">
        <v>141</v>
      </c>
      <c r="C16" s="26">
        <v>24</v>
      </c>
      <c r="D16" s="25">
        <f t="shared" si="0"/>
        <v>9.7481722177091799E-3</v>
      </c>
    </row>
    <row r="17" spans="2:4" x14ac:dyDescent="0.25">
      <c r="B17" s="27" t="s">
        <v>140</v>
      </c>
      <c r="C17" s="26">
        <v>51</v>
      </c>
      <c r="D17" s="25">
        <f t="shared" si="0"/>
        <v>2.0714865962632008E-2</v>
      </c>
    </row>
    <row r="18" spans="2:4" x14ac:dyDescent="0.25">
      <c r="B18" s="27" t="s">
        <v>139</v>
      </c>
      <c r="C18" s="26">
        <v>191</v>
      </c>
      <c r="D18" s="25">
        <f t="shared" si="0"/>
        <v>7.7579203899268881E-2</v>
      </c>
    </row>
    <row r="19" spans="2:4" ht="27" x14ac:dyDescent="0.25">
      <c r="B19" s="27" t="s">
        <v>138</v>
      </c>
      <c r="C19" s="26">
        <v>324</v>
      </c>
      <c r="D19" s="25">
        <f t="shared" si="0"/>
        <v>0.13160032493907392</v>
      </c>
    </row>
    <row r="20" spans="2:4" x14ac:dyDescent="0.25">
      <c r="B20" s="27" t="s">
        <v>137</v>
      </c>
      <c r="C20" s="26">
        <v>50</v>
      </c>
      <c r="D20" s="25">
        <f t="shared" si="0"/>
        <v>2.0308692120227456E-2</v>
      </c>
    </row>
    <row r="21" spans="2:4" x14ac:dyDescent="0.25">
      <c r="B21" s="27" t="s">
        <v>136</v>
      </c>
      <c r="C21" s="26">
        <v>58</v>
      </c>
      <c r="D21" s="25">
        <f t="shared" si="0"/>
        <v>2.3558082859463852E-2</v>
      </c>
    </row>
    <row r="22" spans="2:4" x14ac:dyDescent="0.25">
      <c r="B22" s="27" t="s">
        <v>135</v>
      </c>
      <c r="C22" s="26">
        <v>84</v>
      </c>
      <c r="D22" s="25">
        <f t="shared" si="0"/>
        <v>3.4118602761982128E-2</v>
      </c>
    </row>
    <row r="23" spans="2:4" ht="27" x14ac:dyDescent="0.25">
      <c r="B23" s="27" t="s">
        <v>134</v>
      </c>
      <c r="C23" s="26">
        <v>712</v>
      </c>
      <c r="D23" s="25">
        <f t="shared" si="0"/>
        <v>0.28919577579203898</v>
      </c>
    </row>
    <row r="24" spans="2:4" x14ac:dyDescent="0.25">
      <c r="B24" s="27" t="s">
        <v>133</v>
      </c>
      <c r="C24" s="26">
        <v>50</v>
      </c>
      <c r="D24" s="25">
        <f t="shared" si="0"/>
        <v>2.0308692120227456E-2</v>
      </c>
    </row>
    <row r="25" spans="2:4" ht="27" x14ac:dyDescent="0.25">
      <c r="B25" s="27" t="s">
        <v>132</v>
      </c>
      <c r="C25" s="26">
        <v>183</v>
      </c>
      <c r="D25" s="25">
        <f t="shared" si="0"/>
        <v>7.4329813160032496E-2</v>
      </c>
    </row>
    <row r="26" spans="2:4" ht="27" x14ac:dyDescent="0.25">
      <c r="B26" s="27" t="s">
        <v>131</v>
      </c>
      <c r="C26" s="26">
        <v>458</v>
      </c>
      <c r="D26" s="25">
        <f t="shared" si="0"/>
        <v>0.18602761982128352</v>
      </c>
    </row>
    <row r="27" spans="2:4" x14ac:dyDescent="0.25">
      <c r="B27" s="27" t="s">
        <v>130</v>
      </c>
      <c r="C27" s="26">
        <v>7</v>
      </c>
      <c r="D27" s="25">
        <f t="shared" si="0"/>
        <v>2.843216896831844E-3</v>
      </c>
    </row>
    <row r="28" spans="2:4" x14ac:dyDescent="0.25">
      <c r="B28" s="27" t="s">
        <v>129</v>
      </c>
      <c r="C28" s="26">
        <v>8</v>
      </c>
      <c r="D28" s="25">
        <f t="shared" si="0"/>
        <v>3.249390739236393E-3</v>
      </c>
    </row>
    <row r="29" spans="2:4" x14ac:dyDescent="0.25">
      <c r="B29" s="27" t="s">
        <v>128</v>
      </c>
      <c r="C29" s="26">
        <v>3</v>
      </c>
      <c r="D29" s="25">
        <f t="shared" si="0"/>
        <v>1.2185215272136475E-3</v>
      </c>
    </row>
    <row r="30" spans="2:4" x14ac:dyDescent="0.25">
      <c r="B30" s="27" t="s">
        <v>127</v>
      </c>
      <c r="C30" s="26">
        <v>3</v>
      </c>
      <c r="D30" s="25">
        <f t="shared" si="0"/>
        <v>1.2185215272136475E-3</v>
      </c>
    </row>
    <row r="31" spans="2:4" x14ac:dyDescent="0.25">
      <c r="B31" s="27" t="s">
        <v>126</v>
      </c>
      <c r="C31" s="26">
        <v>39</v>
      </c>
      <c r="D31" s="25">
        <f t="shared" si="0"/>
        <v>1.5840779853777416E-2</v>
      </c>
    </row>
    <row r="32" spans="2:4" x14ac:dyDescent="0.25">
      <c r="B32" s="27" t="s">
        <v>125</v>
      </c>
      <c r="C32" s="26">
        <v>87</v>
      </c>
      <c r="D32" s="25">
        <f t="shared" si="0"/>
        <v>3.5337124289195776E-2</v>
      </c>
    </row>
    <row r="33" spans="1:4" x14ac:dyDescent="0.25">
      <c r="B33" s="27" t="s">
        <v>124</v>
      </c>
      <c r="C33" s="26">
        <v>2</v>
      </c>
      <c r="D33" s="25">
        <f t="shared" si="0"/>
        <v>8.1234768480909826E-4</v>
      </c>
    </row>
    <row r="34" spans="1:4" x14ac:dyDescent="0.25">
      <c r="B34" s="27" t="s">
        <v>123</v>
      </c>
      <c r="C34" s="26">
        <v>3</v>
      </c>
      <c r="D34" s="25">
        <f t="shared" si="0"/>
        <v>1.2185215272136475E-3</v>
      </c>
    </row>
    <row r="35" spans="1:4" x14ac:dyDescent="0.25">
      <c r="B35" s="24" t="s">
        <v>20</v>
      </c>
      <c r="C35" s="23">
        <v>2462</v>
      </c>
      <c r="D35" s="22">
        <f t="shared" si="0"/>
        <v>1</v>
      </c>
    </row>
    <row r="37" spans="1:4" x14ac:dyDescent="0.25">
      <c r="A37" s="58" t="s">
        <v>191</v>
      </c>
    </row>
    <row r="38" spans="1:4" x14ac:dyDescent="0.25">
      <c r="A38" s="58" t="s">
        <v>19</v>
      </c>
    </row>
    <row r="39" spans="1:4" x14ac:dyDescent="0.25">
      <c r="A39" s="58" t="s">
        <v>18</v>
      </c>
    </row>
    <row r="40" spans="1:4" x14ac:dyDescent="0.25">
      <c r="A40" s="58" t="s">
        <v>17</v>
      </c>
    </row>
    <row r="41" spans="1:4" x14ac:dyDescent="0.25">
      <c r="A41" s="58" t="s">
        <v>192</v>
      </c>
    </row>
    <row r="42" spans="1:4" x14ac:dyDescent="0.25">
      <c r="A42" s="58"/>
    </row>
    <row r="43" spans="1:4" x14ac:dyDescent="0.25">
      <c r="A43" s="58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309"/>
  <sheetViews>
    <sheetView zoomScale="70" zoomScaleNormal="70" zoomScaleSheetLayoutView="85" workbookViewId="0">
      <selection activeCell="I1" sqref="I1"/>
    </sheetView>
  </sheetViews>
  <sheetFormatPr baseColWidth="10" defaultColWidth="35" defaultRowHeight="15" customHeight="1" x14ac:dyDescent="0.25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3" customFormat="1" ht="12" customHeight="1" x14ac:dyDescent="0.2">
      <c r="B1" s="57"/>
      <c r="C1" s="56"/>
      <c r="D1" s="56"/>
      <c r="E1" s="56"/>
    </row>
    <row r="2" spans="1:5" s="53" customFormat="1" ht="15" customHeight="1" x14ac:dyDescent="0.2">
      <c r="C2" s="55"/>
    </row>
    <row r="3" spans="1:5" s="53" customFormat="1" ht="15" customHeight="1" x14ac:dyDescent="0.2">
      <c r="C3" s="55"/>
    </row>
    <row r="4" spans="1:5" s="53" customFormat="1" ht="30" customHeight="1" x14ac:dyDescent="0.2">
      <c r="C4" s="55"/>
      <c r="D4" s="54"/>
    </row>
    <row r="5" spans="1:5" s="53" customFormat="1" ht="15" customHeight="1" x14ac:dyDescent="0.2">
      <c r="C5" s="55"/>
      <c r="D5" s="54"/>
    </row>
    <row r="6" spans="1:5" s="50" customFormat="1" ht="24" customHeight="1" x14ac:dyDescent="0.2">
      <c r="B6" s="52"/>
      <c r="C6" s="46"/>
      <c r="D6" s="46"/>
      <c r="E6" s="46"/>
    </row>
    <row r="7" spans="1:5" s="50" customFormat="1" ht="26.25" customHeight="1" x14ac:dyDescent="0.3">
      <c r="A7" s="51"/>
      <c r="B7" s="85"/>
      <c r="C7" s="85"/>
      <c r="D7" s="85"/>
      <c r="E7" s="85"/>
    </row>
    <row r="8" spans="1:5" s="50" customFormat="1" ht="33" customHeight="1" x14ac:dyDescent="0.3">
      <c r="A8" s="51"/>
      <c r="B8" s="85"/>
      <c r="C8" s="85"/>
      <c r="D8" s="85"/>
      <c r="E8" s="85"/>
    </row>
    <row r="9" spans="1:5" s="29" customFormat="1" ht="40.5" customHeight="1" x14ac:dyDescent="0.2">
      <c r="B9" s="47" t="s">
        <v>148</v>
      </c>
      <c r="C9" s="49" t="s">
        <v>122</v>
      </c>
      <c r="D9" s="48" t="s">
        <v>61</v>
      </c>
      <c r="E9" s="47" t="s">
        <v>60</v>
      </c>
    </row>
    <row r="10" spans="1:5" ht="15" customHeight="1" x14ac:dyDescent="0.25">
      <c r="B10" s="82" t="s">
        <v>145</v>
      </c>
      <c r="C10" s="45" t="s">
        <v>59</v>
      </c>
      <c r="D10" s="44">
        <v>22</v>
      </c>
      <c r="E10" s="43">
        <v>8.9358245329000819E-3</v>
      </c>
    </row>
    <row r="11" spans="1:5" ht="15" customHeight="1" x14ac:dyDescent="0.25">
      <c r="B11" s="84"/>
      <c r="C11" s="45" t="s">
        <v>50</v>
      </c>
      <c r="D11" s="44">
        <v>2</v>
      </c>
      <c r="E11" s="43">
        <v>8.1234768480909826E-4</v>
      </c>
    </row>
    <row r="12" spans="1:5" ht="15" customHeight="1" x14ac:dyDescent="0.25">
      <c r="B12" s="84"/>
      <c r="C12" s="45" t="s">
        <v>55</v>
      </c>
      <c r="D12" s="44">
        <v>3</v>
      </c>
      <c r="E12" s="43">
        <v>1.2185215272136475E-3</v>
      </c>
    </row>
    <row r="13" spans="1:5" ht="15" customHeight="1" x14ac:dyDescent="0.25">
      <c r="B13" s="84"/>
      <c r="C13" s="45" t="s">
        <v>39</v>
      </c>
      <c r="D13" s="44">
        <v>1</v>
      </c>
      <c r="E13" s="43">
        <v>4.0617384240454913E-4</v>
      </c>
    </row>
    <row r="14" spans="1:5" ht="15" customHeight="1" x14ac:dyDescent="0.25">
      <c r="B14" s="84"/>
      <c r="C14" s="45" t="s">
        <v>25</v>
      </c>
      <c r="D14" s="44">
        <v>1</v>
      </c>
      <c r="E14" s="43">
        <v>4.0617384240454913E-4</v>
      </c>
    </row>
    <row r="15" spans="1:5" ht="15" customHeight="1" x14ac:dyDescent="0.25">
      <c r="B15" s="84"/>
      <c r="C15" s="45" t="s">
        <v>46</v>
      </c>
      <c r="D15" s="44">
        <v>1</v>
      </c>
      <c r="E15" s="43">
        <v>4.0617384240454913E-4</v>
      </c>
    </row>
    <row r="16" spans="1:5" ht="15" customHeight="1" x14ac:dyDescent="0.25">
      <c r="B16" s="84"/>
      <c r="C16" s="45" t="s">
        <v>58</v>
      </c>
      <c r="D16" s="44">
        <v>1</v>
      </c>
      <c r="E16" s="43">
        <v>4.0617384240454913E-4</v>
      </c>
    </row>
    <row r="17" spans="2:5" ht="15" customHeight="1" x14ac:dyDescent="0.25">
      <c r="B17" s="83"/>
      <c r="C17" s="42" t="s">
        <v>20</v>
      </c>
      <c r="D17" s="41">
        <v>31</v>
      </c>
      <c r="E17" s="40">
        <v>1.2591389114541024E-2</v>
      </c>
    </row>
    <row r="18" spans="2:5" ht="15" customHeight="1" x14ac:dyDescent="0.25">
      <c r="B18" s="82" t="s">
        <v>144</v>
      </c>
      <c r="C18" s="45" t="s">
        <v>33</v>
      </c>
      <c r="D18" s="44">
        <v>1</v>
      </c>
      <c r="E18" s="43">
        <v>4.0617384240454913E-4</v>
      </c>
    </row>
    <row r="19" spans="2:5" ht="15" customHeight="1" x14ac:dyDescent="0.25">
      <c r="B19" s="84"/>
      <c r="C19" s="45" t="s">
        <v>59</v>
      </c>
      <c r="D19" s="44">
        <v>14</v>
      </c>
      <c r="E19" s="43">
        <v>5.686433793663688E-3</v>
      </c>
    </row>
    <row r="20" spans="2:5" ht="15" customHeight="1" x14ac:dyDescent="0.25">
      <c r="B20" s="84"/>
      <c r="C20" s="45" t="s">
        <v>38</v>
      </c>
      <c r="D20" s="44">
        <v>1</v>
      </c>
      <c r="E20" s="43">
        <v>4.0617384240454913E-4</v>
      </c>
    </row>
    <row r="21" spans="2:5" ht="15" customHeight="1" x14ac:dyDescent="0.25">
      <c r="B21" s="84"/>
      <c r="C21" s="45" t="s">
        <v>44</v>
      </c>
      <c r="D21" s="44">
        <v>1</v>
      </c>
      <c r="E21" s="43">
        <v>4.0617384240454913E-4</v>
      </c>
    </row>
    <row r="22" spans="2:5" ht="15" customHeight="1" x14ac:dyDescent="0.25">
      <c r="B22" s="84"/>
      <c r="C22" s="45" t="s">
        <v>46</v>
      </c>
      <c r="D22" s="44">
        <v>2</v>
      </c>
      <c r="E22" s="43">
        <v>8.1234768480909826E-4</v>
      </c>
    </row>
    <row r="23" spans="2:5" ht="15" customHeight="1" x14ac:dyDescent="0.25">
      <c r="B23" s="84"/>
      <c r="C23" s="45" t="s">
        <v>58</v>
      </c>
      <c r="D23" s="44">
        <v>1</v>
      </c>
      <c r="E23" s="43">
        <v>4.0617384240454913E-4</v>
      </c>
    </row>
    <row r="24" spans="2:5" ht="15" customHeight="1" x14ac:dyDescent="0.25">
      <c r="B24" s="83"/>
      <c r="C24" s="42" t="s">
        <v>20</v>
      </c>
      <c r="D24" s="41">
        <v>20</v>
      </c>
      <c r="E24" s="40">
        <v>8.1234768480909821E-3</v>
      </c>
    </row>
    <row r="25" spans="2:5" ht="15" customHeight="1" x14ac:dyDescent="0.25">
      <c r="B25" s="82" t="s">
        <v>143</v>
      </c>
      <c r="C25" s="45" t="s">
        <v>59</v>
      </c>
      <c r="D25" s="44">
        <v>24</v>
      </c>
      <c r="E25" s="43">
        <v>9.7481722177091799E-3</v>
      </c>
    </row>
    <row r="26" spans="2:5" ht="15" customHeight="1" x14ac:dyDescent="0.25">
      <c r="B26" s="84"/>
      <c r="C26" s="45" t="s">
        <v>48</v>
      </c>
      <c r="D26" s="44">
        <v>1</v>
      </c>
      <c r="E26" s="43">
        <v>4.0617384240454913E-4</v>
      </c>
    </row>
    <row r="27" spans="2:5" ht="15" customHeight="1" x14ac:dyDescent="0.25">
      <c r="B27" s="84"/>
      <c r="C27" s="45" t="s">
        <v>55</v>
      </c>
      <c r="D27" s="44">
        <v>1</v>
      </c>
      <c r="E27" s="43">
        <v>4.0617384240454913E-4</v>
      </c>
    </row>
    <row r="28" spans="2:5" ht="15" customHeight="1" x14ac:dyDescent="0.25">
      <c r="B28" s="84"/>
      <c r="C28" s="45" t="s">
        <v>57</v>
      </c>
      <c r="D28" s="44">
        <v>2</v>
      </c>
      <c r="E28" s="43">
        <v>8.1234768480909826E-4</v>
      </c>
    </row>
    <row r="29" spans="2:5" ht="15" customHeight="1" x14ac:dyDescent="0.25">
      <c r="B29" s="84"/>
      <c r="C29" s="45" t="s">
        <v>46</v>
      </c>
      <c r="D29" s="44">
        <v>2</v>
      </c>
      <c r="E29" s="43">
        <v>8.1234768480909826E-4</v>
      </c>
    </row>
    <row r="30" spans="2:5" ht="15" customHeight="1" x14ac:dyDescent="0.25">
      <c r="B30" s="84"/>
      <c r="C30" s="45" t="s">
        <v>56</v>
      </c>
      <c r="D30" s="44">
        <v>1</v>
      </c>
      <c r="E30" s="43">
        <v>4.0617384240454913E-4</v>
      </c>
    </row>
    <row r="31" spans="2:5" ht="15" customHeight="1" x14ac:dyDescent="0.25">
      <c r="B31" s="83"/>
      <c r="C31" s="42" t="s">
        <v>20</v>
      </c>
      <c r="D31" s="41">
        <v>31</v>
      </c>
      <c r="E31" s="40">
        <v>1.2591389114541024E-2</v>
      </c>
    </row>
    <row r="32" spans="2:5" ht="15" customHeight="1" x14ac:dyDescent="0.25">
      <c r="B32" s="82" t="s">
        <v>142</v>
      </c>
      <c r="C32" s="45" t="s">
        <v>59</v>
      </c>
      <c r="D32" s="44">
        <v>32</v>
      </c>
      <c r="E32" s="43">
        <v>1.2997562956945572E-2</v>
      </c>
    </row>
    <row r="33" spans="2:5" ht="15" customHeight="1" x14ac:dyDescent="0.25">
      <c r="B33" s="84"/>
      <c r="C33" s="45" t="s">
        <v>44</v>
      </c>
      <c r="D33" s="44">
        <v>1</v>
      </c>
      <c r="E33" s="43">
        <v>4.0617384240454913E-4</v>
      </c>
    </row>
    <row r="34" spans="2:5" ht="15" customHeight="1" x14ac:dyDescent="0.25">
      <c r="B34" s="84"/>
      <c r="C34" s="45" t="s">
        <v>57</v>
      </c>
      <c r="D34" s="44">
        <v>6</v>
      </c>
      <c r="E34" s="43">
        <v>2.437043054427295E-3</v>
      </c>
    </row>
    <row r="35" spans="2:5" ht="15" customHeight="1" x14ac:dyDescent="0.25">
      <c r="B35" s="84"/>
      <c r="C35" s="45" t="s">
        <v>54</v>
      </c>
      <c r="D35" s="44">
        <v>2</v>
      </c>
      <c r="E35" s="43">
        <v>8.1234768480909826E-4</v>
      </c>
    </row>
    <row r="36" spans="2:5" ht="15" customHeight="1" x14ac:dyDescent="0.25">
      <c r="B36" s="84"/>
      <c r="C36" s="45" t="s">
        <v>56</v>
      </c>
      <c r="D36" s="44">
        <v>1</v>
      </c>
      <c r="E36" s="43">
        <v>4.0617384240454913E-4</v>
      </c>
    </row>
    <row r="37" spans="2:5" ht="15" customHeight="1" x14ac:dyDescent="0.25">
      <c r="B37" s="84"/>
      <c r="C37" s="45" t="s">
        <v>34</v>
      </c>
      <c r="D37" s="44">
        <v>1</v>
      </c>
      <c r="E37" s="43">
        <v>4.0617384240454913E-4</v>
      </c>
    </row>
    <row r="38" spans="2:5" ht="15" customHeight="1" x14ac:dyDescent="0.25">
      <c r="B38" s="83"/>
      <c r="C38" s="42" t="s">
        <v>20</v>
      </c>
      <c r="D38" s="41">
        <v>43</v>
      </c>
      <c r="E38" s="40">
        <v>1.7465475223395612E-2</v>
      </c>
    </row>
    <row r="39" spans="2:5" ht="15" customHeight="1" x14ac:dyDescent="0.25">
      <c r="B39" s="82" t="s">
        <v>141</v>
      </c>
      <c r="C39" s="45" t="s">
        <v>59</v>
      </c>
      <c r="D39" s="44">
        <v>13</v>
      </c>
      <c r="E39" s="43">
        <v>5.280259951259139E-3</v>
      </c>
    </row>
    <row r="40" spans="2:5" ht="15" customHeight="1" x14ac:dyDescent="0.25">
      <c r="B40" s="84"/>
      <c r="C40" s="45" t="s">
        <v>50</v>
      </c>
      <c r="D40" s="44">
        <v>1</v>
      </c>
      <c r="E40" s="43">
        <v>4.0617384240454913E-4</v>
      </c>
    </row>
    <row r="41" spans="2:5" ht="15" customHeight="1" x14ac:dyDescent="0.25">
      <c r="B41" s="84"/>
      <c r="C41" s="45" t="s">
        <v>48</v>
      </c>
      <c r="D41" s="44">
        <v>1</v>
      </c>
      <c r="E41" s="43">
        <v>4.0617384240454913E-4</v>
      </c>
    </row>
    <row r="42" spans="2:5" ht="15" customHeight="1" x14ac:dyDescent="0.25">
      <c r="B42" s="84"/>
      <c r="C42" s="45" t="s">
        <v>55</v>
      </c>
      <c r="D42" s="44">
        <v>1</v>
      </c>
      <c r="E42" s="43">
        <v>4.0617384240454913E-4</v>
      </c>
    </row>
    <row r="43" spans="2:5" ht="15" customHeight="1" x14ac:dyDescent="0.25">
      <c r="B43" s="84"/>
      <c r="C43" s="45" t="s">
        <v>38</v>
      </c>
      <c r="D43" s="44">
        <v>1</v>
      </c>
      <c r="E43" s="43">
        <v>4.0617384240454913E-4</v>
      </c>
    </row>
    <row r="44" spans="2:5" ht="15" customHeight="1" x14ac:dyDescent="0.25">
      <c r="B44" s="84"/>
      <c r="C44" s="45" t="s">
        <v>35</v>
      </c>
      <c r="D44" s="44">
        <v>1</v>
      </c>
      <c r="E44" s="43">
        <v>4.0617384240454913E-4</v>
      </c>
    </row>
    <row r="45" spans="2:5" ht="15" customHeight="1" x14ac:dyDescent="0.25">
      <c r="B45" s="84"/>
      <c r="C45" s="45" t="s">
        <v>44</v>
      </c>
      <c r="D45" s="44">
        <v>1</v>
      </c>
      <c r="E45" s="43">
        <v>4.0617384240454913E-4</v>
      </c>
    </row>
    <row r="46" spans="2:5" ht="15" customHeight="1" x14ac:dyDescent="0.25">
      <c r="B46" s="84"/>
      <c r="C46" s="45" t="s">
        <v>57</v>
      </c>
      <c r="D46" s="44">
        <v>1</v>
      </c>
      <c r="E46" s="43">
        <v>4.0617384240454913E-4</v>
      </c>
    </row>
    <row r="47" spans="2:5" ht="15" customHeight="1" x14ac:dyDescent="0.25">
      <c r="B47" s="84"/>
      <c r="C47" s="45" t="s">
        <v>58</v>
      </c>
      <c r="D47" s="44">
        <v>2</v>
      </c>
      <c r="E47" s="43">
        <v>8.1234768480909826E-4</v>
      </c>
    </row>
    <row r="48" spans="2:5" ht="15" customHeight="1" x14ac:dyDescent="0.25">
      <c r="B48" s="84"/>
      <c r="C48" s="45" t="s">
        <v>53</v>
      </c>
      <c r="D48" s="44">
        <v>1</v>
      </c>
      <c r="E48" s="43">
        <v>4.0617384240454913E-4</v>
      </c>
    </row>
    <row r="49" spans="2:5" ht="15" customHeight="1" x14ac:dyDescent="0.25">
      <c r="B49" s="84"/>
      <c r="C49" s="45" t="s">
        <v>56</v>
      </c>
      <c r="D49" s="44">
        <v>1</v>
      </c>
      <c r="E49" s="43">
        <v>4.0617384240454913E-4</v>
      </c>
    </row>
    <row r="50" spans="2:5" ht="15" customHeight="1" x14ac:dyDescent="0.25">
      <c r="B50" s="83"/>
      <c r="C50" s="42" t="s">
        <v>20</v>
      </c>
      <c r="D50" s="41">
        <v>24</v>
      </c>
      <c r="E50" s="40">
        <v>9.7481722177091799E-3</v>
      </c>
    </row>
    <row r="51" spans="2:5" ht="15" customHeight="1" x14ac:dyDescent="0.25">
      <c r="B51" s="82" t="s">
        <v>140</v>
      </c>
      <c r="C51" s="45" t="s">
        <v>52</v>
      </c>
      <c r="D51" s="44">
        <v>2</v>
      </c>
      <c r="E51" s="43">
        <v>8.1234768480909826E-4</v>
      </c>
    </row>
    <row r="52" spans="2:5" ht="15" customHeight="1" x14ac:dyDescent="0.25">
      <c r="B52" s="84"/>
      <c r="C52" s="45" t="s">
        <v>59</v>
      </c>
      <c r="D52" s="44">
        <v>30</v>
      </c>
      <c r="E52" s="43">
        <v>1.2185215272136474E-2</v>
      </c>
    </row>
    <row r="53" spans="2:5" ht="15" customHeight="1" x14ac:dyDescent="0.25">
      <c r="B53" s="84"/>
      <c r="C53" s="45" t="s">
        <v>49</v>
      </c>
      <c r="D53" s="44">
        <v>1</v>
      </c>
      <c r="E53" s="43">
        <v>4.0617384240454913E-4</v>
      </c>
    </row>
    <row r="54" spans="2:5" ht="15" customHeight="1" x14ac:dyDescent="0.25">
      <c r="B54" s="84"/>
      <c r="C54" s="45" t="s">
        <v>51</v>
      </c>
      <c r="D54" s="44">
        <v>1</v>
      </c>
      <c r="E54" s="43">
        <v>4.0617384240454913E-4</v>
      </c>
    </row>
    <row r="55" spans="2:5" ht="15" customHeight="1" x14ac:dyDescent="0.25">
      <c r="B55" s="84"/>
      <c r="C55" s="45" t="s">
        <v>48</v>
      </c>
      <c r="D55" s="44">
        <v>1</v>
      </c>
      <c r="E55" s="43">
        <v>4.0617384240454913E-4</v>
      </c>
    </row>
    <row r="56" spans="2:5" ht="15" customHeight="1" x14ac:dyDescent="0.25">
      <c r="B56" s="84"/>
      <c r="C56" s="45" t="s">
        <v>38</v>
      </c>
      <c r="D56" s="44">
        <v>1</v>
      </c>
      <c r="E56" s="43">
        <v>4.0617384240454913E-4</v>
      </c>
    </row>
    <row r="57" spans="2:5" ht="15" customHeight="1" x14ac:dyDescent="0.25">
      <c r="B57" s="84"/>
      <c r="C57" s="45" t="s">
        <v>44</v>
      </c>
      <c r="D57" s="44">
        <v>2</v>
      </c>
      <c r="E57" s="43">
        <v>8.1234768480909826E-4</v>
      </c>
    </row>
    <row r="58" spans="2:5" ht="15" customHeight="1" x14ac:dyDescent="0.25">
      <c r="B58" s="84"/>
      <c r="C58" s="45" t="s">
        <v>57</v>
      </c>
      <c r="D58" s="44">
        <v>1</v>
      </c>
      <c r="E58" s="43">
        <v>4.0617384240454913E-4</v>
      </c>
    </row>
    <row r="59" spans="2:5" ht="15" customHeight="1" x14ac:dyDescent="0.25">
      <c r="B59" s="84"/>
      <c r="C59" s="45" t="s">
        <v>46</v>
      </c>
      <c r="D59" s="44">
        <v>2</v>
      </c>
      <c r="E59" s="43">
        <v>8.1234768480909826E-4</v>
      </c>
    </row>
    <row r="60" spans="2:5" ht="15" customHeight="1" x14ac:dyDescent="0.25">
      <c r="B60" s="84"/>
      <c r="C60" s="45" t="s">
        <v>32</v>
      </c>
      <c r="D60" s="44">
        <v>1</v>
      </c>
      <c r="E60" s="43">
        <v>4.0617384240454913E-4</v>
      </c>
    </row>
    <row r="61" spans="2:5" ht="15" customHeight="1" x14ac:dyDescent="0.25">
      <c r="B61" s="84"/>
      <c r="C61" s="45" t="s">
        <v>54</v>
      </c>
      <c r="D61" s="44">
        <v>2</v>
      </c>
      <c r="E61" s="43">
        <v>8.1234768480909826E-4</v>
      </c>
    </row>
    <row r="62" spans="2:5" ht="15" customHeight="1" x14ac:dyDescent="0.25">
      <c r="B62" s="84"/>
      <c r="C62" s="45" t="s">
        <v>58</v>
      </c>
      <c r="D62" s="44">
        <v>4</v>
      </c>
      <c r="E62" s="43">
        <v>1.6246953696181965E-3</v>
      </c>
    </row>
    <row r="63" spans="2:5" ht="15" customHeight="1" x14ac:dyDescent="0.25">
      <c r="B63" s="84"/>
      <c r="C63" s="45" t="s">
        <v>53</v>
      </c>
      <c r="D63" s="44">
        <v>2</v>
      </c>
      <c r="E63" s="43">
        <v>8.1234768480909826E-4</v>
      </c>
    </row>
    <row r="64" spans="2:5" ht="15" customHeight="1" x14ac:dyDescent="0.25">
      <c r="B64" s="84"/>
      <c r="C64" s="45" t="s">
        <v>56</v>
      </c>
      <c r="D64" s="44">
        <v>1</v>
      </c>
      <c r="E64" s="43">
        <v>4.0617384240454913E-4</v>
      </c>
    </row>
    <row r="65" spans="2:5" ht="15" customHeight="1" x14ac:dyDescent="0.25">
      <c r="B65" s="83"/>
      <c r="C65" s="42" t="s">
        <v>20</v>
      </c>
      <c r="D65" s="41">
        <v>51</v>
      </c>
      <c r="E65" s="40">
        <v>2.0714865962632008E-2</v>
      </c>
    </row>
    <row r="66" spans="2:5" ht="15" customHeight="1" x14ac:dyDescent="0.25">
      <c r="B66" s="82" t="s">
        <v>139</v>
      </c>
      <c r="C66" s="45" t="s">
        <v>52</v>
      </c>
      <c r="D66" s="44">
        <v>6</v>
      </c>
      <c r="E66" s="43">
        <v>2.437043054427295E-3</v>
      </c>
    </row>
    <row r="67" spans="2:5" ht="15" customHeight="1" x14ac:dyDescent="0.25">
      <c r="B67" s="84"/>
      <c r="C67" s="45" t="s">
        <v>59</v>
      </c>
      <c r="D67" s="44">
        <v>134</v>
      </c>
      <c r="E67" s="43">
        <v>5.4427294882209584E-2</v>
      </c>
    </row>
    <row r="68" spans="2:5" ht="15" customHeight="1" x14ac:dyDescent="0.25">
      <c r="B68" s="84"/>
      <c r="C68" s="45" t="s">
        <v>49</v>
      </c>
      <c r="D68" s="44">
        <v>3</v>
      </c>
      <c r="E68" s="43">
        <v>1.2185215272136475E-3</v>
      </c>
    </row>
    <row r="69" spans="2:5" ht="15" customHeight="1" x14ac:dyDescent="0.25">
      <c r="B69" s="84"/>
      <c r="C69" s="45" t="s">
        <v>50</v>
      </c>
      <c r="D69" s="44">
        <v>3</v>
      </c>
      <c r="E69" s="43">
        <v>1.2185215272136475E-3</v>
      </c>
    </row>
    <row r="70" spans="2:5" ht="15" customHeight="1" x14ac:dyDescent="0.25">
      <c r="B70" s="84"/>
      <c r="C70" s="45" t="s">
        <v>48</v>
      </c>
      <c r="D70" s="44">
        <v>2</v>
      </c>
      <c r="E70" s="43">
        <v>8.1234768480909826E-4</v>
      </c>
    </row>
    <row r="71" spans="2:5" ht="15" customHeight="1" x14ac:dyDescent="0.25">
      <c r="B71" s="84"/>
      <c r="C71" s="45" t="s">
        <v>55</v>
      </c>
      <c r="D71" s="44">
        <v>4</v>
      </c>
      <c r="E71" s="43">
        <v>1.6246953696181965E-3</v>
      </c>
    </row>
    <row r="72" spans="2:5" ht="15" customHeight="1" x14ac:dyDescent="0.25">
      <c r="B72" s="84"/>
      <c r="C72" s="45" t="s">
        <v>47</v>
      </c>
      <c r="D72" s="44">
        <v>2</v>
      </c>
      <c r="E72" s="43">
        <v>8.1234768480909826E-4</v>
      </c>
    </row>
    <row r="73" spans="2:5" ht="15" customHeight="1" x14ac:dyDescent="0.25">
      <c r="B73" s="84"/>
      <c r="C73" s="45" t="s">
        <v>40</v>
      </c>
      <c r="D73" s="44">
        <v>1</v>
      </c>
      <c r="E73" s="43">
        <v>4.0617384240454913E-4</v>
      </c>
    </row>
    <row r="74" spans="2:5" ht="15" customHeight="1" x14ac:dyDescent="0.25">
      <c r="B74" s="84"/>
      <c r="C74" s="45" t="s">
        <v>30</v>
      </c>
      <c r="D74" s="44">
        <v>1</v>
      </c>
      <c r="E74" s="43">
        <v>4.0617384240454913E-4</v>
      </c>
    </row>
    <row r="75" spans="2:5" ht="15" customHeight="1" x14ac:dyDescent="0.25">
      <c r="B75" s="84"/>
      <c r="C75" s="45" t="s">
        <v>35</v>
      </c>
      <c r="D75" s="44">
        <v>2</v>
      </c>
      <c r="E75" s="43">
        <v>8.1234768480909826E-4</v>
      </c>
    </row>
    <row r="76" spans="2:5" ht="15" customHeight="1" x14ac:dyDescent="0.25">
      <c r="B76" s="84"/>
      <c r="C76" s="45" t="s">
        <v>44</v>
      </c>
      <c r="D76" s="44">
        <v>3</v>
      </c>
      <c r="E76" s="43">
        <v>1.2185215272136475E-3</v>
      </c>
    </row>
    <row r="77" spans="2:5" ht="15" customHeight="1" x14ac:dyDescent="0.25">
      <c r="B77" s="84"/>
      <c r="C77" s="45" t="s">
        <v>37</v>
      </c>
      <c r="D77" s="44">
        <v>1</v>
      </c>
      <c r="E77" s="43">
        <v>4.0617384240454913E-4</v>
      </c>
    </row>
    <row r="78" spans="2:5" ht="15" customHeight="1" x14ac:dyDescent="0.25">
      <c r="B78" s="84"/>
      <c r="C78" s="45" t="s">
        <v>57</v>
      </c>
      <c r="D78" s="44">
        <v>7</v>
      </c>
      <c r="E78" s="43">
        <v>2.843216896831844E-3</v>
      </c>
    </row>
    <row r="79" spans="2:5" ht="15" customHeight="1" x14ac:dyDescent="0.25">
      <c r="B79" s="84"/>
      <c r="C79" s="45" t="s">
        <v>29</v>
      </c>
      <c r="D79" s="44">
        <v>1</v>
      </c>
      <c r="E79" s="43">
        <v>4.0617384240454913E-4</v>
      </c>
    </row>
    <row r="80" spans="2:5" ht="15" customHeight="1" x14ac:dyDescent="0.25">
      <c r="B80" s="84"/>
      <c r="C80" s="45" t="s">
        <v>54</v>
      </c>
      <c r="D80" s="44">
        <v>3</v>
      </c>
      <c r="E80" s="43">
        <v>1.2185215272136475E-3</v>
      </c>
    </row>
    <row r="81" spans="2:5" ht="15" customHeight="1" x14ac:dyDescent="0.25">
      <c r="B81" s="84"/>
      <c r="C81" s="45" t="s">
        <v>45</v>
      </c>
      <c r="D81" s="44">
        <v>1</v>
      </c>
      <c r="E81" s="43">
        <v>4.0617384240454913E-4</v>
      </c>
    </row>
    <row r="82" spans="2:5" ht="15" customHeight="1" x14ac:dyDescent="0.25">
      <c r="B82" s="84"/>
      <c r="C82" s="45" t="s">
        <v>58</v>
      </c>
      <c r="D82" s="44">
        <v>7</v>
      </c>
      <c r="E82" s="43">
        <v>2.843216896831844E-3</v>
      </c>
    </row>
    <row r="83" spans="2:5" ht="15" customHeight="1" x14ac:dyDescent="0.25">
      <c r="B83" s="84"/>
      <c r="C83" s="45" t="s">
        <v>53</v>
      </c>
      <c r="D83" s="44">
        <v>2</v>
      </c>
      <c r="E83" s="43">
        <v>8.1234768480909826E-4</v>
      </c>
    </row>
    <row r="84" spans="2:5" ht="15" customHeight="1" x14ac:dyDescent="0.25">
      <c r="B84" s="84"/>
      <c r="C84" s="45" t="s">
        <v>56</v>
      </c>
      <c r="D84" s="44">
        <v>7</v>
      </c>
      <c r="E84" s="43">
        <v>2.843216896831844E-3</v>
      </c>
    </row>
    <row r="85" spans="2:5" ht="15" customHeight="1" x14ac:dyDescent="0.25">
      <c r="B85" s="84"/>
      <c r="C85" s="45" t="s">
        <v>24</v>
      </c>
      <c r="D85" s="44">
        <v>1</v>
      </c>
      <c r="E85" s="43">
        <v>4.0617384240454913E-4</v>
      </c>
    </row>
    <row r="86" spans="2:5" ht="15" customHeight="1" x14ac:dyDescent="0.25">
      <c r="B86" s="83"/>
      <c r="C86" s="42" t="s">
        <v>20</v>
      </c>
      <c r="D86" s="41">
        <v>191</v>
      </c>
      <c r="E86" s="40">
        <v>7.7579203899268881E-2</v>
      </c>
    </row>
    <row r="87" spans="2:5" ht="15" customHeight="1" x14ac:dyDescent="0.25">
      <c r="B87" s="82" t="s">
        <v>138</v>
      </c>
      <c r="C87" s="45" t="s">
        <v>52</v>
      </c>
      <c r="D87" s="44">
        <v>6</v>
      </c>
      <c r="E87" s="43">
        <v>2.437043054427295E-3</v>
      </c>
    </row>
    <row r="88" spans="2:5" ht="15" customHeight="1" x14ac:dyDescent="0.25">
      <c r="B88" s="84"/>
      <c r="C88" s="45" t="s">
        <v>41</v>
      </c>
      <c r="D88" s="44">
        <v>1</v>
      </c>
      <c r="E88" s="43">
        <v>4.0617384240454913E-4</v>
      </c>
    </row>
    <row r="89" spans="2:5" ht="15" customHeight="1" x14ac:dyDescent="0.25">
      <c r="B89" s="84"/>
      <c r="C89" s="45" t="s">
        <v>59</v>
      </c>
      <c r="D89" s="44">
        <v>213</v>
      </c>
      <c r="E89" s="43">
        <v>8.6515028432168975E-2</v>
      </c>
    </row>
    <row r="90" spans="2:5" ht="15" customHeight="1" x14ac:dyDescent="0.25">
      <c r="B90" s="84"/>
      <c r="C90" s="45" t="s">
        <v>49</v>
      </c>
      <c r="D90" s="44">
        <v>3</v>
      </c>
      <c r="E90" s="43">
        <v>1.2185215272136475E-3</v>
      </c>
    </row>
    <row r="91" spans="2:5" ht="15" customHeight="1" x14ac:dyDescent="0.25">
      <c r="B91" s="84"/>
      <c r="C91" s="45" t="s">
        <v>50</v>
      </c>
      <c r="D91" s="44">
        <v>3</v>
      </c>
      <c r="E91" s="43">
        <v>1.2185215272136475E-3</v>
      </c>
    </row>
    <row r="92" spans="2:5" ht="15" customHeight="1" x14ac:dyDescent="0.25">
      <c r="B92" s="84"/>
      <c r="C92" s="45" t="s">
        <v>51</v>
      </c>
      <c r="D92" s="44">
        <v>4</v>
      </c>
      <c r="E92" s="43">
        <v>1.6246953696181965E-3</v>
      </c>
    </row>
    <row r="93" spans="2:5" ht="15" customHeight="1" x14ac:dyDescent="0.25">
      <c r="B93" s="84"/>
      <c r="C93" s="45" t="s">
        <v>48</v>
      </c>
      <c r="D93" s="44">
        <v>9</v>
      </c>
      <c r="E93" s="43">
        <v>3.6555645816409425E-3</v>
      </c>
    </row>
    <row r="94" spans="2:5" ht="15" customHeight="1" x14ac:dyDescent="0.25">
      <c r="B94" s="84"/>
      <c r="C94" s="45" t="s">
        <v>55</v>
      </c>
      <c r="D94" s="44">
        <v>21</v>
      </c>
      <c r="E94" s="43">
        <v>8.529650690495532E-3</v>
      </c>
    </row>
    <row r="95" spans="2:5" ht="15" customHeight="1" x14ac:dyDescent="0.25">
      <c r="B95" s="84"/>
      <c r="C95" s="45" t="s">
        <v>47</v>
      </c>
      <c r="D95" s="44">
        <v>1</v>
      </c>
      <c r="E95" s="43">
        <v>4.0617384240454913E-4</v>
      </c>
    </row>
    <row r="96" spans="2:5" ht="15" customHeight="1" x14ac:dyDescent="0.25">
      <c r="B96" s="84"/>
      <c r="C96" s="45" t="s">
        <v>44</v>
      </c>
      <c r="D96" s="44">
        <v>1</v>
      </c>
      <c r="E96" s="43">
        <v>4.0617384240454913E-4</v>
      </c>
    </row>
    <row r="97" spans="2:5" ht="15" customHeight="1" x14ac:dyDescent="0.25">
      <c r="B97" s="84"/>
      <c r="C97" s="45" t="s">
        <v>57</v>
      </c>
      <c r="D97" s="44">
        <v>8</v>
      </c>
      <c r="E97" s="43">
        <v>3.249390739236393E-3</v>
      </c>
    </row>
    <row r="98" spans="2:5" ht="15" customHeight="1" x14ac:dyDescent="0.25">
      <c r="B98" s="84"/>
      <c r="C98" s="45" t="s">
        <v>25</v>
      </c>
      <c r="D98" s="44">
        <v>1</v>
      </c>
      <c r="E98" s="43">
        <v>4.0617384240454913E-4</v>
      </c>
    </row>
    <row r="99" spans="2:5" ht="15" customHeight="1" x14ac:dyDescent="0.25">
      <c r="B99" s="84"/>
      <c r="C99" s="45" t="s">
        <v>36</v>
      </c>
      <c r="D99" s="44">
        <v>1</v>
      </c>
      <c r="E99" s="43">
        <v>4.0617384240454913E-4</v>
      </c>
    </row>
    <row r="100" spans="2:5" ht="15" customHeight="1" x14ac:dyDescent="0.25">
      <c r="B100" s="84"/>
      <c r="C100" s="45" t="s">
        <v>29</v>
      </c>
      <c r="D100" s="44">
        <v>1</v>
      </c>
      <c r="E100" s="43">
        <v>4.0617384240454913E-4</v>
      </c>
    </row>
    <row r="101" spans="2:5" ht="15" customHeight="1" x14ac:dyDescent="0.25">
      <c r="B101" s="84"/>
      <c r="C101" s="45" t="s">
        <v>46</v>
      </c>
      <c r="D101" s="44">
        <v>6</v>
      </c>
      <c r="E101" s="43">
        <v>2.437043054427295E-3</v>
      </c>
    </row>
    <row r="102" spans="2:5" ht="15" customHeight="1" x14ac:dyDescent="0.25">
      <c r="B102" s="84"/>
      <c r="C102" s="45" t="s">
        <v>32</v>
      </c>
      <c r="D102" s="44">
        <v>2</v>
      </c>
      <c r="E102" s="43">
        <v>8.1234768480909826E-4</v>
      </c>
    </row>
    <row r="103" spans="2:5" ht="15" customHeight="1" x14ac:dyDescent="0.25">
      <c r="B103" s="84"/>
      <c r="C103" s="45" t="s">
        <v>43</v>
      </c>
      <c r="D103" s="44">
        <v>1</v>
      </c>
      <c r="E103" s="43">
        <v>4.0617384240454913E-4</v>
      </c>
    </row>
    <row r="104" spans="2:5" ht="15" customHeight="1" x14ac:dyDescent="0.25">
      <c r="B104" s="84"/>
      <c r="C104" s="45" t="s">
        <v>54</v>
      </c>
      <c r="D104" s="44">
        <v>5</v>
      </c>
      <c r="E104" s="43">
        <v>2.0308692120227455E-3</v>
      </c>
    </row>
    <row r="105" spans="2:5" ht="15" customHeight="1" x14ac:dyDescent="0.25">
      <c r="B105" s="84"/>
      <c r="C105" s="45" t="s">
        <v>31</v>
      </c>
      <c r="D105" s="44">
        <v>1</v>
      </c>
      <c r="E105" s="43">
        <v>4.0617384240454913E-4</v>
      </c>
    </row>
    <row r="106" spans="2:5" ht="15" customHeight="1" x14ac:dyDescent="0.25">
      <c r="B106" s="84"/>
      <c r="C106" s="45" t="s">
        <v>45</v>
      </c>
      <c r="D106" s="44">
        <v>1</v>
      </c>
      <c r="E106" s="43">
        <v>4.0617384240454913E-4</v>
      </c>
    </row>
    <row r="107" spans="2:5" ht="15" customHeight="1" x14ac:dyDescent="0.25">
      <c r="B107" s="84"/>
      <c r="C107" s="45" t="s">
        <v>58</v>
      </c>
      <c r="D107" s="44">
        <v>18</v>
      </c>
      <c r="E107" s="43">
        <v>7.311129163281885E-3</v>
      </c>
    </row>
    <row r="108" spans="2:5" ht="15" customHeight="1" x14ac:dyDescent="0.25">
      <c r="B108" s="84"/>
      <c r="C108" s="45" t="s">
        <v>53</v>
      </c>
      <c r="D108" s="44">
        <v>7</v>
      </c>
      <c r="E108" s="43">
        <v>2.843216896831844E-3</v>
      </c>
    </row>
    <row r="109" spans="2:5" ht="15" customHeight="1" x14ac:dyDescent="0.25">
      <c r="B109" s="84"/>
      <c r="C109" s="45" t="s">
        <v>56</v>
      </c>
      <c r="D109" s="44">
        <v>7</v>
      </c>
      <c r="E109" s="43">
        <v>2.843216896831844E-3</v>
      </c>
    </row>
    <row r="110" spans="2:5" ht="15" customHeight="1" x14ac:dyDescent="0.25">
      <c r="B110" s="84"/>
      <c r="C110" s="45" t="s">
        <v>24</v>
      </c>
      <c r="D110" s="44">
        <v>3</v>
      </c>
      <c r="E110" s="43">
        <v>1.2185215272136475E-3</v>
      </c>
    </row>
    <row r="111" spans="2:5" ht="15" customHeight="1" x14ac:dyDescent="0.25">
      <c r="B111" s="83"/>
      <c r="C111" s="42" t="s">
        <v>20</v>
      </c>
      <c r="D111" s="41">
        <v>324</v>
      </c>
      <c r="E111" s="40">
        <v>0.13160032493907392</v>
      </c>
    </row>
    <row r="112" spans="2:5" ht="15" customHeight="1" x14ac:dyDescent="0.25">
      <c r="B112" s="82" t="s">
        <v>137</v>
      </c>
      <c r="C112" s="45" t="s">
        <v>59</v>
      </c>
      <c r="D112" s="44">
        <v>39</v>
      </c>
      <c r="E112" s="43">
        <v>1.5840779853777416E-2</v>
      </c>
    </row>
    <row r="113" spans="2:5" ht="15" customHeight="1" x14ac:dyDescent="0.25">
      <c r="B113" s="84"/>
      <c r="C113" s="45" t="s">
        <v>48</v>
      </c>
      <c r="D113" s="44">
        <v>1</v>
      </c>
      <c r="E113" s="43">
        <v>4.0617384240454913E-4</v>
      </c>
    </row>
    <row r="114" spans="2:5" ht="15" customHeight="1" x14ac:dyDescent="0.25">
      <c r="B114" s="84"/>
      <c r="C114" s="45" t="s">
        <v>38</v>
      </c>
      <c r="D114" s="44">
        <v>1</v>
      </c>
      <c r="E114" s="43">
        <v>4.0617384240454913E-4</v>
      </c>
    </row>
    <row r="115" spans="2:5" ht="15" customHeight="1" x14ac:dyDescent="0.25">
      <c r="B115" s="84"/>
      <c r="C115" s="45" t="s">
        <v>57</v>
      </c>
      <c r="D115" s="44">
        <v>1</v>
      </c>
      <c r="E115" s="43">
        <v>4.0617384240454913E-4</v>
      </c>
    </row>
    <row r="116" spans="2:5" ht="15" customHeight="1" x14ac:dyDescent="0.25">
      <c r="B116" s="84"/>
      <c r="C116" s="45" t="s">
        <v>46</v>
      </c>
      <c r="D116" s="44">
        <v>1</v>
      </c>
      <c r="E116" s="43">
        <v>4.0617384240454913E-4</v>
      </c>
    </row>
    <row r="117" spans="2:5" ht="15" customHeight="1" x14ac:dyDescent="0.25">
      <c r="B117" s="84"/>
      <c r="C117" s="45" t="s">
        <v>58</v>
      </c>
      <c r="D117" s="44">
        <v>2</v>
      </c>
      <c r="E117" s="43">
        <v>8.1234768480909826E-4</v>
      </c>
    </row>
    <row r="118" spans="2:5" ht="15" customHeight="1" x14ac:dyDescent="0.25">
      <c r="B118" s="84"/>
      <c r="C118" s="45" t="s">
        <v>53</v>
      </c>
      <c r="D118" s="44">
        <v>1</v>
      </c>
      <c r="E118" s="43">
        <v>4.0617384240454913E-4</v>
      </c>
    </row>
    <row r="119" spans="2:5" ht="15" customHeight="1" x14ac:dyDescent="0.25">
      <c r="B119" s="84"/>
      <c r="C119" s="45" t="s">
        <v>56</v>
      </c>
      <c r="D119" s="44">
        <v>4</v>
      </c>
      <c r="E119" s="43">
        <v>1.6246953696181965E-3</v>
      </c>
    </row>
    <row r="120" spans="2:5" ht="15" customHeight="1" x14ac:dyDescent="0.25">
      <c r="B120" s="83"/>
      <c r="C120" s="42" t="s">
        <v>20</v>
      </c>
      <c r="D120" s="41">
        <v>50</v>
      </c>
      <c r="E120" s="40">
        <v>2.0308692120227456E-2</v>
      </c>
    </row>
    <row r="121" spans="2:5" ht="15" customHeight="1" x14ac:dyDescent="0.25">
      <c r="B121" s="82" t="s">
        <v>136</v>
      </c>
      <c r="C121" s="45" t="s">
        <v>59</v>
      </c>
      <c r="D121" s="44">
        <v>39</v>
      </c>
      <c r="E121" s="43">
        <v>1.5840779853777416E-2</v>
      </c>
    </row>
    <row r="122" spans="2:5" ht="15" customHeight="1" x14ac:dyDescent="0.25">
      <c r="B122" s="84"/>
      <c r="C122" s="45" t="s">
        <v>49</v>
      </c>
      <c r="D122" s="44">
        <v>1</v>
      </c>
      <c r="E122" s="43">
        <v>4.0617384240454913E-4</v>
      </c>
    </row>
    <row r="123" spans="2:5" ht="15" customHeight="1" x14ac:dyDescent="0.25">
      <c r="B123" s="84"/>
      <c r="C123" s="45" t="s">
        <v>50</v>
      </c>
      <c r="D123" s="44">
        <v>1</v>
      </c>
      <c r="E123" s="43">
        <v>4.0617384240454913E-4</v>
      </c>
    </row>
    <row r="124" spans="2:5" ht="15" customHeight="1" x14ac:dyDescent="0.25">
      <c r="B124" s="84"/>
      <c r="C124" s="45" t="s">
        <v>55</v>
      </c>
      <c r="D124" s="44">
        <v>2</v>
      </c>
      <c r="E124" s="43">
        <v>8.1234768480909826E-4</v>
      </c>
    </row>
    <row r="125" spans="2:5" ht="15" customHeight="1" x14ac:dyDescent="0.25">
      <c r="B125" s="84"/>
      <c r="C125" s="45" t="s">
        <v>47</v>
      </c>
      <c r="D125" s="44">
        <v>2</v>
      </c>
      <c r="E125" s="43">
        <v>8.1234768480909826E-4</v>
      </c>
    </row>
    <row r="126" spans="2:5" ht="15" customHeight="1" x14ac:dyDescent="0.25">
      <c r="B126" s="84"/>
      <c r="C126" s="45" t="s">
        <v>38</v>
      </c>
      <c r="D126" s="44">
        <v>1</v>
      </c>
      <c r="E126" s="43">
        <v>4.0617384240454913E-4</v>
      </c>
    </row>
    <row r="127" spans="2:5" ht="15" customHeight="1" x14ac:dyDescent="0.25">
      <c r="B127" s="84"/>
      <c r="C127" s="45" t="s">
        <v>44</v>
      </c>
      <c r="D127" s="44">
        <v>1</v>
      </c>
      <c r="E127" s="43">
        <v>4.0617384240454913E-4</v>
      </c>
    </row>
    <row r="128" spans="2:5" ht="15" customHeight="1" x14ac:dyDescent="0.25">
      <c r="B128" s="84"/>
      <c r="C128" s="45" t="s">
        <v>57</v>
      </c>
      <c r="D128" s="44">
        <v>3</v>
      </c>
      <c r="E128" s="43">
        <v>1.2185215272136475E-3</v>
      </c>
    </row>
    <row r="129" spans="2:5" ht="15" customHeight="1" x14ac:dyDescent="0.25">
      <c r="B129" s="84"/>
      <c r="C129" s="45" t="s">
        <v>46</v>
      </c>
      <c r="D129" s="44">
        <v>1</v>
      </c>
      <c r="E129" s="43">
        <v>4.0617384240454913E-4</v>
      </c>
    </row>
    <row r="130" spans="2:5" ht="15" customHeight="1" x14ac:dyDescent="0.25">
      <c r="B130" s="84"/>
      <c r="C130" s="45" t="s">
        <v>54</v>
      </c>
      <c r="D130" s="44">
        <v>1</v>
      </c>
      <c r="E130" s="43">
        <v>4.0617384240454913E-4</v>
      </c>
    </row>
    <row r="131" spans="2:5" ht="15" customHeight="1" x14ac:dyDescent="0.25">
      <c r="B131" s="84"/>
      <c r="C131" s="45" t="s">
        <v>31</v>
      </c>
      <c r="D131" s="44">
        <v>1</v>
      </c>
      <c r="E131" s="43">
        <v>4.0617384240454913E-4</v>
      </c>
    </row>
    <row r="132" spans="2:5" ht="15" customHeight="1" x14ac:dyDescent="0.25">
      <c r="B132" s="84"/>
      <c r="C132" s="45" t="s">
        <v>58</v>
      </c>
      <c r="D132" s="44">
        <v>1</v>
      </c>
      <c r="E132" s="43">
        <v>4.0617384240454913E-4</v>
      </c>
    </row>
    <row r="133" spans="2:5" ht="15" customHeight="1" x14ac:dyDescent="0.25">
      <c r="B133" s="84"/>
      <c r="C133" s="45" t="s">
        <v>53</v>
      </c>
      <c r="D133" s="44">
        <v>1</v>
      </c>
      <c r="E133" s="43">
        <v>4.0617384240454913E-4</v>
      </c>
    </row>
    <row r="134" spans="2:5" ht="15" customHeight="1" x14ac:dyDescent="0.25">
      <c r="B134" s="84"/>
      <c r="C134" s="45" t="s">
        <v>56</v>
      </c>
      <c r="D134" s="44">
        <v>1</v>
      </c>
      <c r="E134" s="43">
        <v>4.0617384240454913E-4</v>
      </c>
    </row>
    <row r="135" spans="2:5" ht="15" customHeight="1" x14ac:dyDescent="0.25">
      <c r="B135" s="84"/>
      <c r="C135" s="45" t="s">
        <v>34</v>
      </c>
      <c r="D135" s="44">
        <v>1</v>
      </c>
      <c r="E135" s="43">
        <v>4.0617384240454913E-4</v>
      </c>
    </row>
    <row r="136" spans="2:5" ht="15" customHeight="1" x14ac:dyDescent="0.25">
      <c r="B136" s="84"/>
      <c r="C136" s="45" t="s">
        <v>24</v>
      </c>
      <c r="D136" s="44">
        <v>1</v>
      </c>
      <c r="E136" s="43">
        <v>4.0617384240454913E-4</v>
      </c>
    </row>
    <row r="137" spans="2:5" ht="15" customHeight="1" x14ac:dyDescent="0.25">
      <c r="B137" s="83"/>
      <c r="C137" s="42" t="s">
        <v>20</v>
      </c>
      <c r="D137" s="41">
        <v>58</v>
      </c>
      <c r="E137" s="40">
        <v>2.3558082859463852E-2</v>
      </c>
    </row>
    <row r="138" spans="2:5" ht="15" customHeight="1" x14ac:dyDescent="0.25">
      <c r="B138" s="82" t="s">
        <v>135</v>
      </c>
      <c r="C138" s="45" t="s">
        <v>52</v>
      </c>
      <c r="D138" s="44">
        <v>1</v>
      </c>
      <c r="E138" s="43">
        <v>4.0617384240454913E-4</v>
      </c>
    </row>
    <row r="139" spans="2:5" ht="15" customHeight="1" x14ac:dyDescent="0.25">
      <c r="B139" s="84"/>
      <c r="C139" s="45" t="s">
        <v>59</v>
      </c>
      <c r="D139" s="44">
        <v>61</v>
      </c>
      <c r="E139" s="43">
        <v>2.4776604386677496E-2</v>
      </c>
    </row>
    <row r="140" spans="2:5" ht="15" customHeight="1" x14ac:dyDescent="0.25">
      <c r="B140" s="84"/>
      <c r="C140" s="45" t="s">
        <v>50</v>
      </c>
      <c r="D140" s="44">
        <v>1</v>
      </c>
      <c r="E140" s="43">
        <v>4.0617384240454913E-4</v>
      </c>
    </row>
    <row r="141" spans="2:5" ht="15" customHeight="1" x14ac:dyDescent="0.25">
      <c r="B141" s="84"/>
      <c r="C141" s="45" t="s">
        <v>48</v>
      </c>
      <c r="D141" s="44">
        <v>1</v>
      </c>
      <c r="E141" s="43">
        <v>4.0617384240454913E-4</v>
      </c>
    </row>
    <row r="142" spans="2:5" ht="15" customHeight="1" x14ac:dyDescent="0.25">
      <c r="B142" s="84"/>
      <c r="C142" s="45" t="s">
        <v>47</v>
      </c>
      <c r="D142" s="44">
        <v>2</v>
      </c>
      <c r="E142" s="43">
        <v>8.1234768480909826E-4</v>
      </c>
    </row>
    <row r="143" spans="2:5" ht="15" customHeight="1" x14ac:dyDescent="0.25">
      <c r="B143" s="84"/>
      <c r="C143" s="45" t="s">
        <v>57</v>
      </c>
      <c r="D143" s="44">
        <v>3</v>
      </c>
      <c r="E143" s="43">
        <v>1.2185215272136475E-3</v>
      </c>
    </row>
    <row r="144" spans="2:5" ht="15" customHeight="1" x14ac:dyDescent="0.25">
      <c r="B144" s="84"/>
      <c r="C144" s="45" t="s">
        <v>46</v>
      </c>
      <c r="D144" s="44">
        <v>2</v>
      </c>
      <c r="E144" s="43">
        <v>8.1234768480909826E-4</v>
      </c>
    </row>
    <row r="145" spans="2:5" ht="15" customHeight="1" x14ac:dyDescent="0.25">
      <c r="B145" s="84"/>
      <c r="C145" s="45" t="s">
        <v>54</v>
      </c>
      <c r="D145" s="44">
        <v>4</v>
      </c>
      <c r="E145" s="43">
        <v>1.6246953696181965E-3</v>
      </c>
    </row>
    <row r="146" spans="2:5" ht="15" customHeight="1" x14ac:dyDescent="0.25">
      <c r="B146" s="84"/>
      <c r="C146" s="45" t="s">
        <v>58</v>
      </c>
      <c r="D146" s="44">
        <v>4</v>
      </c>
      <c r="E146" s="43">
        <v>1.6246953696181965E-3</v>
      </c>
    </row>
    <row r="147" spans="2:5" ht="15" customHeight="1" x14ac:dyDescent="0.25">
      <c r="B147" s="84"/>
      <c r="C147" s="45" t="s">
        <v>53</v>
      </c>
      <c r="D147" s="44">
        <v>4</v>
      </c>
      <c r="E147" s="43">
        <v>1.6246953696181965E-3</v>
      </c>
    </row>
    <row r="148" spans="2:5" ht="15" customHeight="1" x14ac:dyDescent="0.25">
      <c r="B148" s="84"/>
      <c r="C148" s="45" t="s">
        <v>56</v>
      </c>
      <c r="D148" s="44">
        <v>1</v>
      </c>
      <c r="E148" s="43">
        <v>4.0617384240454913E-4</v>
      </c>
    </row>
    <row r="149" spans="2:5" ht="15" customHeight="1" x14ac:dyDescent="0.25">
      <c r="B149" s="83"/>
      <c r="C149" s="42" t="s">
        <v>20</v>
      </c>
      <c r="D149" s="41">
        <v>84</v>
      </c>
      <c r="E149" s="40">
        <v>3.4118602761982128E-2</v>
      </c>
    </row>
    <row r="150" spans="2:5" ht="15" customHeight="1" x14ac:dyDescent="0.25">
      <c r="B150" s="82" t="s">
        <v>134</v>
      </c>
      <c r="C150" s="45" t="s">
        <v>52</v>
      </c>
      <c r="D150" s="44">
        <v>7</v>
      </c>
      <c r="E150" s="43">
        <v>2.843216896831844E-3</v>
      </c>
    </row>
    <row r="151" spans="2:5" ht="15" customHeight="1" x14ac:dyDescent="0.25">
      <c r="B151" s="84"/>
      <c r="C151" s="45" t="s">
        <v>41</v>
      </c>
      <c r="D151" s="44">
        <v>2</v>
      </c>
      <c r="E151" s="43">
        <v>8.1234768480909826E-4</v>
      </c>
    </row>
    <row r="152" spans="2:5" ht="15" customHeight="1" x14ac:dyDescent="0.25">
      <c r="B152" s="84"/>
      <c r="C152" s="45" t="s">
        <v>59</v>
      </c>
      <c r="D152" s="44">
        <v>453</v>
      </c>
      <c r="E152" s="43">
        <v>0.18399675060926077</v>
      </c>
    </row>
    <row r="153" spans="2:5" ht="15" customHeight="1" x14ac:dyDescent="0.25">
      <c r="B153" s="84"/>
      <c r="C153" s="45" t="s">
        <v>49</v>
      </c>
      <c r="D153" s="44">
        <v>11</v>
      </c>
      <c r="E153" s="43">
        <v>4.4679122664500409E-3</v>
      </c>
    </row>
    <row r="154" spans="2:5" ht="15" customHeight="1" x14ac:dyDescent="0.25">
      <c r="B154" s="84"/>
      <c r="C154" s="45" t="s">
        <v>28</v>
      </c>
      <c r="D154" s="44">
        <v>1</v>
      </c>
      <c r="E154" s="43">
        <v>4.0617384240454913E-4</v>
      </c>
    </row>
    <row r="155" spans="2:5" ht="15" customHeight="1" x14ac:dyDescent="0.25">
      <c r="B155" s="84"/>
      <c r="C155" s="45" t="s">
        <v>50</v>
      </c>
      <c r="D155" s="44">
        <v>9</v>
      </c>
      <c r="E155" s="43">
        <v>3.6555645816409425E-3</v>
      </c>
    </row>
    <row r="156" spans="2:5" ht="15" customHeight="1" x14ac:dyDescent="0.25">
      <c r="B156" s="84"/>
      <c r="C156" s="45" t="s">
        <v>51</v>
      </c>
      <c r="D156" s="44">
        <v>6</v>
      </c>
      <c r="E156" s="43">
        <v>2.437043054427295E-3</v>
      </c>
    </row>
    <row r="157" spans="2:5" ht="15" customHeight="1" x14ac:dyDescent="0.25">
      <c r="B157" s="84"/>
      <c r="C157" s="45" t="s">
        <v>48</v>
      </c>
      <c r="D157" s="44">
        <v>10</v>
      </c>
      <c r="E157" s="43">
        <v>4.0617384240454911E-3</v>
      </c>
    </row>
    <row r="158" spans="2:5" ht="15" customHeight="1" x14ac:dyDescent="0.25">
      <c r="B158" s="84"/>
      <c r="C158" s="45" t="s">
        <v>55</v>
      </c>
      <c r="D158" s="44">
        <v>29</v>
      </c>
      <c r="E158" s="43">
        <v>1.1779041429731926E-2</v>
      </c>
    </row>
    <row r="159" spans="2:5" ht="15" customHeight="1" x14ac:dyDescent="0.25">
      <c r="B159" s="84"/>
      <c r="C159" s="45" t="s">
        <v>47</v>
      </c>
      <c r="D159" s="44">
        <v>5</v>
      </c>
      <c r="E159" s="43">
        <v>2.0308692120227455E-3</v>
      </c>
    </row>
    <row r="160" spans="2:5" ht="15" customHeight="1" x14ac:dyDescent="0.25">
      <c r="B160" s="84"/>
      <c r="C160" s="45" t="s">
        <v>38</v>
      </c>
      <c r="D160" s="44">
        <v>3</v>
      </c>
      <c r="E160" s="43">
        <v>1.2185215272136475E-3</v>
      </c>
    </row>
    <row r="161" spans="2:5" ht="15" customHeight="1" x14ac:dyDescent="0.25">
      <c r="B161" s="84"/>
      <c r="C161" s="45" t="s">
        <v>40</v>
      </c>
      <c r="D161" s="44">
        <v>2</v>
      </c>
      <c r="E161" s="43">
        <v>8.1234768480909826E-4</v>
      </c>
    </row>
    <row r="162" spans="2:5" ht="15" customHeight="1" x14ac:dyDescent="0.25">
      <c r="B162" s="84"/>
      <c r="C162" s="45" t="s">
        <v>27</v>
      </c>
      <c r="D162" s="44">
        <v>1</v>
      </c>
      <c r="E162" s="43">
        <v>4.0617384240454913E-4</v>
      </c>
    </row>
    <row r="163" spans="2:5" ht="15" customHeight="1" x14ac:dyDescent="0.25">
      <c r="B163" s="84"/>
      <c r="C163" s="45" t="s">
        <v>23</v>
      </c>
      <c r="D163" s="44">
        <v>1</v>
      </c>
      <c r="E163" s="43">
        <v>4.0617384240454913E-4</v>
      </c>
    </row>
    <row r="164" spans="2:5" ht="15" customHeight="1" x14ac:dyDescent="0.25">
      <c r="B164" s="84"/>
      <c r="C164" s="45" t="s">
        <v>35</v>
      </c>
      <c r="D164" s="44">
        <v>2</v>
      </c>
      <c r="E164" s="43">
        <v>8.1234768480909826E-4</v>
      </c>
    </row>
    <row r="165" spans="2:5" ht="15" customHeight="1" x14ac:dyDescent="0.25">
      <c r="B165" s="84"/>
      <c r="C165" s="45" t="s">
        <v>39</v>
      </c>
      <c r="D165" s="44">
        <v>6</v>
      </c>
      <c r="E165" s="43">
        <v>2.437043054427295E-3</v>
      </c>
    </row>
    <row r="166" spans="2:5" ht="15" customHeight="1" x14ac:dyDescent="0.25">
      <c r="B166" s="84"/>
      <c r="C166" s="45" t="s">
        <v>44</v>
      </c>
      <c r="D166" s="44">
        <v>7</v>
      </c>
      <c r="E166" s="43">
        <v>2.843216896831844E-3</v>
      </c>
    </row>
    <row r="167" spans="2:5" ht="15" customHeight="1" x14ac:dyDescent="0.25">
      <c r="B167" s="84"/>
      <c r="C167" s="45" t="s">
        <v>37</v>
      </c>
      <c r="D167" s="44">
        <v>3</v>
      </c>
      <c r="E167" s="43">
        <v>1.2185215272136475E-3</v>
      </c>
    </row>
    <row r="168" spans="2:5" ht="15" customHeight="1" x14ac:dyDescent="0.25">
      <c r="B168" s="84"/>
      <c r="C168" s="45" t="s">
        <v>57</v>
      </c>
      <c r="D168" s="44">
        <v>32</v>
      </c>
      <c r="E168" s="43">
        <v>1.2997562956945572E-2</v>
      </c>
    </row>
    <row r="169" spans="2:5" ht="15" customHeight="1" x14ac:dyDescent="0.25">
      <c r="B169" s="84"/>
      <c r="C169" s="45" t="s">
        <v>26</v>
      </c>
      <c r="D169" s="44">
        <v>2</v>
      </c>
      <c r="E169" s="43">
        <v>8.1234768480909826E-4</v>
      </c>
    </row>
    <row r="170" spans="2:5" ht="15" customHeight="1" x14ac:dyDescent="0.25">
      <c r="B170" s="84"/>
      <c r="C170" s="45" t="s">
        <v>25</v>
      </c>
      <c r="D170" s="44">
        <v>1</v>
      </c>
      <c r="E170" s="43">
        <v>4.0617384240454913E-4</v>
      </c>
    </row>
    <row r="171" spans="2:5" ht="15" customHeight="1" x14ac:dyDescent="0.25">
      <c r="B171" s="84"/>
      <c r="C171" s="45" t="s">
        <v>36</v>
      </c>
      <c r="D171" s="44">
        <v>1</v>
      </c>
      <c r="E171" s="43">
        <v>4.0617384240454913E-4</v>
      </c>
    </row>
    <row r="172" spans="2:5" ht="15" customHeight="1" x14ac:dyDescent="0.25">
      <c r="B172" s="84"/>
      <c r="C172" s="45" t="s">
        <v>29</v>
      </c>
      <c r="D172" s="44">
        <v>3</v>
      </c>
      <c r="E172" s="43">
        <v>1.2185215272136475E-3</v>
      </c>
    </row>
    <row r="173" spans="2:5" ht="15" customHeight="1" x14ac:dyDescent="0.25">
      <c r="B173" s="84"/>
      <c r="C173" s="45" t="s">
        <v>46</v>
      </c>
      <c r="D173" s="44">
        <v>8</v>
      </c>
      <c r="E173" s="43">
        <v>3.249390739236393E-3</v>
      </c>
    </row>
    <row r="174" spans="2:5" ht="15" customHeight="1" x14ac:dyDescent="0.25">
      <c r="B174" s="84"/>
      <c r="C174" s="45" t="s">
        <v>32</v>
      </c>
      <c r="D174" s="44">
        <v>4</v>
      </c>
      <c r="E174" s="43">
        <v>1.6246953696181965E-3</v>
      </c>
    </row>
    <row r="175" spans="2:5" ht="15" customHeight="1" x14ac:dyDescent="0.25">
      <c r="B175" s="84"/>
      <c r="C175" s="45" t="s">
        <v>43</v>
      </c>
      <c r="D175" s="44">
        <v>4</v>
      </c>
      <c r="E175" s="43">
        <v>1.6246953696181965E-3</v>
      </c>
    </row>
    <row r="176" spans="2:5" ht="15" customHeight="1" x14ac:dyDescent="0.25">
      <c r="B176" s="84"/>
      <c r="C176" s="45" t="s">
        <v>54</v>
      </c>
      <c r="D176" s="44">
        <v>11</v>
      </c>
      <c r="E176" s="43">
        <v>4.4679122664500409E-3</v>
      </c>
    </row>
    <row r="177" spans="2:5" ht="15" customHeight="1" x14ac:dyDescent="0.25">
      <c r="B177" s="84"/>
      <c r="C177" s="45" t="s">
        <v>31</v>
      </c>
      <c r="D177" s="44">
        <v>4</v>
      </c>
      <c r="E177" s="43">
        <v>1.6246953696181965E-3</v>
      </c>
    </row>
    <row r="178" spans="2:5" ht="15" customHeight="1" x14ac:dyDescent="0.25">
      <c r="B178" s="84"/>
      <c r="C178" s="45" t="s">
        <v>22</v>
      </c>
      <c r="D178" s="44">
        <v>1</v>
      </c>
      <c r="E178" s="43">
        <v>4.0617384240454913E-4</v>
      </c>
    </row>
    <row r="179" spans="2:5" ht="15" customHeight="1" x14ac:dyDescent="0.25">
      <c r="B179" s="84"/>
      <c r="C179" s="45" t="s">
        <v>45</v>
      </c>
      <c r="D179" s="44">
        <v>4</v>
      </c>
      <c r="E179" s="43">
        <v>1.6246953696181965E-3</v>
      </c>
    </row>
    <row r="180" spans="2:5" ht="15" customHeight="1" x14ac:dyDescent="0.25">
      <c r="B180" s="84"/>
      <c r="C180" s="45" t="s">
        <v>58</v>
      </c>
      <c r="D180" s="44">
        <v>54</v>
      </c>
      <c r="E180" s="43">
        <v>2.1933387489845652E-2</v>
      </c>
    </row>
    <row r="181" spans="2:5" ht="15" customHeight="1" x14ac:dyDescent="0.25">
      <c r="B181" s="84"/>
      <c r="C181" s="45" t="s">
        <v>53</v>
      </c>
      <c r="D181" s="44">
        <v>10</v>
      </c>
      <c r="E181" s="43">
        <v>4.0617384240454911E-3</v>
      </c>
    </row>
    <row r="182" spans="2:5" ht="15" customHeight="1" x14ac:dyDescent="0.25">
      <c r="B182" s="84"/>
      <c r="C182" s="45" t="s">
        <v>42</v>
      </c>
      <c r="D182" s="44">
        <v>1</v>
      </c>
      <c r="E182" s="43">
        <v>4.0617384240454913E-4</v>
      </c>
    </row>
    <row r="183" spans="2:5" ht="15" customHeight="1" x14ac:dyDescent="0.25">
      <c r="B183" s="84"/>
      <c r="C183" s="45" t="s">
        <v>56</v>
      </c>
      <c r="D183" s="44">
        <v>13</v>
      </c>
      <c r="E183" s="43">
        <v>5.280259951259139E-3</v>
      </c>
    </row>
    <row r="184" spans="2:5" ht="15" customHeight="1" x14ac:dyDescent="0.25">
      <c r="B184" s="84"/>
      <c r="C184" s="45" t="s">
        <v>24</v>
      </c>
      <c r="D184" s="44">
        <v>1</v>
      </c>
      <c r="E184" s="43">
        <v>4.0617384240454913E-4</v>
      </c>
    </row>
    <row r="185" spans="2:5" ht="15" customHeight="1" x14ac:dyDescent="0.25">
      <c r="B185" s="83"/>
      <c r="C185" s="42" t="s">
        <v>20</v>
      </c>
      <c r="D185" s="41">
        <v>712</v>
      </c>
      <c r="E185" s="40">
        <v>0.28919577579203898</v>
      </c>
    </row>
    <row r="186" spans="2:5" ht="15" customHeight="1" x14ac:dyDescent="0.25">
      <c r="B186" s="82" t="s">
        <v>133</v>
      </c>
      <c r="C186" s="45" t="s">
        <v>52</v>
      </c>
      <c r="D186" s="44">
        <v>1</v>
      </c>
      <c r="E186" s="43">
        <v>4.0617384240454913E-4</v>
      </c>
    </row>
    <row r="187" spans="2:5" ht="15" customHeight="1" x14ac:dyDescent="0.25">
      <c r="B187" s="84"/>
      <c r="C187" s="45" t="s">
        <v>59</v>
      </c>
      <c r="D187" s="44">
        <v>38</v>
      </c>
      <c r="E187" s="43">
        <v>1.5434606011372868E-2</v>
      </c>
    </row>
    <row r="188" spans="2:5" ht="15" customHeight="1" x14ac:dyDescent="0.25">
      <c r="B188" s="84"/>
      <c r="C188" s="45" t="s">
        <v>27</v>
      </c>
      <c r="D188" s="44">
        <v>1</v>
      </c>
      <c r="E188" s="43">
        <v>4.0617384240454913E-4</v>
      </c>
    </row>
    <row r="189" spans="2:5" ht="15" customHeight="1" x14ac:dyDescent="0.25">
      <c r="B189" s="84"/>
      <c r="C189" s="45" t="s">
        <v>44</v>
      </c>
      <c r="D189" s="44">
        <v>1</v>
      </c>
      <c r="E189" s="43">
        <v>4.0617384240454913E-4</v>
      </c>
    </row>
    <row r="190" spans="2:5" ht="15" customHeight="1" x14ac:dyDescent="0.25">
      <c r="B190" s="84"/>
      <c r="C190" s="45" t="s">
        <v>57</v>
      </c>
      <c r="D190" s="44">
        <v>3</v>
      </c>
      <c r="E190" s="43">
        <v>1.2185215272136475E-3</v>
      </c>
    </row>
    <row r="191" spans="2:5" ht="15" customHeight="1" x14ac:dyDescent="0.25">
      <c r="B191" s="84"/>
      <c r="C191" s="45" t="s">
        <v>46</v>
      </c>
      <c r="D191" s="44">
        <v>1</v>
      </c>
      <c r="E191" s="43">
        <v>4.0617384240454913E-4</v>
      </c>
    </row>
    <row r="192" spans="2:5" ht="15" customHeight="1" x14ac:dyDescent="0.25">
      <c r="B192" s="84"/>
      <c r="C192" s="45" t="s">
        <v>58</v>
      </c>
      <c r="D192" s="44">
        <v>4</v>
      </c>
      <c r="E192" s="43">
        <v>1.6246953696181965E-3</v>
      </c>
    </row>
    <row r="193" spans="2:5" ht="15" customHeight="1" x14ac:dyDescent="0.25">
      <c r="B193" s="84"/>
      <c r="C193" s="45" t="s">
        <v>34</v>
      </c>
      <c r="D193" s="44">
        <v>1</v>
      </c>
      <c r="E193" s="43">
        <v>4.0617384240454913E-4</v>
      </c>
    </row>
    <row r="194" spans="2:5" ht="15" customHeight="1" x14ac:dyDescent="0.25">
      <c r="B194" s="83"/>
      <c r="C194" s="42" t="s">
        <v>20</v>
      </c>
      <c r="D194" s="41">
        <v>50</v>
      </c>
      <c r="E194" s="40">
        <v>2.0308692120227456E-2</v>
      </c>
    </row>
    <row r="195" spans="2:5" ht="15" customHeight="1" x14ac:dyDescent="0.25">
      <c r="B195" s="82" t="s">
        <v>132</v>
      </c>
      <c r="C195" s="45" t="s">
        <v>52</v>
      </c>
      <c r="D195" s="44">
        <v>3</v>
      </c>
      <c r="E195" s="43">
        <v>1.2185215272136475E-3</v>
      </c>
    </row>
    <row r="196" spans="2:5" ht="15" customHeight="1" x14ac:dyDescent="0.25">
      <c r="B196" s="84"/>
      <c r="C196" s="45" t="s">
        <v>59</v>
      </c>
      <c r="D196" s="44">
        <v>113</v>
      </c>
      <c r="E196" s="43">
        <v>4.5897644191714056E-2</v>
      </c>
    </row>
    <row r="197" spans="2:5" ht="15" customHeight="1" x14ac:dyDescent="0.25">
      <c r="B197" s="84"/>
      <c r="C197" s="45" t="s">
        <v>49</v>
      </c>
      <c r="D197" s="44">
        <v>5</v>
      </c>
      <c r="E197" s="43">
        <v>2.0308692120227455E-3</v>
      </c>
    </row>
    <row r="198" spans="2:5" ht="15" customHeight="1" x14ac:dyDescent="0.25">
      <c r="B198" s="84"/>
      <c r="C198" s="45" t="s">
        <v>50</v>
      </c>
      <c r="D198" s="44">
        <v>2</v>
      </c>
      <c r="E198" s="43">
        <v>8.1234768480909826E-4</v>
      </c>
    </row>
    <row r="199" spans="2:5" ht="15" customHeight="1" x14ac:dyDescent="0.25">
      <c r="B199" s="84"/>
      <c r="C199" s="45" t="s">
        <v>51</v>
      </c>
      <c r="D199" s="44">
        <v>4</v>
      </c>
      <c r="E199" s="43">
        <v>1.6246953696181965E-3</v>
      </c>
    </row>
    <row r="200" spans="2:5" ht="15" customHeight="1" x14ac:dyDescent="0.25">
      <c r="B200" s="84"/>
      <c r="C200" s="45" t="s">
        <v>48</v>
      </c>
      <c r="D200" s="44">
        <v>2</v>
      </c>
      <c r="E200" s="43">
        <v>8.1234768480909826E-4</v>
      </c>
    </row>
    <row r="201" spans="2:5" ht="15" customHeight="1" x14ac:dyDescent="0.25">
      <c r="B201" s="84"/>
      <c r="C201" s="45" t="s">
        <v>55</v>
      </c>
      <c r="D201" s="44">
        <v>4</v>
      </c>
      <c r="E201" s="43">
        <v>1.6246953696181965E-3</v>
      </c>
    </row>
    <row r="202" spans="2:5" ht="15" customHeight="1" x14ac:dyDescent="0.25">
      <c r="B202" s="84"/>
      <c r="C202" s="45" t="s">
        <v>47</v>
      </c>
      <c r="D202" s="44">
        <v>2</v>
      </c>
      <c r="E202" s="43">
        <v>8.1234768480909826E-4</v>
      </c>
    </row>
    <row r="203" spans="2:5" ht="15" customHeight="1" x14ac:dyDescent="0.25">
      <c r="B203" s="84"/>
      <c r="C203" s="45" t="s">
        <v>38</v>
      </c>
      <c r="D203" s="44">
        <v>2</v>
      </c>
      <c r="E203" s="43">
        <v>8.1234768480909826E-4</v>
      </c>
    </row>
    <row r="204" spans="2:5" ht="15" customHeight="1" x14ac:dyDescent="0.25">
      <c r="B204" s="84"/>
      <c r="C204" s="45" t="s">
        <v>30</v>
      </c>
      <c r="D204" s="44">
        <v>1</v>
      </c>
      <c r="E204" s="43">
        <v>4.0617384240454913E-4</v>
      </c>
    </row>
    <row r="205" spans="2:5" ht="15" customHeight="1" x14ac:dyDescent="0.25">
      <c r="B205" s="84"/>
      <c r="C205" s="45" t="s">
        <v>39</v>
      </c>
      <c r="D205" s="44">
        <v>3</v>
      </c>
      <c r="E205" s="43">
        <v>1.2185215272136475E-3</v>
      </c>
    </row>
    <row r="206" spans="2:5" ht="15" customHeight="1" x14ac:dyDescent="0.25">
      <c r="B206" s="84"/>
      <c r="C206" s="45" t="s">
        <v>57</v>
      </c>
      <c r="D206" s="44">
        <v>8</v>
      </c>
      <c r="E206" s="43">
        <v>3.249390739236393E-3</v>
      </c>
    </row>
    <row r="207" spans="2:5" ht="15" customHeight="1" x14ac:dyDescent="0.25">
      <c r="B207" s="84"/>
      <c r="C207" s="45" t="s">
        <v>29</v>
      </c>
      <c r="D207" s="44">
        <v>1</v>
      </c>
      <c r="E207" s="43">
        <v>4.0617384240454913E-4</v>
      </c>
    </row>
    <row r="208" spans="2:5" ht="15" customHeight="1" x14ac:dyDescent="0.25">
      <c r="B208" s="84"/>
      <c r="C208" s="45" t="s">
        <v>46</v>
      </c>
      <c r="D208" s="44">
        <v>2</v>
      </c>
      <c r="E208" s="43">
        <v>8.1234768480909826E-4</v>
      </c>
    </row>
    <row r="209" spans="2:5" ht="15" customHeight="1" x14ac:dyDescent="0.25">
      <c r="B209" s="84"/>
      <c r="C209" s="45" t="s">
        <v>32</v>
      </c>
      <c r="D209" s="44">
        <v>1</v>
      </c>
      <c r="E209" s="43">
        <v>4.0617384240454913E-4</v>
      </c>
    </row>
    <row r="210" spans="2:5" ht="15" customHeight="1" x14ac:dyDescent="0.25">
      <c r="B210" s="84"/>
      <c r="C210" s="45" t="s">
        <v>54</v>
      </c>
      <c r="D210" s="44">
        <v>8</v>
      </c>
      <c r="E210" s="43">
        <v>3.249390739236393E-3</v>
      </c>
    </row>
    <row r="211" spans="2:5" ht="15" customHeight="1" x14ac:dyDescent="0.25">
      <c r="B211" s="84"/>
      <c r="C211" s="45" t="s">
        <v>31</v>
      </c>
      <c r="D211" s="44">
        <v>1</v>
      </c>
      <c r="E211" s="43">
        <v>4.0617384240454913E-4</v>
      </c>
    </row>
    <row r="212" spans="2:5" ht="15" customHeight="1" x14ac:dyDescent="0.25">
      <c r="B212" s="84"/>
      <c r="C212" s="45" t="s">
        <v>45</v>
      </c>
      <c r="D212" s="44">
        <v>1</v>
      </c>
      <c r="E212" s="43">
        <v>4.0617384240454913E-4</v>
      </c>
    </row>
    <row r="213" spans="2:5" ht="15" customHeight="1" x14ac:dyDescent="0.25">
      <c r="B213" s="84"/>
      <c r="C213" s="45" t="s">
        <v>58</v>
      </c>
      <c r="D213" s="44">
        <v>14</v>
      </c>
      <c r="E213" s="43">
        <v>5.686433793663688E-3</v>
      </c>
    </row>
    <row r="214" spans="2:5" ht="15" customHeight="1" x14ac:dyDescent="0.25">
      <c r="B214" s="84"/>
      <c r="C214" s="45" t="s">
        <v>53</v>
      </c>
      <c r="D214" s="44">
        <v>3</v>
      </c>
      <c r="E214" s="43">
        <v>1.2185215272136475E-3</v>
      </c>
    </row>
    <row r="215" spans="2:5" ht="15" customHeight="1" x14ac:dyDescent="0.25">
      <c r="B215" s="84"/>
      <c r="C215" s="45" t="s">
        <v>56</v>
      </c>
      <c r="D215" s="44">
        <v>2</v>
      </c>
      <c r="E215" s="43">
        <v>8.1234768480909826E-4</v>
      </c>
    </row>
    <row r="216" spans="2:5" ht="15" customHeight="1" x14ac:dyDescent="0.25">
      <c r="B216" s="84"/>
      <c r="C216" s="45" t="s">
        <v>24</v>
      </c>
      <c r="D216" s="44">
        <v>1</v>
      </c>
      <c r="E216" s="43">
        <v>4.0617384240454913E-4</v>
      </c>
    </row>
    <row r="217" spans="2:5" ht="15" customHeight="1" x14ac:dyDescent="0.25">
      <c r="B217" s="83"/>
      <c r="C217" s="42" t="s">
        <v>20</v>
      </c>
      <c r="D217" s="41">
        <v>183</v>
      </c>
      <c r="E217" s="40">
        <v>7.4329813160032496E-2</v>
      </c>
    </row>
    <row r="218" spans="2:5" ht="15" customHeight="1" x14ac:dyDescent="0.25">
      <c r="B218" s="82" t="s">
        <v>131</v>
      </c>
      <c r="C218" s="45" t="s">
        <v>33</v>
      </c>
      <c r="D218" s="44">
        <v>1</v>
      </c>
      <c r="E218" s="43">
        <v>4.0617384240454913E-4</v>
      </c>
    </row>
    <row r="219" spans="2:5" ht="15" customHeight="1" x14ac:dyDescent="0.25">
      <c r="B219" s="84"/>
      <c r="C219" s="45" t="s">
        <v>52</v>
      </c>
      <c r="D219" s="44">
        <v>11</v>
      </c>
      <c r="E219" s="43">
        <v>4.4679122664500409E-3</v>
      </c>
    </row>
    <row r="220" spans="2:5" ht="15" customHeight="1" x14ac:dyDescent="0.25">
      <c r="B220" s="84"/>
      <c r="C220" s="45" t="s">
        <v>59</v>
      </c>
      <c r="D220" s="44">
        <v>288</v>
      </c>
      <c r="E220" s="43">
        <v>0.11697806661251016</v>
      </c>
    </row>
    <row r="221" spans="2:5" ht="15" customHeight="1" x14ac:dyDescent="0.25">
      <c r="B221" s="84"/>
      <c r="C221" s="45" t="s">
        <v>49</v>
      </c>
      <c r="D221" s="44">
        <v>5</v>
      </c>
      <c r="E221" s="43">
        <v>2.0308692120227455E-3</v>
      </c>
    </row>
    <row r="222" spans="2:5" ht="15" customHeight="1" x14ac:dyDescent="0.25">
      <c r="B222" s="84"/>
      <c r="C222" s="45" t="s">
        <v>28</v>
      </c>
      <c r="D222" s="44">
        <v>1</v>
      </c>
      <c r="E222" s="43">
        <v>4.0617384240454913E-4</v>
      </c>
    </row>
    <row r="223" spans="2:5" ht="15" customHeight="1" x14ac:dyDescent="0.25">
      <c r="B223" s="84"/>
      <c r="C223" s="45" t="s">
        <v>50</v>
      </c>
      <c r="D223" s="44">
        <v>6</v>
      </c>
      <c r="E223" s="43">
        <v>2.437043054427295E-3</v>
      </c>
    </row>
    <row r="224" spans="2:5" ht="15" customHeight="1" x14ac:dyDescent="0.25">
      <c r="B224" s="84"/>
      <c r="C224" s="45" t="s">
        <v>51</v>
      </c>
      <c r="D224" s="44">
        <v>1</v>
      </c>
      <c r="E224" s="43">
        <v>4.0617384240454913E-4</v>
      </c>
    </row>
    <row r="225" spans="2:5" ht="15" customHeight="1" x14ac:dyDescent="0.25">
      <c r="B225" s="84"/>
      <c r="C225" s="45" t="s">
        <v>48</v>
      </c>
      <c r="D225" s="44">
        <v>7</v>
      </c>
      <c r="E225" s="43">
        <v>2.843216896831844E-3</v>
      </c>
    </row>
    <row r="226" spans="2:5" ht="15" customHeight="1" x14ac:dyDescent="0.25">
      <c r="B226" s="84"/>
      <c r="C226" s="45" t="s">
        <v>55</v>
      </c>
      <c r="D226" s="44">
        <v>17</v>
      </c>
      <c r="E226" s="43">
        <v>6.9049553208773351E-3</v>
      </c>
    </row>
    <row r="227" spans="2:5" ht="15" customHeight="1" x14ac:dyDescent="0.25">
      <c r="B227" s="84"/>
      <c r="C227" s="45" t="s">
        <v>47</v>
      </c>
      <c r="D227" s="44">
        <v>4</v>
      </c>
      <c r="E227" s="43">
        <v>1.6246953696181965E-3</v>
      </c>
    </row>
    <row r="228" spans="2:5" ht="15" customHeight="1" x14ac:dyDescent="0.25">
      <c r="B228" s="84"/>
      <c r="C228" s="45" t="s">
        <v>38</v>
      </c>
      <c r="D228" s="44">
        <v>1</v>
      </c>
      <c r="E228" s="43">
        <v>4.0617384240454913E-4</v>
      </c>
    </row>
    <row r="229" spans="2:5" ht="15" customHeight="1" x14ac:dyDescent="0.25">
      <c r="B229" s="84"/>
      <c r="C229" s="45" t="s">
        <v>40</v>
      </c>
      <c r="D229" s="44">
        <v>1</v>
      </c>
      <c r="E229" s="43">
        <v>4.0617384240454913E-4</v>
      </c>
    </row>
    <row r="230" spans="2:5" ht="15" customHeight="1" x14ac:dyDescent="0.25">
      <c r="B230" s="84"/>
      <c r="C230" s="45" t="s">
        <v>23</v>
      </c>
      <c r="D230" s="44">
        <v>1</v>
      </c>
      <c r="E230" s="43">
        <v>4.0617384240454913E-4</v>
      </c>
    </row>
    <row r="231" spans="2:5" ht="15" customHeight="1" x14ac:dyDescent="0.25">
      <c r="B231" s="84"/>
      <c r="C231" s="45" t="s">
        <v>35</v>
      </c>
      <c r="D231" s="44">
        <v>3</v>
      </c>
      <c r="E231" s="43">
        <v>1.2185215272136475E-3</v>
      </c>
    </row>
    <row r="232" spans="2:5" ht="15" customHeight="1" x14ac:dyDescent="0.25">
      <c r="B232" s="84"/>
      <c r="C232" s="45" t="s">
        <v>39</v>
      </c>
      <c r="D232" s="44">
        <v>1</v>
      </c>
      <c r="E232" s="43">
        <v>4.0617384240454913E-4</v>
      </c>
    </row>
    <row r="233" spans="2:5" ht="15" customHeight="1" x14ac:dyDescent="0.25">
      <c r="B233" s="84"/>
      <c r="C233" s="45" t="s">
        <v>37</v>
      </c>
      <c r="D233" s="44">
        <v>4</v>
      </c>
      <c r="E233" s="43">
        <v>1.6246953696181965E-3</v>
      </c>
    </row>
    <row r="234" spans="2:5" ht="15" customHeight="1" x14ac:dyDescent="0.25">
      <c r="B234" s="84"/>
      <c r="C234" s="45" t="s">
        <v>57</v>
      </c>
      <c r="D234" s="44">
        <v>28</v>
      </c>
      <c r="E234" s="43">
        <v>1.1372867587327376E-2</v>
      </c>
    </row>
    <row r="235" spans="2:5" ht="15" customHeight="1" x14ac:dyDescent="0.25">
      <c r="B235" s="84"/>
      <c r="C235" s="45" t="s">
        <v>26</v>
      </c>
      <c r="D235" s="44">
        <v>1</v>
      </c>
      <c r="E235" s="43">
        <v>4.0617384240454913E-4</v>
      </c>
    </row>
    <row r="236" spans="2:5" ht="15" customHeight="1" x14ac:dyDescent="0.25">
      <c r="B236" s="84"/>
      <c r="C236" s="45" t="s">
        <v>36</v>
      </c>
      <c r="D236" s="44">
        <v>2</v>
      </c>
      <c r="E236" s="43">
        <v>8.1234768480909826E-4</v>
      </c>
    </row>
    <row r="237" spans="2:5" ht="15" customHeight="1" x14ac:dyDescent="0.25">
      <c r="B237" s="84"/>
      <c r="C237" s="45" t="s">
        <v>29</v>
      </c>
      <c r="D237" s="44">
        <v>2</v>
      </c>
      <c r="E237" s="43">
        <v>8.1234768480909826E-4</v>
      </c>
    </row>
    <row r="238" spans="2:5" ht="15" customHeight="1" x14ac:dyDescent="0.25">
      <c r="B238" s="84"/>
      <c r="C238" s="45" t="s">
        <v>46</v>
      </c>
      <c r="D238" s="44">
        <v>4</v>
      </c>
      <c r="E238" s="43">
        <v>1.6246953696181965E-3</v>
      </c>
    </row>
    <row r="239" spans="2:5" ht="15" customHeight="1" x14ac:dyDescent="0.25">
      <c r="B239" s="84"/>
      <c r="C239" s="45" t="s">
        <v>32</v>
      </c>
      <c r="D239" s="44">
        <v>1</v>
      </c>
      <c r="E239" s="43">
        <v>4.0617384240454913E-4</v>
      </c>
    </row>
    <row r="240" spans="2:5" ht="15" customHeight="1" x14ac:dyDescent="0.25">
      <c r="B240" s="84"/>
      <c r="C240" s="45" t="s">
        <v>43</v>
      </c>
      <c r="D240" s="44">
        <v>2</v>
      </c>
      <c r="E240" s="43">
        <v>8.1234768480909826E-4</v>
      </c>
    </row>
    <row r="241" spans="2:5" ht="15" customHeight="1" x14ac:dyDescent="0.25">
      <c r="B241" s="84"/>
      <c r="C241" s="45" t="s">
        <v>54</v>
      </c>
      <c r="D241" s="44">
        <v>6</v>
      </c>
      <c r="E241" s="43">
        <v>2.437043054427295E-3</v>
      </c>
    </row>
    <row r="242" spans="2:5" ht="15" customHeight="1" x14ac:dyDescent="0.25">
      <c r="B242" s="84"/>
      <c r="C242" s="45" t="s">
        <v>31</v>
      </c>
      <c r="D242" s="44">
        <v>2</v>
      </c>
      <c r="E242" s="43">
        <v>8.1234768480909826E-4</v>
      </c>
    </row>
    <row r="243" spans="2:5" ht="15" customHeight="1" x14ac:dyDescent="0.25">
      <c r="B243" s="84"/>
      <c r="C243" s="45" t="s">
        <v>45</v>
      </c>
      <c r="D243" s="44">
        <v>3</v>
      </c>
      <c r="E243" s="43">
        <v>1.2185215272136475E-3</v>
      </c>
    </row>
    <row r="244" spans="2:5" ht="15" customHeight="1" x14ac:dyDescent="0.25">
      <c r="B244" s="84"/>
      <c r="C244" s="45" t="s">
        <v>58</v>
      </c>
      <c r="D244" s="44">
        <v>42</v>
      </c>
      <c r="E244" s="43">
        <v>1.7059301380991064E-2</v>
      </c>
    </row>
    <row r="245" spans="2:5" ht="15" customHeight="1" x14ac:dyDescent="0.25">
      <c r="B245" s="84"/>
      <c r="C245" s="45" t="s">
        <v>53</v>
      </c>
      <c r="D245" s="44">
        <v>6</v>
      </c>
      <c r="E245" s="43">
        <v>2.437043054427295E-3</v>
      </c>
    </row>
    <row r="246" spans="2:5" ht="15" customHeight="1" x14ac:dyDescent="0.25">
      <c r="B246" s="84"/>
      <c r="C246" s="45" t="s">
        <v>56</v>
      </c>
      <c r="D246" s="44">
        <v>5</v>
      </c>
      <c r="E246" s="43">
        <v>2.0308692120227455E-3</v>
      </c>
    </row>
    <row r="247" spans="2:5" ht="15" customHeight="1" x14ac:dyDescent="0.25">
      <c r="B247" s="84"/>
      <c r="C247" s="45" t="s">
        <v>34</v>
      </c>
      <c r="D247" s="44">
        <v>1</v>
      </c>
      <c r="E247" s="43">
        <v>4.0617384240454913E-4</v>
      </c>
    </row>
    <row r="248" spans="2:5" ht="15" customHeight="1" x14ac:dyDescent="0.25">
      <c r="B248" s="84"/>
      <c r="C248" s="45" t="s">
        <v>24</v>
      </c>
      <c r="D248" s="44">
        <v>1</v>
      </c>
      <c r="E248" s="43">
        <v>4.0617384240454913E-4</v>
      </c>
    </row>
    <row r="249" spans="2:5" ht="15" customHeight="1" x14ac:dyDescent="0.25">
      <c r="B249" s="83"/>
      <c r="C249" s="42" t="s">
        <v>20</v>
      </c>
      <c r="D249" s="41">
        <v>458</v>
      </c>
      <c r="E249" s="40">
        <v>0.18602761982128352</v>
      </c>
    </row>
    <row r="250" spans="2:5" ht="15" customHeight="1" x14ac:dyDescent="0.25">
      <c r="B250" s="82" t="s">
        <v>130</v>
      </c>
      <c r="C250" s="45" t="s">
        <v>52</v>
      </c>
      <c r="D250" s="44">
        <v>1</v>
      </c>
      <c r="E250" s="43">
        <v>4.0617384240454913E-4</v>
      </c>
    </row>
    <row r="251" spans="2:5" ht="15" customHeight="1" x14ac:dyDescent="0.25">
      <c r="B251" s="84"/>
      <c r="C251" s="45" t="s">
        <v>59</v>
      </c>
      <c r="D251" s="44">
        <v>2</v>
      </c>
      <c r="E251" s="43">
        <v>8.1234768480909826E-4</v>
      </c>
    </row>
    <row r="252" spans="2:5" ht="15" customHeight="1" x14ac:dyDescent="0.25">
      <c r="B252" s="84"/>
      <c r="C252" s="45" t="s">
        <v>58</v>
      </c>
      <c r="D252" s="44">
        <v>1</v>
      </c>
      <c r="E252" s="43">
        <v>4.0617384240454913E-4</v>
      </c>
    </row>
    <row r="253" spans="2:5" ht="15" customHeight="1" x14ac:dyDescent="0.25">
      <c r="B253" s="84"/>
      <c r="C253" s="45" t="s">
        <v>21</v>
      </c>
      <c r="D253" s="44">
        <v>1</v>
      </c>
      <c r="E253" s="43">
        <v>4.0617384240454913E-4</v>
      </c>
    </row>
    <row r="254" spans="2:5" ht="15" customHeight="1" x14ac:dyDescent="0.25">
      <c r="B254" s="84"/>
      <c r="C254" s="45" t="s">
        <v>56</v>
      </c>
      <c r="D254" s="44">
        <v>1</v>
      </c>
      <c r="E254" s="43">
        <v>4.0617384240454913E-4</v>
      </c>
    </row>
    <row r="255" spans="2:5" ht="15" customHeight="1" x14ac:dyDescent="0.25">
      <c r="B255" s="84"/>
      <c r="C255" s="45" t="s">
        <v>34</v>
      </c>
      <c r="D255" s="44">
        <v>1</v>
      </c>
      <c r="E255" s="43">
        <v>4.0617384240454913E-4</v>
      </c>
    </row>
    <row r="256" spans="2:5" ht="15" customHeight="1" x14ac:dyDescent="0.25">
      <c r="B256" s="83"/>
      <c r="C256" s="42" t="s">
        <v>20</v>
      </c>
      <c r="D256" s="41">
        <v>7</v>
      </c>
      <c r="E256" s="40">
        <v>2.843216896831844E-3</v>
      </c>
    </row>
    <row r="257" spans="2:5" ht="15" customHeight="1" x14ac:dyDescent="0.25">
      <c r="B257" s="82" t="s">
        <v>129</v>
      </c>
      <c r="C257" s="45" t="s">
        <v>59</v>
      </c>
      <c r="D257" s="44">
        <v>4</v>
      </c>
      <c r="E257" s="43">
        <v>1.6246953696181965E-3</v>
      </c>
    </row>
    <row r="258" spans="2:5" ht="15" customHeight="1" x14ac:dyDescent="0.25">
      <c r="B258" s="84"/>
      <c r="C258" s="45" t="s">
        <v>54</v>
      </c>
      <c r="D258" s="44">
        <v>2</v>
      </c>
      <c r="E258" s="43">
        <v>8.1234768480909826E-4</v>
      </c>
    </row>
    <row r="259" spans="2:5" ht="15" customHeight="1" x14ac:dyDescent="0.25">
      <c r="B259" s="84"/>
      <c r="C259" s="45" t="s">
        <v>58</v>
      </c>
      <c r="D259" s="44">
        <v>1</v>
      </c>
      <c r="E259" s="43">
        <v>4.0617384240454913E-4</v>
      </c>
    </row>
    <row r="260" spans="2:5" ht="15" customHeight="1" x14ac:dyDescent="0.25">
      <c r="B260" s="84"/>
      <c r="C260" s="45" t="s">
        <v>24</v>
      </c>
      <c r="D260" s="44">
        <v>1</v>
      </c>
      <c r="E260" s="43">
        <v>4.0617384240454913E-4</v>
      </c>
    </row>
    <row r="261" spans="2:5" ht="15" customHeight="1" x14ac:dyDescent="0.25">
      <c r="B261" s="83"/>
      <c r="C261" s="42" t="s">
        <v>20</v>
      </c>
      <c r="D261" s="41">
        <v>8</v>
      </c>
      <c r="E261" s="40">
        <v>3.249390739236393E-3</v>
      </c>
    </row>
    <row r="262" spans="2:5" ht="15" customHeight="1" x14ac:dyDescent="0.25">
      <c r="B262" s="82" t="s">
        <v>128</v>
      </c>
      <c r="C262" s="45" t="s">
        <v>59</v>
      </c>
      <c r="D262" s="44">
        <v>2</v>
      </c>
      <c r="E262" s="43">
        <v>8.1234768480909826E-4</v>
      </c>
    </row>
    <row r="263" spans="2:5" ht="15" customHeight="1" x14ac:dyDescent="0.25">
      <c r="B263" s="84"/>
      <c r="C263" s="45" t="s">
        <v>58</v>
      </c>
      <c r="D263" s="44">
        <v>1</v>
      </c>
      <c r="E263" s="43">
        <v>4.0617384240454913E-4</v>
      </c>
    </row>
    <row r="264" spans="2:5" ht="15" customHeight="1" x14ac:dyDescent="0.25">
      <c r="B264" s="83"/>
      <c r="C264" s="42" t="s">
        <v>20</v>
      </c>
      <c r="D264" s="41">
        <v>3</v>
      </c>
      <c r="E264" s="40">
        <v>1.2185215272136475E-3</v>
      </c>
    </row>
    <row r="265" spans="2:5" ht="15" customHeight="1" x14ac:dyDescent="0.25">
      <c r="B265" s="82" t="s">
        <v>127</v>
      </c>
      <c r="C265" s="45" t="s">
        <v>52</v>
      </c>
      <c r="D265" s="44">
        <v>1</v>
      </c>
      <c r="E265" s="43">
        <v>4.0617384240454913E-4</v>
      </c>
    </row>
    <row r="266" spans="2:5" ht="15" customHeight="1" x14ac:dyDescent="0.25">
      <c r="B266" s="84"/>
      <c r="C266" s="45" t="s">
        <v>59</v>
      </c>
      <c r="D266" s="44">
        <v>2</v>
      </c>
      <c r="E266" s="43">
        <v>8.1234768480909826E-4</v>
      </c>
    </row>
    <row r="267" spans="2:5" ht="15" customHeight="1" x14ac:dyDescent="0.25">
      <c r="B267" s="83"/>
      <c r="C267" s="42" t="s">
        <v>20</v>
      </c>
      <c r="D267" s="41">
        <v>3</v>
      </c>
      <c r="E267" s="40">
        <v>1.2185215272136475E-3</v>
      </c>
    </row>
    <row r="268" spans="2:5" ht="15" customHeight="1" x14ac:dyDescent="0.25">
      <c r="B268" s="82" t="s">
        <v>126</v>
      </c>
      <c r="C268" s="45" t="s">
        <v>59</v>
      </c>
      <c r="D268" s="44">
        <v>28</v>
      </c>
      <c r="E268" s="43">
        <v>1.1372867587327376E-2</v>
      </c>
    </row>
    <row r="269" spans="2:5" ht="15" customHeight="1" x14ac:dyDescent="0.25">
      <c r="B269" s="84"/>
      <c r="C269" s="45" t="s">
        <v>49</v>
      </c>
      <c r="D269" s="44">
        <v>1</v>
      </c>
      <c r="E269" s="43">
        <v>4.0617384240454913E-4</v>
      </c>
    </row>
    <row r="270" spans="2:5" ht="15" customHeight="1" x14ac:dyDescent="0.25">
      <c r="B270" s="84"/>
      <c r="C270" s="45" t="s">
        <v>55</v>
      </c>
      <c r="D270" s="44">
        <v>2</v>
      </c>
      <c r="E270" s="43">
        <v>8.1234768480909826E-4</v>
      </c>
    </row>
    <row r="271" spans="2:5" ht="15" customHeight="1" x14ac:dyDescent="0.25">
      <c r="B271" s="84"/>
      <c r="C271" s="45" t="s">
        <v>57</v>
      </c>
      <c r="D271" s="44">
        <v>1</v>
      </c>
      <c r="E271" s="43">
        <v>4.0617384240454913E-4</v>
      </c>
    </row>
    <row r="272" spans="2:5" ht="15" customHeight="1" x14ac:dyDescent="0.25">
      <c r="B272" s="84"/>
      <c r="C272" s="45" t="s">
        <v>46</v>
      </c>
      <c r="D272" s="44">
        <v>1</v>
      </c>
      <c r="E272" s="43">
        <v>4.0617384240454913E-4</v>
      </c>
    </row>
    <row r="273" spans="2:5" ht="15" customHeight="1" x14ac:dyDescent="0.25">
      <c r="B273" s="84"/>
      <c r="C273" s="45" t="s">
        <v>54</v>
      </c>
      <c r="D273" s="44">
        <v>1</v>
      </c>
      <c r="E273" s="43">
        <v>4.0617384240454913E-4</v>
      </c>
    </row>
    <row r="274" spans="2:5" ht="15" customHeight="1" x14ac:dyDescent="0.25">
      <c r="B274" s="84"/>
      <c r="C274" s="45" t="s">
        <v>58</v>
      </c>
      <c r="D274" s="44">
        <v>1</v>
      </c>
      <c r="E274" s="43">
        <v>4.0617384240454913E-4</v>
      </c>
    </row>
    <row r="275" spans="2:5" ht="15" customHeight="1" x14ac:dyDescent="0.25">
      <c r="B275" s="84"/>
      <c r="C275" s="45" t="s">
        <v>53</v>
      </c>
      <c r="D275" s="44">
        <v>3</v>
      </c>
      <c r="E275" s="43">
        <v>1.2185215272136475E-3</v>
      </c>
    </row>
    <row r="276" spans="2:5" ht="15" customHeight="1" x14ac:dyDescent="0.25">
      <c r="B276" s="84"/>
      <c r="C276" s="45" t="s">
        <v>56</v>
      </c>
      <c r="D276" s="44">
        <v>1</v>
      </c>
      <c r="E276" s="43">
        <v>4.0617384240454913E-4</v>
      </c>
    </row>
    <row r="277" spans="2:5" ht="15" customHeight="1" x14ac:dyDescent="0.25">
      <c r="B277" s="83"/>
      <c r="C277" s="42" t="s">
        <v>20</v>
      </c>
      <c r="D277" s="41">
        <v>39</v>
      </c>
      <c r="E277" s="40">
        <v>1.5840779853777416E-2</v>
      </c>
    </row>
    <row r="278" spans="2:5" ht="15" customHeight="1" x14ac:dyDescent="0.25">
      <c r="B278" s="82" t="s">
        <v>125</v>
      </c>
      <c r="C278" s="45" t="s">
        <v>52</v>
      </c>
      <c r="D278" s="44">
        <v>1</v>
      </c>
      <c r="E278" s="43">
        <v>4.0617384240454913E-4</v>
      </c>
    </row>
    <row r="279" spans="2:5" ht="15" customHeight="1" x14ac:dyDescent="0.25">
      <c r="B279" s="84"/>
      <c r="C279" s="45" t="s">
        <v>59</v>
      </c>
      <c r="D279" s="44">
        <v>57</v>
      </c>
      <c r="E279" s="43">
        <v>2.31519090170593E-2</v>
      </c>
    </row>
    <row r="280" spans="2:5" ht="15" customHeight="1" x14ac:dyDescent="0.25">
      <c r="B280" s="84"/>
      <c r="C280" s="45" t="s">
        <v>50</v>
      </c>
      <c r="D280" s="44">
        <v>1</v>
      </c>
      <c r="E280" s="43">
        <v>4.0617384240454913E-4</v>
      </c>
    </row>
    <row r="281" spans="2:5" ht="15" customHeight="1" x14ac:dyDescent="0.25">
      <c r="B281" s="84"/>
      <c r="C281" s="45" t="s">
        <v>51</v>
      </c>
      <c r="D281" s="44">
        <v>1</v>
      </c>
      <c r="E281" s="43">
        <v>4.0617384240454913E-4</v>
      </c>
    </row>
    <row r="282" spans="2:5" ht="15" customHeight="1" x14ac:dyDescent="0.25">
      <c r="B282" s="84"/>
      <c r="C282" s="45" t="s">
        <v>48</v>
      </c>
      <c r="D282" s="44">
        <v>1</v>
      </c>
      <c r="E282" s="43">
        <v>4.0617384240454913E-4</v>
      </c>
    </row>
    <row r="283" spans="2:5" ht="15" customHeight="1" x14ac:dyDescent="0.25">
      <c r="B283" s="84"/>
      <c r="C283" s="45" t="s">
        <v>55</v>
      </c>
      <c r="D283" s="44">
        <v>2</v>
      </c>
      <c r="E283" s="43">
        <v>8.1234768480909826E-4</v>
      </c>
    </row>
    <row r="284" spans="2:5" ht="15" customHeight="1" x14ac:dyDescent="0.25">
      <c r="B284" s="84"/>
      <c r="C284" s="45" t="s">
        <v>47</v>
      </c>
      <c r="D284" s="44">
        <v>1</v>
      </c>
      <c r="E284" s="43">
        <v>4.0617384240454913E-4</v>
      </c>
    </row>
    <row r="285" spans="2:5" ht="15" customHeight="1" x14ac:dyDescent="0.25">
      <c r="B285" s="84"/>
      <c r="C285" s="45" t="s">
        <v>38</v>
      </c>
      <c r="D285" s="44">
        <v>2</v>
      </c>
      <c r="E285" s="43">
        <v>8.1234768480909826E-4</v>
      </c>
    </row>
    <row r="286" spans="2:5" ht="15" customHeight="1" x14ac:dyDescent="0.25">
      <c r="B286" s="84"/>
      <c r="C286" s="45" t="s">
        <v>39</v>
      </c>
      <c r="D286" s="44">
        <v>3</v>
      </c>
      <c r="E286" s="43">
        <v>1.2185215272136475E-3</v>
      </c>
    </row>
    <row r="287" spans="2:5" ht="15" customHeight="1" x14ac:dyDescent="0.25">
      <c r="B287" s="84"/>
      <c r="C287" s="45" t="s">
        <v>37</v>
      </c>
      <c r="D287" s="44">
        <v>1</v>
      </c>
      <c r="E287" s="43">
        <v>4.0617384240454913E-4</v>
      </c>
    </row>
    <row r="288" spans="2:5" ht="15" customHeight="1" x14ac:dyDescent="0.25">
      <c r="B288" s="84"/>
      <c r="C288" s="45" t="s">
        <v>57</v>
      </c>
      <c r="D288" s="44">
        <v>5</v>
      </c>
      <c r="E288" s="43">
        <v>2.0308692120227455E-3</v>
      </c>
    </row>
    <row r="289" spans="2:5" ht="15" customHeight="1" x14ac:dyDescent="0.25">
      <c r="B289" s="84"/>
      <c r="C289" s="45" t="s">
        <v>26</v>
      </c>
      <c r="D289" s="44">
        <v>1</v>
      </c>
      <c r="E289" s="43">
        <v>4.0617384240454913E-4</v>
      </c>
    </row>
    <row r="290" spans="2:5" ht="15" customHeight="1" x14ac:dyDescent="0.25">
      <c r="B290" s="84"/>
      <c r="C290" s="45" t="s">
        <v>25</v>
      </c>
      <c r="D290" s="44">
        <v>1</v>
      </c>
      <c r="E290" s="43">
        <v>4.0617384240454913E-4</v>
      </c>
    </row>
    <row r="291" spans="2:5" ht="15" customHeight="1" x14ac:dyDescent="0.25">
      <c r="B291" s="84"/>
      <c r="C291" s="45" t="s">
        <v>36</v>
      </c>
      <c r="D291" s="44">
        <v>1</v>
      </c>
      <c r="E291" s="43">
        <v>4.0617384240454913E-4</v>
      </c>
    </row>
    <row r="292" spans="2:5" ht="15" customHeight="1" x14ac:dyDescent="0.25">
      <c r="B292" s="84"/>
      <c r="C292" s="45" t="s">
        <v>29</v>
      </c>
      <c r="D292" s="44">
        <v>1</v>
      </c>
      <c r="E292" s="43">
        <v>4.0617384240454913E-4</v>
      </c>
    </row>
    <row r="293" spans="2:5" ht="15" customHeight="1" x14ac:dyDescent="0.25">
      <c r="B293" s="84"/>
      <c r="C293" s="45" t="s">
        <v>58</v>
      </c>
      <c r="D293" s="44">
        <v>5</v>
      </c>
      <c r="E293" s="43">
        <v>2.0308692120227455E-3</v>
      </c>
    </row>
    <row r="294" spans="2:5" ht="15" customHeight="1" x14ac:dyDescent="0.25">
      <c r="B294" s="84"/>
      <c r="C294" s="45" t="s">
        <v>56</v>
      </c>
      <c r="D294" s="44">
        <v>2</v>
      </c>
      <c r="E294" s="43">
        <v>8.1234768480909826E-4</v>
      </c>
    </row>
    <row r="295" spans="2:5" ht="15" customHeight="1" x14ac:dyDescent="0.25">
      <c r="B295" s="84"/>
      <c r="C295" s="45" t="s">
        <v>34</v>
      </c>
      <c r="D295" s="44">
        <v>1</v>
      </c>
      <c r="E295" s="43">
        <v>4.0617384240454913E-4</v>
      </c>
    </row>
    <row r="296" spans="2:5" ht="15" customHeight="1" x14ac:dyDescent="0.25">
      <c r="B296" s="83"/>
      <c r="C296" s="42" t="s">
        <v>20</v>
      </c>
      <c r="D296" s="41">
        <v>87</v>
      </c>
      <c r="E296" s="40">
        <v>3.5337124289195776E-2</v>
      </c>
    </row>
    <row r="297" spans="2:5" ht="15" customHeight="1" x14ac:dyDescent="0.25">
      <c r="B297" s="82" t="s">
        <v>124</v>
      </c>
      <c r="C297" s="45" t="s">
        <v>59</v>
      </c>
      <c r="D297" s="44">
        <v>2</v>
      </c>
      <c r="E297" s="43">
        <v>8.1234768480909826E-4</v>
      </c>
    </row>
    <row r="298" spans="2:5" ht="15" customHeight="1" x14ac:dyDescent="0.25">
      <c r="B298" s="83"/>
      <c r="C298" s="42" t="s">
        <v>20</v>
      </c>
      <c r="D298" s="41">
        <v>2</v>
      </c>
      <c r="E298" s="40">
        <v>8.1234768480909826E-4</v>
      </c>
    </row>
    <row r="299" spans="2:5" ht="15" customHeight="1" x14ac:dyDescent="0.25">
      <c r="B299" s="82" t="s">
        <v>123</v>
      </c>
      <c r="C299" s="45" t="s">
        <v>51</v>
      </c>
      <c r="D299" s="44">
        <v>1</v>
      </c>
      <c r="E299" s="43">
        <v>4.0617384240454913E-4</v>
      </c>
    </row>
    <row r="300" spans="2:5" ht="15" customHeight="1" x14ac:dyDescent="0.25">
      <c r="B300" s="84"/>
      <c r="C300" s="45" t="s">
        <v>57</v>
      </c>
      <c r="D300" s="44">
        <v>1</v>
      </c>
      <c r="E300" s="43">
        <v>4.0617384240454913E-4</v>
      </c>
    </row>
    <row r="301" spans="2:5" ht="15" customHeight="1" x14ac:dyDescent="0.25">
      <c r="B301" s="84"/>
      <c r="C301" s="45" t="s">
        <v>58</v>
      </c>
      <c r="D301" s="44">
        <v>1</v>
      </c>
      <c r="E301" s="43">
        <v>4.0617384240454913E-4</v>
      </c>
    </row>
    <row r="302" spans="2:5" ht="15" customHeight="1" x14ac:dyDescent="0.25">
      <c r="B302" s="83"/>
      <c r="C302" s="42" t="s">
        <v>20</v>
      </c>
      <c r="D302" s="41">
        <v>3</v>
      </c>
      <c r="E302" s="40">
        <v>1.2185215272136475E-3</v>
      </c>
    </row>
    <row r="303" spans="2:5" ht="15" customHeight="1" x14ac:dyDescent="0.25">
      <c r="B303" s="80" t="s">
        <v>20</v>
      </c>
      <c r="C303" s="81"/>
      <c r="D303" s="39">
        <v>2462</v>
      </c>
      <c r="E303" s="38">
        <v>1</v>
      </c>
    </row>
    <row r="305" spans="2:2" ht="15" customHeight="1" x14ac:dyDescent="0.25">
      <c r="B305" s="19" t="s">
        <v>191</v>
      </c>
    </row>
    <row r="306" spans="2:2" ht="15" customHeight="1" x14ac:dyDescent="0.25">
      <c r="B306" s="21" t="s">
        <v>19</v>
      </c>
    </row>
    <row r="307" spans="2:2" ht="15" customHeight="1" x14ac:dyDescent="0.25">
      <c r="B307" s="20" t="s">
        <v>18</v>
      </c>
    </row>
    <row r="308" spans="2:2" ht="15" customHeight="1" x14ac:dyDescent="0.25">
      <c r="B308" s="19" t="s">
        <v>17</v>
      </c>
    </row>
    <row r="309" spans="2:2" ht="15" customHeight="1" x14ac:dyDescent="0.25">
      <c r="B309" s="19" t="s">
        <v>192</v>
      </c>
    </row>
  </sheetData>
  <mergeCells count="25">
    <mergeCell ref="B10:B17"/>
    <mergeCell ref="B18:B24"/>
    <mergeCell ref="B25:B31"/>
    <mergeCell ref="B32:B38"/>
    <mergeCell ref="B39:B50"/>
    <mergeCell ref="B7:E8"/>
    <mergeCell ref="B150:B185"/>
    <mergeCell ref="B186:B194"/>
    <mergeCell ref="B195:B217"/>
    <mergeCell ref="B218:B249"/>
    <mergeCell ref="B250:B256"/>
    <mergeCell ref="B257:B261"/>
    <mergeCell ref="B262:B264"/>
    <mergeCell ref="B265:B267"/>
    <mergeCell ref="B268:B277"/>
    <mergeCell ref="B278:B296"/>
    <mergeCell ref="B138:B149"/>
    <mergeCell ref="B51:B65"/>
    <mergeCell ref="B66:B86"/>
    <mergeCell ref="B87:B111"/>
    <mergeCell ref="B112:B120"/>
    <mergeCell ref="B121:B137"/>
    <mergeCell ref="B297:B298"/>
    <mergeCell ref="B299:B302"/>
    <mergeCell ref="B303:C303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64" orientation="portrait" r:id="rId1"/>
  <colBreaks count="1" manualBreakCount="1">
    <brk id="5" max="18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454"/>
  <sheetViews>
    <sheetView zoomScale="85" zoomScaleNormal="85" zoomScaleSheetLayoutView="85" workbookViewId="0"/>
  </sheetViews>
  <sheetFormatPr baseColWidth="10" defaultColWidth="35" defaultRowHeight="15" customHeight="1" x14ac:dyDescent="0.25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3" customFormat="1" ht="12" customHeight="1" x14ac:dyDescent="0.2">
      <c r="B1" s="57"/>
      <c r="C1" s="56"/>
      <c r="D1" s="56"/>
      <c r="E1" s="56"/>
    </row>
    <row r="2" spans="1:5" s="53" customFormat="1" ht="15" customHeight="1" x14ac:dyDescent="0.2">
      <c r="C2" s="55"/>
    </row>
    <row r="3" spans="1:5" s="53" customFormat="1" ht="15" customHeight="1" x14ac:dyDescent="0.2">
      <c r="C3" s="55"/>
    </row>
    <row r="4" spans="1:5" s="53" customFormat="1" ht="30" customHeight="1" x14ac:dyDescent="0.2">
      <c r="C4" s="55"/>
      <c r="D4" s="54"/>
    </row>
    <row r="5" spans="1:5" s="53" customFormat="1" ht="15" customHeight="1" x14ac:dyDescent="0.2">
      <c r="C5" s="55"/>
      <c r="D5" s="54"/>
    </row>
    <row r="6" spans="1:5" s="50" customFormat="1" ht="24" customHeight="1" x14ac:dyDescent="0.2">
      <c r="B6" s="52"/>
      <c r="C6" s="46"/>
      <c r="D6" s="46"/>
      <c r="E6" s="46"/>
    </row>
    <row r="7" spans="1:5" s="50" customFormat="1" ht="26.25" customHeight="1" x14ac:dyDescent="0.3">
      <c r="A7" s="51"/>
      <c r="B7" s="85"/>
      <c r="C7" s="85"/>
      <c r="D7" s="85"/>
      <c r="E7" s="85"/>
    </row>
    <row r="8" spans="1:5" s="50" customFormat="1" ht="33" customHeight="1" x14ac:dyDescent="0.3">
      <c r="A8" s="51"/>
      <c r="B8" s="85"/>
      <c r="C8" s="85"/>
      <c r="D8" s="85"/>
      <c r="E8" s="85"/>
    </row>
    <row r="9" spans="1:5" s="29" customFormat="1" ht="40.5" customHeight="1" x14ac:dyDescent="0.2">
      <c r="B9" s="47" t="s">
        <v>109</v>
      </c>
      <c r="C9" s="49" t="s">
        <v>147</v>
      </c>
      <c r="D9" s="48" t="s">
        <v>61</v>
      </c>
      <c r="E9" s="47" t="s">
        <v>60</v>
      </c>
    </row>
    <row r="10" spans="1:5" ht="15" customHeight="1" x14ac:dyDescent="0.25">
      <c r="B10" s="82" t="s">
        <v>72</v>
      </c>
      <c r="C10" s="45" t="s">
        <v>138</v>
      </c>
      <c r="D10" s="44">
        <v>1</v>
      </c>
      <c r="E10" s="43">
        <v>4.0683482506102521E-4</v>
      </c>
    </row>
    <row r="11" spans="1:5" ht="15" customHeight="1" x14ac:dyDescent="0.25">
      <c r="B11" s="84"/>
      <c r="C11" s="45" t="s">
        <v>134</v>
      </c>
      <c r="D11" s="44">
        <v>1</v>
      </c>
      <c r="E11" s="43">
        <v>4.0683482506102521E-4</v>
      </c>
    </row>
    <row r="12" spans="1:5" ht="15" customHeight="1" x14ac:dyDescent="0.25">
      <c r="B12" s="84"/>
      <c r="C12" s="45" t="s">
        <v>131</v>
      </c>
      <c r="D12" s="44">
        <v>1</v>
      </c>
      <c r="E12" s="43">
        <v>4.0683482506102521E-4</v>
      </c>
    </row>
    <row r="13" spans="1:5" ht="15" customHeight="1" x14ac:dyDescent="0.25">
      <c r="B13" s="84"/>
      <c r="C13" s="45" t="s">
        <v>125</v>
      </c>
      <c r="D13" s="44">
        <v>1</v>
      </c>
      <c r="E13" s="43">
        <v>4.0683482506102521E-4</v>
      </c>
    </row>
    <row r="14" spans="1:5" ht="15" customHeight="1" x14ac:dyDescent="0.25">
      <c r="B14" s="83"/>
      <c r="C14" s="42" t="s">
        <v>20</v>
      </c>
      <c r="D14" s="41">
        <v>4</v>
      </c>
      <c r="E14" s="40">
        <v>1.6273393002441008E-3</v>
      </c>
    </row>
    <row r="15" spans="1:5" ht="15" customHeight="1" x14ac:dyDescent="0.25">
      <c r="B15" s="82" t="s">
        <v>104</v>
      </c>
      <c r="C15" s="45" t="s">
        <v>140</v>
      </c>
      <c r="D15" s="44">
        <v>1</v>
      </c>
      <c r="E15" s="43">
        <v>4.0683482506102521E-4</v>
      </c>
    </row>
    <row r="16" spans="1:5" ht="15" customHeight="1" x14ac:dyDescent="0.25">
      <c r="B16" s="84"/>
      <c r="C16" s="45" t="s">
        <v>138</v>
      </c>
      <c r="D16" s="44">
        <v>4</v>
      </c>
      <c r="E16" s="43">
        <v>1.6273393002441008E-3</v>
      </c>
    </row>
    <row r="17" spans="2:5" ht="15" customHeight="1" x14ac:dyDescent="0.25">
      <c r="B17" s="84"/>
      <c r="C17" s="45" t="s">
        <v>134</v>
      </c>
      <c r="D17" s="44">
        <v>10</v>
      </c>
      <c r="E17" s="43">
        <v>4.0683482506102524E-3</v>
      </c>
    </row>
    <row r="18" spans="2:5" ht="15" customHeight="1" x14ac:dyDescent="0.25">
      <c r="B18" s="84"/>
      <c r="C18" s="45" t="s">
        <v>132</v>
      </c>
      <c r="D18" s="44">
        <v>4</v>
      </c>
      <c r="E18" s="43">
        <v>1.6273393002441008E-3</v>
      </c>
    </row>
    <row r="19" spans="2:5" ht="15" customHeight="1" x14ac:dyDescent="0.25">
      <c r="B19" s="84"/>
      <c r="C19" s="45" t="s">
        <v>131</v>
      </c>
      <c r="D19" s="44">
        <v>2</v>
      </c>
      <c r="E19" s="43">
        <v>8.1366965012205042E-4</v>
      </c>
    </row>
    <row r="20" spans="2:5" ht="15" customHeight="1" x14ac:dyDescent="0.25">
      <c r="B20" s="84"/>
      <c r="C20" s="45" t="s">
        <v>125</v>
      </c>
      <c r="D20" s="44">
        <v>1</v>
      </c>
      <c r="E20" s="43">
        <v>4.0683482506102521E-4</v>
      </c>
    </row>
    <row r="21" spans="2:5" ht="15" customHeight="1" x14ac:dyDescent="0.25">
      <c r="B21" s="84"/>
      <c r="C21" s="45" t="s">
        <v>123</v>
      </c>
      <c r="D21" s="44">
        <v>1</v>
      </c>
      <c r="E21" s="43">
        <v>4.0683482506102521E-4</v>
      </c>
    </row>
    <row r="22" spans="2:5" ht="15" customHeight="1" x14ac:dyDescent="0.25">
      <c r="B22" s="83"/>
      <c r="C22" s="42" t="s">
        <v>20</v>
      </c>
      <c r="D22" s="41">
        <v>23</v>
      </c>
      <c r="E22" s="40">
        <v>9.3572009764035808E-3</v>
      </c>
    </row>
    <row r="23" spans="2:5" ht="15" customHeight="1" x14ac:dyDescent="0.25">
      <c r="B23" s="82" t="s">
        <v>94</v>
      </c>
      <c r="C23" s="45" t="s">
        <v>141</v>
      </c>
      <c r="D23" s="44">
        <v>1</v>
      </c>
      <c r="E23" s="43">
        <v>4.0683482506102521E-4</v>
      </c>
    </row>
    <row r="24" spans="2:5" ht="15" customHeight="1" x14ac:dyDescent="0.25">
      <c r="B24" s="84"/>
      <c r="C24" s="45" t="s">
        <v>138</v>
      </c>
      <c r="D24" s="44">
        <v>1</v>
      </c>
      <c r="E24" s="43">
        <v>4.0683482506102521E-4</v>
      </c>
    </row>
    <row r="25" spans="2:5" ht="15" customHeight="1" x14ac:dyDescent="0.25">
      <c r="B25" s="84"/>
      <c r="C25" s="45" t="s">
        <v>134</v>
      </c>
      <c r="D25" s="44">
        <v>6</v>
      </c>
      <c r="E25" s="43">
        <v>2.4410089503661514E-3</v>
      </c>
    </row>
    <row r="26" spans="2:5" ht="15" customHeight="1" x14ac:dyDescent="0.25">
      <c r="B26" s="84"/>
      <c r="C26" s="45" t="s">
        <v>132</v>
      </c>
      <c r="D26" s="44">
        <v>2</v>
      </c>
      <c r="E26" s="43">
        <v>8.1366965012205042E-4</v>
      </c>
    </row>
    <row r="27" spans="2:5" ht="15" customHeight="1" x14ac:dyDescent="0.25">
      <c r="B27" s="84"/>
      <c r="C27" s="45" t="s">
        <v>123</v>
      </c>
      <c r="D27" s="44">
        <v>1</v>
      </c>
      <c r="E27" s="43">
        <v>4.0683482506102521E-4</v>
      </c>
    </row>
    <row r="28" spans="2:5" ht="15" customHeight="1" x14ac:dyDescent="0.25">
      <c r="B28" s="83"/>
      <c r="C28" s="42" t="s">
        <v>20</v>
      </c>
      <c r="D28" s="41">
        <v>11</v>
      </c>
      <c r="E28" s="40">
        <v>4.4751830756712772E-3</v>
      </c>
    </row>
    <row r="29" spans="2:5" ht="15" customHeight="1" x14ac:dyDescent="0.25">
      <c r="B29" s="82" t="s">
        <v>70</v>
      </c>
      <c r="C29" s="45" t="s">
        <v>143</v>
      </c>
      <c r="D29" s="44">
        <v>1</v>
      </c>
      <c r="E29" s="43">
        <v>4.0683482506102521E-4</v>
      </c>
    </row>
    <row r="30" spans="2:5" ht="15" customHeight="1" x14ac:dyDescent="0.25">
      <c r="B30" s="84"/>
      <c r="C30" s="45" t="s">
        <v>141</v>
      </c>
      <c r="D30" s="44">
        <v>1</v>
      </c>
      <c r="E30" s="43">
        <v>4.0683482506102521E-4</v>
      </c>
    </row>
    <row r="31" spans="2:5" ht="15" customHeight="1" x14ac:dyDescent="0.25">
      <c r="B31" s="84"/>
      <c r="C31" s="45" t="s">
        <v>140</v>
      </c>
      <c r="D31" s="44">
        <v>1</v>
      </c>
      <c r="E31" s="43">
        <v>4.0683482506102521E-4</v>
      </c>
    </row>
    <row r="32" spans="2:5" ht="15" customHeight="1" x14ac:dyDescent="0.25">
      <c r="B32" s="84"/>
      <c r="C32" s="45" t="s">
        <v>139</v>
      </c>
      <c r="D32" s="44">
        <v>2</v>
      </c>
      <c r="E32" s="43">
        <v>8.1366965012205042E-4</v>
      </c>
    </row>
    <row r="33" spans="2:5" ht="15" customHeight="1" x14ac:dyDescent="0.25">
      <c r="B33" s="84"/>
      <c r="C33" s="45" t="s">
        <v>138</v>
      </c>
      <c r="D33" s="44">
        <v>10</v>
      </c>
      <c r="E33" s="43">
        <v>4.0683482506102524E-3</v>
      </c>
    </row>
    <row r="34" spans="2:5" ht="15" customHeight="1" x14ac:dyDescent="0.25">
      <c r="B34" s="84"/>
      <c r="C34" s="45" t="s">
        <v>137</v>
      </c>
      <c r="D34" s="44">
        <v>1</v>
      </c>
      <c r="E34" s="43">
        <v>4.0683482506102521E-4</v>
      </c>
    </row>
    <row r="35" spans="2:5" ht="15" customHeight="1" x14ac:dyDescent="0.25">
      <c r="B35" s="84"/>
      <c r="C35" s="45" t="s">
        <v>135</v>
      </c>
      <c r="D35" s="44">
        <v>2</v>
      </c>
      <c r="E35" s="43">
        <v>8.1366965012205042E-4</v>
      </c>
    </row>
    <row r="36" spans="2:5" ht="15" customHeight="1" x14ac:dyDescent="0.25">
      <c r="B36" s="84"/>
      <c r="C36" s="45" t="s">
        <v>134</v>
      </c>
      <c r="D36" s="44">
        <v>10</v>
      </c>
      <c r="E36" s="43">
        <v>4.0683482506102524E-3</v>
      </c>
    </row>
    <row r="37" spans="2:5" ht="15" customHeight="1" x14ac:dyDescent="0.25">
      <c r="B37" s="84"/>
      <c r="C37" s="45" t="s">
        <v>132</v>
      </c>
      <c r="D37" s="44">
        <v>2</v>
      </c>
      <c r="E37" s="43">
        <v>8.1366965012205042E-4</v>
      </c>
    </row>
    <row r="38" spans="2:5" ht="15" customHeight="1" x14ac:dyDescent="0.25">
      <c r="B38" s="84"/>
      <c r="C38" s="45" t="s">
        <v>131</v>
      </c>
      <c r="D38" s="44">
        <v>7</v>
      </c>
      <c r="E38" s="43">
        <v>2.8478437754271765E-3</v>
      </c>
    </row>
    <row r="39" spans="2:5" ht="15" customHeight="1" x14ac:dyDescent="0.25">
      <c r="B39" s="84"/>
      <c r="C39" s="45" t="s">
        <v>125</v>
      </c>
      <c r="D39" s="44">
        <v>1</v>
      </c>
      <c r="E39" s="43">
        <v>4.0683482506102521E-4</v>
      </c>
    </row>
    <row r="40" spans="2:5" ht="15" customHeight="1" x14ac:dyDescent="0.25">
      <c r="B40" s="83"/>
      <c r="C40" s="42" t="s">
        <v>20</v>
      </c>
      <c r="D40" s="41">
        <v>38</v>
      </c>
      <c r="E40" s="40">
        <v>1.5459723352318959E-2</v>
      </c>
    </row>
    <row r="41" spans="2:5" ht="15" customHeight="1" x14ac:dyDescent="0.25">
      <c r="B41" s="82" t="s">
        <v>67</v>
      </c>
      <c r="C41" s="45" t="s">
        <v>134</v>
      </c>
      <c r="D41" s="44">
        <v>3</v>
      </c>
      <c r="E41" s="43">
        <v>1.2205044751830757E-3</v>
      </c>
    </row>
    <row r="42" spans="2:5" ht="15" customHeight="1" x14ac:dyDescent="0.25">
      <c r="B42" s="84"/>
      <c r="C42" s="45" t="s">
        <v>131</v>
      </c>
      <c r="D42" s="44">
        <v>2</v>
      </c>
      <c r="E42" s="43">
        <v>8.1366965012205042E-4</v>
      </c>
    </row>
    <row r="43" spans="2:5" ht="15" customHeight="1" x14ac:dyDescent="0.25">
      <c r="B43" s="84"/>
      <c r="C43" s="45" t="s">
        <v>130</v>
      </c>
      <c r="D43" s="44">
        <v>1</v>
      </c>
      <c r="E43" s="43">
        <v>4.0683482506102521E-4</v>
      </c>
    </row>
    <row r="44" spans="2:5" ht="15" customHeight="1" x14ac:dyDescent="0.25">
      <c r="B44" s="84"/>
      <c r="C44" s="45" t="s">
        <v>125</v>
      </c>
      <c r="D44" s="44">
        <v>1</v>
      </c>
      <c r="E44" s="43">
        <v>4.0683482506102521E-4</v>
      </c>
    </row>
    <row r="45" spans="2:5" ht="15" customHeight="1" x14ac:dyDescent="0.25">
      <c r="B45" s="83"/>
      <c r="C45" s="42" t="s">
        <v>20</v>
      </c>
      <c r="D45" s="41">
        <v>7</v>
      </c>
      <c r="E45" s="40">
        <v>2.8478437754271765E-3</v>
      </c>
    </row>
    <row r="46" spans="2:5" ht="15" customHeight="1" x14ac:dyDescent="0.25">
      <c r="B46" s="82" t="s">
        <v>71</v>
      </c>
      <c r="C46" s="45" t="s">
        <v>135</v>
      </c>
      <c r="D46" s="44">
        <v>1</v>
      </c>
      <c r="E46" s="43">
        <v>4.0683482506102521E-4</v>
      </c>
    </row>
    <row r="47" spans="2:5" ht="15" customHeight="1" x14ac:dyDescent="0.25">
      <c r="B47" s="84"/>
      <c r="C47" s="45" t="s">
        <v>134</v>
      </c>
      <c r="D47" s="44">
        <v>1</v>
      </c>
      <c r="E47" s="43">
        <v>4.0683482506102521E-4</v>
      </c>
    </row>
    <row r="48" spans="2:5" ht="15" customHeight="1" x14ac:dyDescent="0.25">
      <c r="B48" s="84"/>
      <c r="C48" s="45" t="s">
        <v>133</v>
      </c>
      <c r="D48" s="44">
        <v>1</v>
      </c>
      <c r="E48" s="43">
        <v>4.0683482506102521E-4</v>
      </c>
    </row>
    <row r="49" spans="2:5" ht="15" customHeight="1" x14ac:dyDescent="0.25">
      <c r="B49" s="84"/>
      <c r="C49" s="45" t="s">
        <v>129</v>
      </c>
      <c r="D49" s="44">
        <v>1</v>
      </c>
      <c r="E49" s="43">
        <v>4.0683482506102521E-4</v>
      </c>
    </row>
    <row r="50" spans="2:5" ht="15" customHeight="1" x14ac:dyDescent="0.25">
      <c r="B50" s="84"/>
      <c r="C50" s="45" t="s">
        <v>125</v>
      </c>
      <c r="D50" s="44">
        <v>1</v>
      </c>
      <c r="E50" s="43">
        <v>4.0683482506102521E-4</v>
      </c>
    </row>
    <row r="51" spans="2:5" ht="15" customHeight="1" x14ac:dyDescent="0.25">
      <c r="B51" s="83"/>
      <c r="C51" s="42" t="s">
        <v>20</v>
      </c>
      <c r="D51" s="41">
        <v>5</v>
      </c>
      <c r="E51" s="40">
        <v>2.0341741253051262E-3</v>
      </c>
    </row>
    <row r="52" spans="2:5" ht="15" customHeight="1" x14ac:dyDescent="0.25">
      <c r="B52" s="82" t="s">
        <v>154</v>
      </c>
      <c r="C52" s="45" t="s">
        <v>125</v>
      </c>
      <c r="D52" s="44">
        <v>1</v>
      </c>
      <c r="E52" s="43">
        <v>4.0683482506102521E-4</v>
      </c>
    </row>
    <row r="53" spans="2:5" ht="15" customHeight="1" x14ac:dyDescent="0.25">
      <c r="B53" s="83"/>
      <c r="C53" s="42" t="s">
        <v>20</v>
      </c>
      <c r="D53" s="41">
        <v>1</v>
      </c>
      <c r="E53" s="40">
        <v>4.0683482506102521E-4</v>
      </c>
    </row>
    <row r="54" spans="2:5" ht="15" customHeight="1" x14ac:dyDescent="0.25">
      <c r="B54" s="82" t="s">
        <v>107</v>
      </c>
      <c r="C54" s="45" t="s">
        <v>145</v>
      </c>
      <c r="D54" s="44">
        <v>3</v>
      </c>
      <c r="E54" s="43">
        <v>1.2205044751830757E-3</v>
      </c>
    </row>
    <row r="55" spans="2:5" ht="15" customHeight="1" x14ac:dyDescent="0.25">
      <c r="B55" s="84"/>
      <c r="C55" s="45" t="s">
        <v>143</v>
      </c>
      <c r="D55" s="44">
        <v>1</v>
      </c>
      <c r="E55" s="43">
        <v>4.0683482506102521E-4</v>
      </c>
    </row>
    <row r="56" spans="2:5" ht="15" customHeight="1" x14ac:dyDescent="0.25">
      <c r="B56" s="84"/>
      <c r="C56" s="45" t="s">
        <v>141</v>
      </c>
      <c r="D56" s="44">
        <v>1</v>
      </c>
      <c r="E56" s="43">
        <v>4.0683482506102521E-4</v>
      </c>
    </row>
    <row r="57" spans="2:5" ht="15" customHeight="1" x14ac:dyDescent="0.25">
      <c r="B57" s="84"/>
      <c r="C57" s="45" t="s">
        <v>139</v>
      </c>
      <c r="D57" s="44">
        <v>5</v>
      </c>
      <c r="E57" s="43">
        <v>2.0341741253051262E-3</v>
      </c>
    </row>
    <row r="58" spans="2:5" ht="15" customHeight="1" x14ac:dyDescent="0.25">
      <c r="B58" s="84"/>
      <c r="C58" s="45" t="s">
        <v>138</v>
      </c>
      <c r="D58" s="44">
        <v>22</v>
      </c>
      <c r="E58" s="43">
        <v>8.9503661513425543E-3</v>
      </c>
    </row>
    <row r="59" spans="2:5" ht="15" customHeight="1" x14ac:dyDescent="0.25">
      <c r="B59" s="84"/>
      <c r="C59" s="45" t="s">
        <v>136</v>
      </c>
      <c r="D59" s="44">
        <v>4</v>
      </c>
      <c r="E59" s="43">
        <v>1.6273393002441008E-3</v>
      </c>
    </row>
    <row r="60" spans="2:5" ht="15" customHeight="1" x14ac:dyDescent="0.25">
      <c r="B60" s="84"/>
      <c r="C60" s="45" t="s">
        <v>135</v>
      </c>
      <c r="D60" s="44">
        <v>2</v>
      </c>
      <c r="E60" s="43">
        <v>8.1366965012205042E-4</v>
      </c>
    </row>
    <row r="61" spans="2:5" ht="15" customHeight="1" x14ac:dyDescent="0.25">
      <c r="B61" s="84"/>
      <c r="C61" s="45" t="s">
        <v>134</v>
      </c>
      <c r="D61" s="44">
        <v>32</v>
      </c>
      <c r="E61" s="43">
        <v>1.3018714401952807E-2</v>
      </c>
    </row>
    <row r="62" spans="2:5" ht="15" customHeight="1" x14ac:dyDescent="0.25">
      <c r="B62" s="84"/>
      <c r="C62" s="45" t="s">
        <v>132</v>
      </c>
      <c r="D62" s="44">
        <v>4</v>
      </c>
      <c r="E62" s="43">
        <v>1.6273393002441008E-3</v>
      </c>
    </row>
    <row r="63" spans="2:5" ht="15" customHeight="1" x14ac:dyDescent="0.25">
      <c r="B63" s="84"/>
      <c r="C63" s="45" t="s">
        <v>131</v>
      </c>
      <c r="D63" s="44">
        <v>18</v>
      </c>
      <c r="E63" s="43">
        <v>7.3230268510984537E-3</v>
      </c>
    </row>
    <row r="64" spans="2:5" ht="15" customHeight="1" x14ac:dyDescent="0.25">
      <c r="B64" s="84"/>
      <c r="C64" s="45" t="s">
        <v>126</v>
      </c>
      <c r="D64" s="44">
        <v>2</v>
      </c>
      <c r="E64" s="43">
        <v>8.1366965012205042E-4</v>
      </c>
    </row>
    <row r="65" spans="2:5" ht="15" customHeight="1" x14ac:dyDescent="0.25">
      <c r="B65" s="84"/>
      <c r="C65" s="45" t="s">
        <v>125</v>
      </c>
      <c r="D65" s="44">
        <v>3</v>
      </c>
      <c r="E65" s="43">
        <v>1.2205044751830757E-3</v>
      </c>
    </row>
    <row r="66" spans="2:5" ht="15" customHeight="1" x14ac:dyDescent="0.25">
      <c r="B66" s="83"/>
      <c r="C66" s="42" t="s">
        <v>20</v>
      </c>
      <c r="D66" s="41">
        <v>97</v>
      </c>
      <c r="E66" s="40">
        <v>3.9462978030919443E-2</v>
      </c>
    </row>
    <row r="67" spans="2:5" ht="15" customHeight="1" x14ac:dyDescent="0.25">
      <c r="B67" s="82" t="s">
        <v>105</v>
      </c>
      <c r="C67" s="45" t="s">
        <v>144</v>
      </c>
      <c r="D67" s="44">
        <v>1</v>
      </c>
      <c r="E67" s="43">
        <v>4.0683482506102521E-4</v>
      </c>
    </row>
    <row r="68" spans="2:5" ht="15" customHeight="1" x14ac:dyDescent="0.25">
      <c r="B68" s="84"/>
      <c r="C68" s="45" t="s">
        <v>140</v>
      </c>
      <c r="D68" s="44">
        <v>1</v>
      </c>
      <c r="E68" s="43">
        <v>4.0683482506102521E-4</v>
      </c>
    </row>
    <row r="69" spans="2:5" ht="15" customHeight="1" x14ac:dyDescent="0.25">
      <c r="B69" s="84"/>
      <c r="C69" s="45" t="s">
        <v>139</v>
      </c>
      <c r="D69" s="44">
        <v>4</v>
      </c>
      <c r="E69" s="43">
        <v>1.6273393002441008E-3</v>
      </c>
    </row>
    <row r="70" spans="2:5" ht="15" customHeight="1" x14ac:dyDescent="0.25">
      <c r="B70" s="84"/>
      <c r="C70" s="45" t="s">
        <v>138</v>
      </c>
      <c r="D70" s="44">
        <v>8</v>
      </c>
      <c r="E70" s="43">
        <v>3.2546786004882017E-3</v>
      </c>
    </row>
    <row r="71" spans="2:5" ht="15" customHeight="1" x14ac:dyDescent="0.25">
      <c r="B71" s="84"/>
      <c r="C71" s="45" t="s">
        <v>135</v>
      </c>
      <c r="D71" s="44">
        <v>2</v>
      </c>
      <c r="E71" s="43">
        <v>8.1366965012205042E-4</v>
      </c>
    </row>
    <row r="72" spans="2:5" ht="15" customHeight="1" x14ac:dyDescent="0.25">
      <c r="B72" s="84"/>
      <c r="C72" s="45" t="s">
        <v>134</v>
      </c>
      <c r="D72" s="44">
        <v>21</v>
      </c>
      <c r="E72" s="43">
        <v>8.5435313262815296E-3</v>
      </c>
    </row>
    <row r="73" spans="2:5" ht="15" customHeight="1" x14ac:dyDescent="0.25">
      <c r="B73" s="84"/>
      <c r="C73" s="45" t="s">
        <v>132</v>
      </c>
      <c r="D73" s="44">
        <v>1</v>
      </c>
      <c r="E73" s="43">
        <v>4.0683482506102521E-4</v>
      </c>
    </row>
    <row r="74" spans="2:5" ht="15" customHeight="1" x14ac:dyDescent="0.25">
      <c r="B74" s="84"/>
      <c r="C74" s="45" t="s">
        <v>131</v>
      </c>
      <c r="D74" s="44">
        <v>19</v>
      </c>
      <c r="E74" s="43">
        <v>7.7298616761594793E-3</v>
      </c>
    </row>
    <row r="75" spans="2:5" ht="15" customHeight="1" x14ac:dyDescent="0.25">
      <c r="B75" s="84"/>
      <c r="C75" s="45" t="s">
        <v>128</v>
      </c>
      <c r="D75" s="44">
        <v>1</v>
      </c>
      <c r="E75" s="43">
        <v>4.0683482506102521E-4</v>
      </c>
    </row>
    <row r="76" spans="2:5" ht="15" customHeight="1" x14ac:dyDescent="0.25">
      <c r="B76" s="84"/>
      <c r="C76" s="45" t="s">
        <v>125</v>
      </c>
      <c r="D76" s="44">
        <v>1</v>
      </c>
      <c r="E76" s="43">
        <v>4.0683482506102521E-4</v>
      </c>
    </row>
    <row r="77" spans="2:5" ht="15" customHeight="1" x14ac:dyDescent="0.25">
      <c r="B77" s="83"/>
      <c r="C77" s="42" t="s">
        <v>20</v>
      </c>
      <c r="D77" s="41">
        <v>59</v>
      </c>
      <c r="E77" s="40">
        <v>2.4003254678600486E-2</v>
      </c>
    </row>
    <row r="78" spans="2:5" ht="15" customHeight="1" x14ac:dyDescent="0.25">
      <c r="B78" s="82" t="s">
        <v>198</v>
      </c>
      <c r="C78" s="45" t="s">
        <v>134</v>
      </c>
      <c r="D78" s="44">
        <v>1</v>
      </c>
      <c r="E78" s="43">
        <v>4.0683482506102521E-4</v>
      </c>
    </row>
    <row r="79" spans="2:5" ht="15" customHeight="1" x14ac:dyDescent="0.25">
      <c r="B79" s="83"/>
      <c r="C79" s="42" t="s">
        <v>20</v>
      </c>
      <c r="D79" s="41">
        <v>1</v>
      </c>
      <c r="E79" s="40">
        <v>4.0683482506102521E-4</v>
      </c>
    </row>
    <row r="80" spans="2:5" ht="15" customHeight="1" x14ac:dyDescent="0.25">
      <c r="B80" s="82" t="s">
        <v>89</v>
      </c>
      <c r="C80" s="45" t="s">
        <v>140</v>
      </c>
      <c r="D80" s="44">
        <v>1</v>
      </c>
      <c r="E80" s="43">
        <v>4.0683482506102521E-4</v>
      </c>
    </row>
    <row r="81" spans="2:5" ht="15" customHeight="1" x14ac:dyDescent="0.25">
      <c r="B81" s="84"/>
      <c r="C81" s="45" t="s">
        <v>139</v>
      </c>
      <c r="D81" s="44">
        <v>3</v>
      </c>
      <c r="E81" s="43">
        <v>1.2205044751830757E-3</v>
      </c>
    </row>
    <row r="82" spans="2:5" ht="15" customHeight="1" x14ac:dyDescent="0.25">
      <c r="B82" s="84"/>
      <c r="C82" s="45" t="s">
        <v>138</v>
      </c>
      <c r="D82" s="44">
        <v>4</v>
      </c>
      <c r="E82" s="43">
        <v>1.6273393002441008E-3</v>
      </c>
    </row>
    <row r="83" spans="2:5" ht="15" customHeight="1" x14ac:dyDescent="0.25">
      <c r="B83" s="84"/>
      <c r="C83" s="45" t="s">
        <v>136</v>
      </c>
      <c r="D83" s="44">
        <v>1</v>
      </c>
      <c r="E83" s="43">
        <v>4.0683482506102521E-4</v>
      </c>
    </row>
    <row r="84" spans="2:5" ht="15" customHeight="1" x14ac:dyDescent="0.25">
      <c r="B84" s="84"/>
      <c r="C84" s="45" t="s">
        <v>134</v>
      </c>
      <c r="D84" s="44">
        <v>11</v>
      </c>
      <c r="E84" s="43">
        <v>4.4751830756712772E-3</v>
      </c>
    </row>
    <row r="85" spans="2:5" ht="15" customHeight="1" x14ac:dyDescent="0.25">
      <c r="B85" s="84"/>
      <c r="C85" s="45" t="s">
        <v>132</v>
      </c>
      <c r="D85" s="44">
        <v>6</v>
      </c>
      <c r="E85" s="43">
        <v>2.4410089503661514E-3</v>
      </c>
    </row>
    <row r="86" spans="2:5" ht="15" customHeight="1" x14ac:dyDescent="0.25">
      <c r="B86" s="84"/>
      <c r="C86" s="45" t="s">
        <v>131</v>
      </c>
      <c r="D86" s="44">
        <v>5</v>
      </c>
      <c r="E86" s="43">
        <v>2.0341741253051262E-3</v>
      </c>
    </row>
    <row r="87" spans="2:5" ht="15" customHeight="1" x14ac:dyDescent="0.25">
      <c r="B87" s="84"/>
      <c r="C87" s="45" t="s">
        <v>126</v>
      </c>
      <c r="D87" s="44">
        <v>1</v>
      </c>
      <c r="E87" s="43">
        <v>4.0683482506102521E-4</v>
      </c>
    </row>
    <row r="88" spans="2:5" ht="15" customHeight="1" x14ac:dyDescent="0.25">
      <c r="B88" s="83"/>
      <c r="C88" s="42" t="s">
        <v>20</v>
      </c>
      <c r="D88" s="41">
        <v>32</v>
      </c>
      <c r="E88" s="40">
        <v>1.3018714401952807E-2</v>
      </c>
    </row>
    <row r="89" spans="2:5" ht="15" customHeight="1" x14ac:dyDescent="0.25">
      <c r="B89" s="82" t="s">
        <v>75</v>
      </c>
      <c r="C89" s="45" t="s">
        <v>141</v>
      </c>
      <c r="D89" s="44">
        <v>1</v>
      </c>
      <c r="E89" s="43">
        <v>4.0683482506102521E-4</v>
      </c>
    </row>
    <row r="90" spans="2:5" ht="15" customHeight="1" x14ac:dyDescent="0.25">
      <c r="B90" s="84"/>
      <c r="C90" s="45" t="s">
        <v>140</v>
      </c>
      <c r="D90" s="44">
        <v>1</v>
      </c>
      <c r="E90" s="43">
        <v>4.0683482506102521E-4</v>
      </c>
    </row>
    <row r="91" spans="2:5" ht="15" customHeight="1" x14ac:dyDescent="0.25">
      <c r="B91" s="84"/>
      <c r="C91" s="45" t="s">
        <v>139</v>
      </c>
      <c r="D91" s="44">
        <v>2</v>
      </c>
      <c r="E91" s="43">
        <v>8.1366965012205042E-4</v>
      </c>
    </row>
    <row r="92" spans="2:5" ht="15" customHeight="1" x14ac:dyDescent="0.25">
      <c r="B92" s="84"/>
      <c r="C92" s="45" t="s">
        <v>134</v>
      </c>
      <c r="D92" s="44">
        <v>2</v>
      </c>
      <c r="E92" s="43">
        <v>8.1366965012205042E-4</v>
      </c>
    </row>
    <row r="93" spans="2:5" ht="15" customHeight="1" x14ac:dyDescent="0.25">
      <c r="B93" s="84"/>
      <c r="C93" s="45" t="s">
        <v>131</v>
      </c>
      <c r="D93" s="44">
        <v>3</v>
      </c>
      <c r="E93" s="43">
        <v>1.2205044751830757E-3</v>
      </c>
    </row>
    <row r="94" spans="2:5" ht="15" customHeight="1" x14ac:dyDescent="0.25">
      <c r="B94" s="83"/>
      <c r="C94" s="42" t="s">
        <v>20</v>
      </c>
      <c r="D94" s="41">
        <v>9</v>
      </c>
      <c r="E94" s="40">
        <v>3.6615134255492269E-3</v>
      </c>
    </row>
    <row r="95" spans="2:5" ht="15" customHeight="1" x14ac:dyDescent="0.25">
      <c r="B95" s="82" t="s">
        <v>73</v>
      </c>
      <c r="C95" s="45" t="s">
        <v>131</v>
      </c>
      <c r="D95" s="44">
        <v>1</v>
      </c>
      <c r="E95" s="43">
        <v>4.0683482506102521E-4</v>
      </c>
    </row>
    <row r="96" spans="2:5" ht="15" customHeight="1" x14ac:dyDescent="0.25">
      <c r="B96" s="83"/>
      <c r="C96" s="42" t="s">
        <v>20</v>
      </c>
      <c r="D96" s="41">
        <v>1</v>
      </c>
      <c r="E96" s="40">
        <v>4.0683482506102521E-4</v>
      </c>
    </row>
    <row r="97" spans="2:5" ht="15" customHeight="1" x14ac:dyDescent="0.25">
      <c r="B97" s="82" t="s">
        <v>86</v>
      </c>
      <c r="C97" s="45" t="s">
        <v>145</v>
      </c>
      <c r="D97" s="44">
        <v>1</v>
      </c>
      <c r="E97" s="43">
        <v>4.0683482506102521E-4</v>
      </c>
    </row>
    <row r="98" spans="2:5" ht="15" customHeight="1" x14ac:dyDescent="0.25">
      <c r="B98" s="84"/>
      <c r="C98" s="45" t="s">
        <v>138</v>
      </c>
      <c r="D98" s="44">
        <v>1</v>
      </c>
      <c r="E98" s="43">
        <v>4.0683482506102521E-4</v>
      </c>
    </row>
    <row r="99" spans="2:5" ht="15" customHeight="1" x14ac:dyDescent="0.25">
      <c r="B99" s="84"/>
      <c r="C99" s="45" t="s">
        <v>125</v>
      </c>
      <c r="D99" s="44">
        <v>1</v>
      </c>
      <c r="E99" s="43">
        <v>4.0683482506102521E-4</v>
      </c>
    </row>
    <row r="100" spans="2:5" ht="15" customHeight="1" x14ac:dyDescent="0.25">
      <c r="B100" s="83"/>
      <c r="C100" s="42" t="s">
        <v>20</v>
      </c>
      <c r="D100" s="41">
        <v>3</v>
      </c>
      <c r="E100" s="40">
        <v>1.2205044751830757E-3</v>
      </c>
    </row>
    <row r="101" spans="2:5" ht="15" customHeight="1" x14ac:dyDescent="0.25">
      <c r="B101" s="82" t="s">
        <v>102</v>
      </c>
      <c r="C101" s="45" t="s">
        <v>145</v>
      </c>
      <c r="D101" s="44">
        <v>6</v>
      </c>
      <c r="E101" s="43">
        <v>2.4410089503661514E-3</v>
      </c>
    </row>
    <row r="102" spans="2:5" ht="15" customHeight="1" x14ac:dyDescent="0.25">
      <c r="B102" s="84"/>
      <c r="C102" s="45" t="s">
        <v>144</v>
      </c>
      <c r="D102" s="44">
        <v>6</v>
      </c>
      <c r="E102" s="43">
        <v>2.4410089503661514E-3</v>
      </c>
    </row>
    <row r="103" spans="2:5" ht="15" customHeight="1" x14ac:dyDescent="0.25">
      <c r="B103" s="84"/>
      <c r="C103" s="45" t="s">
        <v>143</v>
      </c>
      <c r="D103" s="44">
        <v>8</v>
      </c>
      <c r="E103" s="43">
        <v>3.2546786004882017E-3</v>
      </c>
    </row>
    <row r="104" spans="2:5" ht="15" customHeight="1" x14ac:dyDescent="0.25">
      <c r="B104" s="84"/>
      <c r="C104" s="45" t="s">
        <v>142</v>
      </c>
      <c r="D104" s="44">
        <v>18</v>
      </c>
      <c r="E104" s="43">
        <v>7.3230268510984537E-3</v>
      </c>
    </row>
    <row r="105" spans="2:5" ht="15" customHeight="1" x14ac:dyDescent="0.25">
      <c r="B105" s="84"/>
      <c r="C105" s="45" t="s">
        <v>141</v>
      </c>
      <c r="D105" s="44">
        <v>4</v>
      </c>
      <c r="E105" s="43">
        <v>1.6273393002441008E-3</v>
      </c>
    </row>
    <row r="106" spans="2:5" ht="15" customHeight="1" x14ac:dyDescent="0.25">
      <c r="B106" s="84"/>
      <c r="C106" s="45" t="s">
        <v>140</v>
      </c>
      <c r="D106" s="44">
        <v>12</v>
      </c>
      <c r="E106" s="43">
        <v>4.8820179007323028E-3</v>
      </c>
    </row>
    <row r="107" spans="2:5" ht="15" customHeight="1" x14ac:dyDescent="0.25">
      <c r="B107" s="84"/>
      <c r="C107" s="45" t="s">
        <v>139</v>
      </c>
      <c r="D107" s="44">
        <v>41</v>
      </c>
      <c r="E107" s="43">
        <v>1.6680227827502035E-2</v>
      </c>
    </row>
    <row r="108" spans="2:5" ht="15" customHeight="1" x14ac:dyDescent="0.25">
      <c r="B108" s="84"/>
      <c r="C108" s="45" t="s">
        <v>138</v>
      </c>
      <c r="D108" s="44">
        <v>61</v>
      </c>
      <c r="E108" s="43">
        <v>2.4816924328722539E-2</v>
      </c>
    </row>
    <row r="109" spans="2:5" ht="15" customHeight="1" x14ac:dyDescent="0.25">
      <c r="B109" s="84"/>
      <c r="C109" s="45" t="s">
        <v>137</v>
      </c>
      <c r="D109" s="44">
        <v>6</v>
      </c>
      <c r="E109" s="43">
        <v>2.4410089503661514E-3</v>
      </c>
    </row>
    <row r="110" spans="2:5" ht="15" customHeight="1" x14ac:dyDescent="0.25">
      <c r="B110" s="84"/>
      <c r="C110" s="45" t="s">
        <v>136</v>
      </c>
      <c r="D110" s="44">
        <v>9</v>
      </c>
      <c r="E110" s="43">
        <v>3.6615134255492269E-3</v>
      </c>
    </row>
    <row r="111" spans="2:5" ht="15" customHeight="1" x14ac:dyDescent="0.25">
      <c r="B111" s="84"/>
      <c r="C111" s="45" t="s">
        <v>135</v>
      </c>
      <c r="D111" s="44">
        <v>18</v>
      </c>
      <c r="E111" s="43">
        <v>7.3230268510984537E-3</v>
      </c>
    </row>
    <row r="112" spans="2:5" ht="15" customHeight="1" x14ac:dyDescent="0.25">
      <c r="B112" s="84"/>
      <c r="C112" s="45" t="s">
        <v>134</v>
      </c>
      <c r="D112" s="44">
        <v>106</v>
      </c>
      <c r="E112" s="43">
        <v>4.3124491456468676E-2</v>
      </c>
    </row>
    <row r="113" spans="2:5" ht="15" customHeight="1" x14ac:dyDescent="0.25">
      <c r="B113" s="84"/>
      <c r="C113" s="45" t="s">
        <v>133</v>
      </c>
      <c r="D113" s="44">
        <v>5</v>
      </c>
      <c r="E113" s="43">
        <v>2.0341741253051262E-3</v>
      </c>
    </row>
    <row r="114" spans="2:5" ht="15" customHeight="1" x14ac:dyDescent="0.25">
      <c r="B114" s="84"/>
      <c r="C114" s="45" t="s">
        <v>132</v>
      </c>
      <c r="D114" s="44">
        <v>37</v>
      </c>
      <c r="E114" s="43">
        <v>1.5052888527257934E-2</v>
      </c>
    </row>
    <row r="115" spans="2:5" ht="15" customHeight="1" x14ac:dyDescent="0.25">
      <c r="B115" s="84"/>
      <c r="C115" s="45" t="s">
        <v>131</v>
      </c>
      <c r="D115" s="44">
        <v>84</v>
      </c>
      <c r="E115" s="43">
        <v>3.4174125305126118E-2</v>
      </c>
    </row>
    <row r="116" spans="2:5" ht="15" customHeight="1" x14ac:dyDescent="0.25">
      <c r="B116" s="84"/>
      <c r="C116" s="45" t="s">
        <v>130</v>
      </c>
      <c r="D116" s="44">
        <v>1</v>
      </c>
      <c r="E116" s="43">
        <v>4.0683482506102521E-4</v>
      </c>
    </row>
    <row r="117" spans="2:5" ht="15" customHeight="1" x14ac:dyDescent="0.25">
      <c r="B117" s="84"/>
      <c r="C117" s="45" t="s">
        <v>129</v>
      </c>
      <c r="D117" s="44">
        <v>2</v>
      </c>
      <c r="E117" s="43">
        <v>8.1366965012205042E-4</v>
      </c>
    </row>
    <row r="118" spans="2:5" ht="15" customHeight="1" x14ac:dyDescent="0.25">
      <c r="B118" s="84"/>
      <c r="C118" s="45" t="s">
        <v>127</v>
      </c>
      <c r="D118" s="44">
        <v>1</v>
      </c>
      <c r="E118" s="43">
        <v>4.0683482506102521E-4</v>
      </c>
    </row>
    <row r="119" spans="2:5" ht="15" customHeight="1" x14ac:dyDescent="0.25">
      <c r="B119" s="84"/>
      <c r="C119" s="45" t="s">
        <v>126</v>
      </c>
      <c r="D119" s="44">
        <v>8</v>
      </c>
      <c r="E119" s="43">
        <v>3.2546786004882017E-3</v>
      </c>
    </row>
    <row r="120" spans="2:5" ht="15" customHeight="1" x14ac:dyDescent="0.25">
      <c r="B120" s="84"/>
      <c r="C120" s="45" t="s">
        <v>125</v>
      </c>
      <c r="D120" s="44">
        <v>13</v>
      </c>
      <c r="E120" s="43">
        <v>5.2888527257933275E-3</v>
      </c>
    </row>
    <row r="121" spans="2:5" ht="15" customHeight="1" x14ac:dyDescent="0.25">
      <c r="B121" s="84"/>
      <c r="C121" s="45" t="s">
        <v>149</v>
      </c>
      <c r="D121" s="44">
        <v>2</v>
      </c>
      <c r="E121" s="43">
        <v>8.1366965012205042E-4</v>
      </c>
    </row>
    <row r="122" spans="2:5" ht="15" customHeight="1" x14ac:dyDescent="0.25">
      <c r="B122" s="83"/>
      <c r="C122" s="42" t="s">
        <v>20</v>
      </c>
      <c r="D122" s="41">
        <v>448</v>
      </c>
      <c r="E122" s="40">
        <v>0.1822620016273393</v>
      </c>
    </row>
    <row r="123" spans="2:5" ht="15" customHeight="1" x14ac:dyDescent="0.25">
      <c r="B123" s="82" t="s">
        <v>106</v>
      </c>
      <c r="C123" s="45" t="s">
        <v>145</v>
      </c>
      <c r="D123" s="44">
        <v>1</v>
      </c>
      <c r="E123" s="43">
        <v>4.0683482506102521E-4</v>
      </c>
    </row>
    <row r="124" spans="2:5" ht="15" customHeight="1" x14ac:dyDescent="0.25">
      <c r="B124" s="84"/>
      <c r="C124" s="45" t="s">
        <v>141</v>
      </c>
      <c r="D124" s="44">
        <v>1</v>
      </c>
      <c r="E124" s="43">
        <v>4.0683482506102521E-4</v>
      </c>
    </row>
    <row r="125" spans="2:5" ht="15" customHeight="1" x14ac:dyDescent="0.25">
      <c r="B125" s="84"/>
      <c r="C125" s="45" t="s">
        <v>140</v>
      </c>
      <c r="D125" s="44">
        <v>3</v>
      </c>
      <c r="E125" s="43">
        <v>1.2205044751830757E-3</v>
      </c>
    </row>
    <row r="126" spans="2:5" ht="15" customHeight="1" x14ac:dyDescent="0.25">
      <c r="B126" s="84"/>
      <c r="C126" s="45" t="s">
        <v>139</v>
      </c>
      <c r="D126" s="44">
        <v>2</v>
      </c>
      <c r="E126" s="43">
        <v>8.1366965012205042E-4</v>
      </c>
    </row>
    <row r="127" spans="2:5" ht="15" customHeight="1" x14ac:dyDescent="0.25">
      <c r="B127" s="84"/>
      <c r="C127" s="45" t="s">
        <v>138</v>
      </c>
      <c r="D127" s="44">
        <v>7</v>
      </c>
      <c r="E127" s="43">
        <v>2.8478437754271765E-3</v>
      </c>
    </row>
    <row r="128" spans="2:5" ht="15" customHeight="1" x14ac:dyDescent="0.25">
      <c r="B128" s="84"/>
      <c r="C128" s="45" t="s">
        <v>137</v>
      </c>
      <c r="D128" s="44">
        <v>1</v>
      </c>
      <c r="E128" s="43">
        <v>4.0683482506102521E-4</v>
      </c>
    </row>
    <row r="129" spans="2:5" ht="15" customHeight="1" x14ac:dyDescent="0.25">
      <c r="B129" s="84"/>
      <c r="C129" s="45" t="s">
        <v>136</v>
      </c>
      <c r="D129" s="44">
        <v>1</v>
      </c>
      <c r="E129" s="43">
        <v>4.0683482506102521E-4</v>
      </c>
    </row>
    <row r="130" spans="2:5" ht="15" customHeight="1" x14ac:dyDescent="0.25">
      <c r="B130" s="84"/>
      <c r="C130" s="45" t="s">
        <v>135</v>
      </c>
      <c r="D130" s="44">
        <v>1</v>
      </c>
      <c r="E130" s="43">
        <v>4.0683482506102521E-4</v>
      </c>
    </row>
    <row r="131" spans="2:5" ht="15" customHeight="1" x14ac:dyDescent="0.25">
      <c r="B131" s="84"/>
      <c r="C131" s="45" t="s">
        <v>134</v>
      </c>
      <c r="D131" s="44">
        <v>16</v>
      </c>
      <c r="E131" s="43">
        <v>6.5093572009764034E-3</v>
      </c>
    </row>
    <row r="132" spans="2:5" ht="15" customHeight="1" x14ac:dyDescent="0.25">
      <c r="B132" s="84"/>
      <c r="C132" s="45" t="s">
        <v>133</v>
      </c>
      <c r="D132" s="44">
        <v>3</v>
      </c>
      <c r="E132" s="43">
        <v>1.2205044751830757E-3</v>
      </c>
    </row>
    <row r="133" spans="2:5" ht="15" customHeight="1" x14ac:dyDescent="0.25">
      <c r="B133" s="84"/>
      <c r="C133" s="45" t="s">
        <v>132</v>
      </c>
      <c r="D133" s="44">
        <v>9</v>
      </c>
      <c r="E133" s="43">
        <v>3.6615134255492269E-3</v>
      </c>
    </row>
    <row r="134" spans="2:5" ht="15" customHeight="1" x14ac:dyDescent="0.25">
      <c r="B134" s="84"/>
      <c r="C134" s="45" t="s">
        <v>131</v>
      </c>
      <c r="D134" s="44">
        <v>17</v>
      </c>
      <c r="E134" s="43">
        <v>6.916192026037429E-3</v>
      </c>
    </row>
    <row r="135" spans="2:5" ht="15" customHeight="1" x14ac:dyDescent="0.25">
      <c r="B135" s="84"/>
      <c r="C135" s="45" t="s">
        <v>130</v>
      </c>
      <c r="D135" s="44">
        <v>1</v>
      </c>
      <c r="E135" s="43">
        <v>4.0683482506102521E-4</v>
      </c>
    </row>
    <row r="136" spans="2:5" ht="15" customHeight="1" x14ac:dyDescent="0.25">
      <c r="B136" s="84"/>
      <c r="C136" s="45" t="s">
        <v>125</v>
      </c>
      <c r="D136" s="44">
        <v>1</v>
      </c>
      <c r="E136" s="43">
        <v>4.0683482506102521E-4</v>
      </c>
    </row>
    <row r="137" spans="2:5" ht="15" customHeight="1" x14ac:dyDescent="0.25">
      <c r="B137" s="83"/>
      <c r="C137" s="42" t="s">
        <v>20</v>
      </c>
      <c r="D137" s="41">
        <v>64</v>
      </c>
      <c r="E137" s="40">
        <v>2.6037428803905614E-2</v>
      </c>
    </row>
    <row r="138" spans="2:5" ht="15" customHeight="1" x14ac:dyDescent="0.25">
      <c r="B138" s="82" t="s">
        <v>153</v>
      </c>
      <c r="C138" s="45" t="s">
        <v>139</v>
      </c>
      <c r="D138" s="44">
        <v>2</v>
      </c>
      <c r="E138" s="43">
        <v>8.1366965012205042E-4</v>
      </c>
    </row>
    <row r="139" spans="2:5" ht="15" customHeight="1" x14ac:dyDescent="0.25">
      <c r="B139" s="84"/>
      <c r="C139" s="45" t="s">
        <v>138</v>
      </c>
      <c r="D139" s="44">
        <v>2</v>
      </c>
      <c r="E139" s="43">
        <v>8.1366965012205042E-4</v>
      </c>
    </row>
    <row r="140" spans="2:5" ht="15" customHeight="1" x14ac:dyDescent="0.25">
      <c r="B140" s="84"/>
      <c r="C140" s="45" t="s">
        <v>134</v>
      </c>
      <c r="D140" s="44">
        <v>6</v>
      </c>
      <c r="E140" s="43">
        <v>2.4410089503661514E-3</v>
      </c>
    </row>
    <row r="141" spans="2:5" ht="15" customHeight="1" x14ac:dyDescent="0.25">
      <c r="B141" s="84"/>
      <c r="C141" s="45" t="s">
        <v>132</v>
      </c>
      <c r="D141" s="44">
        <v>4</v>
      </c>
      <c r="E141" s="43">
        <v>1.6273393002441008E-3</v>
      </c>
    </row>
    <row r="142" spans="2:5" ht="15" customHeight="1" x14ac:dyDescent="0.25">
      <c r="B142" s="84"/>
      <c r="C142" s="45" t="s">
        <v>131</v>
      </c>
      <c r="D142" s="44">
        <v>4</v>
      </c>
      <c r="E142" s="43">
        <v>1.6273393002441008E-3</v>
      </c>
    </row>
    <row r="143" spans="2:5" ht="15" customHeight="1" x14ac:dyDescent="0.25">
      <c r="B143" s="83"/>
      <c r="C143" s="42" t="s">
        <v>20</v>
      </c>
      <c r="D143" s="41">
        <v>18</v>
      </c>
      <c r="E143" s="40">
        <v>7.3230268510984537E-3</v>
      </c>
    </row>
    <row r="144" spans="2:5" ht="15" customHeight="1" x14ac:dyDescent="0.25">
      <c r="B144" s="82" t="s">
        <v>85</v>
      </c>
      <c r="C144" s="45" t="s">
        <v>144</v>
      </c>
      <c r="D144" s="44">
        <v>1</v>
      </c>
      <c r="E144" s="43">
        <v>4.0683482506102521E-4</v>
      </c>
    </row>
    <row r="145" spans="2:5" ht="15" customHeight="1" x14ac:dyDescent="0.25">
      <c r="B145" s="84"/>
      <c r="C145" s="45" t="s">
        <v>142</v>
      </c>
      <c r="D145" s="44">
        <v>1</v>
      </c>
      <c r="E145" s="43">
        <v>4.0683482506102521E-4</v>
      </c>
    </row>
    <row r="146" spans="2:5" ht="15" customHeight="1" x14ac:dyDescent="0.25">
      <c r="B146" s="84"/>
      <c r="C146" s="45" t="s">
        <v>141</v>
      </c>
      <c r="D146" s="44">
        <v>1</v>
      </c>
      <c r="E146" s="43">
        <v>4.0683482506102521E-4</v>
      </c>
    </row>
    <row r="147" spans="2:5" ht="15" customHeight="1" x14ac:dyDescent="0.25">
      <c r="B147" s="84"/>
      <c r="C147" s="45" t="s">
        <v>140</v>
      </c>
      <c r="D147" s="44">
        <v>2</v>
      </c>
      <c r="E147" s="43">
        <v>8.1366965012205042E-4</v>
      </c>
    </row>
    <row r="148" spans="2:5" ht="15" customHeight="1" x14ac:dyDescent="0.25">
      <c r="B148" s="84"/>
      <c r="C148" s="45" t="s">
        <v>139</v>
      </c>
      <c r="D148" s="44">
        <v>4</v>
      </c>
      <c r="E148" s="43">
        <v>1.6273393002441008E-3</v>
      </c>
    </row>
    <row r="149" spans="2:5" ht="15" customHeight="1" x14ac:dyDescent="0.25">
      <c r="B149" s="84"/>
      <c r="C149" s="45" t="s">
        <v>138</v>
      </c>
      <c r="D149" s="44">
        <v>1</v>
      </c>
      <c r="E149" s="43">
        <v>4.0683482506102521E-4</v>
      </c>
    </row>
    <row r="150" spans="2:5" ht="15" customHeight="1" x14ac:dyDescent="0.25">
      <c r="B150" s="84"/>
      <c r="C150" s="45" t="s">
        <v>136</v>
      </c>
      <c r="D150" s="44">
        <v>1</v>
      </c>
      <c r="E150" s="43">
        <v>4.0683482506102521E-4</v>
      </c>
    </row>
    <row r="151" spans="2:5" ht="15" customHeight="1" x14ac:dyDescent="0.25">
      <c r="B151" s="84"/>
      <c r="C151" s="45" t="s">
        <v>134</v>
      </c>
      <c r="D151" s="44">
        <v>9</v>
      </c>
      <c r="E151" s="43">
        <v>3.6615134255492269E-3</v>
      </c>
    </row>
    <row r="152" spans="2:5" ht="15" customHeight="1" x14ac:dyDescent="0.25">
      <c r="B152" s="84"/>
      <c r="C152" s="45" t="s">
        <v>133</v>
      </c>
      <c r="D152" s="44">
        <v>1</v>
      </c>
      <c r="E152" s="43">
        <v>4.0683482506102521E-4</v>
      </c>
    </row>
    <row r="153" spans="2:5" ht="15" customHeight="1" x14ac:dyDescent="0.25">
      <c r="B153" s="84"/>
      <c r="C153" s="45" t="s">
        <v>131</v>
      </c>
      <c r="D153" s="44">
        <v>1</v>
      </c>
      <c r="E153" s="43">
        <v>4.0683482506102521E-4</v>
      </c>
    </row>
    <row r="154" spans="2:5" ht="15" customHeight="1" x14ac:dyDescent="0.25">
      <c r="B154" s="83"/>
      <c r="C154" s="42" t="s">
        <v>20</v>
      </c>
      <c r="D154" s="41">
        <v>22</v>
      </c>
      <c r="E154" s="40">
        <v>8.9503661513425543E-3</v>
      </c>
    </row>
    <row r="155" spans="2:5" ht="15" customHeight="1" x14ac:dyDescent="0.25">
      <c r="B155" s="82" t="s">
        <v>69</v>
      </c>
      <c r="C155" s="45" t="s">
        <v>131</v>
      </c>
      <c r="D155" s="44">
        <v>1</v>
      </c>
      <c r="E155" s="43">
        <v>4.0683482506102521E-4</v>
      </c>
    </row>
    <row r="156" spans="2:5" ht="15" customHeight="1" x14ac:dyDescent="0.25">
      <c r="B156" s="83"/>
      <c r="C156" s="42" t="s">
        <v>20</v>
      </c>
      <c r="D156" s="41">
        <v>1</v>
      </c>
      <c r="E156" s="40">
        <v>4.0683482506102521E-4</v>
      </c>
    </row>
    <row r="157" spans="2:5" ht="15" customHeight="1" x14ac:dyDescent="0.25">
      <c r="B157" s="82" t="s">
        <v>92</v>
      </c>
      <c r="C157" s="45" t="s">
        <v>143</v>
      </c>
      <c r="D157" s="44">
        <v>2</v>
      </c>
      <c r="E157" s="43">
        <v>8.1366965012205042E-4</v>
      </c>
    </row>
    <row r="158" spans="2:5" ht="15" customHeight="1" x14ac:dyDescent="0.25">
      <c r="B158" s="84"/>
      <c r="C158" s="45" t="s">
        <v>142</v>
      </c>
      <c r="D158" s="44">
        <v>6</v>
      </c>
      <c r="E158" s="43">
        <v>2.4410089503661514E-3</v>
      </c>
    </row>
    <row r="159" spans="2:5" ht="15" customHeight="1" x14ac:dyDescent="0.25">
      <c r="B159" s="84"/>
      <c r="C159" s="45" t="s">
        <v>141</v>
      </c>
      <c r="D159" s="44">
        <v>1</v>
      </c>
      <c r="E159" s="43">
        <v>4.0683482506102521E-4</v>
      </c>
    </row>
    <row r="160" spans="2:5" ht="15" customHeight="1" x14ac:dyDescent="0.25">
      <c r="B160" s="84"/>
      <c r="C160" s="45" t="s">
        <v>140</v>
      </c>
      <c r="D160" s="44">
        <v>1</v>
      </c>
      <c r="E160" s="43">
        <v>4.0683482506102521E-4</v>
      </c>
    </row>
    <row r="161" spans="2:5" ht="15" customHeight="1" x14ac:dyDescent="0.25">
      <c r="B161" s="84"/>
      <c r="C161" s="45" t="s">
        <v>139</v>
      </c>
      <c r="D161" s="44">
        <v>6</v>
      </c>
      <c r="E161" s="43">
        <v>2.4410089503661514E-3</v>
      </c>
    </row>
    <row r="162" spans="2:5" ht="15" customHeight="1" x14ac:dyDescent="0.25">
      <c r="B162" s="84"/>
      <c r="C162" s="45" t="s">
        <v>138</v>
      </c>
      <c r="D162" s="44">
        <v>8</v>
      </c>
      <c r="E162" s="43">
        <v>3.2546786004882017E-3</v>
      </c>
    </row>
    <row r="163" spans="2:5" ht="15" customHeight="1" x14ac:dyDescent="0.25">
      <c r="B163" s="84"/>
      <c r="C163" s="45" t="s">
        <v>137</v>
      </c>
      <c r="D163" s="44">
        <v>1</v>
      </c>
      <c r="E163" s="43">
        <v>4.0683482506102521E-4</v>
      </c>
    </row>
    <row r="164" spans="2:5" ht="15" customHeight="1" x14ac:dyDescent="0.25">
      <c r="B164" s="84"/>
      <c r="C164" s="45" t="s">
        <v>136</v>
      </c>
      <c r="D164" s="44">
        <v>3</v>
      </c>
      <c r="E164" s="43">
        <v>1.2205044751830757E-3</v>
      </c>
    </row>
    <row r="165" spans="2:5" ht="15" customHeight="1" x14ac:dyDescent="0.25">
      <c r="B165" s="84"/>
      <c r="C165" s="45" t="s">
        <v>135</v>
      </c>
      <c r="D165" s="44">
        <v>3</v>
      </c>
      <c r="E165" s="43">
        <v>1.2205044751830757E-3</v>
      </c>
    </row>
    <row r="166" spans="2:5" ht="15" customHeight="1" x14ac:dyDescent="0.25">
      <c r="B166" s="84"/>
      <c r="C166" s="45" t="s">
        <v>134</v>
      </c>
      <c r="D166" s="44">
        <v>32</v>
      </c>
      <c r="E166" s="43">
        <v>1.3018714401952807E-2</v>
      </c>
    </row>
    <row r="167" spans="2:5" ht="15" customHeight="1" x14ac:dyDescent="0.25">
      <c r="B167" s="84"/>
      <c r="C167" s="45" t="s">
        <v>133</v>
      </c>
      <c r="D167" s="44">
        <v>3</v>
      </c>
      <c r="E167" s="43">
        <v>1.2205044751830757E-3</v>
      </c>
    </row>
    <row r="168" spans="2:5" ht="15" customHeight="1" x14ac:dyDescent="0.25">
      <c r="B168" s="84"/>
      <c r="C168" s="45" t="s">
        <v>132</v>
      </c>
      <c r="D168" s="44">
        <v>8</v>
      </c>
      <c r="E168" s="43">
        <v>3.2546786004882017E-3</v>
      </c>
    </row>
    <row r="169" spans="2:5" ht="15" customHeight="1" x14ac:dyDescent="0.25">
      <c r="B169" s="84"/>
      <c r="C169" s="45" t="s">
        <v>131</v>
      </c>
      <c r="D169" s="44">
        <v>28</v>
      </c>
      <c r="E169" s="43">
        <v>1.1391375101708706E-2</v>
      </c>
    </row>
    <row r="170" spans="2:5" ht="15" customHeight="1" x14ac:dyDescent="0.25">
      <c r="B170" s="84"/>
      <c r="C170" s="45" t="s">
        <v>126</v>
      </c>
      <c r="D170" s="44">
        <v>1</v>
      </c>
      <c r="E170" s="43">
        <v>4.0683482506102521E-4</v>
      </c>
    </row>
    <row r="171" spans="2:5" ht="15" customHeight="1" x14ac:dyDescent="0.25">
      <c r="B171" s="84"/>
      <c r="C171" s="45" t="s">
        <v>125</v>
      </c>
      <c r="D171" s="44">
        <v>5</v>
      </c>
      <c r="E171" s="43">
        <v>2.0341741253051262E-3</v>
      </c>
    </row>
    <row r="172" spans="2:5" ht="15" customHeight="1" x14ac:dyDescent="0.25">
      <c r="B172" s="84"/>
      <c r="C172" s="45" t="s">
        <v>123</v>
      </c>
      <c r="D172" s="44">
        <v>1</v>
      </c>
      <c r="E172" s="43">
        <v>4.0683482506102521E-4</v>
      </c>
    </row>
    <row r="173" spans="2:5" ht="15" customHeight="1" x14ac:dyDescent="0.25">
      <c r="B173" s="83"/>
      <c r="C173" s="42" t="s">
        <v>20</v>
      </c>
      <c r="D173" s="41">
        <v>109</v>
      </c>
      <c r="E173" s="40">
        <v>4.4344995931651747E-2</v>
      </c>
    </row>
    <row r="174" spans="2:5" ht="15" customHeight="1" x14ac:dyDescent="0.25">
      <c r="B174" s="82" t="s">
        <v>96</v>
      </c>
      <c r="C174" s="45" t="s">
        <v>139</v>
      </c>
      <c r="D174" s="44">
        <v>1</v>
      </c>
      <c r="E174" s="43">
        <v>4.0683482506102521E-4</v>
      </c>
    </row>
    <row r="175" spans="2:5" ht="15" customHeight="1" x14ac:dyDescent="0.25">
      <c r="B175" s="84"/>
      <c r="C175" s="45" t="s">
        <v>138</v>
      </c>
      <c r="D175" s="44">
        <v>3</v>
      </c>
      <c r="E175" s="43">
        <v>1.2205044751830757E-3</v>
      </c>
    </row>
    <row r="176" spans="2:5" ht="15" customHeight="1" x14ac:dyDescent="0.25">
      <c r="B176" s="84"/>
      <c r="C176" s="45" t="s">
        <v>134</v>
      </c>
      <c r="D176" s="44">
        <v>6</v>
      </c>
      <c r="E176" s="43">
        <v>2.4410089503661514E-3</v>
      </c>
    </row>
    <row r="177" spans="2:5" ht="15" customHeight="1" x14ac:dyDescent="0.25">
      <c r="B177" s="84"/>
      <c r="C177" s="45" t="s">
        <v>132</v>
      </c>
      <c r="D177" s="44">
        <v>1</v>
      </c>
      <c r="E177" s="43">
        <v>4.0683482506102521E-4</v>
      </c>
    </row>
    <row r="178" spans="2:5" ht="15" customHeight="1" x14ac:dyDescent="0.25">
      <c r="B178" s="84"/>
      <c r="C178" s="45" t="s">
        <v>131</v>
      </c>
      <c r="D178" s="44">
        <v>4</v>
      </c>
      <c r="E178" s="43">
        <v>1.6273393002441008E-3</v>
      </c>
    </row>
    <row r="179" spans="2:5" ht="15" customHeight="1" x14ac:dyDescent="0.25">
      <c r="B179" s="83"/>
      <c r="C179" s="42" t="s">
        <v>20</v>
      </c>
      <c r="D179" s="41">
        <v>15</v>
      </c>
      <c r="E179" s="40">
        <v>6.1025223759153787E-3</v>
      </c>
    </row>
    <row r="180" spans="2:5" ht="15" customHeight="1" x14ac:dyDescent="0.25">
      <c r="B180" s="82" t="s">
        <v>152</v>
      </c>
      <c r="C180" s="45" t="s">
        <v>145</v>
      </c>
      <c r="D180" s="44">
        <v>6</v>
      </c>
      <c r="E180" s="43">
        <v>2.4410089503661514E-3</v>
      </c>
    </row>
    <row r="181" spans="2:5" ht="15" customHeight="1" x14ac:dyDescent="0.25">
      <c r="B181" s="84"/>
      <c r="C181" s="45" t="s">
        <v>144</v>
      </c>
      <c r="D181" s="44">
        <v>3</v>
      </c>
      <c r="E181" s="43">
        <v>1.2205044751830757E-3</v>
      </c>
    </row>
    <row r="182" spans="2:5" ht="15" customHeight="1" x14ac:dyDescent="0.25">
      <c r="B182" s="84"/>
      <c r="C182" s="45" t="s">
        <v>143</v>
      </c>
      <c r="D182" s="44">
        <v>5</v>
      </c>
      <c r="E182" s="43">
        <v>2.0341741253051262E-3</v>
      </c>
    </row>
    <row r="183" spans="2:5" ht="15" customHeight="1" x14ac:dyDescent="0.25">
      <c r="B183" s="84"/>
      <c r="C183" s="45" t="s">
        <v>142</v>
      </c>
      <c r="D183" s="44">
        <v>2</v>
      </c>
      <c r="E183" s="43">
        <v>8.1366965012205042E-4</v>
      </c>
    </row>
    <row r="184" spans="2:5" ht="15" customHeight="1" x14ac:dyDescent="0.25">
      <c r="B184" s="84"/>
      <c r="C184" s="45" t="s">
        <v>141</v>
      </c>
      <c r="D184" s="44">
        <v>5</v>
      </c>
      <c r="E184" s="43">
        <v>2.0341741253051262E-3</v>
      </c>
    </row>
    <row r="185" spans="2:5" ht="15" customHeight="1" x14ac:dyDescent="0.25">
      <c r="B185" s="84"/>
      <c r="C185" s="45" t="s">
        <v>140</v>
      </c>
      <c r="D185" s="44">
        <v>8</v>
      </c>
      <c r="E185" s="43">
        <v>3.2546786004882017E-3</v>
      </c>
    </row>
    <row r="186" spans="2:5" ht="15" customHeight="1" x14ac:dyDescent="0.25">
      <c r="B186" s="84"/>
      <c r="C186" s="45" t="s">
        <v>139</v>
      </c>
      <c r="D186" s="44">
        <v>32</v>
      </c>
      <c r="E186" s="43">
        <v>1.3018714401952807E-2</v>
      </c>
    </row>
    <row r="187" spans="2:5" ht="15" customHeight="1" x14ac:dyDescent="0.25">
      <c r="B187" s="84"/>
      <c r="C187" s="45" t="s">
        <v>138</v>
      </c>
      <c r="D187" s="44">
        <v>72</v>
      </c>
      <c r="E187" s="43">
        <v>2.9292107404393815E-2</v>
      </c>
    </row>
    <row r="188" spans="2:5" ht="15" customHeight="1" x14ac:dyDescent="0.25">
      <c r="B188" s="84"/>
      <c r="C188" s="45" t="s">
        <v>137</v>
      </c>
      <c r="D188" s="44">
        <v>9</v>
      </c>
      <c r="E188" s="43">
        <v>3.6615134255492269E-3</v>
      </c>
    </row>
    <row r="189" spans="2:5" ht="15" customHeight="1" x14ac:dyDescent="0.25">
      <c r="B189" s="84"/>
      <c r="C189" s="45" t="s">
        <v>136</v>
      </c>
      <c r="D189" s="44">
        <v>10</v>
      </c>
      <c r="E189" s="43">
        <v>4.0683482506102524E-3</v>
      </c>
    </row>
    <row r="190" spans="2:5" ht="15" customHeight="1" x14ac:dyDescent="0.25">
      <c r="B190" s="84"/>
      <c r="C190" s="45" t="s">
        <v>135</v>
      </c>
      <c r="D190" s="44">
        <v>11</v>
      </c>
      <c r="E190" s="43">
        <v>4.4751830756712772E-3</v>
      </c>
    </row>
    <row r="191" spans="2:5" ht="15" customHeight="1" x14ac:dyDescent="0.25">
      <c r="B191" s="84"/>
      <c r="C191" s="45" t="s">
        <v>134</v>
      </c>
      <c r="D191" s="44">
        <v>145</v>
      </c>
      <c r="E191" s="43">
        <v>5.8991049633848658E-2</v>
      </c>
    </row>
    <row r="192" spans="2:5" ht="15" customHeight="1" x14ac:dyDescent="0.25">
      <c r="B192" s="84"/>
      <c r="C192" s="45" t="s">
        <v>133</v>
      </c>
      <c r="D192" s="44">
        <v>9</v>
      </c>
      <c r="E192" s="43">
        <v>3.6615134255492269E-3</v>
      </c>
    </row>
    <row r="193" spans="2:5" ht="15" customHeight="1" x14ac:dyDescent="0.25">
      <c r="B193" s="84"/>
      <c r="C193" s="45" t="s">
        <v>132</v>
      </c>
      <c r="D193" s="44">
        <v>28</v>
      </c>
      <c r="E193" s="43">
        <v>1.1391375101708706E-2</v>
      </c>
    </row>
    <row r="194" spans="2:5" ht="15" customHeight="1" x14ac:dyDescent="0.25">
      <c r="B194" s="84"/>
      <c r="C194" s="45" t="s">
        <v>131</v>
      </c>
      <c r="D194" s="44">
        <v>68</v>
      </c>
      <c r="E194" s="43">
        <v>2.7664768104149716E-2</v>
      </c>
    </row>
    <row r="195" spans="2:5" ht="15" customHeight="1" x14ac:dyDescent="0.25">
      <c r="B195" s="84"/>
      <c r="C195" s="45" t="s">
        <v>130</v>
      </c>
      <c r="D195" s="44">
        <v>1</v>
      </c>
      <c r="E195" s="43">
        <v>4.0683482506102521E-4</v>
      </c>
    </row>
    <row r="196" spans="2:5" ht="15" customHeight="1" x14ac:dyDescent="0.25">
      <c r="B196" s="84"/>
      <c r="C196" s="45" t="s">
        <v>127</v>
      </c>
      <c r="D196" s="44">
        <v>1</v>
      </c>
      <c r="E196" s="43">
        <v>4.0683482506102521E-4</v>
      </c>
    </row>
    <row r="197" spans="2:5" ht="15" customHeight="1" x14ac:dyDescent="0.25">
      <c r="B197" s="84"/>
      <c r="C197" s="45" t="s">
        <v>126</v>
      </c>
      <c r="D197" s="44">
        <v>5</v>
      </c>
      <c r="E197" s="43">
        <v>2.0341741253051262E-3</v>
      </c>
    </row>
    <row r="198" spans="2:5" ht="15" customHeight="1" x14ac:dyDescent="0.25">
      <c r="B198" s="84"/>
      <c r="C198" s="45" t="s">
        <v>125</v>
      </c>
      <c r="D198" s="44">
        <v>19</v>
      </c>
      <c r="E198" s="43">
        <v>7.7298616761594793E-3</v>
      </c>
    </row>
    <row r="199" spans="2:5" ht="15" customHeight="1" x14ac:dyDescent="0.25">
      <c r="B199" s="83"/>
      <c r="C199" s="42" t="s">
        <v>20</v>
      </c>
      <c r="D199" s="41">
        <v>439</v>
      </c>
      <c r="E199" s="40">
        <v>0.17860048820179009</v>
      </c>
    </row>
    <row r="200" spans="2:5" ht="15" customHeight="1" x14ac:dyDescent="0.25">
      <c r="B200" s="82" t="s">
        <v>151</v>
      </c>
      <c r="C200" s="45" t="s">
        <v>139</v>
      </c>
      <c r="D200" s="44">
        <v>1</v>
      </c>
      <c r="E200" s="43">
        <v>4.0683482506102521E-4</v>
      </c>
    </row>
    <row r="201" spans="2:5" ht="15" customHeight="1" x14ac:dyDescent="0.25">
      <c r="B201" s="84"/>
      <c r="C201" s="45" t="s">
        <v>138</v>
      </c>
      <c r="D201" s="44">
        <v>1</v>
      </c>
      <c r="E201" s="43">
        <v>4.0683482506102521E-4</v>
      </c>
    </row>
    <row r="202" spans="2:5" ht="15" customHeight="1" x14ac:dyDescent="0.25">
      <c r="B202" s="84"/>
      <c r="C202" s="45" t="s">
        <v>134</v>
      </c>
      <c r="D202" s="44">
        <v>4</v>
      </c>
      <c r="E202" s="43">
        <v>1.6273393002441008E-3</v>
      </c>
    </row>
    <row r="203" spans="2:5" ht="15" customHeight="1" x14ac:dyDescent="0.25">
      <c r="B203" s="84"/>
      <c r="C203" s="45" t="s">
        <v>132</v>
      </c>
      <c r="D203" s="44">
        <v>1</v>
      </c>
      <c r="E203" s="43">
        <v>4.0683482506102521E-4</v>
      </c>
    </row>
    <row r="204" spans="2:5" ht="15" customHeight="1" x14ac:dyDescent="0.25">
      <c r="B204" s="84"/>
      <c r="C204" s="45" t="s">
        <v>131</v>
      </c>
      <c r="D204" s="44">
        <v>2</v>
      </c>
      <c r="E204" s="43">
        <v>8.1366965012205042E-4</v>
      </c>
    </row>
    <row r="205" spans="2:5" ht="15" customHeight="1" x14ac:dyDescent="0.25">
      <c r="B205" s="84"/>
      <c r="C205" s="45" t="s">
        <v>125</v>
      </c>
      <c r="D205" s="44">
        <v>1</v>
      </c>
      <c r="E205" s="43">
        <v>4.0683482506102521E-4</v>
      </c>
    </row>
    <row r="206" spans="2:5" ht="15" customHeight="1" x14ac:dyDescent="0.25">
      <c r="B206" s="83"/>
      <c r="C206" s="42" t="s">
        <v>20</v>
      </c>
      <c r="D206" s="41">
        <v>10</v>
      </c>
      <c r="E206" s="40">
        <v>4.0683482506102524E-3</v>
      </c>
    </row>
    <row r="207" spans="2:5" ht="15" customHeight="1" x14ac:dyDescent="0.25">
      <c r="B207" s="82" t="s">
        <v>82</v>
      </c>
      <c r="C207" s="45" t="s">
        <v>145</v>
      </c>
      <c r="D207" s="44">
        <v>1</v>
      </c>
      <c r="E207" s="43">
        <v>4.0683482506102521E-4</v>
      </c>
    </row>
    <row r="208" spans="2:5" ht="15" customHeight="1" x14ac:dyDescent="0.25">
      <c r="B208" s="84"/>
      <c r="C208" s="45" t="s">
        <v>139</v>
      </c>
      <c r="D208" s="44">
        <v>1</v>
      </c>
      <c r="E208" s="43">
        <v>4.0683482506102521E-4</v>
      </c>
    </row>
    <row r="209" spans="2:5" ht="15" customHeight="1" x14ac:dyDescent="0.25">
      <c r="B209" s="84"/>
      <c r="C209" s="45" t="s">
        <v>138</v>
      </c>
      <c r="D209" s="44">
        <v>1</v>
      </c>
      <c r="E209" s="43">
        <v>4.0683482506102521E-4</v>
      </c>
    </row>
    <row r="210" spans="2:5" ht="15" customHeight="1" x14ac:dyDescent="0.25">
      <c r="B210" s="84"/>
      <c r="C210" s="45" t="s">
        <v>134</v>
      </c>
      <c r="D210" s="44">
        <v>4</v>
      </c>
      <c r="E210" s="43">
        <v>1.6273393002441008E-3</v>
      </c>
    </row>
    <row r="211" spans="2:5" ht="15" customHeight="1" x14ac:dyDescent="0.25">
      <c r="B211" s="84"/>
      <c r="C211" s="45" t="s">
        <v>132</v>
      </c>
      <c r="D211" s="44">
        <v>1</v>
      </c>
      <c r="E211" s="43">
        <v>4.0683482506102521E-4</v>
      </c>
    </row>
    <row r="212" spans="2:5" ht="15" customHeight="1" x14ac:dyDescent="0.25">
      <c r="B212" s="84"/>
      <c r="C212" s="45" t="s">
        <v>131</v>
      </c>
      <c r="D212" s="44">
        <v>4</v>
      </c>
      <c r="E212" s="43">
        <v>1.6273393002441008E-3</v>
      </c>
    </row>
    <row r="213" spans="2:5" ht="15" customHeight="1" x14ac:dyDescent="0.25">
      <c r="B213" s="83"/>
      <c r="C213" s="42" t="s">
        <v>20</v>
      </c>
      <c r="D213" s="41">
        <v>12</v>
      </c>
      <c r="E213" s="40">
        <v>4.8820179007323028E-3</v>
      </c>
    </row>
    <row r="214" spans="2:5" ht="15" customHeight="1" x14ac:dyDescent="0.25">
      <c r="B214" s="82" t="s">
        <v>81</v>
      </c>
      <c r="C214" s="45" t="s">
        <v>142</v>
      </c>
      <c r="D214" s="44">
        <v>1</v>
      </c>
      <c r="E214" s="43">
        <v>4.0683482506102521E-4</v>
      </c>
    </row>
    <row r="215" spans="2:5" ht="15" customHeight="1" x14ac:dyDescent="0.25">
      <c r="B215" s="84"/>
      <c r="C215" s="45" t="s">
        <v>136</v>
      </c>
      <c r="D215" s="44">
        <v>1</v>
      </c>
      <c r="E215" s="43">
        <v>4.0683482506102521E-4</v>
      </c>
    </row>
    <row r="216" spans="2:5" ht="15" customHeight="1" x14ac:dyDescent="0.25">
      <c r="B216" s="84"/>
      <c r="C216" s="45" t="s">
        <v>133</v>
      </c>
      <c r="D216" s="44">
        <v>1</v>
      </c>
      <c r="E216" s="43">
        <v>4.0683482506102521E-4</v>
      </c>
    </row>
    <row r="217" spans="2:5" ht="15" customHeight="1" x14ac:dyDescent="0.25">
      <c r="B217" s="84"/>
      <c r="C217" s="45" t="s">
        <v>131</v>
      </c>
      <c r="D217" s="44">
        <v>1</v>
      </c>
      <c r="E217" s="43">
        <v>4.0683482506102521E-4</v>
      </c>
    </row>
    <row r="218" spans="2:5" ht="15" customHeight="1" x14ac:dyDescent="0.25">
      <c r="B218" s="84"/>
      <c r="C218" s="45" t="s">
        <v>130</v>
      </c>
      <c r="D218" s="44">
        <v>1</v>
      </c>
      <c r="E218" s="43">
        <v>4.0683482506102521E-4</v>
      </c>
    </row>
    <row r="219" spans="2:5" ht="15" customHeight="1" x14ac:dyDescent="0.25">
      <c r="B219" s="84"/>
      <c r="C219" s="45" t="s">
        <v>125</v>
      </c>
      <c r="D219" s="44">
        <v>1</v>
      </c>
      <c r="E219" s="43">
        <v>4.0683482506102521E-4</v>
      </c>
    </row>
    <row r="220" spans="2:5" ht="15" customHeight="1" x14ac:dyDescent="0.25">
      <c r="B220" s="83"/>
      <c r="C220" s="42" t="s">
        <v>20</v>
      </c>
      <c r="D220" s="41">
        <v>6</v>
      </c>
      <c r="E220" s="40">
        <v>2.4410089503661514E-3</v>
      </c>
    </row>
    <row r="221" spans="2:5" ht="15" customHeight="1" x14ac:dyDescent="0.25">
      <c r="B221" s="82" t="s">
        <v>74</v>
      </c>
      <c r="C221" s="45" t="s">
        <v>134</v>
      </c>
      <c r="D221" s="44">
        <v>1</v>
      </c>
      <c r="E221" s="43">
        <v>4.0683482506102521E-4</v>
      </c>
    </row>
    <row r="222" spans="2:5" ht="15" customHeight="1" x14ac:dyDescent="0.25">
      <c r="B222" s="84"/>
      <c r="C222" s="45" t="s">
        <v>133</v>
      </c>
      <c r="D222" s="44">
        <v>1</v>
      </c>
      <c r="E222" s="43">
        <v>4.0683482506102521E-4</v>
      </c>
    </row>
    <row r="223" spans="2:5" ht="15" customHeight="1" x14ac:dyDescent="0.25">
      <c r="B223" s="84"/>
      <c r="C223" s="45" t="s">
        <v>125</v>
      </c>
      <c r="D223" s="44">
        <v>1</v>
      </c>
      <c r="E223" s="43">
        <v>4.0683482506102521E-4</v>
      </c>
    </row>
    <row r="224" spans="2:5" ht="15" customHeight="1" x14ac:dyDescent="0.25">
      <c r="B224" s="83"/>
      <c r="C224" s="42" t="s">
        <v>20</v>
      </c>
      <c r="D224" s="41">
        <v>3</v>
      </c>
      <c r="E224" s="40">
        <v>1.2205044751830757E-3</v>
      </c>
    </row>
    <row r="225" spans="2:5" ht="15" customHeight="1" x14ac:dyDescent="0.25">
      <c r="B225" s="82" t="s">
        <v>103</v>
      </c>
      <c r="C225" s="45" t="s">
        <v>139</v>
      </c>
      <c r="D225" s="44">
        <v>1</v>
      </c>
      <c r="E225" s="43">
        <v>4.0683482506102521E-4</v>
      </c>
    </row>
    <row r="226" spans="2:5" ht="15" customHeight="1" x14ac:dyDescent="0.25">
      <c r="B226" s="84"/>
      <c r="C226" s="45" t="s">
        <v>138</v>
      </c>
      <c r="D226" s="44">
        <v>1</v>
      </c>
      <c r="E226" s="43">
        <v>4.0683482506102521E-4</v>
      </c>
    </row>
    <row r="227" spans="2:5" ht="15" customHeight="1" x14ac:dyDescent="0.25">
      <c r="B227" s="84"/>
      <c r="C227" s="45" t="s">
        <v>134</v>
      </c>
      <c r="D227" s="44">
        <v>5</v>
      </c>
      <c r="E227" s="43">
        <v>2.0341741253051262E-3</v>
      </c>
    </row>
    <row r="228" spans="2:5" ht="15" customHeight="1" x14ac:dyDescent="0.25">
      <c r="B228" s="84"/>
      <c r="C228" s="45" t="s">
        <v>132</v>
      </c>
      <c r="D228" s="44">
        <v>1</v>
      </c>
      <c r="E228" s="43">
        <v>4.0683482506102521E-4</v>
      </c>
    </row>
    <row r="229" spans="2:5" ht="15" customHeight="1" x14ac:dyDescent="0.25">
      <c r="B229" s="84"/>
      <c r="C229" s="45" t="s">
        <v>131</v>
      </c>
      <c r="D229" s="44">
        <v>3</v>
      </c>
      <c r="E229" s="43">
        <v>1.2205044751830757E-3</v>
      </c>
    </row>
    <row r="230" spans="2:5" ht="15" customHeight="1" x14ac:dyDescent="0.25">
      <c r="B230" s="84"/>
      <c r="C230" s="45" t="s">
        <v>125</v>
      </c>
      <c r="D230" s="44">
        <v>1</v>
      </c>
      <c r="E230" s="43">
        <v>4.0683482506102521E-4</v>
      </c>
    </row>
    <row r="231" spans="2:5" ht="15" customHeight="1" x14ac:dyDescent="0.25">
      <c r="B231" s="83"/>
      <c r="C231" s="42" t="s">
        <v>20</v>
      </c>
      <c r="D231" s="41">
        <v>12</v>
      </c>
      <c r="E231" s="40">
        <v>4.8820179007323028E-3</v>
      </c>
    </row>
    <row r="232" spans="2:5" ht="15" customHeight="1" x14ac:dyDescent="0.25">
      <c r="B232" s="82" t="s">
        <v>76</v>
      </c>
      <c r="C232" s="45" t="s">
        <v>144</v>
      </c>
      <c r="D232" s="44">
        <v>1</v>
      </c>
      <c r="E232" s="43">
        <v>4.0683482506102521E-4</v>
      </c>
    </row>
    <row r="233" spans="2:5" ht="15" customHeight="1" x14ac:dyDescent="0.25">
      <c r="B233" s="84"/>
      <c r="C233" s="45" t="s">
        <v>141</v>
      </c>
      <c r="D233" s="44">
        <v>1</v>
      </c>
      <c r="E233" s="43">
        <v>4.0683482506102521E-4</v>
      </c>
    </row>
    <row r="234" spans="2:5" ht="15" customHeight="1" x14ac:dyDescent="0.25">
      <c r="B234" s="84"/>
      <c r="C234" s="45" t="s">
        <v>140</v>
      </c>
      <c r="D234" s="44">
        <v>1</v>
      </c>
      <c r="E234" s="43">
        <v>4.0683482506102521E-4</v>
      </c>
    </row>
    <row r="235" spans="2:5" ht="15" customHeight="1" x14ac:dyDescent="0.25">
      <c r="B235" s="84"/>
      <c r="C235" s="45" t="s">
        <v>139</v>
      </c>
      <c r="D235" s="44">
        <v>1</v>
      </c>
      <c r="E235" s="43">
        <v>4.0683482506102521E-4</v>
      </c>
    </row>
    <row r="236" spans="2:5" ht="15" customHeight="1" x14ac:dyDescent="0.25">
      <c r="B236" s="84"/>
      <c r="C236" s="45" t="s">
        <v>137</v>
      </c>
      <c r="D236" s="44">
        <v>1</v>
      </c>
      <c r="E236" s="43">
        <v>4.0683482506102521E-4</v>
      </c>
    </row>
    <row r="237" spans="2:5" ht="15" customHeight="1" x14ac:dyDescent="0.25">
      <c r="B237" s="84"/>
      <c r="C237" s="45" t="s">
        <v>136</v>
      </c>
      <c r="D237" s="44">
        <v>1</v>
      </c>
      <c r="E237" s="43">
        <v>4.0683482506102521E-4</v>
      </c>
    </row>
    <row r="238" spans="2:5" ht="15" customHeight="1" x14ac:dyDescent="0.25">
      <c r="B238" s="84"/>
      <c r="C238" s="45" t="s">
        <v>134</v>
      </c>
      <c r="D238" s="44">
        <v>6</v>
      </c>
      <c r="E238" s="43">
        <v>2.4410089503661514E-3</v>
      </c>
    </row>
    <row r="239" spans="2:5" ht="15" customHeight="1" x14ac:dyDescent="0.25">
      <c r="B239" s="84"/>
      <c r="C239" s="45" t="s">
        <v>132</v>
      </c>
      <c r="D239" s="44">
        <v>2</v>
      </c>
      <c r="E239" s="43">
        <v>8.1366965012205042E-4</v>
      </c>
    </row>
    <row r="240" spans="2:5" ht="15" customHeight="1" x14ac:dyDescent="0.25">
      <c r="B240" s="84"/>
      <c r="C240" s="45" t="s">
        <v>131</v>
      </c>
      <c r="D240" s="44">
        <v>5</v>
      </c>
      <c r="E240" s="43">
        <v>2.0341741253051262E-3</v>
      </c>
    </row>
    <row r="241" spans="2:5" ht="15" customHeight="1" x14ac:dyDescent="0.25">
      <c r="B241" s="84"/>
      <c r="C241" s="45" t="s">
        <v>125</v>
      </c>
      <c r="D241" s="44">
        <v>3</v>
      </c>
      <c r="E241" s="43">
        <v>1.2205044751830757E-3</v>
      </c>
    </row>
    <row r="242" spans="2:5" ht="15" customHeight="1" x14ac:dyDescent="0.25">
      <c r="B242" s="83"/>
      <c r="C242" s="42" t="s">
        <v>20</v>
      </c>
      <c r="D242" s="41">
        <v>22</v>
      </c>
      <c r="E242" s="40">
        <v>8.9503661513425543E-3</v>
      </c>
    </row>
    <row r="243" spans="2:5" ht="15" customHeight="1" x14ac:dyDescent="0.25">
      <c r="B243" s="82" t="s">
        <v>95</v>
      </c>
      <c r="C243" s="45" t="s">
        <v>145</v>
      </c>
      <c r="D243" s="44">
        <v>1</v>
      </c>
      <c r="E243" s="43">
        <v>4.0683482506102521E-4</v>
      </c>
    </row>
    <row r="244" spans="2:5" ht="15" customHeight="1" x14ac:dyDescent="0.25">
      <c r="B244" s="84"/>
      <c r="C244" s="45" t="s">
        <v>141</v>
      </c>
      <c r="D244" s="44">
        <v>1</v>
      </c>
      <c r="E244" s="43">
        <v>4.0683482506102521E-4</v>
      </c>
    </row>
    <row r="245" spans="2:5" ht="15" customHeight="1" x14ac:dyDescent="0.25">
      <c r="B245" s="84"/>
      <c r="C245" s="45" t="s">
        <v>139</v>
      </c>
      <c r="D245" s="44">
        <v>2</v>
      </c>
      <c r="E245" s="43">
        <v>8.1366965012205042E-4</v>
      </c>
    </row>
    <row r="246" spans="2:5" ht="15" customHeight="1" x14ac:dyDescent="0.25">
      <c r="B246" s="84"/>
      <c r="C246" s="45" t="s">
        <v>138</v>
      </c>
      <c r="D246" s="44">
        <v>2</v>
      </c>
      <c r="E246" s="43">
        <v>8.1366965012205042E-4</v>
      </c>
    </row>
    <row r="247" spans="2:5" ht="15" customHeight="1" x14ac:dyDescent="0.25">
      <c r="B247" s="84"/>
      <c r="C247" s="45" t="s">
        <v>136</v>
      </c>
      <c r="D247" s="44">
        <v>1</v>
      </c>
      <c r="E247" s="43">
        <v>4.0683482506102521E-4</v>
      </c>
    </row>
    <row r="248" spans="2:5" ht="15" customHeight="1" x14ac:dyDescent="0.25">
      <c r="B248" s="84"/>
      <c r="C248" s="45" t="s">
        <v>135</v>
      </c>
      <c r="D248" s="44">
        <v>1</v>
      </c>
      <c r="E248" s="43">
        <v>4.0683482506102521E-4</v>
      </c>
    </row>
    <row r="249" spans="2:5" ht="15" customHeight="1" x14ac:dyDescent="0.25">
      <c r="B249" s="84"/>
      <c r="C249" s="45" t="s">
        <v>134</v>
      </c>
      <c r="D249" s="44">
        <v>5</v>
      </c>
      <c r="E249" s="43">
        <v>2.0341741253051262E-3</v>
      </c>
    </row>
    <row r="250" spans="2:5" ht="15" customHeight="1" x14ac:dyDescent="0.25">
      <c r="B250" s="84"/>
      <c r="C250" s="45" t="s">
        <v>132</v>
      </c>
      <c r="D250" s="44">
        <v>1</v>
      </c>
      <c r="E250" s="43">
        <v>4.0683482506102521E-4</v>
      </c>
    </row>
    <row r="251" spans="2:5" ht="15" customHeight="1" x14ac:dyDescent="0.25">
      <c r="B251" s="84"/>
      <c r="C251" s="45" t="s">
        <v>131</v>
      </c>
      <c r="D251" s="44">
        <v>2</v>
      </c>
      <c r="E251" s="43">
        <v>8.1366965012205042E-4</v>
      </c>
    </row>
    <row r="252" spans="2:5" ht="15" customHeight="1" x14ac:dyDescent="0.25">
      <c r="B252" s="84"/>
      <c r="C252" s="45" t="s">
        <v>125</v>
      </c>
      <c r="D252" s="44">
        <v>1</v>
      </c>
      <c r="E252" s="43">
        <v>4.0683482506102521E-4</v>
      </c>
    </row>
    <row r="253" spans="2:5" ht="15" customHeight="1" x14ac:dyDescent="0.25">
      <c r="B253" s="83"/>
      <c r="C253" s="42" t="s">
        <v>20</v>
      </c>
      <c r="D253" s="41">
        <v>17</v>
      </c>
      <c r="E253" s="40">
        <v>6.916192026037429E-3</v>
      </c>
    </row>
    <row r="254" spans="2:5" ht="15" customHeight="1" x14ac:dyDescent="0.25">
      <c r="B254" s="82" t="s">
        <v>91</v>
      </c>
      <c r="C254" s="45" t="s">
        <v>145</v>
      </c>
      <c r="D254" s="44">
        <v>2</v>
      </c>
      <c r="E254" s="43">
        <v>8.1366965012205042E-4</v>
      </c>
    </row>
    <row r="255" spans="2:5" ht="15" customHeight="1" x14ac:dyDescent="0.25">
      <c r="B255" s="84"/>
      <c r="C255" s="45" t="s">
        <v>143</v>
      </c>
      <c r="D255" s="44">
        <v>1</v>
      </c>
      <c r="E255" s="43">
        <v>4.0683482506102521E-4</v>
      </c>
    </row>
    <row r="256" spans="2:5" ht="15" customHeight="1" x14ac:dyDescent="0.25">
      <c r="B256" s="84"/>
      <c r="C256" s="45" t="s">
        <v>140</v>
      </c>
      <c r="D256" s="44">
        <v>2</v>
      </c>
      <c r="E256" s="43">
        <v>8.1366965012205042E-4</v>
      </c>
    </row>
    <row r="257" spans="2:5" ht="15" customHeight="1" x14ac:dyDescent="0.25">
      <c r="B257" s="84"/>
      <c r="C257" s="45" t="s">
        <v>139</v>
      </c>
      <c r="D257" s="44">
        <v>3</v>
      </c>
      <c r="E257" s="43">
        <v>1.2205044751830757E-3</v>
      </c>
    </row>
    <row r="258" spans="2:5" ht="15" customHeight="1" x14ac:dyDescent="0.25">
      <c r="B258" s="84"/>
      <c r="C258" s="45" t="s">
        <v>138</v>
      </c>
      <c r="D258" s="44">
        <v>6</v>
      </c>
      <c r="E258" s="43">
        <v>2.4410089503661514E-3</v>
      </c>
    </row>
    <row r="259" spans="2:5" ht="15" customHeight="1" x14ac:dyDescent="0.25">
      <c r="B259" s="84"/>
      <c r="C259" s="45" t="s">
        <v>135</v>
      </c>
      <c r="D259" s="44">
        <v>3</v>
      </c>
      <c r="E259" s="43">
        <v>1.2205044751830757E-3</v>
      </c>
    </row>
    <row r="260" spans="2:5" ht="15" customHeight="1" x14ac:dyDescent="0.25">
      <c r="B260" s="84"/>
      <c r="C260" s="45" t="s">
        <v>134</v>
      </c>
      <c r="D260" s="44">
        <v>15</v>
      </c>
      <c r="E260" s="43">
        <v>6.1025223759153787E-3</v>
      </c>
    </row>
    <row r="261" spans="2:5" ht="15" customHeight="1" x14ac:dyDescent="0.25">
      <c r="B261" s="84"/>
      <c r="C261" s="45" t="s">
        <v>132</v>
      </c>
      <c r="D261" s="44">
        <v>5</v>
      </c>
      <c r="E261" s="43">
        <v>2.0341741253051262E-3</v>
      </c>
    </row>
    <row r="262" spans="2:5" ht="15" customHeight="1" x14ac:dyDescent="0.25">
      <c r="B262" s="84"/>
      <c r="C262" s="45" t="s">
        <v>131</v>
      </c>
      <c r="D262" s="44">
        <v>9</v>
      </c>
      <c r="E262" s="43">
        <v>3.6615134255492269E-3</v>
      </c>
    </row>
    <row r="263" spans="2:5" ht="15" customHeight="1" x14ac:dyDescent="0.25">
      <c r="B263" s="84"/>
      <c r="C263" s="45" t="s">
        <v>129</v>
      </c>
      <c r="D263" s="44">
        <v>1</v>
      </c>
      <c r="E263" s="43">
        <v>4.0683482506102521E-4</v>
      </c>
    </row>
    <row r="264" spans="2:5" ht="15" customHeight="1" x14ac:dyDescent="0.25">
      <c r="B264" s="84"/>
      <c r="C264" s="45" t="s">
        <v>128</v>
      </c>
      <c r="D264" s="44">
        <v>2</v>
      </c>
      <c r="E264" s="43">
        <v>8.1366965012205042E-4</v>
      </c>
    </row>
    <row r="265" spans="2:5" ht="15" customHeight="1" x14ac:dyDescent="0.25">
      <c r="B265" s="84"/>
      <c r="C265" s="45" t="s">
        <v>125</v>
      </c>
      <c r="D265" s="44">
        <v>1</v>
      </c>
      <c r="E265" s="43">
        <v>4.0683482506102521E-4</v>
      </c>
    </row>
    <row r="266" spans="2:5" ht="15" customHeight="1" x14ac:dyDescent="0.25">
      <c r="B266" s="83"/>
      <c r="C266" s="42" t="s">
        <v>20</v>
      </c>
      <c r="D266" s="41">
        <v>50</v>
      </c>
      <c r="E266" s="40">
        <v>2.034174125305126E-2</v>
      </c>
    </row>
    <row r="267" spans="2:5" ht="15" customHeight="1" x14ac:dyDescent="0.25">
      <c r="B267" s="82" t="s">
        <v>79</v>
      </c>
      <c r="C267" s="45" t="s">
        <v>140</v>
      </c>
      <c r="D267" s="44">
        <v>2</v>
      </c>
      <c r="E267" s="43">
        <v>8.1366965012205042E-4</v>
      </c>
    </row>
    <row r="268" spans="2:5" ht="15" customHeight="1" x14ac:dyDescent="0.25">
      <c r="B268" s="84"/>
      <c r="C268" s="45" t="s">
        <v>139</v>
      </c>
      <c r="D268" s="44">
        <v>6</v>
      </c>
      <c r="E268" s="43">
        <v>2.4410089503661514E-3</v>
      </c>
    </row>
    <row r="269" spans="2:5" ht="15" customHeight="1" x14ac:dyDescent="0.25">
      <c r="B269" s="84"/>
      <c r="C269" s="45" t="s">
        <v>138</v>
      </c>
      <c r="D269" s="44">
        <v>5</v>
      </c>
      <c r="E269" s="43">
        <v>2.0341741253051262E-3</v>
      </c>
    </row>
    <row r="270" spans="2:5" ht="15" customHeight="1" x14ac:dyDescent="0.25">
      <c r="B270" s="84"/>
      <c r="C270" s="45" t="s">
        <v>135</v>
      </c>
      <c r="D270" s="44">
        <v>1</v>
      </c>
      <c r="E270" s="43">
        <v>4.0683482506102521E-4</v>
      </c>
    </row>
    <row r="271" spans="2:5" ht="15" customHeight="1" x14ac:dyDescent="0.25">
      <c r="B271" s="84"/>
      <c r="C271" s="45" t="s">
        <v>134</v>
      </c>
      <c r="D271" s="44">
        <v>5</v>
      </c>
      <c r="E271" s="43">
        <v>2.0341741253051262E-3</v>
      </c>
    </row>
    <row r="272" spans="2:5" ht="15" customHeight="1" x14ac:dyDescent="0.25">
      <c r="B272" s="84"/>
      <c r="C272" s="45" t="s">
        <v>132</v>
      </c>
      <c r="D272" s="44">
        <v>2</v>
      </c>
      <c r="E272" s="43">
        <v>8.1366965012205042E-4</v>
      </c>
    </row>
    <row r="273" spans="2:5" ht="15" customHeight="1" x14ac:dyDescent="0.25">
      <c r="B273" s="84"/>
      <c r="C273" s="45" t="s">
        <v>131</v>
      </c>
      <c r="D273" s="44">
        <v>9</v>
      </c>
      <c r="E273" s="43">
        <v>3.6615134255492269E-3</v>
      </c>
    </row>
    <row r="274" spans="2:5" ht="15" customHeight="1" x14ac:dyDescent="0.25">
      <c r="B274" s="84"/>
      <c r="C274" s="45" t="s">
        <v>130</v>
      </c>
      <c r="D274" s="44">
        <v>1</v>
      </c>
      <c r="E274" s="43">
        <v>4.0683482506102521E-4</v>
      </c>
    </row>
    <row r="275" spans="2:5" ht="15" customHeight="1" x14ac:dyDescent="0.25">
      <c r="B275" s="84"/>
      <c r="C275" s="45" t="s">
        <v>127</v>
      </c>
      <c r="D275" s="44">
        <v>1</v>
      </c>
      <c r="E275" s="43">
        <v>4.0683482506102521E-4</v>
      </c>
    </row>
    <row r="276" spans="2:5" ht="15" customHeight="1" x14ac:dyDescent="0.25">
      <c r="B276" s="84"/>
      <c r="C276" s="45" t="s">
        <v>125</v>
      </c>
      <c r="D276" s="44">
        <v>1</v>
      </c>
      <c r="E276" s="43">
        <v>4.0683482506102521E-4</v>
      </c>
    </row>
    <row r="277" spans="2:5" ht="15" customHeight="1" x14ac:dyDescent="0.25">
      <c r="B277" s="83"/>
      <c r="C277" s="42" t="s">
        <v>20</v>
      </c>
      <c r="D277" s="41">
        <v>33</v>
      </c>
      <c r="E277" s="40">
        <v>1.3425549227013833E-2</v>
      </c>
    </row>
    <row r="278" spans="2:5" ht="15" customHeight="1" x14ac:dyDescent="0.25">
      <c r="B278" s="82" t="s">
        <v>83</v>
      </c>
      <c r="C278" s="45" t="s">
        <v>142</v>
      </c>
      <c r="D278" s="44">
        <v>2</v>
      </c>
      <c r="E278" s="43">
        <v>8.1366965012205042E-4</v>
      </c>
    </row>
    <row r="279" spans="2:5" ht="15" customHeight="1" x14ac:dyDescent="0.25">
      <c r="B279" s="84"/>
      <c r="C279" s="45" t="s">
        <v>140</v>
      </c>
      <c r="D279" s="44">
        <v>3</v>
      </c>
      <c r="E279" s="43">
        <v>1.2205044751830757E-3</v>
      </c>
    </row>
    <row r="280" spans="2:5" ht="15" customHeight="1" x14ac:dyDescent="0.25">
      <c r="B280" s="84"/>
      <c r="C280" s="45" t="s">
        <v>139</v>
      </c>
      <c r="D280" s="44">
        <v>3</v>
      </c>
      <c r="E280" s="43">
        <v>1.2205044751830757E-3</v>
      </c>
    </row>
    <row r="281" spans="2:5" ht="15" customHeight="1" x14ac:dyDescent="0.25">
      <c r="B281" s="84"/>
      <c r="C281" s="45" t="s">
        <v>138</v>
      </c>
      <c r="D281" s="44">
        <v>4</v>
      </c>
      <c r="E281" s="43">
        <v>1.6273393002441008E-3</v>
      </c>
    </row>
    <row r="282" spans="2:5" ht="15" customHeight="1" x14ac:dyDescent="0.25">
      <c r="B282" s="84"/>
      <c r="C282" s="45" t="s">
        <v>136</v>
      </c>
      <c r="D282" s="44">
        <v>1</v>
      </c>
      <c r="E282" s="43">
        <v>4.0683482506102521E-4</v>
      </c>
    </row>
    <row r="283" spans="2:5" ht="15" customHeight="1" x14ac:dyDescent="0.25">
      <c r="B283" s="84"/>
      <c r="C283" s="45" t="s">
        <v>135</v>
      </c>
      <c r="D283" s="44">
        <v>3</v>
      </c>
      <c r="E283" s="43">
        <v>1.2205044751830757E-3</v>
      </c>
    </row>
    <row r="284" spans="2:5" ht="15" customHeight="1" x14ac:dyDescent="0.25">
      <c r="B284" s="84"/>
      <c r="C284" s="45" t="s">
        <v>134</v>
      </c>
      <c r="D284" s="44">
        <v>12</v>
      </c>
      <c r="E284" s="43">
        <v>4.8820179007323028E-3</v>
      </c>
    </row>
    <row r="285" spans="2:5" ht="15" customHeight="1" x14ac:dyDescent="0.25">
      <c r="B285" s="84"/>
      <c r="C285" s="45" t="s">
        <v>132</v>
      </c>
      <c r="D285" s="44">
        <v>8</v>
      </c>
      <c r="E285" s="43">
        <v>3.2546786004882017E-3</v>
      </c>
    </row>
    <row r="286" spans="2:5" ht="15" customHeight="1" x14ac:dyDescent="0.25">
      <c r="B286" s="84"/>
      <c r="C286" s="45" t="s">
        <v>131</v>
      </c>
      <c r="D286" s="44">
        <v>7</v>
      </c>
      <c r="E286" s="43">
        <v>2.8478437754271765E-3</v>
      </c>
    </row>
    <row r="287" spans="2:5" ht="15" customHeight="1" x14ac:dyDescent="0.25">
      <c r="B287" s="84"/>
      <c r="C287" s="45" t="s">
        <v>129</v>
      </c>
      <c r="D287" s="44">
        <v>2</v>
      </c>
      <c r="E287" s="43">
        <v>8.1366965012205042E-4</v>
      </c>
    </row>
    <row r="288" spans="2:5" ht="15" customHeight="1" x14ac:dyDescent="0.25">
      <c r="B288" s="84"/>
      <c r="C288" s="45" t="s">
        <v>126</v>
      </c>
      <c r="D288" s="44">
        <v>1</v>
      </c>
      <c r="E288" s="43">
        <v>4.0683482506102521E-4</v>
      </c>
    </row>
    <row r="289" spans="2:5" ht="15" customHeight="1" x14ac:dyDescent="0.25">
      <c r="B289" s="83"/>
      <c r="C289" s="42" t="s">
        <v>20</v>
      </c>
      <c r="D289" s="41">
        <v>46</v>
      </c>
      <c r="E289" s="40">
        <v>1.8714401952807162E-2</v>
      </c>
    </row>
    <row r="290" spans="2:5" ht="15" customHeight="1" x14ac:dyDescent="0.25">
      <c r="B290" s="82" t="s">
        <v>101</v>
      </c>
      <c r="C290" s="45" t="s">
        <v>145</v>
      </c>
      <c r="D290" s="44">
        <v>1</v>
      </c>
      <c r="E290" s="43">
        <v>4.0683482506102521E-4</v>
      </c>
    </row>
    <row r="291" spans="2:5" ht="15" customHeight="1" x14ac:dyDescent="0.25">
      <c r="B291" s="84"/>
      <c r="C291" s="45" t="s">
        <v>144</v>
      </c>
      <c r="D291" s="44">
        <v>2</v>
      </c>
      <c r="E291" s="43">
        <v>8.1366965012205042E-4</v>
      </c>
    </row>
    <row r="292" spans="2:5" ht="15" customHeight="1" x14ac:dyDescent="0.25">
      <c r="B292" s="84"/>
      <c r="C292" s="45" t="s">
        <v>143</v>
      </c>
      <c r="D292" s="44">
        <v>2</v>
      </c>
      <c r="E292" s="43">
        <v>8.1366965012205042E-4</v>
      </c>
    </row>
    <row r="293" spans="2:5" ht="15" customHeight="1" x14ac:dyDescent="0.25">
      <c r="B293" s="84"/>
      <c r="C293" s="45" t="s">
        <v>140</v>
      </c>
      <c r="D293" s="44">
        <v>2</v>
      </c>
      <c r="E293" s="43">
        <v>8.1366965012205042E-4</v>
      </c>
    </row>
    <row r="294" spans="2:5" ht="15" customHeight="1" x14ac:dyDescent="0.25">
      <c r="B294" s="84"/>
      <c r="C294" s="45" t="s">
        <v>138</v>
      </c>
      <c r="D294" s="44">
        <v>7</v>
      </c>
      <c r="E294" s="43">
        <v>2.8478437754271765E-3</v>
      </c>
    </row>
    <row r="295" spans="2:5" ht="15" customHeight="1" x14ac:dyDescent="0.25">
      <c r="B295" s="84"/>
      <c r="C295" s="45" t="s">
        <v>137</v>
      </c>
      <c r="D295" s="44">
        <v>1</v>
      </c>
      <c r="E295" s="43">
        <v>4.0683482506102521E-4</v>
      </c>
    </row>
    <row r="296" spans="2:5" ht="15" customHeight="1" x14ac:dyDescent="0.25">
      <c r="B296" s="84"/>
      <c r="C296" s="45" t="s">
        <v>136</v>
      </c>
      <c r="D296" s="44">
        <v>2</v>
      </c>
      <c r="E296" s="43">
        <v>8.1366965012205042E-4</v>
      </c>
    </row>
    <row r="297" spans="2:5" ht="15" customHeight="1" x14ac:dyDescent="0.25">
      <c r="B297" s="84"/>
      <c r="C297" s="45" t="s">
        <v>135</v>
      </c>
      <c r="D297" s="44">
        <v>2</v>
      </c>
      <c r="E297" s="43">
        <v>8.1366965012205042E-4</v>
      </c>
    </row>
    <row r="298" spans="2:5" ht="15" customHeight="1" x14ac:dyDescent="0.25">
      <c r="B298" s="84"/>
      <c r="C298" s="45" t="s">
        <v>134</v>
      </c>
      <c r="D298" s="44">
        <v>12</v>
      </c>
      <c r="E298" s="43">
        <v>4.8820179007323028E-3</v>
      </c>
    </row>
    <row r="299" spans="2:5" ht="15" customHeight="1" x14ac:dyDescent="0.25">
      <c r="B299" s="84"/>
      <c r="C299" s="45" t="s">
        <v>133</v>
      </c>
      <c r="D299" s="44">
        <v>1</v>
      </c>
      <c r="E299" s="43">
        <v>4.0683482506102521E-4</v>
      </c>
    </row>
    <row r="300" spans="2:5" ht="15" customHeight="1" x14ac:dyDescent="0.25">
      <c r="B300" s="84"/>
      <c r="C300" s="45" t="s">
        <v>132</v>
      </c>
      <c r="D300" s="44">
        <v>3</v>
      </c>
      <c r="E300" s="43">
        <v>1.2205044751830757E-3</v>
      </c>
    </row>
    <row r="301" spans="2:5" ht="15" customHeight="1" x14ac:dyDescent="0.25">
      <c r="B301" s="84"/>
      <c r="C301" s="45" t="s">
        <v>131</v>
      </c>
      <c r="D301" s="44">
        <v>6</v>
      </c>
      <c r="E301" s="43">
        <v>2.4410089503661514E-3</v>
      </c>
    </row>
    <row r="302" spans="2:5" ht="15" customHeight="1" x14ac:dyDescent="0.25">
      <c r="B302" s="84"/>
      <c r="C302" s="45" t="s">
        <v>126</v>
      </c>
      <c r="D302" s="44">
        <v>1</v>
      </c>
      <c r="E302" s="43">
        <v>4.0683482506102521E-4</v>
      </c>
    </row>
    <row r="303" spans="2:5" ht="15" customHeight="1" x14ac:dyDescent="0.25">
      <c r="B303" s="83"/>
      <c r="C303" s="42" t="s">
        <v>20</v>
      </c>
      <c r="D303" s="41">
        <v>42</v>
      </c>
      <c r="E303" s="40">
        <v>1.7087062652563059E-2</v>
      </c>
    </row>
    <row r="304" spans="2:5" ht="15" customHeight="1" x14ac:dyDescent="0.25">
      <c r="B304" s="82" t="s">
        <v>93</v>
      </c>
      <c r="C304" s="45" t="s">
        <v>144</v>
      </c>
      <c r="D304" s="44">
        <v>2</v>
      </c>
      <c r="E304" s="43">
        <v>8.1366965012205042E-4</v>
      </c>
    </row>
    <row r="305" spans="2:5" ht="15" customHeight="1" x14ac:dyDescent="0.25">
      <c r="B305" s="84"/>
      <c r="C305" s="45" t="s">
        <v>143</v>
      </c>
      <c r="D305" s="44">
        <v>1</v>
      </c>
      <c r="E305" s="43">
        <v>4.0683482506102521E-4</v>
      </c>
    </row>
    <row r="306" spans="2:5" ht="15" customHeight="1" x14ac:dyDescent="0.25">
      <c r="B306" s="84"/>
      <c r="C306" s="45" t="s">
        <v>142</v>
      </c>
      <c r="D306" s="44">
        <v>2</v>
      </c>
      <c r="E306" s="43">
        <v>8.1366965012205042E-4</v>
      </c>
    </row>
    <row r="307" spans="2:5" ht="15" customHeight="1" x14ac:dyDescent="0.25">
      <c r="B307" s="84"/>
      <c r="C307" s="45" t="s">
        <v>141</v>
      </c>
      <c r="D307" s="44">
        <v>2</v>
      </c>
      <c r="E307" s="43">
        <v>8.1366965012205042E-4</v>
      </c>
    </row>
    <row r="308" spans="2:5" ht="15" customHeight="1" x14ac:dyDescent="0.25">
      <c r="B308" s="84"/>
      <c r="C308" s="45" t="s">
        <v>140</v>
      </c>
      <c r="D308" s="44">
        <v>1</v>
      </c>
      <c r="E308" s="43">
        <v>4.0683482506102521E-4</v>
      </c>
    </row>
    <row r="309" spans="2:5" ht="15" customHeight="1" x14ac:dyDescent="0.25">
      <c r="B309" s="84"/>
      <c r="C309" s="45" t="s">
        <v>139</v>
      </c>
      <c r="D309" s="44">
        <v>8</v>
      </c>
      <c r="E309" s="43">
        <v>3.2546786004882017E-3</v>
      </c>
    </row>
    <row r="310" spans="2:5" ht="15" customHeight="1" x14ac:dyDescent="0.25">
      <c r="B310" s="84"/>
      <c r="C310" s="45" t="s">
        <v>138</v>
      </c>
      <c r="D310" s="44">
        <v>29</v>
      </c>
      <c r="E310" s="43">
        <v>1.1798209926769731E-2</v>
      </c>
    </row>
    <row r="311" spans="2:5" ht="15" customHeight="1" x14ac:dyDescent="0.25">
      <c r="B311" s="84"/>
      <c r="C311" s="45" t="s">
        <v>137</v>
      </c>
      <c r="D311" s="44">
        <v>4</v>
      </c>
      <c r="E311" s="43">
        <v>1.6273393002441008E-3</v>
      </c>
    </row>
    <row r="312" spans="2:5" ht="15" customHeight="1" x14ac:dyDescent="0.25">
      <c r="B312" s="84"/>
      <c r="C312" s="45" t="s">
        <v>136</v>
      </c>
      <c r="D312" s="44">
        <v>1</v>
      </c>
      <c r="E312" s="43">
        <v>4.0683482506102521E-4</v>
      </c>
    </row>
    <row r="313" spans="2:5" ht="15" customHeight="1" x14ac:dyDescent="0.25">
      <c r="B313" s="84"/>
      <c r="C313" s="45" t="s">
        <v>135</v>
      </c>
      <c r="D313" s="44">
        <v>4</v>
      </c>
      <c r="E313" s="43">
        <v>1.6273393002441008E-3</v>
      </c>
    </row>
    <row r="314" spans="2:5" ht="15" customHeight="1" x14ac:dyDescent="0.25">
      <c r="B314" s="84"/>
      <c r="C314" s="45" t="s">
        <v>134</v>
      </c>
      <c r="D314" s="44">
        <v>40</v>
      </c>
      <c r="E314" s="43">
        <v>1.627339300244101E-2</v>
      </c>
    </row>
    <row r="315" spans="2:5" ht="15" customHeight="1" x14ac:dyDescent="0.25">
      <c r="B315" s="84"/>
      <c r="C315" s="45" t="s">
        <v>133</v>
      </c>
      <c r="D315" s="44">
        <v>4</v>
      </c>
      <c r="E315" s="43">
        <v>1.6273393002441008E-3</v>
      </c>
    </row>
    <row r="316" spans="2:5" ht="15" customHeight="1" x14ac:dyDescent="0.25">
      <c r="B316" s="84"/>
      <c r="C316" s="45" t="s">
        <v>132</v>
      </c>
      <c r="D316" s="44">
        <v>9</v>
      </c>
      <c r="E316" s="43">
        <v>3.6615134255492269E-3</v>
      </c>
    </row>
    <row r="317" spans="2:5" ht="15" customHeight="1" x14ac:dyDescent="0.25">
      <c r="B317" s="84"/>
      <c r="C317" s="45" t="s">
        <v>131</v>
      </c>
      <c r="D317" s="44">
        <v>31</v>
      </c>
      <c r="E317" s="43">
        <v>1.2611879576891782E-2</v>
      </c>
    </row>
    <row r="318" spans="2:5" ht="15" customHeight="1" x14ac:dyDescent="0.25">
      <c r="B318" s="84"/>
      <c r="C318" s="45" t="s">
        <v>129</v>
      </c>
      <c r="D318" s="44">
        <v>1</v>
      </c>
      <c r="E318" s="43">
        <v>4.0683482506102521E-4</v>
      </c>
    </row>
    <row r="319" spans="2:5" ht="15" customHeight="1" x14ac:dyDescent="0.25">
      <c r="B319" s="84"/>
      <c r="C319" s="45" t="s">
        <v>126</v>
      </c>
      <c r="D319" s="44">
        <v>4</v>
      </c>
      <c r="E319" s="43">
        <v>1.6273393002441008E-3</v>
      </c>
    </row>
    <row r="320" spans="2:5" ht="15" customHeight="1" x14ac:dyDescent="0.25">
      <c r="B320" s="84"/>
      <c r="C320" s="45" t="s">
        <v>125</v>
      </c>
      <c r="D320" s="44">
        <v>5</v>
      </c>
      <c r="E320" s="43">
        <v>2.0341741253051262E-3</v>
      </c>
    </row>
    <row r="321" spans="2:5" ht="15" customHeight="1" x14ac:dyDescent="0.25">
      <c r="B321" s="83"/>
      <c r="C321" s="42" t="s">
        <v>20</v>
      </c>
      <c r="D321" s="41">
        <v>148</v>
      </c>
      <c r="E321" s="40">
        <v>6.0211554109031735E-2</v>
      </c>
    </row>
    <row r="322" spans="2:5" ht="15" customHeight="1" x14ac:dyDescent="0.25">
      <c r="B322" s="82" t="s">
        <v>78</v>
      </c>
      <c r="C322" s="45" t="s">
        <v>145</v>
      </c>
      <c r="D322" s="44">
        <v>1</v>
      </c>
      <c r="E322" s="43">
        <v>4.0683482506102521E-4</v>
      </c>
    </row>
    <row r="323" spans="2:5" ht="15" customHeight="1" x14ac:dyDescent="0.25">
      <c r="B323" s="84"/>
      <c r="C323" s="45" t="s">
        <v>134</v>
      </c>
      <c r="D323" s="44">
        <v>7</v>
      </c>
      <c r="E323" s="43">
        <v>2.8478437754271765E-3</v>
      </c>
    </row>
    <row r="324" spans="2:5" ht="15" customHeight="1" x14ac:dyDescent="0.25">
      <c r="B324" s="84"/>
      <c r="C324" s="45" t="s">
        <v>132</v>
      </c>
      <c r="D324" s="44">
        <v>3</v>
      </c>
      <c r="E324" s="43">
        <v>1.2205044751830757E-3</v>
      </c>
    </row>
    <row r="325" spans="2:5" ht="15" customHeight="1" x14ac:dyDescent="0.25">
      <c r="B325" s="84"/>
      <c r="C325" s="45" t="s">
        <v>131</v>
      </c>
      <c r="D325" s="44">
        <v>1</v>
      </c>
      <c r="E325" s="43">
        <v>4.0683482506102521E-4</v>
      </c>
    </row>
    <row r="326" spans="2:5" ht="15" customHeight="1" x14ac:dyDescent="0.25">
      <c r="B326" s="84"/>
      <c r="C326" s="45" t="s">
        <v>125</v>
      </c>
      <c r="D326" s="44">
        <v>3</v>
      </c>
      <c r="E326" s="43">
        <v>1.2205044751830757E-3</v>
      </c>
    </row>
    <row r="327" spans="2:5" ht="15" customHeight="1" x14ac:dyDescent="0.25">
      <c r="B327" s="83"/>
      <c r="C327" s="42" t="s">
        <v>20</v>
      </c>
      <c r="D327" s="41">
        <v>15</v>
      </c>
      <c r="E327" s="40">
        <v>6.1025223759153787E-3</v>
      </c>
    </row>
    <row r="328" spans="2:5" ht="15" customHeight="1" x14ac:dyDescent="0.25">
      <c r="B328" s="82" t="s">
        <v>80</v>
      </c>
      <c r="C328" s="45" t="s">
        <v>141</v>
      </c>
      <c r="D328" s="44">
        <v>1</v>
      </c>
      <c r="E328" s="43">
        <v>4.0683482506102521E-4</v>
      </c>
    </row>
    <row r="329" spans="2:5" ht="15" customHeight="1" x14ac:dyDescent="0.25">
      <c r="B329" s="84"/>
      <c r="C329" s="45" t="s">
        <v>140</v>
      </c>
      <c r="D329" s="44">
        <v>2</v>
      </c>
      <c r="E329" s="43">
        <v>8.1366965012205042E-4</v>
      </c>
    </row>
    <row r="330" spans="2:5" ht="15" customHeight="1" x14ac:dyDescent="0.25">
      <c r="B330" s="84"/>
      <c r="C330" s="45" t="s">
        <v>139</v>
      </c>
      <c r="D330" s="44">
        <v>3</v>
      </c>
      <c r="E330" s="43">
        <v>1.2205044751830757E-3</v>
      </c>
    </row>
    <row r="331" spans="2:5" ht="15" customHeight="1" x14ac:dyDescent="0.25">
      <c r="B331" s="84"/>
      <c r="C331" s="45" t="s">
        <v>138</v>
      </c>
      <c r="D331" s="44">
        <v>9</v>
      </c>
      <c r="E331" s="43">
        <v>3.6615134255492269E-3</v>
      </c>
    </row>
    <row r="332" spans="2:5" ht="15" customHeight="1" x14ac:dyDescent="0.25">
      <c r="B332" s="84"/>
      <c r="C332" s="45" t="s">
        <v>137</v>
      </c>
      <c r="D332" s="44">
        <v>1</v>
      </c>
      <c r="E332" s="43">
        <v>4.0683482506102521E-4</v>
      </c>
    </row>
    <row r="333" spans="2:5" ht="15" customHeight="1" x14ac:dyDescent="0.25">
      <c r="B333" s="84"/>
      <c r="C333" s="45" t="s">
        <v>136</v>
      </c>
      <c r="D333" s="44">
        <v>2</v>
      </c>
      <c r="E333" s="43">
        <v>8.1366965012205042E-4</v>
      </c>
    </row>
    <row r="334" spans="2:5" ht="15" customHeight="1" x14ac:dyDescent="0.25">
      <c r="B334" s="84"/>
      <c r="C334" s="45" t="s">
        <v>135</v>
      </c>
      <c r="D334" s="44">
        <v>4</v>
      </c>
      <c r="E334" s="43">
        <v>1.6273393002441008E-3</v>
      </c>
    </row>
    <row r="335" spans="2:5" ht="15" customHeight="1" x14ac:dyDescent="0.25">
      <c r="B335" s="84"/>
      <c r="C335" s="45" t="s">
        <v>134</v>
      </c>
      <c r="D335" s="44">
        <v>11</v>
      </c>
      <c r="E335" s="43">
        <v>4.4751830756712772E-3</v>
      </c>
    </row>
    <row r="336" spans="2:5" ht="15" customHeight="1" x14ac:dyDescent="0.25">
      <c r="B336" s="84"/>
      <c r="C336" s="45" t="s">
        <v>132</v>
      </c>
      <c r="D336" s="44">
        <v>3</v>
      </c>
      <c r="E336" s="43">
        <v>1.2205044751830757E-3</v>
      </c>
    </row>
    <row r="337" spans="2:5" ht="15" customHeight="1" x14ac:dyDescent="0.25">
      <c r="B337" s="84"/>
      <c r="C337" s="45" t="s">
        <v>131</v>
      </c>
      <c r="D337" s="44">
        <v>7</v>
      </c>
      <c r="E337" s="43">
        <v>2.8478437754271765E-3</v>
      </c>
    </row>
    <row r="338" spans="2:5" ht="15" customHeight="1" x14ac:dyDescent="0.25">
      <c r="B338" s="84"/>
      <c r="C338" s="45" t="s">
        <v>129</v>
      </c>
      <c r="D338" s="44">
        <v>1</v>
      </c>
      <c r="E338" s="43">
        <v>4.0683482506102521E-4</v>
      </c>
    </row>
    <row r="339" spans="2:5" ht="15" customHeight="1" x14ac:dyDescent="0.25">
      <c r="B339" s="84"/>
      <c r="C339" s="45" t="s">
        <v>126</v>
      </c>
      <c r="D339" s="44">
        <v>3</v>
      </c>
      <c r="E339" s="43">
        <v>1.2205044751830757E-3</v>
      </c>
    </row>
    <row r="340" spans="2:5" ht="15" customHeight="1" x14ac:dyDescent="0.25">
      <c r="B340" s="83"/>
      <c r="C340" s="42" t="s">
        <v>20</v>
      </c>
      <c r="D340" s="41">
        <v>47</v>
      </c>
      <c r="E340" s="40">
        <v>1.9121236777868186E-2</v>
      </c>
    </row>
    <row r="341" spans="2:5" ht="15" customHeight="1" x14ac:dyDescent="0.25">
      <c r="B341" s="82" t="s">
        <v>88</v>
      </c>
      <c r="C341" s="45" t="s">
        <v>138</v>
      </c>
      <c r="D341" s="44">
        <v>1</v>
      </c>
      <c r="E341" s="43">
        <v>4.0683482506102521E-4</v>
      </c>
    </row>
    <row r="342" spans="2:5" ht="15" customHeight="1" x14ac:dyDescent="0.25">
      <c r="B342" s="84"/>
      <c r="C342" s="45" t="s">
        <v>137</v>
      </c>
      <c r="D342" s="44">
        <v>1</v>
      </c>
      <c r="E342" s="43">
        <v>4.0683482506102521E-4</v>
      </c>
    </row>
    <row r="343" spans="2:5" ht="15" customHeight="1" x14ac:dyDescent="0.25">
      <c r="B343" s="84"/>
      <c r="C343" s="45" t="s">
        <v>134</v>
      </c>
      <c r="D343" s="44">
        <v>5</v>
      </c>
      <c r="E343" s="43">
        <v>2.0341741253051262E-3</v>
      </c>
    </row>
    <row r="344" spans="2:5" ht="15" customHeight="1" x14ac:dyDescent="0.25">
      <c r="B344" s="84"/>
      <c r="C344" s="45" t="s">
        <v>132</v>
      </c>
      <c r="D344" s="44">
        <v>1</v>
      </c>
      <c r="E344" s="43">
        <v>4.0683482506102521E-4</v>
      </c>
    </row>
    <row r="345" spans="2:5" ht="15" customHeight="1" x14ac:dyDescent="0.25">
      <c r="B345" s="84"/>
      <c r="C345" s="45" t="s">
        <v>131</v>
      </c>
      <c r="D345" s="44">
        <v>3</v>
      </c>
      <c r="E345" s="43">
        <v>1.2205044751830757E-3</v>
      </c>
    </row>
    <row r="346" spans="2:5" ht="15" customHeight="1" x14ac:dyDescent="0.25">
      <c r="B346" s="84"/>
      <c r="C346" s="45" t="s">
        <v>126</v>
      </c>
      <c r="D346" s="44">
        <v>1</v>
      </c>
      <c r="E346" s="43">
        <v>4.0683482506102521E-4</v>
      </c>
    </row>
    <row r="347" spans="2:5" ht="15" customHeight="1" x14ac:dyDescent="0.25">
      <c r="B347" s="83"/>
      <c r="C347" s="42" t="s">
        <v>20</v>
      </c>
      <c r="D347" s="41">
        <v>12</v>
      </c>
      <c r="E347" s="40">
        <v>4.8820179007323028E-3</v>
      </c>
    </row>
    <row r="348" spans="2:5" ht="15" customHeight="1" x14ac:dyDescent="0.25">
      <c r="B348" s="82" t="s">
        <v>100</v>
      </c>
      <c r="C348" s="45" t="s">
        <v>145</v>
      </c>
      <c r="D348" s="44">
        <v>3</v>
      </c>
      <c r="E348" s="43">
        <v>1.2205044751830757E-3</v>
      </c>
    </row>
    <row r="349" spans="2:5" ht="15" customHeight="1" x14ac:dyDescent="0.25">
      <c r="B349" s="84"/>
      <c r="C349" s="45" t="s">
        <v>143</v>
      </c>
      <c r="D349" s="44">
        <v>1</v>
      </c>
      <c r="E349" s="43">
        <v>4.0683482506102521E-4</v>
      </c>
    </row>
    <row r="350" spans="2:5" ht="15" customHeight="1" x14ac:dyDescent="0.25">
      <c r="B350" s="84"/>
      <c r="C350" s="45" t="s">
        <v>142</v>
      </c>
      <c r="D350" s="44">
        <v>6</v>
      </c>
      <c r="E350" s="43">
        <v>2.4410089503661514E-3</v>
      </c>
    </row>
    <row r="351" spans="2:5" ht="15" customHeight="1" x14ac:dyDescent="0.25">
      <c r="B351" s="84"/>
      <c r="C351" s="45" t="s">
        <v>140</v>
      </c>
      <c r="D351" s="44">
        <v>5</v>
      </c>
      <c r="E351" s="43">
        <v>2.0341741253051262E-3</v>
      </c>
    </row>
    <row r="352" spans="2:5" ht="15" customHeight="1" x14ac:dyDescent="0.25">
      <c r="B352" s="84"/>
      <c r="C352" s="45" t="s">
        <v>139</v>
      </c>
      <c r="D352" s="44">
        <v>18</v>
      </c>
      <c r="E352" s="43">
        <v>7.3230268510984537E-3</v>
      </c>
    </row>
    <row r="353" spans="2:5" ht="15" customHeight="1" x14ac:dyDescent="0.25">
      <c r="B353" s="84"/>
      <c r="C353" s="45" t="s">
        <v>138</v>
      </c>
      <c r="D353" s="44">
        <v>18</v>
      </c>
      <c r="E353" s="43">
        <v>7.3230268510984537E-3</v>
      </c>
    </row>
    <row r="354" spans="2:5" ht="15" customHeight="1" x14ac:dyDescent="0.25">
      <c r="B354" s="84"/>
      <c r="C354" s="45" t="s">
        <v>137</v>
      </c>
      <c r="D354" s="44">
        <v>11</v>
      </c>
      <c r="E354" s="43">
        <v>4.4751830756712772E-3</v>
      </c>
    </row>
    <row r="355" spans="2:5" ht="15" customHeight="1" x14ac:dyDescent="0.25">
      <c r="B355" s="84"/>
      <c r="C355" s="45" t="s">
        <v>136</v>
      </c>
      <c r="D355" s="44">
        <v>8</v>
      </c>
      <c r="E355" s="43">
        <v>3.2546786004882017E-3</v>
      </c>
    </row>
    <row r="356" spans="2:5" ht="15" customHeight="1" x14ac:dyDescent="0.25">
      <c r="B356" s="84"/>
      <c r="C356" s="45" t="s">
        <v>135</v>
      </c>
      <c r="D356" s="44">
        <v>15</v>
      </c>
      <c r="E356" s="43">
        <v>6.1025223759153787E-3</v>
      </c>
    </row>
    <row r="357" spans="2:5" ht="15" customHeight="1" x14ac:dyDescent="0.25">
      <c r="B357" s="84"/>
      <c r="C357" s="45" t="s">
        <v>134</v>
      </c>
      <c r="D357" s="44">
        <v>51</v>
      </c>
      <c r="E357" s="43">
        <v>2.0748576078112285E-2</v>
      </c>
    </row>
    <row r="358" spans="2:5" ht="15" customHeight="1" x14ac:dyDescent="0.25">
      <c r="B358" s="84"/>
      <c r="C358" s="45" t="s">
        <v>133</v>
      </c>
      <c r="D358" s="44">
        <v>1</v>
      </c>
      <c r="E358" s="43">
        <v>4.0683482506102521E-4</v>
      </c>
    </row>
    <row r="359" spans="2:5" ht="15" customHeight="1" x14ac:dyDescent="0.25">
      <c r="B359" s="84"/>
      <c r="C359" s="45" t="s">
        <v>132</v>
      </c>
      <c r="D359" s="44">
        <v>13</v>
      </c>
      <c r="E359" s="43">
        <v>5.2888527257933275E-3</v>
      </c>
    </row>
    <row r="360" spans="2:5" ht="15" customHeight="1" x14ac:dyDescent="0.25">
      <c r="B360" s="84"/>
      <c r="C360" s="45" t="s">
        <v>131</v>
      </c>
      <c r="D360" s="44">
        <v>44</v>
      </c>
      <c r="E360" s="43">
        <v>1.7900732302685109E-2</v>
      </c>
    </row>
    <row r="361" spans="2:5" ht="15" customHeight="1" x14ac:dyDescent="0.25">
      <c r="B361" s="84"/>
      <c r="C361" s="45" t="s">
        <v>126</v>
      </c>
      <c r="D361" s="44">
        <v>6</v>
      </c>
      <c r="E361" s="43">
        <v>2.4410089503661514E-3</v>
      </c>
    </row>
    <row r="362" spans="2:5" ht="15" customHeight="1" x14ac:dyDescent="0.25">
      <c r="B362" s="84"/>
      <c r="C362" s="45" t="s">
        <v>125</v>
      </c>
      <c r="D362" s="44">
        <v>9</v>
      </c>
      <c r="E362" s="43">
        <v>3.6615134255492269E-3</v>
      </c>
    </row>
    <row r="363" spans="2:5" ht="15" customHeight="1" x14ac:dyDescent="0.25">
      <c r="B363" s="83"/>
      <c r="C363" s="42" t="s">
        <v>20</v>
      </c>
      <c r="D363" s="41">
        <v>209</v>
      </c>
      <c r="E363" s="40">
        <v>8.5028478437754268E-2</v>
      </c>
    </row>
    <row r="364" spans="2:5" ht="15" customHeight="1" x14ac:dyDescent="0.25">
      <c r="B364" s="82" t="s">
        <v>84</v>
      </c>
      <c r="C364" s="45" t="s">
        <v>140</v>
      </c>
      <c r="D364" s="44">
        <v>1</v>
      </c>
      <c r="E364" s="43">
        <v>4.0683482506102521E-4</v>
      </c>
    </row>
    <row r="365" spans="2:5" ht="15" customHeight="1" x14ac:dyDescent="0.25">
      <c r="B365" s="84"/>
      <c r="C365" s="45" t="s">
        <v>139</v>
      </c>
      <c r="D365" s="44">
        <v>3</v>
      </c>
      <c r="E365" s="43">
        <v>1.2205044751830757E-3</v>
      </c>
    </row>
    <row r="366" spans="2:5" ht="15" customHeight="1" x14ac:dyDescent="0.25">
      <c r="B366" s="84"/>
      <c r="C366" s="45" t="s">
        <v>138</v>
      </c>
      <c r="D366" s="44">
        <v>8</v>
      </c>
      <c r="E366" s="43">
        <v>3.2546786004882017E-3</v>
      </c>
    </row>
    <row r="367" spans="2:5" ht="15" customHeight="1" x14ac:dyDescent="0.25">
      <c r="B367" s="84"/>
      <c r="C367" s="45" t="s">
        <v>137</v>
      </c>
      <c r="D367" s="44">
        <v>1</v>
      </c>
      <c r="E367" s="43">
        <v>4.0683482506102521E-4</v>
      </c>
    </row>
    <row r="368" spans="2:5" ht="15" customHeight="1" x14ac:dyDescent="0.25">
      <c r="B368" s="84"/>
      <c r="C368" s="45" t="s">
        <v>134</v>
      </c>
      <c r="D368" s="44">
        <v>16</v>
      </c>
      <c r="E368" s="43">
        <v>6.5093572009764034E-3</v>
      </c>
    </row>
    <row r="369" spans="2:5" ht="15" customHeight="1" x14ac:dyDescent="0.25">
      <c r="B369" s="84"/>
      <c r="C369" s="45" t="s">
        <v>133</v>
      </c>
      <c r="D369" s="44">
        <v>2</v>
      </c>
      <c r="E369" s="43">
        <v>8.1366965012205042E-4</v>
      </c>
    </row>
    <row r="370" spans="2:5" ht="15" customHeight="1" x14ac:dyDescent="0.25">
      <c r="B370" s="84"/>
      <c r="C370" s="45" t="s">
        <v>132</v>
      </c>
      <c r="D370" s="44">
        <v>4</v>
      </c>
      <c r="E370" s="43">
        <v>1.6273393002441008E-3</v>
      </c>
    </row>
    <row r="371" spans="2:5" ht="15" customHeight="1" x14ac:dyDescent="0.25">
      <c r="B371" s="84"/>
      <c r="C371" s="45" t="s">
        <v>131</v>
      </c>
      <c r="D371" s="44">
        <v>7</v>
      </c>
      <c r="E371" s="43">
        <v>2.8478437754271765E-3</v>
      </c>
    </row>
    <row r="372" spans="2:5" ht="15" customHeight="1" x14ac:dyDescent="0.25">
      <c r="B372" s="84"/>
      <c r="C372" s="45" t="s">
        <v>125</v>
      </c>
      <c r="D372" s="44">
        <v>2</v>
      </c>
      <c r="E372" s="43">
        <v>8.1366965012205042E-4</v>
      </c>
    </row>
    <row r="373" spans="2:5" ht="15" customHeight="1" x14ac:dyDescent="0.25">
      <c r="B373" s="83"/>
      <c r="C373" s="42" t="s">
        <v>20</v>
      </c>
      <c r="D373" s="41">
        <v>44</v>
      </c>
      <c r="E373" s="40">
        <v>1.7900732302685109E-2</v>
      </c>
    </row>
    <row r="374" spans="2:5" ht="15" customHeight="1" x14ac:dyDescent="0.25">
      <c r="B374" s="82" t="s">
        <v>97</v>
      </c>
      <c r="C374" s="45" t="s">
        <v>145</v>
      </c>
      <c r="D374" s="44">
        <v>1</v>
      </c>
      <c r="E374" s="43">
        <v>4.0683482506102521E-4</v>
      </c>
    </row>
    <row r="375" spans="2:5" ht="15" customHeight="1" x14ac:dyDescent="0.25">
      <c r="B375" s="84"/>
      <c r="C375" s="45" t="s">
        <v>144</v>
      </c>
      <c r="D375" s="44">
        <v>1</v>
      </c>
      <c r="E375" s="43">
        <v>4.0683482506102521E-4</v>
      </c>
    </row>
    <row r="376" spans="2:5" ht="15" customHeight="1" x14ac:dyDescent="0.25">
      <c r="B376" s="84"/>
      <c r="C376" s="45" t="s">
        <v>143</v>
      </c>
      <c r="D376" s="44">
        <v>1</v>
      </c>
      <c r="E376" s="43">
        <v>4.0683482506102521E-4</v>
      </c>
    </row>
    <row r="377" spans="2:5" ht="15" customHeight="1" x14ac:dyDescent="0.25">
      <c r="B377" s="84"/>
      <c r="C377" s="45" t="s">
        <v>141</v>
      </c>
      <c r="D377" s="44">
        <v>1</v>
      </c>
      <c r="E377" s="43">
        <v>4.0683482506102521E-4</v>
      </c>
    </row>
    <row r="378" spans="2:5" ht="15" customHeight="1" x14ac:dyDescent="0.25">
      <c r="B378" s="84"/>
      <c r="C378" s="45" t="s">
        <v>139</v>
      </c>
      <c r="D378" s="44">
        <v>7</v>
      </c>
      <c r="E378" s="43">
        <v>2.8478437754271765E-3</v>
      </c>
    </row>
    <row r="379" spans="2:5" ht="15" customHeight="1" x14ac:dyDescent="0.25">
      <c r="B379" s="84"/>
      <c r="C379" s="45" t="s">
        <v>138</v>
      </c>
      <c r="D379" s="44">
        <v>5</v>
      </c>
      <c r="E379" s="43">
        <v>2.0341741253051262E-3</v>
      </c>
    </row>
    <row r="380" spans="2:5" ht="15" customHeight="1" x14ac:dyDescent="0.25">
      <c r="B380" s="84"/>
      <c r="C380" s="45" t="s">
        <v>137</v>
      </c>
      <c r="D380" s="44">
        <v>4</v>
      </c>
      <c r="E380" s="43">
        <v>1.6273393002441008E-3</v>
      </c>
    </row>
    <row r="381" spans="2:5" ht="15" customHeight="1" x14ac:dyDescent="0.25">
      <c r="B381" s="84"/>
      <c r="C381" s="45" t="s">
        <v>136</v>
      </c>
      <c r="D381" s="44">
        <v>1</v>
      </c>
      <c r="E381" s="43">
        <v>4.0683482506102521E-4</v>
      </c>
    </row>
    <row r="382" spans="2:5" ht="15" customHeight="1" x14ac:dyDescent="0.25">
      <c r="B382" s="84"/>
      <c r="C382" s="45" t="s">
        <v>135</v>
      </c>
      <c r="D382" s="44">
        <v>5</v>
      </c>
      <c r="E382" s="43">
        <v>2.0341741253051262E-3</v>
      </c>
    </row>
    <row r="383" spans="2:5" ht="15" customHeight="1" x14ac:dyDescent="0.25">
      <c r="B383" s="84"/>
      <c r="C383" s="45" t="s">
        <v>134</v>
      </c>
      <c r="D383" s="44">
        <v>26</v>
      </c>
      <c r="E383" s="43">
        <v>1.0577705451586655E-2</v>
      </c>
    </row>
    <row r="384" spans="2:5" ht="15" customHeight="1" x14ac:dyDescent="0.25">
      <c r="B384" s="84"/>
      <c r="C384" s="45" t="s">
        <v>133</v>
      </c>
      <c r="D384" s="44">
        <v>5</v>
      </c>
      <c r="E384" s="43">
        <v>2.0341741253051262E-3</v>
      </c>
    </row>
    <row r="385" spans="2:5" ht="15" customHeight="1" x14ac:dyDescent="0.25">
      <c r="B385" s="84"/>
      <c r="C385" s="45" t="s">
        <v>132</v>
      </c>
      <c r="D385" s="44">
        <v>4</v>
      </c>
      <c r="E385" s="43">
        <v>1.6273393002441008E-3</v>
      </c>
    </row>
    <row r="386" spans="2:5" ht="15" customHeight="1" x14ac:dyDescent="0.25">
      <c r="B386" s="84"/>
      <c r="C386" s="45" t="s">
        <v>131</v>
      </c>
      <c r="D386" s="44">
        <v>14</v>
      </c>
      <c r="E386" s="43">
        <v>5.6956875508543531E-3</v>
      </c>
    </row>
    <row r="387" spans="2:5" ht="15" customHeight="1" x14ac:dyDescent="0.25">
      <c r="B387" s="84"/>
      <c r="C387" s="45" t="s">
        <v>126</v>
      </c>
      <c r="D387" s="44">
        <v>1</v>
      </c>
      <c r="E387" s="43">
        <v>4.0683482506102521E-4</v>
      </c>
    </row>
    <row r="388" spans="2:5" ht="15" customHeight="1" x14ac:dyDescent="0.25">
      <c r="B388" s="84"/>
      <c r="C388" s="45" t="s">
        <v>125</v>
      </c>
      <c r="D388" s="44">
        <v>1</v>
      </c>
      <c r="E388" s="43">
        <v>4.0683482506102521E-4</v>
      </c>
    </row>
    <row r="389" spans="2:5" ht="15" customHeight="1" x14ac:dyDescent="0.25">
      <c r="B389" s="83"/>
      <c r="C389" s="42" t="s">
        <v>20</v>
      </c>
      <c r="D389" s="41">
        <v>77</v>
      </c>
      <c r="E389" s="40">
        <v>3.1326281529698942E-2</v>
      </c>
    </row>
    <row r="390" spans="2:5" ht="15" customHeight="1" x14ac:dyDescent="0.25">
      <c r="B390" s="82" t="s">
        <v>150</v>
      </c>
      <c r="C390" s="45" t="s">
        <v>145</v>
      </c>
      <c r="D390" s="44">
        <v>3</v>
      </c>
      <c r="E390" s="43">
        <v>1.2205044751830757E-3</v>
      </c>
    </row>
    <row r="391" spans="2:5" ht="15" customHeight="1" x14ac:dyDescent="0.25">
      <c r="B391" s="84"/>
      <c r="C391" s="45" t="s">
        <v>144</v>
      </c>
      <c r="D391" s="44">
        <v>3</v>
      </c>
      <c r="E391" s="43">
        <v>1.2205044751830757E-3</v>
      </c>
    </row>
    <row r="392" spans="2:5" ht="15" customHeight="1" x14ac:dyDescent="0.25">
      <c r="B392" s="84"/>
      <c r="C392" s="45" t="s">
        <v>143</v>
      </c>
      <c r="D392" s="44">
        <v>5</v>
      </c>
      <c r="E392" s="43">
        <v>2.0341741253051262E-3</v>
      </c>
    </row>
    <row r="393" spans="2:5" ht="15" customHeight="1" x14ac:dyDescent="0.25">
      <c r="B393" s="84"/>
      <c r="C393" s="45" t="s">
        <v>142</v>
      </c>
      <c r="D393" s="44">
        <v>2</v>
      </c>
      <c r="E393" s="43">
        <v>8.1366965012205042E-4</v>
      </c>
    </row>
    <row r="394" spans="2:5" ht="15" customHeight="1" x14ac:dyDescent="0.25">
      <c r="B394" s="84"/>
      <c r="C394" s="45" t="s">
        <v>141</v>
      </c>
      <c r="D394" s="44">
        <v>1</v>
      </c>
      <c r="E394" s="43">
        <v>4.0683482506102521E-4</v>
      </c>
    </row>
    <row r="395" spans="2:5" ht="15" customHeight="1" x14ac:dyDescent="0.25">
      <c r="B395" s="84"/>
      <c r="C395" s="45" t="s">
        <v>139</v>
      </c>
      <c r="D395" s="44">
        <v>14</v>
      </c>
      <c r="E395" s="43">
        <v>5.6956875508543531E-3</v>
      </c>
    </row>
    <row r="396" spans="2:5" ht="15" customHeight="1" x14ac:dyDescent="0.25">
      <c r="B396" s="84"/>
      <c r="C396" s="45" t="s">
        <v>138</v>
      </c>
      <c r="D396" s="44">
        <v>11</v>
      </c>
      <c r="E396" s="43">
        <v>4.4751830756712772E-3</v>
      </c>
    </row>
    <row r="397" spans="2:5" ht="15" customHeight="1" x14ac:dyDescent="0.25">
      <c r="B397" s="84"/>
      <c r="C397" s="45" t="s">
        <v>137</v>
      </c>
      <c r="D397" s="44">
        <v>3</v>
      </c>
      <c r="E397" s="43">
        <v>1.2205044751830757E-3</v>
      </c>
    </row>
    <row r="398" spans="2:5" ht="15" customHeight="1" x14ac:dyDescent="0.25">
      <c r="B398" s="84"/>
      <c r="C398" s="45" t="s">
        <v>136</v>
      </c>
      <c r="D398" s="44">
        <v>7</v>
      </c>
      <c r="E398" s="43">
        <v>2.8478437754271765E-3</v>
      </c>
    </row>
    <row r="399" spans="2:5" ht="15" customHeight="1" x14ac:dyDescent="0.25">
      <c r="B399" s="84"/>
      <c r="C399" s="45" t="s">
        <v>135</v>
      </c>
      <c r="D399" s="44">
        <v>4</v>
      </c>
      <c r="E399" s="43">
        <v>1.6273393002441008E-3</v>
      </c>
    </row>
    <row r="400" spans="2:5" ht="15" customHeight="1" x14ac:dyDescent="0.25">
      <c r="B400" s="84"/>
      <c r="C400" s="45" t="s">
        <v>134</v>
      </c>
      <c r="D400" s="44">
        <v>37</v>
      </c>
      <c r="E400" s="43">
        <v>1.5052888527257934E-2</v>
      </c>
    </row>
    <row r="401" spans="2:5" ht="15" customHeight="1" x14ac:dyDescent="0.25">
      <c r="B401" s="84"/>
      <c r="C401" s="45" t="s">
        <v>133</v>
      </c>
      <c r="D401" s="44">
        <v>5</v>
      </c>
      <c r="E401" s="43">
        <v>2.0341741253051262E-3</v>
      </c>
    </row>
    <row r="402" spans="2:5" ht="15" customHeight="1" x14ac:dyDescent="0.25">
      <c r="B402" s="84"/>
      <c r="C402" s="45" t="s">
        <v>132</v>
      </c>
      <c r="D402" s="44">
        <v>9</v>
      </c>
      <c r="E402" s="43">
        <v>3.6615134255492269E-3</v>
      </c>
    </row>
    <row r="403" spans="2:5" ht="15" customHeight="1" x14ac:dyDescent="0.25">
      <c r="B403" s="84"/>
      <c r="C403" s="45" t="s">
        <v>131</v>
      </c>
      <c r="D403" s="44">
        <v>20</v>
      </c>
      <c r="E403" s="43">
        <v>8.1366965012205049E-3</v>
      </c>
    </row>
    <row r="404" spans="2:5" ht="15" customHeight="1" x14ac:dyDescent="0.25">
      <c r="B404" s="84"/>
      <c r="C404" s="45" t="s">
        <v>126</v>
      </c>
      <c r="D404" s="44">
        <v>4</v>
      </c>
      <c r="E404" s="43">
        <v>1.6273393002441008E-3</v>
      </c>
    </row>
    <row r="405" spans="2:5" ht="15" customHeight="1" x14ac:dyDescent="0.25">
      <c r="B405" s="84"/>
      <c r="C405" s="45" t="s">
        <v>125</v>
      </c>
      <c r="D405" s="44">
        <v>1</v>
      </c>
      <c r="E405" s="43">
        <v>4.0683482506102521E-4</v>
      </c>
    </row>
    <row r="406" spans="2:5" ht="15" customHeight="1" x14ac:dyDescent="0.25">
      <c r="B406" s="83"/>
      <c r="C406" s="42" t="s">
        <v>20</v>
      </c>
      <c r="D406" s="41">
        <v>129</v>
      </c>
      <c r="E406" s="40">
        <v>5.2481692432872255E-2</v>
      </c>
    </row>
    <row r="407" spans="2:5" ht="15" customHeight="1" x14ac:dyDescent="0.25">
      <c r="B407" s="82" t="s">
        <v>99</v>
      </c>
      <c r="C407" s="45" t="s">
        <v>145</v>
      </c>
      <c r="D407" s="44">
        <v>1</v>
      </c>
      <c r="E407" s="43">
        <v>4.0683482506102521E-4</v>
      </c>
    </row>
    <row r="408" spans="2:5" ht="15" customHeight="1" x14ac:dyDescent="0.25">
      <c r="B408" s="84"/>
      <c r="C408" s="45" t="s">
        <v>143</v>
      </c>
      <c r="D408" s="44">
        <v>2</v>
      </c>
      <c r="E408" s="43">
        <v>8.1366965012205042E-4</v>
      </c>
    </row>
    <row r="409" spans="2:5" ht="15" customHeight="1" x14ac:dyDescent="0.25">
      <c r="B409" s="84"/>
      <c r="C409" s="45" t="s">
        <v>142</v>
      </c>
      <c r="D409" s="44">
        <v>2</v>
      </c>
      <c r="E409" s="43">
        <v>8.1366965012205042E-4</v>
      </c>
    </row>
    <row r="410" spans="2:5" ht="15" customHeight="1" x14ac:dyDescent="0.25">
      <c r="B410" s="84"/>
      <c r="C410" s="45" t="s">
        <v>140</v>
      </c>
      <c r="D410" s="44">
        <v>1</v>
      </c>
      <c r="E410" s="43">
        <v>4.0683482506102521E-4</v>
      </c>
    </row>
    <row r="411" spans="2:5" ht="15" customHeight="1" x14ac:dyDescent="0.25">
      <c r="B411" s="84"/>
      <c r="C411" s="45" t="s">
        <v>139</v>
      </c>
      <c r="D411" s="44">
        <v>9</v>
      </c>
      <c r="E411" s="43">
        <v>3.6615134255492269E-3</v>
      </c>
    </row>
    <row r="412" spans="2:5" ht="15" customHeight="1" x14ac:dyDescent="0.25">
      <c r="B412" s="84"/>
      <c r="C412" s="45" t="s">
        <v>138</v>
      </c>
      <c r="D412" s="44">
        <v>3</v>
      </c>
      <c r="E412" s="43">
        <v>1.2205044751830757E-3</v>
      </c>
    </row>
    <row r="413" spans="2:5" ht="15" customHeight="1" x14ac:dyDescent="0.25">
      <c r="B413" s="84"/>
      <c r="C413" s="45" t="s">
        <v>137</v>
      </c>
      <c r="D413" s="44">
        <v>1</v>
      </c>
      <c r="E413" s="43">
        <v>4.0683482506102521E-4</v>
      </c>
    </row>
    <row r="414" spans="2:5" ht="15" customHeight="1" x14ac:dyDescent="0.25">
      <c r="B414" s="84"/>
      <c r="C414" s="45" t="s">
        <v>136</v>
      </c>
      <c r="D414" s="44">
        <v>3</v>
      </c>
      <c r="E414" s="43">
        <v>1.2205044751830757E-3</v>
      </c>
    </row>
    <row r="415" spans="2:5" ht="15" customHeight="1" x14ac:dyDescent="0.25">
      <c r="B415" s="84"/>
      <c r="C415" s="45" t="s">
        <v>135</v>
      </c>
      <c r="D415" s="44">
        <v>1</v>
      </c>
      <c r="E415" s="43">
        <v>4.0683482506102521E-4</v>
      </c>
    </row>
    <row r="416" spans="2:5" ht="15" customHeight="1" x14ac:dyDescent="0.25">
      <c r="B416" s="84"/>
      <c r="C416" s="45" t="s">
        <v>134</v>
      </c>
      <c r="D416" s="44">
        <v>17</v>
      </c>
      <c r="E416" s="43">
        <v>6.916192026037429E-3</v>
      </c>
    </row>
    <row r="417" spans="2:5" ht="15" customHeight="1" x14ac:dyDescent="0.25">
      <c r="B417" s="84"/>
      <c r="C417" s="45" t="s">
        <v>133</v>
      </c>
      <c r="D417" s="44">
        <v>7</v>
      </c>
      <c r="E417" s="43">
        <v>2.8478437754271765E-3</v>
      </c>
    </row>
    <row r="418" spans="2:5" ht="15" customHeight="1" x14ac:dyDescent="0.25">
      <c r="B418" s="84"/>
      <c r="C418" s="45" t="s">
        <v>132</v>
      </c>
      <c r="D418" s="44">
        <v>4</v>
      </c>
      <c r="E418" s="43">
        <v>1.6273393002441008E-3</v>
      </c>
    </row>
    <row r="419" spans="2:5" ht="15" customHeight="1" x14ac:dyDescent="0.25">
      <c r="B419" s="84"/>
      <c r="C419" s="45" t="s">
        <v>131</v>
      </c>
      <c r="D419" s="44">
        <v>11</v>
      </c>
      <c r="E419" s="43">
        <v>4.4751830756712772E-3</v>
      </c>
    </row>
    <row r="420" spans="2:5" ht="15" customHeight="1" x14ac:dyDescent="0.25">
      <c r="B420" s="84"/>
      <c r="C420" s="45" t="s">
        <v>125</v>
      </c>
      <c r="D420" s="44">
        <v>5</v>
      </c>
      <c r="E420" s="43">
        <v>2.0341741253051262E-3</v>
      </c>
    </row>
    <row r="421" spans="2:5" ht="15" customHeight="1" x14ac:dyDescent="0.25">
      <c r="B421" s="83"/>
      <c r="C421" s="42" t="s">
        <v>20</v>
      </c>
      <c r="D421" s="41">
        <v>67</v>
      </c>
      <c r="E421" s="40">
        <v>2.7257933279088691E-2</v>
      </c>
    </row>
    <row r="422" spans="2:5" ht="15" customHeight="1" x14ac:dyDescent="0.25">
      <c r="B422" s="82" t="s">
        <v>77</v>
      </c>
      <c r="C422" s="45" t="s">
        <v>143</v>
      </c>
      <c r="D422" s="44">
        <v>1</v>
      </c>
      <c r="E422" s="43">
        <v>4.0683482506102521E-4</v>
      </c>
    </row>
    <row r="423" spans="2:5" ht="15" customHeight="1" x14ac:dyDescent="0.25">
      <c r="B423" s="84"/>
      <c r="C423" s="45" t="s">
        <v>142</v>
      </c>
      <c r="D423" s="44">
        <v>1</v>
      </c>
      <c r="E423" s="43">
        <v>4.0683482506102521E-4</v>
      </c>
    </row>
    <row r="424" spans="2:5" ht="15" customHeight="1" x14ac:dyDescent="0.25">
      <c r="B424" s="84"/>
      <c r="C424" s="45" t="s">
        <v>141</v>
      </c>
      <c r="D424" s="44">
        <v>1</v>
      </c>
      <c r="E424" s="43">
        <v>4.0683482506102521E-4</v>
      </c>
    </row>
    <row r="425" spans="2:5" ht="15" customHeight="1" x14ac:dyDescent="0.25">
      <c r="B425" s="84"/>
      <c r="C425" s="45" t="s">
        <v>139</v>
      </c>
      <c r="D425" s="44">
        <v>7</v>
      </c>
      <c r="E425" s="43">
        <v>2.8478437754271765E-3</v>
      </c>
    </row>
    <row r="426" spans="2:5" ht="15" customHeight="1" x14ac:dyDescent="0.25">
      <c r="B426" s="84"/>
      <c r="C426" s="45" t="s">
        <v>138</v>
      </c>
      <c r="D426" s="44">
        <v>7</v>
      </c>
      <c r="E426" s="43">
        <v>2.8478437754271765E-3</v>
      </c>
    </row>
    <row r="427" spans="2:5" ht="15" customHeight="1" x14ac:dyDescent="0.25">
      <c r="B427" s="84"/>
      <c r="C427" s="45" t="s">
        <v>137</v>
      </c>
      <c r="D427" s="44">
        <v>4</v>
      </c>
      <c r="E427" s="43">
        <v>1.6273393002441008E-3</v>
      </c>
    </row>
    <row r="428" spans="2:5" ht="15" customHeight="1" x14ac:dyDescent="0.25">
      <c r="B428" s="84"/>
      <c r="C428" s="45" t="s">
        <v>136</v>
      </c>
      <c r="D428" s="44">
        <v>1</v>
      </c>
      <c r="E428" s="43">
        <v>4.0683482506102521E-4</v>
      </c>
    </row>
    <row r="429" spans="2:5" ht="15" customHeight="1" x14ac:dyDescent="0.25">
      <c r="B429" s="84"/>
      <c r="C429" s="45" t="s">
        <v>135</v>
      </c>
      <c r="D429" s="44">
        <v>1</v>
      </c>
      <c r="E429" s="43">
        <v>4.0683482506102521E-4</v>
      </c>
    </row>
    <row r="430" spans="2:5" ht="15" customHeight="1" x14ac:dyDescent="0.25">
      <c r="B430" s="84"/>
      <c r="C430" s="45" t="s">
        <v>134</v>
      </c>
      <c r="D430" s="44">
        <v>12</v>
      </c>
      <c r="E430" s="43">
        <v>4.8820179007323028E-3</v>
      </c>
    </row>
    <row r="431" spans="2:5" ht="15" customHeight="1" x14ac:dyDescent="0.25">
      <c r="B431" s="84"/>
      <c r="C431" s="45" t="s">
        <v>132</v>
      </c>
      <c r="D431" s="44">
        <v>2</v>
      </c>
      <c r="E431" s="43">
        <v>8.1366965012205042E-4</v>
      </c>
    </row>
    <row r="432" spans="2:5" ht="15" customHeight="1" x14ac:dyDescent="0.25">
      <c r="B432" s="84"/>
      <c r="C432" s="45" t="s">
        <v>131</v>
      </c>
      <c r="D432" s="44">
        <v>4</v>
      </c>
      <c r="E432" s="43">
        <v>1.6273393002441008E-3</v>
      </c>
    </row>
    <row r="433" spans="2:5" ht="15" customHeight="1" x14ac:dyDescent="0.25">
      <c r="B433" s="84"/>
      <c r="C433" s="45" t="s">
        <v>130</v>
      </c>
      <c r="D433" s="44">
        <v>1</v>
      </c>
      <c r="E433" s="43">
        <v>4.0683482506102521E-4</v>
      </c>
    </row>
    <row r="434" spans="2:5" ht="15" customHeight="1" x14ac:dyDescent="0.25">
      <c r="B434" s="84"/>
      <c r="C434" s="45" t="s">
        <v>126</v>
      </c>
      <c r="D434" s="44">
        <v>1</v>
      </c>
      <c r="E434" s="43">
        <v>4.0683482506102521E-4</v>
      </c>
    </row>
    <row r="435" spans="2:5" ht="15" customHeight="1" x14ac:dyDescent="0.25">
      <c r="B435" s="84"/>
      <c r="C435" s="45" t="s">
        <v>125</v>
      </c>
      <c r="D435" s="44">
        <v>2</v>
      </c>
      <c r="E435" s="43">
        <v>8.1366965012205042E-4</v>
      </c>
    </row>
    <row r="436" spans="2:5" ht="15" customHeight="1" x14ac:dyDescent="0.25">
      <c r="B436" s="83"/>
      <c r="C436" s="42" t="s">
        <v>20</v>
      </c>
      <c r="D436" s="41">
        <v>45</v>
      </c>
      <c r="E436" s="40">
        <v>1.8307567127746133E-2</v>
      </c>
    </row>
    <row r="437" spans="2:5" ht="15" customHeight="1" x14ac:dyDescent="0.25">
      <c r="B437" s="82" t="s">
        <v>68</v>
      </c>
      <c r="C437" s="45" t="s">
        <v>138</v>
      </c>
      <c r="D437" s="44">
        <v>1</v>
      </c>
      <c r="E437" s="43">
        <v>4.0683482506102521E-4</v>
      </c>
    </row>
    <row r="438" spans="2:5" ht="15" customHeight="1" x14ac:dyDescent="0.25">
      <c r="B438" s="84"/>
      <c r="C438" s="45" t="s">
        <v>134</v>
      </c>
      <c r="D438" s="44">
        <v>1</v>
      </c>
      <c r="E438" s="43">
        <v>4.0683482506102521E-4</v>
      </c>
    </row>
    <row r="439" spans="2:5" ht="15" customHeight="1" x14ac:dyDescent="0.25">
      <c r="B439" s="84"/>
      <c r="C439" s="45" t="s">
        <v>133</v>
      </c>
      <c r="D439" s="44">
        <v>1</v>
      </c>
      <c r="E439" s="43">
        <v>4.0683482506102521E-4</v>
      </c>
    </row>
    <row r="440" spans="2:5" ht="15" customHeight="1" x14ac:dyDescent="0.25">
      <c r="B440" s="84"/>
      <c r="C440" s="45" t="s">
        <v>132</v>
      </c>
      <c r="D440" s="44">
        <v>1</v>
      </c>
      <c r="E440" s="43">
        <v>4.0683482506102521E-4</v>
      </c>
    </row>
    <row r="441" spans="2:5" ht="15" customHeight="1" x14ac:dyDescent="0.25">
      <c r="B441" s="84"/>
      <c r="C441" s="45" t="s">
        <v>131</v>
      </c>
      <c r="D441" s="44">
        <v>2</v>
      </c>
      <c r="E441" s="43">
        <v>8.1366965012205042E-4</v>
      </c>
    </row>
    <row r="442" spans="2:5" ht="15" customHeight="1" x14ac:dyDescent="0.25">
      <c r="B442" s="83"/>
      <c r="C442" s="42" t="s">
        <v>20</v>
      </c>
      <c r="D442" s="41">
        <v>6</v>
      </c>
      <c r="E442" s="40">
        <v>2.4410089503661514E-3</v>
      </c>
    </row>
    <row r="443" spans="2:5" ht="15" customHeight="1" x14ac:dyDescent="0.25">
      <c r="B443" s="82" t="s">
        <v>56</v>
      </c>
      <c r="C443" s="45" t="s">
        <v>134</v>
      </c>
      <c r="D443" s="44">
        <v>1</v>
      </c>
      <c r="E443" s="43">
        <v>4.0683482506102521E-4</v>
      </c>
    </row>
    <row r="444" spans="2:5" ht="15" customHeight="1" x14ac:dyDescent="0.25">
      <c r="B444" s="83"/>
      <c r="C444" s="42" t="s">
        <v>20</v>
      </c>
      <c r="D444" s="41">
        <v>1</v>
      </c>
      <c r="E444" s="40">
        <v>4.0683482506102521E-4</v>
      </c>
    </row>
    <row r="445" spans="2:5" ht="15" customHeight="1" x14ac:dyDescent="0.25">
      <c r="B445" s="82" t="s">
        <v>66</v>
      </c>
      <c r="C445" s="45" t="s">
        <v>134</v>
      </c>
      <c r="D445" s="44">
        <v>1</v>
      </c>
      <c r="E445" s="43">
        <v>4.0683482506102521E-4</v>
      </c>
    </row>
    <row r="446" spans="2:5" ht="15" customHeight="1" x14ac:dyDescent="0.25">
      <c r="B446" s="84"/>
      <c r="C446" s="45" t="s">
        <v>131</v>
      </c>
      <c r="D446" s="44">
        <v>1</v>
      </c>
      <c r="E446" s="43">
        <v>4.0683482506102521E-4</v>
      </c>
    </row>
    <row r="447" spans="2:5" ht="15" customHeight="1" x14ac:dyDescent="0.25">
      <c r="B447" s="83"/>
      <c r="C447" s="42" t="s">
        <v>20</v>
      </c>
      <c r="D447" s="41">
        <v>2</v>
      </c>
      <c r="E447" s="40">
        <v>8.1366965012205042E-4</v>
      </c>
    </row>
    <row r="448" spans="2:5" ht="15" customHeight="1" x14ac:dyDescent="0.25">
      <c r="B448" s="80" t="s">
        <v>20</v>
      </c>
      <c r="C448" s="81"/>
      <c r="D448" s="39">
        <v>2458</v>
      </c>
      <c r="E448" s="38">
        <v>1</v>
      </c>
    </row>
    <row r="450" spans="2:2" ht="15" customHeight="1" x14ac:dyDescent="0.25">
      <c r="B450" s="19" t="s">
        <v>191</v>
      </c>
    </row>
    <row r="451" spans="2:2" ht="15" customHeight="1" x14ac:dyDescent="0.25">
      <c r="B451" s="21" t="s">
        <v>19</v>
      </c>
    </row>
    <row r="452" spans="2:2" ht="15" customHeight="1" x14ac:dyDescent="0.25">
      <c r="B452" s="20" t="s">
        <v>18</v>
      </c>
    </row>
    <row r="453" spans="2:2" ht="15" customHeight="1" x14ac:dyDescent="0.25">
      <c r="B453" s="19" t="s">
        <v>17</v>
      </c>
    </row>
    <row r="454" spans="2:2" ht="15" customHeight="1" x14ac:dyDescent="0.25">
      <c r="B454" s="19" t="s">
        <v>192</v>
      </c>
    </row>
  </sheetData>
  <mergeCells count="48">
    <mergeCell ref="B10:B14"/>
    <mergeCell ref="B15:B22"/>
    <mergeCell ref="B23:B28"/>
    <mergeCell ref="B29:B40"/>
    <mergeCell ref="B41:B45"/>
    <mergeCell ref="B46:B51"/>
    <mergeCell ref="B52:B53"/>
    <mergeCell ref="B54:B66"/>
    <mergeCell ref="B67:B77"/>
    <mergeCell ref="B78:B79"/>
    <mergeCell ref="B80:B88"/>
    <mergeCell ref="B89:B94"/>
    <mergeCell ref="B7:E8"/>
    <mergeCell ref="B144:B154"/>
    <mergeCell ref="B155:B156"/>
    <mergeCell ref="B157:B173"/>
    <mergeCell ref="B174:B179"/>
    <mergeCell ref="B180:B199"/>
    <mergeCell ref="B200:B206"/>
    <mergeCell ref="B207:B213"/>
    <mergeCell ref="B95:B96"/>
    <mergeCell ref="B97:B100"/>
    <mergeCell ref="B101:B122"/>
    <mergeCell ref="B123:B137"/>
    <mergeCell ref="B138:B143"/>
    <mergeCell ref="B267:B277"/>
    <mergeCell ref="B278:B289"/>
    <mergeCell ref="B290:B303"/>
    <mergeCell ref="B304:B321"/>
    <mergeCell ref="B214:B220"/>
    <mergeCell ref="B221:B224"/>
    <mergeCell ref="B225:B231"/>
    <mergeCell ref="B232:B242"/>
    <mergeCell ref="B243:B253"/>
    <mergeCell ref="B254:B266"/>
    <mergeCell ref="B374:B389"/>
    <mergeCell ref="B390:B406"/>
    <mergeCell ref="B407:B421"/>
    <mergeCell ref="B422:B436"/>
    <mergeCell ref="B437:B442"/>
    <mergeCell ref="B443:B444"/>
    <mergeCell ref="B445:B447"/>
    <mergeCell ref="B448:C448"/>
    <mergeCell ref="B322:B327"/>
    <mergeCell ref="B328:B340"/>
    <mergeCell ref="B341:B347"/>
    <mergeCell ref="B348:B363"/>
    <mergeCell ref="B364:B373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D20"/>
  <sheetViews>
    <sheetView showGridLines="0" zoomScaleNormal="100" zoomScaleSheetLayoutView="115" workbookViewId="0">
      <selection activeCell="B14" sqref="B14"/>
    </sheetView>
  </sheetViews>
  <sheetFormatPr baseColWidth="10" defaultColWidth="11.42578125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 x14ac:dyDescent="0.2">
      <c r="C1" s="35"/>
    </row>
    <row r="2" spans="1:4" s="29" customFormat="1" ht="15" customHeight="1" x14ac:dyDescent="0.2">
      <c r="C2" s="35"/>
    </row>
    <row r="3" spans="1:4" s="29" customFormat="1" ht="15" customHeight="1" x14ac:dyDescent="0.2">
      <c r="A3" s="29" t="s">
        <v>63</v>
      </c>
      <c r="C3" s="35"/>
    </row>
    <row r="4" spans="1:4" s="29" customFormat="1" ht="30" customHeight="1" x14ac:dyDescent="0.2">
      <c r="C4" s="35"/>
      <c r="D4" s="34"/>
    </row>
    <row r="5" spans="1:4" s="29" customFormat="1" ht="15" customHeight="1" x14ac:dyDescent="0.2">
      <c r="C5" s="35"/>
      <c r="D5" s="34"/>
    </row>
    <row r="6" spans="1:4" s="29" customFormat="1" ht="15" customHeight="1" x14ac:dyDescent="0.2">
      <c r="C6" s="35"/>
      <c r="D6" s="34"/>
    </row>
    <row r="7" spans="1:4" s="29" customFormat="1" ht="15" customHeight="1" x14ac:dyDescent="0.2">
      <c r="B7" s="86" t="s">
        <v>195</v>
      </c>
      <c r="C7" s="86"/>
      <c r="D7" s="86"/>
    </row>
    <row r="8" spans="1:4" s="29" customFormat="1" ht="15" customHeight="1" x14ac:dyDescent="0.2">
      <c r="B8" s="86"/>
      <c r="C8" s="86"/>
      <c r="D8" s="86"/>
    </row>
    <row r="9" spans="1:4" s="29" customFormat="1" ht="33" customHeight="1" x14ac:dyDescent="0.2">
      <c r="B9" s="86"/>
      <c r="C9" s="86"/>
      <c r="D9" s="86"/>
    </row>
    <row r="10" spans="1:4" s="29" customFormat="1" ht="4.5" customHeight="1" x14ac:dyDescent="0.2">
      <c r="B10" s="33"/>
      <c r="C10" s="33"/>
      <c r="D10" s="33"/>
    </row>
    <row r="11" spans="1:4" s="29" customFormat="1" ht="33" customHeight="1" x14ac:dyDescent="0.2">
      <c r="B11" s="32" t="s">
        <v>158</v>
      </c>
      <c r="C11" s="31" t="s">
        <v>61</v>
      </c>
      <c r="D11" s="30" t="s">
        <v>60</v>
      </c>
    </row>
    <row r="12" spans="1:4" ht="15" customHeight="1" x14ac:dyDescent="0.25">
      <c r="B12" s="27" t="s">
        <v>157</v>
      </c>
      <c r="C12" s="26">
        <v>1280</v>
      </c>
      <c r="D12" s="25">
        <v>0.51990251827782286</v>
      </c>
    </row>
    <row r="13" spans="1:4" ht="15" customHeight="1" x14ac:dyDescent="0.25">
      <c r="B13" s="27" t="s">
        <v>156</v>
      </c>
      <c r="C13" s="26">
        <v>1182</v>
      </c>
      <c r="D13" s="25">
        <v>0.48009748172217709</v>
      </c>
    </row>
    <row r="14" spans="1:4" x14ac:dyDescent="0.25">
      <c r="B14" s="24" t="s">
        <v>155</v>
      </c>
      <c r="C14" s="23">
        <v>2462</v>
      </c>
      <c r="D14" s="22">
        <v>1</v>
      </c>
    </row>
    <row r="15" spans="1:4" s="28" customFormat="1" ht="15.75" x14ac:dyDescent="0.25">
      <c r="A15" s="17"/>
      <c r="C15" s="61"/>
      <c r="D15" s="61"/>
    </row>
    <row r="16" spans="1:4" s="28" customFormat="1" ht="15.75" x14ac:dyDescent="0.25">
      <c r="A16" s="17"/>
      <c r="B16" s="19" t="s">
        <v>191</v>
      </c>
      <c r="C16" s="61"/>
      <c r="D16" s="61"/>
    </row>
    <row r="17" spans="2:4" x14ac:dyDescent="0.25">
      <c r="B17" s="21" t="s">
        <v>19</v>
      </c>
      <c r="C17" s="60"/>
      <c r="D17" s="60"/>
    </row>
    <row r="18" spans="2:4" x14ac:dyDescent="0.25">
      <c r="B18" s="20" t="s">
        <v>18</v>
      </c>
      <c r="C18" s="59"/>
      <c r="D18" s="59"/>
    </row>
    <row r="19" spans="2:4" x14ac:dyDescent="0.25">
      <c r="B19" s="19" t="s">
        <v>17</v>
      </c>
    </row>
    <row r="20" spans="2:4" x14ac:dyDescent="0.25">
      <c r="B20" s="19" t="s">
        <v>192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F150"/>
  <sheetViews>
    <sheetView showGridLines="0" zoomScale="89" zoomScaleNormal="89" zoomScaleSheetLayoutView="100" workbookViewId="0">
      <selection activeCell="L1" sqref="L1"/>
    </sheetView>
  </sheetViews>
  <sheetFormatPr baseColWidth="10" defaultColWidth="11.42578125" defaultRowHeight="11.25" x14ac:dyDescent="0.2"/>
  <cols>
    <col min="1" max="1" width="5.7109375" style="29" customWidth="1"/>
    <col min="2" max="2" width="19" style="50" customWidth="1"/>
    <col min="3" max="3" width="14.7109375" style="50" customWidth="1"/>
    <col min="4" max="4" width="23.5703125" style="62" customWidth="1"/>
    <col min="5" max="5" width="15.140625" style="50" bestFit="1" customWidth="1"/>
    <col min="6" max="6" width="5.7109375" style="29" customWidth="1"/>
    <col min="7" max="16384" width="11.42578125" style="29"/>
  </cols>
  <sheetData>
    <row r="1" spans="1:6" s="64" customFormat="1" ht="15" x14ac:dyDescent="0.25">
      <c r="B1" s="53"/>
      <c r="C1" s="50"/>
    </row>
    <row r="2" spans="1:6" s="50" customFormat="1" x14ac:dyDescent="0.2">
      <c r="B2" s="68"/>
    </row>
    <row r="3" spans="1:6" ht="15" customHeight="1" x14ac:dyDescent="0.2">
      <c r="B3" s="69"/>
      <c r="C3" s="35"/>
      <c r="D3" s="29"/>
      <c r="F3" s="50"/>
    </row>
    <row r="4" spans="1:6" ht="30" customHeight="1" x14ac:dyDescent="0.2">
      <c r="B4" s="69"/>
      <c r="C4" s="35"/>
      <c r="D4" s="29"/>
      <c r="F4" s="50"/>
    </row>
    <row r="5" spans="1:6" ht="15" customHeight="1" x14ac:dyDescent="0.2">
      <c r="B5" s="69"/>
      <c r="C5" s="35"/>
      <c r="D5" s="29"/>
      <c r="F5" s="50"/>
    </row>
    <row r="6" spans="1:6" s="50" customFormat="1" x14ac:dyDescent="0.2">
      <c r="B6" s="57"/>
      <c r="C6" s="46"/>
    </row>
    <row r="7" spans="1:6" s="50" customFormat="1" x14ac:dyDescent="0.2">
      <c r="A7" s="53"/>
      <c r="B7" s="68"/>
      <c r="C7" s="53"/>
    </row>
    <row r="8" spans="1:6" s="64" customFormat="1" ht="15" customHeight="1" x14ac:dyDescent="0.25">
      <c r="B8" s="90" t="s">
        <v>199</v>
      </c>
      <c r="C8" s="90"/>
      <c r="D8" s="90"/>
      <c r="E8" s="90"/>
    </row>
    <row r="9" spans="1:6" s="64" customFormat="1" ht="15" customHeight="1" x14ac:dyDescent="0.25">
      <c r="A9" s="66"/>
      <c r="B9" s="90"/>
      <c r="C9" s="90"/>
      <c r="D9" s="90"/>
      <c r="E9" s="90"/>
      <c r="F9" s="67"/>
    </row>
    <row r="10" spans="1:6" s="64" customFormat="1" ht="15" customHeight="1" x14ac:dyDescent="0.25">
      <c r="A10" s="66"/>
      <c r="B10" s="91"/>
      <c r="C10" s="91"/>
      <c r="D10" s="91"/>
      <c r="E10" s="91"/>
      <c r="F10" s="66"/>
    </row>
    <row r="11" spans="1:6" s="64" customFormat="1" ht="36.950000000000003" customHeight="1" x14ac:dyDescent="0.25">
      <c r="B11" s="65" t="s">
        <v>109</v>
      </c>
      <c r="C11" s="65" t="s">
        <v>158</v>
      </c>
      <c r="D11" s="65" t="s">
        <v>61</v>
      </c>
      <c r="E11" s="65" t="s">
        <v>60</v>
      </c>
    </row>
    <row r="12" spans="1:6" ht="13.5" x14ac:dyDescent="0.2">
      <c r="B12" s="87" t="s">
        <v>72</v>
      </c>
      <c r="C12" s="63" t="s">
        <v>160</v>
      </c>
      <c r="D12" s="26">
        <v>2</v>
      </c>
      <c r="E12" s="25">
        <v>8.1234768480909826E-4</v>
      </c>
    </row>
    <row r="13" spans="1:6" ht="13.5" x14ac:dyDescent="0.2">
      <c r="B13" s="88"/>
      <c r="C13" s="63" t="s">
        <v>159</v>
      </c>
      <c r="D13" s="26">
        <v>2</v>
      </c>
      <c r="E13" s="25">
        <v>8.1234768480909826E-4</v>
      </c>
    </row>
    <row r="14" spans="1:6" ht="13.5" x14ac:dyDescent="0.2">
      <c r="B14" s="89"/>
      <c r="C14" s="97" t="s">
        <v>20</v>
      </c>
      <c r="D14" s="98">
        <v>4</v>
      </c>
      <c r="E14" s="99">
        <v>1.6246953696181965E-3</v>
      </c>
    </row>
    <row r="15" spans="1:6" ht="13.5" x14ac:dyDescent="0.2">
      <c r="B15" s="87" t="s">
        <v>104</v>
      </c>
      <c r="C15" s="63" t="s">
        <v>160</v>
      </c>
      <c r="D15" s="26">
        <v>15</v>
      </c>
      <c r="E15" s="25">
        <v>6.092607636068237E-3</v>
      </c>
    </row>
    <row r="16" spans="1:6" ht="13.5" x14ac:dyDescent="0.2">
      <c r="B16" s="88"/>
      <c r="C16" s="63" t="s">
        <v>159</v>
      </c>
      <c r="D16" s="26">
        <v>8</v>
      </c>
      <c r="E16" s="25">
        <v>3.249390739236393E-3</v>
      </c>
    </row>
    <row r="17" spans="2:5" ht="13.5" x14ac:dyDescent="0.2">
      <c r="B17" s="89"/>
      <c r="C17" s="97" t="s">
        <v>20</v>
      </c>
      <c r="D17" s="98">
        <v>23</v>
      </c>
      <c r="E17" s="99">
        <v>9.3419983753046301E-3</v>
      </c>
    </row>
    <row r="18" spans="2:5" ht="13.5" x14ac:dyDescent="0.2">
      <c r="B18" s="87" t="s">
        <v>94</v>
      </c>
      <c r="C18" s="63" t="s">
        <v>160</v>
      </c>
      <c r="D18" s="26">
        <v>4</v>
      </c>
      <c r="E18" s="25">
        <v>1.6246953696181965E-3</v>
      </c>
    </row>
    <row r="19" spans="2:5" ht="13.5" x14ac:dyDescent="0.2">
      <c r="B19" s="88"/>
      <c r="C19" s="63" t="s">
        <v>159</v>
      </c>
      <c r="D19" s="26">
        <v>7</v>
      </c>
      <c r="E19" s="25">
        <v>2.843216896831844E-3</v>
      </c>
    </row>
    <row r="20" spans="2:5" ht="13.5" x14ac:dyDescent="0.2">
      <c r="B20" s="89"/>
      <c r="C20" s="97" t="s">
        <v>20</v>
      </c>
      <c r="D20" s="98">
        <v>11</v>
      </c>
      <c r="E20" s="99">
        <v>4.4679122664500409E-3</v>
      </c>
    </row>
    <row r="21" spans="2:5" ht="13.5" x14ac:dyDescent="0.2">
      <c r="B21" s="87" t="s">
        <v>70</v>
      </c>
      <c r="C21" s="63" t="s">
        <v>160</v>
      </c>
      <c r="D21" s="26">
        <v>18</v>
      </c>
      <c r="E21" s="25">
        <v>7.311129163281885E-3</v>
      </c>
    </row>
    <row r="22" spans="2:5" ht="13.5" x14ac:dyDescent="0.2">
      <c r="B22" s="88"/>
      <c r="C22" s="63" t="s">
        <v>159</v>
      </c>
      <c r="D22" s="26">
        <v>20</v>
      </c>
      <c r="E22" s="25">
        <v>8.1234768480909821E-3</v>
      </c>
    </row>
    <row r="23" spans="2:5" ht="13.5" x14ac:dyDescent="0.2">
      <c r="B23" s="89"/>
      <c r="C23" s="97" t="s">
        <v>20</v>
      </c>
      <c r="D23" s="98">
        <v>38</v>
      </c>
      <c r="E23" s="99">
        <v>1.5434606011372868E-2</v>
      </c>
    </row>
    <row r="24" spans="2:5" ht="13.5" x14ac:dyDescent="0.2">
      <c r="B24" s="87" t="s">
        <v>67</v>
      </c>
      <c r="C24" s="63" t="s">
        <v>160</v>
      </c>
      <c r="D24" s="26">
        <v>2</v>
      </c>
      <c r="E24" s="25">
        <v>8.1234768480909826E-4</v>
      </c>
    </row>
    <row r="25" spans="2:5" ht="13.5" x14ac:dyDescent="0.2">
      <c r="B25" s="88"/>
      <c r="C25" s="63" t="s">
        <v>159</v>
      </c>
      <c r="D25" s="26">
        <v>5</v>
      </c>
      <c r="E25" s="25">
        <v>2.0308692120227455E-3</v>
      </c>
    </row>
    <row r="26" spans="2:5" ht="13.5" x14ac:dyDescent="0.2">
      <c r="B26" s="89"/>
      <c r="C26" s="97" t="s">
        <v>20</v>
      </c>
      <c r="D26" s="98">
        <v>7</v>
      </c>
      <c r="E26" s="99">
        <v>2.843216896831844E-3</v>
      </c>
    </row>
    <row r="27" spans="2:5" ht="13.5" x14ac:dyDescent="0.2">
      <c r="B27" s="87" t="s">
        <v>71</v>
      </c>
      <c r="C27" s="63" t="s">
        <v>160</v>
      </c>
      <c r="D27" s="26">
        <v>4</v>
      </c>
      <c r="E27" s="25">
        <v>1.6246953696181965E-3</v>
      </c>
    </row>
    <row r="28" spans="2:5" ht="13.5" x14ac:dyDescent="0.2">
      <c r="B28" s="88"/>
      <c r="C28" s="63" t="s">
        <v>159</v>
      </c>
      <c r="D28" s="26">
        <v>1</v>
      </c>
      <c r="E28" s="25">
        <v>4.0617384240454913E-4</v>
      </c>
    </row>
    <row r="29" spans="2:5" ht="13.5" x14ac:dyDescent="0.2">
      <c r="B29" s="89"/>
      <c r="C29" s="97" t="s">
        <v>20</v>
      </c>
      <c r="D29" s="98">
        <v>5</v>
      </c>
      <c r="E29" s="99">
        <v>2.0308692120227455E-3</v>
      </c>
    </row>
    <row r="30" spans="2:5" ht="13.5" x14ac:dyDescent="0.2">
      <c r="B30" s="87" t="s">
        <v>154</v>
      </c>
      <c r="C30" s="63" t="s">
        <v>159</v>
      </c>
      <c r="D30" s="26">
        <v>1</v>
      </c>
      <c r="E30" s="25">
        <v>4.0617384240454913E-4</v>
      </c>
    </row>
    <row r="31" spans="2:5" ht="13.5" x14ac:dyDescent="0.2">
      <c r="B31" s="89"/>
      <c r="C31" s="97" t="s">
        <v>20</v>
      </c>
      <c r="D31" s="98">
        <v>1</v>
      </c>
      <c r="E31" s="99">
        <v>4.0617384240454913E-4</v>
      </c>
    </row>
    <row r="32" spans="2:5" ht="13.5" x14ac:dyDescent="0.2">
      <c r="B32" s="87" t="s">
        <v>107</v>
      </c>
      <c r="C32" s="63" t="s">
        <v>160</v>
      </c>
      <c r="D32" s="26">
        <v>56</v>
      </c>
      <c r="E32" s="25">
        <v>2.2745735174654752E-2</v>
      </c>
    </row>
    <row r="33" spans="2:5" ht="13.5" x14ac:dyDescent="0.2">
      <c r="B33" s="88"/>
      <c r="C33" s="63" t="s">
        <v>159</v>
      </c>
      <c r="D33" s="26">
        <v>41</v>
      </c>
      <c r="E33" s="25">
        <v>1.6653127538586516E-2</v>
      </c>
    </row>
    <row r="34" spans="2:5" ht="13.5" x14ac:dyDescent="0.2">
      <c r="B34" s="89"/>
      <c r="C34" s="97" t="s">
        <v>20</v>
      </c>
      <c r="D34" s="98">
        <v>97</v>
      </c>
      <c r="E34" s="99">
        <v>3.9398862713241264E-2</v>
      </c>
    </row>
    <row r="35" spans="2:5" ht="13.5" x14ac:dyDescent="0.2">
      <c r="B35" s="87" t="s">
        <v>105</v>
      </c>
      <c r="C35" s="63" t="s">
        <v>160</v>
      </c>
      <c r="D35" s="26">
        <v>33</v>
      </c>
      <c r="E35" s="25">
        <v>1.3403736799350122E-2</v>
      </c>
    </row>
    <row r="36" spans="2:5" ht="13.5" x14ac:dyDescent="0.2">
      <c r="B36" s="88"/>
      <c r="C36" s="63" t="s">
        <v>159</v>
      </c>
      <c r="D36" s="26">
        <v>26</v>
      </c>
      <c r="E36" s="25">
        <v>1.0560519902518278E-2</v>
      </c>
    </row>
    <row r="37" spans="2:5" ht="13.5" x14ac:dyDescent="0.2">
      <c r="B37" s="89"/>
      <c r="C37" s="97" t="s">
        <v>20</v>
      </c>
      <c r="D37" s="98">
        <v>59</v>
      </c>
      <c r="E37" s="99">
        <v>2.39642567018684E-2</v>
      </c>
    </row>
    <row r="38" spans="2:5" ht="13.5" x14ac:dyDescent="0.2">
      <c r="B38" s="87" t="s">
        <v>198</v>
      </c>
      <c r="C38" s="63" t="s">
        <v>160</v>
      </c>
      <c r="D38" s="26">
        <v>1</v>
      </c>
      <c r="E38" s="25">
        <v>4.0617384240454913E-4</v>
      </c>
    </row>
    <row r="39" spans="2:5" ht="13.5" x14ac:dyDescent="0.2">
      <c r="B39" s="89"/>
      <c r="C39" s="97" t="s">
        <v>20</v>
      </c>
      <c r="D39" s="98">
        <v>1</v>
      </c>
      <c r="E39" s="99">
        <v>4.0617384240454913E-4</v>
      </c>
    </row>
    <row r="40" spans="2:5" ht="13.5" x14ac:dyDescent="0.2">
      <c r="B40" s="87" t="s">
        <v>89</v>
      </c>
      <c r="C40" s="63" t="s">
        <v>160</v>
      </c>
      <c r="D40" s="26">
        <v>15</v>
      </c>
      <c r="E40" s="25">
        <v>6.092607636068237E-3</v>
      </c>
    </row>
    <row r="41" spans="2:5" ht="13.5" x14ac:dyDescent="0.2">
      <c r="B41" s="88"/>
      <c r="C41" s="63" t="s">
        <v>159</v>
      </c>
      <c r="D41" s="26">
        <v>17</v>
      </c>
      <c r="E41" s="25">
        <v>6.9049553208773351E-3</v>
      </c>
    </row>
    <row r="42" spans="2:5" ht="13.5" x14ac:dyDescent="0.2">
      <c r="B42" s="89"/>
      <c r="C42" s="97" t="s">
        <v>20</v>
      </c>
      <c r="D42" s="98">
        <v>32</v>
      </c>
      <c r="E42" s="99">
        <v>1.2997562956945572E-2</v>
      </c>
    </row>
    <row r="43" spans="2:5" ht="13.5" x14ac:dyDescent="0.2">
      <c r="B43" s="87" t="s">
        <v>75</v>
      </c>
      <c r="C43" s="63" t="s">
        <v>160</v>
      </c>
      <c r="D43" s="26">
        <v>6</v>
      </c>
      <c r="E43" s="25">
        <v>2.437043054427295E-3</v>
      </c>
    </row>
    <row r="44" spans="2:5" ht="13.5" x14ac:dyDescent="0.2">
      <c r="B44" s="88"/>
      <c r="C44" s="63" t="s">
        <v>159</v>
      </c>
      <c r="D44" s="26">
        <v>3</v>
      </c>
      <c r="E44" s="25">
        <v>1.2185215272136475E-3</v>
      </c>
    </row>
    <row r="45" spans="2:5" ht="13.5" x14ac:dyDescent="0.2">
      <c r="B45" s="89"/>
      <c r="C45" s="97" t="s">
        <v>20</v>
      </c>
      <c r="D45" s="98">
        <v>9</v>
      </c>
      <c r="E45" s="99">
        <v>3.6555645816409425E-3</v>
      </c>
    </row>
    <row r="46" spans="2:5" ht="13.5" x14ac:dyDescent="0.2">
      <c r="B46" s="87" t="s">
        <v>73</v>
      </c>
      <c r="C46" s="63" t="s">
        <v>159</v>
      </c>
      <c r="D46" s="26">
        <v>1</v>
      </c>
      <c r="E46" s="25">
        <v>4.0617384240454913E-4</v>
      </c>
    </row>
    <row r="47" spans="2:5" ht="13.5" x14ac:dyDescent="0.2">
      <c r="B47" s="89"/>
      <c r="C47" s="97" t="s">
        <v>20</v>
      </c>
      <c r="D47" s="98">
        <v>1</v>
      </c>
      <c r="E47" s="99">
        <v>4.0617384240454913E-4</v>
      </c>
    </row>
    <row r="48" spans="2:5" ht="13.5" x14ac:dyDescent="0.2">
      <c r="B48" s="87" t="s">
        <v>86</v>
      </c>
      <c r="C48" s="63" t="s">
        <v>160</v>
      </c>
      <c r="D48" s="26">
        <v>2</v>
      </c>
      <c r="E48" s="25">
        <v>8.1234768480909826E-4</v>
      </c>
    </row>
    <row r="49" spans="2:5" ht="13.5" x14ac:dyDescent="0.2">
      <c r="B49" s="88"/>
      <c r="C49" s="63" t="s">
        <v>159</v>
      </c>
      <c r="D49" s="26">
        <v>1</v>
      </c>
      <c r="E49" s="25">
        <v>4.0617384240454913E-4</v>
      </c>
    </row>
    <row r="50" spans="2:5" ht="13.5" x14ac:dyDescent="0.2">
      <c r="B50" s="89"/>
      <c r="C50" s="97" t="s">
        <v>20</v>
      </c>
      <c r="D50" s="98">
        <v>3</v>
      </c>
      <c r="E50" s="99">
        <v>1.2185215272136475E-3</v>
      </c>
    </row>
    <row r="51" spans="2:5" ht="13.5" x14ac:dyDescent="0.2">
      <c r="B51" s="87" t="s">
        <v>102</v>
      </c>
      <c r="C51" s="63" t="s">
        <v>160</v>
      </c>
      <c r="D51" s="26">
        <v>227</v>
      </c>
      <c r="E51" s="25">
        <v>9.2201462225832656E-2</v>
      </c>
    </row>
    <row r="52" spans="2:5" ht="13.5" x14ac:dyDescent="0.2">
      <c r="B52" s="88"/>
      <c r="C52" s="63" t="s">
        <v>159</v>
      </c>
      <c r="D52" s="26">
        <v>221</v>
      </c>
      <c r="E52" s="25">
        <v>8.976441917140536E-2</v>
      </c>
    </row>
    <row r="53" spans="2:5" ht="13.5" x14ac:dyDescent="0.2">
      <c r="B53" s="89"/>
      <c r="C53" s="97" t="s">
        <v>20</v>
      </c>
      <c r="D53" s="98">
        <v>448</v>
      </c>
      <c r="E53" s="99">
        <v>0.18196588139723802</v>
      </c>
    </row>
    <row r="54" spans="2:5" ht="13.5" x14ac:dyDescent="0.2">
      <c r="B54" s="87" t="s">
        <v>106</v>
      </c>
      <c r="C54" s="63" t="s">
        <v>160</v>
      </c>
      <c r="D54" s="26">
        <v>36</v>
      </c>
      <c r="E54" s="25">
        <v>1.462225832656377E-2</v>
      </c>
    </row>
    <row r="55" spans="2:5" ht="13.5" x14ac:dyDescent="0.2">
      <c r="B55" s="88"/>
      <c r="C55" s="63" t="s">
        <v>159</v>
      </c>
      <c r="D55" s="26">
        <v>28</v>
      </c>
      <c r="E55" s="25">
        <v>1.1372867587327376E-2</v>
      </c>
    </row>
    <row r="56" spans="2:5" ht="13.5" x14ac:dyDescent="0.2">
      <c r="B56" s="89"/>
      <c r="C56" s="97" t="s">
        <v>20</v>
      </c>
      <c r="D56" s="98">
        <v>64</v>
      </c>
      <c r="E56" s="99">
        <v>2.5995125913891144E-2</v>
      </c>
    </row>
    <row r="57" spans="2:5" ht="13.5" x14ac:dyDescent="0.2">
      <c r="B57" s="87" t="s">
        <v>153</v>
      </c>
      <c r="C57" s="63" t="s">
        <v>160</v>
      </c>
      <c r="D57" s="26">
        <v>8</v>
      </c>
      <c r="E57" s="25">
        <v>3.249390739236393E-3</v>
      </c>
    </row>
    <row r="58" spans="2:5" ht="13.5" x14ac:dyDescent="0.2">
      <c r="B58" s="88"/>
      <c r="C58" s="63" t="s">
        <v>159</v>
      </c>
      <c r="D58" s="26">
        <v>10</v>
      </c>
      <c r="E58" s="25">
        <v>4.0617384240454911E-3</v>
      </c>
    </row>
    <row r="59" spans="2:5" ht="13.5" x14ac:dyDescent="0.2">
      <c r="B59" s="89"/>
      <c r="C59" s="97" t="s">
        <v>20</v>
      </c>
      <c r="D59" s="98">
        <v>18</v>
      </c>
      <c r="E59" s="99">
        <v>7.311129163281885E-3</v>
      </c>
    </row>
    <row r="60" spans="2:5" ht="13.5" x14ac:dyDescent="0.2">
      <c r="B60" s="87" t="s">
        <v>85</v>
      </c>
      <c r="C60" s="63" t="s">
        <v>160</v>
      </c>
      <c r="D60" s="26">
        <v>12</v>
      </c>
      <c r="E60" s="25">
        <v>4.87408610885459E-3</v>
      </c>
    </row>
    <row r="61" spans="2:5" ht="13.5" x14ac:dyDescent="0.2">
      <c r="B61" s="88"/>
      <c r="C61" s="63" t="s">
        <v>159</v>
      </c>
      <c r="D61" s="26">
        <v>10</v>
      </c>
      <c r="E61" s="25">
        <v>4.0617384240454911E-3</v>
      </c>
    </row>
    <row r="62" spans="2:5" ht="13.5" x14ac:dyDescent="0.2">
      <c r="B62" s="89"/>
      <c r="C62" s="97" t="s">
        <v>20</v>
      </c>
      <c r="D62" s="98">
        <v>22</v>
      </c>
      <c r="E62" s="99">
        <v>8.9358245329000819E-3</v>
      </c>
    </row>
    <row r="63" spans="2:5" ht="13.5" x14ac:dyDescent="0.2">
      <c r="B63" s="87" t="s">
        <v>69</v>
      </c>
      <c r="C63" s="63" t="s">
        <v>160</v>
      </c>
      <c r="D63" s="26">
        <v>1</v>
      </c>
      <c r="E63" s="25">
        <v>4.0617384240454913E-4</v>
      </c>
    </row>
    <row r="64" spans="2:5" ht="13.5" x14ac:dyDescent="0.2">
      <c r="B64" s="89"/>
      <c r="C64" s="97" t="s">
        <v>20</v>
      </c>
      <c r="D64" s="98">
        <v>1</v>
      </c>
      <c r="E64" s="99">
        <v>4.0617384240454913E-4</v>
      </c>
    </row>
    <row r="65" spans="2:5" ht="13.5" x14ac:dyDescent="0.2">
      <c r="B65" s="87" t="s">
        <v>92</v>
      </c>
      <c r="C65" s="63" t="s">
        <v>160</v>
      </c>
      <c r="D65" s="26">
        <v>52</v>
      </c>
      <c r="E65" s="25">
        <v>2.1121039805036556E-2</v>
      </c>
    </row>
    <row r="66" spans="2:5" ht="13.5" x14ac:dyDescent="0.2">
      <c r="B66" s="88"/>
      <c r="C66" s="63" t="s">
        <v>159</v>
      </c>
      <c r="D66" s="26">
        <v>57</v>
      </c>
      <c r="E66" s="25">
        <v>2.31519090170593E-2</v>
      </c>
    </row>
    <row r="67" spans="2:5" ht="13.5" x14ac:dyDescent="0.2">
      <c r="B67" s="89"/>
      <c r="C67" s="97" t="s">
        <v>20</v>
      </c>
      <c r="D67" s="98">
        <v>109</v>
      </c>
      <c r="E67" s="99">
        <v>4.4272948822095856E-2</v>
      </c>
    </row>
    <row r="68" spans="2:5" ht="13.5" x14ac:dyDescent="0.2">
      <c r="B68" s="87" t="s">
        <v>96</v>
      </c>
      <c r="C68" s="63" t="s">
        <v>160</v>
      </c>
      <c r="D68" s="26">
        <v>7</v>
      </c>
      <c r="E68" s="25">
        <v>2.843216896831844E-3</v>
      </c>
    </row>
    <row r="69" spans="2:5" ht="13.5" x14ac:dyDescent="0.2">
      <c r="B69" s="88"/>
      <c r="C69" s="63" t="s">
        <v>159</v>
      </c>
      <c r="D69" s="26">
        <v>8</v>
      </c>
      <c r="E69" s="25">
        <v>3.249390739236393E-3</v>
      </c>
    </row>
    <row r="70" spans="2:5" ht="13.5" x14ac:dyDescent="0.2">
      <c r="B70" s="89"/>
      <c r="C70" s="97" t="s">
        <v>20</v>
      </c>
      <c r="D70" s="98">
        <v>15</v>
      </c>
      <c r="E70" s="99">
        <v>6.092607636068237E-3</v>
      </c>
    </row>
    <row r="71" spans="2:5" ht="13.5" x14ac:dyDescent="0.2">
      <c r="B71" s="87" t="s">
        <v>152</v>
      </c>
      <c r="C71" s="63" t="s">
        <v>160</v>
      </c>
      <c r="D71" s="26">
        <v>226</v>
      </c>
      <c r="E71" s="25">
        <v>9.1795288383428111E-2</v>
      </c>
    </row>
    <row r="72" spans="2:5" ht="13.5" x14ac:dyDescent="0.2">
      <c r="B72" s="88"/>
      <c r="C72" s="63" t="s">
        <v>159</v>
      </c>
      <c r="D72" s="26">
        <v>213</v>
      </c>
      <c r="E72" s="25">
        <v>8.6515028432168975E-2</v>
      </c>
    </row>
    <row r="73" spans="2:5" ht="13.5" x14ac:dyDescent="0.2">
      <c r="B73" s="89"/>
      <c r="C73" s="97" t="s">
        <v>20</v>
      </c>
      <c r="D73" s="98">
        <v>439</v>
      </c>
      <c r="E73" s="99">
        <v>0.17831031681559709</v>
      </c>
    </row>
    <row r="74" spans="2:5" ht="13.5" x14ac:dyDescent="0.2">
      <c r="B74" s="87" t="s">
        <v>151</v>
      </c>
      <c r="C74" s="63" t="s">
        <v>160</v>
      </c>
      <c r="D74" s="26">
        <v>4</v>
      </c>
      <c r="E74" s="25">
        <v>1.6246953696181965E-3</v>
      </c>
    </row>
    <row r="75" spans="2:5" ht="13.5" x14ac:dyDescent="0.2">
      <c r="B75" s="88"/>
      <c r="C75" s="63" t="s">
        <v>159</v>
      </c>
      <c r="D75" s="26">
        <v>6</v>
      </c>
      <c r="E75" s="25">
        <v>2.437043054427295E-3</v>
      </c>
    </row>
    <row r="76" spans="2:5" ht="13.5" x14ac:dyDescent="0.2">
      <c r="B76" s="89"/>
      <c r="C76" s="97" t="s">
        <v>20</v>
      </c>
      <c r="D76" s="98">
        <v>10</v>
      </c>
      <c r="E76" s="99">
        <v>4.0617384240454911E-3</v>
      </c>
    </row>
    <row r="77" spans="2:5" ht="13.5" x14ac:dyDescent="0.2">
      <c r="B77" s="87" t="s">
        <v>82</v>
      </c>
      <c r="C77" s="63" t="s">
        <v>160</v>
      </c>
      <c r="D77" s="26">
        <v>8</v>
      </c>
      <c r="E77" s="25">
        <v>3.249390739236393E-3</v>
      </c>
    </row>
    <row r="78" spans="2:5" ht="13.5" x14ac:dyDescent="0.2">
      <c r="B78" s="88"/>
      <c r="C78" s="63" t="s">
        <v>159</v>
      </c>
      <c r="D78" s="26">
        <v>4</v>
      </c>
      <c r="E78" s="25">
        <v>1.6246953696181965E-3</v>
      </c>
    </row>
    <row r="79" spans="2:5" ht="13.5" x14ac:dyDescent="0.2">
      <c r="B79" s="89"/>
      <c r="C79" s="97" t="s">
        <v>20</v>
      </c>
      <c r="D79" s="98">
        <v>12</v>
      </c>
      <c r="E79" s="99">
        <v>4.87408610885459E-3</v>
      </c>
    </row>
    <row r="80" spans="2:5" ht="13.5" x14ac:dyDescent="0.2">
      <c r="B80" s="87" t="s">
        <v>81</v>
      </c>
      <c r="C80" s="63" t="s">
        <v>160</v>
      </c>
      <c r="D80" s="26">
        <v>3</v>
      </c>
      <c r="E80" s="25">
        <v>1.2185215272136475E-3</v>
      </c>
    </row>
    <row r="81" spans="2:5" ht="13.5" x14ac:dyDescent="0.2">
      <c r="B81" s="88"/>
      <c r="C81" s="63" t="s">
        <v>159</v>
      </c>
      <c r="D81" s="26">
        <v>3</v>
      </c>
      <c r="E81" s="25">
        <v>1.2185215272136475E-3</v>
      </c>
    </row>
    <row r="82" spans="2:5" ht="13.5" x14ac:dyDescent="0.2">
      <c r="B82" s="89"/>
      <c r="C82" s="97" t="s">
        <v>20</v>
      </c>
      <c r="D82" s="98">
        <v>6</v>
      </c>
      <c r="E82" s="99">
        <v>2.437043054427295E-3</v>
      </c>
    </row>
    <row r="83" spans="2:5" ht="13.5" x14ac:dyDescent="0.2">
      <c r="B83" s="87" t="s">
        <v>74</v>
      </c>
      <c r="C83" s="63" t="s">
        <v>160</v>
      </c>
      <c r="D83" s="26">
        <v>1</v>
      </c>
      <c r="E83" s="25">
        <v>4.0617384240454913E-4</v>
      </c>
    </row>
    <row r="84" spans="2:5" ht="13.5" x14ac:dyDescent="0.2">
      <c r="B84" s="88"/>
      <c r="C84" s="63" t="s">
        <v>159</v>
      </c>
      <c r="D84" s="26">
        <v>2</v>
      </c>
      <c r="E84" s="25">
        <v>8.1234768480909826E-4</v>
      </c>
    </row>
    <row r="85" spans="2:5" ht="13.5" x14ac:dyDescent="0.2">
      <c r="B85" s="89"/>
      <c r="C85" s="97" t="s">
        <v>20</v>
      </c>
      <c r="D85" s="98">
        <v>3</v>
      </c>
      <c r="E85" s="99">
        <v>1.2185215272136475E-3</v>
      </c>
    </row>
    <row r="86" spans="2:5" ht="13.5" x14ac:dyDescent="0.2">
      <c r="B86" s="87" t="s">
        <v>103</v>
      </c>
      <c r="C86" s="63" t="s">
        <v>160</v>
      </c>
      <c r="D86" s="26">
        <v>9</v>
      </c>
      <c r="E86" s="25">
        <v>3.6555645816409425E-3</v>
      </c>
    </row>
    <row r="87" spans="2:5" ht="13.5" x14ac:dyDescent="0.2">
      <c r="B87" s="88"/>
      <c r="C87" s="63" t="s">
        <v>159</v>
      </c>
      <c r="D87" s="26">
        <v>3</v>
      </c>
      <c r="E87" s="25">
        <v>1.2185215272136475E-3</v>
      </c>
    </row>
    <row r="88" spans="2:5" ht="13.5" x14ac:dyDescent="0.2">
      <c r="B88" s="89"/>
      <c r="C88" s="97" t="s">
        <v>20</v>
      </c>
      <c r="D88" s="98">
        <v>12</v>
      </c>
      <c r="E88" s="99">
        <v>4.87408610885459E-3</v>
      </c>
    </row>
    <row r="89" spans="2:5" ht="13.5" x14ac:dyDescent="0.2">
      <c r="B89" s="87" t="s">
        <v>76</v>
      </c>
      <c r="C89" s="63" t="s">
        <v>160</v>
      </c>
      <c r="D89" s="26">
        <v>12</v>
      </c>
      <c r="E89" s="25">
        <v>4.87408610885459E-3</v>
      </c>
    </row>
    <row r="90" spans="2:5" ht="13.5" x14ac:dyDescent="0.2">
      <c r="B90" s="88"/>
      <c r="C90" s="63" t="s">
        <v>159</v>
      </c>
      <c r="D90" s="26">
        <v>10</v>
      </c>
      <c r="E90" s="25">
        <v>4.0617384240454911E-3</v>
      </c>
    </row>
    <row r="91" spans="2:5" ht="13.5" x14ac:dyDescent="0.2">
      <c r="B91" s="89"/>
      <c r="C91" s="97" t="s">
        <v>20</v>
      </c>
      <c r="D91" s="98">
        <v>22</v>
      </c>
      <c r="E91" s="99">
        <v>8.9358245329000819E-3</v>
      </c>
    </row>
    <row r="92" spans="2:5" ht="13.5" x14ac:dyDescent="0.2">
      <c r="B92" s="87" t="s">
        <v>95</v>
      </c>
      <c r="C92" s="63" t="s">
        <v>160</v>
      </c>
      <c r="D92" s="26">
        <v>9</v>
      </c>
      <c r="E92" s="25">
        <v>3.6555645816409425E-3</v>
      </c>
    </row>
    <row r="93" spans="2:5" ht="13.5" x14ac:dyDescent="0.2">
      <c r="B93" s="88"/>
      <c r="C93" s="63" t="s">
        <v>159</v>
      </c>
      <c r="D93" s="26">
        <v>8</v>
      </c>
      <c r="E93" s="25">
        <v>3.249390739236393E-3</v>
      </c>
    </row>
    <row r="94" spans="2:5" ht="13.5" x14ac:dyDescent="0.2">
      <c r="B94" s="89"/>
      <c r="C94" s="97" t="s">
        <v>20</v>
      </c>
      <c r="D94" s="98">
        <v>17</v>
      </c>
      <c r="E94" s="99">
        <v>6.9049553208773351E-3</v>
      </c>
    </row>
    <row r="95" spans="2:5" ht="13.5" x14ac:dyDescent="0.2">
      <c r="B95" s="87" t="s">
        <v>91</v>
      </c>
      <c r="C95" s="63" t="s">
        <v>160</v>
      </c>
      <c r="D95" s="26">
        <v>30</v>
      </c>
      <c r="E95" s="25">
        <v>1.2185215272136474E-2</v>
      </c>
    </row>
    <row r="96" spans="2:5" ht="13.5" x14ac:dyDescent="0.2">
      <c r="B96" s="88"/>
      <c r="C96" s="63" t="s">
        <v>159</v>
      </c>
      <c r="D96" s="26">
        <v>20</v>
      </c>
      <c r="E96" s="25">
        <v>8.1234768480909821E-3</v>
      </c>
    </row>
    <row r="97" spans="2:5" ht="13.5" x14ac:dyDescent="0.2">
      <c r="B97" s="89"/>
      <c r="C97" s="97" t="s">
        <v>20</v>
      </c>
      <c r="D97" s="98">
        <v>50</v>
      </c>
      <c r="E97" s="99">
        <v>2.0308692120227456E-2</v>
      </c>
    </row>
    <row r="98" spans="2:5" ht="13.5" x14ac:dyDescent="0.2">
      <c r="B98" s="87" t="s">
        <v>79</v>
      </c>
      <c r="C98" s="63" t="s">
        <v>160</v>
      </c>
      <c r="D98" s="26">
        <v>17</v>
      </c>
      <c r="E98" s="25">
        <v>6.9049553208773351E-3</v>
      </c>
    </row>
    <row r="99" spans="2:5" ht="13.5" x14ac:dyDescent="0.2">
      <c r="B99" s="88"/>
      <c r="C99" s="63" t="s">
        <v>159</v>
      </c>
      <c r="D99" s="26">
        <v>16</v>
      </c>
      <c r="E99" s="25">
        <v>6.498781478472786E-3</v>
      </c>
    </row>
    <row r="100" spans="2:5" ht="13.5" x14ac:dyDescent="0.2">
      <c r="B100" s="89"/>
      <c r="C100" s="97" t="s">
        <v>20</v>
      </c>
      <c r="D100" s="98">
        <v>33</v>
      </c>
      <c r="E100" s="99">
        <v>1.3403736799350122E-2</v>
      </c>
    </row>
    <row r="101" spans="2:5" ht="13.5" x14ac:dyDescent="0.2">
      <c r="B101" s="87" t="s">
        <v>83</v>
      </c>
      <c r="C101" s="63" t="s">
        <v>160</v>
      </c>
      <c r="D101" s="26">
        <v>25</v>
      </c>
      <c r="E101" s="25">
        <v>1.0154346060113728E-2</v>
      </c>
    </row>
    <row r="102" spans="2:5" ht="13.5" x14ac:dyDescent="0.2">
      <c r="B102" s="88"/>
      <c r="C102" s="63" t="s">
        <v>159</v>
      </c>
      <c r="D102" s="26">
        <v>21</v>
      </c>
      <c r="E102" s="25">
        <v>8.529650690495532E-3</v>
      </c>
    </row>
    <row r="103" spans="2:5" ht="13.5" x14ac:dyDescent="0.2">
      <c r="B103" s="89"/>
      <c r="C103" s="97" t="s">
        <v>20</v>
      </c>
      <c r="D103" s="98">
        <v>46</v>
      </c>
      <c r="E103" s="99">
        <v>1.868399675060926E-2</v>
      </c>
    </row>
    <row r="104" spans="2:5" ht="13.5" x14ac:dyDescent="0.2">
      <c r="B104" s="87" t="s">
        <v>101</v>
      </c>
      <c r="C104" s="63" t="s">
        <v>160</v>
      </c>
      <c r="D104" s="26">
        <v>22</v>
      </c>
      <c r="E104" s="25">
        <v>8.9358245329000819E-3</v>
      </c>
    </row>
    <row r="105" spans="2:5" ht="13.5" x14ac:dyDescent="0.2">
      <c r="B105" s="88"/>
      <c r="C105" s="63" t="s">
        <v>159</v>
      </c>
      <c r="D105" s="26">
        <v>20</v>
      </c>
      <c r="E105" s="25">
        <v>8.1234768480909821E-3</v>
      </c>
    </row>
    <row r="106" spans="2:5" ht="13.5" x14ac:dyDescent="0.2">
      <c r="B106" s="89"/>
      <c r="C106" s="97" t="s">
        <v>20</v>
      </c>
      <c r="D106" s="98">
        <v>42</v>
      </c>
      <c r="E106" s="99">
        <v>1.7059301380991064E-2</v>
      </c>
    </row>
    <row r="107" spans="2:5" ht="13.5" x14ac:dyDescent="0.2">
      <c r="B107" s="87" t="s">
        <v>93</v>
      </c>
      <c r="C107" s="63" t="s">
        <v>160</v>
      </c>
      <c r="D107" s="26">
        <v>90</v>
      </c>
      <c r="E107" s="25">
        <v>3.6555645816409424E-2</v>
      </c>
    </row>
    <row r="108" spans="2:5" ht="13.5" x14ac:dyDescent="0.2">
      <c r="B108" s="88"/>
      <c r="C108" s="63" t="s">
        <v>159</v>
      </c>
      <c r="D108" s="26">
        <v>58</v>
      </c>
      <c r="E108" s="25">
        <v>2.3558082859463852E-2</v>
      </c>
    </row>
    <row r="109" spans="2:5" ht="13.5" x14ac:dyDescent="0.2">
      <c r="B109" s="89"/>
      <c r="C109" s="97" t="s">
        <v>20</v>
      </c>
      <c r="D109" s="98">
        <v>148</v>
      </c>
      <c r="E109" s="99">
        <v>6.0113728675873272E-2</v>
      </c>
    </row>
    <row r="110" spans="2:5" ht="13.5" x14ac:dyDescent="0.2">
      <c r="B110" s="87" t="s">
        <v>78</v>
      </c>
      <c r="C110" s="63" t="s">
        <v>160</v>
      </c>
      <c r="D110" s="26">
        <v>8</v>
      </c>
      <c r="E110" s="25">
        <v>3.249390739236393E-3</v>
      </c>
    </row>
    <row r="111" spans="2:5" ht="13.5" x14ac:dyDescent="0.2">
      <c r="B111" s="88"/>
      <c r="C111" s="63" t="s">
        <v>159</v>
      </c>
      <c r="D111" s="26">
        <v>7</v>
      </c>
      <c r="E111" s="25">
        <v>2.843216896831844E-3</v>
      </c>
    </row>
    <row r="112" spans="2:5" ht="13.5" x14ac:dyDescent="0.2">
      <c r="B112" s="89"/>
      <c r="C112" s="97" t="s">
        <v>20</v>
      </c>
      <c r="D112" s="98">
        <v>15</v>
      </c>
      <c r="E112" s="99">
        <v>6.092607636068237E-3</v>
      </c>
    </row>
    <row r="113" spans="2:5" ht="13.5" x14ac:dyDescent="0.2">
      <c r="B113" s="87" t="s">
        <v>80</v>
      </c>
      <c r="C113" s="63" t="s">
        <v>160</v>
      </c>
      <c r="D113" s="26">
        <v>23</v>
      </c>
      <c r="E113" s="25">
        <v>9.3419983753046301E-3</v>
      </c>
    </row>
    <row r="114" spans="2:5" ht="13.5" x14ac:dyDescent="0.2">
      <c r="B114" s="88"/>
      <c r="C114" s="63" t="s">
        <v>159</v>
      </c>
      <c r="D114" s="26">
        <v>24</v>
      </c>
      <c r="E114" s="25">
        <v>9.7481722177091799E-3</v>
      </c>
    </row>
    <row r="115" spans="2:5" ht="13.5" x14ac:dyDescent="0.2">
      <c r="B115" s="89"/>
      <c r="C115" s="97" t="s">
        <v>20</v>
      </c>
      <c r="D115" s="98">
        <v>47</v>
      </c>
      <c r="E115" s="99">
        <v>1.9090170593013808E-2</v>
      </c>
    </row>
    <row r="116" spans="2:5" ht="13.5" x14ac:dyDescent="0.2">
      <c r="B116" s="87" t="s">
        <v>88</v>
      </c>
      <c r="C116" s="63" t="s">
        <v>160</v>
      </c>
      <c r="D116" s="26">
        <v>4</v>
      </c>
      <c r="E116" s="25">
        <v>1.6246953696181965E-3</v>
      </c>
    </row>
    <row r="117" spans="2:5" ht="13.5" x14ac:dyDescent="0.2">
      <c r="B117" s="88"/>
      <c r="C117" s="63" t="s">
        <v>159</v>
      </c>
      <c r="D117" s="26">
        <v>8</v>
      </c>
      <c r="E117" s="25">
        <v>3.249390739236393E-3</v>
      </c>
    </row>
    <row r="118" spans="2:5" ht="13.5" x14ac:dyDescent="0.2">
      <c r="B118" s="89"/>
      <c r="C118" s="97" t="s">
        <v>20</v>
      </c>
      <c r="D118" s="98">
        <v>12</v>
      </c>
      <c r="E118" s="99">
        <v>4.87408610885459E-3</v>
      </c>
    </row>
    <row r="119" spans="2:5" ht="13.5" x14ac:dyDescent="0.2">
      <c r="B119" s="87" t="s">
        <v>100</v>
      </c>
      <c r="C119" s="63" t="s">
        <v>160</v>
      </c>
      <c r="D119" s="26">
        <v>102</v>
      </c>
      <c r="E119" s="25">
        <v>4.1429731925264016E-2</v>
      </c>
    </row>
    <row r="120" spans="2:5" ht="13.5" x14ac:dyDescent="0.2">
      <c r="B120" s="88"/>
      <c r="C120" s="63" t="s">
        <v>159</v>
      </c>
      <c r="D120" s="26">
        <v>107</v>
      </c>
      <c r="E120" s="25">
        <v>4.346060113728676E-2</v>
      </c>
    </row>
    <row r="121" spans="2:5" ht="13.5" x14ac:dyDescent="0.2">
      <c r="B121" s="89"/>
      <c r="C121" s="97" t="s">
        <v>20</v>
      </c>
      <c r="D121" s="98">
        <v>209</v>
      </c>
      <c r="E121" s="99">
        <v>8.4890333062550768E-2</v>
      </c>
    </row>
    <row r="122" spans="2:5" ht="13.5" x14ac:dyDescent="0.2">
      <c r="B122" s="87" t="s">
        <v>84</v>
      </c>
      <c r="C122" s="63" t="s">
        <v>160</v>
      </c>
      <c r="D122" s="26">
        <v>20</v>
      </c>
      <c r="E122" s="25">
        <v>8.1234768480909821E-3</v>
      </c>
    </row>
    <row r="123" spans="2:5" ht="13.5" x14ac:dyDescent="0.2">
      <c r="B123" s="88"/>
      <c r="C123" s="63" t="s">
        <v>159</v>
      </c>
      <c r="D123" s="26">
        <v>24</v>
      </c>
      <c r="E123" s="25">
        <v>9.7481722177091799E-3</v>
      </c>
    </row>
    <row r="124" spans="2:5" ht="13.5" x14ac:dyDescent="0.2">
      <c r="B124" s="89"/>
      <c r="C124" s="97" t="s">
        <v>20</v>
      </c>
      <c r="D124" s="98">
        <v>44</v>
      </c>
      <c r="E124" s="99">
        <v>1.7871649065800164E-2</v>
      </c>
    </row>
    <row r="125" spans="2:5" ht="13.5" x14ac:dyDescent="0.2">
      <c r="B125" s="87" t="s">
        <v>97</v>
      </c>
      <c r="C125" s="63" t="s">
        <v>160</v>
      </c>
      <c r="D125" s="26">
        <v>42</v>
      </c>
      <c r="E125" s="25">
        <v>1.7059301380991064E-2</v>
      </c>
    </row>
    <row r="126" spans="2:5" ht="13.5" x14ac:dyDescent="0.2">
      <c r="B126" s="88"/>
      <c r="C126" s="63" t="s">
        <v>159</v>
      </c>
      <c r="D126" s="26">
        <v>35</v>
      </c>
      <c r="E126" s="25">
        <v>1.421608448415922E-2</v>
      </c>
    </row>
    <row r="127" spans="2:5" ht="13.5" x14ac:dyDescent="0.2">
      <c r="B127" s="89"/>
      <c r="C127" s="97" t="s">
        <v>20</v>
      </c>
      <c r="D127" s="98">
        <v>77</v>
      </c>
      <c r="E127" s="99">
        <v>3.1275385865150288E-2</v>
      </c>
    </row>
    <row r="128" spans="2:5" ht="13.5" x14ac:dyDescent="0.2">
      <c r="B128" s="87" t="s">
        <v>150</v>
      </c>
      <c r="C128" s="63" t="s">
        <v>160</v>
      </c>
      <c r="D128" s="26">
        <v>73</v>
      </c>
      <c r="E128" s="25">
        <v>2.9650690495532088E-2</v>
      </c>
    </row>
    <row r="129" spans="2:5" ht="13.5" x14ac:dyDescent="0.2">
      <c r="B129" s="88"/>
      <c r="C129" s="63" t="s">
        <v>159</v>
      </c>
      <c r="D129" s="26">
        <v>56</v>
      </c>
      <c r="E129" s="25">
        <v>2.2745735174654752E-2</v>
      </c>
    </row>
    <row r="130" spans="2:5" ht="13.5" x14ac:dyDescent="0.2">
      <c r="B130" s="89"/>
      <c r="C130" s="97" t="s">
        <v>20</v>
      </c>
      <c r="D130" s="98">
        <v>129</v>
      </c>
      <c r="E130" s="99">
        <v>5.239642567018684E-2</v>
      </c>
    </row>
    <row r="131" spans="2:5" ht="13.5" x14ac:dyDescent="0.2">
      <c r="B131" s="87" t="s">
        <v>99</v>
      </c>
      <c r="C131" s="63" t="s">
        <v>160</v>
      </c>
      <c r="D131" s="26">
        <v>23</v>
      </c>
      <c r="E131" s="25">
        <v>9.3419983753046301E-3</v>
      </c>
    </row>
    <row r="132" spans="2:5" ht="13.5" x14ac:dyDescent="0.2">
      <c r="B132" s="88"/>
      <c r="C132" s="63" t="s">
        <v>159</v>
      </c>
      <c r="D132" s="26">
        <v>44</v>
      </c>
      <c r="E132" s="25">
        <v>1.7871649065800164E-2</v>
      </c>
    </row>
    <row r="133" spans="2:5" ht="13.5" x14ac:dyDescent="0.2">
      <c r="B133" s="89"/>
      <c r="C133" s="97" t="s">
        <v>20</v>
      </c>
      <c r="D133" s="98">
        <v>67</v>
      </c>
      <c r="E133" s="99">
        <v>2.7213647441104792E-2</v>
      </c>
    </row>
    <row r="134" spans="2:5" ht="13.5" x14ac:dyDescent="0.2">
      <c r="B134" s="87" t="s">
        <v>77</v>
      </c>
      <c r="C134" s="63" t="s">
        <v>160</v>
      </c>
      <c r="D134" s="26">
        <v>26</v>
      </c>
      <c r="E134" s="25">
        <v>1.0560519902518278E-2</v>
      </c>
    </row>
    <row r="135" spans="2:5" ht="13.5" x14ac:dyDescent="0.2">
      <c r="B135" s="88"/>
      <c r="C135" s="63" t="s">
        <v>159</v>
      </c>
      <c r="D135" s="26">
        <v>19</v>
      </c>
      <c r="E135" s="25">
        <v>7.717303005686434E-3</v>
      </c>
    </row>
    <row r="136" spans="2:5" ht="13.5" x14ac:dyDescent="0.2">
      <c r="B136" s="89"/>
      <c r="C136" s="97" t="s">
        <v>20</v>
      </c>
      <c r="D136" s="98">
        <v>45</v>
      </c>
      <c r="E136" s="99">
        <v>1.8277822908204712E-2</v>
      </c>
    </row>
    <row r="137" spans="2:5" ht="13.5" x14ac:dyDescent="0.2">
      <c r="B137" s="87" t="s">
        <v>68</v>
      </c>
      <c r="C137" s="63" t="s">
        <v>159</v>
      </c>
      <c r="D137" s="26">
        <v>6</v>
      </c>
      <c r="E137" s="25">
        <v>2.437043054427295E-3</v>
      </c>
    </row>
    <row r="138" spans="2:5" ht="13.5" x14ac:dyDescent="0.2">
      <c r="B138" s="89"/>
      <c r="C138" s="97" t="s">
        <v>20</v>
      </c>
      <c r="D138" s="98">
        <v>6</v>
      </c>
      <c r="E138" s="99">
        <v>2.437043054427295E-3</v>
      </c>
    </row>
    <row r="139" spans="2:5" ht="13.5" x14ac:dyDescent="0.2">
      <c r="B139" s="87" t="s">
        <v>56</v>
      </c>
      <c r="C139" s="63" t="s">
        <v>160</v>
      </c>
      <c r="D139" s="26">
        <v>1</v>
      </c>
      <c r="E139" s="25">
        <v>4.0617384240454913E-4</v>
      </c>
    </row>
    <row r="140" spans="2:5" ht="13.5" x14ac:dyDescent="0.2">
      <c r="B140" s="89"/>
      <c r="C140" s="97" t="s">
        <v>20</v>
      </c>
      <c r="D140" s="98">
        <v>1</v>
      </c>
      <c r="E140" s="99">
        <v>4.0617384240454913E-4</v>
      </c>
    </row>
    <row r="141" spans="2:5" ht="13.5" x14ac:dyDescent="0.2">
      <c r="B141" s="87" t="s">
        <v>66</v>
      </c>
      <c r="C141" s="63" t="s">
        <v>160</v>
      </c>
      <c r="D141" s="26">
        <v>1</v>
      </c>
      <c r="E141" s="25">
        <v>4.0617384240454913E-4</v>
      </c>
    </row>
    <row r="142" spans="2:5" ht="13.5" x14ac:dyDescent="0.2">
      <c r="B142" s="88"/>
      <c r="C142" s="63" t="s">
        <v>159</v>
      </c>
      <c r="D142" s="26">
        <v>1</v>
      </c>
      <c r="E142" s="25">
        <v>4.0617384240454913E-4</v>
      </c>
    </row>
    <row r="143" spans="2:5" ht="13.5" x14ac:dyDescent="0.2">
      <c r="B143" s="89"/>
      <c r="C143" s="97" t="s">
        <v>20</v>
      </c>
      <c r="D143" s="98">
        <v>2</v>
      </c>
      <c r="E143" s="99">
        <v>8.1234768480909826E-4</v>
      </c>
    </row>
    <row r="144" spans="2:5" ht="13.5" x14ac:dyDescent="0.2">
      <c r="B144" s="80" t="s">
        <v>155</v>
      </c>
      <c r="C144" s="81"/>
      <c r="D144" s="95">
        <v>2462</v>
      </c>
      <c r="E144" s="96">
        <v>1</v>
      </c>
    </row>
    <row r="146" spans="2:2" x14ac:dyDescent="0.2">
      <c r="B146" s="19" t="s">
        <v>191</v>
      </c>
    </row>
    <row r="147" spans="2:2" x14ac:dyDescent="0.2">
      <c r="B147" s="21" t="s">
        <v>19</v>
      </c>
    </row>
    <row r="148" spans="2:2" x14ac:dyDescent="0.2">
      <c r="B148" s="20" t="s">
        <v>18</v>
      </c>
    </row>
    <row r="149" spans="2:2" x14ac:dyDescent="0.2">
      <c r="B149" s="19" t="s">
        <v>17</v>
      </c>
    </row>
    <row r="150" spans="2:2" x14ac:dyDescent="0.2">
      <c r="B150" s="19" t="s">
        <v>192</v>
      </c>
    </row>
  </sheetData>
  <mergeCells count="48">
    <mergeCell ref="B12:B14"/>
    <mergeCell ref="B15:B17"/>
    <mergeCell ref="B18:B20"/>
    <mergeCell ref="B21:B23"/>
    <mergeCell ref="B38:B39"/>
    <mergeCell ref="B24:B26"/>
    <mergeCell ref="B27:B29"/>
    <mergeCell ref="B30:B31"/>
    <mergeCell ref="B32:B34"/>
    <mergeCell ref="B35:B37"/>
    <mergeCell ref="B8:E10"/>
    <mergeCell ref="B65:B67"/>
    <mergeCell ref="B51:B53"/>
    <mergeCell ref="B54:B56"/>
    <mergeCell ref="B57:B59"/>
    <mergeCell ref="B60:B62"/>
    <mergeCell ref="B63:B64"/>
    <mergeCell ref="B40:B42"/>
    <mergeCell ref="B43:B45"/>
    <mergeCell ref="B46:B47"/>
    <mergeCell ref="B48:B50"/>
    <mergeCell ref="B83:B85"/>
    <mergeCell ref="B86:B88"/>
    <mergeCell ref="B89:B91"/>
    <mergeCell ref="B92:B94"/>
    <mergeCell ref="B95:B97"/>
    <mergeCell ref="B68:B70"/>
    <mergeCell ref="B71:B73"/>
    <mergeCell ref="B74:B76"/>
    <mergeCell ref="B77:B79"/>
    <mergeCell ref="B80:B82"/>
    <mergeCell ref="B110:B112"/>
    <mergeCell ref="B113:B115"/>
    <mergeCell ref="B116:B118"/>
    <mergeCell ref="B119:B121"/>
    <mergeCell ref="B122:B124"/>
    <mergeCell ref="B125:B127"/>
    <mergeCell ref="B98:B100"/>
    <mergeCell ref="B101:B103"/>
    <mergeCell ref="B104:B106"/>
    <mergeCell ref="B107:B109"/>
    <mergeCell ref="B141:B143"/>
    <mergeCell ref="B128:B130"/>
    <mergeCell ref="B131:B133"/>
    <mergeCell ref="B134:B136"/>
    <mergeCell ref="B137:B138"/>
    <mergeCell ref="B139:B140"/>
    <mergeCell ref="B144:C144"/>
  </mergeCells>
  <printOptions horizontalCentered="1"/>
  <pageMargins left="0.74803149606299213" right="0.74803149606299213" top="0.98425196850393704" bottom="0.98425196850393704" header="0.51181102362204722" footer="0.51181102362204722"/>
  <pageSetup scale="59" orientation="portrait" r:id="rId1"/>
  <headerFooter>
    <oddFooter>&amp;C&amp;P de &amp;N</oddFooter>
  </headerFooter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70C0"/>
  </sheetPr>
  <dimension ref="A1:G33"/>
  <sheetViews>
    <sheetView showGridLines="0" zoomScale="82" zoomScaleNormal="82" zoomScaleSheetLayoutView="100" workbookViewId="0">
      <selection activeCell="L1" sqref="L1"/>
    </sheetView>
  </sheetViews>
  <sheetFormatPr baseColWidth="10" defaultColWidth="11.42578125" defaultRowHeight="11.25" x14ac:dyDescent="0.2"/>
  <cols>
    <col min="1" max="1" width="5.7109375" style="29" customWidth="1"/>
    <col min="2" max="2" width="19" style="50" customWidth="1"/>
    <col min="3" max="3" width="17.140625" style="50" customWidth="1"/>
    <col min="4" max="4" width="17.140625" style="62" customWidth="1"/>
    <col min="5" max="5" width="16.5703125" style="62" customWidth="1"/>
    <col min="6" max="6" width="16.5703125" style="50" customWidth="1"/>
    <col min="7" max="7" width="5.7109375" style="29" customWidth="1"/>
    <col min="8" max="16384" width="11.42578125" style="29"/>
  </cols>
  <sheetData>
    <row r="1" spans="1:7" s="64" customFormat="1" ht="15" x14ac:dyDescent="0.25">
      <c r="B1" s="53"/>
      <c r="C1" s="50"/>
    </row>
    <row r="2" spans="1:7" s="50" customFormat="1" x14ac:dyDescent="0.2">
      <c r="B2" s="68"/>
    </row>
    <row r="3" spans="1:7" ht="15" customHeight="1" x14ac:dyDescent="0.2">
      <c r="B3" s="69"/>
      <c r="C3" s="35"/>
      <c r="D3" s="29"/>
      <c r="E3" s="29"/>
      <c r="G3" s="50"/>
    </row>
    <row r="4" spans="1:7" ht="30" customHeight="1" x14ac:dyDescent="0.2">
      <c r="B4" s="69"/>
      <c r="C4" s="35"/>
      <c r="D4" s="29"/>
      <c r="E4" s="29"/>
      <c r="G4" s="50"/>
    </row>
    <row r="5" spans="1:7" ht="15" customHeight="1" x14ac:dyDescent="0.2">
      <c r="B5" s="69"/>
      <c r="C5" s="35"/>
      <c r="D5" s="29"/>
      <c r="E5" s="29"/>
      <c r="G5" s="50"/>
    </row>
    <row r="6" spans="1:7" s="50" customFormat="1" x14ac:dyDescent="0.2">
      <c r="B6" s="57"/>
      <c r="C6" s="46"/>
    </row>
    <row r="7" spans="1:7" s="50" customFormat="1" x14ac:dyDescent="0.2">
      <c r="A7" s="53"/>
      <c r="B7" s="68"/>
      <c r="C7" s="53"/>
    </row>
    <row r="8" spans="1:7" s="64" customFormat="1" ht="15" customHeight="1" x14ac:dyDescent="0.25">
      <c r="B8" s="90" t="s">
        <v>172</v>
      </c>
      <c r="C8" s="90"/>
      <c r="D8" s="90"/>
      <c r="E8" s="90"/>
      <c r="F8" s="90"/>
    </row>
    <row r="9" spans="1:7" s="64" customFormat="1" ht="15" customHeight="1" x14ac:dyDescent="0.25">
      <c r="A9" s="66"/>
      <c r="B9" s="90"/>
      <c r="C9" s="90"/>
      <c r="D9" s="90"/>
      <c r="E9" s="90"/>
      <c r="F9" s="90"/>
      <c r="G9" s="67"/>
    </row>
    <row r="10" spans="1:7" s="64" customFormat="1" ht="15" customHeight="1" x14ac:dyDescent="0.25">
      <c r="A10" s="66"/>
      <c r="B10" s="91"/>
      <c r="C10" s="91"/>
      <c r="D10" s="91"/>
      <c r="E10" s="91"/>
      <c r="F10" s="91"/>
      <c r="G10" s="66"/>
    </row>
    <row r="11" spans="1:7" s="64" customFormat="1" ht="36.950000000000003" customHeight="1" x14ac:dyDescent="0.25">
      <c r="B11" s="65" t="s">
        <v>158</v>
      </c>
      <c r="C11" s="65" t="s">
        <v>171</v>
      </c>
      <c r="D11" s="65" t="s">
        <v>61</v>
      </c>
      <c r="E11" s="65" t="s">
        <v>170</v>
      </c>
      <c r="F11" s="65" t="s">
        <v>169</v>
      </c>
    </row>
    <row r="12" spans="1:7" ht="13.5" x14ac:dyDescent="0.2">
      <c r="B12" s="87" t="s">
        <v>160</v>
      </c>
      <c r="C12" s="63" t="s">
        <v>168</v>
      </c>
      <c r="D12" s="26">
        <v>1</v>
      </c>
      <c r="E12" s="92">
        <v>7.8125000000000004E-4</v>
      </c>
      <c r="F12" s="25">
        <f t="shared" ref="F12:F27" si="0">D12/$D$27</f>
        <v>4.0617384240454913E-4</v>
      </c>
    </row>
    <row r="13" spans="1:7" ht="13.5" x14ac:dyDescent="0.2">
      <c r="B13" s="88"/>
      <c r="C13" s="63" t="s">
        <v>167</v>
      </c>
      <c r="D13" s="26">
        <v>19</v>
      </c>
      <c r="E13" s="92">
        <v>1.4843749999999999E-2</v>
      </c>
      <c r="F13" s="25">
        <f t="shared" si="0"/>
        <v>7.717303005686434E-3</v>
      </c>
    </row>
    <row r="14" spans="1:7" ht="13.5" x14ac:dyDescent="0.2">
      <c r="B14" s="88"/>
      <c r="C14" s="63" t="s">
        <v>166</v>
      </c>
      <c r="D14" s="26">
        <v>167</v>
      </c>
      <c r="E14" s="92">
        <v>0.13046874999999999</v>
      </c>
      <c r="F14" s="25">
        <f t="shared" si="0"/>
        <v>6.7831031681559711E-2</v>
      </c>
    </row>
    <row r="15" spans="1:7" ht="13.5" x14ac:dyDescent="0.2">
      <c r="B15" s="88"/>
      <c r="C15" s="63" t="s">
        <v>165</v>
      </c>
      <c r="D15" s="26">
        <v>374</v>
      </c>
      <c r="E15" s="92">
        <v>0.29218749999999999</v>
      </c>
      <c r="F15" s="25">
        <f t="shared" si="0"/>
        <v>0.15190901705930138</v>
      </c>
    </row>
    <row r="16" spans="1:7" ht="27" x14ac:dyDescent="0.2">
      <c r="B16" s="88"/>
      <c r="C16" s="63" t="s">
        <v>164</v>
      </c>
      <c r="D16" s="26">
        <v>465</v>
      </c>
      <c r="E16" s="92">
        <v>0.36328125</v>
      </c>
      <c r="F16" s="25">
        <f t="shared" si="0"/>
        <v>0.18887083671811536</v>
      </c>
    </row>
    <row r="17" spans="2:6" ht="13.5" x14ac:dyDescent="0.2">
      <c r="B17" s="88"/>
      <c r="C17" s="63" t="s">
        <v>163</v>
      </c>
      <c r="D17" s="26">
        <v>234</v>
      </c>
      <c r="E17" s="92">
        <v>0.18281249999999999</v>
      </c>
      <c r="F17" s="25">
        <f t="shared" si="0"/>
        <v>9.5044679122664497E-2</v>
      </c>
    </row>
    <row r="18" spans="2:6" ht="13.5" x14ac:dyDescent="0.2">
      <c r="B18" s="88"/>
      <c r="C18" s="63" t="s">
        <v>162</v>
      </c>
      <c r="D18" s="26">
        <v>19</v>
      </c>
      <c r="E18" s="92">
        <v>1.4843749999999999E-2</v>
      </c>
      <c r="F18" s="25">
        <f t="shared" si="0"/>
        <v>7.717303005686434E-3</v>
      </c>
    </row>
    <row r="19" spans="2:6" ht="13.5" x14ac:dyDescent="0.2">
      <c r="B19" s="89"/>
      <c r="C19" s="63" t="s">
        <v>161</v>
      </c>
      <c r="D19" s="26">
        <v>1</v>
      </c>
      <c r="E19" s="92">
        <v>7.8125000000000004E-4</v>
      </c>
      <c r="F19" s="25">
        <f t="shared" si="0"/>
        <v>4.0617384240454913E-4</v>
      </c>
    </row>
    <row r="20" spans="2:6" ht="13.5" x14ac:dyDescent="0.2">
      <c r="B20" s="87" t="s">
        <v>159</v>
      </c>
      <c r="C20" s="63" t="s">
        <v>167</v>
      </c>
      <c r="D20" s="26">
        <v>10</v>
      </c>
      <c r="E20" s="93">
        <v>8.4602368866328256E-3</v>
      </c>
      <c r="F20" s="25">
        <f t="shared" si="0"/>
        <v>4.0617384240454911E-3</v>
      </c>
    </row>
    <row r="21" spans="2:6" ht="13.5" x14ac:dyDescent="0.2">
      <c r="B21" s="88"/>
      <c r="C21" s="63" t="s">
        <v>166</v>
      </c>
      <c r="D21" s="26">
        <v>149</v>
      </c>
      <c r="E21" s="93">
        <v>0.12605752961082911</v>
      </c>
      <c r="F21" s="25">
        <f t="shared" si="0"/>
        <v>6.0519902518277824E-2</v>
      </c>
    </row>
    <row r="22" spans="2:6" ht="13.5" x14ac:dyDescent="0.2">
      <c r="B22" s="88"/>
      <c r="C22" s="63" t="s">
        <v>165</v>
      </c>
      <c r="D22" s="26">
        <v>330</v>
      </c>
      <c r="E22" s="93">
        <v>0.27918781725888325</v>
      </c>
      <c r="F22" s="25">
        <f t="shared" si="0"/>
        <v>0.13403736799350122</v>
      </c>
    </row>
    <row r="23" spans="2:6" ht="27" x14ac:dyDescent="0.2">
      <c r="B23" s="88"/>
      <c r="C23" s="63" t="s">
        <v>164</v>
      </c>
      <c r="D23" s="26">
        <v>426</v>
      </c>
      <c r="E23" s="93">
        <v>0.3604060913705584</v>
      </c>
      <c r="F23" s="25">
        <f t="shared" si="0"/>
        <v>0.17303005686433795</v>
      </c>
    </row>
    <row r="24" spans="2:6" ht="13.5" x14ac:dyDescent="0.2">
      <c r="B24" s="88"/>
      <c r="C24" s="63" t="s">
        <v>163</v>
      </c>
      <c r="D24" s="26">
        <v>246</v>
      </c>
      <c r="E24" s="93">
        <v>0.20812182741116753</v>
      </c>
      <c r="F24" s="25">
        <f t="shared" si="0"/>
        <v>9.9918765231519088E-2</v>
      </c>
    </row>
    <row r="25" spans="2:6" ht="13.5" x14ac:dyDescent="0.2">
      <c r="B25" s="88"/>
      <c r="C25" s="63" t="s">
        <v>162</v>
      </c>
      <c r="D25" s="26">
        <v>19</v>
      </c>
      <c r="E25" s="93">
        <v>1.6074450084602367E-2</v>
      </c>
      <c r="F25" s="25">
        <f t="shared" si="0"/>
        <v>7.717303005686434E-3</v>
      </c>
    </row>
    <row r="26" spans="2:6" ht="13.5" x14ac:dyDescent="0.2">
      <c r="B26" s="89"/>
      <c r="C26" s="63" t="s">
        <v>161</v>
      </c>
      <c r="D26" s="26">
        <v>2</v>
      </c>
      <c r="E26" s="93">
        <v>1.6920473773265651E-3</v>
      </c>
      <c r="F26" s="25">
        <f t="shared" si="0"/>
        <v>8.1234768480909826E-4</v>
      </c>
    </row>
    <row r="27" spans="2:6" ht="13.5" x14ac:dyDescent="0.2">
      <c r="B27" s="94" t="s">
        <v>20</v>
      </c>
      <c r="C27" s="94"/>
      <c r="D27" s="95">
        <v>2462</v>
      </c>
      <c r="E27" s="96"/>
      <c r="F27" s="96">
        <f t="shared" si="0"/>
        <v>1</v>
      </c>
    </row>
    <row r="29" spans="2:6" x14ac:dyDescent="0.2">
      <c r="B29" s="19" t="s">
        <v>191</v>
      </c>
    </row>
    <row r="30" spans="2:6" x14ac:dyDescent="0.2">
      <c r="B30" s="21" t="s">
        <v>19</v>
      </c>
    </row>
    <row r="31" spans="2:6" x14ac:dyDescent="0.2">
      <c r="B31" s="20" t="s">
        <v>18</v>
      </c>
    </row>
    <row r="32" spans="2:6" x14ac:dyDescent="0.2">
      <c r="B32" s="19" t="s">
        <v>17</v>
      </c>
    </row>
    <row r="33" spans="2:2" x14ac:dyDescent="0.2">
      <c r="B33" s="19" t="s">
        <v>192</v>
      </c>
    </row>
  </sheetData>
  <mergeCells count="3">
    <mergeCell ref="B8:F10"/>
    <mergeCell ref="B12:B19"/>
    <mergeCell ref="B20:B26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D35"/>
  <sheetViews>
    <sheetView showGridLines="0" zoomScaleNormal="100" zoomScaleSheetLayoutView="115" workbookViewId="0">
      <selection activeCell="K1" sqref="K1"/>
    </sheetView>
  </sheetViews>
  <sheetFormatPr baseColWidth="10" defaultColWidth="11.42578125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 x14ac:dyDescent="0.2">
      <c r="C1" s="35"/>
    </row>
    <row r="2" spans="1:4" s="29" customFormat="1" ht="15" customHeight="1" x14ac:dyDescent="0.2">
      <c r="C2" s="35"/>
    </row>
    <row r="3" spans="1:4" s="29" customFormat="1" ht="15" customHeight="1" x14ac:dyDescent="0.2">
      <c r="A3" s="29" t="s">
        <v>63</v>
      </c>
      <c r="C3" s="35"/>
    </row>
    <row r="4" spans="1:4" s="29" customFormat="1" ht="30" customHeight="1" x14ac:dyDescent="0.2">
      <c r="C4" s="35"/>
      <c r="D4" s="34"/>
    </row>
    <row r="5" spans="1:4" s="29" customFormat="1" ht="15" customHeight="1" x14ac:dyDescent="0.2">
      <c r="C5" s="35"/>
      <c r="D5" s="34"/>
    </row>
    <row r="6" spans="1:4" s="29" customFormat="1" ht="15" customHeight="1" x14ac:dyDescent="0.2">
      <c r="C6" s="35"/>
      <c r="D6" s="34"/>
    </row>
    <row r="7" spans="1:4" s="29" customFormat="1" ht="15" customHeight="1" x14ac:dyDescent="0.2">
      <c r="B7" s="79" t="s">
        <v>197</v>
      </c>
      <c r="C7" s="79"/>
      <c r="D7" s="79"/>
    </row>
    <row r="8" spans="1:4" s="29" customFormat="1" ht="15" customHeight="1" x14ac:dyDescent="0.2">
      <c r="B8" s="79"/>
      <c r="C8" s="79"/>
      <c r="D8" s="79"/>
    </row>
    <row r="9" spans="1:4" s="29" customFormat="1" ht="33" customHeight="1" x14ac:dyDescent="0.2">
      <c r="B9" s="79"/>
      <c r="C9" s="79"/>
      <c r="D9" s="79"/>
    </row>
    <row r="10" spans="1:4" s="29" customFormat="1" ht="4.5" customHeight="1" x14ac:dyDescent="0.2">
      <c r="B10" s="33"/>
      <c r="C10" s="33"/>
      <c r="D10" s="33"/>
    </row>
    <row r="11" spans="1:4" s="29" customFormat="1" ht="33" customHeight="1" x14ac:dyDescent="0.2">
      <c r="B11" s="32" t="s">
        <v>190</v>
      </c>
      <c r="C11" s="31" t="s">
        <v>61</v>
      </c>
      <c r="D11" s="30" t="s">
        <v>60</v>
      </c>
    </row>
    <row r="12" spans="1:4" x14ac:dyDescent="0.25">
      <c r="B12" s="27" t="s">
        <v>189</v>
      </c>
      <c r="C12" s="26">
        <v>1274</v>
      </c>
      <c r="D12" s="25">
        <f t="shared" ref="D12:D29" si="0">C12/$C$29</f>
        <v>0.51746547522339559</v>
      </c>
    </row>
    <row r="13" spans="1:4" x14ac:dyDescent="0.25">
      <c r="B13" s="27" t="s">
        <v>188</v>
      </c>
      <c r="C13" s="26">
        <v>682</v>
      </c>
      <c r="D13" s="25">
        <f t="shared" si="0"/>
        <v>0.27701056051990253</v>
      </c>
    </row>
    <row r="14" spans="1:4" x14ac:dyDescent="0.25">
      <c r="B14" s="27" t="s">
        <v>187</v>
      </c>
      <c r="C14" s="26">
        <v>138</v>
      </c>
      <c r="D14" s="25">
        <f t="shared" si="0"/>
        <v>5.6051990251827784E-2</v>
      </c>
    </row>
    <row r="15" spans="1:4" x14ac:dyDescent="0.25">
      <c r="B15" s="27" t="s">
        <v>186</v>
      </c>
      <c r="C15" s="26">
        <v>119</v>
      </c>
      <c r="D15" s="25">
        <f t="shared" si="0"/>
        <v>4.8334687246141352E-2</v>
      </c>
    </row>
    <row r="16" spans="1:4" x14ac:dyDescent="0.25">
      <c r="B16" s="27" t="s">
        <v>185</v>
      </c>
      <c r="C16" s="26">
        <v>70</v>
      </c>
      <c r="D16" s="25">
        <f t="shared" si="0"/>
        <v>2.843216896831844E-2</v>
      </c>
    </row>
    <row r="17" spans="1:4" x14ac:dyDescent="0.25">
      <c r="B17" s="27" t="s">
        <v>184</v>
      </c>
      <c r="C17" s="26">
        <v>46</v>
      </c>
      <c r="D17" s="25">
        <f t="shared" si="0"/>
        <v>1.868399675060926E-2</v>
      </c>
    </row>
    <row r="18" spans="1:4" x14ac:dyDescent="0.25">
      <c r="B18" s="27" t="s">
        <v>183</v>
      </c>
      <c r="C18" s="26">
        <v>37</v>
      </c>
      <c r="D18" s="25">
        <f t="shared" si="0"/>
        <v>1.5028432168968318E-2</v>
      </c>
    </row>
    <row r="19" spans="1:4" x14ac:dyDescent="0.25">
      <c r="B19" s="27" t="s">
        <v>182</v>
      </c>
      <c r="C19" s="26">
        <v>28</v>
      </c>
      <c r="D19" s="25">
        <f t="shared" si="0"/>
        <v>1.1372867587327376E-2</v>
      </c>
    </row>
    <row r="20" spans="1:4" x14ac:dyDescent="0.25">
      <c r="B20" s="27" t="s">
        <v>180</v>
      </c>
      <c r="C20" s="26">
        <v>18</v>
      </c>
      <c r="D20" s="25">
        <f t="shared" si="0"/>
        <v>7.311129163281885E-3</v>
      </c>
    </row>
    <row r="21" spans="1:4" x14ac:dyDescent="0.25">
      <c r="B21" s="27" t="s">
        <v>181</v>
      </c>
      <c r="C21" s="26">
        <v>12</v>
      </c>
      <c r="D21" s="25">
        <f t="shared" si="0"/>
        <v>4.87408610885459E-3</v>
      </c>
    </row>
    <row r="22" spans="1:4" x14ac:dyDescent="0.25">
      <c r="B22" s="27" t="s">
        <v>179</v>
      </c>
      <c r="C22" s="26">
        <v>12</v>
      </c>
      <c r="D22" s="25">
        <f t="shared" si="0"/>
        <v>4.87408610885459E-3</v>
      </c>
    </row>
    <row r="23" spans="1:4" x14ac:dyDescent="0.25">
      <c r="B23" s="27" t="s">
        <v>177</v>
      </c>
      <c r="C23" s="26">
        <v>6</v>
      </c>
      <c r="D23" s="25">
        <f t="shared" si="0"/>
        <v>2.437043054427295E-3</v>
      </c>
    </row>
    <row r="24" spans="1:4" x14ac:dyDescent="0.25">
      <c r="B24" s="27" t="s">
        <v>176</v>
      </c>
      <c r="C24" s="26">
        <v>6</v>
      </c>
      <c r="D24" s="25">
        <f t="shared" si="0"/>
        <v>2.437043054427295E-3</v>
      </c>
    </row>
    <row r="25" spans="1:4" x14ac:dyDescent="0.25">
      <c r="B25" s="27" t="s">
        <v>173</v>
      </c>
      <c r="C25" s="26">
        <v>6</v>
      </c>
      <c r="D25" s="25">
        <f t="shared" si="0"/>
        <v>2.437043054427295E-3</v>
      </c>
    </row>
    <row r="26" spans="1:4" x14ac:dyDescent="0.25">
      <c r="B26" s="27" t="s">
        <v>174</v>
      </c>
      <c r="C26" s="26">
        <v>4</v>
      </c>
      <c r="D26" s="25">
        <f t="shared" si="0"/>
        <v>1.6246953696181965E-3</v>
      </c>
    </row>
    <row r="27" spans="1:4" x14ac:dyDescent="0.25">
      <c r="B27" s="27" t="s">
        <v>175</v>
      </c>
      <c r="C27" s="26">
        <v>3</v>
      </c>
      <c r="D27" s="25">
        <f t="shared" si="0"/>
        <v>1.2185215272136475E-3</v>
      </c>
    </row>
    <row r="28" spans="1:4" x14ac:dyDescent="0.25">
      <c r="B28" s="27" t="s">
        <v>178</v>
      </c>
      <c r="C28" s="26">
        <v>1</v>
      </c>
      <c r="D28" s="25">
        <f t="shared" si="0"/>
        <v>4.0617384240454913E-4</v>
      </c>
    </row>
    <row r="29" spans="1:4" x14ac:dyDescent="0.25">
      <c r="B29" s="24" t="s">
        <v>20</v>
      </c>
      <c r="C29" s="23">
        <v>2462</v>
      </c>
      <c r="D29" s="22">
        <f t="shared" si="0"/>
        <v>1</v>
      </c>
    </row>
    <row r="31" spans="1:4" x14ac:dyDescent="0.25">
      <c r="A31" s="58" t="s">
        <v>191</v>
      </c>
    </row>
    <row r="32" spans="1:4" x14ac:dyDescent="0.25">
      <c r="A32" s="58" t="s">
        <v>19</v>
      </c>
    </row>
    <row r="33" spans="1:1" x14ac:dyDescent="0.25">
      <c r="A33" s="58" t="s">
        <v>18</v>
      </c>
    </row>
    <row r="34" spans="1:1" x14ac:dyDescent="0.25">
      <c r="A34" s="58" t="s">
        <v>17</v>
      </c>
    </row>
    <row r="35" spans="1:1" x14ac:dyDescent="0.25">
      <c r="A35" s="58" t="s">
        <v>192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14</vt:i4>
      </vt:variant>
      <vt:variant>
        <vt:lpstr>Rangos con nombre</vt:lpstr>
      </vt:variant>
      <vt:variant>
        <vt:i4>17</vt:i4>
      </vt:variant>
    </vt:vector>
  </HeadingPairs>
  <TitlesOfParts>
    <vt:vector size="31" baseType="lpstr">
      <vt:lpstr>Índice</vt:lpstr>
      <vt:lpstr>Colima_EdoUsa</vt:lpstr>
      <vt:lpstr>Colima_Cons</vt:lpstr>
      <vt:lpstr>ColimaXCons</vt:lpstr>
      <vt:lpstr>Colima_EdoMun</vt:lpstr>
      <vt:lpstr>Colima_USAMuni</vt:lpstr>
      <vt:lpstr>Colima_MUNICIPIO</vt:lpstr>
      <vt:lpstr>Colima_educ_gral</vt:lpstr>
      <vt:lpstr>Colima_NivelE_Cons</vt:lpstr>
      <vt:lpstr>Colima_EducCons</vt:lpstr>
      <vt:lpstr>Colima_GenGral</vt:lpstr>
      <vt:lpstr>Colima_GENERO</vt:lpstr>
      <vt:lpstr>Colima_Gen_Edad</vt:lpstr>
      <vt:lpstr>Colima_ocup_gral</vt:lpstr>
      <vt:lpstr>Colima_EducCons!Área_de_impresión</vt:lpstr>
      <vt:lpstr>Colima_MUNICIPIO!Área_de_impresión</vt:lpstr>
      <vt:lpstr>Colima_NivelE_Cons!Área_de_impresión</vt:lpstr>
      <vt:lpstr>Colima_USAMuni!Área_de_impresión</vt:lpstr>
      <vt:lpstr>Colima_Cons!Títulos_a_imprimir</vt:lpstr>
      <vt:lpstr>Colima_EdoMun!Títulos_a_imprimir</vt:lpstr>
      <vt:lpstr>Colima_EdoUsa!Títulos_a_imprimir</vt:lpstr>
      <vt:lpstr>Colima_educ_gral!Títulos_a_imprimir</vt:lpstr>
      <vt:lpstr>Colima_EducCons!Títulos_a_imprimir</vt:lpstr>
      <vt:lpstr>Colima_Gen_Edad!Títulos_a_imprimir</vt:lpstr>
      <vt:lpstr>Colima_GENERO!Títulos_a_imprimir</vt:lpstr>
      <vt:lpstr>Colima_GenGral!Títulos_a_imprimir</vt:lpstr>
      <vt:lpstr>Colima_MUNICIPIO!Títulos_a_imprimir</vt:lpstr>
      <vt:lpstr>Colima_NivelE_Cons!Títulos_a_imprimir</vt:lpstr>
      <vt:lpstr>Colima_ocup_gral!Títulos_a_imprimir</vt:lpstr>
      <vt:lpstr>Colima_USAMuni!Títulos_a_imprimir</vt:lpstr>
      <vt:lpstr>ColimaXCons!Títulos_a_imprimir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García Ayala, Miguel Ángel</cp:lastModifiedBy>
  <dcterms:created xsi:type="dcterms:W3CDTF">2020-06-03T07:03:04Z</dcterms:created>
  <dcterms:modified xsi:type="dcterms:W3CDTF">2021-10-29T17:58:58Z</dcterms:modified>
</cp:coreProperties>
</file>