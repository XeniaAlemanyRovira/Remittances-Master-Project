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20\República Mexicana\Finales_RM\"/>
    </mc:Choice>
  </mc:AlternateContent>
  <bookViews>
    <workbookView xWindow="0" yWindow="0" windowWidth="24000" windowHeight="9735" firstSheet="9" activeTab="13"/>
  </bookViews>
  <sheets>
    <sheet name="Índice" sheetId="1" r:id="rId1"/>
    <sheet name="Sinaloa_EdoUsa" sheetId="2" r:id="rId2"/>
    <sheet name="Sinaloa_Cons" sheetId="15" r:id="rId3"/>
    <sheet name="SinaloaXCons" sheetId="16" r:id="rId4"/>
    <sheet name="Sinaloa_EdoMun" sheetId="5" r:id="rId5"/>
    <sheet name="Sinaloa_USAMuni" sheetId="6" r:id="rId6"/>
    <sheet name="Sinaloa_MUNICIPIO" sheetId="7" r:id="rId7"/>
    <sheet name="Sinaloa_educ_gral" sheetId="8" r:id="rId8"/>
    <sheet name="Sinaloa_NivelE_Cons" sheetId="9" r:id="rId9"/>
    <sheet name="Sinaloa_EducCons" sheetId="10" r:id="rId10"/>
    <sheet name="Sinaloa_GenGral" sheetId="11" r:id="rId11"/>
    <sheet name="Sinaloa_GENERO" sheetId="12" r:id="rId12"/>
    <sheet name="Sinaloa_Gen_Edad" sheetId="13" r:id="rId13"/>
    <sheet name="Sinaloa_ocup_gral" sheetId="14" r:id="rId14"/>
  </sheets>
  <definedNames>
    <definedName name="_xlnm._FilterDatabase" localSheetId="2" hidden="1">Sinaloa_Cons!$B$11:$D$11</definedName>
    <definedName name="_xlnm._FilterDatabase" localSheetId="4" hidden="1">Sinaloa_EdoMun!$B$11:$D$11</definedName>
    <definedName name="_xlnm._FilterDatabase" localSheetId="1" hidden="1">Sinaloa_EdoUsa!$B$11:$D$11</definedName>
    <definedName name="_xlnm._FilterDatabase" localSheetId="7" hidden="1">Sinaloa_educ_gral!$B$11:$D$11</definedName>
    <definedName name="_xlnm._FilterDatabase" localSheetId="9" hidden="1">Sinaloa_EducCons!$B$9:$E$9</definedName>
    <definedName name="_xlnm._FilterDatabase" localSheetId="11" hidden="1">Sinaloa_GENERO!$C$11:$E$11</definedName>
    <definedName name="_xlnm._FilterDatabase" localSheetId="10" hidden="1">Sinaloa_GenGral!$B$11:$D$11</definedName>
    <definedName name="_xlnm._FilterDatabase" localSheetId="6" hidden="1">Sinaloa_MUNICIPIO!$B$9:$E$9</definedName>
    <definedName name="_xlnm._FilterDatabase" localSheetId="8" hidden="1">Sinaloa_NivelE_Cons!$B$9:$E$9</definedName>
    <definedName name="_xlnm._FilterDatabase" localSheetId="13" hidden="1">Sinaloa_ocup_gral!$B$11:$D$11</definedName>
    <definedName name="_xlnm._FilterDatabase" localSheetId="5" hidden="1">Sinaloa_USAMuni!$B$9:$E$9</definedName>
    <definedName name="_xlnm._FilterDatabase" localSheetId="3" hidden="1">SinaloaXCons!$B$11:$D$11</definedName>
    <definedName name="_xlnm.Print_Area" localSheetId="9">Sinaloa_EducCons!$A$1:$E$9</definedName>
    <definedName name="_xlnm.Print_Area" localSheetId="6">Sinaloa_MUNICIPIO!$A$1:$E$9</definedName>
    <definedName name="_xlnm.Print_Area" localSheetId="8">Sinaloa_NivelE_Cons!$A$1:$E$9</definedName>
    <definedName name="_xlnm.Print_Area" localSheetId="5">Sinaloa_USAMuni!$A$1:$E$9</definedName>
    <definedName name="_xlnm.Print_Titles" localSheetId="2">Sinaloa_Cons!$1:$11</definedName>
    <definedName name="_xlnm.Print_Titles" localSheetId="4">Sinaloa_EdoMun!$1:$11</definedName>
    <definedName name="_xlnm.Print_Titles" localSheetId="1">Sinaloa_EdoUsa!$1:$11</definedName>
    <definedName name="_xlnm.Print_Titles" localSheetId="7">Sinaloa_educ_gral!$1:$11</definedName>
    <definedName name="_xlnm.Print_Titles" localSheetId="9">Sinaloa_EducCons!$1:$9</definedName>
    <definedName name="_xlnm.Print_Titles" localSheetId="12">Sinaloa_Gen_Edad!$1:$11</definedName>
    <definedName name="_xlnm.Print_Titles" localSheetId="11">Sinaloa_GENERO!$1:$11</definedName>
    <definedName name="_xlnm.Print_Titles" localSheetId="10">Sinaloa_GenGral!$1:$11</definedName>
    <definedName name="_xlnm.Print_Titles" localSheetId="6">Sinaloa_MUNICIPIO!$1:$9</definedName>
    <definedName name="_xlnm.Print_Titles" localSheetId="8">Sinaloa_NivelE_Cons!$1:$9</definedName>
    <definedName name="_xlnm.Print_Titles" localSheetId="13">Sinaloa_ocup_gral!$1:$11</definedName>
    <definedName name="_xlnm.Print_Titles" localSheetId="5">Sinaloa_USAMuni!$1:$9</definedName>
    <definedName name="_xlnm.Print_Titles" localSheetId="3">SinaloaXCons!$1:$11</definedName>
  </definedNames>
  <calcPr calcId="152511"/>
</workbook>
</file>

<file path=xl/calcChain.xml><?xml version="1.0" encoding="utf-8"?>
<calcChain xmlns="http://schemas.openxmlformats.org/spreadsheetml/2006/main">
  <c r="D32" i="14" l="1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F28" i="13" l="1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C22" i="16" l="1"/>
  <c r="D21" i="16" s="1"/>
  <c r="D18" i="16"/>
  <c r="D14" i="16"/>
  <c r="D15" i="16" l="1"/>
  <c r="D19" i="16"/>
  <c r="D22" i="16"/>
  <c r="D12" i="16"/>
  <c r="D16" i="16"/>
  <c r="D20" i="16"/>
  <c r="D13" i="16"/>
  <c r="D17" i="16"/>
</calcChain>
</file>

<file path=xl/sharedStrings.xml><?xml version="1.0" encoding="utf-8"?>
<sst xmlns="http://schemas.openxmlformats.org/spreadsheetml/2006/main" count="2915" uniqueCount="218">
  <si>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</si>
  <si>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</si>
  <si>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</si>
  <si>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</si>
  <si>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</si>
  <si>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</si>
  <si>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</si>
  <si>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</si>
  <si>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</si>
  <si>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</si>
  <si>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</si>
  <si>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</si>
  <si>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</si>
  <si>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</si>
  <si>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</si>
  <si>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</si>
  <si>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</si>
  <si>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</si>
  <si>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</si>
  <si>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</si>
  <si>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</si>
  <si>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Massachusetts</t>
  </si>
  <si>
    <t>South Dakota</t>
  </si>
  <si>
    <t>Connecticut</t>
  </si>
  <si>
    <t>Maryland</t>
  </si>
  <si>
    <t>Mississippi</t>
  </si>
  <si>
    <t>South Carolina</t>
  </si>
  <si>
    <t>Pennsylvania</t>
  </si>
  <si>
    <t>Ohio</t>
  </si>
  <si>
    <t>Wyoming</t>
  </si>
  <si>
    <t>Kentucky</t>
  </si>
  <si>
    <t>New Jersey</t>
  </si>
  <si>
    <t>Iowa</t>
  </si>
  <si>
    <t>Alabama</t>
  </si>
  <si>
    <t>Virginia</t>
  </si>
  <si>
    <t>Missouri</t>
  </si>
  <si>
    <t>Arkansas</t>
  </si>
  <si>
    <t>Michigan</t>
  </si>
  <si>
    <t>New York</t>
  </si>
  <si>
    <t>Tennessee</t>
  </si>
  <si>
    <t>Wisconsin</t>
  </si>
  <si>
    <t>Louisiana</t>
  </si>
  <si>
    <t>Indiana</t>
  </si>
  <si>
    <t>Kansas</t>
  </si>
  <si>
    <t>Oklahoma</t>
  </si>
  <si>
    <t>Minnesota</t>
  </si>
  <si>
    <t>Georgia</t>
  </si>
  <si>
    <t>New Mexico</t>
  </si>
  <si>
    <t>Nebraska</t>
  </si>
  <si>
    <t>Florida</t>
  </si>
  <si>
    <t>Idaho</t>
  </si>
  <si>
    <t>North Carolina</t>
  </si>
  <si>
    <t>Oregon</t>
  </si>
  <si>
    <t>Colorado</t>
  </si>
  <si>
    <t>Washington</t>
  </si>
  <si>
    <t>Illinois</t>
  </si>
  <si>
    <t>Utah</t>
  </si>
  <si>
    <t>Texas</t>
  </si>
  <si>
    <t>Nevada</t>
  </si>
  <si>
    <t>Arizona</t>
  </si>
  <si>
    <t>California</t>
  </si>
  <si>
    <t>Porcentaje de Matrículas</t>
  </si>
  <si>
    <t>Número de Matrículas</t>
  </si>
  <si>
    <t xml:space="preserve">Estado </t>
  </si>
  <si>
    <t>Aguascalientes</t>
  </si>
  <si>
    <t>Douglas</t>
  </si>
  <si>
    <t>Nogales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</si>
  <si>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</si>
  <si>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</si>
  <si>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</si>
  <si>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</si>
  <si>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</si>
  <si>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</si>
  <si>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</si>
  <si>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</si>
  <si>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</si>
  <si>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</si>
  <si>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</si>
  <si>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</si>
  <si>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</si>
  <si>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</si>
  <si>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</si>
  <si>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</si>
  <si>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</si>
  <si>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</si>
  <si>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</si>
  <si>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</si>
  <si>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</si>
  <si>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</si>
  <si>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</si>
  <si>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</si>
  <si>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</si>
  <si>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</si>
  <si>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</si>
  <si>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</si>
  <si>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</si>
  <si>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</si>
  <si>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</si>
  <si>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</si>
  <si>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</si>
  <si>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</si>
  <si>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</si>
  <si>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</si>
  <si>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</si>
  <si>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</si>
  <si>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</si>
  <si>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</si>
  <si>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</si>
  <si>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</si>
  <si>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</si>
  <si>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</si>
  <si>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</si>
  <si>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</si>
  <si>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Concordia</t>
  </si>
  <si>
    <t>Choix</t>
  </si>
  <si>
    <t>Angostura</t>
  </si>
  <si>
    <t>Rosario</t>
  </si>
  <si>
    <t>Elota</t>
  </si>
  <si>
    <t>San Ignacio</t>
  </si>
  <si>
    <t>El Fuerte</t>
  </si>
  <si>
    <t>Navolato</t>
  </si>
  <si>
    <t>Cosalá</t>
  </si>
  <si>
    <t>Escuinapa</t>
  </si>
  <si>
    <t>Salvador Alvarado</t>
  </si>
  <si>
    <t>Badiraguato</t>
  </si>
  <si>
    <t>Sinaloa</t>
  </si>
  <si>
    <t>Mocorito</t>
  </si>
  <si>
    <t>Mazatlán</t>
  </si>
  <si>
    <t>Ahome</t>
  </si>
  <si>
    <t>Guasave</t>
  </si>
  <si>
    <t>Culiacán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</si>
  <si>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</si>
  <si>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</si>
  <si>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</si>
  <si>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</si>
  <si>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</si>
  <si>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</si>
  <si>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</si>
  <si>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</si>
  <si>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</si>
  <si>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</si>
  <si>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</si>
  <si>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</si>
  <si>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</si>
  <si>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</si>
  <si>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</si>
  <si>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</si>
  <si>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</si>
  <si>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</si>
  <si>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</si>
  <si>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</si>
  <si>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</si>
  <si>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</si>
  <si>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</si>
  <si>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</si>
  <si>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</si>
  <si>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</si>
  <si>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</si>
  <si>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</si>
  <si>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</si>
  <si>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</si>
  <si>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San Jose</t>
  </si>
  <si>
    <t>Menores de edad</t>
  </si>
  <si>
    <t>Mc Allen</t>
  </si>
  <si>
    <t>Los Angeles</t>
  </si>
  <si>
    <t>Indianapolis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</si>
  <si>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</si>
  <si>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</si>
  <si>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</si>
  <si>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</si>
  <si>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</si>
  <si>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</si>
  <si>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</si>
  <si>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</si>
  <si>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</si>
  <si>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</si>
  <si>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</si>
  <si>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</si>
  <si>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</si>
  <si>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</si>
  <si>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</si>
  <si>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</si>
  <si>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</si>
  <si>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</si>
  <si>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SINALOA POR GÉNERO Y EDAD EN EE.UU.</t>
  </si>
  <si>
    <t>Ministro(a)</t>
  </si>
  <si>
    <t>Carnicero</t>
  </si>
  <si>
    <t>Panadero(a)</t>
  </si>
  <si>
    <t>Cajero(a)</t>
  </si>
  <si>
    <t>Operario(a)</t>
  </si>
  <si>
    <t>Chofer</t>
  </si>
  <si>
    <t>Mesero(a)</t>
  </si>
  <si>
    <t>Profesionista</t>
  </si>
  <si>
    <t>Jubilado(a)</t>
  </si>
  <si>
    <t>Comerciante</t>
  </si>
  <si>
    <t>Pintor(a)</t>
  </si>
  <si>
    <t>Albañil</t>
  </si>
  <si>
    <t>Jardinero(a)</t>
  </si>
  <si>
    <t>Cocinero(a)</t>
  </si>
  <si>
    <t>Otro</t>
  </si>
  <si>
    <t>Obrero(a)</t>
  </si>
  <si>
    <t>Campesino(a)</t>
  </si>
  <si>
    <t>Estudiante</t>
  </si>
  <si>
    <t>Hogar</t>
  </si>
  <si>
    <t>Empleado(a)</t>
  </si>
  <si>
    <t>Ocupación</t>
  </si>
  <si>
    <t xml:space="preserve">  Matrículas consulares expedidas a originarios de Sinaloa  en el 2020.</t>
  </si>
  <si>
    <t>MATRÍCULAS CONSULARES DE ALTA SEGURIDAD EXPEDIDAS A ORIGINARIOS DE SINALOA POR ESTADO DE LA UNIÓN AMERICANA. DURANTE EL 2020</t>
  </si>
  <si>
    <t>West Virginia</t>
  </si>
  <si>
    <t>Rhode Island</t>
  </si>
  <si>
    <t>Tamaño de la muestra: 497,795</t>
  </si>
  <si>
    <t>Octubre de 2021</t>
  </si>
  <si>
    <t>MATRÍCULAS CONSULARES DE ALTA SEGURIDAD EXPEDIDAS DURANTE EL 2020 A ORIGINARIOS DE SINALOA EN LOS CONSULADOS DE MÉXICO EN EE.UU.</t>
  </si>
  <si>
    <t>MATRÍCULAS CONSULARES DE ALTA SEGURIDAD EXPEDIDAS POR MUNICIPIO A ORIGINARIOS DEL ESTADO DE SINALOA EN LOS CONSULADOS DE MÉXICO EN EE.UU. 2020</t>
  </si>
  <si>
    <t>MATRÍCULAS CONSULARES EXPEDIDAS EN EE.UU. A ORIGINARIOS DE SINALOA POR NIVEL DE EDUCACIÓN, 2020.</t>
  </si>
  <si>
    <t>MATRÍCULAS CONSULARES EXPEDIDAS A ORIGINARIOS DE SINALOA POR GÉNERO EN EE.UU DURANTE EL 2020.</t>
  </si>
  <si>
    <t>MATRÍCULAS CONSULARES EXPEDIDAS A ORIGINARIOS DE SINALOA POR GÉNERO Y CONSULADO DE MÉXICO 2020.</t>
  </si>
  <si>
    <t>MATRÍCULAS CONSULARES EXPEDIDAS EN EE.UU. A ORIGINARIOS DE SINALOA POR PERFIL OCUPACIONAL, 2020.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</si>
</sst>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10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4" fillId="0" borderId="4" xfId="1" applyFont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8" fillId="5" borderId="13" xfId="0" applyNumberFormat="1" applyFont="1" applyFill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8" fillId="7" borderId="12" xfId="0" applyNumberFormat="1" applyFont="1" applyFill="1" applyBorder="1" applyAlignment="1">
      <alignment vertical="center" wrapText="1"/>
    </xf>
    <xf numFmtId="3" fontId="8" fillId="7" borderId="9" xfId="0" applyNumberFormat="1" applyFont="1" applyFill="1" applyBorder="1" applyAlignment="1">
      <alignment horizontal="right"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3" fontId="8" fillId="5" borderId="9" xfId="0" applyNumberFormat="1" applyFont="1" applyFill="1" applyBorder="1" applyAlignment="1">
      <alignment horizontal="right" vertical="center" wrapText="1"/>
    </xf>
    <xf numFmtId="164" fontId="8" fillId="5" borderId="9" xfId="0" applyNumberFormat="1" applyFont="1" applyFill="1" applyBorder="1" applyAlignment="1">
      <alignment horizontal="right" vertical="center" wrapText="1"/>
    </xf>
    <xf numFmtId="164" fontId="9" fillId="8" borderId="9" xfId="0" applyNumberFormat="1" applyFont="1" applyFill="1" applyBorder="1" applyAlignment="1">
      <alignment horizontal="right" vertical="center" wrapText="1"/>
    </xf>
    <xf numFmtId="164" fontId="9" fillId="9" borderId="9" xfId="0" applyNumberFormat="1" applyFont="1" applyFill="1" applyBorder="1" applyAlignment="1">
      <alignment horizontal="right" vertical="center" wrapText="1"/>
    </xf>
    <xf numFmtId="49" fontId="8" fillId="5" borderId="9" xfId="0" applyNumberFormat="1" applyFont="1" applyFill="1" applyBorder="1" applyAlignment="1">
      <alignment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048000" y="15240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8</xdr:row>
      <xdr:rowOff>0</xdr:rowOff>
    </xdr:from>
    <xdr:to>
      <xdr:col>5</xdr:col>
      <xdr:colOff>131097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861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0</xdr:rowOff>
    </xdr:from>
    <xdr:to>
      <xdr:col>5</xdr:col>
      <xdr:colOff>64422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194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295275</xdr:colOff>
      <xdr:row>7</xdr:row>
      <xdr:rowOff>66675</xdr:rowOff>
    </xdr:from>
    <xdr:to>
      <xdr:col>5</xdr:col>
      <xdr:colOff>188247</xdr:colOff>
      <xdr:row>8</xdr:row>
      <xdr:rowOff>66675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43275" y="1400175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SINALOA POR ESTADO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476250</xdr:colOff>
      <xdr:row>7</xdr:row>
      <xdr:rowOff>62901</xdr:rowOff>
    </xdr:from>
    <xdr:to>
      <xdr:col>4</xdr:col>
      <xdr:colOff>988347</xdr:colOff>
      <xdr:row>7</xdr:row>
      <xdr:rowOff>251604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10750" y="1396401"/>
          <a:ext cx="512097" cy="13155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SINALOA EN LOS CONSULADOS DE MÉXICO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575687</xdr:colOff>
      <xdr:row>7</xdr:row>
      <xdr:rowOff>104670</xdr:rowOff>
    </xdr:from>
    <xdr:to>
      <xdr:col>4</xdr:col>
      <xdr:colOff>1087784</xdr:colOff>
      <xdr:row>7</xdr:row>
      <xdr:rowOff>293077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910187" y="1438170"/>
          <a:ext cx="512097" cy="83632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9525</xdr:rowOff>
    </xdr:from>
    <xdr:to>
      <xdr:col>5</xdr:col>
      <xdr:colOff>64422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19450" y="1533525"/>
          <a:ext cx="654972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SINALOA POR NIVEL DE EDUCACIÓN Y ESTADO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512097</xdr:colOff>
      <xdr:row>7</xdr:row>
      <xdr:rowOff>92177</xdr:rowOff>
    </xdr:from>
    <xdr:to>
      <xdr:col>4</xdr:col>
      <xdr:colOff>1024194</xdr:colOff>
      <xdr:row>7</xdr:row>
      <xdr:rowOff>286774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46597" y="1425677"/>
          <a:ext cx="512097" cy="9934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SINALOA POR CONSULADO Y NIVEL DE EDUCACIÓN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486171</xdr:colOff>
      <xdr:row>7</xdr:row>
      <xdr:rowOff>128984</xdr:rowOff>
    </xdr:from>
    <xdr:to>
      <xdr:col>4</xdr:col>
      <xdr:colOff>998268</xdr:colOff>
      <xdr:row>7</xdr:row>
      <xdr:rowOff>317499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20671" y="1462484"/>
          <a:ext cx="512097" cy="6469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8</xdr:row>
      <xdr:rowOff>0</xdr:rowOff>
    </xdr:from>
    <xdr:to>
      <xdr:col>5</xdr:col>
      <xdr:colOff>150147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05175" y="152400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417387</xdr:colOff>
      <xdr:row>8</xdr:row>
      <xdr:rowOff>96320</xdr:rowOff>
    </xdr:from>
    <xdr:to>
      <xdr:col>4</xdr:col>
      <xdr:colOff>929484</xdr:colOff>
      <xdr:row>9</xdr:row>
      <xdr:rowOff>96320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465387" y="1620320"/>
          <a:ext cx="34064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464911</xdr:colOff>
      <xdr:row>8</xdr:row>
      <xdr:rowOff>113392</xdr:rowOff>
    </xdr:from>
    <xdr:to>
      <xdr:col>5</xdr:col>
      <xdr:colOff>977008</xdr:colOff>
      <xdr:row>9</xdr:row>
      <xdr:rowOff>113393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274911" y="1637392"/>
          <a:ext cx="293022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295275</xdr:colOff>
      <xdr:row>7</xdr:row>
      <xdr:rowOff>38100</xdr:rowOff>
    </xdr:from>
    <xdr:to>
      <xdr:col>5</xdr:col>
      <xdr:colOff>188247</xdr:colOff>
      <xdr:row>8</xdr:row>
      <xdr:rowOff>38100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24400" y="15621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Normal="100" zoomScaleSheetLayoutView="100" workbookViewId="0">
      <selection activeCell="A6" sqref="A6:D6"/>
    </sheetView>
  </sheetViews>
  <sheetFormatPr baseColWidth="10" defaultColWidth="11.42578125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72" t="s">
        <v>206</v>
      </c>
      <c r="B1" s="73"/>
      <c r="C1" s="73"/>
      <c r="D1" s="74"/>
    </row>
    <row r="2" spans="1:4" x14ac:dyDescent="0.35">
      <c r="A2" s="2"/>
      <c r="B2" s="3"/>
      <c r="C2" s="3"/>
      <c r="D2" s="4"/>
    </row>
    <row r="3" spans="1:4" x14ac:dyDescent="0.35">
      <c r="A3" s="75" t="s">
        <v>0</v>
      </c>
      <c r="B3" s="76"/>
      <c r="C3" s="76"/>
      <c r="D3" s="77"/>
    </row>
    <row r="4" spans="1:4" x14ac:dyDescent="0.35">
      <c r="A4" s="75"/>
      <c r="B4" s="76"/>
      <c r="C4" s="76"/>
      <c r="D4" s="77"/>
    </row>
    <row r="5" spans="1:4" x14ac:dyDescent="0.35">
      <c r="A5" s="5"/>
      <c r="B5" s="6"/>
      <c r="C5" s="6"/>
      <c r="D5" s="7"/>
    </row>
    <row r="6" spans="1:4" x14ac:dyDescent="0.35">
      <c r="A6" s="78" t="s">
        <v>1</v>
      </c>
      <c r="B6" s="70"/>
      <c r="C6" s="70"/>
      <c r="D6" s="71"/>
    </row>
    <row r="7" spans="1:4" x14ac:dyDescent="0.35">
      <c r="A7" s="8"/>
      <c r="B7" s="9"/>
      <c r="C7" s="9"/>
      <c r="D7" s="10"/>
    </row>
    <row r="8" spans="1:4" x14ac:dyDescent="0.35">
      <c r="A8" s="78" t="s">
        <v>2</v>
      </c>
      <c r="B8" s="70"/>
      <c r="C8" s="70"/>
      <c r="D8" s="71"/>
    </row>
    <row r="9" spans="1:4" x14ac:dyDescent="0.35">
      <c r="A9" s="11"/>
      <c r="B9" s="70" t="s">
        <v>3</v>
      </c>
      <c r="C9" s="70"/>
      <c r="D9" s="71"/>
    </row>
    <row r="10" spans="1:4" x14ac:dyDescent="0.35">
      <c r="A10" s="11"/>
      <c r="B10" s="12"/>
      <c r="C10" s="12"/>
      <c r="D10" s="13"/>
    </row>
    <row r="11" spans="1:4" x14ac:dyDescent="0.35">
      <c r="A11" s="11" t="s">
        <v>4</v>
      </c>
      <c r="B11" s="12"/>
      <c r="C11" s="12"/>
      <c r="D11" s="13"/>
    </row>
    <row r="12" spans="1:4" x14ac:dyDescent="0.35">
      <c r="A12" s="11"/>
      <c r="B12" s="70" t="s">
        <v>5</v>
      </c>
      <c r="C12" s="70"/>
      <c r="D12" s="71"/>
    </row>
    <row r="13" spans="1:4" x14ac:dyDescent="0.35">
      <c r="A13" s="11"/>
      <c r="B13" s="70" t="s">
        <v>6</v>
      </c>
      <c r="C13" s="70"/>
      <c r="D13" s="71"/>
    </row>
    <row r="14" spans="1:4" x14ac:dyDescent="0.35">
      <c r="A14" s="11"/>
      <c r="B14" s="70" t="s">
        <v>7</v>
      </c>
      <c r="C14" s="70"/>
      <c r="D14" s="71"/>
    </row>
    <row r="15" spans="1:4" x14ac:dyDescent="0.35">
      <c r="A15" s="11"/>
      <c r="B15" s="12"/>
      <c r="C15" s="12"/>
      <c r="D15" s="13"/>
    </row>
    <row r="16" spans="1:4" x14ac:dyDescent="0.35">
      <c r="A16" s="11" t="s">
        <v>8</v>
      </c>
      <c r="B16" s="12"/>
      <c r="C16" s="12"/>
      <c r="D16" s="13"/>
    </row>
    <row r="17" spans="1:4" x14ac:dyDescent="0.35">
      <c r="A17" s="11"/>
      <c r="B17" s="70" t="s">
        <v>9</v>
      </c>
      <c r="C17" s="70"/>
      <c r="D17" s="71"/>
    </row>
    <row r="18" spans="1:4" x14ac:dyDescent="0.35">
      <c r="A18" s="11"/>
      <c r="B18" s="70" t="s">
        <v>10</v>
      </c>
      <c r="C18" s="70"/>
      <c r="D18" s="71"/>
    </row>
    <row r="19" spans="1:4" x14ac:dyDescent="0.35">
      <c r="A19" s="11"/>
      <c r="B19" s="70" t="s">
        <v>11</v>
      </c>
      <c r="C19" s="70"/>
      <c r="D19" s="71"/>
    </row>
    <row r="20" spans="1:4" x14ac:dyDescent="0.35">
      <c r="A20" s="11"/>
      <c r="B20" s="12"/>
      <c r="C20" s="12"/>
      <c r="D20" s="13"/>
    </row>
    <row r="21" spans="1:4" x14ac:dyDescent="0.35">
      <c r="A21" s="11" t="s">
        <v>12</v>
      </c>
      <c r="B21" s="12"/>
      <c r="C21" s="12"/>
      <c r="D21" s="13"/>
    </row>
    <row r="22" spans="1:4" x14ac:dyDescent="0.35">
      <c r="A22" s="11"/>
      <c r="B22" s="70" t="s">
        <v>13</v>
      </c>
      <c r="C22" s="70"/>
      <c r="D22" s="71"/>
    </row>
    <row r="23" spans="1:4" x14ac:dyDescent="0.35">
      <c r="A23" s="11"/>
      <c r="B23" s="70" t="s">
        <v>14</v>
      </c>
      <c r="C23" s="70"/>
      <c r="D23" s="71"/>
    </row>
    <row r="24" spans="1:4" x14ac:dyDescent="0.35">
      <c r="A24" s="11"/>
      <c r="B24" s="12"/>
      <c r="C24" s="12"/>
      <c r="D24" s="13"/>
    </row>
    <row r="25" spans="1:4" x14ac:dyDescent="0.35">
      <c r="A25" s="78" t="s">
        <v>15</v>
      </c>
      <c r="B25" s="70"/>
      <c r="C25" s="70"/>
      <c r="D25" s="71"/>
    </row>
    <row r="26" spans="1:4" x14ac:dyDescent="0.35">
      <c r="A26" s="11"/>
      <c r="B26" s="12"/>
      <c r="C26" s="12"/>
      <c r="D26" s="13"/>
    </row>
    <row r="27" spans="1:4" x14ac:dyDescent="0.35">
      <c r="A27" s="78" t="s">
        <v>16</v>
      </c>
      <c r="B27" s="70"/>
      <c r="C27" s="70"/>
      <c r="D27" s="71"/>
    </row>
    <row r="28" spans="1:4" ht="18.75" thickBot="1" x14ac:dyDescent="0.4">
      <c r="A28" s="14"/>
      <c r="B28" s="15"/>
      <c r="C28" s="15"/>
      <c r="D28" s="16"/>
    </row>
  </sheetData>
  <mergeCells count="15"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Sinaloa_USAMuni!A1" display="3.2 Por Estado de USA"/>
    <hyperlink ref="A8:D8" location="Sinaloa_Cons!A1" display="2. Por Circunscripción Consular"/>
    <hyperlink ref="B9:D9" location="SinaloaXCons!A1" display="2.1 Top ten por circunscripción consular"/>
    <hyperlink ref="A6:D6" location="Sinaloa_EdoUsa!A1" display="1. Por Estados de USA"/>
    <hyperlink ref="B12:D12" location="Sinaloa_EdoMun!A1" display="3.1 Municipio general"/>
    <hyperlink ref="B14:D14" location="Sinaloa_MUNICIPIO!A1" display="3.3 Por Circunscripción Consular"/>
    <hyperlink ref="B17:D17" location="Sinaloa_educ_gral!A1" display="4.1 Educación general"/>
    <hyperlink ref="B18:D18" location="Sinaloa_NivelE_Cons!A1" display="4.2 Por Estado de USA"/>
    <hyperlink ref="B19:D19" location="Sinaloa_EducCons!A1" display="4.3 Por Circunscripción Consular"/>
    <hyperlink ref="B22:D22" location="Sinaloa_GenGral!A1" display="5.1 Género General"/>
    <hyperlink ref="B23:D23" location="Sinaloa_GENERO!A1" display="5.2 Por Circunscripción Consular"/>
    <hyperlink ref="A25:D25" location="Sinaloa_Gen_Edad!A1" display="6. Por estructura de Edad"/>
    <hyperlink ref="A27:D27" location="Sinalo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60"/>
  <sheetViews>
    <sheetView showGridLines="0" zoomScaleNormal="100" zoomScaleSheetLayoutView="115" workbookViewId="0">
      <selection activeCell="F20" sqref="F20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64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207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63</v>
      </c>
      <c r="C11" s="31" t="s">
        <v>62</v>
      </c>
      <c r="D11" s="30" t="s">
        <v>61</v>
      </c>
    </row>
    <row r="12" spans="1:5" x14ac:dyDescent="0.25">
      <c r="B12" s="27" t="s">
        <v>60</v>
      </c>
      <c r="C12" s="26">
        <v>4594</v>
      </c>
      <c r="D12" s="25">
        <v>0.61228841796614686</v>
      </c>
    </row>
    <row r="13" spans="1:5" ht="15.75" x14ac:dyDescent="0.25">
      <c r="B13" s="27" t="s">
        <v>59</v>
      </c>
      <c r="C13" s="26">
        <v>716</v>
      </c>
      <c r="D13" s="25">
        <v>9.5428495268559246E-2</v>
      </c>
      <c r="E13" s="28"/>
    </row>
    <row r="14" spans="1:5" ht="15.75" x14ac:dyDescent="0.25">
      <c r="B14" s="27" t="s">
        <v>58</v>
      </c>
      <c r="C14" s="26">
        <v>299</v>
      </c>
      <c r="D14" s="25">
        <v>3.9850726376116218E-2</v>
      </c>
      <c r="E14" s="28"/>
    </row>
    <row r="15" spans="1:5" x14ac:dyDescent="0.25">
      <c r="B15" s="27" t="s">
        <v>57</v>
      </c>
      <c r="C15" s="26">
        <v>278</v>
      </c>
      <c r="D15" s="25">
        <v>3.705184592829535E-2</v>
      </c>
    </row>
    <row r="16" spans="1:5" x14ac:dyDescent="0.25">
      <c r="B16" s="27" t="s">
        <v>56</v>
      </c>
      <c r="C16" s="26">
        <v>206</v>
      </c>
      <c r="D16" s="25">
        <v>2.7455684392909505E-2</v>
      </c>
    </row>
    <row r="17" spans="2:4" x14ac:dyDescent="0.25">
      <c r="B17" s="27" t="s">
        <v>53</v>
      </c>
      <c r="C17" s="26">
        <v>151</v>
      </c>
      <c r="D17" s="25">
        <v>2.0125283220045316E-2</v>
      </c>
    </row>
    <row r="18" spans="2:4" x14ac:dyDescent="0.25">
      <c r="B18" s="27" t="s">
        <v>51</v>
      </c>
      <c r="C18" s="26">
        <v>146</v>
      </c>
      <c r="D18" s="25">
        <v>1.94588831134213E-2</v>
      </c>
    </row>
    <row r="19" spans="2:4" x14ac:dyDescent="0.25">
      <c r="B19" s="27" t="s">
        <v>55</v>
      </c>
      <c r="C19" s="26">
        <v>128</v>
      </c>
      <c r="D19" s="25">
        <v>1.7059842729574837E-2</v>
      </c>
    </row>
    <row r="20" spans="2:4" x14ac:dyDescent="0.25">
      <c r="B20" s="27" t="s">
        <v>50</v>
      </c>
      <c r="C20" s="26">
        <v>103</v>
      </c>
      <c r="D20" s="25">
        <v>1.3727842196454752E-2</v>
      </c>
    </row>
    <row r="21" spans="2:4" x14ac:dyDescent="0.25">
      <c r="B21" s="27" t="s">
        <v>48</v>
      </c>
      <c r="C21" s="26">
        <v>89</v>
      </c>
      <c r="D21" s="25">
        <v>1.1861921897907505E-2</v>
      </c>
    </row>
    <row r="22" spans="2:4" x14ac:dyDescent="0.25">
      <c r="B22" s="27" t="s">
        <v>49</v>
      </c>
      <c r="C22" s="26">
        <v>78</v>
      </c>
      <c r="D22" s="25">
        <v>1.0395841663334666E-2</v>
      </c>
    </row>
    <row r="23" spans="2:4" x14ac:dyDescent="0.25">
      <c r="B23" s="27" t="s">
        <v>52</v>
      </c>
      <c r="C23" s="26">
        <v>70</v>
      </c>
      <c r="D23" s="25">
        <v>9.3296014927362388E-3</v>
      </c>
    </row>
    <row r="24" spans="2:4" x14ac:dyDescent="0.25">
      <c r="B24" s="27" t="s">
        <v>54</v>
      </c>
      <c r="C24" s="26">
        <v>69</v>
      </c>
      <c r="D24" s="25">
        <v>9.1963214714114363E-3</v>
      </c>
    </row>
    <row r="25" spans="2:4" x14ac:dyDescent="0.25">
      <c r="B25" s="27" t="s">
        <v>45</v>
      </c>
      <c r="C25" s="26">
        <v>57</v>
      </c>
      <c r="D25" s="25">
        <v>7.5969612155137945E-3</v>
      </c>
    </row>
    <row r="26" spans="2:4" x14ac:dyDescent="0.25">
      <c r="B26" s="27" t="s">
        <v>47</v>
      </c>
      <c r="C26" s="26">
        <v>53</v>
      </c>
      <c r="D26" s="25">
        <v>7.0638411302145808E-3</v>
      </c>
    </row>
    <row r="27" spans="2:4" x14ac:dyDescent="0.25">
      <c r="B27" s="27" t="s">
        <v>42</v>
      </c>
      <c r="C27" s="26">
        <v>46</v>
      </c>
      <c r="D27" s="25">
        <v>6.1308809809409569E-3</v>
      </c>
    </row>
    <row r="28" spans="2:4" x14ac:dyDescent="0.25">
      <c r="B28" s="27" t="s">
        <v>46</v>
      </c>
      <c r="C28" s="26">
        <v>44</v>
      </c>
      <c r="D28" s="25">
        <v>5.8643209382913501E-3</v>
      </c>
    </row>
    <row r="29" spans="2:4" x14ac:dyDescent="0.25">
      <c r="B29" s="27" t="s">
        <v>41</v>
      </c>
      <c r="C29" s="26">
        <v>37</v>
      </c>
      <c r="D29" s="25">
        <v>4.9313607890177262E-3</v>
      </c>
    </row>
    <row r="30" spans="2:4" x14ac:dyDescent="0.25">
      <c r="B30" s="27" t="s">
        <v>43</v>
      </c>
      <c r="C30" s="26">
        <v>36</v>
      </c>
      <c r="D30" s="25">
        <v>4.7980807676929228E-3</v>
      </c>
    </row>
    <row r="31" spans="2:4" x14ac:dyDescent="0.25">
      <c r="B31" s="27" t="s">
        <v>40</v>
      </c>
      <c r="C31" s="26">
        <v>36</v>
      </c>
      <c r="D31" s="25">
        <v>4.7980807676929228E-3</v>
      </c>
    </row>
    <row r="32" spans="2:4" x14ac:dyDescent="0.25">
      <c r="B32" s="27" t="s">
        <v>44</v>
      </c>
      <c r="C32" s="26">
        <v>32</v>
      </c>
      <c r="D32" s="25">
        <v>4.2649606823937092E-3</v>
      </c>
    </row>
    <row r="33" spans="2:4" x14ac:dyDescent="0.25">
      <c r="B33" s="27" t="s">
        <v>35</v>
      </c>
      <c r="C33" s="26">
        <v>26</v>
      </c>
      <c r="D33" s="25">
        <v>3.4652805544448887E-3</v>
      </c>
    </row>
    <row r="34" spans="2:4" x14ac:dyDescent="0.25">
      <c r="B34" s="27" t="s">
        <v>26</v>
      </c>
      <c r="C34" s="26">
        <v>25</v>
      </c>
      <c r="D34" s="25">
        <v>3.3320005331200853E-3</v>
      </c>
    </row>
    <row r="35" spans="2:4" x14ac:dyDescent="0.25">
      <c r="B35" s="27" t="s">
        <v>37</v>
      </c>
      <c r="C35" s="26">
        <v>24</v>
      </c>
      <c r="D35" s="25">
        <v>3.1987205117952819E-3</v>
      </c>
    </row>
    <row r="36" spans="2:4" x14ac:dyDescent="0.25">
      <c r="B36" s="27" t="s">
        <v>39</v>
      </c>
      <c r="C36" s="26">
        <v>22</v>
      </c>
      <c r="D36" s="25">
        <v>2.9321604691456751E-3</v>
      </c>
    </row>
    <row r="37" spans="2:4" x14ac:dyDescent="0.25">
      <c r="B37" s="27" t="s">
        <v>33</v>
      </c>
      <c r="C37" s="26">
        <v>16</v>
      </c>
      <c r="D37" s="25">
        <v>2.1324803411968546E-3</v>
      </c>
    </row>
    <row r="38" spans="2:4" x14ac:dyDescent="0.25">
      <c r="B38" s="27" t="s">
        <v>36</v>
      </c>
      <c r="C38" s="26">
        <v>16</v>
      </c>
      <c r="D38" s="25">
        <v>2.1324803411968546E-3</v>
      </c>
    </row>
    <row r="39" spans="2:4" x14ac:dyDescent="0.25">
      <c r="B39" s="27" t="s">
        <v>29</v>
      </c>
      <c r="C39" s="26">
        <v>16</v>
      </c>
      <c r="D39" s="25">
        <v>2.1324803411968546E-3</v>
      </c>
    </row>
    <row r="40" spans="2:4" x14ac:dyDescent="0.25">
      <c r="B40" s="27" t="s">
        <v>34</v>
      </c>
      <c r="C40" s="26">
        <v>11</v>
      </c>
      <c r="D40" s="25">
        <v>1.4660802345728375E-3</v>
      </c>
    </row>
    <row r="41" spans="2:4" x14ac:dyDescent="0.25">
      <c r="B41" s="27" t="s">
        <v>30</v>
      </c>
      <c r="C41" s="26">
        <v>10</v>
      </c>
      <c r="D41" s="25">
        <v>1.3328002132480341E-3</v>
      </c>
    </row>
    <row r="42" spans="2:4" x14ac:dyDescent="0.25">
      <c r="B42" s="27" t="s">
        <v>31</v>
      </c>
      <c r="C42" s="26">
        <v>10</v>
      </c>
      <c r="D42" s="25">
        <v>1.3328002132480341E-3</v>
      </c>
    </row>
    <row r="43" spans="2:4" x14ac:dyDescent="0.25">
      <c r="B43" s="27" t="s">
        <v>38</v>
      </c>
      <c r="C43" s="26">
        <v>10</v>
      </c>
      <c r="D43" s="25">
        <v>1.3328002132480341E-3</v>
      </c>
    </row>
    <row r="44" spans="2:4" x14ac:dyDescent="0.25">
      <c r="B44" s="27" t="s">
        <v>32</v>
      </c>
      <c r="C44" s="26">
        <v>8</v>
      </c>
      <c r="D44" s="25">
        <v>1.0662401705984273E-3</v>
      </c>
    </row>
    <row r="45" spans="2:4" x14ac:dyDescent="0.25">
      <c r="B45" s="27" t="s">
        <v>23</v>
      </c>
      <c r="C45" s="26">
        <v>6</v>
      </c>
      <c r="D45" s="25">
        <v>7.9968012794882047E-4</v>
      </c>
    </row>
    <row r="46" spans="2:4" x14ac:dyDescent="0.25">
      <c r="B46" s="27" t="s">
        <v>21</v>
      </c>
      <c r="C46" s="26">
        <v>6</v>
      </c>
      <c r="D46" s="25">
        <v>7.9968012794882047E-4</v>
      </c>
    </row>
    <row r="47" spans="2:4" x14ac:dyDescent="0.25">
      <c r="B47" s="27" t="s">
        <v>28</v>
      </c>
      <c r="C47" s="26">
        <v>6</v>
      </c>
      <c r="D47" s="25">
        <v>7.9968012794882047E-4</v>
      </c>
    </row>
    <row r="48" spans="2:4" x14ac:dyDescent="0.25">
      <c r="B48" s="27" t="s">
        <v>27</v>
      </c>
      <c r="C48" s="26">
        <v>6</v>
      </c>
      <c r="D48" s="25">
        <v>7.9968012794882047E-4</v>
      </c>
    </row>
    <row r="49" spans="2:4" x14ac:dyDescent="0.25">
      <c r="B49" s="27" t="s">
        <v>22</v>
      </c>
      <c r="C49" s="26">
        <v>6</v>
      </c>
      <c r="D49" s="25">
        <v>7.9968012794882047E-4</v>
      </c>
    </row>
    <row r="50" spans="2:4" x14ac:dyDescent="0.25">
      <c r="B50" s="27" t="s">
        <v>24</v>
      </c>
      <c r="C50" s="26">
        <v>5</v>
      </c>
      <c r="D50" s="25">
        <v>6.6640010662401706E-4</v>
      </c>
    </row>
    <row r="51" spans="2:4" x14ac:dyDescent="0.25">
      <c r="B51" s="27" t="s">
        <v>25</v>
      </c>
      <c r="C51" s="26">
        <v>3</v>
      </c>
      <c r="D51" s="25">
        <v>3.9984006397441024E-4</v>
      </c>
    </row>
    <row r="52" spans="2:4" x14ac:dyDescent="0.25">
      <c r="B52" s="27" t="s">
        <v>208</v>
      </c>
      <c r="C52" s="26">
        <v>2</v>
      </c>
      <c r="D52" s="25">
        <v>2.6656004264960682E-4</v>
      </c>
    </row>
    <row r="53" spans="2:4" x14ac:dyDescent="0.25">
      <c r="B53" s="27" t="s">
        <v>209</v>
      </c>
      <c r="C53" s="26">
        <v>1</v>
      </c>
      <c r="D53" s="25">
        <v>1.3328002132480341E-4</v>
      </c>
    </row>
    <row r="54" spans="2:4" x14ac:dyDescent="0.25">
      <c r="B54" s="24" t="s">
        <v>20</v>
      </c>
      <c r="C54" s="23">
        <v>7503</v>
      </c>
      <c r="D54" s="22">
        <v>1</v>
      </c>
    </row>
    <row r="56" spans="2:4" x14ac:dyDescent="0.25">
      <c r="B56" s="19" t="s">
        <v>210</v>
      </c>
    </row>
    <row r="57" spans="2:4" x14ac:dyDescent="0.25">
      <c r="B57" s="21" t="s">
        <v>19</v>
      </c>
    </row>
    <row r="58" spans="2:4" x14ac:dyDescent="0.25">
      <c r="B58" s="20" t="s">
        <v>18</v>
      </c>
    </row>
    <row r="59" spans="2:4" x14ac:dyDescent="0.25">
      <c r="B59" s="19" t="s">
        <v>17</v>
      </c>
    </row>
    <row r="60" spans="2:4" x14ac:dyDescent="0.25">
      <c r="B60" s="19" t="s">
        <v>211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66"/>
  <sheetViews>
    <sheetView showGridLines="0" zoomScaleNormal="100" zoomScaleSheetLayoutView="115" workbookViewId="0">
      <selection activeCell="H19" sqref="H19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64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212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112</v>
      </c>
      <c r="C11" s="31" t="s">
        <v>62</v>
      </c>
      <c r="D11" s="30" t="s">
        <v>61</v>
      </c>
    </row>
    <row r="12" spans="1:5" x14ac:dyDescent="0.25">
      <c r="B12" s="27" t="s">
        <v>164</v>
      </c>
      <c r="C12" s="26">
        <v>1310</v>
      </c>
      <c r="D12" s="25">
        <v>0.17459682793549247</v>
      </c>
    </row>
    <row r="13" spans="1:5" x14ac:dyDescent="0.25">
      <c r="B13" s="27" t="s">
        <v>103</v>
      </c>
      <c r="C13" s="26">
        <v>909</v>
      </c>
      <c r="D13" s="25">
        <v>0.1211515393842463</v>
      </c>
    </row>
    <row r="14" spans="1:5" ht="15.75" x14ac:dyDescent="0.25">
      <c r="B14" s="27" t="s">
        <v>105</v>
      </c>
      <c r="C14" s="26">
        <v>767</v>
      </c>
      <c r="D14" s="25">
        <v>0.10222577635612422</v>
      </c>
      <c r="E14" s="28"/>
    </row>
    <row r="15" spans="1:5" x14ac:dyDescent="0.25">
      <c r="B15" s="27" t="s">
        <v>82</v>
      </c>
      <c r="C15" s="26">
        <v>553</v>
      </c>
      <c r="D15" s="25">
        <v>7.3703851792616293E-2</v>
      </c>
    </row>
    <row r="16" spans="1:5" x14ac:dyDescent="0.25">
      <c r="B16" s="27" t="s">
        <v>96</v>
      </c>
      <c r="C16" s="26">
        <v>335</v>
      </c>
      <c r="D16" s="25">
        <v>4.4648807143809144E-2</v>
      </c>
    </row>
    <row r="17" spans="2:4" x14ac:dyDescent="0.25">
      <c r="B17" s="27" t="s">
        <v>100</v>
      </c>
      <c r="C17" s="26">
        <v>323</v>
      </c>
      <c r="D17" s="25">
        <v>4.3049446887911499E-2</v>
      </c>
    </row>
    <row r="18" spans="2:4" x14ac:dyDescent="0.25">
      <c r="B18" s="27" t="s">
        <v>95</v>
      </c>
      <c r="C18" s="26">
        <v>293</v>
      </c>
      <c r="D18" s="25">
        <v>3.9051046248167402E-2</v>
      </c>
    </row>
    <row r="19" spans="2:4" x14ac:dyDescent="0.25">
      <c r="B19" s="27" t="s">
        <v>87</v>
      </c>
      <c r="C19" s="26">
        <v>283</v>
      </c>
      <c r="D19" s="25">
        <v>3.7718246034919363E-2</v>
      </c>
    </row>
    <row r="20" spans="2:4" x14ac:dyDescent="0.25">
      <c r="B20" s="27" t="s">
        <v>161</v>
      </c>
      <c r="C20" s="26">
        <v>279</v>
      </c>
      <c r="D20" s="25">
        <v>3.7185125949620153E-2</v>
      </c>
    </row>
    <row r="21" spans="2:4" x14ac:dyDescent="0.25">
      <c r="B21" s="27" t="s">
        <v>83</v>
      </c>
      <c r="C21" s="26">
        <v>218</v>
      </c>
      <c r="D21" s="25">
        <v>2.9055044648807146E-2</v>
      </c>
    </row>
    <row r="22" spans="2:4" x14ac:dyDescent="0.25">
      <c r="B22" s="27" t="s">
        <v>94</v>
      </c>
      <c r="C22" s="26">
        <v>188</v>
      </c>
      <c r="D22" s="25">
        <v>2.5056644009063041E-2</v>
      </c>
    </row>
    <row r="23" spans="2:4" x14ac:dyDescent="0.25">
      <c r="B23" s="27" t="s">
        <v>102</v>
      </c>
      <c r="C23" s="26">
        <v>178</v>
      </c>
      <c r="D23" s="25">
        <v>2.3723843795815009E-2</v>
      </c>
    </row>
    <row r="24" spans="2:4" x14ac:dyDescent="0.25">
      <c r="B24" s="27" t="s">
        <v>104</v>
      </c>
      <c r="C24" s="26">
        <v>171</v>
      </c>
      <c r="D24" s="25">
        <v>2.2790883646541384E-2</v>
      </c>
    </row>
    <row r="25" spans="2:4" x14ac:dyDescent="0.25">
      <c r="B25" s="27" t="s">
        <v>92</v>
      </c>
      <c r="C25" s="26">
        <v>153</v>
      </c>
      <c r="D25" s="25">
        <v>2.0391843262694921E-2</v>
      </c>
    </row>
    <row r="26" spans="2:4" x14ac:dyDescent="0.25">
      <c r="B26" s="27" t="s">
        <v>110</v>
      </c>
      <c r="C26" s="26">
        <v>147</v>
      </c>
      <c r="D26" s="25">
        <v>1.9592163134746102E-2</v>
      </c>
    </row>
    <row r="27" spans="2:4" x14ac:dyDescent="0.25">
      <c r="B27" s="27" t="s">
        <v>71</v>
      </c>
      <c r="C27" s="26">
        <v>140</v>
      </c>
      <c r="D27" s="25">
        <v>1.8659202985472478E-2</v>
      </c>
    </row>
    <row r="28" spans="2:4" x14ac:dyDescent="0.25">
      <c r="B28" s="27" t="s">
        <v>73</v>
      </c>
      <c r="C28" s="26">
        <v>124</v>
      </c>
      <c r="D28" s="25">
        <v>1.6526722644275623E-2</v>
      </c>
    </row>
    <row r="29" spans="2:4" x14ac:dyDescent="0.25">
      <c r="B29" s="27" t="s">
        <v>108</v>
      </c>
      <c r="C29" s="26">
        <v>117</v>
      </c>
      <c r="D29" s="25">
        <v>1.5593762495002E-2</v>
      </c>
    </row>
    <row r="30" spans="2:4" x14ac:dyDescent="0.25">
      <c r="B30" s="27" t="s">
        <v>79</v>
      </c>
      <c r="C30" s="26">
        <v>97</v>
      </c>
      <c r="D30" s="25">
        <v>1.2928162068505932E-2</v>
      </c>
    </row>
    <row r="31" spans="2:4" x14ac:dyDescent="0.25">
      <c r="B31" s="27" t="s">
        <v>109</v>
      </c>
      <c r="C31" s="26">
        <v>74</v>
      </c>
      <c r="D31" s="25">
        <v>9.8627215780354525E-3</v>
      </c>
    </row>
    <row r="32" spans="2:4" x14ac:dyDescent="0.25">
      <c r="B32" s="27" t="s">
        <v>107</v>
      </c>
      <c r="C32" s="26">
        <v>73</v>
      </c>
      <c r="D32" s="25">
        <v>9.7294415567106499E-3</v>
      </c>
    </row>
    <row r="33" spans="2:4" x14ac:dyDescent="0.25">
      <c r="B33" s="27" t="s">
        <v>88</v>
      </c>
      <c r="C33" s="26">
        <v>65</v>
      </c>
      <c r="D33" s="25">
        <v>8.6632013861122226E-3</v>
      </c>
    </row>
    <row r="34" spans="2:4" x14ac:dyDescent="0.25">
      <c r="B34" s="27" t="s">
        <v>86</v>
      </c>
      <c r="C34" s="26">
        <v>65</v>
      </c>
      <c r="D34" s="25">
        <v>8.6632013861122226E-3</v>
      </c>
    </row>
    <row r="35" spans="2:4" x14ac:dyDescent="0.25">
      <c r="B35" s="27" t="s">
        <v>81</v>
      </c>
      <c r="C35" s="26">
        <v>64</v>
      </c>
      <c r="D35" s="25">
        <v>8.5299213647874184E-3</v>
      </c>
    </row>
    <row r="36" spans="2:4" x14ac:dyDescent="0.25">
      <c r="B36" s="27" t="s">
        <v>80</v>
      </c>
      <c r="C36" s="26">
        <v>61</v>
      </c>
      <c r="D36" s="25">
        <v>8.130081300813009E-3</v>
      </c>
    </row>
    <row r="37" spans="2:4" x14ac:dyDescent="0.25">
      <c r="B37" s="27" t="s">
        <v>99</v>
      </c>
      <c r="C37" s="26">
        <v>51</v>
      </c>
      <c r="D37" s="25">
        <v>6.797281087564974E-3</v>
      </c>
    </row>
    <row r="38" spans="2:4" x14ac:dyDescent="0.25">
      <c r="B38" s="27" t="s">
        <v>98</v>
      </c>
      <c r="C38" s="26">
        <v>51</v>
      </c>
      <c r="D38" s="25">
        <v>6.797281087564974E-3</v>
      </c>
    </row>
    <row r="39" spans="2:4" x14ac:dyDescent="0.25">
      <c r="B39" s="27" t="s">
        <v>75</v>
      </c>
      <c r="C39" s="26">
        <v>43</v>
      </c>
      <c r="D39" s="25">
        <v>5.7310409169665467E-3</v>
      </c>
    </row>
    <row r="40" spans="2:4" x14ac:dyDescent="0.25">
      <c r="B40" s="27" t="s">
        <v>77</v>
      </c>
      <c r="C40" s="26">
        <v>40</v>
      </c>
      <c r="D40" s="25">
        <v>5.3312008529921365E-3</v>
      </c>
    </row>
    <row r="41" spans="2:4" x14ac:dyDescent="0.25">
      <c r="B41" s="27" t="s">
        <v>165</v>
      </c>
      <c r="C41" s="26">
        <v>39</v>
      </c>
      <c r="D41" s="25">
        <v>5.1979208316673331E-3</v>
      </c>
    </row>
    <row r="42" spans="2:4" x14ac:dyDescent="0.25">
      <c r="B42" s="27" t="s">
        <v>84</v>
      </c>
      <c r="C42" s="26">
        <v>36</v>
      </c>
      <c r="D42" s="25">
        <v>4.7980807676929228E-3</v>
      </c>
    </row>
    <row r="43" spans="2:4" x14ac:dyDescent="0.25">
      <c r="B43" s="27" t="s">
        <v>78</v>
      </c>
      <c r="C43" s="26">
        <v>28</v>
      </c>
      <c r="D43" s="25">
        <v>3.7318405970944955E-3</v>
      </c>
    </row>
    <row r="44" spans="2:4" x14ac:dyDescent="0.25">
      <c r="B44" s="27" t="s">
        <v>85</v>
      </c>
      <c r="C44" s="26">
        <v>27</v>
      </c>
      <c r="D44" s="25">
        <v>3.5985605757696921E-3</v>
      </c>
    </row>
    <row r="45" spans="2:4" x14ac:dyDescent="0.25">
      <c r="B45" s="27" t="s">
        <v>166</v>
      </c>
      <c r="C45" s="26">
        <v>25</v>
      </c>
      <c r="D45" s="25">
        <v>3.3320005331200853E-3</v>
      </c>
    </row>
    <row r="46" spans="2:4" x14ac:dyDescent="0.25">
      <c r="B46" s="27" t="s">
        <v>91</v>
      </c>
      <c r="C46" s="26">
        <v>24</v>
      </c>
      <c r="D46" s="25">
        <v>3.1987205117952819E-3</v>
      </c>
    </row>
    <row r="47" spans="2:4" x14ac:dyDescent="0.25">
      <c r="B47" s="27" t="s">
        <v>76</v>
      </c>
      <c r="C47" s="26">
        <v>23</v>
      </c>
      <c r="D47" s="25">
        <v>3.0654404904704785E-3</v>
      </c>
    </row>
    <row r="48" spans="2:4" x14ac:dyDescent="0.25">
      <c r="B48" s="27" t="s">
        <v>106</v>
      </c>
      <c r="C48" s="26">
        <v>19</v>
      </c>
      <c r="D48" s="25">
        <v>2.5323204051712648E-3</v>
      </c>
    </row>
    <row r="49" spans="2:4" x14ac:dyDescent="0.25">
      <c r="B49" s="27" t="s">
        <v>163</v>
      </c>
      <c r="C49" s="26">
        <v>18</v>
      </c>
      <c r="D49" s="25">
        <v>2.3990403838464614E-3</v>
      </c>
    </row>
    <row r="50" spans="2:4" x14ac:dyDescent="0.25">
      <c r="B50" s="27" t="s">
        <v>54</v>
      </c>
      <c r="C50" s="26">
        <v>18</v>
      </c>
      <c r="D50" s="25">
        <v>2.3990403838464614E-3</v>
      </c>
    </row>
    <row r="51" spans="2:4" x14ac:dyDescent="0.25">
      <c r="B51" s="27" t="s">
        <v>68</v>
      </c>
      <c r="C51" s="26">
        <v>14</v>
      </c>
      <c r="D51" s="25">
        <v>1.8659202985472478E-3</v>
      </c>
    </row>
    <row r="52" spans="2:4" x14ac:dyDescent="0.25">
      <c r="B52" s="27" t="s">
        <v>72</v>
      </c>
      <c r="C52" s="26">
        <v>13</v>
      </c>
      <c r="D52" s="25">
        <v>1.7326402772224444E-3</v>
      </c>
    </row>
    <row r="53" spans="2:4" x14ac:dyDescent="0.25">
      <c r="B53" s="27" t="s">
        <v>89</v>
      </c>
      <c r="C53" s="26">
        <v>12</v>
      </c>
      <c r="D53" s="25">
        <v>1.5993602558976409E-3</v>
      </c>
    </row>
    <row r="54" spans="2:4" x14ac:dyDescent="0.25">
      <c r="B54" s="27" t="s">
        <v>97</v>
      </c>
      <c r="C54" s="26">
        <v>10</v>
      </c>
      <c r="D54" s="25">
        <v>1.3328002132480341E-3</v>
      </c>
    </row>
    <row r="55" spans="2:4" x14ac:dyDescent="0.25">
      <c r="B55" s="27" t="s">
        <v>69</v>
      </c>
      <c r="C55" s="26">
        <v>8</v>
      </c>
      <c r="D55" s="25">
        <v>1.0662401705984273E-3</v>
      </c>
    </row>
    <row r="56" spans="2:4" x14ac:dyDescent="0.25">
      <c r="B56" s="27" t="s">
        <v>66</v>
      </c>
      <c r="C56" s="26">
        <v>7</v>
      </c>
      <c r="D56" s="25">
        <v>9.3296014927362388E-4</v>
      </c>
    </row>
    <row r="57" spans="2:4" x14ac:dyDescent="0.25">
      <c r="B57" s="27" t="s">
        <v>74</v>
      </c>
      <c r="C57" s="26">
        <v>4</v>
      </c>
      <c r="D57" s="25">
        <v>5.3312008529921365E-4</v>
      </c>
    </row>
    <row r="58" spans="2:4" x14ac:dyDescent="0.25">
      <c r="B58" s="27" t="s">
        <v>70</v>
      </c>
      <c r="C58" s="26">
        <v>4</v>
      </c>
      <c r="D58" s="25">
        <v>5.3312008529921365E-4</v>
      </c>
    </row>
    <row r="59" spans="2:4" x14ac:dyDescent="0.25">
      <c r="B59" s="27" t="s">
        <v>65</v>
      </c>
      <c r="C59" s="26">
        <v>2</v>
      </c>
      <c r="D59" s="25">
        <v>2.6656004264960682E-4</v>
      </c>
    </row>
    <row r="60" spans="2:4" x14ac:dyDescent="0.25">
      <c r="B60" s="24" t="s">
        <v>20</v>
      </c>
      <c r="C60" s="23">
        <v>7503</v>
      </c>
      <c r="D60" s="22">
        <v>1</v>
      </c>
    </row>
    <row r="62" spans="2:4" x14ac:dyDescent="0.25">
      <c r="B62" s="19" t="s">
        <v>210</v>
      </c>
    </row>
    <row r="63" spans="2:4" x14ac:dyDescent="0.25">
      <c r="B63" s="21" t="s">
        <v>19</v>
      </c>
    </row>
    <row r="64" spans="2:4" x14ac:dyDescent="0.25">
      <c r="B64" s="20" t="s">
        <v>18</v>
      </c>
    </row>
    <row r="65" spans="2:2" x14ac:dyDescent="0.25">
      <c r="B65" s="19" t="s">
        <v>17</v>
      </c>
    </row>
    <row r="66" spans="2:2" x14ac:dyDescent="0.25">
      <c r="B66" s="19" t="s">
        <v>211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topLeftCell="A7" zoomScaleNormal="100" zoomScaleSheetLayoutView="115" workbookViewId="0">
      <selection activeCell="I20" sqref="I20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64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212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112</v>
      </c>
      <c r="C11" s="31" t="s">
        <v>62</v>
      </c>
      <c r="D11" s="30" t="s">
        <v>61</v>
      </c>
    </row>
    <row r="12" spans="1:5" x14ac:dyDescent="0.25">
      <c r="B12" s="27" t="s">
        <v>111</v>
      </c>
      <c r="C12" s="26">
        <v>1310</v>
      </c>
      <c r="D12" s="25">
        <f t="shared" ref="D12:D22" si="0">C12/$C$22</f>
        <v>0.24857685009487665</v>
      </c>
    </row>
    <row r="13" spans="1:5" x14ac:dyDescent="0.25">
      <c r="B13" s="27" t="s">
        <v>103</v>
      </c>
      <c r="C13" s="26">
        <v>909</v>
      </c>
      <c r="D13" s="25">
        <f t="shared" si="0"/>
        <v>0.17248576850094877</v>
      </c>
    </row>
    <row r="14" spans="1:5" ht="15.75" x14ac:dyDescent="0.25">
      <c r="B14" s="27" t="s">
        <v>105</v>
      </c>
      <c r="C14" s="26">
        <v>767</v>
      </c>
      <c r="D14" s="25">
        <f t="shared" si="0"/>
        <v>0.14554079696394687</v>
      </c>
      <c r="E14" s="28"/>
    </row>
    <row r="15" spans="1:5" ht="15.75" x14ac:dyDescent="0.25">
      <c r="B15" s="27" t="s">
        <v>82</v>
      </c>
      <c r="C15" s="26">
        <v>553</v>
      </c>
      <c r="D15" s="25">
        <f t="shared" si="0"/>
        <v>0.10493358633776091</v>
      </c>
      <c r="E15" s="28"/>
    </row>
    <row r="16" spans="1:5" x14ac:dyDescent="0.25">
      <c r="B16" s="27" t="s">
        <v>96</v>
      </c>
      <c r="C16" s="26">
        <v>335</v>
      </c>
      <c r="D16" s="25">
        <f t="shared" si="0"/>
        <v>6.3567362428842505E-2</v>
      </c>
    </row>
    <row r="17" spans="2:4" x14ac:dyDescent="0.25">
      <c r="B17" s="27" t="s">
        <v>100</v>
      </c>
      <c r="C17" s="26">
        <v>323</v>
      </c>
      <c r="D17" s="25">
        <f t="shared" si="0"/>
        <v>6.1290322580645158E-2</v>
      </c>
    </row>
    <row r="18" spans="2:4" x14ac:dyDescent="0.25">
      <c r="B18" s="27" t="s">
        <v>95</v>
      </c>
      <c r="C18" s="26">
        <v>293</v>
      </c>
      <c r="D18" s="25">
        <f t="shared" si="0"/>
        <v>5.5597722960151801E-2</v>
      </c>
    </row>
    <row r="19" spans="2:4" x14ac:dyDescent="0.25">
      <c r="B19" s="27" t="s">
        <v>87</v>
      </c>
      <c r="C19" s="26">
        <v>283</v>
      </c>
      <c r="D19" s="25">
        <f t="shared" si="0"/>
        <v>5.3700189753320686E-2</v>
      </c>
    </row>
    <row r="20" spans="2:4" x14ac:dyDescent="0.25">
      <c r="B20" s="27" t="s">
        <v>101</v>
      </c>
      <c r="C20" s="26">
        <v>279</v>
      </c>
      <c r="D20" s="25">
        <f t="shared" si="0"/>
        <v>5.2941176470588235E-2</v>
      </c>
    </row>
    <row r="21" spans="2:4" x14ac:dyDescent="0.25">
      <c r="B21" s="27" t="s">
        <v>83</v>
      </c>
      <c r="C21" s="26">
        <v>218</v>
      </c>
      <c r="D21" s="25">
        <f t="shared" si="0"/>
        <v>4.1366223908918406E-2</v>
      </c>
    </row>
    <row r="22" spans="2:4" x14ac:dyDescent="0.25">
      <c r="B22" s="24" t="s">
        <v>167</v>
      </c>
      <c r="C22" s="23">
        <f>SUM(C12:C21)</f>
        <v>5270</v>
      </c>
      <c r="D22" s="22">
        <f t="shared" si="0"/>
        <v>1</v>
      </c>
    </row>
    <row r="24" spans="2:4" x14ac:dyDescent="0.25">
      <c r="B24" s="19" t="s">
        <v>210</v>
      </c>
    </row>
    <row r="25" spans="2:4" x14ac:dyDescent="0.25">
      <c r="B25" s="21" t="s">
        <v>19</v>
      </c>
    </row>
    <row r="26" spans="2:4" x14ac:dyDescent="0.25">
      <c r="B26" s="20" t="s">
        <v>18</v>
      </c>
    </row>
    <row r="27" spans="2:4" x14ac:dyDescent="0.25">
      <c r="B27" s="19" t="s">
        <v>17</v>
      </c>
    </row>
    <row r="28" spans="2:4" x14ac:dyDescent="0.25">
      <c r="B28" s="19" t="s">
        <v>211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6"/>
  <sheetViews>
    <sheetView showGridLines="0" zoomScaleNormal="100" zoomScaleSheetLayoutView="115" workbookViewId="0">
      <selection activeCell="H20" sqref="H20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64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213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131</v>
      </c>
      <c r="C11" s="31" t="s">
        <v>62</v>
      </c>
      <c r="D11" s="30" t="s">
        <v>61</v>
      </c>
    </row>
    <row r="12" spans="1:5" x14ac:dyDescent="0.25">
      <c r="B12" s="27" t="s">
        <v>130</v>
      </c>
      <c r="C12" s="26">
        <v>2319</v>
      </c>
      <c r="D12" s="25">
        <v>0.30907636945221911</v>
      </c>
    </row>
    <row r="13" spans="1:5" x14ac:dyDescent="0.25">
      <c r="B13" s="27" t="s">
        <v>129</v>
      </c>
      <c r="C13" s="26">
        <v>833</v>
      </c>
      <c r="D13" s="25">
        <v>0.11102225776356124</v>
      </c>
    </row>
    <row r="14" spans="1:5" ht="15.75" x14ac:dyDescent="0.25">
      <c r="B14" s="27" t="s">
        <v>128</v>
      </c>
      <c r="C14" s="26">
        <v>791</v>
      </c>
      <c r="D14" s="25">
        <v>0.10542449686791949</v>
      </c>
      <c r="E14" s="28"/>
    </row>
    <row r="15" spans="1:5" ht="15.75" x14ac:dyDescent="0.25">
      <c r="B15" s="27" t="s">
        <v>127</v>
      </c>
      <c r="C15" s="26">
        <v>703</v>
      </c>
      <c r="D15" s="25">
        <v>9.3695854991336799E-2</v>
      </c>
      <c r="E15" s="28"/>
    </row>
    <row r="16" spans="1:5" x14ac:dyDescent="0.25">
      <c r="B16" s="27" t="s">
        <v>126</v>
      </c>
      <c r="C16" s="26">
        <v>357</v>
      </c>
      <c r="D16" s="25">
        <v>4.7580967612954821E-2</v>
      </c>
    </row>
    <row r="17" spans="2:4" x14ac:dyDescent="0.25">
      <c r="B17" s="27" t="s">
        <v>125</v>
      </c>
      <c r="C17" s="26">
        <v>321</v>
      </c>
      <c r="D17" s="25">
        <v>4.2782886845261894E-2</v>
      </c>
    </row>
    <row r="18" spans="2:4" x14ac:dyDescent="0.25">
      <c r="B18" s="27" t="s">
        <v>123</v>
      </c>
      <c r="C18" s="26">
        <v>257</v>
      </c>
      <c r="D18" s="25">
        <v>3.4252965480474476E-2</v>
      </c>
    </row>
    <row r="19" spans="2:4" x14ac:dyDescent="0.25">
      <c r="B19" s="27" t="s">
        <v>124</v>
      </c>
      <c r="C19" s="26">
        <v>230</v>
      </c>
      <c r="D19" s="25">
        <v>3.0654404904704786E-2</v>
      </c>
    </row>
    <row r="20" spans="2:4" x14ac:dyDescent="0.25">
      <c r="B20" s="27" t="s">
        <v>121</v>
      </c>
      <c r="C20" s="26">
        <v>214</v>
      </c>
      <c r="D20" s="25">
        <v>2.8521924563507932E-2</v>
      </c>
    </row>
    <row r="21" spans="2:4" x14ac:dyDescent="0.25">
      <c r="B21" s="27" t="s">
        <v>120</v>
      </c>
      <c r="C21" s="26">
        <v>206</v>
      </c>
      <c r="D21" s="25">
        <v>2.7455684392909505E-2</v>
      </c>
    </row>
    <row r="22" spans="2:4" x14ac:dyDescent="0.25">
      <c r="B22" s="27" t="s">
        <v>122</v>
      </c>
      <c r="C22" s="26">
        <v>196</v>
      </c>
      <c r="D22" s="25">
        <v>2.6122884179661469E-2</v>
      </c>
    </row>
    <row r="23" spans="2:4" x14ac:dyDescent="0.25">
      <c r="B23" s="27" t="s">
        <v>119</v>
      </c>
      <c r="C23" s="26">
        <v>191</v>
      </c>
      <c r="D23" s="25">
        <v>2.5456484073037453E-2</v>
      </c>
    </row>
    <row r="24" spans="2:4" x14ac:dyDescent="0.25">
      <c r="B24" s="27" t="s">
        <v>117</v>
      </c>
      <c r="C24" s="26">
        <v>176</v>
      </c>
      <c r="D24" s="25">
        <v>2.34572837531654E-2</v>
      </c>
    </row>
    <row r="25" spans="2:4" x14ac:dyDescent="0.25">
      <c r="B25" s="27" t="s">
        <v>116</v>
      </c>
      <c r="C25" s="26">
        <v>171</v>
      </c>
      <c r="D25" s="25">
        <v>2.2790883646541384E-2</v>
      </c>
    </row>
    <row r="26" spans="2:4" x14ac:dyDescent="0.25">
      <c r="B26" s="27" t="s">
        <v>118</v>
      </c>
      <c r="C26" s="26">
        <v>167</v>
      </c>
      <c r="D26" s="25">
        <v>2.2257763561242171E-2</v>
      </c>
    </row>
    <row r="27" spans="2:4" x14ac:dyDescent="0.25">
      <c r="B27" s="27" t="s">
        <v>114</v>
      </c>
      <c r="C27" s="26">
        <v>145</v>
      </c>
      <c r="D27" s="25">
        <v>1.9325603092096494E-2</v>
      </c>
    </row>
    <row r="28" spans="2:4" x14ac:dyDescent="0.25">
      <c r="B28" s="27" t="s">
        <v>115</v>
      </c>
      <c r="C28" s="26">
        <v>141</v>
      </c>
      <c r="D28" s="25">
        <v>1.879248300679728E-2</v>
      </c>
    </row>
    <row r="29" spans="2:4" x14ac:dyDescent="0.25">
      <c r="B29" s="27" t="s">
        <v>113</v>
      </c>
      <c r="C29" s="26">
        <v>85</v>
      </c>
      <c r="D29" s="25">
        <v>1.1328801812608291E-2</v>
      </c>
    </row>
    <row r="30" spans="2:4" x14ac:dyDescent="0.25">
      <c r="B30" s="24" t="s">
        <v>20</v>
      </c>
      <c r="C30" s="23">
        <v>7503</v>
      </c>
      <c r="D30" s="22">
        <v>1</v>
      </c>
    </row>
    <row r="32" spans="2:4" x14ac:dyDescent="0.25">
      <c r="B32" s="19" t="s">
        <v>210</v>
      </c>
    </row>
    <row r="33" spans="2:2" x14ac:dyDescent="0.25">
      <c r="B33" s="21" t="s">
        <v>19</v>
      </c>
    </row>
    <row r="34" spans="2:2" x14ac:dyDescent="0.25">
      <c r="B34" s="20" t="s">
        <v>18</v>
      </c>
    </row>
    <row r="35" spans="2:2" x14ac:dyDescent="0.25">
      <c r="B35" s="19" t="s">
        <v>17</v>
      </c>
    </row>
    <row r="36" spans="2:2" x14ac:dyDescent="0.25">
      <c r="B36" s="19" t="s">
        <v>211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65"/>
  <sheetViews>
    <sheetView zoomScale="106" zoomScaleNormal="106" zoomScaleSheetLayoutView="85" workbookViewId="0">
      <selection activeCell="F23" sqref="F23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9" customFormat="1" ht="40.5" customHeight="1" x14ac:dyDescent="0.2">
      <c r="B9" s="47" t="s">
        <v>133</v>
      </c>
      <c r="C9" s="49" t="s">
        <v>132</v>
      </c>
      <c r="D9" s="48" t="s">
        <v>62</v>
      </c>
      <c r="E9" s="47" t="s">
        <v>61</v>
      </c>
    </row>
    <row r="10" spans="1:5" ht="15" customHeight="1" x14ac:dyDescent="0.25">
      <c r="B10" s="82" t="s">
        <v>33</v>
      </c>
      <c r="C10" s="45" t="s">
        <v>128</v>
      </c>
      <c r="D10" s="44">
        <v>1</v>
      </c>
      <c r="E10" s="43">
        <v>1.3328002132480341E-4</v>
      </c>
    </row>
    <row r="11" spans="1:5" ht="15" customHeight="1" x14ac:dyDescent="0.25">
      <c r="B11" s="83"/>
      <c r="C11" s="45" t="s">
        <v>114</v>
      </c>
      <c r="D11" s="44">
        <v>1</v>
      </c>
      <c r="E11" s="43">
        <v>1.3328002132480341E-4</v>
      </c>
    </row>
    <row r="12" spans="1:5" ht="15" customHeight="1" x14ac:dyDescent="0.25">
      <c r="B12" s="83"/>
      <c r="C12" s="45" t="s">
        <v>130</v>
      </c>
      <c r="D12" s="44">
        <v>4</v>
      </c>
      <c r="E12" s="43">
        <v>5.3312008529921365E-4</v>
      </c>
    </row>
    <row r="13" spans="1:5" ht="15" customHeight="1" x14ac:dyDescent="0.25">
      <c r="B13" s="83"/>
      <c r="C13" s="45" t="s">
        <v>119</v>
      </c>
      <c r="D13" s="44">
        <v>1</v>
      </c>
      <c r="E13" s="43">
        <v>1.3328002132480341E-4</v>
      </c>
    </row>
    <row r="14" spans="1:5" ht="15" customHeight="1" x14ac:dyDescent="0.25">
      <c r="B14" s="83"/>
      <c r="C14" s="45" t="s">
        <v>117</v>
      </c>
      <c r="D14" s="44">
        <v>1</v>
      </c>
      <c r="E14" s="43">
        <v>1.3328002132480341E-4</v>
      </c>
    </row>
    <row r="15" spans="1:5" ht="15" customHeight="1" x14ac:dyDescent="0.25">
      <c r="B15" s="83"/>
      <c r="C15" s="45" t="s">
        <v>122</v>
      </c>
      <c r="D15" s="44">
        <v>2</v>
      </c>
      <c r="E15" s="43">
        <v>2.6656004264960682E-4</v>
      </c>
    </row>
    <row r="16" spans="1:5" ht="15" customHeight="1" x14ac:dyDescent="0.25">
      <c r="B16" s="83"/>
      <c r="C16" s="45" t="s">
        <v>129</v>
      </c>
      <c r="D16" s="44">
        <v>1</v>
      </c>
      <c r="E16" s="43">
        <v>1.3328002132480341E-4</v>
      </c>
    </row>
    <row r="17" spans="2:5" ht="15" customHeight="1" x14ac:dyDescent="0.25">
      <c r="B17" s="83"/>
      <c r="C17" s="45" t="s">
        <v>127</v>
      </c>
      <c r="D17" s="44">
        <v>3</v>
      </c>
      <c r="E17" s="43">
        <v>3.9984006397441024E-4</v>
      </c>
    </row>
    <row r="18" spans="2:5" ht="15" customHeight="1" x14ac:dyDescent="0.25">
      <c r="B18" s="83"/>
      <c r="C18" s="45" t="s">
        <v>116</v>
      </c>
      <c r="D18" s="44">
        <v>1</v>
      </c>
      <c r="E18" s="43">
        <v>1.3328002132480341E-4</v>
      </c>
    </row>
    <row r="19" spans="2:5" ht="15" customHeight="1" x14ac:dyDescent="0.25">
      <c r="B19" s="83"/>
      <c r="C19" s="45" t="s">
        <v>123</v>
      </c>
      <c r="D19" s="44">
        <v>1</v>
      </c>
      <c r="E19" s="43">
        <v>1.3328002132480341E-4</v>
      </c>
    </row>
    <row r="20" spans="2:5" ht="15" customHeight="1" x14ac:dyDescent="0.25">
      <c r="B20" s="84"/>
      <c r="C20" s="42" t="s">
        <v>20</v>
      </c>
      <c r="D20" s="41">
        <v>16</v>
      </c>
      <c r="E20" s="40">
        <v>2.1324803411968546E-3</v>
      </c>
    </row>
    <row r="21" spans="2:5" ht="15" customHeight="1" x14ac:dyDescent="0.25">
      <c r="B21" s="82" t="s">
        <v>59</v>
      </c>
      <c r="C21" s="45" t="s">
        <v>128</v>
      </c>
      <c r="D21" s="44">
        <v>130</v>
      </c>
      <c r="E21" s="43">
        <v>1.7326402772224445E-2</v>
      </c>
    </row>
    <row r="22" spans="2:5" ht="15" customHeight="1" x14ac:dyDescent="0.25">
      <c r="B22" s="83"/>
      <c r="C22" s="45" t="s">
        <v>115</v>
      </c>
      <c r="D22" s="44">
        <v>6</v>
      </c>
      <c r="E22" s="43">
        <v>7.9968012794882047E-4</v>
      </c>
    </row>
    <row r="23" spans="2:5" ht="15" customHeight="1" x14ac:dyDescent="0.25">
      <c r="B23" s="83"/>
      <c r="C23" s="45" t="s">
        <v>124</v>
      </c>
      <c r="D23" s="44">
        <v>11</v>
      </c>
      <c r="E23" s="43">
        <v>1.4660802345728375E-3</v>
      </c>
    </row>
    <row r="24" spans="2:5" ht="15" customHeight="1" x14ac:dyDescent="0.25">
      <c r="B24" s="83"/>
      <c r="C24" s="45" t="s">
        <v>114</v>
      </c>
      <c r="D24" s="44">
        <v>52</v>
      </c>
      <c r="E24" s="43">
        <v>6.9305611088897774E-3</v>
      </c>
    </row>
    <row r="25" spans="2:5" ht="15" customHeight="1" x14ac:dyDescent="0.25">
      <c r="B25" s="83"/>
      <c r="C25" s="45" t="s">
        <v>113</v>
      </c>
      <c r="D25" s="44">
        <v>5</v>
      </c>
      <c r="E25" s="43">
        <v>6.6640010662401706E-4</v>
      </c>
    </row>
    <row r="26" spans="2:5" ht="15" customHeight="1" x14ac:dyDescent="0.25">
      <c r="B26" s="83"/>
      <c r="C26" s="45" t="s">
        <v>121</v>
      </c>
      <c r="D26" s="44">
        <v>5</v>
      </c>
      <c r="E26" s="43">
        <v>6.6640010662401706E-4</v>
      </c>
    </row>
    <row r="27" spans="2:5" ht="15" customHeight="1" x14ac:dyDescent="0.25">
      <c r="B27" s="83"/>
      <c r="C27" s="45" t="s">
        <v>130</v>
      </c>
      <c r="D27" s="44">
        <v>169</v>
      </c>
      <c r="E27" s="43">
        <v>2.2524323603891776E-2</v>
      </c>
    </row>
    <row r="28" spans="2:5" ht="15" customHeight="1" x14ac:dyDescent="0.25">
      <c r="B28" s="83"/>
      <c r="C28" s="45" t="s">
        <v>119</v>
      </c>
      <c r="D28" s="44">
        <v>44</v>
      </c>
      <c r="E28" s="43">
        <v>5.8643209382913501E-3</v>
      </c>
    </row>
    <row r="29" spans="2:5" ht="15" customHeight="1" x14ac:dyDescent="0.25">
      <c r="B29" s="83"/>
      <c r="C29" s="45" t="s">
        <v>117</v>
      </c>
      <c r="D29" s="44">
        <v>3</v>
      </c>
      <c r="E29" s="43">
        <v>3.9984006397441024E-4</v>
      </c>
    </row>
    <row r="30" spans="2:5" ht="15" customHeight="1" x14ac:dyDescent="0.25">
      <c r="B30" s="83"/>
      <c r="C30" s="45" t="s">
        <v>122</v>
      </c>
      <c r="D30" s="44">
        <v>20</v>
      </c>
      <c r="E30" s="43">
        <v>2.6656004264960682E-3</v>
      </c>
    </row>
    <row r="31" spans="2:5" ht="15" customHeight="1" x14ac:dyDescent="0.25">
      <c r="B31" s="83"/>
      <c r="C31" s="45" t="s">
        <v>129</v>
      </c>
      <c r="D31" s="44">
        <v>124</v>
      </c>
      <c r="E31" s="43">
        <v>1.6526722644275623E-2</v>
      </c>
    </row>
    <row r="32" spans="2:5" ht="15" customHeight="1" x14ac:dyDescent="0.25">
      <c r="B32" s="83"/>
      <c r="C32" s="45" t="s">
        <v>127</v>
      </c>
      <c r="D32" s="44">
        <v>41</v>
      </c>
      <c r="E32" s="43">
        <v>5.4644808743169399E-3</v>
      </c>
    </row>
    <row r="33" spans="2:5" ht="15" customHeight="1" x14ac:dyDescent="0.25">
      <c r="B33" s="83"/>
      <c r="C33" s="45" t="s">
        <v>126</v>
      </c>
      <c r="D33" s="44">
        <v>20</v>
      </c>
      <c r="E33" s="43">
        <v>2.6656004264960682E-3</v>
      </c>
    </row>
    <row r="34" spans="2:5" ht="15" customHeight="1" x14ac:dyDescent="0.25">
      <c r="B34" s="83"/>
      <c r="C34" s="45" t="s">
        <v>120</v>
      </c>
      <c r="D34" s="44">
        <v>9</v>
      </c>
      <c r="E34" s="43">
        <v>1.1995201919232307E-3</v>
      </c>
    </row>
    <row r="35" spans="2:5" ht="15" customHeight="1" x14ac:dyDescent="0.25">
      <c r="B35" s="83"/>
      <c r="C35" s="45" t="s">
        <v>116</v>
      </c>
      <c r="D35" s="44">
        <v>9</v>
      </c>
      <c r="E35" s="43">
        <v>1.1995201919232307E-3</v>
      </c>
    </row>
    <row r="36" spans="2:5" ht="15" customHeight="1" x14ac:dyDescent="0.25">
      <c r="B36" s="83"/>
      <c r="C36" s="45" t="s">
        <v>123</v>
      </c>
      <c r="D36" s="44">
        <v>25</v>
      </c>
      <c r="E36" s="43">
        <v>3.3320005331200853E-3</v>
      </c>
    </row>
    <row r="37" spans="2:5" ht="15" customHeight="1" x14ac:dyDescent="0.25">
      <c r="B37" s="83"/>
      <c r="C37" s="45" t="s">
        <v>118</v>
      </c>
      <c r="D37" s="44">
        <v>3</v>
      </c>
      <c r="E37" s="43">
        <v>3.9984006397441024E-4</v>
      </c>
    </row>
    <row r="38" spans="2:5" ht="15" customHeight="1" x14ac:dyDescent="0.25">
      <c r="B38" s="83"/>
      <c r="C38" s="45" t="s">
        <v>125</v>
      </c>
      <c r="D38" s="44">
        <v>40</v>
      </c>
      <c r="E38" s="43">
        <v>5.3312008529921365E-3</v>
      </c>
    </row>
    <row r="39" spans="2:5" ht="15" customHeight="1" x14ac:dyDescent="0.25">
      <c r="B39" s="84"/>
      <c r="C39" s="42" t="s">
        <v>20</v>
      </c>
      <c r="D39" s="41">
        <v>716</v>
      </c>
      <c r="E39" s="40">
        <v>9.5428495268559246E-2</v>
      </c>
    </row>
    <row r="40" spans="2:5" ht="15" customHeight="1" x14ac:dyDescent="0.25">
      <c r="B40" s="82" t="s">
        <v>36</v>
      </c>
      <c r="C40" s="45" t="s">
        <v>115</v>
      </c>
      <c r="D40" s="44">
        <v>2</v>
      </c>
      <c r="E40" s="43">
        <v>2.6656004264960682E-4</v>
      </c>
    </row>
    <row r="41" spans="2:5" ht="15" customHeight="1" x14ac:dyDescent="0.25">
      <c r="B41" s="83"/>
      <c r="C41" s="45" t="s">
        <v>130</v>
      </c>
      <c r="D41" s="44">
        <v>6</v>
      </c>
      <c r="E41" s="43">
        <v>7.9968012794882047E-4</v>
      </c>
    </row>
    <row r="42" spans="2:5" ht="15" customHeight="1" x14ac:dyDescent="0.25">
      <c r="B42" s="83"/>
      <c r="C42" s="45" t="s">
        <v>119</v>
      </c>
      <c r="D42" s="44">
        <v>2</v>
      </c>
      <c r="E42" s="43">
        <v>2.6656004264960682E-4</v>
      </c>
    </row>
    <row r="43" spans="2:5" ht="15" customHeight="1" x14ac:dyDescent="0.25">
      <c r="B43" s="83"/>
      <c r="C43" s="45" t="s">
        <v>127</v>
      </c>
      <c r="D43" s="44">
        <v>1</v>
      </c>
      <c r="E43" s="43">
        <v>1.3328002132480341E-4</v>
      </c>
    </row>
    <row r="44" spans="2:5" ht="15" customHeight="1" x14ac:dyDescent="0.25">
      <c r="B44" s="83"/>
      <c r="C44" s="45" t="s">
        <v>116</v>
      </c>
      <c r="D44" s="44">
        <v>1</v>
      </c>
      <c r="E44" s="43">
        <v>1.3328002132480341E-4</v>
      </c>
    </row>
    <row r="45" spans="2:5" ht="15" customHeight="1" x14ac:dyDescent="0.25">
      <c r="B45" s="83"/>
      <c r="C45" s="45" t="s">
        <v>123</v>
      </c>
      <c r="D45" s="44">
        <v>2</v>
      </c>
      <c r="E45" s="43">
        <v>2.6656004264960682E-4</v>
      </c>
    </row>
    <row r="46" spans="2:5" ht="15" customHeight="1" x14ac:dyDescent="0.25">
      <c r="B46" s="83"/>
      <c r="C46" s="45" t="s">
        <v>118</v>
      </c>
      <c r="D46" s="44">
        <v>2</v>
      </c>
      <c r="E46" s="43">
        <v>2.6656004264960682E-4</v>
      </c>
    </row>
    <row r="47" spans="2:5" ht="15" customHeight="1" x14ac:dyDescent="0.25">
      <c r="B47" s="84"/>
      <c r="C47" s="42" t="s">
        <v>20</v>
      </c>
      <c r="D47" s="41">
        <v>16</v>
      </c>
      <c r="E47" s="40">
        <v>2.1324803411968546E-3</v>
      </c>
    </row>
    <row r="48" spans="2:5" ht="15" customHeight="1" x14ac:dyDescent="0.25">
      <c r="B48" s="82" t="s">
        <v>60</v>
      </c>
      <c r="C48" s="45" t="s">
        <v>128</v>
      </c>
      <c r="D48" s="44">
        <v>332</v>
      </c>
      <c r="E48" s="43">
        <v>4.4248967079834736E-2</v>
      </c>
    </row>
    <row r="49" spans="2:5" ht="15" customHeight="1" x14ac:dyDescent="0.25">
      <c r="B49" s="83"/>
      <c r="C49" s="45" t="s">
        <v>115</v>
      </c>
      <c r="D49" s="44">
        <v>83</v>
      </c>
      <c r="E49" s="43">
        <v>1.1062241769958684E-2</v>
      </c>
    </row>
    <row r="50" spans="2:5" ht="15" customHeight="1" x14ac:dyDescent="0.25">
      <c r="B50" s="83"/>
      <c r="C50" s="45" t="s">
        <v>124</v>
      </c>
      <c r="D50" s="44">
        <v>157</v>
      </c>
      <c r="E50" s="43">
        <v>2.0924963347994135E-2</v>
      </c>
    </row>
    <row r="51" spans="2:5" ht="15" customHeight="1" x14ac:dyDescent="0.25">
      <c r="B51" s="83"/>
      <c r="C51" s="45" t="s">
        <v>114</v>
      </c>
      <c r="D51" s="44">
        <v>44</v>
      </c>
      <c r="E51" s="43">
        <v>5.8643209382913501E-3</v>
      </c>
    </row>
    <row r="52" spans="2:5" ht="15" customHeight="1" x14ac:dyDescent="0.25">
      <c r="B52" s="83"/>
      <c r="C52" s="45" t="s">
        <v>113</v>
      </c>
      <c r="D52" s="44">
        <v>59</v>
      </c>
      <c r="E52" s="43">
        <v>7.8635212581634022E-3</v>
      </c>
    </row>
    <row r="53" spans="2:5" ht="15" customHeight="1" x14ac:dyDescent="0.25">
      <c r="B53" s="83"/>
      <c r="C53" s="45" t="s">
        <v>121</v>
      </c>
      <c r="D53" s="44">
        <v>187</v>
      </c>
      <c r="E53" s="43">
        <v>2.4923363987738239E-2</v>
      </c>
    </row>
    <row r="54" spans="2:5" ht="15" customHeight="1" x14ac:dyDescent="0.25">
      <c r="B54" s="83"/>
      <c r="C54" s="45" t="s">
        <v>130</v>
      </c>
      <c r="D54" s="44">
        <v>1513</v>
      </c>
      <c r="E54" s="43">
        <v>0.20165267226442757</v>
      </c>
    </row>
    <row r="55" spans="2:5" ht="15" customHeight="1" x14ac:dyDescent="0.25">
      <c r="B55" s="83"/>
      <c r="C55" s="45" t="s">
        <v>119</v>
      </c>
      <c r="D55" s="44">
        <v>91</v>
      </c>
      <c r="E55" s="43">
        <v>1.2128481940557111E-2</v>
      </c>
    </row>
    <row r="56" spans="2:5" ht="15" customHeight="1" x14ac:dyDescent="0.25">
      <c r="B56" s="83"/>
      <c r="C56" s="45" t="s">
        <v>117</v>
      </c>
      <c r="D56" s="44">
        <v>145</v>
      </c>
      <c r="E56" s="43">
        <v>1.9325603092096494E-2</v>
      </c>
    </row>
    <row r="57" spans="2:5" ht="15" customHeight="1" x14ac:dyDescent="0.25">
      <c r="B57" s="83"/>
      <c r="C57" s="45" t="s">
        <v>122</v>
      </c>
      <c r="D57" s="44">
        <v>120</v>
      </c>
      <c r="E57" s="43">
        <v>1.5993602558976409E-2</v>
      </c>
    </row>
    <row r="58" spans="2:5" ht="15" customHeight="1" x14ac:dyDescent="0.25">
      <c r="B58" s="83"/>
      <c r="C58" s="45" t="s">
        <v>129</v>
      </c>
      <c r="D58" s="44">
        <v>431</v>
      </c>
      <c r="E58" s="43">
        <v>5.7443689190990271E-2</v>
      </c>
    </row>
    <row r="59" spans="2:5" ht="15" customHeight="1" x14ac:dyDescent="0.25">
      <c r="B59" s="83"/>
      <c r="C59" s="45" t="s">
        <v>127</v>
      </c>
      <c r="D59" s="44">
        <v>416</v>
      </c>
      <c r="E59" s="43">
        <v>5.5444488871118219E-2</v>
      </c>
    </row>
    <row r="60" spans="2:5" ht="15" customHeight="1" x14ac:dyDescent="0.25">
      <c r="B60" s="83"/>
      <c r="C60" s="45" t="s">
        <v>126</v>
      </c>
      <c r="D60" s="44">
        <v>261</v>
      </c>
      <c r="E60" s="43">
        <v>3.4786085565773693E-2</v>
      </c>
    </row>
    <row r="61" spans="2:5" ht="15" customHeight="1" x14ac:dyDescent="0.25">
      <c r="B61" s="83"/>
      <c r="C61" s="45" t="s">
        <v>120</v>
      </c>
      <c r="D61" s="44">
        <v>127</v>
      </c>
      <c r="E61" s="43">
        <v>1.6926562708250034E-2</v>
      </c>
    </row>
    <row r="62" spans="2:5" ht="15" customHeight="1" x14ac:dyDescent="0.25">
      <c r="B62" s="83"/>
      <c r="C62" s="45" t="s">
        <v>116</v>
      </c>
      <c r="D62" s="44">
        <v>115</v>
      </c>
      <c r="E62" s="43">
        <v>1.5327202452352393E-2</v>
      </c>
    </row>
    <row r="63" spans="2:5" ht="15" customHeight="1" x14ac:dyDescent="0.25">
      <c r="B63" s="83"/>
      <c r="C63" s="45" t="s">
        <v>123</v>
      </c>
      <c r="D63" s="44">
        <v>176</v>
      </c>
      <c r="E63" s="43">
        <v>2.34572837531654E-2</v>
      </c>
    </row>
    <row r="64" spans="2:5" ht="15" customHeight="1" x14ac:dyDescent="0.25">
      <c r="B64" s="83"/>
      <c r="C64" s="45" t="s">
        <v>118</v>
      </c>
      <c r="D64" s="44">
        <v>134</v>
      </c>
      <c r="E64" s="43">
        <v>1.7859522857523659E-2</v>
      </c>
    </row>
    <row r="65" spans="2:5" ht="15" customHeight="1" x14ac:dyDescent="0.25">
      <c r="B65" s="83"/>
      <c r="C65" s="45" t="s">
        <v>125</v>
      </c>
      <c r="D65" s="44">
        <v>203</v>
      </c>
      <c r="E65" s="43">
        <v>2.7055844328935093E-2</v>
      </c>
    </row>
    <row r="66" spans="2:5" ht="15" customHeight="1" x14ac:dyDescent="0.25">
      <c r="B66" s="84"/>
      <c r="C66" s="42" t="s">
        <v>20</v>
      </c>
      <c r="D66" s="41">
        <v>4594</v>
      </c>
      <c r="E66" s="40">
        <v>0.61228841796614686</v>
      </c>
    </row>
    <row r="67" spans="2:5" ht="15" customHeight="1" x14ac:dyDescent="0.25">
      <c r="B67" s="82" t="s">
        <v>53</v>
      </c>
      <c r="C67" s="45" t="s">
        <v>128</v>
      </c>
      <c r="D67" s="44">
        <v>30</v>
      </c>
      <c r="E67" s="43">
        <v>3.9984006397441024E-3</v>
      </c>
    </row>
    <row r="68" spans="2:5" ht="15" customHeight="1" x14ac:dyDescent="0.25">
      <c r="B68" s="83"/>
      <c r="C68" s="45" t="s">
        <v>115</v>
      </c>
      <c r="D68" s="44">
        <v>3</v>
      </c>
      <c r="E68" s="43">
        <v>3.9984006397441024E-4</v>
      </c>
    </row>
    <row r="69" spans="2:5" ht="15" customHeight="1" x14ac:dyDescent="0.25">
      <c r="B69" s="83"/>
      <c r="C69" s="45" t="s">
        <v>124</v>
      </c>
      <c r="D69" s="44">
        <v>3</v>
      </c>
      <c r="E69" s="43">
        <v>3.9984006397441024E-4</v>
      </c>
    </row>
    <row r="70" spans="2:5" ht="15" customHeight="1" x14ac:dyDescent="0.25">
      <c r="B70" s="83"/>
      <c r="C70" s="45" t="s">
        <v>114</v>
      </c>
      <c r="D70" s="44">
        <v>8</v>
      </c>
      <c r="E70" s="43">
        <v>1.0662401705984273E-3</v>
      </c>
    </row>
    <row r="71" spans="2:5" ht="15" customHeight="1" x14ac:dyDescent="0.25">
      <c r="B71" s="83"/>
      <c r="C71" s="45" t="s">
        <v>113</v>
      </c>
      <c r="D71" s="44">
        <v>1</v>
      </c>
      <c r="E71" s="43">
        <v>1.3328002132480341E-4</v>
      </c>
    </row>
    <row r="72" spans="2:5" ht="15" customHeight="1" x14ac:dyDescent="0.25">
      <c r="B72" s="83"/>
      <c r="C72" s="45" t="s">
        <v>130</v>
      </c>
      <c r="D72" s="44">
        <v>46</v>
      </c>
      <c r="E72" s="43">
        <v>6.1308809809409569E-3</v>
      </c>
    </row>
    <row r="73" spans="2:5" ht="15" customHeight="1" x14ac:dyDescent="0.25">
      <c r="B73" s="83"/>
      <c r="C73" s="45" t="s">
        <v>119</v>
      </c>
      <c r="D73" s="44">
        <v>5</v>
      </c>
      <c r="E73" s="43">
        <v>6.6640010662401706E-4</v>
      </c>
    </row>
    <row r="74" spans="2:5" ht="15" customHeight="1" x14ac:dyDescent="0.25">
      <c r="B74" s="83"/>
      <c r="C74" s="45" t="s">
        <v>129</v>
      </c>
      <c r="D74" s="44">
        <v>12</v>
      </c>
      <c r="E74" s="43">
        <v>1.5993602558976409E-3</v>
      </c>
    </row>
    <row r="75" spans="2:5" ht="15" customHeight="1" x14ac:dyDescent="0.25">
      <c r="B75" s="83"/>
      <c r="C75" s="45" t="s">
        <v>127</v>
      </c>
      <c r="D75" s="44">
        <v>17</v>
      </c>
      <c r="E75" s="43">
        <v>2.265760362521658E-3</v>
      </c>
    </row>
    <row r="76" spans="2:5" ht="15" customHeight="1" x14ac:dyDescent="0.25">
      <c r="B76" s="83"/>
      <c r="C76" s="45" t="s">
        <v>126</v>
      </c>
      <c r="D76" s="44">
        <v>5</v>
      </c>
      <c r="E76" s="43">
        <v>6.6640010662401706E-4</v>
      </c>
    </row>
    <row r="77" spans="2:5" ht="15" customHeight="1" x14ac:dyDescent="0.25">
      <c r="B77" s="83"/>
      <c r="C77" s="45" t="s">
        <v>120</v>
      </c>
      <c r="D77" s="44">
        <v>5</v>
      </c>
      <c r="E77" s="43">
        <v>6.6640010662401706E-4</v>
      </c>
    </row>
    <row r="78" spans="2:5" ht="15" customHeight="1" x14ac:dyDescent="0.25">
      <c r="B78" s="83"/>
      <c r="C78" s="45" t="s">
        <v>116</v>
      </c>
      <c r="D78" s="44">
        <v>2</v>
      </c>
      <c r="E78" s="43">
        <v>2.6656004264960682E-4</v>
      </c>
    </row>
    <row r="79" spans="2:5" ht="15" customHeight="1" x14ac:dyDescent="0.25">
      <c r="B79" s="83"/>
      <c r="C79" s="45" t="s">
        <v>123</v>
      </c>
      <c r="D79" s="44">
        <v>2</v>
      </c>
      <c r="E79" s="43">
        <v>2.6656004264960682E-4</v>
      </c>
    </row>
    <row r="80" spans="2:5" ht="15" customHeight="1" x14ac:dyDescent="0.25">
      <c r="B80" s="83"/>
      <c r="C80" s="45" t="s">
        <v>118</v>
      </c>
      <c r="D80" s="44">
        <v>5</v>
      </c>
      <c r="E80" s="43">
        <v>6.6640010662401706E-4</v>
      </c>
    </row>
    <row r="81" spans="2:5" ht="15" customHeight="1" x14ac:dyDescent="0.25">
      <c r="B81" s="83"/>
      <c r="C81" s="45" t="s">
        <v>125</v>
      </c>
      <c r="D81" s="44">
        <v>7</v>
      </c>
      <c r="E81" s="43">
        <v>9.3296014927362388E-4</v>
      </c>
    </row>
    <row r="82" spans="2:5" ht="15" customHeight="1" x14ac:dyDescent="0.25">
      <c r="B82" s="84"/>
      <c r="C82" s="42" t="s">
        <v>20</v>
      </c>
      <c r="D82" s="41">
        <v>151</v>
      </c>
      <c r="E82" s="40">
        <v>2.0125283220045316E-2</v>
      </c>
    </row>
    <row r="83" spans="2:5" ht="15" customHeight="1" x14ac:dyDescent="0.25">
      <c r="B83" s="82" t="s">
        <v>23</v>
      </c>
      <c r="C83" s="45" t="s">
        <v>130</v>
      </c>
      <c r="D83" s="44">
        <v>5</v>
      </c>
      <c r="E83" s="43">
        <v>6.6640010662401706E-4</v>
      </c>
    </row>
    <row r="84" spans="2:5" ht="15" customHeight="1" x14ac:dyDescent="0.25">
      <c r="B84" s="83"/>
      <c r="C84" s="45" t="s">
        <v>129</v>
      </c>
      <c r="D84" s="44">
        <v>1</v>
      </c>
      <c r="E84" s="43">
        <v>1.3328002132480341E-4</v>
      </c>
    </row>
    <row r="85" spans="2:5" ht="15" customHeight="1" x14ac:dyDescent="0.25">
      <c r="B85" s="84"/>
      <c r="C85" s="42" t="s">
        <v>20</v>
      </c>
      <c r="D85" s="41">
        <v>6</v>
      </c>
      <c r="E85" s="40">
        <v>7.9968012794882047E-4</v>
      </c>
    </row>
    <row r="86" spans="2:5" ht="15" customHeight="1" x14ac:dyDescent="0.25">
      <c r="B86" s="82" t="s">
        <v>49</v>
      </c>
      <c r="C86" s="45" t="s">
        <v>128</v>
      </c>
      <c r="D86" s="44">
        <v>6</v>
      </c>
      <c r="E86" s="43">
        <v>7.9968012794882047E-4</v>
      </c>
    </row>
    <row r="87" spans="2:5" ht="15" customHeight="1" x14ac:dyDescent="0.25">
      <c r="B87" s="83"/>
      <c r="C87" s="45" t="s">
        <v>115</v>
      </c>
      <c r="D87" s="44">
        <v>1</v>
      </c>
      <c r="E87" s="43">
        <v>1.3328002132480341E-4</v>
      </c>
    </row>
    <row r="88" spans="2:5" ht="15" customHeight="1" x14ac:dyDescent="0.25">
      <c r="B88" s="83"/>
      <c r="C88" s="45" t="s">
        <v>114</v>
      </c>
      <c r="D88" s="44">
        <v>4</v>
      </c>
      <c r="E88" s="43">
        <v>5.3312008529921365E-4</v>
      </c>
    </row>
    <row r="89" spans="2:5" ht="15" customHeight="1" x14ac:dyDescent="0.25">
      <c r="B89" s="83"/>
      <c r="C89" s="45" t="s">
        <v>113</v>
      </c>
      <c r="D89" s="44">
        <v>3</v>
      </c>
      <c r="E89" s="43">
        <v>3.9984006397441024E-4</v>
      </c>
    </row>
    <row r="90" spans="2:5" ht="15" customHeight="1" x14ac:dyDescent="0.25">
      <c r="B90" s="83"/>
      <c r="C90" s="45" t="s">
        <v>121</v>
      </c>
      <c r="D90" s="44">
        <v>1</v>
      </c>
      <c r="E90" s="43">
        <v>1.3328002132480341E-4</v>
      </c>
    </row>
    <row r="91" spans="2:5" ht="15" customHeight="1" x14ac:dyDescent="0.25">
      <c r="B91" s="83"/>
      <c r="C91" s="45" t="s">
        <v>130</v>
      </c>
      <c r="D91" s="44">
        <v>28</v>
      </c>
      <c r="E91" s="43">
        <v>3.7318405970944955E-3</v>
      </c>
    </row>
    <row r="92" spans="2:5" ht="15" customHeight="1" x14ac:dyDescent="0.25">
      <c r="B92" s="83"/>
      <c r="C92" s="45" t="s">
        <v>119</v>
      </c>
      <c r="D92" s="44">
        <v>1</v>
      </c>
      <c r="E92" s="43">
        <v>1.3328002132480341E-4</v>
      </c>
    </row>
    <row r="93" spans="2:5" ht="15" customHeight="1" x14ac:dyDescent="0.25">
      <c r="B93" s="83"/>
      <c r="C93" s="45" t="s">
        <v>117</v>
      </c>
      <c r="D93" s="44">
        <v>1</v>
      </c>
      <c r="E93" s="43">
        <v>1.3328002132480341E-4</v>
      </c>
    </row>
    <row r="94" spans="2:5" ht="15" customHeight="1" x14ac:dyDescent="0.25">
      <c r="B94" s="83"/>
      <c r="C94" s="45" t="s">
        <v>122</v>
      </c>
      <c r="D94" s="44">
        <v>3</v>
      </c>
      <c r="E94" s="43">
        <v>3.9984006397441024E-4</v>
      </c>
    </row>
    <row r="95" spans="2:5" ht="15" customHeight="1" x14ac:dyDescent="0.25">
      <c r="B95" s="83"/>
      <c r="C95" s="45" t="s">
        <v>129</v>
      </c>
      <c r="D95" s="44">
        <v>10</v>
      </c>
      <c r="E95" s="43">
        <v>1.3328002132480341E-3</v>
      </c>
    </row>
    <row r="96" spans="2:5" ht="15" customHeight="1" x14ac:dyDescent="0.25">
      <c r="B96" s="83"/>
      <c r="C96" s="45" t="s">
        <v>127</v>
      </c>
      <c r="D96" s="44">
        <v>9</v>
      </c>
      <c r="E96" s="43">
        <v>1.1995201919232307E-3</v>
      </c>
    </row>
    <row r="97" spans="2:5" ht="15" customHeight="1" x14ac:dyDescent="0.25">
      <c r="B97" s="83"/>
      <c r="C97" s="45" t="s">
        <v>126</v>
      </c>
      <c r="D97" s="44">
        <v>3</v>
      </c>
      <c r="E97" s="43">
        <v>3.9984006397441024E-4</v>
      </c>
    </row>
    <row r="98" spans="2:5" ht="15" customHeight="1" x14ac:dyDescent="0.25">
      <c r="B98" s="83"/>
      <c r="C98" s="45" t="s">
        <v>120</v>
      </c>
      <c r="D98" s="44">
        <v>3</v>
      </c>
      <c r="E98" s="43">
        <v>3.9984006397441024E-4</v>
      </c>
    </row>
    <row r="99" spans="2:5" ht="15" customHeight="1" x14ac:dyDescent="0.25">
      <c r="B99" s="83"/>
      <c r="C99" s="45" t="s">
        <v>116</v>
      </c>
      <c r="D99" s="44">
        <v>1</v>
      </c>
      <c r="E99" s="43">
        <v>1.3328002132480341E-4</v>
      </c>
    </row>
    <row r="100" spans="2:5" ht="15" customHeight="1" x14ac:dyDescent="0.25">
      <c r="B100" s="83"/>
      <c r="C100" s="45" t="s">
        <v>123</v>
      </c>
      <c r="D100" s="44">
        <v>1</v>
      </c>
      <c r="E100" s="43">
        <v>1.3328002132480341E-4</v>
      </c>
    </row>
    <row r="101" spans="2:5" ht="15" customHeight="1" x14ac:dyDescent="0.25">
      <c r="B101" s="83"/>
      <c r="C101" s="45" t="s">
        <v>125</v>
      </c>
      <c r="D101" s="44">
        <v>3</v>
      </c>
      <c r="E101" s="43">
        <v>3.9984006397441024E-4</v>
      </c>
    </row>
    <row r="102" spans="2:5" ht="15" customHeight="1" x14ac:dyDescent="0.25">
      <c r="B102" s="84"/>
      <c r="C102" s="42" t="s">
        <v>20</v>
      </c>
      <c r="D102" s="41">
        <v>78</v>
      </c>
      <c r="E102" s="40">
        <v>1.0395841663334666E-2</v>
      </c>
    </row>
    <row r="103" spans="2:5" ht="15" customHeight="1" x14ac:dyDescent="0.25">
      <c r="B103" s="82" t="s">
        <v>46</v>
      </c>
      <c r="C103" s="45" t="s">
        <v>128</v>
      </c>
      <c r="D103" s="44">
        <v>10</v>
      </c>
      <c r="E103" s="43">
        <v>1.3328002132480341E-3</v>
      </c>
    </row>
    <row r="104" spans="2:5" ht="15" customHeight="1" x14ac:dyDescent="0.25">
      <c r="B104" s="83"/>
      <c r="C104" s="45" t="s">
        <v>124</v>
      </c>
      <c r="D104" s="44">
        <v>1</v>
      </c>
      <c r="E104" s="43">
        <v>1.3328002132480341E-4</v>
      </c>
    </row>
    <row r="105" spans="2:5" ht="15" customHeight="1" x14ac:dyDescent="0.25">
      <c r="B105" s="83"/>
      <c r="C105" s="45" t="s">
        <v>114</v>
      </c>
      <c r="D105" s="44">
        <v>1</v>
      </c>
      <c r="E105" s="43">
        <v>1.3328002132480341E-4</v>
      </c>
    </row>
    <row r="106" spans="2:5" ht="15" customHeight="1" x14ac:dyDescent="0.25">
      <c r="B106" s="83"/>
      <c r="C106" s="45" t="s">
        <v>121</v>
      </c>
      <c r="D106" s="44">
        <v>2</v>
      </c>
      <c r="E106" s="43">
        <v>2.6656004264960682E-4</v>
      </c>
    </row>
    <row r="107" spans="2:5" ht="15" customHeight="1" x14ac:dyDescent="0.25">
      <c r="B107" s="83"/>
      <c r="C107" s="45" t="s">
        <v>130</v>
      </c>
      <c r="D107" s="44">
        <v>12</v>
      </c>
      <c r="E107" s="43">
        <v>1.5993602558976409E-3</v>
      </c>
    </row>
    <row r="108" spans="2:5" ht="15" customHeight="1" x14ac:dyDescent="0.25">
      <c r="B108" s="83"/>
      <c r="C108" s="45" t="s">
        <v>127</v>
      </c>
      <c r="D108" s="44">
        <v>4</v>
      </c>
      <c r="E108" s="43">
        <v>5.3312008529921365E-4</v>
      </c>
    </row>
    <row r="109" spans="2:5" ht="15" customHeight="1" x14ac:dyDescent="0.25">
      <c r="B109" s="83"/>
      <c r="C109" s="45" t="s">
        <v>126</v>
      </c>
      <c r="D109" s="44">
        <v>5</v>
      </c>
      <c r="E109" s="43">
        <v>6.6640010662401706E-4</v>
      </c>
    </row>
    <row r="110" spans="2:5" ht="15" customHeight="1" x14ac:dyDescent="0.25">
      <c r="B110" s="83"/>
      <c r="C110" s="45" t="s">
        <v>120</v>
      </c>
      <c r="D110" s="44">
        <v>5</v>
      </c>
      <c r="E110" s="43">
        <v>6.6640010662401706E-4</v>
      </c>
    </row>
    <row r="111" spans="2:5" ht="15" customHeight="1" x14ac:dyDescent="0.25">
      <c r="B111" s="83"/>
      <c r="C111" s="45" t="s">
        <v>116</v>
      </c>
      <c r="D111" s="44">
        <v>1</v>
      </c>
      <c r="E111" s="43">
        <v>1.3328002132480341E-4</v>
      </c>
    </row>
    <row r="112" spans="2:5" ht="15" customHeight="1" x14ac:dyDescent="0.25">
      <c r="B112" s="83"/>
      <c r="C112" s="45" t="s">
        <v>123</v>
      </c>
      <c r="D112" s="44">
        <v>2</v>
      </c>
      <c r="E112" s="43">
        <v>2.6656004264960682E-4</v>
      </c>
    </row>
    <row r="113" spans="2:5" ht="15" customHeight="1" x14ac:dyDescent="0.25">
      <c r="B113" s="83"/>
      <c r="C113" s="45" t="s">
        <v>125</v>
      </c>
      <c r="D113" s="44">
        <v>1</v>
      </c>
      <c r="E113" s="43">
        <v>1.3328002132480341E-4</v>
      </c>
    </row>
    <row r="114" spans="2:5" ht="15" customHeight="1" x14ac:dyDescent="0.25">
      <c r="B114" s="84"/>
      <c r="C114" s="42" t="s">
        <v>20</v>
      </c>
      <c r="D114" s="41">
        <v>44</v>
      </c>
      <c r="E114" s="40">
        <v>5.8643209382913501E-3</v>
      </c>
    </row>
    <row r="115" spans="2:5" ht="15" customHeight="1" x14ac:dyDescent="0.25">
      <c r="B115" s="82" t="s">
        <v>50</v>
      </c>
      <c r="C115" s="45" t="s">
        <v>128</v>
      </c>
      <c r="D115" s="44">
        <v>14</v>
      </c>
      <c r="E115" s="43">
        <v>1.8659202985472478E-3</v>
      </c>
    </row>
    <row r="116" spans="2:5" ht="15" customHeight="1" x14ac:dyDescent="0.25">
      <c r="B116" s="83"/>
      <c r="C116" s="45" t="s">
        <v>115</v>
      </c>
      <c r="D116" s="44">
        <v>4</v>
      </c>
      <c r="E116" s="43">
        <v>5.3312008529921365E-4</v>
      </c>
    </row>
    <row r="117" spans="2:5" ht="15" customHeight="1" x14ac:dyDescent="0.25">
      <c r="B117" s="83"/>
      <c r="C117" s="45" t="s">
        <v>124</v>
      </c>
      <c r="D117" s="44">
        <v>3</v>
      </c>
      <c r="E117" s="43">
        <v>3.9984006397441024E-4</v>
      </c>
    </row>
    <row r="118" spans="2:5" ht="15" customHeight="1" x14ac:dyDescent="0.25">
      <c r="B118" s="83"/>
      <c r="C118" s="45" t="s">
        <v>114</v>
      </c>
      <c r="D118" s="44">
        <v>1</v>
      </c>
      <c r="E118" s="43">
        <v>1.3328002132480341E-4</v>
      </c>
    </row>
    <row r="119" spans="2:5" ht="15" customHeight="1" x14ac:dyDescent="0.25">
      <c r="B119" s="83"/>
      <c r="C119" s="45" t="s">
        <v>121</v>
      </c>
      <c r="D119" s="44">
        <v>2</v>
      </c>
      <c r="E119" s="43">
        <v>2.6656004264960682E-4</v>
      </c>
    </row>
    <row r="120" spans="2:5" ht="15" customHeight="1" x14ac:dyDescent="0.25">
      <c r="B120" s="83"/>
      <c r="C120" s="45" t="s">
        <v>130</v>
      </c>
      <c r="D120" s="44">
        <v>28</v>
      </c>
      <c r="E120" s="43">
        <v>3.7318405970944955E-3</v>
      </c>
    </row>
    <row r="121" spans="2:5" ht="15" customHeight="1" x14ac:dyDescent="0.25">
      <c r="B121" s="83"/>
      <c r="C121" s="45" t="s">
        <v>119</v>
      </c>
      <c r="D121" s="44">
        <v>2</v>
      </c>
      <c r="E121" s="43">
        <v>2.6656004264960682E-4</v>
      </c>
    </row>
    <row r="122" spans="2:5" ht="15" customHeight="1" x14ac:dyDescent="0.25">
      <c r="B122" s="83"/>
      <c r="C122" s="45" t="s">
        <v>117</v>
      </c>
      <c r="D122" s="44">
        <v>1</v>
      </c>
      <c r="E122" s="43">
        <v>1.3328002132480341E-4</v>
      </c>
    </row>
    <row r="123" spans="2:5" ht="15" customHeight="1" x14ac:dyDescent="0.25">
      <c r="B123" s="83"/>
      <c r="C123" s="45" t="s">
        <v>129</v>
      </c>
      <c r="D123" s="44">
        <v>14</v>
      </c>
      <c r="E123" s="43">
        <v>1.8659202985472478E-3</v>
      </c>
    </row>
    <row r="124" spans="2:5" ht="15" customHeight="1" x14ac:dyDescent="0.25">
      <c r="B124" s="83"/>
      <c r="C124" s="45" t="s">
        <v>127</v>
      </c>
      <c r="D124" s="44">
        <v>2</v>
      </c>
      <c r="E124" s="43">
        <v>2.6656004264960682E-4</v>
      </c>
    </row>
    <row r="125" spans="2:5" ht="15" customHeight="1" x14ac:dyDescent="0.25">
      <c r="B125" s="83"/>
      <c r="C125" s="45" t="s">
        <v>126</v>
      </c>
      <c r="D125" s="44">
        <v>5</v>
      </c>
      <c r="E125" s="43">
        <v>6.6640010662401706E-4</v>
      </c>
    </row>
    <row r="126" spans="2:5" ht="15" customHeight="1" x14ac:dyDescent="0.25">
      <c r="B126" s="83"/>
      <c r="C126" s="45" t="s">
        <v>120</v>
      </c>
      <c r="D126" s="44">
        <v>3</v>
      </c>
      <c r="E126" s="43">
        <v>3.9984006397441024E-4</v>
      </c>
    </row>
    <row r="127" spans="2:5" ht="15" customHeight="1" x14ac:dyDescent="0.25">
      <c r="B127" s="83"/>
      <c r="C127" s="45" t="s">
        <v>116</v>
      </c>
      <c r="D127" s="44">
        <v>4</v>
      </c>
      <c r="E127" s="43">
        <v>5.3312008529921365E-4</v>
      </c>
    </row>
    <row r="128" spans="2:5" ht="15" customHeight="1" x14ac:dyDescent="0.25">
      <c r="B128" s="83"/>
      <c r="C128" s="45" t="s">
        <v>123</v>
      </c>
      <c r="D128" s="44">
        <v>4</v>
      </c>
      <c r="E128" s="43">
        <v>5.3312008529921365E-4</v>
      </c>
    </row>
    <row r="129" spans="2:5" ht="15" customHeight="1" x14ac:dyDescent="0.25">
      <c r="B129" s="83"/>
      <c r="C129" s="45" t="s">
        <v>118</v>
      </c>
      <c r="D129" s="44">
        <v>4</v>
      </c>
      <c r="E129" s="43">
        <v>5.3312008529921365E-4</v>
      </c>
    </row>
    <row r="130" spans="2:5" ht="15" customHeight="1" x14ac:dyDescent="0.25">
      <c r="B130" s="83"/>
      <c r="C130" s="45" t="s">
        <v>125</v>
      </c>
      <c r="D130" s="44">
        <v>12</v>
      </c>
      <c r="E130" s="43">
        <v>1.5993602558976409E-3</v>
      </c>
    </row>
    <row r="131" spans="2:5" ht="15" customHeight="1" x14ac:dyDescent="0.25">
      <c r="B131" s="84"/>
      <c r="C131" s="42" t="s">
        <v>20</v>
      </c>
      <c r="D131" s="41">
        <v>103</v>
      </c>
      <c r="E131" s="40">
        <v>1.3727842196454752E-2</v>
      </c>
    </row>
    <row r="132" spans="2:5" ht="15" customHeight="1" x14ac:dyDescent="0.25">
      <c r="B132" s="82" t="s">
        <v>55</v>
      </c>
      <c r="C132" s="45" t="s">
        <v>128</v>
      </c>
      <c r="D132" s="44">
        <v>18</v>
      </c>
      <c r="E132" s="43">
        <v>2.3990403838464614E-3</v>
      </c>
    </row>
    <row r="133" spans="2:5" ht="15" customHeight="1" x14ac:dyDescent="0.25">
      <c r="B133" s="83"/>
      <c r="C133" s="45" t="s">
        <v>115</v>
      </c>
      <c r="D133" s="44">
        <v>1</v>
      </c>
      <c r="E133" s="43">
        <v>1.3328002132480341E-4</v>
      </c>
    </row>
    <row r="134" spans="2:5" ht="15" customHeight="1" x14ac:dyDescent="0.25">
      <c r="B134" s="83"/>
      <c r="C134" s="45" t="s">
        <v>124</v>
      </c>
      <c r="D134" s="44">
        <v>5</v>
      </c>
      <c r="E134" s="43">
        <v>6.6640010662401706E-4</v>
      </c>
    </row>
    <row r="135" spans="2:5" ht="15" customHeight="1" x14ac:dyDescent="0.25">
      <c r="B135" s="83"/>
      <c r="C135" s="45" t="s">
        <v>113</v>
      </c>
      <c r="D135" s="44">
        <v>3</v>
      </c>
      <c r="E135" s="43">
        <v>3.9984006397441024E-4</v>
      </c>
    </row>
    <row r="136" spans="2:5" ht="15" customHeight="1" x14ac:dyDescent="0.25">
      <c r="B136" s="83"/>
      <c r="C136" s="45" t="s">
        <v>121</v>
      </c>
      <c r="D136" s="44">
        <v>1</v>
      </c>
      <c r="E136" s="43">
        <v>1.3328002132480341E-4</v>
      </c>
    </row>
    <row r="137" spans="2:5" ht="15" customHeight="1" x14ac:dyDescent="0.25">
      <c r="B137" s="83"/>
      <c r="C137" s="45" t="s">
        <v>130</v>
      </c>
      <c r="D137" s="44">
        <v>38</v>
      </c>
      <c r="E137" s="43">
        <v>5.0646408103425297E-3</v>
      </c>
    </row>
    <row r="138" spans="2:5" ht="15" customHeight="1" x14ac:dyDescent="0.25">
      <c r="B138" s="83"/>
      <c r="C138" s="45" t="s">
        <v>119</v>
      </c>
      <c r="D138" s="44">
        <v>1</v>
      </c>
      <c r="E138" s="43">
        <v>1.3328002132480341E-4</v>
      </c>
    </row>
    <row r="139" spans="2:5" ht="15" customHeight="1" x14ac:dyDescent="0.25">
      <c r="B139" s="83"/>
      <c r="C139" s="45" t="s">
        <v>117</v>
      </c>
      <c r="D139" s="44">
        <v>3</v>
      </c>
      <c r="E139" s="43">
        <v>3.9984006397441024E-4</v>
      </c>
    </row>
    <row r="140" spans="2:5" ht="15" customHeight="1" x14ac:dyDescent="0.25">
      <c r="B140" s="83"/>
      <c r="C140" s="45" t="s">
        <v>122</v>
      </c>
      <c r="D140" s="44">
        <v>4</v>
      </c>
      <c r="E140" s="43">
        <v>5.3312008529921365E-4</v>
      </c>
    </row>
    <row r="141" spans="2:5" ht="15" customHeight="1" x14ac:dyDescent="0.25">
      <c r="B141" s="83"/>
      <c r="C141" s="45" t="s">
        <v>129</v>
      </c>
      <c r="D141" s="44">
        <v>20</v>
      </c>
      <c r="E141" s="43">
        <v>2.6656004264960682E-3</v>
      </c>
    </row>
    <row r="142" spans="2:5" ht="15" customHeight="1" x14ac:dyDescent="0.25">
      <c r="B142" s="83"/>
      <c r="C142" s="45" t="s">
        <v>127</v>
      </c>
      <c r="D142" s="44">
        <v>17</v>
      </c>
      <c r="E142" s="43">
        <v>2.265760362521658E-3</v>
      </c>
    </row>
    <row r="143" spans="2:5" ht="15" customHeight="1" x14ac:dyDescent="0.25">
      <c r="B143" s="83"/>
      <c r="C143" s="45" t="s">
        <v>126</v>
      </c>
      <c r="D143" s="44">
        <v>1</v>
      </c>
      <c r="E143" s="43">
        <v>1.3328002132480341E-4</v>
      </c>
    </row>
    <row r="144" spans="2:5" ht="15" customHeight="1" x14ac:dyDescent="0.25">
      <c r="B144" s="83"/>
      <c r="C144" s="45" t="s">
        <v>120</v>
      </c>
      <c r="D144" s="44">
        <v>4</v>
      </c>
      <c r="E144" s="43">
        <v>5.3312008529921365E-4</v>
      </c>
    </row>
    <row r="145" spans="2:5" ht="15" customHeight="1" x14ac:dyDescent="0.25">
      <c r="B145" s="83"/>
      <c r="C145" s="45" t="s">
        <v>116</v>
      </c>
      <c r="D145" s="44">
        <v>3</v>
      </c>
      <c r="E145" s="43">
        <v>3.9984006397441024E-4</v>
      </c>
    </row>
    <row r="146" spans="2:5" ht="15" customHeight="1" x14ac:dyDescent="0.25">
      <c r="B146" s="83"/>
      <c r="C146" s="45" t="s">
        <v>123</v>
      </c>
      <c r="D146" s="44">
        <v>4</v>
      </c>
      <c r="E146" s="43">
        <v>5.3312008529921365E-4</v>
      </c>
    </row>
    <row r="147" spans="2:5" ht="15" customHeight="1" x14ac:dyDescent="0.25">
      <c r="B147" s="83"/>
      <c r="C147" s="45" t="s">
        <v>118</v>
      </c>
      <c r="D147" s="44">
        <v>3</v>
      </c>
      <c r="E147" s="43">
        <v>3.9984006397441024E-4</v>
      </c>
    </row>
    <row r="148" spans="2:5" ht="15" customHeight="1" x14ac:dyDescent="0.25">
      <c r="B148" s="83"/>
      <c r="C148" s="45" t="s">
        <v>125</v>
      </c>
      <c r="D148" s="44">
        <v>2</v>
      </c>
      <c r="E148" s="43">
        <v>2.6656004264960682E-4</v>
      </c>
    </row>
    <row r="149" spans="2:5" ht="15" customHeight="1" x14ac:dyDescent="0.25">
      <c r="B149" s="84"/>
      <c r="C149" s="42" t="s">
        <v>20</v>
      </c>
      <c r="D149" s="41">
        <v>128</v>
      </c>
      <c r="E149" s="40">
        <v>1.7059842729574837E-2</v>
      </c>
    </row>
    <row r="150" spans="2:5" ht="15" customHeight="1" x14ac:dyDescent="0.25">
      <c r="B150" s="82" t="s">
        <v>42</v>
      </c>
      <c r="C150" s="45" t="s">
        <v>128</v>
      </c>
      <c r="D150" s="44">
        <v>7</v>
      </c>
      <c r="E150" s="43">
        <v>9.3296014927362388E-4</v>
      </c>
    </row>
    <row r="151" spans="2:5" ht="15" customHeight="1" x14ac:dyDescent="0.25">
      <c r="B151" s="83"/>
      <c r="C151" s="45" t="s">
        <v>115</v>
      </c>
      <c r="D151" s="44">
        <v>1</v>
      </c>
      <c r="E151" s="43">
        <v>1.3328002132480341E-4</v>
      </c>
    </row>
    <row r="152" spans="2:5" ht="15" customHeight="1" x14ac:dyDescent="0.25">
      <c r="B152" s="83"/>
      <c r="C152" s="45" t="s">
        <v>124</v>
      </c>
      <c r="D152" s="44">
        <v>4</v>
      </c>
      <c r="E152" s="43">
        <v>5.3312008529921365E-4</v>
      </c>
    </row>
    <row r="153" spans="2:5" ht="15" customHeight="1" x14ac:dyDescent="0.25">
      <c r="B153" s="83"/>
      <c r="C153" s="45" t="s">
        <v>130</v>
      </c>
      <c r="D153" s="44">
        <v>13</v>
      </c>
      <c r="E153" s="43">
        <v>1.7326402772224444E-3</v>
      </c>
    </row>
    <row r="154" spans="2:5" ht="15" customHeight="1" x14ac:dyDescent="0.25">
      <c r="B154" s="83"/>
      <c r="C154" s="45" t="s">
        <v>119</v>
      </c>
      <c r="D154" s="44">
        <v>1</v>
      </c>
      <c r="E154" s="43">
        <v>1.3328002132480341E-4</v>
      </c>
    </row>
    <row r="155" spans="2:5" ht="15" customHeight="1" x14ac:dyDescent="0.25">
      <c r="B155" s="83"/>
      <c r="C155" s="45" t="s">
        <v>122</v>
      </c>
      <c r="D155" s="44">
        <v>1</v>
      </c>
      <c r="E155" s="43">
        <v>1.3328002132480341E-4</v>
      </c>
    </row>
    <row r="156" spans="2:5" ht="15" customHeight="1" x14ac:dyDescent="0.25">
      <c r="B156" s="83"/>
      <c r="C156" s="45" t="s">
        <v>129</v>
      </c>
      <c r="D156" s="44">
        <v>5</v>
      </c>
      <c r="E156" s="43">
        <v>6.6640010662401706E-4</v>
      </c>
    </row>
    <row r="157" spans="2:5" ht="15" customHeight="1" x14ac:dyDescent="0.25">
      <c r="B157" s="83"/>
      <c r="C157" s="45" t="s">
        <v>127</v>
      </c>
      <c r="D157" s="44">
        <v>5</v>
      </c>
      <c r="E157" s="43">
        <v>6.6640010662401706E-4</v>
      </c>
    </row>
    <row r="158" spans="2:5" ht="15" customHeight="1" x14ac:dyDescent="0.25">
      <c r="B158" s="83"/>
      <c r="C158" s="45" t="s">
        <v>126</v>
      </c>
      <c r="D158" s="44">
        <v>2</v>
      </c>
      <c r="E158" s="43">
        <v>2.6656004264960682E-4</v>
      </c>
    </row>
    <row r="159" spans="2:5" ht="15" customHeight="1" x14ac:dyDescent="0.25">
      <c r="B159" s="83"/>
      <c r="C159" s="45" t="s">
        <v>123</v>
      </c>
      <c r="D159" s="44">
        <v>1</v>
      </c>
      <c r="E159" s="43">
        <v>1.3328002132480341E-4</v>
      </c>
    </row>
    <row r="160" spans="2:5" ht="15" customHeight="1" x14ac:dyDescent="0.25">
      <c r="B160" s="83"/>
      <c r="C160" s="45" t="s">
        <v>118</v>
      </c>
      <c r="D160" s="44">
        <v>4</v>
      </c>
      <c r="E160" s="43">
        <v>5.3312008529921365E-4</v>
      </c>
    </row>
    <row r="161" spans="2:5" ht="15" customHeight="1" x14ac:dyDescent="0.25">
      <c r="B161" s="83"/>
      <c r="C161" s="45" t="s">
        <v>125</v>
      </c>
      <c r="D161" s="44">
        <v>2</v>
      </c>
      <c r="E161" s="43">
        <v>2.6656004264960682E-4</v>
      </c>
    </row>
    <row r="162" spans="2:5" ht="15" customHeight="1" x14ac:dyDescent="0.25">
      <c r="B162" s="84"/>
      <c r="C162" s="42" t="s">
        <v>20</v>
      </c>
      <c r="D162" s="41">
        <v>46</v>
      </c>
      <c r="E162" s="40">
        <v>6.1308809809409569E-3</v>
      </c>
    </row>
    <row r="163" spans="2:5" ht="15" customHeight="1" x14ac:dyDescent="0.25">
      <c r="B163" s="82" t="s">
        <v>32</v>
      </c>
      <c r="C163" s="45" t="s">
        <v>115</v>
      </c>
      <c r="D163" s="44">
        <v>1</v>
      </c>
      <c r="E163" s="43">
        <v>1.3328002132480341E-4</v>
      </c>
    </row>
    <row r="164" spans="2:5" ht="15" customHeight="1" x14ac:dyDescent="0.25">
      <c r="B164" s="83"/>
      <c r="C164" s="45" t="s">
        <v>124</v>
      </c>
      <c r="D164" s="44">
        <v>1</v>
      </c>
      <c r="E164" s="43">
        <v>1.3328002132480341E-4</v>
      </c>
    </row>
    <row r="165" spans="2:5" ht="15" customHeight="1" x14ac:dyDescent="0.25">
      <c r="B165" s="83"/>
      <c r="C165" s="45" t="s">
        <v>130</v>
      </c>
      <c r="D165" s="44">
        <v>4</v>
      </c>
      <c r="E165" s="43">
        <v>5.3312008529921365E-4</v>
      </c>
    </row>
    <row r="166" spans="2:5" ht="15" customHeight="1" x14ac:dyDescent="0.25">
      <c r="B166" s="83"/>
      <c r="C166" s="45" t="s">
        <v>123</v>
      </c>
      <c r="D166" s="44">
        <v>1</v>
      </c>
      <c r="E166" s="43">
        <v>1.3328002132480341E-4</v>
      </c>
    </row>
    <row r="167" spans="2:5" ht="15" customHeight="1" x14ac:dyDescent="0.25">
      <c r="B167" s="83"/>
      <c r="C167" s="45" t="s">
        <v>125</v>
      </c>
      <c r="D167" s="44">
        <v>1</v>
      </c>
      <c r="E167" s="43">
        <v>1.3328002132480341E-4</v>
      </c>
    </row>
    <row r="168" spans="2:5" ht="15" customHeight="1" x14ac:dyDescent="0.25">
      <c r="B168" s="84"/>
      <c r="C168" s="42" t="s">
        <v>20</v>
      </c>
      <c r="D168" s="41">
        <v>8</v>
      </c>
      <c r="E168" s="40">
        <v>1.0662401705984273E-3</v>
      </c>
    </row>
    <row r="169" spans="2:5" ht="15" customHeight="1" x14ac:dyDescent="0.25">
      <c r="B169" s="82" t="s">
        <v>43</v>
      </c>
      <c r="C169" s="45" t="s">
        <v>128</v>
      </c>
      <c r="D169" s="44">
        <v>5</v>
      </c>
      <c r="E169" s="43">
        <v>6.6640010662401706E-4</v>
      </c>
    </row>
    <row r="170" spans="2:5" ht="15" customHeight="1" x14ac:dyDescent="0.25">
      <c r="B170" s="83"/>
      <c r="C170" s="45" t="s">
        <v>115</v>
      </c>
      <c r="D170" s="44">
        <v>1</v>
      </c>
      <c r="E170" s="43">
        <v>1.3328002132480341E-4</v>
      </c>
    </row>
    <row r="171" spans="2:5" ht="15" customHeight="1" x14ac:dyDescent="0.25">
      <c r="B171" s="83"/>
      <c r="C171" s="45" t="s">
        <v>114</v>
      </c>
      <c r="D171" s="44">
        <v>3</v>
      </c>
      <c r="E171" s="43">
        <v>3.9984006397441024E-4</v>
      </c>
    </row>
    <row r="172" spans="2:5" ht="15" customHeight="1" x14ac:dyDescent="0.25">
      <c r="B172" s="83"/>
      <c r="C172" s="45" t="s">
        <v>113</v>
      </c>
      <c r="D172" s="44">
        <v>1</v>
      </c>
      <c r="E172" s="43">
        <v>1.3328002132480341E-4</v>
      </c>
    </row>
    <row r="173" spans="2:5" ht="15" customHeight="1" x14ac:dyDescent="0.25">
      <c r="B173" s="83"/>
      <c r="C173" s="45" t="s">
        <v>130</v>
      </c>
      <c r="D173" s="44">
        <v>6</v>
      </c>
      <c r="E173" s="43">
        <v>7.9968012794882047E-4</v>
      </c>
    </row>
    <row r="174" spans="2:5" ht="15" customHeight="1" x14ac:dyDescent="0.25">
      <c r="B174" s="83"/>
      <c r="C174" s="45" t="s">
        <v>119</v>
      </c>
      <c r="D174" s="44">
        <v>1</v>
      </c>
      <c r="E174" s="43">
        <v>1.3328002132480341E-4</v>
      </c>
    </row>
    <row r="175" spans="2:5" ht="15" customHeight="1" x14ac:dyDescent="0.25">
      <c r="B175" s="83"/>
      <c r="C175" s="45" t="s">
        <v>122</v>
      </c>
      <c r="D175" s="44">
        <v>1</v>
      </c>
      <c r="E175" s="43">
        <v>1.3328002132480341E-4</v>
      </c>
    </row>
    <row r="176" spans="2:5" ht="15" customHeight="1" x14ac:dyDescent="0.25">
      <c r="B176" s="83"/>
      <c r="C176" s="45" t="s">
        <v>129</v>
      </c>
      <c r="D176" s="44">
        <v>6</v>
      </c>
      <c r="E176" s="43">
        <v>7.9968012794882047E-4</v>
      </c>
    </row>
    <row r="177" spans="2:5" ht="15" customHeight="1" x14ac:dyDescent="0.25">
      <c r="B177" s="83"/>
      <c r="C177" s="45" t="s">
        <v>127</v>
      </c>
      <c r="D177" s="44">
        <v>6</v>
      </c>
      <c r="E177" s="43">
        <v>7.9968012794882047E-4</v>
      </c>
    </row>
    <row r="178" spans="2:5" ht="15" customHeight="1" x14ac:dyDescent="0.25">
      <c r="B178" s="83"/>
      <c r="C178" s="45" t="s">
        <v>126</v>
      </c>
      <c r="D178" s="44">
        <v>2</v>
      </c>
      <c r="E178" s="43">
        <v>2.6656004264960682E-4</v>
      </c>
    </row>
    <row r="179" spans="2:5" ht="15" customHeight="1" x14ac:dyDescent="0.25">
      <c r="B179" s="83"/>
      <c r="C179" s="45" t="s">
        <v>120</v>
      </c>
      <c r="D179" s="44">
        <v>1</v>
      </c>
      <c r="E179" s="43">
        <v>1.3328002132480341E-4</v>
      </c>
    </row>
    <row r="180" spans="2:5" ht="15" customHeight="1" x14ac:dyDescent="0.25">
      <c r="B180" s="83"/>
      <c r="C180" s="45" t="s">
        <v>116</v>
      </c>
      <c r="D180" s="44">
        <v>1</v>
      </c>
      <c r="E180" s="43">
        <v>1.3328002132480341E-4</v>
      </c>
    </row>
    <row r="181" spans="2:5" ht="15" customHeight="1" x14ac:dyDescent="0.25">
      <c r="B181" s="83"/>
      <c r="C181" s="45" t="s">
        <v>125</v>
      </c>
      <c r="D181" s="44">
        <v>2</v>
      </c>
      <c r="E181" s="43">
        <v>2.6656004264960682E-4</v>
      </c>
    </row>
    <row r="182" spans="2:5" ht="15" customHeight="1" x14ac:dyDescent="0.25">
      <c r="B182" s="84"/>
      <c r="C182" s="42" t="s">
        <v>20</v>
      </c>
      <c r="D182" s="41">
        <v>36</v>
      </c>
      <c r="E182" s="40">
        <v>4.7980807676929228E-3</v>
      </c>
    </row>
    <row r="183" spans="2:5" ht="15" customHeight="1" x14ac:dyDescent="0.25">
      <c r="B183" s="82" t="s">
        <v>30</v>
      </c>
      <c r="C183" s="45" t="s">
        <v>128</v>
      </c>
      <c r="D183" s="44">
        <v>1</v>
      </c>
      <c r="E183" s="43">
        <v>1.3328002132480341E-4</v>
      </c>
    </row>
    <row r="184" spans="2:5" ht="15" customHeight="1" x14ac:dyDescent="0.25">
      <c r="B184" s="83"/>
      <c r="C184" s="45" t="s">
        <v>130</v>
      </c>
      <c r="D184" s="44">
        <v>4</v>
      </c>
      <c r="E184" s="43">
        <v>5.3312008529921365E-4</v>
      </c>
    </row>
    <row r="185" spans="2:5" ht="15" customHeight="1" x14ac:dyDescent="0.25">
      <c r="B185" s="83"/>
      <c r="C185" s="45" t="s">
        <v>119</v>
      </c>
      <c r="D185" s="44">
        <v>1</v>
      </c>
      <c r="E185" s="43">
        <v>1.3328002132480341E-4</v>
      </c>
    </row>
    <row r="186" spans="2:5" ht="15" customHeight="1" x14ac:dyDescent="0.25">
      <c r="B186" s="83"/>
      <c r="C186" s="45" t="s">
        <v>127</v>
      </c>
      <c r="D186" s="44">
        <v>3</v>
      </c>
      <c r="E186" s="43">
        <v>3.9984006397441024E-4</v>
      </c>
    </row>
    <row r="187" spans="2:5" ht="15" customHeight="1" x14ac:dyDescent="0.25">
      <c r="B187" s="83"/>
      <c r="C187" s="45" t="s">
        <v>120</v>
      </c>
      <c r="D187" s="44">
        <v>1</v>
      </c>
      <c r="E187" s="43">
        <v>1.3328002132480341E-4</v>
      </c>
    </row>
    <row r="188" spans="2:5" ht="15" customHeight="1" x14ac:dyDescent="0.25">
      <c r="B188" s="84"/>
      <c r="C188" s="42" t="s">
        <v>20</v>
      </c>
      <c r="D188" s="41">
        <v>10</v>
      </c>
      <c r="E188" s="40">
        <v>1.3328002132480341E-3</v>
      </c>
    </row>
    <row r="189" spans="2:5" ht="15" customHeight="1" x14ac:dyDescent="0.25">
      <c r="B189" s="82" t="s">
        <v>41</v>
      </c>
      <c r="C189" s="45" t="s">
        <v>128</v>
      </c>
      <c r="D189" s="44">
        <v>24</v>
      </c>
      <c r="E189" s="43">
        <v>3.1987205117952819E-3</v>
      </c>
    </row>
    <row r="190" spans="2:5" ht="15" customHeight="1" x14ac:dyDescent="0.25">
      <c r="B190" s="83"/>
      <c r="C190" s="45" t="s">
        <v>130</v>
      </c>
      <c r="D190" s="44">
        <v>3</v>
      </c>
      <c r="E190" s="43">
        <v>3.9984006397441024E-4</v>
      </c>
    </row>
    <row r="191" spans="2:5" ht="15" customHeight="1" x14ac:dyDescent="0.25">
      <c r="B191" s="83"/>
      <c r="C191" s="45" t="s">
        <v>129</v>
      </c>
      <c r="D191" s="44">
        <v>6</v>
      </c>
      <c r="E191" s="43">
        <v>7.9968012794882047E-4</v>
      </c>
    </row>
    <row r="192" spans="2:5" ht="15" customHeight="1" x14ac:dyDescent="0.25">
      <c r="B192" s="83"/>
      <c r="C192" s="45" t="s">
        <v>127</v>
      </c>
      <c r="D192" s="44">
        <v>2</v>
      </c>
      <c r="E192" s="43">
        <v>2.6656004264960682E-4</v>
      </c>
    </row>
    <row r="193" spans="2:5" ht="15" customHeight="1" x14ac:dyDescent="0.25">
      <c r="B193" s="83"/>
      <c r="C193" s="45" t="s">
        <v>120</v>
      </c>
      <c r="D193" s="44">
        <v>1</v>
      </c>
      <c r="E193" s="43">
        <v>1.3328002132480341E-4</v>
      </c>
    </row>
    <row r="194" spans="2:5" ht="15" customHeight="1" x14ac:dyDescent="0.25">
      <c r="B194" s="83"/>
      <c r="C194" s="45" t="s">
        <v>125</v>
      </c>
      <c r="D194" s="44">
        <v>1</v>
      </c>
      <c r="E194" s="43">
        <v>1.3328002132480341E-4</v>
      </c>
    </row>
    <row r="195" spans="2:5" ht="15" customHeight="1" x14ac:dyDescent="0.25">
      <c r="B195" s="84"/>
      <c r="C195" s="42" t="s">
        <v>20</v>
      </c>
      <c r="D195" s="41">
        <v>37</v>
      </c>
      <c r="E195" s="40">
        <v>4.9313607890177262E-3</v>
      </c>
    </row>
    <row r="196" spans="2:5" ht="15" customHeight="1" x14ac:dyDescent="0.25">
      <c r="B196" s="82" t="s">
        <v>24</v>
      </c>
      <c r="C196" s="45" t="s">
        <v>130</v>
      </c>
      <c r="D196" s="44">
        <v>2</v>
      </c>
      <c r="E196" s="43">
        <v>2.6656004264960682E-4</v>
      </c>
    </row>
    <row r="197" spans="2:5" ht="15" customHeight="1" x14ac:dyDescent="0.25">
      <c r="B197" s="83"/>
      <c r="C197" s="45" t="s">
        <v>122</v>
      </c>
      <c r="D197" s="44">
        <v>1</v>
      </c>
      <c r="E197" s="43">
        <v>1.3328002132480341E-4</v>
      </c>
    </row>
    <row r="198" spans="2:5" ht="15" customHeight="1" x14ac:dyDescent="0.25">
      <c r="B198" s="83"/>
      <c r="C198" s="45" t="s">
        <v>127</v>
      </c>
      <c r="D198" s="44">
        <v>2</v>
      </c>
      <c r="E198" s="43">
        <v>2.6656004264960682E-4</v>
      </c>
    </row>
    <row r="199" spans="2:5" ht="15" customHeight="1" x14ac:dyDescent="0.25">
      <c r="B199" s="84"/>
      <c r="C199" s="42" t="s">
        <v>20</v>
      </c>
      <c r="D199" s="41">
        <v>5</v>
      </c>
      <c r="E199" s="40">
        <v>6.6640010662401706E-4</v>
      </c>
    </row>
    <row r="200" spans="2:5" ht="15" customHeight="1" x14ac:dyDescent="0.25">
      <c r="B200" s="82" t="s">
        <v>21</v>
      </c>
      <c r="C200" s="45" t="s">
        <v>128</v>
      </c>
      <c r="D200" s="44">
        <v>2</v>
      </c>
      <c r="E200" s="43">
        <v>2.6656004264960682E-4</v>
      </c>
    </row>
    <row r="201" spans="2:5" ht="15" customHeight="1" x14ac:dyDescent="0.25">
      <c r="B201" s="83"/>
      <c r="C201" s="45" t="s">
        <v>121</v>
      </c>
      <c r="D201" s="44">
        <v>1</v>
      </c>
      <c r="E201" s="43">
        <v>1.3328002132480341E-4</v>
      </c>
    </row>
    <row r="202" spans="2:5" ht="15" customHeight="1" x14ac:dyDescent="0.25">
      <c r="B202" s="83"/>
      <c r="C202" s="45" t="s">
        <v>117</v>
      </c>
      <c r="D202" s="44">
        <v>1</v>
      </c>
      <c r="E202" s="43">
        <v>1.3328002132480341E-4</v>
      </c>
    </row>
    <row r="203" spans="2:5" ht="15" customHeight="1" x14ac:dyDescent="0.25">
      <c r="B203" s="83"/>
      <c r="C203" s="45" t="s">
        <v>129</v>
      </c>
      <c r="D203" s="44">
        <v>2</v>
      </c>
      <c r="E203" s="43">
        <v>2.6656004264960682E-4</v>
      </c>
    </row>
    <row r="204" spans="2:5" ht="15" customHeight="1" x14ac:dyDescent="0.25">
      <c r="B204" s="84"/>
      <c r="C204" s="42" t="s">
        <v>20</v>
      </c>
      <c r="D204" s="41">
        <v>6</v>
      </c>
      <c r="E204" s="40">
        <v>7.9968012794882047E-4</v>
      </c>
    </row>
    <row r="205" spans="2:5" ht="15" customHeight="1" x14ac:dyDescent="0.25">
      <c r="B205" s="82" t="s">
        <v>37</v>
      </c>
      <c r="C205" s="45" t="s">
        <v>128</v>
      </c>
      <c r="D205" s="44">
        <v>3</v>
      </c>
      <c r="E205" s="43">
        <v>3.9984006397441024E-4</v>
      </c>
    </row>
    <row r="206" spans="2:5" ht="15" customHeight="1" x14ac:dyDescent="0.25">
      <c r="B206" s="83"/>
      <c r="C206" s="45" t="s">
        <v>130</v>
      </c>
      <c r="D206" s="44">
        <v>9</v>
      </c>
      <c r="E206" s="43">
        <v>1.1995201919232307E-3</v>
      </c>
    </row>
    <row r="207" spans="2:5" ht="15" customHeight="1" x14ac:dyDescent="0.25">
      <c r="B207" s="83"/>
      <c r="C207" s="45" t="s">
        <v>119</v>
      </c>
      <c r="D207" s="44">
        <v>1</v>
      </c>
      <c r="E207" s="43">
        <v>1.3328002132480341E-4</v>
      </c>
    </row>
    <row r="208" spans="2:5" ht="15" customHeight="1" x14ac:dyDescent="0.25">
      <c r="B208" s="83"/>
      <c r="C208" s="45" t="s">
        <v>129</v>
      </c>
      <c r="D208" s="44">
        <v>1</v>
      </c>
      <c r="E208" s="43">
        <v>1.3328002132480341E-4</v>
      </c>
    </row>
    <row r="209" spans="2:5" ht="15" customHeight="1" x14ac:dyDescent="0.25">
      <c r="B209" s="83"/>
      <c r="C209" s="45" t="s">
        <v>127</v>
      </c>
      <c r="D209" s="44">
        <v>2</v>
      </c>
      <c r="E209" s="43">
        <v>2.6656004264960682E-4</v>
      </c>
    </row>
    <row r="210" spans="2:5" ht="15" customHeight="1" x14ac:dyDescent="0.25">
      <c r="B210" s="83"/>
      <c r="C210" s="45" t="s">
        <v>120</v>
      </c>
      <c r="D210" s="44">
        <v>2</v>
      </c>
      <c r="E210" s="43">
        <v>2.6656004264960682E-4</v>
      </c>
    </row>
    <row r="211" spans="2:5" ht="15" customHeight="1" x14ac:dyDescent="0.25">
      <c r="B211" s="83"/>
      <c r="C211" s="45" t="s">
        <v>123</v>
      </c>
      <c r="D211" s="44">
        <v>2</v>
      </c>
      <c r="E211" s="43">
        <v>2.6656004264960682E-4</v>
      </c>
    </row>
    <row r="212" spans="2:5" ht="15" customHeight="1" x14ac:dyDescent="0.25">
      <c r="B212" s="83"/>
      <c r="C212" s="45" t="s">
        <v>118</v>
      </c>
      <c r="D212" s="44">
        <v>2</v>
      </c>
      <c r="E212" s="43">
        <v>2.6656004264960682E-4</v>
      </c>
    </row>
    <row r="213" spans="2:5" ht="15" customHeight="1" x14ac:dyDescent="0.25">
      <c r="B213" s="83"/>
      <c r="C213" s="45" t="s">
        <v>125</v>
      </c>
      <c r="D213" s="44">
        <v>2</v>
      </c>
      <c r="E213" s="43">
        <v>2.6656004264960682E-4</v>
      </c>
    </row>
    <row r="214" spans="2:5" ht="15" customHeight="1" x14ac:dyDescent="0.25">
      <c r="B214" s="84"/>
      <c r="C214" s="42" t="s">
        <v>20</v>
      </c>
      <c r="D214" s="41">
        <v>24</v>
      </c>
      <c r="E214" s="40">
        <v>3.1987205117952819E-3</v>
      </c>
    </row>
    <row r="215" spans="2:5" ht="15" customHeight="1" x14ac:dyDescent="0.25">
      <c r="B215" s="82" t="s">
        <v>45</v>
      </c>
      <c r="C215" s="45" t="s">
        <v>128</v>
      </c>
      <c r="D215" s="44">
        <v>3</v>
      </c>
      <c r="E215" s="43">
        <v>3.9984006397441024E-4</v>
      </c>
    </row>
    <row r="216" spans="2:5" ht="15" customHeight="1" x14ac:dyDescent="0.25">
      <c r="B216" s="83"/>
      <c r="C216" s="45" t="s">
        <v>115</v>
      </c>
      <c r="D216" s="44">
        <v>2</v>
      </c>
      <c r="E216" s="43">
        <v>2.6656004264960682E-4</v>
      </c>
    </row>
    <row r="217" spans="2:5" ht="15" customHeight="1" x14ac:dyDescent="0.25">
      <c r="B217" s="83"/>
      <c r="C217" s="45" t="s">
        <v>124</v>
      </c>
      <c r="D217" s="44">
        <v>3</v>
      </c>
      <c r="E217" s="43">
        <v>3.9984006397441024E-4</v>
      </c>
    </row>
    <row r="218" spans="2:5" ht="15" customHeight="1" x14ac:dyDescent="0.25">
      <c r="B218" s="83"/>
      <c r="C218" s="45" t="s">
        <v>114</v>
      </c>
      <c r="D218" s="44">
        <v>1</v>
      </c>
      <c r="E218" s="43">
        <v>1.3328002132480341E-4</v>
      </c>
    </row>
    <row r="219" spans="2:5" ht="15" customHeight="1" x14ac:dyDescent="0.25">
      <c r="B219" s="83"/>
      <c r="C219" s="45" t="s">
        <v>113</v>
      </c>
      <c r="D219" s="44">
        <v>1</v>
      </c>
      <c r="E219" s="43">
        <v>1.3328002132480341E-4</v>
      </c>
    </row>
    <row r="220" spans="2:5" ht="15" customHeight="1" x14ac:dyDescent="0.25">
      <c r="B220" s="83"/>
      <c r="C220" s="45" t="s">
        <v>130</v>
      </c>
      <c r="D220" s="44">
        <v>23</v>
      </c>
      <c r="E220" s="43">
        <v>3.0654404904704785E-3</v>
      </c>
    </row>
    <row r="221" spans="2:5" ht="15" customHeight="1" x14ac:dyDescent="0.25">
      <c r="B221" s="83"/>
      <c r="C221" s="45" t="s">
        <v>117</v>
      </c>
      <c r="D221" s="44">
        <v>1</v>
      </c>
      <c r="E221" s="43">
        <v>1.3328002132480341E-4</v>
      </c>
    </row>
    <row r="222" spans="2:5" ht="15" customHeight="1" x14ac:dyDescent="0.25">
      <c r="B222" s="83"/>
      <c r="C222" s="45" t="s">
        <v>122</v>
      </c>
      <c r="D222" s="44">
        <v>3</v>
      </c>
      <c r="E222" s="43">
        <v>3.9984006397441024E-4</v>
      </c>
    </row>
    <row r="223" spans="2:5" ht="15" customHeight="1" x14ac:dyDescent="0.25">
      <c r="B223" s="83"/>
      <c r="C223" s="45" t="s">
        <v>129</v>
      </c>
      <c r="D223" s="44">
        <v>2</v>
      </c>
      <c r="E223" s="43">
        <v>2.6656004264960682E-4</v>
      </c>
    </row>
    <row r="224" spans="2:5" ht="15" customHeight="1" x14ac:dyDescent="0.25">
      <c r="B224" s="83"/>
      <c r="C224" s="45" t="s">
        <v>127</v>
      </c>
      <c r="D224" s="44">
        <v>6</v>
      </c>
      <c r="E224" s="43">
        <v>7.9968012794882047E-4</v>
      </c>
    </row>
    <row r="225" spans="2:5" ht="15" customHeight="1" x14ac:dyDescent="0.25">
      <c r="B225" s="83"/>
      <c r="C225" s="45" t="s">
        <v>126</v>
      </c>
      <c r="D225" s="44">
        <v>5</v>
      </c>
      <c r="E225" s="43">
        <v>6.6640010662401706E-4</v>
      </c>
    </row>
    <row r="226" spans="2:5" ht="15" customHeight="1" x14ac:dyDescent="0.25">
      <c r="B226" s="83"/>
      <c r="C226" s="45" t="s">
        <v>120</v>
      </c>
      <c r="D226" s="44">
        <v>1</v>
      </c>
      <c r="E226" s="43">
        <v>1.3328002132480341E-4</v>
      </c>
    </row>
    <row r="227" spans="2:5" ht="15" customHeight="1" x14ac:dyDescent="0.25">
      <c r="B227" s="83"/>
      <c r="C227" s="45" t="s">
        <v>123</v>
      </c>
      <c r="D227" s="44">
        <v>2</v>
      </c>
      <c r="E227" s="43">
        <v>2.6656004264960682E-4</v>
      </c>
    </row>
    <row r="228" spans="2:5" ht="15" customHeight="1" x14ac:dyDescent="0.25">
      <c r="B228" s="83"/>
      <c r="C228" s="45" t="s">
        <v>125</v>
      </c>
      <c r="D228" s="44">
        <v>4</v>
      </c>
      <c r="E228" s="43">
        <v>5.3312008529921365E-4</v>
      </c>
    </row>
    <row r="229" spans="2:5" ht="15" customHeight="1" x14ac:dyDescent="0.25">
      <c r="B229" s="84"/>
      <c r="C229" s="42" t="s">
        <v>20</v>
      </c>
      <c r="D229" s="41">
        <v>57</v>
      </c>
      <c r="E229" s="40">
        <v>7.5969612155137945E-3</v>
      </c>
    </row>
    <row r="230" spans="2:5" ht="15" customHeight="1" x14ac:dyDescent="0.25">
      <c r="B230" s="82" t="s">
        <v>25</v>
      </c>
      <c r="C230" s="45" t="s">
        <v>128</v>
      </c>
      <c r="D230" s="44">
        <v>1</v>
      </c>
      <c r="E230" s="43">
        <v>1.3328002132480341E-4</v>
      </c>
    </row>
    <row r="231" spans="2:5" ht="15" customHeight="1" x14ac:dyDescent="0.25">
      <c r="B231" s="83"/>
      <c r="C231" s="45" t="s">
        <v>129</v>
      </c>
      <c r="D231" s="44">
        <v>1</v>
      </c>
      <c r="E231" s="43">
        <v>1.3328002132480341E-4</v>
      </c>
    </row>
    <row r="232" spans="2:5" ht="15" customHeight="1" x14ac:dyDescent="0.25">
      <c r="B232" s="83"/>
      <c r="C232" s="45" t="s">
        <v>123</v>
      </c>
      <c r="D232" s="44">
        <v>1</v>
      </c>
      <c r="E232" s="43">
        <v>1.3328002132480341E-4</v>
      </c>
    </row>
    <row r="233" spans="2:5" ht="15" customHeight="1" x14ac:dyDescent="0.25">
      <c r="B233" s="84"/>
      <c r="C233" s="42" t="s">
        <v>20</v>
      </c>
      <c r="D233" s="41">
        <v>3</v>
      </c>
      <c r="E233" s="40">
        <v>3.9984006397441024E-4</v>
      </c>
    </row>
    <row r="234" spans="2:5" ht="15" customHeight="1" x14ac:dyDescent="0.25">
      <c r="B234" s="82" t="s">
        <v>35</v>
      </c>
      <c r="C234" s="45" t="s">
        <v>128</v>
      </c>
      <c r="D234" s="44">
        <v>11</v>
      </c>
      <c r="E234" s="43">
        <v>1.4660802345728375E-3</v>
      </c>
    </row>
    <row r="235" spans="2:5" ht="15" customHeight="1" x14ac:dyDescent="0.25">
      <c r="B235" s="83"/>
      <c r="C235" s="45" t="s">
        <v>114</v>
      </c>
      <c r="D235" s="44">
        <v>2</v>
      </c>
      <c r="E235" s="43">
        <v>2.6656004264960682E-4</v>
      </c>
    </row>
    <row r="236" spans="2:5" ht="15" customHeight="1" x14ac:dyDescent="0.25">
      <c r="B236" s="83"/>
      <c r="C236" s="45" t="s">
        <v>130</v>
      </c>
      <c r="D236" s="44">
        <v>6</v>
      </c>
      <c r="E236" s="43">
        <v>7.9968012794882047E-4</v>
      </c>
    </row>
    <row r="237" spans="2:5" ht="15" customHeight="1" x14ac:dyDescent="0.25">
      <c r="B237" s="83"/>
      <c r="C237" s="45" t="s">
        <v>129</v>
      </c>
      <c r="D237" s="44">
        <v>1</v>
      </c>
      <c r="E237" s="43">
        <v>1.3328002132480341E-4</v>
      </c>
    </row>
    <row r="238" spans="2:5" ht="15" customHeight="1" x14ac:dyDescent="0.25">
      <c r="B238" s="83"/>
      <c r="C238" s="45" t="s">
        <v>127</v>
      </c>
      <c r="D238" s="44">
        <v>5</v>
      </c>
      <c r="E238" s="43">
        <v>6.6640010662401706E-4</v>
      </c>
    </row>
    <row r="239" spans="2:5" ht="15" customHeight="1" x14ac:dyDescent="0.25">
      <c r="B239" s="83"/>
      <c r="C239" s="45" t="s">
        <v>126</v>
      </c>
      <c r="D239" s="44">
        <v>1</v>
      </c>
      <c r="E239" s="43">
        <v>1.3328002132480341E-4</v>
      </c>
    </row>
    <row r="240" spans="2:5" ht="15" customHeight="1" x14ac:dyDescent="0.25">
      <c r="B240" s="84"/>
      <c r="C240" s="42" t="s">
        <v>20</v>
      </c>
      <c r="D240" s="41">
        <v>26</v>
      </c>
      <c r="E240" s="40">
        <v>3.4652805544448887E-3</v>
      </c>
    </row>
    <row r="241" spans="2:5" ht="15" customHeight="1" x14ac:dyDescent="0.25">
      <c r="B241" s="82" t="s">
        <v>48</v>
      </c>
      <c r="C241" s="45" t="s">
        <v>128</v>
      </c>
      <c r="D241" s="44">
        <v>13</v>
      </c>
      <c r="E241" s="43">
        <v>1.7326402772224444E-3</v>
      </c>
    </row>
    <row r="242" spans="2:5" ht="15" customHeight="1" x14ac:dyDescent="0.25">
      <c r="B242" s="83"/>
      <c r="C242" s="45" t="s">
        <v>115</v>
      </c>
      <c r="D242" s="44">
        <v>8</v>
      </c>
      <c r="E242" s="43">
        <v>1.0662401705984273E-3</v>
      </c>
    </row>
    <row r="243" spans="2:5" ht="15" customHeight="1" x14ac:dyDescent="0.25">
      <c r="B243" s="83"/>
      <c r="C243" s="45" t="s">
        <v>124</v>
      </c>
      <c r="D243" s="44">
        <v>7</v>
      </c>
      <c r="E243" s="43">
        <v>9.3296014927362388E-4</v>
      </c>
    </row>
    <row r="244" spans="2:5" ht="15" customHeight="1" x14ac:dyDescent="0.25">
      <c r="B244" s="83"/>
      <c r="C244" s="45" t="s">
        <v>130</v>
      </c>
      <c r="D244" s="44">
        <v>32</v>
      </c>
      <c r="E244" s="43">
        <v>4.2649606823937092E-3</v>
      </c>
    </row>
    <row r="245" spans="2:5" ht="15" customHeight="1" x14ac:dyDescent="0.25">
      <c r="B245" s="83"/>
      <c r="C245" s="45" t="s">
        <v>117</v>
      </c>
      <c r="D245" s="44">
        <v>4</v>
      </c>
      <c r="E245" s="43">
        <v>5.3312008529921365E-4</v>
      </c>
    </row>
    <row r="246" spans="2:5" ht="15" customHeight="1" x14ac:dyDescent="0.25">
      <c r="B246" s="83"/>
      <c r="C246" s="45" t="s">
        <v>122</v>
      </c>
      <c r="D246" s="44">
        <v>1</v>
      </c>
      <c r="E246" s="43">
        <v>1.3328002132480341E-4</v>
      </c>
    </row>
    <row r="247" spans="2:5" ht="15" customHeight="1" x14ac:dyDescent="0.25">
      <c r="B247" s="83"/>
      <c r="C247" s="45" t="s">
        <v>129</v>
      </c>
      <c r="D247" s="44">
        <v>7</v>
      </c>
      <c r="E247" s="43">
        <v>9.3296014927362388E-4</v>
      </c>
    </row>
    <row r="248" spans="2:5" ht="15" customHeight="1" x14ac:dyDescent="0.25">
      <c r="B248" s="83"/>
      <c r="C248" s="45" t="s">
        <v>127</v>
      </c>
      <c r="D248" s="44">
        <v>3</v>
      </c>
      <c r="E248" s="43">
        <v>3.9984006397441024E-4</v>
      </c>
    </row>
    <row r="249" spans="2:5" ht="15" customHeight="1" x14ac:dyDescent="0.25">
      <c r="B249" s="83"/>
      <c r="C249" s="45" t="s">
        <v>126</v>
      </c>
      <c r="D249" s="44">
        <v>6</v>
      </c>
      <c r="E249" s="43">
        <v>7.9968012794882047E-4</v>
      </c>
    </row>
    <row r="250" spans="2:5" ht="15" customHeight="1" x14ac:dyDescent="0.25">
      <c r="B250" s="83"/>
      <c r="C250" s="45" t="s">
        <v>120</v>
      </c>
      <c r="D250" s="44">
        <v>6</v>
      </c>
      <c r="E250" s="43">
        <v>7.9968012794882047E-4</v>
      </c>
    </row>
    <row r="251" spans="2:5" ht="15" customHeight="1" x14ac:dyDescent="0.25">
      <c r="B251" s="83"/>
      <c r="C251" s="45" t="s">
        <v>123</v>
      </c>
      <c r="D251" s="44">
        <v>1</v>
      </c>
      <c r="E251" s="43">
        <v>1.3328002132480341E-4</v>
      </c>
    </row>
    <row r="252" spans="2:5" ht="15" customHeight="1" x14ac:dyDescent="0.25">
      <c r="B252" s="83"/>
      <c r="C252" s="45" t="s">
        <v>125</v>
      </c>
      <c r="D252" s="44">
        <v>1</v>
      </c>
      <c r="E252" s="43">
        <v>1.3328002132480341E-4</v>
      </c>
    </row>
    <row r="253" spans="2:5" ht="15" customHeight="1" x14ac:dyDescent="0.25">
      <c r="B253" s="84"/>
      <c r="C253" s="42" t="s">
        <v>20</v>
      </c>
      <c r="D253" s="41">
        <v>89</v>
      </c>
      <c r="E253" s="40">
        <v>1.1861921897907505E-2</v>
      </c>
    </row>
    <row r="254" spans="2:5" ht="15" customHeight="1" x14ac:dyDescent="0.25">
      <c r="B254" s="82" t="s">
        <v>58</v>
      </c>
      <c r="C254" s="45" t="s">
        <v>128</v>
      </c>
      <c r="D254" s="44">
        <v>41</v>
      </c>
      <c r="E254" s="43">
        <v>5.4644808743169399E-3</v>
      </c>
    </row>
    <row r="255" spans="2:5" ht="15" customHeight="1" x14ac:dyDescent="0.25">
      <c r="B255" s="83"/>
      <c r="C255" s="45" t="s">
        <v>115</v>
      </c>
      <c r="D255" s="44">
        <v>11</v>
      </c>
      <c r="E255" s="43">
        <v>1.4660802345728375E-3</v>
      </c>
    </row>
    <row r="256" spans="2:5" ht="15" customHeight="1" x14ac:dyDescent="0.25">
      <c r="B256" s="83"/>
      <c r="C256" s="45" t="s">
        <v>124</v>
      </c>
      <c r="D256" s="44">
        <v>5</v>
      </c>
      <c r="E256" s="43">
        <v>6.6640010662401706E-4</v>
      </c>
    </row>
    <row r="257" spans="2:5" ht="15" customHeight="1" x14ac:dyDescent="0.25">
      <c r="B257" s="83"/>
      <c r="C257" s="45" t="s">
        <v>114</v>
      </c>
      <c r="D257" s="44">
        <v>3</v>
      </c>
      <c r="E257" s="43">
        <v>3.9984006397441024E-4</v>
      </c>
    </row>
    <row r="258" spans="2:5" ht="15" customHeight="1" x14ac:dyDescent="0.25">
      <c r="B258" s="83"/>
      <c r="C258" s="45" t="s">
        <v>113</v>
      </c>
      <c r="D258" s="44">
        <v>1</v>
      </c>
      <c r="E258" s="43">
        <v>1.3328002132480341E-4</v>
      </c>
    </row>
    <row r="259" spans="2:5" ht="15" customHeight="1" x14ac:dyDescent="0.25">
      <c r="B259" s="83"/>
      <c r="C259" s="45" t="s">
        <v>121</v>
      </c>
      <c r="D259" s="44">
        <v>7</v>
      </c>
      <c r="E259" s="43">
        <v>9.3296014927362388E-4</v>
      </c>
    </row>
    <row r="260" spans="2:5" ht="15" customHeight="1" x14ac:dyDescent="0.25">
      <c r="B260" s="83"/>
      <c r="C260" s="45" t="s">
        <v>130</v>
      </c>
      <c r="D260" s="44">
        <v>107</v>
      </c>
      <c r="E260" s="43">
        <v>1.4260962281753966E-2</v>
      </c>
    </row>
    <row r="261" spans="2:5" ht="15" customHeight="1" x14ac:dyDescent="0.25">
      <c r="B261" s="83"/>
      <c r="C261" s="45" t="s">
        <v>119</v>
      </c>
      <c r="D261" s="44">
        <v>5</v>
      </c>
      <c r="E261" s="43">
        <v>6.6640010662401706E-4</v>
      </c>
    </row>
    <row r="262" spans="2:5" ht="15" customHeight="1" x14ac:dyDescent="0.25">
      <c r="B262" s="83"/>
      <c r="C262" s="45" t="s">
        <v>117</v>
      </c>
      <c r="D262" s="44">
        <v>2</v>
      </c>
      <c r="E262" s="43">
        <v>2.6656004264960682E-4</v>
      </c>
    </row>
    <row r="263" spans="2:5" ht="15" customHeight="1" x14ac:dyDescent="0.25">
      <c r="B263" s="83"/>
      <c r="C263" s="45" t="s">
        <v>122</v>
      </c>
      <c r="D263" s="44">
        <v>10</v>
      </c>
      <c r="E263" s="43">
        <v>1.3328002132480341E-3</v>
      </c>
    </row>
    <row r="264" spans="2:5" ht="15" customHeight="1" x14ac:dyDescent="0.25">
      <c r="B264" s="83"/>
      <c r="C264" s="45" t="s">
        <v>129</v>
      </c>
      <c r="D264" s="44">
        <v>28</v>
      </c>
      <c r="E264" s="43">
        <v>3.7318405970944955E-3</v>
      </c>
    </row>
    <row r="265" spans="2:5" ht="15" customHeight="1" x14ac:dyDescent="0.25">
      <c r="B265" s="83"/>
      <c r="C265" s="45" t="s">
        <v>127</v>
      </c>
      <c r="D265" s="44">
        <v>36</v>
      </c>
      <c r="E265" s="43">
        <v>4.7980807676929228E-3</v>
      </c>
    </row>
    <row r="266" spans="2:5" ht="15" customHeight="1" x14ac:dyDescent="0.25">
      <c r="B266" s="83"/>
      <c r="C266" s="45" t="s">
        <v>126</v>
      </c>
      <c r="D266" s="44">
        <v>10</v>
      </c>
      <c r="E266" s="43">
        <v>1.3328002132480341E-3</v>
      </c>
    </row>
    <row r="267" spans="2:5" ht="15" customHeight="1" x14ac:dyDescent="0.25">
      <c r="B267" s="83"/>
      <c r="C267" s="45" t="s">
        <v>120</v>
      </c>
      <c r="D267" s="44">
        <v>5</v>
      </c>
      <c r="E267" s="43">
        <v>6.6640010662401706E-4</v>
      </c>
    </row>
    <row r="268" spans="2:5" ht="15" customHeight="1" x14ac:dyDescent="0.25">
      <c r="B268" s="83"/>
      <c r="C268" s="45" t="s">
        <v>116</v>
      </c>
      <c r="D268" s="44">
        <v>2</v>
      </c>
      <c r="E268" s="43">
        <v>2.6656004264960682E-4</v>
      </c>
    </row>
    <row r="269" spans="2:5" ht="15" customHeight="1" x14ac:dyDescent="0.25">
      <c r="B269" s="83"/>
      <c r="C269" s="45" t="s">
        <v>123</v>
      </c>
      <c r="D269" s="44">
        <v>12</v>
      </c>
      <c r="E269" s="43">
        <v>1.5993602558976409E-3</v>
      </c>
    </row>
    <row r="270" spans="2:5" ht="15" customHeight="1" x14ac:dyDescent="0.25">
      <c r="B270" s="83"/>
      <c r="C270" s="45" t="s">
        <v>118</v>
      </c>
      <c r="D270" s="44">
        <v>3</v>
      </c>
      <c r="E270" s="43">
        <v>3.9984006397441024E-4</v>
      </c>
    </row>
    <row r="271" spans="2:5" ht="15" customHeight="1" x14ac:dyDescent="0.25">
      <c r="B271" s="83"/>
      <c r="C271" s="45" t="s">
        <v>125</v>
      </c>
      <c r="D271" s="44">
        <v>11</v>
      </c>
      <c r="E271" s="43">
        <v>1.4660802345728375E-3</v>
      </c>
    </row>
    <row r="272" spans="2:5" ht="15" customHeight="1" x14ac:dyDescent="0.25">
      <c r="B272" s="84"/>
      <c r="C272" s="42" t="s">
        <v>20</v>
      </c>
      <c r="D272" s="41">
        <v>299</v>
      </c>
      <c r="E272" s="40">
        <v>3.9850726376116218E-2</v>
      </c>
    </row>
    <row r="273" spans="2:5" ht="15" customHeight="1" x14ac:dyDescent="0.25">
      <c r="B273" s="82" t="s">
        <v>31</v>
      </c>
      <c r="C273" s="45" t="s">
        <v>130</v>
      </c>
      <c r="D273" s="44">
        <v>3</v>
      </c>
      <c r="E273" s="43">
        <v>3.9984006397441024E-4</v>
      </c>
    </row>
    <row r="274" spans="2:5" ht="15" customHeight="1" x14ac:dyDescent="0.25">
      <c r="B274" s="83"/>
      <c r="C274" s="45" t="s">
        <v>129</v>
      </c>
      <c r="D274" s="44">
        <v>5</v>
      </c>
      <c r="E274" s="43">
        <v>6.6640010662401706E-4</v>
      </c>
    </row>
    <row r="275" spans="2:5" ht="15" customHeight="1" x14ac:dyDescent="0.25">
      <c r="B275" s="83"/>
      <c r="C275" s="45" t="s">
        <v>127</v>
      </c>
      <c r="D275" s="44">
        <v>2</v>
      </c>
      <c r="E275" s="43">
        <v>2.6656004264960682E-4</v>
      </c>
    </row>
    <row r="276" spans="2:5" ht="15" customHeight="1" x14ac:dyDescent="0.25">
      <c r="B276" s="84"/>
      <c r="C276" s="42" t="s">
        <v>20</v>
      </c>
      <c r="D276" s="41">
        <v>10</v>
      </c>
      <c r="E276" s="40">
        <v>1.3328002132480341E-3</v>
      </c>
    </row>
    <row r="277" spans="2:5" ht="15" customHeight="1" x14ac:dyDescent="0.25">
      <c r="B277" s="82" t="s">
        <v>47</v>
      </c>
      <c r="C277" s="45" t="s">
        <v>128</v>
      </c>
      <c r="D277" s="44">
        <v>11</v>
      </c>
      <c r="E277" s="43">
        <v>1.4660802345728375E-3</v>
      </c>
    </row>
    <row r="278" spans="2:5" ht="15" customHeight="1" x14ac:dyDescent="0.25">
      <c r="B278" s="83"/>
      <c r="C278" s="45" t="s">
        <v>124</v>
      </c>
      <c r="D278" s="44">
        <v>6</v>
      </c>
      <c r="E278" s="43">
        <v>7.9968012794882047E-4</v>
      </c>
    </row>
    <row r="279" spans="2:5" ht="15" customHeight="1" x14ac:dyDescent="0.25">
      <c r="B279" s="83"/>
      <c r="C279" s="45" t="s">
        <v>114</v>
      </c>
      <c r="D279" s="44">
        <v>3</v>
      </c>
      <c r="E279" s="43">
        <v>3.9984006397441024E-4</v>
      </c>
    </row>
    <row r="280" spans="2:5" ht="15" customHeight="1" x14ac:dyDescent="0.25">
      <c r="B280" s="83"/>
      <c r="C280" s="45" t="s">
        <v>113</v>
      </c>
      <c r="D280" s="44">
        <v>1</v>
      </c>
      <c r="E280" s="43">
        <v>1.3328002132480341E-4</v>
      </c>
    </row>
    <row r="281" spans="2:5" ht="15" customHeight="1" x14ac:dyDescent="0.25">
      <c r="B281" s="83"/>
      <c r="C281" s="45" t="s">
        <v>130</v>
      </c>
      <c r="D281" s="44">
        <v>14</v>
      </c>
      <c r="E281" s="43">
        <v>1.8659202985472478E-3</v>
      </c>
    </row>
    <row r="282" spans="2:5" ht="15" customHeight="1" x14ac:dyDescent="0.25">
      <c r="B282" s="83"/>
      <c r="C282" s="45" t="s">
        <v>119</v>
      </c>
      <c r="D282" s="44">
        <v>4</v>
      </c>
      <c r="E282" s="43">
        <v>5.3312008529921365E-4</v>
      </c>
    </row>
    <row r="283" spans="2:5" ht="15" customHeight="1" x14ac:dyDescent="0.25">
      <c r="B283" s="83"/>
      <c r="C283" s="45" t="s">
        <v>129</v>
      </c>
      <c r="D283" s="44">
        <v>4</v>
      </c>
      <c r="E283" s="43">
        <v>5.3312008529921365E-4</v>
      </c>
    </row>
    <row r="284" spans="2:5" ht="15" customHeight="1" x14ac:dyDescent="0.25">
      <c r="B284" s="83"/>
      <c r="C284" s="45" t="s">
        <v>127</v>
      </c>
      <c r="D284" s="44">
        <v>3</v>
      </c>
      <c r="E284" s="43">
        <v>3.9984006397441024E-4</v>
      </c>
    </row>
    <row r="285" spans="2:5" ht="15" customHeight="1" x14ac:dyDescent="0.25">
      <c r="B285" s="83"/>
      <c r="C285" s="45" t="s">
        <v>126</v>
      </c>
      <c r="D285" s="44">
        <v>1</v>
      </c>
      <c r="E285" s="43">
        <v>1.3328002132480341E-4</v>
      </c>
    </row>
    <row r="286" spans="2:5" ht="15" customHeight="1" x14ac:dyDescent="0.25">
      <c r="B286" s="83"/>
      <c r="C286" s="45" t="s">
        <v>120</v>
      </c>
      <c r="D286" s="44">
        <v>1</v>
      </c>
      <c r="E286" s="43">
        <v>1.3328002132480341E-4</v>
      </c>
    </row>
    <row r="287" spans="2:5" ht="15" customHeight="1" x14ac:dyDescent="0.25">
      <c r="B287" s="83"/>
      <c r="C287" s="45" t="s">
        <v>116</v>
      </c>
      <c r="D287" s="44">
        <v>1</v>
      </c>
      <c r="E287" s="43">
        <v>1.3328002132480341E-4</v>
      </c>
    </row>
    <row r="288" spans="2:5" ht="15" customHeight="1" x14ac:dyDescent="0.25">
      <c r="B288" s="83"/>
      <c r="C288" s="45" t="s">
        <v>123</v>
      </c>
      <c r="D288" s="44">
        <v>1</v>
      </c>
      <c r="E288" s="43">
        <v>1.3328002132480341E-4</v>
      </c>
    </row>
    <row r="289" spans="2:5" ht="15" customHeight="1" x14ac:dyDescent="0.25">
      <c r="B289" s="83"/>
      <c r="C289" s="45" t="s">
        <v>118</v>
      </c>
      <c r="D289" s="44">
        <v>1</v>
      </c>
      <c r="E289" s="43">
        <v>1.3328002132480341E-4</v>
      </c>
    </row>
    <row r="290" spans="2:5" ht="15" customHeight="1" x14ac:dyDescent="0.25">
      <c r="B290" s="83"/>
      <c r="C290" s="45" t="s">
        <v>125</v>
      </c>
      <c r="D290" s="44">
        <v>2</v>
      </c>
      <c r="E290" s="43">
        <v>2.6656004264960682E-4</v>
      </c>
    </row>
    <row r="291" spans="2:5" ht="15" customHeight="1" x14ac:dyDescent="0.25">
      <c r="B291" s="84"/>
      <c r="C291" s="42" t="s">
        <v>20</v>
      </c>
      <c r="D291" s="41">
        <v>53</v>
      </c>
      <c r="E291" s="40">
        <v>7.0638411302145808E-3</v>
      </c>
    </row>
    <row r="292" spans="2:5" ht="15" customHeight="1" x14ac:dyDescent="0.25">
      <c r="B292" s="82" t="s">
        <v>38</v>
      </c>
      <c r="C292" s="45" t="s">
        <v>128</v>
      </c>
      <c r="D292" s="44">
        <v>1</v>
      </c>
      <c r="E292" s="43">
        <v>1.3328002132480341E-4</v>
      </c>
    </row>
    <row r="293" spans="2:5" ht="15" customHeight="1" x14ac:dyDescent="0.25">
      <c r="B293" s="83"/>
      <c r="C293" s="45" t="s">
        <v>130</v>
      </c>
      <c r="D293" s="44">
        <v>4</v>
      </c>
      <c r="E293" s="43">
        <v>5.3312008529921365E-4</v>
      </c>
    </row>
    <row r="294" spans="2:5" ht="15" customHeight="1" x14ac:dyDescent="0.25">
      <c r="B294" s="83"/>
      <c r="C294" s="45" t="s">
        <v>129</v>
      </c>
      <c r="D294" s="44">
        <v>1</v>
      </c>
      <c r="E294" s="43">
        <v>1.3328002132480341E-4</v>
      </c>
    </row>
    <row r="295" spans="2:5" ht="15" customHeight="1" x14ac:dyDescent="0.25">
      <c r="B295" s="83"/>
      <c r="C295" s="45" t="s">
        <v>127</v>
      </c>
      <c r="D295" s="44">
        <v>3</v>
      </c>
      <c r="E295" s="43">
        <v>3.9984006397441024E-4</v>
      </c>
    </row>
    <row r="296" spans="2:5" ht="15" customHeight="1" x14ac:dyDescent="0.25">
      <c r="B296" s="83"/>
      <c r="C296" s="45" t="s">
        <v>120</v>
      </c>
      <c r="D296" s="44">
        <v>1</v>
      </c>
      <c r="E296" s="43">
        <v>1.3328002132480341E-4</v>
      </c>
    </row>
    <row r="297" spans="2:5" ht="15" customHeight="1" x14ac:dyDescent="0.25">
      <c r="B297" s="84"/>
      <c r="C297" s="42" t="s">
        <v>20</v>
      </c>
      <c r="D297" s="41">
        <v>10</v>
      </c>
      <c r="E297" s="40">
        <v>1.3328002132480341E-3</v>
      </c>
    </row>
    <row r="298" spans="2:5" ht="15" customHeight="1" x14ac:dyDescent="0.25">
      <c r="B298" s="82" t="s">
        <v>51</v>
      </c>
      <c r="C298" s="45" t="s">
        <v>128</v>
      </c>
      <c r="D298" s="44">
        <v>24</v>
      </c>
      <c r="E298" s="43">
        <v>3.1987205117952819E-3</v>
      </c>
    </row>
    <row r="299" spans="2:5" ht="15" customHeight="1" x14ac:dyDescent="0.25">
      <c r="B299" s="83"/>
      <c r="C299" s="45" t="s">
        <v>115</v>
      </c>
      <c r="D299" s="44">
        <v>1</v>
      </c>
      <c r="E299" s="43">
        <v>1.3328002132480341E-4</v>
      </c>
    </row>
    <row r="300" spans="2:5" ht="15" customHeight="1" x14ac:dyDescent="0.25">
      <c r="B300" s="83"/>
      <c r="C300" s="45" t="s">
        <v>114</v>
      </c>
      <c r="D300" s="44">
        <v>2</v>
      </c>
      <c r="E300" s="43">
        <v>2.6656004264960682E-4</v>
      </c>
    </row>
    <row r="301" spans="2:5" ht="15" customHeight="1" x14ac:dyDescent="0.25">
      <c r="B301" s="83"/>
      <c r="C301" s="45" t="s">
        <v>113</v>
      </c>
      <c r="D301" s="44">
        <v>1</v>
      </c>
      <c r="E301" s="43">
        <v>1.3328002132480341E-4</v>
      </c>
    </row>
    <row r="302" spans="2:5" ht="15" customHeight="1" x14ac:dyDescent="0.25">
      <c r="B302" s="83"/>
      <c r="C302" s="45" t="s">
        <v>121</v>
      </c>
      <c r="D302" s="44">
        <v>1</v>
      </c>
      <c r="E302" s="43">
        <v>1.3328002132480341E-4</v>
      </c>
    </row>
    <row r="303" spans="2:5" ht="15" customHeight="1" x14ac:dyDescent="0.25">
      <c r="B303" s="83"/>
      <c r="C303" s="45" t="s">
        <v>130</v>
      </c>
      <c r="D303" s="44">
        <v>21</v>
      </c>
      <c r="E303" s="43">
        <v>2.7988804478208716E-3</v>
      </c>
    </row>
    <row r="304" spans="2:5" ht="15" customHeight="1" x14ac:dyDescent="0.25">
      <c r="B304" s="83"/>
      <c r="C304" s="45" t="s">
        <v>119</v>
      </c>
      <c r="D304" s="44">
        <v>8</v>
      </c>
      <c r="E304" s="43">
        <v>1.0662401705984273E-3</v>
      </c>
    </row>
    <row r="305" spans="2:5" ht="15" customHeight="1" x14ac:dyDescent="0.25">
      <c r="B305" s="83"/>
      <c r="C305" s="45" t="s">
        <v>117</v>
      </c>
      <c r="D305" s="44">
        <v>3</v>
      </c>
      <c r="E305" s="43">
        <v>3.9984006397441024E-4</v>
      </c>
    </row>
    <row r="306" spans="2:5" ht="15" customHeight="1" x14ac:dyDescent="0.25">
      <c r="B306" s="83"/>
      <c r="C306" s="45" t="s">
        <v>122</v>
      </c>
      <c r="D306" s="44">
        <v>2</v>
      </c>
      <c r="E306" s="43">
        <v>2.6656004264960682E-4</v>
      </c>
    </row>
    <row r="307" spans="2:5" ht="15" customHeight="1" x14ac:dyDescent="0.25">
      <c r="B307" s="83"/>
      <c r="C307" s="45" t="s">
        <v>129</v>
      </c>
      <c r="D307" s="44">
        <v>59</v>
      </c>
      <c r="E307" s="43">
        <v>7.8635212581634022E-3</v>
      </c>
    </row>
    <row r="308" spans="2:5" ht="15" customHeight="1" x14ac:dyDescent="0.25">
      <c r="B308" s="83"/>
      <c r="C308" s="45" t="s">
        <v>127</v>
      </c>
      <c r="D308" s="44">
        <v>4</v>
      </c>
      <c r="E308" s="43">
        <v>5.3312008529921365E-4</v>
      </c>
    </row>
    <row r="309" spans="2:5" ht="15" customHeight="1" x14ac:dyDescent="0.25">
      <c r="B309" s="83"/>
      <c r="C309" s="45" t="s">
        <v>126</v>
      </c>
      <c r="D309" s="44">
        <v>2</v>
      </c>
      <c r="E309" s="43">
        <v>2.6656004264960682E-4</v>
      </c>
    </row>
    <row r="310" spans="2:5" ht="15" customHeight="1" x14ac:dyDescent="0.25">
      <c r="B310" s="83"/>
      <c r="C310" s="45" t="s">
        <v>120</v>
      </c>
      <c r="D310" s="44">
        <v>5</v>
      </c>
      <c r="E310" s="43">
        <v>6.6640010662401706E-4</v>
      </c>
    </row>
    <row r="311" spans="2:5" ht="15" customHeight="1" x14ac:dyDescent="0.25">
      <c r="B311" s="83"/>
      <c r="C311" s="45" t="s">
        <v>123</v>
      </c>
      <c r="D311" s="44">
        <v>4</v>
      </c>
      <c r="E311" s="43">
        <v>5.3312008529921365E-4</v>
      </c>
    </row>
    <row r="312" spans="2:5" ht="15" customHeight="1" x14ac:dyDescent="0.25">
      <c r="B312" s="83"/>
      <c r="C312" s="45" t="s">
        <v>118</v>
      </c>
      <c r="D312" s="44">
        <v>2</v>
      </c>
      <c r="E312" s="43">
        <v>2.6656004264960682E-4</v>
      </c>
    </row>
    <row r="313" spans="2:5" ht="15" customHeight="1" x14ac:dyDescent="0.25">
      <c r="B313" s="83"/>
      <c r="C313" s="45" t="s">
        <v>125</v>
      </c>
      <c r="D313" s="44">
        <v>7</v>
      </c>
      <c r="E313" s="43">
        <v>9.3296014927362388E-4</v>
      </c>
    </row>
    <row r="314" spans="2:5" ht="15" customHeight="1" x14ac:dyDescent="0.25">
      <c r="B314" s="84"/>
      <c r="C314" s="42" t="s">
        <v>20</v>
      </c>
      <c r="D314" s="41">
        <v>146</v>
      </c>
      <c r="E314" s="40">
        <v>1.94588831134213E-2</v>
      </c>
    </row>
    <row r="315" spans="2:5" ht="15" customHeight="1" x14ac:dyDescent="0.25">
      <c r="B315" s="82" t="s">
        <v>28</v>
      </c>
      <c r="C315" s="45" t="s">
        <v>128</v>
      </c>
      <c r="D315" s="44">
        <v>1</v>
      </c>
      <c r="E315" s="43">
        <v>1.3328002132480341E-4</v>
      </c>
    </row>
    <row r="316" spans="2:5" ht="15" customHeight="1" x14ac:dyDescent="0.25">
      <c r="B316" s="83"/>
      <c r="C316" s="45" t="s">
        <v>130</v>
      </c>
      <c r="D316" s="44">
        <v>1</v>
      </c>
      <c r="E316" s="43">
        <v>1.3328002132480341E-4</v>
      </c>
    </row>
    <row r="317" spans="2:5" ht="15" customHeight="1" x14ac:dyDescent="0.25">
      <c r="B317" s="83"/>
      <c r="C317" s="45" t="s">
        <v>117</v>
      </c>
      <c r="D317" s="44">
        <v>1</v>
      </c>
      <c r="E317" s="43">
        <v>1.3328002132480341E-4</v>
      </c>
    </row>
    <row r="318" spans="2:5" ht="15" customHeight="1" x14ac:dyDescent="0.25">
      <c r="B318" s="83"/>
      <c r="C318" s="45" t="s">
        <v>129</v>
      </c>
      <c r="D318" s="44">
        <v>1</v>
      </c>
      <c r="E318" s="43">
        <v>1.3328002132480341E-4</v>
      </c>
    </row>
    <row r="319" spans="2:5" ht="15" customHeight="1" x14ac:dyDescent="0.25">
      <c r="B319" s="83"/>
      <c r="C319" s="45" t="s">
        <v>127</v>
      </c>
      <c r="D319" s="44">
        <v>2</v>
      </c>
      <c r="E319" s="43">
        <v>2.6656004264960682E-4</v>
      </c>
    </row>
    <row r="320" spans="2:5" ht="15" customHeight="1" x14ac:dyDescent="0.25">
      <c r="B320" s="84"/>
      <c r="C320" s="42" t="s">
        <v>20</v>
      </c>
      <c r="D320" s="41">
        <v>6</v>
      </c>
      <c r="E320" s="40">
        <v>7.9968012794882047E-4</v>
      </c>
    </row>
    <row r="321" spans="2:5" ht="15" customHeight="1" x14ac:dyDescent="0.25">
      <c r="B321" s="82" t="s">
        <v>44</v>
      </c>
      <c r="C321" s="45" t="s">
        <v>128</v>
      </c>
      <c r="D321" s="44">
        <v>3</v>
      </c>
      <c r="E321" s="43">
        <v>3.9984006397441024E-4</v>
      </c>
    </row>
    <row r="322" spans="2:5" ht="15" customHeight="1" x14ac:dyDescent="0.25">
      <c r="B322" s="83"/>
      <c r="C322" s="45" t="s">
        <v>115</v>
      </c>
      <c r="D322" s="44">
        <v>1</v>
      </c>
      <c r="E322" s="43">
        <v>1.3328002132480341E-4</v>
      </c>
    </row>
    <row r="323" spans="2:5" ht="15" customHeight="1" x14ac:dyDescent="0.25">
      <c r="B323" s="83"/>
      <c r="C323" s="45" t="s">
        <v>130</v>
      </c>
      <c r="D323" s="44">
        <v>15</v>
      </c>
      <c r="E323" s="43">
        <v>1.9992003198720512E-3</v>
      </c>
    </row>
    <row r="324" spans="2:5" ht="15" customHeight="1" x14ac:dyDescent="0.25">
      <c r="B324" s="83"/>
      <c r="C324" s="45" t="s">
        <v>119</v>
      </c>
      <c r="D324" s="44">
        <v>1</v>
      </c>
      <c r="E324" s="43">
        <v>1.3328002132480341E-4</v>
      </c>
    </row>
    <row r="325" spans="2:5" ht="15" customHeight="1" x14ac:dyDescent="0.25">
      <c r="B325" s="83"/>
      <c r="C325" s="45" t="s">
        <v>122</v>
      </c>
      <c r="D325" s="44">
        <v>3</v>
      </c>
      <c r="E325" s="43">
        <v>3.9984006397441024E-4</v>
      </c>
    </row>
    <row r="326" spans="2:5" ht="15" customHeight="1" x14ac:dyDescent="0.25">
      <c r="B326" s="83"/>
      <c r="C326" s="45" t="s">
        <v>129</v>
      </c>
      <c r="D326" s="44">
        <v>1</v>
      </c>
      <c r="E326" s="43">
        <v>1.3328002132480341E-4</v>
      </c>
    </row>
    <row r="327" spans="2:5" ht="15" customHeight="1" x14ac:dyDescent="0.25">
      <c r="B327" s="83"/>
      <c r="C327" s="45" t="s">
        <v>127</v>
      </c>
      <c r="D327" s="44">
        <v>4</v>
      </c>
      <c r="E327" s="43">
        <v>5.3312008529921365E-4</v>
      </c>
    </row>
    <row r="328" spans="2:5" ht="15" customHeight="1" x14ac:dyDescent="0.25">
      <c r="B328" s="83"/>
      <c r="C328" s="45" t="s">
        <v>126</v>
      </c>
      <c r="D328" s="44">
        <v>1</v>
      </c>
      <c r="E328" s="43">
        <v>1.3328002132480341E-4</v>
      </c>
    </row>
    <row r="329" spans="2:5" ht="15" customHeight="1" x14ac:dyDescent="0.25">
      <c r="B329" s="83"/>
      <c r="C329" s="45" t="s">
        <v>116</v>
      </c>
      <c r="D329" s="44">
        <v>2</v>
      </c>
      <c r="E329" s="43">
        <v>2.6656004264960682E-4</v>
      </c>
    </row>
    <row r="330" spans="2:5" ht="15" customHeight="1" x14ac:dyDescent="0.25">
      <c r="B330" s="83"/>
      <c r="C330" s="45" t="s">
        <v>125</v>
      </c>
      <c r="D330" s="44">
        <v>1</v>
      </c>
      <c r="E330" s="43">
        <v>1.3328002132480341E-4</v>
      </c>
    </row>
    <row r="331" spans="2:5" ht="15" customHeight="1" x14ac:dyDescent="0.25">
      <c r="B331" s="84"/>
      <c r="C331" s="42" t="s">
        <v>20</v>
      </c>
      <c r="D331" s="41">
        <v>32</v>
      </c>
      <c r="E331" s="40">
        <v>4.2649606823937092E-3</v>
      </c>
    </row>
    <row r="332" spans="2:5" ht="15" customHeight="1" x14ac:dyDescent="0.25">
      <c r="B332" s="82" t="s">
        <v>52</v>
      </c>
      <c r="C332" s="45" t="s">
        <v>128</v>
      </c>
      <c r="D332" s="44">
        <v>4</v>
      </c>
      <c r="E332" s="43">
        <v>5.3312008529921365E-4</v>
      </c>
    </row>
    <row r="333" spans="2:5" ht="15" customHeight="1" x14ac:dyDescent="0.25">
      <c r="B333" s="83"/>
      <c r="C333" s="45" t="s">
        <v>115</v>
      </c>
      <c r="D333" s="44">
        <v>1</v>
      </c>
      <c r="E333" s="43">
        <v>1.3328002132480341E-4</v>
      </c>
    </row>
    <row r="334" spans="2:5" ht="15" customHeight="1" x14ac:dyDescent="0.25">
      <c r="B334" s="83"/>
      <c r="C334" s="45" t="s">
        <v>121</v>
      </c>
      <c r="D334" s="44">
        <v>2</v>
      </c>
      <c r="E334" s="43">
        <v>2.6656004264960682E-4</v>
      </c>
    </row>
    <row r="335" spans="2:5" ht="15" customHeight="1" x14ac:dyDescent="0.25">
      <c r="B335" s="83"/>
      <c r="C335" s="45" t="s">
        <v>130</v>
      </c>
      <c r="D335" s="44">
        <v>33</v>
      </c>
      <c r="E335" s="43">
        <v>4.3982407037185126E-3</v>
      </c>
    </row>
    <row r="336" spans="2:5" ht="15" customHeight="1" x14ac:dyDescent="0.25">
      <c r="B336" s="83"/>
      <c r="C336" s="45" t="s">
        <v>119</v>
      </c>
      <c r="D336" s="44">
        <v>1</v>
      </c>
      <c r="E336" s="43">
        <v>1.3328002132480341E-4</v>
      </c>
    </row>
    <row r="337" spans="2:5" ht="15" customHeight="1" x14ac:dyDescent="0.25">
      <c r="B337" s="83"/>
      <c r="C337" s="45" t="s">
        <v>117</v>
      </c>
      <c r="D337" s="44">
        <v>2</v>
      </c>
      <c r="E337" s="43">
        <v>2.6656004264960682E-4</v>
      </c>
    </row>
    <row r="338" spans="2:5" ht="15" customHeight="1" x14ac:dyDescent="0.25">
      <c r="B338" s="83"/>
      <c r="C338" s="45" t="s">
        <v>122</v>
      </c>
      <c r="D338" s="44">
        <v>4</v>
      </c>
      <c r="E338" s="43">
        <v>5.3312008529921365E-4</v>
      </c>
    </row>
    <row r="339" spans="2:5" ht="15" customHeight="1" x14ac:dyDescent="0.25">
      <c r="B339" s="83"/>
      <c r="C339" s="45" t="s">
        <v>129</v>
      </c>
      <c r="D339" s="44">
        <v>8</v>
      </c>
      <c r="E339" s="43">
        <v>1.0662401705984273E-3</v>
      </c>
    </row>
    <row r="340" spans="2:5" ht="15" customHeight="1" x14ac:dyDescent="0.25">
      <c r="B340" s="83"/>
      <c r="C340" s="45" t="s">
        <v>127</v>
      </c>
      <c r="D340" s="44">
        <v>3</v>
      </c>
      <c r="E340" s="43">
        <v>3.9984006397441024E-4</v>
      </c>
    </row>
    <row r="341" spans="2:5" ht="15" customHeight="1" x14ac:dyDescent="0.25">
      <c r="B341" s="83"/>
      <c r="C341" s="45" t="s">
        <v>126</v>
      </c>
      <c r="D341" s="44">
        <v>5</v>
      </c>
      <c r="E341" s="43">
        <v>6.6640010662401706E-4</v>
      </c>
    </row>
    <row r="342" spans="2:5" ht="15" customHeight="1" x14ac:dyDescent="0.25">
      <c r="B342" s="83"/>
      <c r="C342" s="45" t="s">
        <v>120</v>
      </c>
      <c r="D342" s="44">
        <v>5</v>
      </c>
      <c r="E342" s="43">
        <v>6.6640010662401706E-4</v>
      </c>
    </row>
    <row r="343" spans="2:5" ht="15" customHeight="1" x14ac:dyDescent="0.25">
      <c r="B343" s="83"/>
      <c r="C343" s="45" t="s">
        <v>123</v>
      </c>
      <c r="D343" s="44">
        <v>1</v>
      </c>
      <c r="E343" s="43">
        <v>1.3328002132480341E-4</v>
      </c>
    </row>
    <row r="344" spans="2:5" ht="15" customHeight="1" x14ac:dyDescent="0.25">
      <c r="B344" s="83"/>
      <c r="C344" s="45" t="s">
        <v>125</v>
      </c>
      <c r="D344" s="44">
        <v>1</v>
      </c>
      <c r="E344" s="43">
        <v>1.3328002132480341E-4</v>
      </c>
    </row>
    <row r="345" spans="2:5" ht="15" customHeight="1" x14ac:dyDescent="0.25">
      <c r="B345" s="84"/>
      <c r="C345" s="42" t="s">
        <v>20</v>
      </c>
      <c r="D345" s="41">
        <v>70</v>
      </c>
      <c r="E345" s="40">
        <v>9.3296014927362388E-3</v>
      </c>
    </row>
    <row r="346" spans="2:5" ht="15" customHeight="1" x14ac:dyDescent="0.25">
      <c r="B346" s="82" t="s">
        <v>27</v>
      </c>
      <c r="C346" s="45" t="s">
        <v>128</v>
      </c>
      <c r="D346" s="44">
        <v>1</v>
      </c>
      <c r="E346" s="43">
        <v>1.3328002132480341E-4</v>
      </c>
    </row>
    <row r="347" spans="2:5" ht="15" customHeight="1" x14ac:dyDescent="0.25">
      <c r="B347" s="83"/>
      <c r="C347" s="45" t="s">
        <v>130</v>
      </c>
      <c r="D347" s="44">
        <v>1</v>
      </c>
      <c r="E347" s="43">
        <v>1.3328002132480341E-4</v>
      </c>
    </row>
    <row r="348" spans="2:5" ht="15" customHeight="1" x14ac:dyDescent="0.25">
      <c r="B348" s="83"/>
      <c r="C348" s="45" t="s">
        <v>122</v>
      </c>
      <c r="D348" s="44">
        <v>2</v>
      </c>
      <c r="E348" s="43">
        <v>2.6656004264960682E-4</v>
      </c>
    </row>
    <row r="349" spans="2:5" ht="15" customHeight="1" x14ac:dyDescent="0.25">
      <c r="B349" s="83"/>
      <c r="C349" s="45" t="s">
        <v>127</v>
      </c>
      <c r="D349" s="44">
        <v>1</v>
      </c>
      <c r="E349" s="43">
        <v>1.3328002132480341E-4</v>
      </c>
    </row>
    <row r="350" spans="2:5" ht="15" customHeight="1" x14ac:dyDescent="0.25">
      <c r="B350" s="83"/>
      <c r="C350" s="45" t="s">
        <v>125</v>
      </c>
      <c r="D350" s="44">
        <v>1</v>
      </c>
      <c r="E350" s="43">
        <v>1.3328002132480341E-4</v>
      </c>
    </row>
    <row r="351" spans="2:5" ht="15" customHeight="1" x14ac:dyDescent="0.25">
      <c r="B351" s="84"/>
      <c r="C351" s="42" t="s">
        <v>20</v>
      </c>
      <c r="D351" s="41">
        <v>6</v>
      </c>
      <c r="E351" s="40">
        <v>7.9968012794882047E-4</v>
      </c>
    </row>
    <row r="352" spans="2:5" ht="15" customHeight="1" x14ac:dyDescent="0.25">
      <c r="B352" s="82" t="s">
        <v>209</v>
      </c>
      <c r="C352" s="45" t="s">
        <v>116</v>
      </c>
      <c r="D352" s="44">
        <v>1</v>
      </c>
      <c r="E352" s="43">
        <v>1.3328002132480341E-4</v>
      </c>
    </row>
    <row r="353" spans="2:5" ht="15" customHeight="1" x14ac:dyDescent="0.25">
      <c r="B353" s="84"/>
      <c r="C353" s="42" t="s">
        <v>20</v>
      </c>
      <c r="D353" s="41">
        <v>1</v>
      </c>
      <c r="E353" s="40">
        <v>1.3328002132480341E-4</v>
      </c>
    </row>
    <row r="354" spans="2:5" ht="15" customHeight="1" x14ac:dyDescent="0.25">
      <c r="B354" s="82" t="s">
        <v>26</v>
      </c>
      <c r="C354" s="45" t="s">
        <v>128</v>
      </c>
      <c r="D354" s="44">
        <v>4</v>
      </c>
      <c r="E354" s="43">
        <v>5.3312008529921365E-4</v>
      </c>
    </row>
    <row r="355" spans="2:5" ht="15" customHeight="1" x14ac:dyDescent="0.25">
      <c r="B355" s="83"/>
      <c r="C355" s="45" t="s">
        <v>124</v>
      </c>
      <c r="D355" s="44">
        <v>1</v>
      </c>
      <c r="E355" s="43">
        <v>1.3328002132480341E-4</v>
      </c>
    </row>
    <row r="356" spans="2:5" ht="15" customHeight="1" x14ac:dyDescent="0.25">
      <c r="B356" s="83"/>
      <c r="C356" s="45" t="s">
        <v>130</v>
      </c>
      <c r="D356" s="44">
        <v>4</v>
      </c>
      <c r="E356" s="43">
        <v>5.3312008529921365E-4</v>
      </c>
    </row>
    <row r="357" spans="2:5" ht="15" customHeight="1" x14ac:dyDescent="0.25">
      <c r="B357" s="83"/>
      <c r="C357" s="45" t="s">
        <v>122</v>
      </c>
      <c r="D357" s="44">
        <v>1</v>
      </c>
      <c r="E357" s="43">
        <v>1.3328002132480341E-4</v>
      </c>
    </row>
    <row r="358" spans="2:5" ht="15" customHeight="1" x14ac:dyDescent="0.25">
      <c r="B358" s="83"/>
      <c r="C358" s="45" t="s">
        <v>129</v>
      </c>
      <c r="D358" s="44">
        <v>10</v>
      </c>
      <c r="E358" s="43">
        <v>1.3328002132480341E-3</v>
      </c>
    </row>
    <row r="359" spans="2:5" ht="15" customHeight="1" x14ac:dyDescent="0.25">
      <c r="B359" s="83"/>
      <c r="C359" s="45" t="s">
        <v>127</v>
      </c>
      <c r="D359" s="44">
        <v>3</v>
      </c>
      <c r="E359" s="43">
        <v>3.9984006397441024E-4</v>
      </c>
    </row>
    <row r="360" spans="2:5" ht="15" customHeight="1" x14ac:dyDescent="0.25">
      <c r="B360" s="83"/>
      <c r="C360" s="45" t="s">
        <v>126</v>
      </c>
      <c r="D360" s="44">
        <v>1</v>
      </c>
      <c r="E360" s="43">
        <v>1.3328002132480341E-4</v>
      </c>
    </row>
    <row r="361" spans="2:5" ht="15" customHeight="1" x14ac:dyDescent="0.25">
      <c r="B361" s="83"/>
      <c r="C361" s="45" t="s">
        <v>125</v>
      </c>
      <c r="D361" s="44">
        <v>1</v>
      </c>
      <c r="E361" s="43">
        <v>1.3328002132480341E-4</v>
      </c>
    </row>
    <row r="362" spans="2:5" ht="15" customHeight="1" x14ac:dyDescent="0.25">
      <c r="B362" s="84"/>
      <c r="C362" s="42" t="s">
        <v>20</v>
      </c>
      <c r="D362" s="41">
        <v>25</v>
      </c>
      <c r="E362" s="40">
        <v>3.3320005331200853E-3</v>
      </c>
    </row>
    <row r="363" spans="2:5" ht="15" customHeight="1" x14ac:dyDescent="0.25">
      <c r="B363" s="82" t="s">
        <v>22</v>
      </c>
      <c r="C363" s="45" t="s">
        <v>128</v>
      </c>
      <c r="D363" s="44">
        <v>2</v>
      </c>
      <c r="E363" s="43">
        <v>2.6656004264960682E-4</v>
      </c>
    </row>
    <row r="364" spans="2:5" ht="15" customHeight="1" x14ac:dyDescent="0.25">
      <c r="B364" s="83"/>
      <c r="C364" s="45" t="s">
        <v>130</v>
      </c>
      <c r="D364" s="44">
        <v>2</v>
      </c>
      <c r="E364" s="43">
        <v>2.6656004264960682E-4</v>
      </c>
    </row>
    <row r="365" spans="2:5" ht="15" customHeight="1" x14ac:dyDescent="0.25">
      <c r="B365" s="83"/>
      <c r="C365" s="45" t="s">
        <v>117</v>
      </c>
      <c r="D365" s="44">
        <v>1</v>
      </c>
      <c r="E365" s="43">
        <v>1.3328002132480341E-4</v>
      </c>
    </row>
    <row r="366" spans="2:5" ht="15" customHeight="1" x14ac:dyDescent="0.25">
      <c r="B366" s="83"/>
      <c r="C366" s="45" t="s">
        <v>120</v>
      </c>
      <c r="D366" s="44">
        <v>1</v>
      </c>
      <c r="E366" s="43">
        <v>1.3328002132480341E-4</v>
      </c>
    </row>
    <row r="367" spans="2:5" ht="15" customHeight="1" x14ac:dyDescent="0.25">
      <c r="B367" s="84"/>
      <c r="C367" s="42" t="s">
        <v>20</v>
      </c>
      <c r="D367" s="41">
        <v>6</v>
      </c>
      <c r="E367" s="40">
        <v>7.9968012794882047E-4</v>
      </c>
    </row>
    <row r="368" spans="2:5" ht="15" customHeight="1" x14ac:dyDescent="0.25">
      <c r="B368" s="82" t="s">
        <v>39</v>
      </c>
      <c r="C368" s="45" t="s">
        <v>128</v>
      </c>
      <c r="D368" s="44">
        <v>5</v>
      </c>
      <c r="E368" s="43">
        <v>6.6640010662401706E-4</v>
      </c>
    </row>
    <row r="369" spans="2:5" ht="15" customHeight="1" x14ac:dyDescent="0.25">
      <c r="B369" s="83"/>
      <c r="C369" s="45" t="s">
        <v>114</v>
      </c>
      <c r="D369" s="44">
        <v>4</v>
      </c>
      <c r="E369" s="43">
        <v>5.3312008529921365E-4</v>
      </c>
    </row>
    <row r="370" spans="2:5" ht="15" customHeight="1" x14ac:dyDescent="0.25">
      <c r="B370" s="83"/>
      <c r="C370" s="45" t="s">
        <v>113</v>
      </c>
      <c r="D370" s="44">
        <v>1</v>
      </c>
      <c r="E370" s="43">
        <v>1.3328002132480341E-4</v>
      </c>
    </row>
    <row r="371" spans="2:5" ht="15" customHeight="1" x14ac:dyDescent="0.25">
      <c r="B371" s="83"/>
      <c r="C371" s="45" t="s">
        <v>130</v>
      </c>
      <c r="D371" s="44">
        <v>4</v>
      </c>
      <c r="E371" s="43">
        <v>5.3312008529921365E-4</v>
      </c>
    </row>
    <row r="372" spans="2:5" ht="15" customHeight="1" x14ac:dyDescent="0.25">
      <c r="B372" s="83"/>
      <c r="C372" s="45" t="s">
        <v>117</v>
      </c>
      <c r="D372" s="44">
        <v>1</v>
      </c>
      <c r="E372" s="43">
        <v>1.3328002132480341E-4</v>
      </c>
    </row>
    <row r="373" spans="2:5" ht="15" customHeight="1" x14ac:dyDescent="0.25">
      <c r="B373" s="83"/>
      <c r="C373" s="45" t="s">
        <v>129</v>
      </c>
      <c r="D373" s="44">
        <v>3</v>
      </c>
      <c r="E373" s="43">
        <v>3.9984006397441024E-4</v>
      </c>
    </row>
    <row r="374" spans="2:5" ht="15" customHeight="1" x14ac:dyDescent="0.25">
      <c r="B374" s="83"/>
      <c r="C374" s="45" t="s">
        <v>127</v>
      </c>
      <c r="D374" s="44">
        <v>2</v>
      </c>
      <c r="E374" s="43">
        <v>2.6656004264960682E-4</v>
      </c>
    </row>
    <row r="375" spans="2:5" ht="15" customHeight="1" x14ac:dyDescent="0.25">
      <c r="B375" s="83"/>
      <c r="C375" s="45" t="s">
        <v>120</v>
      </c>
      <c r="D375" s="44">
        <v>1</v>
      </c>
      <c r="E375" s="43">
        <v>1.3328002132480341E-4</v>
      </c>
    </row>
    <row r="376" spans="2:5" ht="15" customHeight="1" x14ac:dyDescent="0.25">
      <c r="B376" s="83"/>
      <c r="C376" s="45" t="s">
        <v>123</v>
      </c>
      <c r="D376" s="44">
        <v>1</v>
      </c>
      <c r="E376" s="43">
        <v>1.3328002132480341E-4</v>
      </c>
    </row>
    <row r="377" spans="2:5" ht="15" customHeight="1" x14ac:dyDescent="0.25">
      <c r="B377" s="84"/>
      <c r="C377" s="42" t="s">
        <v>20</v>
      </c>
      <c r="D377" s="41">
        <v>22</v>
      </c>
      <c r="E377" s="40">
        <v>2.9321604691456751E-3</v>
      </c>
    </row>
    <row r="378" spans="2:5" ht="15" customHeight="1" x14ac:dyDescent="0.25">
      <c r="B378" s="82" t="s">
        <v>57</v>
      </c>
      <c r="C378" s="45" t="s">
        <v>128</v>
      </c>
      <c r="D378" s="44">
        <v>42</v>
      </c>
      <c r="E378" s="43">
        <v>5.5977608956417433E-3</v>
      </c>
    </row>
    <row r="379" spans="2:5" ht="15" customHeight="1" x14ac:dyDescent="0.25">
      <c r="B379" s="83"/>
      <c r="C379" s="45" t="s">
        <v>115</v>
      </c>
      <c r="D379" s="44">
        <v>4</v>
      </c>
      <c r="E379" s="43">
        <v>5.3312008529921365E-4</v>
      </c>
    </row>
    <row r="380" spans="2:5" ht="15" customHeight="1" x14ac:dyDescent="0.25">
      <c r="B380" s="83"/>
      <c r="C380" s="45" t="s">
        <v>124</v>
      </c>
      <c r="D380" s="44">
        <v>4</v>
      </c>
      <c r="E380" s="43">
        <v>5.3312008529921365E-4</v>
      </c>
    </row>
    <row r="381" spans="2:5" ht="15" customHeight="1" x14ac:dyDescent="0.25">
      <c r="B381" s="83"/>
      <c r="C381" s="45" t="s">
        <v>114</v>
      </c>
      <c r="D381" s="44">
        <v>9</v>
      </c>
      <c r="E381" s="43">
        <v>1.1995201919232307E-3</v>
      </c>
    </row>
    <row r="382" spans="2:5" ht="15" customHeight="1" x14ac:dyDescent="0.25">
      <c r="B382" s="83"/>
      <c r="C382" s="45" t="s">
        <v>113</v>
      </c>
      <c r="D382" s="44">
        <v>5</v>
      </c>
      <c r="E382" s="43">
        <v>6.6640010662401706E-4</v>
      </c>
    </row>
    <row r="383" spans="2:5" ht="15" customHeight="1" x14ac:dyDescent="0.25">
      <c r="B383" s="83"/>
      <c r="C383" s="45" t="s">
        <v>121</v>
      </c>
      <c r="D383" s="44">
        <v>4</v>
      </c>
      <c r="E383" s="43">
        <v>5.3312008529921365E-4</v>
      </c>
    </row>
    <row r="384" spans="2:5" ht="15" customHeight="1" x14ac:dyDescent="0.25">
      <c r="B384" s="83"/>
      <c r="C384" s="45" t="s">
        <v>130</v>
      </c>
      <c r="D384" s="44">
        <v>80</v>
      </c>
      <c r="E384" s="43">
        <v>1.0662401705984273E-2</v>
      </c>
    </row>
    <row r="385" spans="2:5" ht="15" customHeight="1" x14ac:dyDescent="0.25">
      <c r="B385" s="83"/>
      <c r="C385" s="45" t="s">
        <v>119</v>
      </c>
      <c r="D385" s="44">
        <v>10</v>
      </c>
      <c r="E385" s="43">
        <v>1.3328002132480341E-3</v>
      </c>
    </row>
    <row r="386" spans="2:5" ht="15" customHeight="1" x14ac:dyDescent="0.25">
      <c r="B386" s="83"/>
      <c r="C386" s="45" t="s">
        <v>117</v>
      </c>
      <c r="D386" s="44">
        <v>3</v>
      </c>
      <c r="E386" s="43">
        <v>3.9984006397441024E-4</v>
      </c>
    </row>
    <row r="387" spans="2:5" ht="15" customHeight="1" x14ac:dyDescent="0.25">
      <c r="B387" s="83"/>
      <c r="C387" s="45" t="s">
        <v>122</v>
      </c>
      <c r="D387" s="44">
        <v>3</v>
      </c>
      <c r="E387" s="43">
        <v>3.9984006397441024E-4</v>
      </c>
    </row>
    <row r="388" spans="2:5" ht="15" customHeight="1" x14ac:dyDescent="0.25">
      <c r="B388" s="83"/>
      <c r="C388" s="45" t="s">
        <v>129</v>
      </c>
      <c r="D388" s="44">
        <v>20</v>
      </c>
      <c r="E388" s="43">
        <v>2.6656004264960682E-3</v>
      </c>
    </row>
    <row r="389" spans="2:5" ht="15" customHeight="1" x14ac:dyDescent="0.25">
      <c r="B389" s="83"/>
      <c r="C389" s="45" t="s">
        <v>127</v>
      </c>
      <c r="D389" s="44">
        <v>52</v>
      </c>
      <c r="E389" s="43">
        <v>6.9305611088897774E-3</v>
      </c>
    </row>
    <row r="390" spans="2:5" ht="15" customHeight="1" x14ac:dyDescent="0.25">
      <c r="B390" s="83"/>
      <c r="C390" s="45" t="s">
        <v>126</v>
      </c>
      <c r="D390" s="44">
        <v>8</v>
      </c>
      <c r="E390" s="43">
        <v>1.0662401705984273E-3</v>
      </c>
    </row>
    <row r="391" spans="2:5" ht="15" customHeight="1" x14ac:dyDescent="0.25">
      <c r="B391" s="83"/>
      <c r="C391" s="45" t="s">
        <v>120</v>
      </c>
      <c r="D391" s="44">
        <v>13</v>
      </c>
      <c r="E391" s="43">
        <v>1.7326402772224444E-3</v>
      </c>
    </row>
    <row r="392" spans="2:5" ht="15" customHeight="1" x14ac:dyDescent="0.25">
      <c r="B392" s="83"/>
      <c r="C392" s="45" t="s">
        <v>116</v>
      </c>
      <c r="D392" s="44">
        <v>8</v>
      </c>
      <c r="E392" s="43">
        <v>1.0662401705984273E-3</v>
      </c>
    </row>
    <row r="393" spans="2:5" ht="15" customHeight="1" x14ac:dyDescent="0.25">
      <c r="B393" s="83"/>
      <c r="C393" s="45" t="s">
        <v>123</v>
      </c>
      <c r="D393" s="44">
        <v>4</v>
      </c>
      <c r="E393" s="43">
        <v>5.3312008529921365E-4</v>
      </c>
    </row>
    <row r="394" spans="2:5" ht="15" customHeight="1" x14ac:dyDescent="0.25">
      <c r="B394" s="83"/>
      <c r="C394" s="45" t="s">
        <v>118</v>
      </c>
      <c r="D394" s="44">
        <v>2</v>
      </c>
      <c r="E394" s="43">
        <v>2.6656004264960682E-4</v>
      </c>
    </row>
    <row r="395" spans="2:5" ht="15" customHeight="1" x14ac:dyDescent="0.25">
      <c r="B395" s="83"/>
      <c r="C395" s="45" t="s">
        <v>125</v>
      </c>
      <c r="D395" s="44">
        <v>7</v>
      </c>
      <c r="E395" s="43">
        <v>9.3296014927362388E-4</v>
      </c>
    </row>
    <row r="396" spans="2:5" ht="15" customHeight="1" x14ac:dyDescent="0.25">
      <c r="B396" s="84"/>
      <c r="C396" s="42" t="s">
        <v>20</v>
      </c>
      <c r="D396" s="41">
        <v>278</v>
      </c>
      <c r="E396" s="40">
        <v>3.705184592829535E-2</v>
      </c>
    </row>
    <row r="397" spans="2:5" ht="15" customHeight="1" x14ac:dyDescent="0.25">
      <c r="B397" s="82" t="s">
        <v>56</v>
      </c>
      <c r="C397" s="45" t="s">
        <v>128</v>
      </c>
      <c r="D397" s="44">
        <v>31</v>
      </c>
      <c r="E397" s="43">
        <v>4.1316806610689058E-3</v>
      </c>
    </row>
    <row r="398" spans="2:5" ht="15" customHeight="1" x14ac:dyDescent="0.25">
      <c r="B398" s="83"/>
      <c r="C398" s="45" t="s">
        <v>115</v>
      </c>
      <c r="D398" s="44">
        <v>8</v>
      </c>
      <c r="E398" s="43">
        <v>1.0662401705984273E-3</v>
      </c>
    </row>
    <row r="399" spans="2:5" ht="15" customHeight="1" x14ac:dyDescent="0.25">
      <c r="B399" s="83"/>
      <c r="C399" s="45" t="s">
        <v>124</v>
      </c>
      <c r="D399" s="44">
        <v>12</v>
      </c>
      <c r="E399" s="43">
        <v>1.5993602558976409E-3</v>
      </c>
    </row>
    <row r="400" spans="2:5" ht="15" customHeight="1" x14ac:dyDescent="0.25">
      <c r="B400" s="83"/>
      <c r="C400" s="45" t="s">
        <v>114</v>
      </c>
      <c r="D400" s="44">
        <v>4</v>
      </c>
      <c r="E400" s="43">
        <v>5.3312008529921365E-4</v>
      </c>
    </row>
    <row r="401" spans="2:5" ht="15" customHeight="1" x14ac:dyDescent="0.25">
      <c r="B401" s="83"/>
      <c r="C401" s="45" t="s">
        <v>113</v>
      </c>
      <c r="D401" s="44">
        <v>2</v>
      </c>
      <c r="E401" s="43">
        <v>2.6656004264960682E-4</v>
      </c>
    </row>
    <row r="402" spans="2:5" ht="15" customHeight="1" x14ac:dyDescent="0.25">
      <c r="B402" s="83"/>
      <c r="C402" s="45" t="s">
        <v>121</v>
      </c>
      <c r="D402" s="44">
        <v>1</v>
      </c>
      <c r="E402" s="43">
        <v>1.3328002132480341E-4</v>
      </c>
    </row>
    <row r="403" spans="2:5" ht="15" customHeight="1" x14ac:dyDescent="0.25">
      <c r="B403" s="83"/>
      <c r="C403" s="45" t="s">
        <v>130</v>
      </c>
      <c r="D403" s="44">
        <v>44</v>
      </c>
      <c r="E403" s="43">
        <v>5.8643209382913501E-3</v>
      </c>
    </row>
    <row r="404" spans="2:5" ht="15" customHeight="1" x14ac:dyDescent="0.25">
      <c r="B404" s="83"/>
      <c r="C404" s="45" t="s">
        <v>119</v>
      </c>
      <c r="D404" s="44">
        <v>5</v>
      </c>
      <c r="E404" s="43">
        <v>6.6640010662401706E-4</v>
      </c>
    </row>
    <row r="405" spans="2:5" ht="15" customHeight="1" x14ac:dyDescent="0.25">
      <c r="B405" s="83"/>
      <c r="C405" s="45" t="s">
        <v>117</v>
      </c>
      <c r="D405" s="44">
        <v>2</v>
      </c>
      <c r="E405" s="43">
        <v>2.6656004264960682E-4</v>
      </c>
    </row>
    <row r="406" spans="2:5" ht="15" customHeight="1" x14ac:dyDescent="0.25">
      <c r="B406" s="83"/>
      <c r="C406" s="45" t="s">
        <v>122</v>
      </c>
      <c r="D406" s="44">
        <v>13</v>
      </c>
      <c r="E406" s="43">
        <v>1.7326402772224444E-3</v>
      </c>
    </row>
    <row r="407" spans="2:5" ht="15" customHeight="1" x14ac:dyDescent="0.25">
      <c r="B407" s="83"/>
      <c r="C407" s="45" t="s">
        <v>129</v>
      </c>
      <c r="D407" s="44">
        <v>20</v>
      </c>
      <c r="E407" s="43">
        <v>2.6656004264960682E-3</v>
      </c>
    </row>
    <row r="408" spans="2:5" ht="15" customHeight="1" x14ac:dyDescent="0.25">
      <c r="B408" s="83"/>
      <c r="C408" s="45" t="s">
        <v>127</v>
      </c>
      <c r="D408" s="44">
        <v>21</v>
      </c>
      <c r="E408" s="43">
        <v>2.7988804478208716E-3</v>
      </c>
    </row>
    <row r="409" spans="2:5" ht="15" customHeight="1" x14ac:dyDescent="0.25">
      <c r="B409" s="83"/>
      <c r="C409" s="45" t="s">
        <v>126</v>
      </c>
      <c r="D409" s="44">
        <v>10</v>
      </c>
      <c r="E409" s="43">
        <v>1.3328002132480341E-3</v>
      </c>
    </row>
    <row r="410" spans="2:5" ht="15" customHeight="1" x14ac:dyDescent="0.25">
      <c r="B410" s="83"/>
      <c r="C410" s="45" t="s">
        <v>120</v>
      </c>
      <c r="D410" s="44">
        <v>2</v>
      </c>
      <c r="E410" s="43">
        <v>2.6656004264960682E-4</v>
      </c>
    </row>
    <row r="411" spans="2:5" ht="15" customHeight="1" x14ac:dyDescent="0.25">
      <c r="B411" s="83"/>
      <c r="C411" s="45" t="s">
        <v>116</v>
      </c>
      <c r="D411" s="44">
        <v>15</v>
      </c>
      <c r="E411" s="43">
        <v>1.9992003198720512E-3</v>
      </c>
    </row>
    <row r="412" spans="2:5" ht="15" customHeight="1" x14ac:dyDescent="0.25">
      <c r="B412" s="83"/>
      <c r="C412" s="45" t="s">
        <v>123</v>
      </c>
      <c r="D412" s="44">
        <v>6</v>
      </c>
      <c r="E412" s="43">
        <v>7.9968012794882047E-4</v>
      </c>
    </row>
    <row r="413" spans="2:5" ht="15" customHeight="1" x14ac:dyDescent="0.25">
      <c r="B413" s="83"/>
      <c r="C413" s="45" t="s">
        <v>118</v>
      </c>
      <c r="D413" s="44">
        <v>1</v>
      </c>
      <c r="E413" s="43">
        <v>1.3328002132480341E-4</v>
      </c>
    </row>
    <row r="414" spans="2:5" ht="15" customHeight="1" x14ac:dyDescent="0.25">
      <c r="B414" s="83"/>
      <c r="C414" s="45" t="s">
        <v>125</v>
      </c>
      <c r="D414" s="44">
        <v>9</v>
      </c>
      <c r="E414" s="43">
        <v>1.1995201919232307E-3</v>
      </c>
    </row>
    <row r="415" spans="2:5" ht="15" customHeight="1" x14ac:dyDescent="0.25">
      <c r="B415" s="84"/>
      <c r="C415" s="42" t="s">
        <v>20</v>
      </c>
      <c r="D415" s="41">
        <v>206</v>
      </c>
      <c r="E415" s="40">
        <v>2.7455684392909505E-2</v>
      </c>
    </row>
    <row r="416" spans="2:5" ht="15" customHeight="1" x14ac:dyDescent="0.25">
      <c r="B416" s="82" t="s">
        <v>34</v>
      </c>
      <c r="C416" s="45" t="s">
        <v>124</v>
      </c>
      <c r="D416" s="44">
        <v>1</v>
      </c>
      <c r="E416" s="43">
        <v>1.3328002132480341E-4</v>
      </c>
    </row>
    <row r="417" spans="2:5" ht="15" customHeight="1" x14ac:dyDescent="0.25">
      <c r="B417" s="83"/>
      <c r="C417" s="45" t="s">
        <v>130</v>
      </c>
      <c r="D417" s="44">
        <v>1</v>
      </c>
      <c r="E417" s="43">
        <v>1.3328002132480341E-4</v>
      </c>
    </row>
    <row r="418" spans="2:5" ht="15" customHeight="1" x14ac:dyDescent="0.25">
      <c r="B418" s="83"/>
      <c r="C418" s="45" t="s">
        <v>119</v>
      </c>
      <c r="D418" s="44">
        <v>1</v>
      </c>
      <c r="E418" s="43">
        <v>1.3328002132480341E-4</v>
      </c>
    </row>
    <row r="419" spans="2:5" ht="15" customHeight="1" x14ac:dyDescent="0.25">
      <c r="B419" s="83"/>
      <c r="C419" s="45" t="s">
        <v>129</v>
      </c>
      <c r="D419" s="44">
        <v>8</v>
      </c>
      <c r="E419" s="43">
        <v>1.0662401705984273E-3</v>
      </c>
    </row>
    <row r="420" spans="2:5" ht="15" customHeight="1" x14ac:dyDescent="0.25">
      <c r="B420" s="84"/>
      <c r="C420" s="42" t="s">
        <v>20</v>
      </c>
      <c r="D420" s="41">
        <v>11</v>
      </c>
      <c r="E420" s="40">
        <v>1.4660802345728375E-3</v>
      </c>
    </row>
    <row r="421" spans="2:5" ht="15" customHeight="1" x14ac:dyDescent="0.25">
      <c r="B421" s="82" t="s">
        <v>54</v>
      </c>
      <c r="C421" s="45" t="s">
        <v>128</v>
      </c>
      <c r="D421" s="44">
        <v>7</v>
      </c>
      <c r="E421" s="43">
        <v>9.3296014927362388E-4</v>
      </c>
    </row>
    <row r="422" spans="2:5" ht="15" customHeight="1" x14ac:dyDescent="0.25">
      <c r="B422" s="83"/>
      <c r="C422" s="45" t="s">
        <v>115</v>
      </c>
      <c r="D422" s="44">
        <v>1</v>
      </c>
      <c r="E422" s="43">
        <v>1.3328002132480341E-4</v>
      </c>
    </row>
    <row r="423" spans="2:5" ht="15" customHeight="1" x14ac:dyDescent="0.25">
      <c r="B423" s="83"/>
      <c r="C423" s="45" t="s">
        <v>124</v>
      </c>
      <c r="D423" s="44">
        <v>4</v>
      </c>
      <c r="E423" s="43">
        <v>5.3312008529921365E-4</v>
      </c>
    </row>
    <row r="424" spans="2:5" ht="15" customHeight="1" x14ac:dyDescent="0.25">
      <c r="B424" s="83"/>
      <c r="C424" s="45" t="s">
        <v>114</v>
      </c>
      <c r="D424" s="44">
        <v>1</v>
      </c>
      <c r="E424" s="43">
        <v>1.3328002132480341E-4</v>
      </c>
    </row>
    <row r="425" spans="2:5" ht="15" customHeight="1" x14ac:dyDescent="0.25">
      <c r="B425" s="83"/>
      <c r="C425" s="45" t="s">
        <v>130</v>
      </c>
      <c r="D425" s="44">
        <v>15</v>
      </c>
      <c r="E425" s="43">
        <v>1.9992003198720512E-3</v>
      </c>
    </row>
    <row r="426" spans="2:5" ht="15" customHeight="1" x14ac:dyDescent="0.25">
      <c r="B426" s="83"/>
      <c r="C426" s="45" t="s">
        <v>119</v>
      </c>
      <c r="D426" s="44">
        <v>3</v>
      </c>
      <c r="E426" s="43">
        <v>3.9984006397441024E-4</v>
      </c>
    </row>
    <row r="427" spans="2:5" ht="15" customHeight="1" x14ac:dyDescent="0.25">
      <c r="B427" s="83"/>
      <c r="C427" s="45" t="s">
        <v>122</v>
      </c>
      <c r="D427" s="44">
        <v>1</v>
      </c>
      <c r="E427" s="43">
        <v>1.3328002132480341E-4</v>
      </c>
    </row>
    <row r="428" spans="2:5" ht="15" customHeight="1" x14ac:dyDescent="0.25">
      <c r="B428" s="83"/>
      <c r="C428" s="45" t="s">
        <v>129</v>
      </c>
      <c r="D428" s="44">
        <v>18</v>
      </c>
      <c r="E428" s="43">
        <v>2.3990403838464614E-3</v>
      </c>
    </row>
    <row r="429" spans="2:5" ht="15" customHeight="1" x14ac:dyDescent="0.25">
      <c r="B429" s="83"/>
      <c r="C429" s="45" t="s">
        <v>127</v>
      </c>
      <c r="D429" s="44">
        <v>8</v>
      </c>
      <c r="E429" s="43">
        <v>1.0662401705984273E-3</v>
      </c>
    </row>
    <row r="430" spans="2:5" ht="15" customHeight="1" x14ac:dyDescent="0.25">
      <c r="B430" s="83"/>
      <c r="C430" s="45" t="s">
        <v>126</v>
      </c>
      <c r="D430" s="44">
        <v>2</v>
      </c>
      <c r="E430" s="43">
        <v>2.6656004264960682E-4</v>
      </c>
    </row>
    <row r="431" spans="2:5" ht="15" customHeight="1" x14ac:dyDescent="0.25">
      <c r="B431" s="83"/>
      <c r="C431" s="45" t="s">
        <v>120</v>
      </c>
      <c r="D431" s="44">
        <v>3</v>
      </c>
      <c r="E431" s="43">
        <v>3.9984006397441024E-4</v>
      </c>
    </row>
    <row r="432" spans="2:5" ht="15" customHeight="1" x14ac:dyDescent="0.25">
      <c r="B432" s="83"/>
      <c r="C432" s="45" t="s">
        <v>116</v>
      </c>
      <c r="D432" s="44">
        <v>2</v>
      </c>
      <c r="E432" s="43">
        <v>2.6656004264960682E-4</v>
      </c>
    </row>
    <row r="433" spans="2:5" ht="15" customHeight="1" x14ac:dyDescent="0.25">
      <c r="B433" s="83"/>
      <c r="C433" s="45" t="s">
        <v>123</v>
      </c>
      <c r="D433" s="44">
        <v>3</v>
      </c>
      <c r="E433" s="43">
        <v>3.9984006397441024E-4</v>
      </c>
    </row>
    <row r="434" spans="2:5" ht="15" customHeight="1" x14ac:dyDescent="0.25">
      <c r="B434" s="83"/>
      <c r="C434" s="45" t="s">
        <v>118</v>
      </c>
      <c r="D434" s="44">
        <v>1</v>
      </c>
      <c r="E434" s="43">
        <v>1.3328002132480341E-4</v>
      </c>
    </row>
    <row r="435" spans="2:5" ht="15" customHeight="1" x14ac:dyDescent="0.25">
      <c r="B435" s="84"/>
      <c r="C435" s="42" t="s">
        <v>20</v>
      </c>
      <c r="D435" s="41">
        <v>69</v>
      </c>
      <c r="E435" s="40">
        <v>9.1963214714114363E-3</v>
      </c>
    </row>
    <row r="436" spans="2:5" ht="15" customHeight="1" x14ac:dyDescent="0.25">
      <c r="B436" s="82" t="s">
        <v>208</v>
      </c>
      <c r="C436" s="45" t="s">
        <v>127</v>
      </c>
      <c r="D436" s="44">
        <v>2</v>
      </c>
      <c r="E436" s="43">
        <v>2.6656004264960682E-4</v>
      </c>
    </row>
    <row r="437" spans="2:5" ht="15" customHeight="1" x14ac:dyDescent="0.25">
      <c r="B437" s="84"/>
      <c r="C437" s="42" t="s">
        <v>20</v>
      </c>
      <c r="D437" s="41">
        <v>2</v>
      </c>
      <c r="E437" s="40">
        <v>2.6656004264960682E-4</v>
      </c>
    </row>
    <row r="438" spans="2:5" ht="15" customHeight="1" x14ac:dyDescent="0.25">
      <c r="B438" s="82" t="s">
        <v>40</v>
      </c>
      <c r="C438" s="45" t="s">
        <v>128</v>
      </c>
      <c r="D438" s="44">
        <v>2</v>
      </c>
      <c r="E438" s="43">
        <v>2.6656004264960682E-4</v>
      </c>
    </row>
    <row r="439" spans="2:5" ht="15" customHeight="1" x14ac:dyDescent="0.25">
      <c r="B439" s="83"/>
      <c r="C439" s="45" t="s">
        <v>115</v>
      </c>
      <c r="D439" s="44">
        <v>1</v>
      </c>
      <c r="E439" s="43">
        <v>1.3328002132480341E-4</v>
      </c>
    </row>
    <row r="440" spans="2:5" ht="15" customHeight="1" x14ac:dyDescent="0.25">
      <c r="B440" s="83"/>
      <c r="C440" s="45" t="s">
        <v>124</v>
      </c>
      <c r="D440" s="44">
        <v>1</v>
      </c>
      <c r="E440" s="43">
        <v>1.3328002132480341E-4</v>
      </c>
    </row>
    <row r="441" spans="2:5" ht="15" customHeight="1" x14ac:dyDescent="0.25">
      <c r="B441" s="83"/>
      <c r="C441" s="45" t="s">
        <v>114</v>
      </c>
      <c r="D441" s="44">
        <v>1</v>
      </c>
      <c r="E441" s="43">
        <v>1.3328002132480341E-4</v>
      </c>
    </row>
    <row r="442" spans="2:5" ht="15" customHeight="1" x14ac:dyDescent="0.25">
      <c r="B442" s="83"/>
      <c r="C442" s="45" t="s">
        <v>113</v>
      </c>
      <c r="D442" s="44">
        <v>1</v>
      </c>
      <c r="E442" s="43">
        <v>1.3328002132480341E-4</v>
      </c>
    </row>
    <row r="443" spans="2:5" ht="15" customHeight="1" x14ac:dyDescent="0.25">
      <c r="B443" s="83"/>
      <c r="C443" s="45" t="s">
        <v>130</v>
      </c>
      <c r="D443" s="44">
        <v>11</v>
      </c>
      <c r="E443" s="43">
        <v>1.4660802345728375E-3</v>
      </c>
    </row>
    <row r="444" spans="2:5" ht="15" customHeight="1" x14ac:dyDescent="0.25">
      <c r="B444" s="83"/>
      <c r="C444" s="45" t="s">
        <v>119</v>
      </c>
      <c r="D444" s="44">
        <v>2</v>
      </c>
      <c r="E444" s="43">
        <v>2.6656004264960682E-4</v>
      </c>
    </row>
    <row r="445" spans="2:5" ht="15" customHeight="1" x14ac:dyDescent="0.25">
      <c r="B445" s="83"/>
      <c r="C445" s="45" t="s">
        <v>117</v>
      </c>
      <c r="D445" s="44">
        <v>1</v>
      </c>
      <c r="E445" s="43">
        <v>1.3328002132480341E-4</v>
      </c>
    </row>
    <row r="446" spans="2:5" ht="15" customHeight="1" x14ac:dyDescent="0.25">
      <c r="B446" s="83"/>
      <c r="C446" s="45" t="s">
        <v>122</v>
      </c>
      <c r="D446" s="44">
        <v>1</v>
      </c>
      <c r="E446" s="43">
        <v>1.3328002132480341E-4</v>
      </c>
    </row>
    <row r="447" spans="2:5" ht="15" customHeight="1" x14ac:dyDescent="0.25">
      <c r="B447" s="83"/>
      <c r="C447" s="45" t="s">
        <v>129</v>
      </c>
      <c r="D447" s="44">
        <v>3</v>
      </c>
      <c r="E447" s="43">
        <v>3.9984006397441024E-4</v>
      </c>
    </row>
    <row r="448" spans="2:5" ht="15" customHeight="1" x14ac:dyDescent="0.25">
      <c r="B448" s="83"/>
      <c r="C448" s="45" t="s">
        <v>127</v>
      </c>
      <c r="D448" s="44">
        <v>9</v>
      </c>
      <c r="E448" s="43">
        <v>1.1995201919232307E-3</v>
      </c>
    </row>
    <row r="449" spans="2:5" ht="15" customHeight="1" x14ac:dyDescent="0.25">
      <c r="B449" s="83"/>
      <c r="C449" s="45" t="s">
        <v>120</v>
      </c>
      <c r="D449" s="44">
        <v>1</v>
      </c>
      <c r="E449" s="43">
        <v>1.3328002132480341E-4</v>
      </c>
    </row>
    <row r="450" spans="2:5" ht="15" customHeight="1" x14ac:dyDescent="0.25">
      <c r="B450" s="83"/>
      <c r="C450" s="45" t="s">
        <v>116</v>
      </c>
      <c r="D450" s="44">
        <v>2</v>
      </c>
      <c r="E450" s="43">
        <v>2.6656004264960682E-4</v>
      </c>
    </row>
    <row r="451" spans="2:5" ht="15" customHeight="1" x14ac:dyDescent="0.25">
      <c r="B451" s="84"/>
      <c r="C451" s="42" t="s">
        <v>20</v>
      </c>
      <c r="D451" s="41">
        <v>36</v>
      </c>
      <c r="E451" s="40">
        <v>4.7980807676929228E-3</v>
      </c>
    </row>
    <row r="452" spans="2:5" ht="15" customHeight="1" x14ac:dyDescent="0.25">
      <c r="B452" s="82" t="s">
        <v>29</v>
      </c>
      <c r="C452" s="45" t="s">
        <v>128</v>
      </c>
      <c r="D452" s="44">
        <v>1</v>
      </c>
      <c r="E452" s="43">
        <v>1.3328002132480341E-4</v>
      </c>
    </row>
    <row r="453" spans="2:5" ht="15" customHeight="1" x14ac:dyDescent="0.25">
      <c r="B453" s="83"/>
      <c r="C453" s="45" t="s">
        <v>124</v>
      </c>
      <c r="D453" s="44">
        <v>1</v>
      </c>
      <c r="E453" s="43">
        <v>1.3328002132480341E-4</v>
      </c>
    </row>
    <row r="454" spans="2:5" ht="15" customHeight="1" x14ac:dyDescent="0.25">
      <c r="B454" s="83"/>
      <c r="C454" s="45" t="s">
        <v>114</v>
      </c>
      <c r="D454" s="44">
        <v>1</v>
      </c>
      <c r="E454" s="43">
        <v>1.3328002132480341E-4</v>
      </c>
    </row>
    <row r="455" spans="2:5" ht="15" customHeight="1" x14ac:dyDescent="0.25">
      <c r="B455" s="83"/>
      <c r="C455" s="45" t="s">
        <v>130</v>
      </c>
      <c r="D455" s="44">
        <v>8</v>
      </c>
      <c r="E455" s="43">
        <v>1.0662401705984273E-3</v>
      </c>
    </row>
    <row r="456" spans="2:5" ht="15" customHeight="1" x14ac:dyDescent="0.25">
      <c r="B456" s="83"/>
      <c r="C456" s="45" t="s">
        <v>127</v>
      </c>
      <c r="D456" s="44">
        <v>4</v>
      </c>
      <c r="E456" s="43">
        <v>5.3312008529921365E-4</v>
      </c>
    </row>
    <row r="457" spans="2:5" ht="15" customHeight="1" x14ac:dyDescent="0.25">
      <c r="B457" s="83"/>
      <c r="C457" s="45" t="s">
        <v>126</v>
      </c>
      <c r="D457" s="44">
        <v>1</v>
      </c>
      <c r="E457" s="43">
        <v>1.3328002132480341E-4</v>
      </c>
    </row>
    <row r="458" spans="2:5" ht="15" customHeight="1" x14ac:dyDescent="0.25">
      <c r="B458" s="84"/>
      <c r="C458" s="42" t="s">
        <v>20</v>
      </c>
      <c r="D458" s="41">
        <v>16</v>
      </c>
      <c r="E458" s="40">
        <v>2.1324803411968546E-3</v>
      </c>
    </row>
    <row r="459" spans="2:5" ht="15" customHeight="1" x14ac:dyDescent="0.25">
      <c r="B459" s="80" t="s">
        <v>20</v>
      </c>
      <c r="C459" s="81"/>
      <c r="D459" s="39">
        <v>7503</v>
      </c>
      <c r="E459" s="38">
        <v>1</v>
      </c>
    </row>
    <row r="461" spans="2:5" ht="15" customHeight="1" x14ac:dyDescent="0.25">
      <c r="B461" s="19" t="s">
        <v>210</v>
      </c>
    </row>
    <row r="462" spans="2:5" ht="15" customHeight="1" x14ac:dyDescent="0.25">
      <c r="B462" s="21" t="s">
        <v>19</v>
      </c>
    </row>
    <row r="463" spans="2:5" ht="15" customHeight="1" x14ac:dyDescent="0.25">
      <c r="B463" s="20" t="s">
        <v>18</v>
      </c>
    </row>
    <row r="464" spans="2:5" ht="15" customHeight="1" x14ac:dyDescent="0.25">
      <c r="B464" s="19" t="s">
        <v>17</v>
      </c>
    </row>
    <row r="465" spans="2:2" ht="15" customHeight="1" x14ac:dyDescent="0.25">
      <c r="B465" s="19" t="s">
        <v>211</v>
      </c>
    </row>
  </sheetData>
  <mergeCells count="44">
    <mergeCell ref="B452:B458"/>
    <mergeCell ref="B459:C459"/>
    <mergeCell ref="B10:B20"/>
    <mergeCell ref="B21:B39"/>
    <mergeCell ref="B40:B47"/>
    <mergeCell ref="B48:B66"/>
    <mergeCell ref="B67:B82"/>
    <mergeCell ref="B7:E8"/>
    <mergeCell ref="B115:B131"/>
    <mergeCell ref="B132:B149"/>
    <mergeCell ref="B150:B162"/>
    <mergeCell ref="B163:B168"/>
    <mergeCell ref="B169:B182"/>
    <mergeCell ref="B183:B188"/>
    <mergeCell ref="B83:B85"/>
    <mergeCell ref="B86:B102"/>
    <mergeCell ref="B103:B114"/>
    <mergeCell ref="B230:B233"/>
    <mergeCell ref="B234:B240"/>
    <mergeCell ref="B241:B253"/>
    <mergeCell ref="B254:B272"/>
    <mergeCell ref="B273:B276"/>
    <mergeCell ref="B277:B291"/>
    <mergeCell ref="B189:B195"/>
    <mergeCell ref="B196:B199"/>
    <mergeCell ref="B200:B204"/>
    <mergeCell ref="B205:B214"/>
    <mergeCell ref="B215:B229"/>
    <mergeCell ref="B292:B297"/>
    <mergeCell ref="B298:B314"/>
    <mergeCell ref="B315:B320"/>
    <mergeCell ref="B321:B331"/>
    <mergeCell ref="B332:B345"/>
    <mergeCell ref="B346:B351"/>
    <mergeCell ref="B352:B353"/>
    <mergeCell ref="B354:B362"/>
    <mergeCell ref="B363:B367"/>
    <mergeCell ref="B368:B377"/>
    <mergeCell ref="B378:B396"/>
    <mergeCell ref="B397:B415"/>
    <mergeCell ref="B416:B420"/>
    <mergeCell ref="B421:B435"/>
    <mergeCell ref="B436:B437"/>
    <mergeCell ref="B438:B45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657"/>
  <sheetViews>
    <sheetView zoomScale="91" zoomScaleNormal="91" zoomScaleSheetLayoutView="85" workbookViewId="0">
      <selection activeCell="F21" sqref="F21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9" customFormat="1" ht="40.5" customHeight="1" x14ac:dyDescent="0.2">
      <c r="B9" s="47" t="s">
        <v>112</v>
      </c>
      <c r="C9" s="49" t="s">
        <v>132</v>
      </c>
      <c r="D9" s="48" t="s">
        <v>62</v>
      </c>
      <c r="E9" s="47" t="s">
        <v>61</v>
      </c>
    </row>
    <row r="10" spans="1:5" ht="15" customHeight="1" x14ac:dyDescent="0.25">
      <c r="B10" s="82" t="s">
        <v>75</v>
      </c>
      <c r="C10" s="45" t="s">
        <v>128</v>
      </c>
      <c r="D10" s="44">
        <v>9</v>
      </c>
      <c r="E10" s="43">
        <v>1.1995201919232307E-3</v>
      </c>
    </row>
    <row r="11" spans="1:5" ht="15" customHeight="1" x14ac:dyDescent="0.25">
      <c r="B11" s="83"/>
      <c r="C11" s="45" t="s">
        <v>124</v>
      </c>
      <c r="D11" s="44">
        <v>5</v>
      </c>
      <c r="E11" s="43">
        <v>6.6640010662401706E-4</v>
      </c>
    </row>
    <row r="12" spans="1:5" ht="15" customHeight="1" x14ac:dyDescent="0.25">
      <c r="B12" s="83"/>
      <c r="C12" s="45" t="s">
        <v>114</v>
      </c>
      <c r="D12" s="44">
        <v>2</v>
      </c>
      <c r="E12" s="43">
        <v>2.6656004264960682E-4</v>
      </c>
    </row>
    <row r="13" spans="1:5" ht="15" customHeight="1" x14ac:dyDescent="0.25">
      <c r="B13" s="83"/>
      <c r="C13" s="45" t="s">
        <v>130</v>
      </c>
      <c r="D13" s="44">
        <v>11</v>
      </c>
      <c r="E13" s="43">
        <v>1.4660802345728375E-3</v>
      </c>
    </row>
    <row r="14" spans="1:5" ht="15" customHeight="1" x14ac:dyDescent="0.25">
      <c r="B14" s="83"/>
      <c r="C14" s="45" t="s">
        <v>119</v>
      </c>
      <c r="D14" s="44">
        <v>3</v>
      </c>
      <c r="E14" s="43">
        <v>3.9984006397441024E-4</v>
      </c>
    </row>
    <row r="15" spans="1:5" ht="15" customHeight="1" x14ac:dyDescent="0.25">
      <c r="B15" s="83"/>
      <c r="C15" s="45" t="s">
        <v>129</v>
      </c>
      <c r="D15" s="44">
        <v>4</v>
      </c>
      <c r="E15" s="43">
        <v>5.3312008529921365E-4</v>
      </c>
    </row>
    <row r="16" spans="1:5" ht="15" customHeight="1" x14ac:dyDescent="0.25">
      <c r="B16" s="83"/>
      <c r="C16" s="45" t="s">
        <v>127</v>
      </c>
      <c r="D16" s="44">
        <v>3</v>
      </c>
      <c r="E16" s="43">
        <v>3.9984006397441024E-4</v>
      </c>
    </row>
    <row r="17" spans="2:5" ht="15" customHeight="1" x14ac:dyDescent="0.25">
      <c r="B17" s="83"/>
      <c r="C17" s="45" t="s">
        <v>126</v>
      </c>
      <c r="D17" s="44">
        <v>1</v>
      </c>
      <c r="E17" s="43">
        <v>1.3328002132480341E-4</v>
      </c>
    </row>
    <row r="18" spans="2:5" ht="15" customHeight="1" x14ac:dyDescent="0.25">
      <c r="B18" s="83"/>
      <c r="C18" s="45" t="s">
        <v>120</v>
      </c>
      <c r="D18" s="44">
        <v>1</v>
      </c>
      <c r="E18" s="43">
        <v>1.3328002132480341E-4</v>
      </c>
    </row>
    <row r="19" spans="2:5" ht="15" customHeight="1" x14ac:dyDescent="0.25">
      <c r="B19" s="83"/>
      <c r="C19" s="45" t="s">
        <v>123</v>
      </c>
      <c r="D19" s="44">
        <v>1</v>
      </c>
      <c r="E19" s="43">
        <v>1.3328002132480341E-4</v>
      </c>
    </row>
    <row r="20" spans="2:5" ht="15" customHeight="1" x14ac:dyDescent="0.25">
      <c r="B20" s="83"/>
      <c r="C20" s="45" t="s">
        <v>118</v>
      </c>
      <c r="D20" s="44">
        <v>1</v>
      </c>
      <c r="E20" s="43">
        <v>1.3328002132480341E-4</v>
      </c>
    </row>
    <row r="21" spans="2:5" ht="15" customHeight="1" x14ac:dyDescent="0.25">
      <c r="B21" s="83"/>
      <c r="C21" s="45" t="s">
        <v>125</v>
      </c>
      <c r="D21" s="44">
        <v>2</v>
      </c>
      <c r="E21" s="43">
        <v>2.6656004264960682E-4</v>
      </c>
    </row>
    <row r="22" spans="2:5" ht="15" customHeight="1" x14ac:dyDescent="0.25">
      <c r="B22" s="84"/>
      <c r="C22" s="42" t="s">
        <v>20</v>
      </c>
      <c r="D22" s="41">
        <v>43</v>
      </c>
      <c r="E22" s="40">
        <v>5.7310409169665467E-3</v>
      </c>
    </row>
    <row r="23" spans="2:5" ht="15" customHeight="1" x14ac:dyDescent="0.25">
      <c r="B23" s="82" t="s">
        <v>107</v>
      </c>
      <c r="C23" s="45" t="s">
        <v>128</v>
      </c>
      <c r="D23" s="44">
        <v>15</v>
      </c>
      <c r="E23" s="43">
        <v>1.9992003198720512E-3</v>
      </c>
    </row>
    <row r="24" spans="2:5" ht="15" customHeight="1" x14ac:dyDescent="0.25">
      <c r="B24" s="83"/>
      <c r="C24" s="45" t="s">
        <v>124</v>
      </c>
      <c r="D24" s="44">
        <v>1</v>
      </c>
      <c r="E24" s="43">
        <v>1.3328002132480341E-4</v>
      </c>
    </row>
    <row r="25" spans="2:5" ht="15" customHeight="1" x14ac:dyDescent="0.25">
      <c r="B25" s="83"/>
      <c r="C25" s="45" t="s">
        <v>114</v>
      </c>
      <c r="D25" s="44">
        <v>6</v>
      </c>
      <c r="E25" s="43">
        <v>7.9968012794882047E-4</v>
      </c>
    </row>
    <row r="26" spans="2:5" ht="15" customHeight="1" x14ac:dyDescent="0.25">
      <c r="B26" s="83"/>
      <c r="C26" s="45" t="s">
        <v>113</v>
      </c>
      <c r="D26" s="44">
        <v>1</v>
      </c>
      <c r="E26" s="43">
        <v>1.3328002132480341E-4</v>
      </c>
    </row>
    <row r="27" spans="2:5" ht="15" customHeight="1" x14ac:dyDescent="0.25">
      <c r="B27" s="83"/>
      <c r="C27" s="45" t="s">
        <v>121</v>
      </c>
      <c r="D27" s="44">
        <v>2</v>
      </c>
      <c r="E27" s="43">
        <v>2.6656004264960682E-4</v>
      </c>
    </row>
    <row r="28" spans="2:5" ht="15" customHeight="1" x14ac:dyDescent="0.25">
      <c r="B28" s="83"/>
      <c r="C28" s="45" t="s">
        <v>130</v>
      </c>
      <c r="D28" s="44">
        <v>19</v>
      </c>
      <c r="E28" s="43">
        <v>2.5323204051712648E-3</v>
      </c>
    </row>
    <row r="29" spans="2:5" ht="15" customHeight="1" x14ac:dyDescent="0.25">
      <c r="B29" s="83"/>
      <c r="C29" s="45" t="s">
        <v>119</v>
      </c>
      <c r="D29" s="44">
        <v>1</v>
      </c>
      <c r="E29" s="43">
        <v>1.3328002132480341E-4</v>
      </c>
    </row>
    <row r="30" spans="2:5" ht="15" customHeight="1" x14ac:dyDescent="0.25">
      <c r="B30" s="83"/>
      <c r="C30" s="45" t="s">
        <v>117</v>
      </c>
      <c r="D30" s="44">
        <v>1</v>
      </c>
      <c r="E30" s="43">
        <v>1.3328002132480341E-4</v>
      </c>
    </row>
    <row r="31" spans="2:5" ht="15" customHeight="1" x14ac:dyDescent="0.25">
      <c r="B31" s="83"/>
      <c r="C31" s="45" t="s">
        <v>122</v>
      </c>
      <c r="D31" s="44">
        <v>2</v>
      </c>
      <c r="E31" s="43">
        <v>2.6656004264960682E-4</v>
      </c>
    </row>
    <row r="32" spans="2:5" ht="15" customHeight="1" x14ac:dyDescent="0.25">
      <c r="B32" s="83"/>
      <c r="C32" s="45" t="s">
        <v>129</v>
      </c>
      <c r="D32" s="44">
        <v>3</v>
      </c>
      <c r="E32" s="43">
        <v>3.9984006397441024E-4</v>
      </c>
    </row>
    <row r="33" spans="2:5" ht="15" customHeight="1" x14ac:dyDescent="0.25">
      <c r="B33" s="83"/>
      <c r="C33" s="45" t="s">
        <v>127</v>
      </c>
      <c r="D33" s="44">
        <v>6</v>
      </c>
      <c r="E33" s="43">
        <v>7.9968012794882047E-4</v>
      </c>
    </row>
    <row r="34" spans="2:5" ht="15" customHeight="1" x14ac:dyDescent="0.25">
      <c r="B34" s="83"/>
      <c r="C34" s="45" t="s">
        <v>126</v>
      </c>
      <c r="D34" s="44">
        <v>5</v>
      </c>
      <c r="E34" s="43">
        <v>6.6640010662401706E-4</v>
      </c>
    </row>
    <row r="35" spans="2:5" ht="15" customHeight="1" x14ac:dyDescent="0.25">
      <c r="B35" s="83"/>
      <c r="C35" s="45" t="s">
        <v>120</v>
      </c>
      <c r="D35" s="44">
        <v>6</v>
      </c>
      <c r="E35" s="43">
        <v>7.9968012794882047E-4</v>
      </c>
    </row>
    <row r="36" spans="2:5" ht="15" customHeight="1" x14ac:dyDescent="0.25">
      <c r="B36" s="83"/>
      <c r="C36" s="45" t="s">
        <v>116</v>
      </c>
      <c r="D36" s="44">
        <v>1</v>
      </c>
      <c r="E36" s="43">
        <v>1.3328002132480341E-4</v>
      </c>
    </row>
    <row r="37" spans="2:5" ht="15" customHeight="1" x14ac:dyDescent="0.25">
      <c r="B37" s="83"/>
      <c r="C37" s="45" t="s">
        <v>123</v>
      </c>
      <c r="D37" s="44">
        <v>3</v>
      </c>
      <c r="E37" s="43">
        <v>3.9984006397441024E-4</v>
      </c>
    </row>
    <row r="38" spans="2:5" ht="15" customHeight="1" x14ac:dyDescent="0.25">
      <c r="B38" s="83"/>
      <c r="C38" s="45" t="s">
        <v>125</v>
      </c>
      <c r="D38" s="44">
        <v>1</v>
      </c>
      <c r="E38" s="43">
        <v>1.3328002132480341E-4</v>
      </c>
    </row>
    <row r="39" spans="2:5" ht="15" customHeight="1" x14ac:dyDescent="0.25">
      <c r="B39" s="84"/>
      <c r="C39" s="42" t="s">
        <v>20</v>
      </c>
      <c r="D39" s="41">
        <v>73</v>
      </c>
      <c r="E39" s="40">
        <v>9.7294415567106499E-3</v>
      </c>
    </row>
    <row r="40" spans="2:5" ht="15" customHeight="1" x14ac:dyDescent="0.25">
      <c r="B40" s="82" t="s">
        <v>97</v>
      </c>
      <c r="C40" s="45" t="s">
        <v>128</v>
      </c>
      <c r="D40" s="44">
        <v>3</v>
      </c>
      <c r="E40" s="43">
        <v>3.9984006397441024E-4</v>
      </c>
    </row>
    <row r="41" spans="2:5" ht="15" customHeight="1" x14ac:dyDescent="0.25">
      <c r="B41" s="83"/>
      <c r="C41" s="45" t="s">
        <v>114</v>
      </c>
      <c r="D41" s="44">
        <v>1</v>
      </c>
      <c r="E41" s="43">
        <v>1.3328002132480341E-4</v>
      </c>
    </row>
    <row r="42" spans="2:5" ht="15" customHeight="1" x14ac:dyDescent="0.25">
      <c r="B42" s="83"/>
      <c r="C42" s="45" t="s">
        <v>113</v>
      </c>
      <c r="D42" s="44">
        <v>1</v>
      </c>
      <c r="E42" s="43">
        <v>1.3328002132480341E-4</v>
      </c>
    </row>
    <row r="43" spans="2:5" ht="15" customHeight="1" x14ac:dyDescent="0.25">
      <c r="B43" s="83"/>
      <c r="C43" s="45" t="s">
        <v>130</v>
      </c>
      <c r="D43" s="44">
        <v>2</v>
      </c>
      <c r="E43" s="43">
        <v>2.6656004264960682E-4</v>
      </c>
    </row>
    <row r="44" spans="2:5" ht="15" customHeight="1" x14ac:dyDescent="0.25">
      <c r="B44" s="83"/>
      <c r="C44" s="45" t="s">
        <v>119</v>
      </c>
      <c r="D44" s="44">
        <v>1</v>
      </c>
      <c r="E44" s="43">
        <v>1.3328002132480341E-4</v>
      </c>
    </row>
    <row r="45" spans="2:5" ht="15" customHeight="1" x14ac:dyDescent="0.25">
      <c r="B45" s="83"/>
      <c r="C45" s="45" t="s">
        <v>127</v>
      </c>
      <c r="D45" s="44">
        <v>1</v>
      </c>
      <c r="E45" s="43">
        <v>1.3328002132480341E-4</v>
      </c>
    </row>
    <row r="46" spans="2:5" ht="15" customHeight="1" x14ac:dyDescent="0.25">
      <c r="B46" s="83"/>
      <c r="C46" s="45" t="s">
        <v>125</v>
      </c>
      <c r="D46" s="44">
        <v>1</v>
      </c>
      <c r="E46" s="43">
        <v>1.3328002132480341E-4</v>
      </c>
    </row>
    <row r="47" spans="2:5" ht="15" customHeight="1" x14ac:dyDescent="0.25">
      <c r="B47" s="84"/>
      <c r="C47" s="42" t="s">
        <v>20</v>
      </c>
      <c r="D47" s="41">
        <v>10</v>
      </c>
      <c r="E47" s="40">
        <v>1.3328002132480341E-3</v>
      </c>
    </row>
    <row r="48" spans="2:5" ht="15" customHeight="1" x14ac:dyDescent="0.25">
      <c r="B48" s="82" t="s">
        <v>73</v>
      </c>
      <c r="C48" s="45" t="s">
        <v>128</v>
      </c>
      <c r="D48" s="44">
        <v>17</v>
      </c>
      <c r="E48" s="43">
        <v>2.265760362521658E-3</v>
      </c>
    </row>
    <row r="49" spans="2:5" ht="15" customHeight="1" x14ac:dyDescent="0.25">
      <c r="B49" s="83"/>
      <c r="C49" s="45" t="s">
        <v>115</v>
      </c>
      <c r="D49" s="44">
        <v>5</v>
      </c>
      <c r="E49" s="43">
        <v>6.6640010662401706E-4</v>
      </c>
    </row>
    <row r="50" spans="2:5" ht="15" customHeight="1" x14ac:dyDescent="0.25">
      <c r="B50" s="83"/>
      <c r="C50" s="45" t="s">
        <v>124</v>
      </c>
      <c r="D50" s="44">
        <v>3</v>
      </c>
      <c r="E50" s="43">
        <v>3.9984006397441024E-4</v>
      </c>
    </row>
    <row r="51" spans="2:5" ht="15" customHeight="1" x14ac:dyDescent="0.25">
      <c r="B51" s="83"/>
      <c r="C51" s="45" t="s">
        <v>114</v>
      </c>
      <c r="D51" s="44">
        <v>1</v>
      </c>
      <c r="E51" s="43">
        <v>1.3328002132480341E-4</v>
      </c>
    </row>
    <row r="52" spans="2:5" ht="15" customHeight="1" x14ac:dyDescent="0.25">
      <c r="B52" s="83"/>
      <c r="C52" s="45" t="s">
        <v>113</v>
      </c>
      <c r="D52" s="44">
        <v>1</v>
      </c>
      <c r="E52" s="43">
        <v>1.3328002132480341E-4</v>
      </c>
    </row>
    <row r="53" spans="2:5" ht="15" customHeight="1" x14ac:dyDescent="0.25">
      <c r="B53" s="83"/>
      <c r="C53" s="45" t="s">
        <v>121</v>
      </c>
      <c r="D53" s="44">
        <v>2</v>
      </c>
      <c r="E53" s="43">
        <v>2.6656004264960682E-4</v>
      </c>
    </row>
    <row r="54" spans="2:5" ht="15" customHeight="1" x14ac:dyDescent="0.25">
      <c r="B54" s="83"/>
      <c r="C54" s="45" t="s">
        <v>130</v>
      </c>
      <c r="D54" s="44">
        <v>39</v>
      </c>
      <c r="E54" s="43">
        <v>5.1979208316673331E-3</v>
      </c>
    </row>
    <row r="55" spans="2:5" ht="15" customHeight="1" x14ac:dyDescent="0.25">
      <c r="B55" s="83"/>
      <c r="C55" s="45" t="s">
        <v>119</v>
      </c>
      <c r="D55" s="44">
        <v>2</v>
      </c>
      <c r="E55" s="43">
        <v>2.6656004264960682E-4</v>
      </c>
    </row>
    <row r="56" spans="2:5" ht="15" customHeight="1" x14ac:dyDescent="0.25">
      <c r="B56" s="83"/>
      <c r="C56" s="45" t="s">
        <v>117</v>
      </c>
      <c r="D56" s="44">
        <v>1</v>
      </c>
      <c r="E56" s="43">
        <v>1.3328002132480341E-4</v>
      </c>
    </row>
    <row r="57" spans="2:5" ht="15" customHeight="1" x14ac:dyDescent="0.25">
      <c r="B57" s="83"/>
      <c r="C57" s="45" t="s">
        <v>122</v>
      </c>
      <c r="D57" s="44">
        <v>1</v>
      </c>
      <c r="E57" s="43">
        <v>1.3328002132480341E-4</v>
      </c>
    </row>
    <row r="58" spans="2:5" ht="15" customHeight="1" x14ac:dyDescent="0.25">
      <c r="B58" s="83"/>
      <c r="C58" s="45" t="s">
        <v>129</v>
      </c>
      <c r="D58" s="44">
        <v>16</v>
      </c>
      <c r="E58" s="43">
        <v>2.1324803411968546E-3</v>
      </c>
    </row>
    <row r="59" spans="2:5" ht="15" customHeight="1" x14ac:dyDescent="0.25">
      <c r="B59" s="83"/>
      <c r="C59" s="45" t="s">
        <v>127</v>
      </c>
      <c r="D59" s="44">
        <v>2</v>
      </c>
      <c r="E59" s="43">
        <v>2.6656004264960682E-4</v>
      </c>
    </row>
    <row r="60" spans="2:5" ht="15" customHeight="1" x14ac:dyDescent="0.25">
      <c r="B60" s="83"/>
      <c r="C60" s="45" t="s">
        <v>126</v>
      </c>
      <c r="D60" s="44">
        <v>6</v>
      </c>
      <c r="E60" s="43">
        <v>7.9968012794882047E-4</v>
      </c>
    </row>
    <row r="61" spans="2:5" ht="15" customHeight="1" x14ac:dyDescent="0.25">
      <c r="B61" s="83"/>
      <c r="C61" s="45" t="s">
        <v>120</v>
      </c>
      <c r="D61" s="44">
        <v>4</v>
      </c>
      <c r="E61" s="43">
        <v>5.3312008529921365E-4</v>
      </c>
    </row>
    <row r="62" spans="2:5" ht="15" customHeight="1" x14ac:dyDescent="0.25">
      <c r="B62" s="83"/>
      <c r="C62" s="45" t="s">
        <v>116</v>
      </c>
      <c r="D62" s="44">
        <v>4</v>
      </c>
      <c r="E62" s="43">
        <v>5.3312008529921365E-4</v>
      </c>
    </row>
    <row r="63" spans="2:5" ht="15" customHeight="1" x14ac:dyDescent="0.25">
      <c r="B63" s="83"/>
      <c r="C63" s="45" t="s">
        <v>123</v>
      </c>
      <c r="D63" s="44">
        <v>4</v>
      </c>
      <c r="E63" s="43">
        <v>5.3312008529921365E-4</v>
      </c>
    </row>
    <row r="64" spans="2:5" ht="15" customHeight="1" x14ac:dyDescent="0.25">
      <c r="B64" s="83"/>
      <c r="C64" s="45" t="s">
        <v>118</v>
      </c>
      <c r="D64" s="44">
        <v>4</v>
      </c>
      <c r="E64" s="43">
        <v>5.3312008529921365E-4</v>
      </c>
    </row>
    <row r="65" spans="2:5" ht="15" customHeight="1" x14ac:dyDescent="0.25">
      <c r="B65" s="83"/>
      <c r="C65" s="45" t="s">
        <v>125</v>
      </c>
      <c r="D65" s="44">
        <v>12</v>
      </c>
      <c r="E65" s="43">
        <v>1.5993602558976409E-3</v>
      </c>
    </row>
    <row r="66" spans="2:5" ht="15" customHeight="1" x14ac:dyDescent="0.25">
      <c r="B66" s="84"/>
      <c r="C66" s="42" t="s">
        <v>20</v>
      </c>
      <c r="D66" s="41">
        <v>124</v>
      </c>
      <c r="E66" s="40">
        <v>1.6526722644275623E-2</v>
      </c>
    </row>
    <row r="67" spans="2:5" ht="15" customHeight="1" x14ac:dyDescent="0.25">
      <c r="B67" s="82" t="s">
        <v>69</v>
      </c>
      <c r="C67" s="45" t="s">
        <v>128</v>
      </c>
      <c r="D67" s="44">
        <v>2</v>
      </c>
      <c r="E67" s="43">
        <v>2.6656004264960682E-4</v>
      </c>
    </row>
    <row r="68" spans="2:5" ht="15" customHeight="1" x14ac:dyDescent="0.25">
      <c r="B68" s="83"/>
      <c r="C68" s="45" t="s">
        <v>121</v>
      </c>
      <c r="D68" s="44">
        <v>1</v>
      </c>
      <c r="E68" s="43">
        <v>1.3328002132480341E-4</v>
      </c>
    </row>
    <row r="69" spans="2:5" ht="15" customHeight="1" x14ac:dyDescent="0.25">
      <c r="B69" s="83"/>
      <c r="C69" s="45" t="s">
        <v>130</v>
      </c>
      <c r="D69" s="44">
        <v>1</v>
      </c>
      <c r="E69" s="43">
        <v>1.3328002132480341E-4</v>
      </c>
    </row>
    <row r="70" spans="2:5" ht="15" customHeight="1" x14ac:dyDescent="0.25">
      <c r="B70" s="83"/>
      <c r="C70" s="45" t="s">
        <v>117</v>
      </c>
      <c r="D70" s="44">
        <v>1</v>
      </c>
      <c r="E70" s="43">
        <v>1.3328002132480341E-4</v>
      </c>
    </row>
    <row r="71" spans="2:5" ht="15" customHeight="1" x14ac:dyDescent="0.25">
      <c r="B71" s="83"/>
      <c r="C71" s="45" t="s">
        <v>129</v>
      </c>
      <c r="D71" s="44">
        <v>2</v>
      </c>
      <c r="E71" s="43">
        <v>2.6656004264960682E-4</v>
      </c>
    </row>
    <row r="72" spans="2:5" ht="15" customHeight="1" x14ac:dyDescent="0.25">
      <c r="B72" s="83"/>
      <c r="C72" s="45" t="s">
        <v>116</v>
      </c>
      <c r="D72" s="44">
        <v>1</v>
      </c>
      <c r="E72" s="43">
        <v>1.3328002132480341E-4</v>
      </c>
    </row>
    <row r="73" spans="2:5" ht="15" customHeight="1" x14ac:dyDescent="0.25">
      <c r="B73" s="84"/>
      <c r="C73" s="42" t="s">
        <v>20</v>
      </c>
      <c r="D73" s="41">
        <v>8</v>
      </c>
      <c r="E73" s="40">
        <v>1.0662401705984273E-3</v>
      </c>
    </row>
    <row r="74" spans="2:5" ht="15" customHeight="1" x14ac:dyDescent="0.25">
      <c r="B74" s="82" t="s">
        <v>74</v>
      </c>
      <c r="C74" s="45" t="s">
        <v>128</v>
      </c>
      <c r="D74" s="44">
        <v>1</v>
      </c>
      <c r="E74" s="43">
        <v>1.3328002132480341E-4</v>
      </c>
    </row>
    <row r="75" spans="2:5" ht="15" customHeight="1" x14ac:dyDescent="0.25">
      <c r="B75" s="83"/>
      <c r="C75" s="45" t="s">
        <v>130</v>
      </c>
      <c r="D75" s="44">
        <v>1</v>
      </c>
      <c r="E75" s="43">
        <v>1.3328002132480341E-4</v>
      </c>
    </row>
    <row r="76" spans="2:5" ht="15" customHeight="1" x14ac:dyDescent="0.25">
      <c r="B76" s="83"/>
      <c r="C76" s="45" t="s">
        <v>127</v>
      </c>
      <c r="D76" s="44">
        <v>2</v>
      </c>
      <c r="E76" s="43">
        <v>2.6656004264960682E-4</v>
      </c>
    </row>
    <row r="77" spans="2:5" ht="15" customHeight="1" x14ac:dyDescent="0.25">
      <c r="B77" s="84"/>
      <c r="C77" s="42" t="s">
        <v>20</v>
      </c>
      <c r="D77" s="41">
        <v>4</v>
      </c>
      <c r="E77" s="40">
        <v>5.3312008529921365E-4</v>
      </c>
    </row>
    <row r="78" spans="2:5" ht="15" customHeight="1" x14ac:dyDescent="0.25">
      <c r="B78" s="82" t="s">
        <v>67</v>
      </c>
      <c r="C78" s="45" t="s">
        <v>128</v>
      </c>
      <c r="D78" s="44">
        <v>1</v>
      </c>
      <c r="E78" s="43">
        <v>1.3328002132480341E-4</v>
      </c>
    </row>
    <row r="79" spans="2:5" ht="15" customHeight="1" x14ac:dyDescent="0.25">
      <c r="B79" s="83"/>
      <c r="C79" s="45" t="s">
        <v>114</v>
      </c>
      <c r="D79" s="44">
        <v>1</v>
      </c>
      <c r="E79" s="43">
        <v>1.3328002132480341E-4</v>
      </c>
    </row>
    <row r="80" spans="2:5" ht="15" customHeight="1" x14ac:dyDescent="0.25">
      <c r="B80" s="83"/>
      <c r="C80" s="45" t="s">
        <v>121</v>
      </c>
      <c r="D80" s="44">
        <v>2</v>
      </c>
      <c r="E80" s="43">
        <v>2.6656004264960682E-4</v>
      </c>
    </row>
    <row r="81" spans="2:5" ht="15" customHeight="1" x14ac:dyDescent="0.25">
      <c r="B81" s="83"/>
      <c r="C81" s="45" t="s">
        <v>130</v>
      </c>
      <c r="D81" s="44">
        <v>9</v>
      </c>
      <c r="E81" s="43">
        <v>1.1995201919232307E-3</v>
      </c>
    </row>
    <row r="82" spans="2:5" ht="15" customHeight="1" x14ac:dyDescent="0.25">
      <c r="B82" s="83"/>
      <c r="C82" s="45" t="s">
        <v>117</v>
      </c>
      <c r="D82" s="44">
        <v>1</v>
      </c>
      <c r="E82" s="43">
        <v>1.3328002132480341E-4</v>
      </c>
    </row>
    <row r="83" spans="2:5" ht="15" customHeight="1" x14ac:dyDescent="0.25">
      <c r="B83" s="83"/>
      <c r="C83" s="45" t="s">
        <v>122</v>
      </c>
      <c r="D83" s="44">
        <v>2</v>
      </c>
      <c r="E83" s="43">
        <v>2.6656004264960682E-4</v>
      </c>
    </row>
    <row r="84" spans="2:5" ht="15" customHeight="1" x14ac:dyDescent="0.25">
      <c r="B84" s="83"/>
      <c r="C84" s="45" t="s">
        <v>129</v>
      </c>
      <c r="D84" s="44">
        <v>2</v>
      </c>
      <c r="E84" s="43">
        <v>2.6656004264960682E-4</v>
      </c>
    </row>
    <row r="85" spans="2:5" ht="15" customHeight="1" x14ac:dyDescent="0.25">
      <c r="B85" s="83"/>
      <c r="C85" s="45" t="s">
        <v>127</v>
      </c>
      <c r="D85" s="44">
        <v>3</v>
      </c>
      <c r="E85" s="43">
        <v>3.9984006397441024E-4</v>
      </c>
    </row>
    <row r="86" spans="2:5" ht="15" customHeight="1" x14ac:dyDescent="0.25">
      <c r="B86" s="83"/>
      <c r="C86" s="45" t="s">
        <v>126</v>
      </c>
      <c r="D86" s="44">
        <v>3</v>
      </c>
      <c r="E86" s="43">
        <v>3.9984006397441024E-4</v>
      </c>
    </row>
    <row r="87" spans="2:5" ht="15" customHeight="1" x14ac:dyDescent="0.25">
      <c r="B87" s="83"/>
      <c r="C87" s="45" t="s">
        <v>118</v>
      </c>
      <c r="D87" s="44">
        <v>1</v>
      </c>
      <c r="E87" s="43">
        <v>1.3328002132480341E-4</v>
      </c>
    </row>
    <row r="88" spans="2:5" ht="15" customHeight="1" x14ac:dyDescent="0.25">
      <c r="B88" s="84"/>
      <c r="C88" s="42" t="s">
        <v>20</v>
      </c>
      <c r="D88" s="41">
        <v>25</v>
      </c>
      <c r="E88" s="40">
        <v>3.3320005331200853E-3</v>
      </c>
    </row>
    <row r="89" spans="2:5" ht="15" customHeight="1" x14ac:dyDescent="0.25">
      <c r="B89" s="82" t="s">
        <v>110</v>
      </c>
      <c r="C89" s="45" t="s">
        <v>128</v>
      </c>
      <c r="D89" s="44">
        <v>21</v>
      </c>
      <c r="E89" s="43">
        <v>2.7988804478208716E-3</v>
      </c>
    </row>
    <row r="90" spans="2:5" ht="15" customHeight="1" x14ac:dyDescent="0.25">
      <c r="B90" s="83"/>
      <c r="C90" s="45" t="s">
        <v>115</v>
      </c>
      <c r="D90" s="44">
        <v>1</v>
      </c>
      <c r="E90" s="43">
        <v>1.3328002132480341E-4</v>
      </c>
    </row>
    <row r="91" spans="2:5" ht="15" customHeight="1" x14ac:dyDescent="0.25">
      <c r="B91" s="83"/>
      <c r="C91" s="45" t="s">
        <v>124</v>
      </c>
      <c r="D91" s="44">
        <v>7</v>
      </c>
      <c r="E91" s="43">
        <v>9.3296014927362388E-4</v>
      </c>
    </row>
    <row r="92" spans="2:5" ht="15" customHeight="1" x14ac:dyDescent="0.25">
      <c r="B92" s="83"/>
      <c r="C92" s="45" t="s">
        <v>113</v>
      </c>
      <c r="D92" s="44">
        <v>3</v>
      </c>
      <c r="E92" s="43">
        <v>3.9984006397441024E-4</v>
      </c>
    </row>
    <row r="93" spans="2:5" ht="15" customHeight="1" x14ac:dyDescent="0.25">
      <c r="B93" s="83"/>
      <c r="C93" s="45" t="s">
        <v>121</v>
      </c>
      <c r="D93" s="44">
        <v>1</v>
      </c>
      <c r="E93" s="43">
        <v>1.3328002132480341E-4</v>
      </c>
    </row>
    <row r="94" spans="2:5" ht="15" customHeight="1" x14ac:dyDescent="0.25">
      <c r="B94" s="83"/>
      <c r="C94" s="45" t="s">
        <v>130</v>
      </c>
      <c r="D94" s="44">
        <v>43</v>
      </c>
      <c r="E94" s="43">
        <v>5.7310409169665467E-3</v>
      </c>
    </row>
    <row r="95" spans="2:5" ht="15" customHeight="1" x14ac:dyDescent="0.25">
      <c r="B95" s="83"/>
      <c r="C95" s="45" t="s">
        <v>119</v>
      </c>
      <c r="D95" s="44">
        <v>1</v>
      </c>
      <c r="E95" s="43">
        <v>1.3328002132480341E-4</v>
      </c>
    </row>
    <row r="96" spans="2:5" ht="15" customHeight="1" x14ac:dyDescent="0.25">
      <c r="B96" s="83"/>
      <c r="C96" s="45" t="s">
        <v>117</v>
      </c>
      <c r="D96" s="44">
        <v>3</v>
      </c>
      <c r="E96" s="43">
        <v>3.9984006397441024E-4</v>
      </c>
    </row>
    <row r="97" spans="2:5" ht="15" customHeight="1" x14ac:dyDescent="0.25">
      <c r="B97" s="83"/>
      <c r="C97" s="45" t="s">
        <v>122</v>
      </c>
      <c r="D97" s="44">
        <v>4</v>
      </c>
      <c r="E97" s="43">
        <v>5.3312008529921365E-4</v>
      </c>
    </row>
    <row r="98" spans="2:5" ht="15" customHeight="1" x14ac:dyDescent="0.25">
      <c r="B98" s="83"/>
      <c r="C98" s="45" t="s">
        <v>129</v>
      </c>
      <c r="D98" s="44">
        <v>23</v>
      </c>
      <c r="E98" s="43">
        <v>3.0654404904704785E-3</v>
      </c>
    </row>
    <row r="99" spans="2:5" ht="15" customHeight="1" x14ac:dyDescent="0.25">
      <c r="B99" s="83"/>
      <c r="C99" s="45" t="s">
        <v>127</v>
      </c>
      <c r="D99" s="44">
        <v>16</v>
      </c>
      <c r="E99" s="43">
        <v>2.1324803411968546E-3</v>
      </c>
    </row>
    <row r="100" spans="2:5" ht="15" customHeight="1" x14ac:dyDescent="0.25">
      <c r="B100" s="83"/>
      <c r="C100" s="45" t="s">
        <v>126</v>
      </c>
      <c r="D100" s="44">
        <v>2</v>
      </c>
      <c r="E100" s="43">
        <v>2.6656004264960682E-4</v>
      </c>
    </row>
    <row r="101" spans="2:5" ht="15" customHeight="1" x14ac:dyDescent="0.25">
      <c r="B101" s="83"/>
      <c r="C101" s="45" t="s">
        <v>120</v>
      </c>
      <c r="D101" s="44">
        <v>4</v>
      </c>
      <c r="E101" s="43">
        <v>5.3312008529921365E-4</v>
      </c>
    </row>
    <row r="102" spans="2:5" ht="15" customHeight="1" x14ac:dyDescent="0.25">
      <c r="B102" s="83"/>
      <c r="C102" s="45" t="s">
        <v>116</v>
      </c>
      <c r="D102" s="44">
        <v>3</v>
      </c>
      <c r="E102" s="43">
        <v>3.9984006397441024E-4</v>
      </c>
    </row>
    <row r="103" spans="2:5" ht="15" customHeight="1" x14ac:dyDescent="0.25">
      <c r="B103" s="83"/>
      <c r="C103" s="45" t="s">
        <v>123</v>
      </c>
      <c r="D103" s="44">
        <v>5</v>
      </c>
      <c r="E103" s="43">
        <v>6.6640010662401706E-4</v>
      </c>
    </row>
    <row r="104" spans="2:5" ht="15" customHeight="1" x14ac:dyDescent="0.25">
      <c r="B104" s="83"/>
      <c r="C104" s="45" t="s">
        <v>118</v>
      </c>
      <c r="D104" s="44">
        <v>7</v>
      </c>
      <c r="E104" s="43">
        <v>9.3296014927362388E-4</v>
      </c>
    </row>
    <row r="105" spans="2:5" ht="15" customHeight="1" x14ac:dyDescent="0.25">
      <c r="B105" s="83"/>
      <c r="C105" s="45" t="s">
        <v>125</v>
      </c>
      <c r="D105" s="44">
        <v>3</v>
      </c>
      <c r="E105" s="43">
        <v>3.9984006397441024E-4</v>
      </c>
    </row>
    <row r="106" spans="2:5" ht="15" customHeight="1" x14ac:dyDescent="0.25">
      <c r="B106" s="84"/>
      <c r="C106" s="42" t="s">
        <v>20</v>
      </c>
      <c r="D106" s="41">
        <v>147</v>
      </c>
      <c r="E106" s="40">
        <v>1.9592163134746102E-2</v>
      </c>
    </row>
    <row r="107" spans="2:5" ht="15" customHeight="1" x14ac:dyDescent="0.25">
      <c r="B107" s="82" t="s">
        <v>108</v>
      </c>
      <c r="C107" s="45" t="s">
        <v>128</v>
      </c>
      <c r="D107" s="44">
        <v>18</v>
      </c>
      <c r="E107" s="43">
        <v>2.3990403838464614E-3</v>
      </c>
    </row>
    <row r="108" spans="2:5" ht="15" customHeight="1" x14ac:dyDescent="0.25">
      <c r="B108" s="83"/>
      <c r="C108" s="45" t="s">
        <v>115</v>
      </c>
      <c r="D108" s="44">
        <v>2</v>
      </c>
      <c r="E108" s="43">
        <v>2.6656004264960682E-4</v>
      </c>
    </row>
    <row r="109" spans="2:5" ht="15" customHeight="1" x14ac:dyDescent="0.25">
      <c r="B109" s="83"/>
      <c r="C109" s="45" t="s">
        <v>114</v>
      </c>
      <c r="D109" s="44">
        <v>3</v>
      </c>
      <c r="E109" s="43">
        <v>3.9984006397441024E-4</v>
      </c>
    </row>
    <row r="110" spans="2:5" ht="15" customHeight="1" x14ac:dyDescent="0.25">
      <c r="B110" s="83"/>
      <c r="C110" s="45" t="s">
        <v>113</v>
      </c>
      <c r="D110" s="44">
        <v>2</v>
      </c>
      <c r="E110" s="43">
        <v>2.6656004264960682E-4</v>
      </c>
    </row>
    <row r="111" spans="2:5" ht="15" customHeight="1" x14ac:dyDescent="0.25">
      <c r="B111" s="83"/>
      <c r="C111" s="45" t="s">
        <v>130</v>
      </c>
      <c r="D111" s="44">
        <v>36</v>
      </c>
      <c r="E111" s="43">
        <v>4.7980807676929228E-3</v>
      </c>
    </row>
    <row r="112" spans="2:5" ht="15" customHeight="1" x14ac:dyDescent="0.25">
      <c r="B112" s="83"/>
      <c r="C112" s="45" t="s">
        <v>119</v>
      </c>
      <c r="D112" s="44">
        <v>6</v>
      </c>
      <c r="E112" s="43">
        <v>7.9968012794882047E-4</v>
      </c>
    </row>
    <row r="113" spans="2:5" ht="15" customHeight="1" x14ac:dyDescent="0.25">
      <c r="B113" s="83"/>
      <c r="C113" s="45" t="s">
        <v>117</v>
      </c>
      <c r="D113" s="44">
        <v>1</v>
      </c>
      <c r="E113" s="43">
        <v>1.3328002132480341E-4</v>
      </c>
    </row>
    <row r="114" spans="2:5" ht="15" customHeight="1" x14ac:dyDescent="0.25">
      <c r="B114" s="83"/>
      <c r="C114" s="45" t="s">
        <v>122</v>
      </c>
      <c r="D114" s="44">
        <v>2</v>
      </c>
      <c r="E114" s="43">
        <v>2.6656004264960682E-4</v>
      </c>
    </row>
    <row r="115" spans="2:5" ht="15" customHeight="1" x14ac:dyDescent="0.25">
      <c r="B115" s="83"/>
      <c r="C115" s="45" t="s">
        <v>129</v>
      </c>
      <c r="D115" s="44">
        <v>7</v>
      </c>
      <c r="E115" s="43">
        <v>9.3296014927362388E-4</v>
      </c>
    </row>
    <row r="116" spans="2:5" ht="15" customHeight="1" x14ac:dyDescent="0.25">
      <c r="B116" s="83"/>
      <c r="C116" s="45" t="s">
        <v>127</v>
      </c>
      <c r="D116" s="44">
        <v>26</v>
      </c>
      <c r="E116" s="43">
        <v>3.4652805544448887E-3</v>
      </c>
    </row>
    <row r="117" spans="2:5" ht="15" customHeight="1" x14ac:dyDescent="0.25">
      <c r="B117" s="83"/>
      <c r="C117" s="45" t="s">
        <v>126</v>
      </c>
      <c r="D117" s="44">
        <v>5</v>
      </c>
      <c r="E117" s="43">
        <v>6.6640010662401706E-4</v>
      </c>
    </row>
    <row r="118" spans="2:5" ht="15" customHeight="1" x14ac:dyDescent="0.25">
      <c r="B118" s="83"/>
      <c r="C118" s="45" t="s">
        <v>120</v>
      </c>
      <c r="D118" s="44">
        <v>5</v>
      </c>
      <c r="E118" s="43">
        <v>6.6640010662401706E-4</v>
      </c>
    </row>
    <row r="119" spans="2:5" ht="15" customHeight="1" x14ac:dyDescent="0.25">
      <c r="B119" s="83"/>
      <c r="C119" s="45" t="s">
        <v>123</v>
      </c>
      <c r="D119" s="44">
        <v>2</v>
      </c>
      <c r="E119" s="43">
        <v>2.6656004264960682E-4</v>
      </c>
    </row>
    <row r="120" spans="2:5" ht="15" customHeight="1" x14ac:dyDescent="0.25">
      <c r="B120" s="83"/>
      <c r="C120" s="45" t="s">
        <v>125</v>
      </c>
      <c r="D120" s="44">
        <v>2</v>
      </c>
      <c r="E120" s="43">
        <v>2.6656004264960682E-4</v>
      </c>
    </row>
    <row r="121" spans="2:5" ht="15" customHeight="1" x14ac:dyDescent="0.25">
      <c r="B121" s="84"/>
      <c r="C121" s="42" t="s">
        <v>20</v>
      </c>
      <c r="D121" s="41">
        <v>117</v>
      </c>
      <c r="E121" s="40">
        <v>1.5593762495002E-2</v>
      </c>
    </row>
    <row r="122" spans="2:5" ht="15" customHeight="1" x14ac:dyDescent="0.25">
      <c r="B122" s="82" t="s">
        <v>92</v>
      </c>
      <c r="C122" s="45" t="s">
        <v>128</v>
      </c>
      <c r="D122" s="44">
        <v>31</v>
      </c>
      <c r="E122" s="43">
        <v>4.1316806610689058E-3</v>
      </c>
    </row>
    <row r="123" spans="2:5" ht="15" customHeight="1" x14ac:dyDescent="0.25">
      <c r="B123" s="83"/>
      <c r="C123" s="45" t="s">
        <v>115</v>
      </c>
      <c r="D123" s="44">
        <v>3</v>
      </c>
      <c r="E123" s="43">
        <v>3.9984006397441024E-4</v>
      </c>
    </row>
    <row r="124" spans="2:5" ht="15" customHeight="1" x14ac:dyDescent="0.25">
      <c r="B124" s="83"/>
      <c r="C124" s="45" t="s">
        <v>124</v>
      </c>
      <c r="D124" s="44">
        <v>3</v>
      </c>
      <c r="E124" s="43">
        <v>3.9984006397441024E-4</v>
      </c>
    </row>
    <row r="125" spans="2:5" ht="15" customHeight="1" x14ac:dyDescent="0.25">
      <c r="B125" s="83"/>
      <c r="C125" s="45" t="s">
        <v>114</v>
      </c>
      <c r="D125" s="44">
        <v>8</v>
      </c>
      <c r="E125" s="43">
        <v>1.0662401705984273E-3</v>
      </c>
    </row>
    <row r="126" spans="2:5" ht="15" customHeight="1" x14ac:dyDescent="0.25">
      <c r="B126" s="83"/>
      <c r="C126" s="45" t="s">
        <v>113</v>
      </c>
      <c r="D126" s="44">
        <v>1</v>
      </c>
      <c r="E126" s="43">
        <v>1.3328002132480341E-4</v>
      </c>
    </row>
    <row r="127" spans="2:5" ht="15" customHeight="1" x14ac:dyDescent="0.25">
      <c r="B127" s="83"/>
      <c r="C127" s="45" t="s">
        <v>130</v>
      </c>
      <c r="D127" s="44">
        <v>47</v>
      </c>
      <c r="E127" s="43">
        <v>6.2641610022657604E-3</v>
      </c>
    </row>
    <row r="128" spans="2:5" ht="15" customHeight="1" x14ac:dyDescent="0.25">
      <c r="B128" s="83"/>
      <c r="C128" s="45" t="s">
        <v>119</v>
      </c>
      <c r="D128" s="44">
        <v>5</v>
      </c>
      <c r="E128" s="43">
        <v>6.6640010662401706E-4</v>
      </c>
    </row>
    <row r="129" spans="2:5" ht="15" customHeight="1" x14ac:dyDescent="0.25">
      <c r="B129" s="83"/>
      <c r="C129" s="45" t="s">
        <v>129</v>
      </c>
      <c r="D129" s="44">
        <v>12</v>
      </c>
      <c r="E129" s="43">
        <v>1.5993602558976409E-3</v>
      </c>
    </row>
    <row r="130" spans="2:5" ht="15" customHeight="1" x14ac:dyDescent="0.25">
      <c r="B130" s="83"/>
      <c r="C130" s="45" t="s">
        <v>127</v>
      </c>
      <c r="D130" s="44">
        <v>17</v>
      </c>
      <c r="E130" s="43">
        <v>2.265760362521658E-3</v>
      </c>
    </row>
    <row r="131" spans="2:5" ht="15" customHeight="1" x14ac:dyDescent="0.25">
      <c r="B131" s="83"/>
      <c r="C131" s="45" t="s">
        <v>126</v>
      </c>
      <c r="D131" s="44">
        <v>5</v>
      </c>
      <c r="E131" s="43">
        <v>6.6640010662401706E-4</v>
      </c>
    </row>
    <row r="132" spans="2:5" ht="15" customHeight="1" x14ac:dyDescent="0.25">
      <c r="B132" s="83"/>
      <c r="C132" s="45" t="s">
        <v>120</v>
      </c>
      <c r="D132" s="44">
        <v>5</v>
      </c>
      <c r="E132" s="43">
        <v>6.6640010662401706E-4</v>
      </c>
    </row>
    <row r="133" spans="2:5" ht="15" customHeight="1" x14ac:dyDescent="0.25">
      <c r="B133" s="83"/>
      <c r="C133" s="45" t="s">
        <v>116</v>
      </c>
      <c r="D133" s="44">
        <v>2</v>
      </c>
      <c r="E133" s="43">
        <v>2.6656004264960682E-4</v>
      </c>
    </row>
    <row r="134" spans="2:5" ht="15" customHeight="1" x14ac:dyDescent="0.25">
      <c r="B134" s="83"/>
      <c r="C134" s="45" t="s">
        <v>123</v>
      </c>
      <c r="D134" s="44">
        <v>2</v>
      </c>
      <c r="E134" s="43">
        <v>2.6656004264960682E-4</v>
      </c>
    </row>
    <row r="135" spans="2:5" ht="15" customHeight="1" x14ac:dyDescent="0.25">
      <c r="B135" s="83"/>
      <c r="C135" s="45" t="s">
        <v>118</v>
      </c>
      <c r="D135" s="44">
        <v>5</v>
      </c>
      <c r="E135" s="43">
        <v>6.6640010662401706E-4</v>
      </c>
    </row>
    <row r="136" spans="2:5" ht="15" customHeight="1" x14ac:dyDescent="0.25">
      <c r="B136" s="83"/>
      <c r="C136" s="45" t="s">
        <v>125</v>
      </c>
      <c r="D136" s="44">
        <v>7</v>
      </c>
      <c r="E136" s="43">
        <v>9.3296014927362388E-4</v>
      </c>
    </row>
    <row r="137" spans="2:5" ht="15" customHeight="1" x14ac:dyDescent="0.25">
      <c r="B137" s="84"/>
      <c r="C137" s="42" t="s">
        <v>20</v>
      </c>
      <c r="D137" s="41">
        <v>153</v>
      </c>
      <c r="E137" s="40">
        <v>2.0391843262694921E-2</v>
      </c>
    </row>
    <row r="138" spans="2:5" ht="15" customHeight="1" x14ac:dyDescent="0.25">
      <c r="B138" s="82" t="s">
        <v>78</v>
      </c>
      <c r="C138" s="45" t="s">
        <v>128</v>
      </c>
      <c r="D138" s="44">
        <v>4</v>
      </c>
      <c r="E138" s="43">
        <v>5.3312008529921365E-4</v>
      </c>
    </row>
    <row r="139" spans="2:5" ht="15" customHeight="1" x14ac:dyDescent="0.25">
      <c r="B139" s="83"/>
      <c r="C139" s="45" t="s">
        <v>130</v>
      </c>
      <c r="D139" s="44">
        <v>9</v>
      </c>
      <c r="E139" s="43">
        <v>1.1995201919232307E-3</v>
      </c>
    </row>
    <row r="140" spans="2:5" ht="15" customHeight="1" x14ac:dyDescent="0.25">
      <c r="B140" s="83"/>
      <c r="C140" s="45" t="s">
        <v>119</v>
      </c>
      <c r="D140" s="44">
        <v>1</v>
      </c>
      <c r="E140" s="43">
        <v>1.3328002132480341E-4</v>
      </c>
    </row>
    <row r="141" spans="2:5" ht="15" customHeight="1" x14ac:dyDescent="0.25">
      <c r="B141" s="83"/>
      <c r="C141" s="45" t="s">
        <v>117</v>
      </c>
      <c r="D141" s="44">
        <v>1</v>
      </c>
      <c r="E141" s="43">
        <v>1.3328002132480341E-4</v>
      </c>
    </row>
    <row r="142" spans="2:5" ht="15" customHeight="1" x14ac:dyDescent="0.25">
      <c r="B142" s="83"/>
      <c r="C142" s="45" t="s">
        <v>129</v>
      </c>
      <c r="D142" s="44">
        <v>2</v>
      </c>
      <c r="E142" s="43">
        <v>2.6656004264960682E-4</v>
      </c>
    </row>
    <row r="143" spans="2:5" ht="15" customHeight="1" x14ac:dyDescent="0.25">
      <c r="B143" s="83"/>
      <c r="C143" s="45" t="s">
        <v>127</v>
      </c>
      <c r="D143" s="44">
        <v>3</v>
      </c>
      <c r="E143" s="43">
        <v>3.9984006397441024E-4</v>
      </c>
    </row>
    <row r="144" spans="2:5" ht="15" customHeight="1" x14ac:dyDescent="0.25">
      <c r="B144" s="83"/>
      <c r="C144" s="45" t="s">
        <v>120</v>
      </c>
      <c r="D144" s="44">
        <v>2</v>
      </c>
      <c r="E144" s="43">
        <v>2.6656004264960682E-4</v>
      </c>
    </row>
    <row r="145" spans="2:5" ht="15" customHeight="1" x14ac:dyDescent="0.25">
      <c r="B145" s="83"/>
      <c r="C145" s="45" t="s">
        <v>123</v>
      </c>
      <c r="D145" s="44">
        <v>2</v>
      </c>
      <c r="E145" s="43">
        <v>2.6656004264960682E-4</v>
      </c>
    </row>
    <row r="146" spans="2:5" ht="15" customHeight="1" x14ac:dyDescent="0.25">
      <c r="B146" s="83"/>
      <c r="C146" s="45" t="s">
        <v>118</v>
      </c>
      <c r="D146" s="44">
        <v>2</v>
      </c>
      <c r="E146" s="43">
        <v>2.6656004264960682E-4</v>
      </c>
    </row>
    <row r="147" spans="2:5" ht="15" customHeight="1" x14ac:dyDescent="0.25">
      <c r="B147" s="83"/>
      <c r="C147" s="45" t="s">
        <v>125</v>
      </c>
      <c r="D147" s="44">
        <v>2</v>
      </c>
      <c r="E147" s="43">
        <v>2.6656004264960682E-4</v>
      </c>
    </row>
    <row r="148" spans="2:5" ht="15" customHeight="1" x14ac:dyDescent="0.25">
      <c r="B148" s="84"/>
      <c r="C148" s="42" t="s">
        <v>20</v>
      </c>
      <c r="D148" s="41">
        <v>28</v>
      </c>
      <c r="E148" s="40">
        <v>3.7318405970944955E-3</v>
      </c>
    </row>
    <row r="149" spans="2:5" ht="15" customHeight="1" x14ac:dyDescent="0.25">
      <c r="B149" s="82" t="s">
        <v>65</v>
      </c>
      <c r="C149" s="45" t="s">
        <v>128</v>
      </c>
      <c r="D149" s="44">
        <v>1</v>
      </c>
      <c r="E149" s="43">
        <v>1.3328002132480341E-4</v>
      </c>
    </row>
    <row r="150" spans="2:5" ht="15" customHeight="1" x14ac:dyDescent="0.25">
      <c r="B150" s="83"/>
      <c r="C150" s="45" t="s">
        <v>119</v>
      </c>
      <c r="D150" s="44">
        <v>1</v>
      </c>
      <c r="E150" s="43">
        <v>1.3328002132480341E-4</v>
      </c>
    </row>
    <row r="151" spans="2:5" ht="15" customHeight="1" x14ac:dyDescent="0.25">
      <c r="B151" s="84"/>
      <c r="C151" s="42" t="s">
        <v>20</v>
      </c>
      <c r="D151" s="41">
        <v>2</v>
      </c>
      <c r="E151" s="40">
        <v>2.6656004264960682E-4</v>
      </c>
    </row>
    <row r="152" spans="2:5" ht="15" customHeight="1" x14ac:dyDescent="0.25">
      <c r="B152" s="82" t="s">
        <v>76</v>
      </c>
      <c r="C152" s="45" t="s">
        <v>128</v>
      </c>
      <c r="D152" s="44">
        <v>5</v>
      </c>
      <c r="E152" s="43">
        <v>6.6640010662401706E-4</v>
      </c>
    </row>
    <row r="153" spans="2:5" ht="15" customHeight="1" x14ac:dyDescent="0.25">
      <c r="B153" s="83"/>
      <c r="C153" s="45" t="s">
        <v>115</v>
      </c>
      <c r="D153" s="44">
        <v>1</v>
      </c>
      <c r="E153" s="43">
        <v>1.3328002132480341E-4</v>
      </c>
    </row>
    <row r="154" spans="2:5" ht="15" customHeight="1" x14ac:dyDescent="0.25">
      <c r="B154" s="83"/>
      <c r="C154" s="45" t="s">
        <v>124</v>
      </c>
      <c r="D154" s="44">
        <v>1</v>
      </c>
      <c r="E154" s="43">
        <v>1.3328002132480341E-4</v>
      </c>
    </row>
    <row r="155" spans="2:5" ht="15" customHeight="1" x14ac:dyDescent="0.25">
      <c r="B155" s="83"/>
      <c r="C155" s="45" t="s">
        <v>114</v>
      </c>
      <c r="D155" s="44">
        <v>1</v>
      </c>
      <c r="E155" s="43">
        <v>1.3328002132480341E-4</v>
      </c>
    </row>
    <row r="156" spans="2:5" ht="15" customHeight="1" x14ac:dyDescent="0.25">
      <c r="B156" s="83"/>
      <c r="C156" s="45" t="s">
        <v>113</v>
      </c>
      <c r="D156" s="44">
        <v>2</v>
      </c>
      <c r="E156" s="43">
        <v>2.6656004264960682E-4</v>
      </c>
    </row>
    <row r="157" spans="2:5" ht="15" customHeight="1" x14ac:dyDescent="0.25">
      <c r="B157" s="83"/>
      <c r="C157" s="45" t="s">
        <v>130</v>
      </c>
      <c r="D157" s="44">
        <v>4</v>
      </c>
      <c r="E157" s="43">
        <v>5.3312008529921365E-4</v>
      </c>
    </row>
    <row r="158" spans="2:5" ht="15" customHeight="1" x14ac:dyDescent="0.25">
      <c r="B158" s="83"/>
      <c r="C158" s="45" t="s">
        <v>119</v>
      </c>
      <c r="D158" s="44">
        <v>1</v>
      </c>
      <c r="E158" s="43">
        <v>1.3328002132480341E-4</v>
      </c>
    </row>
    <row r="159" spans="2:5" ht="15" customHeight="1" x14ac:dyDescent="0.25">
      <c r="B159" s="83"/>
      <c r="C159" s="45" t="s">
        <v>129</v>
      </c>
      <c r="D159" s="44">
        <v>2</v>
      </c>
      <c r="E159" s="43">
        <v>2.6656004264960682E-4</v>
      </c>
    </row>
    <row r="160" spans="2:5" ht="15" customHeight="1" x14ac:dyDescent="0.25">
      <c r="B160" s="83"/>
      <c r="C160" s="45" t="s">
        <v>127</v>
      </c>
      <c r="D160" s="44">
        <v>1</v>
      </c>
      <c r="E160" s="43">
        <v>1.3328002132480341E-4</v>
      </c>
    </row>
    <row r="161" spans="2:5" ht="15" customHeight="1" x14ac:dyDescent="0.25">
      <c r="B161" s="83"/>
      <c r="C161" s="45" t="s">
        <v>116</v>
      </c>
      <c r="D161" s="44">
        <v>2</v>
      </c>
      <c r="E161" s="43">
        <v>2.6656004264960682E-4</v>
      </c>
    </row>
    <row r="162" spans="2:5" ht="15" customHeight="1" x14ac:dyDescent="0.25">
      <c r="B162" s="83"/>
      <c r="C162" s="45" t="s">
        <v>118</v>
      </c>
      <c r="D162" s="44">
        <v>1</v>
      </c>
      <c r="E162" s="43">
        <v>1.3328002132480341E-4</v>
      </c>
    </row>
    <row r="163" spans="2:5" ht="15" customHeight="1" x14ac:dyDescent="0.25">
      <c r="B163" s="83"/>
      <c r="C163" s="45" t="s">
        <v>125</v>
      </c>
      <c r="D163" s="44">
        <v>2</v>
      </c>
      <c r="E163" s="43">
        <v>2.6656004264960682E-4</v>
      </c>
    </row>
    <row r="164" spans="2:5" ht="15" customHeight="1" x14ac:dyDescent="0.25">
      <c r="B164" s="84"/>
      <c r="C164" s="42" t="s">
        <v>20</v>
      </c>
      <c r="D164" s="41">
        <v>23</v>
      </c>
      <c r="E164" s="40">
        <v>3.0654404904704785E-3</v>
      </c>
    </row>
    <row r="165" spans="2:5" ht="15" customHeight="1" x14ac:dyDescent="0.25">
      <c r="B165" s="82" t="s">
        <v>89</v>
      </c>
      <c r="C165" s="45" t="s">
        <v>128</v>
      </c>
      <c r="D165" s="44">
        <v>1</v>
      </c>
      <c r="E165" s="43">
        <v>1.3328002132480341E-4</v>
      </c>
    </row>
    <row r="166" spans="2:5" ht="15" customHeight="1" x14ac:dyDescent="0.25">
      <c r="B166" s="83"/>
      <c r="C166" s="45" t="s">
        <v>130</v>
      </c>
      <c r="D166" s="44">
        <v>3</v>
      </c>
      <c r="E166" s="43">
        <v>3.9984006397441024E-4</v>
      </c>
    </row>
    <row r="167" spans="2:5" ht="15" customHeight="1" x14ac:dyDescent="0.25">
      <c r="B167" s="83"/>
      <c r="C167" s="45" t="s">
        <v>122</v>
      </c>
      <c r="D167" s="44">
        <v>2</v>
      </c>
      <c r="E167" s="43">
        <v>2.6656004264960682E-4</v>
      </c>
    </row>
    <row r="168" spans="2:5" ht="15" customHeight="1" x14ac:dyDescent="0.25">
      <c r="B168" s="83"/>
      <c r="C168" s="45" t="s">
        <v>129</v>
      </c>
      <c r="D168" s="44">
        <v>3</v>
      </c>
      <c r="E168" s="43">
        <v>3.9984006397441024E-4</v>
      </c>
    </row>
    <row r="169" spans="2:5" ht="15" customHeight="1" x14ac:dyDescent="0.25">
      <c r="B169" s="83"/>
      <c r="C169" s="45" t="s">
        <v>127</v>
      </c>
      <c r="D169" s="44">
        <v>2</v>
      </c>
      <c r="E169" s="43">
        <v>2.6656004264960682E-4</v>
      </c>
    </row>
    <row r="170" spans="2:5" ht="15" customHeight="1" x14ac:dyDescent="0.25">
      <c r="B170" s="83"/>
      <c r="C170" s="45" t="s">
        <v>125</v>
      </c>
      <c r="D170" s="44">
        <v>1</v>
      </c>
      <c r="E170" s="43">
        <v>1.3328002132480341E-4</v>
      </c>
    </row>
    <row r="171" spans="2:5" ht="15" customHeight="1" x14ac:dyDescent="0.25">
      <c r="B171" s="84"/>
      <c r="C171" s="42" t="s">
        <v>20</v>
      </c>
      <c r="D171" s="41">
        <v>12</v>
      </c>
      <c r="E171" s="40">
        <v>1.5993602558976409E-3</v>
      </c>
    </row>
    <row r="172" spans="2:5" ht="15" customHeight="1" x14ac:dyDescent="0.25">
      <c r="B172" s="82" t="s">
        <v>105</v>
      </c>
      <c r="C172" s="45" t="s">
        <v>128</v>
      </c>
      <c r="D172" s="44">
        <v>36</v>
      </c>
      <c r="E172" s="43">
        <v>4.7980807676929228E-3</v>
      </c>
    </row>
    <row r="173" spans="2:5" ht="15" customHeight="1" x14ac:dyDescent="0.25">
      <c r="B173" s="83"/>
      <c r="C173" s="45" t="s">
        <v>115</v>
      </c>
      <c r="D173" s="44">
        <v>22</v>
      </c>
      <c r="E173" s="43">
        <v>2.9321604691456751E-3</v>
      </c>
    </row>
    <row r="174" spans="2:5" ht="15" customHeight="1" x14ac:dyDescent="0.25">
      <c r="B174" s="83"/>
      <c r="C174" s="45" t="s">
        <v>124</v>
      </c>
      <c r="D174" s="44">
        <v>18</v>
      </c>
      <c r="E174" s="43">
        <v>2.3990403838464614E-3</v>
      </c>
    </row>
    <row r="175" spans="2:5" ht="15" customHeight="1" x14ac:dyDescent="0.25">
      <c r="B175" s="83"/>
      <c r="C175" s="45" t="s">
        <v>114</v>
      </c>
      <c r="D175" s="44">
        <v>10</v>
      </c>
      <c r="E175" s="43">
        <v>1.3328002132480341E-3</v>
      </c>
    </row>
    <row r="176" spans="2:5" ht="15" customHeight="1" x14ac:dyDescent="0.25">
      <c r="B176" s="83"/>
      <c r="C176" s="45" t="s">
        <v>113</v>
      </c>
      <c r="D176" s="44">
        <v>5</v>
      </c>
      <c r="E176" s="43">
        <v>6.6640010662401706E-4</v>
      </c>
    </row>
    <row r="177" spans="2:5" ht="15" customHeight="1" x14ac:dyDescent="0.25">
      <c r="B177" s="83"/>
      <c r="C177" s="45" t="s">
        <v>121</v>
      </c>
      <c r="D177" s="44">
        <v>62</v>
      </c>
      <c r="E177" s="43">
        <v>8.2633613221378115E-3</v>
      </c>
    </row>
    <row r="178" spans="2:5" ht="15" customHeight="1" x14ac:dyDescent="0.25">
      <c r="B178" s="83"/>
      <c r="C178" s="45" t="s">
        <v>130</v>
      </c>
      <c r="D178" s="44">
        <v>258</v>
      </c>
      <c r="E178" s="43">
        <v>3.4386245501799279E-2</v>
      </c>
    </row>
    <row r="179" spans="2:5" ht="15" customHeight="1" x14ac:dyDescent="0.25">
      <c r="B179" s="83"/>
      <c r="C179" s="45" t="s">
        <v>119</v>
      </c>
      <c r="D179" s="44">
        <v>11</v>
      </c>
      <c r="E179" s="43">
        <v>1.4660802345728375E-3</v>
      </c>
    </row>
    <row r="180" spans="2:5" ht="15" customHeight="1" x14ac:dyDescent="0.25">
      <c r="B180" s="83"/>
      <c r="C180" s="45" t="s">
        <v>117</v>
      </c>
      <c r="D180" s="44">
        <v>43</v>
      </c>
      <c r="E180" s="43">
        <v>5.7310409169665467E-3</v>
      </c>
    </row>
    <row r="181" spans="2:5" ht="15" customHeight="1" x14ac:dyDescent="0.25">
      <c r="B181" s="83"/>
      <c r="C181" s="45" t="s">
        <v>122</v>
      </c>
      <c r="D181" s="44">
        <v>7</v>
      </c>
      <c r="E181" s="43">
        <v>9.3296014927362388E-4</v>
      </c>
    </row>
    <row r="182" spans="2:5" ht="15" customHeight="1" x14ac:dyDescent="0.25">
      <c r="B182" s="83"/>
      <c r="C182" s="45" t="s">
        <v>129</v>
      </c>
      <c r="D182" s="44">
        <v>90</v>
      </c>
      <c r="E182" s="43">
        <v>1.1995201919232307E-2</v>
      </c>
    </row>
    <row r="183" spans="2:5" ht="15" customHeight="1" x14ac:dyDescent="0.25">
      <c r="B183" s="83"/>
      <c r="C183" s="45" t="s">
        <v>127</v>
      </c>
      <c r="D183" s="44">
        <v>45</v>
      </c>
      <c r="E183" s="43">
        <v>5.9976009596161535E-3</v>
      </c>
    </row>
    <row r="184" spans="2:5" ht="15" customHeight="1" x14ac:dyDescent="0.25">
      <c r="B184" s="83"/>
      <c r="C184" s="45" t="s">
        <v>126</v>
      </c>
      <c r="D184" s="44">
        <v>32</v>
      </c>
      <c r="E184" s="43">
        <v>4.2649606823937092E-3</v>
      </c>
    </row>
    <row r="185" spans="2:5" ht="15" customHeight="1" x14ac:dyDescent="0.25">
      <c r="B185" s="83"/>
      <c r="C185" s="45" t="s">
        <v>120</v>
      </c>
      <c r="D185" s="44">
        <v>26</v>
      </c>
      <c r="E185" s="43">
        <v>3.4652805544448887E-3</v>
      </c>
    </row>
    <row r="186" spans="2:5" ht="15" customHeight="1" x14ac:dyDescent="0.25">
      <c r="B186" s="83"/>
      <c r="C186" s="45" t="s">
        <v>116</v>
      </c>
      <c r="D186" s="44">
        <v>9</v>
      </c>
      <c r="E186" s="43">
        <v>1.1995201919232307E-3</v>
      </c>
    </row>
    <row r="187" spans="2:5" ht="15" customHeight="1" x14ac:dyDescent="0.25">
      <c r="B187" s="83"/>
      <c r="C187" s="45" t="s">
        <v>123</v>
      </c>
      <c r="D187" s="44">
        <v>40</v>
      </c>
      <c r="E187" s="43">
        <v>5.3312008529921365E-3</v>
      </c>
    </row>
    <row r="188" spans="2:5" ht="15" customHeight="1" x14ac:dyDescent="0.25">
      <c r="B188" s="83"/>
      <c r="C188" s="45" t="s">
        <v>118</v>
      </c>
      <c r="D188" s="44">
        <v>11</v>
      </c>
      <c r="E188" s="43">
        <v>1.4660802345728375E-3</v>
      </c>
    </row>
    <row r="189" spans="2:5" ht="15" customHeight="1" x14ac:dyDescent="0.25">
      <c r="B189" s="83"/>
      <c r="C189" s="45" t="s">
        <v>125</v>
      </c>
      <c r="D189" s="44">
        <v>42</v>
      </c>
      <c r="E189" s="43">
        <v>5.5977608956417433E-3</v>
      </c>
    </row>
    <row r="190" spans="2:5" ht="15" customHeight="1" x14ac:dyDescent="0.25">
      <c r="B190" s="84"/>
      <c r="C190" s="42" t="s">
        <v>20</v>
      </c>
      <c r="D190" s="41">
        <v>767</v>
      </c>
      <c r="E190" s="40">
        <v>0.10222577635612422</v>
      </c>
    </row>
    <row r="191" spans="2:5" ht="15" customHeight="1" x14ac:dyDescent="0.25">
      <c r="B191" s="82" t="s">
        <v>109</v>
      </c>
      <c r="C191" s="45" t="s">
        <v>128</v>
      </c>
      <c r="D191" s="44">
        <v>5</v>
      </c>
      <c r="E191" s="43">
        <v>6.6640010662401706E-4</v>
      </c>
    </row>
    <row r="192" spans="2:5" ht="15" customHeight="1" x14ac:dyDescent="0.25">
      <c r="B192" s="83"/>
      <c r="C192" s="45" t="s">
        <v>115</v>
      </c>
      <c r="D192" s="44">
        <v>1</v>
      </c>
      <c r="E192" s="43">
        <v>1.3328002132480341E-4</v>
      </c>
    </row>
    <row r="193" spans="2:5" ht="15" customHeight="1" x14ac:dyDescent="0.25">
      <c r="B193" s="83"/>
      <c r="C193" s="45" t="s">
        <v>124</v>
      </c>
      <c r="D193" s="44">
        <v>1</v>
      </c>
      <c r="E193" s="43">
        <v>1.3328002132480341E-4</v>
      </c>
    </row>
    <row r="194" spans="2:5" ht="15" customHeight="1" x14ac:dyDescent="0.25">
      <c r="B194" s="83"/>
      <c r="C194" s="45" t="s">
        <v>114</v>
      </c>
      <c r="D194" s="44">
        <v>2</v>
      </c>
      <c r="E194" s="43">
        <v>2.6656004264960682E-4</v>
      </c>
    </row>
    <row r="195" spans="2:5" ht="15" customHeight="1" x14ac:dyDescent="0.25">
      <c r="B195" s="83"/>
      <c r="C195" s="45" t="s">
        <v>130</v>
      </c>
      <c r="D195" s="44">
        <v>26</v>
      </c>
      <c r="E195" s="43">
        <v>3.4652805544448887E-3</v>
      </c>
    </row>
    <row r="196" spans="2:5" ht="15" customHeight="1" x14ac:dyDescent="0.25">
      <c r="B196" s="83"/>
      <c r="C196" s="45" t="s">
        <v>117</v>
      </c>
      <c r="D196" s="44">
        <v>1</v>
      </c>
      <c r="E196" s="43">
        <v>1.3328002132480341E-4</v>
      </c>
    </row>
    <row r="197" spans="2:5" ht="15" customHeight="1" x14ac:dyDescent="0.25">
      <c r="B197" s="83"/>
      <c r="C197" s="45" t="s">
        <v>129</v>
      </c>
      <c r="D197" s="44">
        <v>4</v>
      </c>
      <c r="E197" s="43">
        <v>5.3312008529921365E-4</v>
      </c>
    </row>
    <row r="198" spans="2:5" ht="15" customHeight="1" x14ac:dyDescent="0.25">
      <c r="B198" s="83"/>
      <c r="C198" s="45" t="s">
        <v>127</v>
      </c>
      <c r="D198" s="44">
        <v>16</v>
      </c>
      <c r="E198" s="43">
        <v>2.1324803411968546E-3</v>
      </c>
    </row>
    <row r="199" spans="2:5" ht="15" customHeight="1" x14ac:dyDescent="0.25">
      <c r="B199" s="83"/>
      <c r="C199" s="45" t="s">
        <v>126</v>
      </c>
      <c r="D199" s="44">
        <v>1</v>
      </c>
      <c r="E199" s="43">
        <v>1.3328002132480341E-4</v>
      </c>
    </row>
    <row r="200" spans="2:5" ht="15" customHeight="1" x14ac:dyDescent="0.25">
      <c r="B200" s="83"/>
      <c r="C200" s="45" t="s">
        <v>120</v>
      </c>
      <c r="D200" s="44">
        <v>8</v>
      </c>
      <c r="E200" s="43">
        <v>1.0662401705984273E-3</v>
      </c>
    </row>
    <row r="201" spans="2:5" ht="15" customHeight="1" x14ac:dyDescent="0.25">
      <c r="B201" s="83"/>
      <c r="C201" s="45" t="s">
        <v>116</v>
      </c>
      <c r="D201" s="44">
        <v>6</v>
      </c>
      <c r="E201" s="43">
        <v>7.9968012794882047E-4</v>
      </c>
    </row>
    <row r="202" spans="2:5" ht="15" customHeight="1" x14ac:dyDescent="0.25">
      <c r="B202" s="83"/>
      <c r="C202" s="45" t="s">
        <v>123</v>
      </c>
      <c r="D202" s="44">
        <v>1</v>
      </c>
      <c r="E202" s="43">
        <v>1.3328002132480341E-4</v>
      </c>
    </row>
    <row r="203" spans="2:5" ht="15" customHeight="1" x14ac:dyDescent="0.25">
      <c r="B203" s="83"/>
      <c r="C203" s="45" t="s">
        <v>118</v>
      </c>
      <c r="D203" s="44">
        <v>1</v>
      </c>
      <c r="E203" s="43">
        <v>1.3328002132480341E-4</v>
      </c>
    </row>
    <row r="204" spans="2:5" ht="15" customHeight="1" x14ac:dyDescent="0.25">
      <c r="B204" s="83"/>
      <c r="C204" s="45" t="s">
        <v>125</v>
      </c>
      <c r="D204" s="44">
        <v>1</v>
      </c>
      <c r="E204" s="43">
        <v>1.3328002132480341E-4</v>
      </c>
    </row>
    <row r="205" spans="2:5" ht="15" customHeight="1" x14ac:dyDescent="0.25">
      <c r="B205" s="84"/>
      <c r="C205" s="42" t="s">
        <v>20</v>
      </c>
      <c r="D205" s="41">
        <v>74</v>
      </c>
      <c r="E205" s="40">
        <v>9.8627215780354525E-3</v>
      </c>
    </row>
    <row r="206" spans="2:5" ht="15" customHeight="1" x14ac:dyDescent="0.25">
      <c r="B206" s="82" t="s">
        <v>93</v>
      </c>
      <c r="C206" s="45" t="s">
        <v>128</v>
      </c>
      <c r="D206" s="44">
        <v>5</v>
      </c>
      <c r="E206" s="43">
        <v>6.6640010662401706E-4</v>
      </c>
    </row>
    <row r="207" spans="2:5" ht="15" customHeight="1" x14ac:dyDescent="0.25">
      <c r="B207" s="83"/>
      <c r="C207" s="45" t="s">
        <v>115</v>
      </c>
      <c r="D207" s="44">
        <v>1</v>
      </c>
      <c r="E207" s="43">
        <v>1.3328002132480341E-4</v>
      </c>
    </row>
    <row r="208" spans="2:5" ht="15" customHeight="1" x14ac:dyDescent="0.25">
      <c r="B208" s="83"/>
      <c r="C208" s="45" t="s">
        <v>124</v>
      </c>
      <c r="D208" s="44">
        <v>2</v>
      </c>
      <c r="E208" s="43">
        <v>2.6656004264960682E-4</v>
      </c>
    </row>
    <row r="209" spans="2:5" ht="15" customHeight="1" x14ac:dyDescent="0.25">
      <c r="B209" s="83"/>
      <c r="C209" s="45" t="s">
        <v>130</v>
      </c>
      <c r="D209" s="44">
        <v>13</v>
      </c>
      <c r="E209" s="43">
        <v>1.7326402772224444E-3</v>
      </c>
    </row>
    <row r="210" spans="2:5" ht="15" customHeight="1" x14ac:dyDescent="0.25">
      <c r="B210" s="83"/>
      <c r="C210" s="45" t="s">
        <v>119</v>
      </c>
      <c r="D210" s="44">
        <v>2</v>
      </c>
      <c r="E210" s="43">
        <v>2.6656004264960682E-4</v>
      </c>
    </row>
    <row r="211" spans="2:5" ht="15" customHeight="1" x14ac:dyDescent="0.25">
      <c r="B211" s="83"/>
      <c r="C211" s="45" t="s">
        <v>122</v>
      </c>
      <c r="D211" s="44">
        <v>1</v>
      </c>
      <c r="E211" s="43">
        <v>1.3328002132480341E-4</v>
      </c>
    </row>
    <row r="212" spans="2:5" ht="15" customHeight="1" x14ac:dyDescent="0.25">
      <c r="B212" s="83"/>
      <c r="C212" s="45" t="s">
        <v>129</v>
      </c>
      <c r="D212" s="44">
        <v>2</v>
      </c>
      <c r="E212" s="43">
        <v>2.6656004264960682E-4</v>
      </c>
    </row>
    <row r="213" spans="2:5" ht="15" customHeight="1" x14ac:dyDescent="0.25">
      <c r="B213" s="83"/>
      <c r="C213" s="45" t="s">
        <v>127</v>
      </c>
      <c r="D213" s="44">
        <v>10</v>
      </c>
      <c r="E213" s="43">
        <v>1.3328002132480341E-3</v>
      </c>
    </row>
    <row r="214" spans="2:5" ht="15" customHeight="1" x14ac:dyDescent="0.25">
      <c r="B214" s="83"/>
      <c r="C214" s="45" t="s">
        <v>126</v>
      </c>
      <c r="D214" s="44">
        <v>1</v>
      </c>
      <c r="E214" s="43">
        <v>1.3328002132480341E-4</v>
      </c>
    </row>
    <row r="215" spans="2:5" ht="15" customHeight="1" x14ac:dyDescent="0.25">
      <c r="B215" s="83"/>
      <c r="C215" s="45" t="s">
        <v>120</v>
      </c>
      <c r="D215" s="44">
        <v>1</v>
      </c>
      <c r="E215" s="43">
        <v>1.3328002132480341E-4</v>
      </c>
    </row>
    <row r="216" spans="2:5" ht="15" customHeight="1" x14ac:dyDescent="0.25">
      <c r="B216" s="83"/>
      <c r="C216" s="45" t="s">
        <v>125</v>
      </c>
      <c r="D216" s="44">
        <v>1</v>
      </c>
      <c r="E216" s="43">
        <v>1.3328002132480341E-4</v>
      </c>
    </row>
    <row r="217" spans="2:5" ht="15" customHeight="1" x14ac:dyDescent="0.25">
      <c r="B217" s="84"/>
      <c r="C217" s="42" t="s">
        <v>20</v>
      </c>
      <c r="D217" s="41">
        <v>39</v>
      </c>
      <c r="E217" s="40">
        <v>5.1979208316673331E-3</v>
      </c>
    </row>
    <row r="218" spans="2:5" ht="15" customHeight="1" x14ac:dyDescent="0.25">
      <c r="B218" s="82" t="s">
        <v>88</v>
      </c>
      <c r="C218" s="45" t="s">
        <v>128</v>
      </c>
      <c r="D218" s="44">
        <v>16</v>
      </c>
      <c r="E218" s="43">
        <v>2.1324803411968546E-3</v>
      </c>
    </row>
    <row r="219" spans="2:5" ht="15" customHeight="1" x14ac:dyDescent="0.25">
      <c r="B219" s="83"/>
      <c r="C219" s="45" t="s">
        <v>115</v>
      </c>
      <c r="D219" s="44">
        <v>1</v>
      </c>
      <c r="E219" s="43">
        <v>1.3328002132480341E-4</v>
      </c>
    </row>
    <row r="220" spans="2:5" ht="15" customHeight="1" x14ac:dyDescent="0.25">
      <c r="B220" s="83"/>
      <c r="C220" s="45" t="s">
        <v>114</v>
      </c>
      <c r="D220" s="44">
        <v>5</v>
      </c>
      <c r="E220" s="43">
        <v>6.6640010662401706E-4</v>
      </c>
    </row>
    <row r="221" spans="2:5" ht="15" customHeight="1" x14ac:dyDescent="0.25">
      <c r="B221" s="83"/>
      <c r="C221" s="45" t="s">
        <v>113</v>
      </c>
      <c r="D221" s="44">
        <v>1</v>
      </c>
      <c r="E221" s="43">
        <v>1.3328002132480341E-4</v>
      </c>
    </row>
    <row r="222" spans="2:5" ht="15" customHeight="1" x14ac:dyDescent="0.25">
      <c r="B222" s="83"/>
      <c r="C222" s="45" t="s">
        <v>130</v>
      </c>
      <c r="D222" s="44">
        <v>14</v>
      </c>
      <c r="E222" s="43">
        <v>1.8659202985472478E-3</v>
      </c>
    </row>
    <row r="223" spans="2:5" ht="15" customHeight="1" x14ac:dyDescent="0.25">
      <c r="B223" s="83"/>
      <c r="C223" s="45" t="s">
        <v>119</v>
      </c>
      <c r="D223" s="44">
        <v>1</v>
      </c>
      <c r="E223" s="43">
        <v>1.3328002132480341E-4</v>
      </c>
    </row>
    <row r="224" spans="2:5" ht="15" customHeight="1" x14ac:dyDescent="0.25">
      <c r="B224" s="83"/>
      <c r="C224" s="45" t="s">
        <v>122</v>
      </c>
      <c r="D224" s="44">
        <v>1</v>
      </c>
      <c r="E224" s="43">
        <v>1.3328002132480341E-4</v>
      </c>
    </row>
    <row r="225" spans="2:5" ht="15" customHeight="1" x14ac:dyDescent="0.25">
      <c r="B225" s="83"/>
      <c r="C225" s="45" t="s">
        <v>129</v>
      </c>
      <c r="D225" s="44">
        <v>7</v>
      </c>
      <c r="E225" s="43">
        <v>9.3296014927362388E-4</v>
      </c>
    </row>
    <row r="226" spans="2:5" ht="15" customHeight="1" x14ac:dyDescent="0.25">
      <c r="B226" s="83"/>
      <c r="C226" s="45" t="s">
        <v>127</v>
      </c>
      <c r="D226" s="44">
        <v>11</v>
      </c>
      <c r="E226" s="43">
        <v>1.4660802345728375E-3</v>
      </c>
    </row>
    <row r="227" spans="2:5" ht="15" customHeight="1" x14ac:dyDescent="0.25">
      <c r="B227" s="83"/>
      <c r="C227" s="45" t="s">
        <v>126</v>
      </c>
      <c r="D227" s="44">
        <v>3</v>
      </c>
      <c r="E227" s="43">
        <v>3.9984006397441024E-4</v>
      </c>
    </row>
    <row r="228" spans="2:5" ht="15" customHeight="1" x14ac:dyDescent="0.25">
      <c r="B228" s="83"/>
      <c r="C228" s="45" t="s">
        <v>120</v>
      </c>
      <c r="D228" s="44">
        <v>1</v>
      </c>
      <c r="E228" s="43">
        <v>1.3328002132480341E-4</v>
      </c>
    </row>
    <row r="229" spans="2:5" ht="15" customHeight="1" x14ac:dyDescent="0.25">
      <c r="B229" s="83"/>
      <c r="C229" s="45" t="s">
        <v>116</v>
      </c>
      <c r="D229" s="44">
        <v>1</v>
      </c>
      <c r="E229" s="43">
        <v>1.3328002132480341E-4</v>
      </c>
    </row>
    <row r="230" spans="2:5" ht="15" customHeight="1" x14ac:dyDescent="0.25">
      <c r="B230" s="83"/>
      <c r="C230" s="45" t="s">
        <v>125</v>
      </c>
      <c r="D230" s="44">
        <v>3</v>
      </c>
      <c r="E230" s="43">
        <v>3.9984006397441024E-4</v>
      </c>
    </row>
    <row r="231" spans="2:5" ht="15" customHeight="1" x14ac:dyDescent="0.25">
      <c r="B231" s="84"/>
      <c r="C231" s="42" t="s">
        <v>20</v>
      </c>
      <c r="D231" s="41">
        <v>65</v>
      </c>
      <c r="E231" s="40">
        <v>8.6632013861122226E-3</v>
      </c>
    </row>
    <row r="232" spans="2:5" ht="15" customHeight="1" x14ac:dyDescent="0.25">
      <c r="B232" s="82" t="s">
        <v>72</v>
      </c>
      <c r="C232" s="45" t="s">
        <v>128</v>
      </c>
      <c r="D232" s="44">
        <v>2</v>
      </c>
      <c r="E232" s="43">
        <v>2.6656004264960682E-4</v>
      </c>
    </row>
    <row r="233" spans="2:5" ht="15" customHeight="1" x14ac:dyDescent="0.25">
      <c r="B233" s="83"/>
      <c r="C233" s="45" t="s">
        <v>130</v>
      </c>
      <c r="D233" s="44">
        <v>2</v>
      </c>
      <c r="E233" s="43">
        <v>2.6656004264960682E-4</v>
      </c>
    </row>
    <row r="234" spans="2:5" ht="15" customHeight="1" x14ac:dyDescent="0.25">
      <c r="B234" s="83"/>
      <c r="C234" s="45" t="s">
        <v>119</v>
      </c>
      <c r="D234" s="44">
        <v>3</v>
      </c>
      <c r="E234" s="43">
        <v>3.9984006397441024E-4</v>
      </c>
    </row>
    <row r="235" spans="2:5" ht="15" customHeight="1" x14ac:dyDescent="0.25">
      <c r="B235" s="83"/>
      <c r="C235" s="45" t="s">
        <v>129</v>
      </c>
      <c r="D235" s="44">
        <v>3</v>
      </c>
      <c r="E235" s="43">
        <v>3.9984006397441024E-4</v>
      </c>
    </row>
    <row r="236" spans="2:5" ht="15" customHeight="1" x14ac:dyDescent="0.25">
      <c r="B236" s="83"/>
      <c r="C236" s="45" t="s">
        <v>127</v>
      </c>
      <c r="D236" s="44">
        <v>2</v>
      </c>
      <c r="E236" s="43">
        <v>2.6656004264960682E-4</v>
      </c>
    </row>
    <row r="237" spans="2:5" ht="15" customHeight="1" x14ac:dyDescent="0.25">
      <c r="B237" s="83"/>
      <c r="C237" s="45" t="s">
        <v>125</v>
      </c>
      <c r="D237" s="44">
        <v>1</v>
      </c>
      <c r="E237" s="43">
        <v>1.3328002132480341E-4</v>
      </c>
    </row>
    <row r="238" spans="2:5" ht="15" customHeight="1" x14ac:dyDescent="0.25">
      <c r="B238" s="84"/>
      <c r="C238" s="42" t="s">
        <v>20</v>
      </c>
      <c r="D238" s="41">
        <v>13</v>
      </c>
      <c r="E238" s="40">
        <v>1.7326402772224444E-3</v>
      </c>
    </row>
    <row r="239" spans="2:5" ht="15" customHeight="1" x14ac:dyDescent="0.25">
      <c r="B239" s="82" t="s">
        <v>95</v>
      </c>
      <c r="C239" s="45" t="s">
        <v>128</v>
      </c>
      <c r="D239" s="44">
        <v>38</v>
      </c>
      <c r="E239" s="43">
        <v>5.0646408103425297E-3</v>
      </c>
    </row>
    <row r="240" spans="2:5" ht="15" customHeight="1" x14ac:dyDescent="0.25">
      <c r="B240" s="83"/>
      <c r="C240" s="45" t="s">
        <v>115</v>
      </c>
      <c r="D240" s="44">
        <v>10</v>
      </c>
      <c r="E240" s="43">
        <v>1.3328002132480341E-3</v>
      </c>
    </row>
    <row r="241" spans="2:5" ht="15" customHeight="1" x14ac:dyDescent="0.25">
      <c r="B241" s="83"/>
      <c r="C241" s="45" t="s">
        <v>124</v>
      </c>
      <c r="D241" s="44">
        <v>5</v>
      </c>
      <c r="E241" s="43">
        <v>6.6640010662401706E-4</v>
      </c>
    </row>
    <row r="242" spans="2:5" ht="15" customHeight="1" x14ac:dyDescent="0.25">
      <c r="B242" s="83"/>
      <c r="C242" s="45" t="s">
        <v>114</v>
      </c>
      <c r="D242" s="44">
        <v>3</v>
      </c>
      <c r="E242" s="43">
        <v>3.9984006397441024E-4</v>
      </c>
    </row>
    <row r="243" spans="2:5" ht="15" customHeight="1" x14ac:dyDescent="0.25">
      <c r="B243" s="83"/>
      <c r="C243" s="45" t="s">
        <v>121</v>
      </c>
      <c r="D243" s="44">
        <v>7</v>
      </c>
      <c r="E243" s="43">
        <v>9.3296014927362388E-4</v>
      </c>
    </row>
    <row r="244" spans="2:5" ht="15" customHeight="1" x14ac:dyDescent="0.25">
      <c r="B244" s="83"/>
      <c r="C244" s="45" t="s">
        <v>130</v>
      </c>
      <c r="D244" s="44">
        <v>106</v>
      </c>
      <c r="E244" s="43">
        <v>1.4127682260429162E-2</v>
      </c>
    </row>
    <row r="245" spans="2:5" ht="15" customHeight="1" x14ac:dyDescent="0.25">
      <c r="B245" s="83"/>
      <c r="C245" s="45" t="s">
        <v>119</v>
      </c>
      <c r="D245" s="44">
        <v>5</v>
      </c>
      <c r="E245" s="43">
        <v>6.6640010662401706E-4</v>
      </c>
    </row>
    <row r="246" spans="2:5" ht="15" customHeight="1" x14ac:dyDescent="0.25">
      <c r="B246" s="83"/>
      <c r="C246" s="45" t="s">
        <v>117</v>
      </c>
      <c r="D246" s="44">
        <v>2</v>
      </c>
      <c r="E246" s="43">
        <v>2.6656004264960682E-4</v>
      </c>
    </row>
    <row r="247" spans="2:5" ht="15" customHeight="1" x14ac:dyDescent="0.25">
      <c r="B247" s="83"/>
      <c r="C247" s="45" t="s">
        <v>122</v>
      </c>
      <c r="D247" s="44">
        <v>9</v>
      </c>
      <c r="E247" s="43">
        <v>1.1995201919232307E-3</v>
      </c>
    </row>
    <row r="248" spans="2:5" ht="15" customHeight="1" x14ac:dyDescent="0.25">
      <c r="B248" s="83"/>
      <c r="C248" s="45" t="s">
        <v>129</v>
      </c>
      <c r="D248" s="44">
        <v>27</v>
      </c>
      <c r="E248" s="43">
        <v>3.5985605757696921E-3</v>
      </c>
    </row>
    <row r="249" spans="2:5" ht="15" customHeight="1" x14ac:dyDescent="0.25">
      <c r="B249" s="83"/>
      <c r="C249" s="45" t="s">
        <v>127</v>
      </c>
      <c r="D249" s="44">
        <v>36</v>
      </c>
      <c r="E249" s="43">
        <v>4.7980807676929228E-3</v>
      </c>
    </row>
    <row r="250" spans="2:5" ht="15" customHeight="1" x14ac:dyDescent="0.25">
      <c r="B250" s="83"/>
      <c r="C250" s="45" t="s">
        <v>126</v>
      </c>
      <c r="D250" s="44">
        <v>12</v>
      </c>
      <c r="E250" s="43">
        <v>1.5993602558976409E-3</v>
      </c>
    </row>
    <row r="251" spans="2:5" ht="15" customHeight="1" x14ac:dyDescent="0.25">
      <c r="B251" s="83"/>
      <c r="C251" s="45" t="s">
        <v>120</v>
      </c>
      <c r="D251" s="44">
        <v>5</v>
      </c>
      <c r="E251" s="43">
        <v>6.6640010662401706E-4</v>
      </c>
    </row>
    <row r="252" spans="2:5" ht="15" customHeight="1" x14ac:dyDescent="0.25">
      <c r="B252" s="83"/>
      <c r="C252" s="45" t="s">
        <v>116</v>
      </c>
      <c r="D252" s="44">
        <v>2</v>
      </c>
      <c r="E252" s="43">
        <v>2.6656004264960682E-4</v>
      </c>
    </row>
    <row r="253" spans="2:5" ht="15" customHeight="1" x14ac:dyDescent="0.25">
      <c r="B253" s="83"/>
      <c r="C253" s="45" t="s">
        <v>123</v>
      </c>
      <c r="D253" s="44">
        <v>12</v>
      </c>
      <c r="E253" s="43">
        <v>1.5993602558976409E-3</v>
      </c>
    </row>
    <row r="254" spans="2:5" ht="15" customHeight="1" x14ac:dyDescent="0.25">
      <c r="B254" s="83"/>
      <c r="C254" s="45" t="s">
        <v>118</v>
      </c>
      <c r="D254" s="44">
        <v>3</v>
      </c>
      <c r="E254" s="43">
        <v>3.9984006397441024E-4</v>
      </c>
    </row>
    <row r="255" spans="2:5" ht="15" customHeight="1" x14ac:dyDescent="0.25">
      <c r="B255" s="83"/>
      <c r="C255" s="45" t="s">
        <v>125</v>
      </c>
      <c r="D255" s="44">
        <v>11</v>
      </c>
      <c r="E255" s="43">
        <v>1.4660802345728375E-3</v>
      </c>
    </row>
    <row r="256" spans="2:5" ht="15" customHeight="1" x14ac:dyDescent="0.25">
      <c r="B256" s="84"/>
      <c r="C256" s="42" t="s">
        <v>20</v>
      </c>
      <c r="D256" s="41">
        <v>293</v>
      </c>
      <c r="E256" s="40">
        <v>3.9051046248167402E-2</v>
      </c>
    </row>
    <row r="257" spans="2:5" ht="15" customHeight="1" x14ac:dyDescent="0.25">
      <c r="B257" s="82" t="s">
        <v>99</v>
      </c>
      <c r="C257" s="45" t="s">
        <v>128</v>
      </c>
      <c r="D257" s="44">
        <v>4</v>
      </c>
      <c r="E257" s="43">
        <v>5.3312008529921365E-4</v>
      </c>
    </row>
    <row r="258" spans="2:5" ht="15" customHeight="1" x14ac:dyDescent="0.25">
      <c r="B258" s="83"/>
      <c r="C258" s="45" t="s">
        <v>115</v>
      </c>
      <c r="D258" s="44">
        <v>3</v>
      </c>
      <c r="E258" s="43">
        <v>3.9984006397441024E-4</v>
      </c>
    </row>
    <row r="259" spans="2:5" ht="15" customHeight="1" x14ac:dyDescent="0.25">
      <c r="B259" s="83"/>
      <c r="C259" s="45" t="s">
        <v>130</v>
      </c>
      <c r="D259" s="44">
        <v>20</v>
      </c>
      <c r="E259" s="43">
        <v>2.6656004264960682E-3</v>
      </c>
    </row>
    <row r="260" spans="2:5" ht="15" customHeight="1" x14ac:dyDescent="0.25">
      <c r="B260" s="83"/>
      <c r="C260" s="45" t="s">
        <v>119</v>
      </c>
      <c r="D260" s="44">
        <v>3</v>
      </c>
      <c r="E260" s="43">
        <v>3.9984006397441024E-4</v>
      </c>
    </row>
    <row r="261" spans="2:5" ht="15" customHeight="1" x14ac:dyDescent="0.25">
      <c r="B261" s="83"/>
      <c r="C261" s="45" t="s">
        <v>117</v>
      </c>
      <c r="D261" s="44">
        <v>1</v>
      </c>
      <c r="E261" s="43">
        <v>1.3328002132480341E-4</v>
      </c>
    </row>
    <row r="262" spans="2:5" ht="15" customHeight="1" x14ac:dyDescent="0.25">
      <c r="B262" s="83"/>
      <c r="C262" s="45" t="s">
        <v>122</v>
      </c>
      <c r="D262" s="44">
        <v>3</v>
      </c>
      <c r="E262" s="43">
        <v>3.9984006397441024E-4</v>
      </c>
    </row>
    <row r="263" spans="2:5" ht="15" customHeight="1" x14ac:dyDescent="0.25">
      <c r="B263" s="83"/>
      <c r="C263" s="45" t="s">
        <v>129</v>
      </c>
      <c r="D263" s="44">
        <v>2</v>
      </c>
      <c r="E263" s="43">
        <v>2.6656004264960682E-4</v>
      </c>
    </row>
    <row r="264" spans="2:5" ht="15" customHeight="1" x14ac:dyDescent="0.25">
      <c r="B264" s="83"/>
      <c r="C264" s="45" t="s">
        <v>127</v>
      </c>
      <c r="D264" s="44">
        <v>7</v>
      </c>
      <c r="E264" s="43">
        <v>9.3296014927362388E-4</v>
      </c>
    </row>
    <row r="265" spans="2:5" ht="15" customHeight="1" x14ac:dyDescent="0.25">
      <c r="B265" s="83"/>
      <c r="C265" s="45" t="s">
        <v>126</v>
      </c>
      <c r="D265" s="44">
        <v>1</v>
      </c>
      <c r="E265" s="43">
        <v>1.3328002132480341E-4</v>
      </c>
    </row>
    <row r="266" spans="2:5" ht="15" customHeight="1" x14ac:dyDescent="0.25">
      <c r="B266" s="83"/>
      <c r="C266" s="45" t="s">
        <v>116</v>
      </c>
      <c r="D266" s="44">
        <v>3</v>
      </c>
      <c r="E266" s="43">
        <v>3.9984006397441024E-4</v>
      </c>
    </row>
    <row r="267" spans="2:5" ht="15" customHeight="1" x14ac:dyDescent="0.25">
      <c r="B267" s="83"/>
      <c r="C267" s="45" t="s">
        <v>123</v>
      </c>
      <c r="D267" s="44">
        <v>2</v>
      </c>
      <c r="E267" s="43">
        <v>2.6656004264960682E-4</v>
      </c>
    </row>
    <row r="268" spans="2:5" ht="15" customHeight="1" x14ac:dyDescent="0.25">
      <c r="B268" s="83"/>
      <c r="C268" s="45" t="s">
        <v>118</v>
      </c>
      <c r="D268" s="44">
        <v>2</v>
      </c>
      <c r="E268" s="43">
        <v>2.6656004264960682E-4</v>
      </c>
    </row>
    <row r="269" spans="2:5" ht="15" customHeight="1" x14ac:dyDescent="0.25">
      <c r="B269" s="84"/>
      <c r="C269" s="42" t="s">
        <v>20</v>
      </c>
      <c r="D269" s="41">
        <v>51</v>
      </c>
      <c r="E269" s="40">
        <v>6.797281087564974E-3</v>
      </c>
    </row>
    <row r="270" spans="2:5" ht="15" customHeight="1" x14ac:dyDescent="0.25">
      <c r="B270" s="82" t="s">
        <v>111</v>
      </c>
      <c r="C270" s="45" t="s">
        <v>128</v>
      </c>
      <c r="D270" s="44">
        <v>86</v>
      </c>
      <c r="E270" s="43">
        <v>1.1462081833933093E-2</v>
      </c>
    </row>
    <row r="271" spans="2:5" ht="15" customHeight="1" x14ac:dyDescent="0.25">
      <c r="B271" s="83"/>
      <c r="C271" s="45" t="s">
        <v>115</v>
      </c>
      <c r="D271" s="44">
        <v>13</v>
      </c>
      <c r="E271" s="43">
        <v>1.7326402772224444E-3</v>
      </c>
    </row>
    <row r="272" spans="2:5" ht="15" customHeight="1" x14ac:dyDescent="0.25">
      <c r="B272" s="83"/>
      <c r="C272" s="45" t="s">
        <v>124</v>
      </c>
      <c r="D272" s="44">
        <v>66</v>
      </c>
      <c r="E272" s="43">
        <v>8.7964814074370252E-3</v>
      </c>
    </row>
    <row r="273" spans="2:5" ht="15" customHeight="1" x14ac:dyDescent="0.25">
      <c r="B273" s="83"/>
      <c r="C273" s="45" t="s">
        <v>114</v>
      </c>
      <c r="D273" s="44">
        <v>5</v>
      </c>
      <c r="E273" s="43">
        <v>6.6640010662401706E-4</v>
      </c>
    </row>
    <row r="274" spans="2:5" ht="15" customHeight="1" x14ac:dyDescent="0.25">
      <c r="B274" s="83"/>
      <c r="C274" s="45" t="s">
        <v>113</v>
      </c>
      <c r="D274" s="44">
        <v>19</v>
      </c>
      <c r="E274" s="43">
        <v>2.5323204051712648E-3</v>
      </c>
    </row>
    <row r="275" spans="2:5" ht="15" customHeight="1" x14ac:dyDescent="0.25">
      <c r="B275" s="83"/>
      <c r="C275" s="45" t="s">
        <v>121</v>
      </c>
      <c r="D275" s="44">
        <v>54</v>
      </c>
      <c r="E275" s="43">
        <v>7.1971211515393842E-3</v>
      </c>
    </row>
    <row r="276" spans="2:5" ht="15" customHeight="1" x14ac:dyDescent="0.25">
      <c r="B276" s="83"/>
      <c r="C276" s="45" t="s">
        <v>130</v>
      </c>
      <c r="D276" s="44">
        <v>424</v>
      </c>
      <c r="E276" s="43">
        <v>5.6510729041716647E-2</v>
      </c>
    </row>
    <row r="277" spans="2:5" ht="15" customHeight="1" x14ac:dyDescent="0.25">
      <c r="B277" s="83"/>
      <c r="C277" s="45" t="s">
        <v>119</v>
      </c>
      <c r="D277" s="44">
        <v>20</v>
      </c>
      <c r="E277" s="43">
        <v>2.6656004264960682E-3</v>
      </c>
    </row>
    <row r="278" spans="2:5" ht="15" customHeight="1" x14ac:dyDescent="0.25">
      <c r="B278" s="83"/>
      <c r="C278" s="45" t="s">
        <v>117</v>
      </c>
      <c r="D278" s="44">
        <v>28</v>
      </c>
      <c r="E278" s="43">
        <v>3.7318405970944955E-3</v>
      </c>
    </row>
    <row r="279" spans="2:5" ht="15" customHeight="1" x14ac:dyDescent="0.25">
      <c r="B279" s="83"/>
      <c r="C279" s="45" t="s">
        <v>122</v>
      </c>
      <c r="D279" s="44">
        <v>59</v>
      </c>
      <c r="E279" s="43">
        <v>7.8635212581634022E-3</v>
      </c>
    </row>
    <row r="280" spans="2:5" ht="15" customHeight="1" x14ac:dyDescent="0.25">
      <c r="B280" s="83"/>
      <c r="C280" s="45" t="s">
        <v>129</v>
      </c>
      <c r="D280" s="44">
        <v>99</v>
      </c>
      <c r="E280" s="43">
        <v>1.3194722111155539E-2</v>
      </c>
    </row>
    <row r="281" spans="2:5" ht="15" customHeight="1" x14ac:dyDescent="0.25">
      <c r="B281" s="83"/>
      <c r="C281" s="45" t="s">
        <v>127</v>
      </c>
      <c r="D281" s="44">
        <v>132</v>
      </c>
      <c r="E281" s="43">
        <v>1.759296281487405E-2</v>
      </c>
    </row>
    <row r="282" spans="2:5" ht="15" customHeight="1" x14ac:dyDescent="0.25">
      <c r="B282" s="83"/>
      <c r="C282" s="45" t="s">
        <v>126</v>
      </c>
      <c r="D282" s="44">
        <v>92</v>
      </c>
      <c r="E282" s="43">
        <v>1.2261761961881914E-2</v>
      </c>
    </row>
    <row r="283" spans="2:5" ht="15" customHeight="1" x14ac:dyDescent="0.25">
      <c r="B283" s="83"/>
      <c r="C283" s="45" t="s">
        <v>120</v>
      </c>
      <c r="D283" s="44">
        <v>28</v>
      </c>
      <c r="E283" s="43">
        <v>3.7318405970944955E-3</v>
      </c>
    </row>
    <row r="284" spans="2:5" ht="15" customHeight="1" x14ac:dyDescent="0.25">
      <c r="B284" s="83"/>
      <c r="C284" s="45" t="s">
        <v>116</v>
      </c>
      <c r="D284" s="44">
        <v>42</v>
      </c>
      <c r="E284" s="43">
        <v>5.5977608956417433E-3</v>
      </c>
    </row>
    <row r="285" spans="2:5" ht="15" customHeight="1" x14ac:dyDescent="0.25">
      <c r="B285" s="83"/>
      <c r="C285" s="45" t="s">
        <v>123</v>
      </c>
      <c r="D285" s="44">
        <v>44</v>
      </c>
      <c r="E285" s="43">
        <v>5.8643209382913501E-3</v>
      </c>
    </row>
    <row r="286" spans="2:5" ht="15" customHeight="1" x14ac:dyDescent="0.25">
      <c r="B286" s="83"/>
      <c r="C286" s="45" t="s">
        <v>118</v>
      </c>
      <c r="D286" s="44">
        <v>30</v>
      </c>
      <c r="E286" s="43">
        <v>3.9984006397441024E-3</v>
      </c>
    </row>
    <row r="287" spans="2:5" ht="15" customHeight="1" x14ac:dyDescent="0.25">
      <c r="B287" s="83"/>
      <c r="C287" s="45" t="s">
        <v>125</v>
      </c>
      <c r="D287" s="44">
        <v>69</v>
      </c>
      <c r="E287" s="43">
        <v>9.1963214714114363E-3</v>
      </c>
    </row>
    <row r="288" spans="2:5" ht="15" customHeight="1" x14ac:dyDescent="0.25">
      <c r="B288" s="84"/>
      <c r="C288" s="42" t="s">
        <v>20</v>
      </c>
      <c r="D288" s="41">
        <v>1310</v>
      </c>
      <c r="E288" s="40">
        <v>0.17459682793549247</v>
      </c>
    </row>
    <row r="289" spans="2:5" ht="15" customHeight="1" x14ac:dyDescent="0.25">
      <c r="B289" s="82" t="s">
        <v>90</v>
      </c>
      <c r="C289" s="45" t="s">
        <v>128</v>
      </c>
      <c r="D289" s="44">
        <v>3</v>
      </c>
      <c r="E289" s="43">
        <v>3.9984006397441024E-4</v>
      </c>
    </row>
    <row r="290" spans="2:5" ht="15" customHeight="1" x14ac:dyDescent="0.25">
      <c r="B290" s="83"/>
      <c r="C290" s="45" t="s">
        <v>121</v>
      </c>
      <c r="D290" s="44">
        <v>4</v>
      </c>
      <c r="E290" s="43">
        <v>5.3312008529921365E-4</v>
      </c>
    </row>
    <row r="291" spans="2:5" ht="15" customHeight="1" x14ac:dyDescent="0.25">
      <c r="B291" s="83"/>
      <c r="C291" s="45" t="s">
        <v>130</v>
      </c>
      <c r="D291" s="44">
        <v>6</v>
      </c>
      <c r="E291" s="43">
        <v>7.9968012794882047E-4</v>
      </c>
    </row>
    <row r="292" spans="2:5" ht="15" customHeight="1" x14ac:dyDescent="0.25">
      <c r="B292" s="83"/>
      <c r="C292" s="45" t="s">
        <v>122</v>
      </c>
      <c r="D292" s="44">
        <v>1</v>
      </c>
      <c r="E292" s="43">
        <v>1.3328002132480341E-4</v>
      </c>
    </row>
    <row r="293" spans="2:5" ht="15" customHeight="1" x14ac:dyDescent="0.25">
      <c r="B293" s="83"/>
      <c r="C293" s="45" t="s">
        <v>129</v>
      </c>
      <c r="D293" s="44">
        <v>1</v>
      </c>
      <c r="E293" s="43">
        <v>1.3328002132480341E-4</v>
      </c>
    </row>
    <row r="294" spans="2:5" ht="15" customHeight="1" x14ac:dyDescent="0.25">
      <c r="B294" s="83"/>
      <c r="C294" s="45" t="s">
        <v>127</v>
      </c>
      <c r="D294" s="44">
        <v>3</v>
      </c>
      <c r="E294" s="43">
        <v>3.9984006397441024E-4</v>
      </c>
    </row>
    <row r="295" spans="2:5" ht="15" customHeight="1" x14ac:dyDescent="0.25">
      <c r="B295" s="84"/>
      <c r="C295" s="42" t="s">
        <v>20</v>
      </c>
      <c r="D295" s="41">
        <v>18</v>
      </c>
      <c r="E295" s="40">
        <v>2.3990403838464614E-3</v>
      </c>
    </row>
    <row r="296" spans="2:5" ht="15" customHeight="1" x14ac:dyDescent="0.25">
      <c r="B296" s="82" t="s">
        <v>85</v>
      </c>
      <c r="C296" s="45" t="s">
        <v>128</v>
      </c>
      <c r="D296" s="44">
        <v>4</v>
      </c>
      <c r="E296" s="43">
        <v>5.3312008529921365E-4</v>
      </c>
    </row>
    <row r="297" spans="2:5" ht="15" customHeight="1" x14ac:dyDescent="0.25">
      <c r="B297" s="83"/>
      <c r="C297" s="45" t="s">
        <v>113</v>
      </c>
      <c r="D297" s="44">
        <v>1</v>
      </c>
      <c r="E297" s="43">
        <v>1.3328002132480341E-4</v>
      </c>
    </row>
    <row r="298" spans="2:5" ht="15" customHeight="1" x14ac:dyDescent="0.25">
      <c r="B298" s="83"/>
      <c r="C298" s="45" t="s">
        <v>130</v>
      </c>
      <c r="D298" s="44">
        <v>8</v>
      </c>
      <c r="E298" s="43">
        <v>1.0662401705984273E-3</v>
      </c>
    </row>
    <row r="299" spans="2:5" ht="15" customHeight="1" x14ac:dyDescent="0.25">
      <c r="B299" s="83"/>
      <c r="C299" s="45" t="s">
        <v>122</v>
      </c>
      <c r="D299" s="44">
        <v>2</v>
      </c>
      <c r="E299" s="43">
        <v>2.6656004264960682E-4</v>
      </c>
    </row>
    <row r="300" spans="2:5" ht="15" customHeight="1" x14ac:dyDescent="0.25">
      <c r="B300" s="83"/>
      <c r="C300" s="45" t="s">
        <v>129</v>
      </c>
      <c r="D300" s="44">
        <v>2</v>
      </c>
      <c r="E300" s="43">
        <v>2.6656004264960682E-4</v>
      </c>
    </row>
    <row r="301" spans="2:5" ht="15" customHeight="1" x14ac:dyDescent="0.25">
      <c r="B301" s="83"/>
      <c r="C301" s="45" t="s">
        <v>127</v>
      </c>
      <c r="D301" s="44">
        <v>5</v>
      </c>
      <c r="E301" s="43">
        <v>6.6640010662401706E-4</v>
      </c>
    </row>
    <row r="302" spans="2:5" ht="15" customHeight="1" x14ac:dyDescent="0.25">
      <c r="B302" s="83"/>
      <c r="C302" s="45" t="s">
        <v>126</v>
      </c>
      <c r="D302" s="44">
        <v>3</v>
      </c>
      <c r="E302" s="43">
        <v>3.9984006397441024E-4</v>
      </c>
    </row>
    <row r="303" spans="2:5" ht="15" customHeight="1" x14ac:dyDescent="0.25">
      <c r="B303" s="83"/>
      <c r="C303" s="45" t="s">
        <v>123</v>
      </c>
      <c r="D303" s="44">
        <v>1</v>
      </c>
      <c r="E303" s="43">
        <v>1.3328002132480341E-4</v>
      </c>
    </row>
    <row r="304" spans="2:5" ht="15" customHeight="1" x14ac:dyDescent="0.25">
      <c r="B304" s="83"/>
      <c r="C304" s="45" t="s">
        <v>125</v>
      </c>
      <c r="D304" s="44">
        <v>1</v>
      </c>
      <c r="E304" s="43">
        <v>1.3328002132480341E-4</v>
      </c>
    </row>
    <row r="305" spans="2:5" ht="15" customHeight="1" x14ac:dyDescent="0.25">
      <c r="B305" s="84"/>
      <c r="C305" s="42" t="s">
        <v>20</v>
      </c>
      <c r="D305" s="41">
        <v>27</v>
      </c>
      <c r="E305" s="40">
        <v>3.5985605757696921E-3</v>
      </c>
    </row>
    <row r="306" spans="2:5" ht="15" customHeight="1" x14ac:dyDescent="0.25">
      <c r="B306" s="82" t="s">
        <v>84</v>
      </c>
      <c r="C306" s="45" t="s">
        <v>128</v>
      </c>
      <c r="D306" s="44">
        <v>2</v>
      </c>
      <c r="E306" s="43">
        <v>2.6656004264960682E-4</v>
      </c>
    </row>
    <row r="307" spans="2:5" ht="15" customHeight="1" x14ac:dyDescent="0.25">
      <c r="B307" s="83"/>
      <c r="C307" s="45" t="s">
        <v>115</v>
      </c>
      <c r="D307" s="44">
        <v>1</v>
      </c>
      <c r="E307" s="43">
        <v>1.3328002132480341E-4</v>
      </c>
    </row>
    <row r="308" spans="2:5" ht="15" customHeight="1" x14ac:dyDescent="0.25">
      <c r="B308" s="83"/>
      <c r="C308" s="45" t="s">
        <v>124</v>
      </c>
      <c r="D308" s="44">
        <v>1</v>
      </c>
      <c r="E308" s="43">
        <v>1.3328002132480341E-4</v>
      </c>
    </row>
    <row r="309" spans="2:5" ht="15" customHeight="1" x14ac:dyDescent="0.25">
      <c r="B309" s="83"/>
      <c r="C309" s="45" t="s">
        <v>114</v>
      </c>
      <c r="D309" s="44">
        <v>1</v>
      </c>
      <c r="E309" s="43">
        <v>1.3328002132480341E-4</v>
      </c>
    </row>
    <row r="310" spans="2:5" ht="15" customHeight="1" x14ac:dyDescent="0.25">
      <c r="B310" s="83"/>
      <c r="C310" s="45" t="s">
        <v>113</v>
      </c>
      <c r="D310" s="44">
        <v>1</v>
      </c>
      <c r="E310" s="43">
        <v>1.3328002132480341E-4</v>
      </c>
    </row>
    <row r="311" spans="2:5" ht="15" customHeight="1" x14ac:dyDescent="0.25">
      <c r="B311" s="83"/>
      <c r="C311" s="45" t="s">
        <v>130</v>
      </c>
      <c r="D311" s="44">
        <v>11</v>
      </c>
      <c r="E311" s="43">
        <v>1.4660802345728375E-3</v>
      </c>
    </row>
    <row r="312" spans="2:5" ht="15" customHeight="1" x14ac:dyDescent="0.25">
      <c r="B312" s="83"/>
      <c r="C312" s="45" t="s">
        <v>119</v>
      </c>
      <c r="D312" s="44">
        <v>2</v>
      </c>
      <c r="E312" s="43">
        <v>2.6656004264960682E-4</v>
      </c>
    </row>
    <row r="313" spans="2:5" ht="15" customHeight="1" x14ac:dyDescent="0.25">
      <c r="B313" s="83"/>
      <c r="C313" s="45" t="s">
        <v>117</v>
      </c>
      <c r="D313" s="44">
        <v>1</v>
      </c>
      <c r="E313" s="43">
        <v>1.3328002132480341E-4</v>
      </c>
    </row>
    <row r="314" spans="2:5" ht="15" customHeight="1" x14ac:dyDescent="0.25">
      <c r="B314" s="83"/>
      <c r="C314" s="45" t="s">
        <v>122</v>
      </c>
      <c r="D314" s="44">
        <v>1</v>
      </c>
      <c r="E314" s="43">
        <v>1.3328002132480341E-4</v>
      </c>
    </row>
    <row r="315" spans="2:5" ht="15" customHeight="1" x14ac:dyDescent="0.25">
      <c r="B315" s="83"/>
      <c r="C315" s="45" t="s">
        <v>129</v>
      </c>
      <c r="D315" s="44">
        <v>3</v>
      </c>
      <c r="E315" s="43">
        <v>3.9984006397441024E-4</v>
      </c>
    </row>
    <row r="316" spans="2:5" ht="15" customHeight="1" x14ac:dyDescent="0.25">
      <c r="B316" s="83"/>
      <c r="C316" s="45" t="s">
        <v>127</v>
      </c>
      <c r="D316" s="44">
        <v>9</v>
      </c>
      <c r="E316" s="43">
        <v>1.1995201919232307E-3</v>
      </c>
    </row>
    <row r="317" spans="2:5" ht="15" customHeight="1" x14ac:dyDescent="0.25">
      <c r="B317" s="83"/>
      <c r="C317" s="45" t="s">
        <v>120</v>
      </c>
      <c r="D317" s="44">
        <v>1</v>
      </c>
      <c r="E317" s="43">
        <v>1.3328002132480341E-4</v>
      </c>
    </row>
    <row r="318" spans="2:5" ht="15" customHeight="1" x14ac:dyDescent="0.25">
      <c r="B318" s="83"/>
      <c r="C318" s="45" t="s">
        <v>116</v>
      </c>
      <c r="D318" s="44">
        <v>2</v>
      </c>
      <c r="E318" s="43">
        <v>2.6656004264960682E-4</v>
      </c>
    </row>
    <row r="319" spans="2:5" ht="15" customHeight="1" x14ac:dyDescent="0.25">
      <c r="B319" s="84"/>
      <c r="C319" s="42" t="s">
        <v>20</v>
      </c>
      <c r="D319" s="41">
        <v>36</v>
      </c>
      <c r="E319" s="40">
        <v>4.7980807676929228E-3</v>
      </c>
    </row>
    <row r="320" spans="2:5" ht="15" customHeight="1" x14ac:dyDescent="0.25">
      <c r="B320" s="82" t="s">
        <v>66</v>
      </c>
      <c r="C320" s="45" t="s">
        <v>128</v>
      </c>
      <c r="D320" s="44">
        <v>1</v>
      </c>
      <c r="E320" s="43">
        <v>1.3328002132480341E-4</v>
      </c>
    </row>
    <row r="321" spans="2:5" ht="15" customHeight="1" x14ac:dyDescent="0.25">
      <c r="B321" s="83"/>
      <c r="C321" s="45" t="s">
        <v>130</v>
      </c>
      <c r="D321" s="44">
        <v>1</v>
      </c>
      <c r="E321" s="43">
        <v>1.3328002132480341E-4</v>
      </c>
    </row>
    <row r="322" spans="2:5" ht="15" customHeight="1" x14ac:dyDescent="0.25">
      <c r="B322" s="83"/>
      <c r="C322" s="45" t="s">
        <v>119</v>
      </c>
      <c r="D322" s="44">
        <v>1</v>
      </c>
      <c r="E322" s="43">
        <v>1.3328002132480341E-4</v>
      </c>
    </row>
    <row r="323" spans="2:5" ht="15" customHeight="1" x14ac:dyDescent="0.25">
      <c r="B323" s="83"/>
      <c r="C323" s="45" t="s">
        <v>129</v>
      </c>
      <c r="D323" s="44">
        <v>2</v>
      </c>
      <c r="E323" s="43">
        <v>2.6656004264960682E-4</v>
      </c>
    </row>
    <row r="324" spans="2:5" ht="15" customHeight="1" x14ac:dyDescent="0.25">
      <c r="B324" s="83"/>
      <c r="C324" s="45" t="s">
        <v>116</v>
      </c>
      <c r="D324" s="44">
        <v>1</v>
      </c>
      <c r="E324" s="43">
        <v>1.3328002132480341E-4</v>
      </c>
    </row>
    <row r="325" spans="2:5" ht="15" customHeight="1" x14ac:dyDescent="0.25">
      <c r="B325" s="83"/>
      <c r="C325" s="45" t="s">
        <v>123</v>
      </c>
      <c r="D325" s="44">
        <v>1</v>
      </c>
      <c r="E325" s="43">
        <v>1.3328002132480341E-4</v>
      </c>
    </row>
    <row r="326" spans="2:5" ht="15" customHeight="1" x14ac:dyDescent="0.25">
      <c r="B326" s="84"/>
      <c r="C326" s="42" t="s">
        <v>20</v>
      </c>
      <c r="D326" s="41">
        <v>7</v>
      </c>
      <c r="E326" s="40">
        <v>9.3296014927362388E-4</v>
      </c>
    </row>
    <row r="327" spans="2:5" ht="15" customHeight="1" x14ac:dyDescent="0.25">
      <c r="B327" s="82" t="s">
        <v>77</v>
      </c>
      <c r="C327" s="45" t="s">
        <v>128</v>
      </c>
      <c r="D327" s="44">
        <v>25</v>
      </c>
      <c r="E327" s="43">
        <v>3.3320005331200853E-3</v>
      </c>
    </row>
    <row r="328" spans="2:5" ht="15" customHeight="1" x14ac:dyDescent="0.25">
      <c r="B328" s="83"/>
      <c r="C328" s="45" t="s">
        <v>130</v>
      </c>
      <c r="D328" s="44">
        <v>3</v>
      </c>
      <c r="E328" s="43">
        <v>3.9984006397441024E-4</v>
      </c>
    </row>
    <row r="329" spans="2:5" ht="15" customHeight="1" x14ac:dyDescent="0.25">
      <c r="B329" s="83"/>
      <c r="C329" s="45" t="s">
        <v>129</v>
      </c>
      <c r="D329" s="44">
        <v>7</v>
      </c>
      <c r="E329" s="43">
        <v>9.3296014927362388E-4</v>
      </c>
    </row>
    <row r="330" spans="2:5" ht="15" customHeight="1" x14ac:dyDescent="0.25">
      <c r="B330" s="83"/>
      <c r="C330" s="45" t="s">
        <v>127</v>
      </c>
      <c r="D330" s="44">
        <v>2</v>
      </c>
      <c r="E330" s="43">
        <v>2.6656004264960682E-4</v>
      </c>
    </row>
    <row r="331" spans="2:5" ht="15" customHeight="1" x14ac:dyDescent="0.25">
      <c r="B331" s="83"/>
      <c r="C331" s="45" t="s">
        <v>120</v>
      </c>
      <c r="D331" s="44">
        <v>1</v>
      </c>
      <c r="E331" s="43">
        <v>1.3328002132480341E-4</v>
      </c>
    </row>
    <row r="332" spans="2:5" ht="15" customHeight="1" x14ac:dyDescent="0.25">
      <c r="B332" s="83"/>
      <c r="C332" s="45" t="s">
        <v>123</v>
      </c>
      <c r="D332" s="44">
        <v>1</v>
      </c>
      <c r="E332" s="43">
        <v>1.3328002132480341E-4</v>
      </c>
    </row>
    <row r="333" spans="2:5" ht="15" customHeight="1" x14ac:dyDescent="0.25">
      <c r="B333" s="83"/>
      <c r="C333" s="45" t="s">
        <v>125</v>
      </c>
      <c r="D333" s="44">
        <v>1</v>
      </c>
      <c r="E333" s="43">
        <v>1.3328002132480341E-4</v>
      </c>
    </row>
    <row r="334" spans="2:5" ht="15" customHeight="1" x14ac:dyDescent="0.25">
      <c r="B334" s="84"/>
      <c r="C334" s="42" t="s">
        <v>20</v>
      </c>
      <c r="D334" s="41">
        <v>40</v>
      </c>
      <c r="E334" s="40">
        <v>5.3312008529921365E-3</v>
      </c>
    </row>
    <row r="335" spans="2:5" ht="15" customHeight="1" x14ac:dyDescent="0.25">
      <c r="B335" s="82" t="s">
        <v>106</v>
      </c>
      <c r="C335" s="45" t="s">
        <v>128</v>
      </c>
      <c r="D335" s="44">
        <v>1</v>
      </c>
      <c r="E335" s="43">
        <v>1.3328002132480341E-4</v>
      </c>
    </row>
    <row r="336" spans="2:5" ht="15" customHeight="1" x14ac:dyDescent="0.25">
      <c r="B336" s="83"/>
      <c r="C336" s="45" t="s">
        <v>130</v>
      </c>
      <c r="D336" s="44">
        <v>9</v>
      </c>
      <c r="E336" s="43">
        <v>1.1995201919232307E-3</v>
      </c>
    </row>
    <row r="337" spans="2:5" ht="15" customHeight="1" x14ac:dyDescent="0.25">
      <c r="B337" s="83"/>
      <c r="C337" s="45" t="s">
        <v>129</v>
      </c>
      <c r="D337" s="44">
        <v>4</v>
      </c>
      <c r="E337" s="43">
        <v>5.3312008529921365E-4</v>
      </c>
    </row>
    <row r="338" spans="2:5" ht="15" customHeight="1" x14ac:dyDescent="0.25">
      <c r="B338" s="83"/>
      <c r="C338" s="45" t="s">
        <v>127</v>
      </c>
      <c r="D338" s="44">
        <v>4</v>
      </c>
      <c r="E338" s="43">
        <v>5.3312008529921365E-4</v>
      </c>
    </row>
    <row r="339" spans="2:5" ht="15" customHeight="1" x14ac:dyDescent="0.25">
      <c r="B339" s="83"/>
      <c r="C339" s="45" t="s">
        <v>120</v>
      </c>
      <c r="D339" s="44">
        <v>1</v>
      </c>
      <c r="E339" s="43">
        <v>1.3328002132480341E-4</v>
      </c>
    </row>
    <row r="340" spans="2:5" ht="15" customHeight="1" x14ac:dyDescent="0.25">
      <c r="B340" s="84"/>
      <c r="C340" s="42" t="s">
        <v>20</v>
      </c>
      <c r="D340" s="41">
        <v>19</v>
      </c>
      <c r="E340" s="40">
        <v>2.5323204051712648E-3</v>
      </c>
    </row>
    <row r="341" spans="2:5" ht="15" customHeight="1" x14ac:dyDescent="0.25">
      <c r="B341" s="82" t="s">
        <v>79</v>
      </c>
      <c r="C341" s="45" t="s">
        <v>128</v>
      </c>
      <c r="D341" s="44">
        <v>13</v>
      </c>
      <c r="E341" s="43">
        <v>1.7326402772224444E-3</v>
      </c>
    </row>
    <row r="342" spans="2:5" ht="15" customHeight="1" x14ac:dyDescent="0.25">
      <c r="B342" s="83"/>
      <c r="C342" s="45" t="s">
        <v>115</v>
      </c>
      <c r="D342" s="44">
        <v>9</v>
      </c>
      <c r="E342" s="43">
        <v>1.1995201919232307E-3</v>
      </c>
    </row>
    <row r="343" spans="2:5" ht="15" customHeight="1" x14ac:dyDescent="0.25">
      <c r="B343" s="83"/>
      <c r="C343" s="45" t="s">
        <v>124</v>
      </c>
      <c r="D343" s="44">
        <v>8</v>
      </c>
      <c r="E343" s="43">
        <v>1.0662401705984273E-3</v>
      </c>
    </row>
    <row r="344" spans="2:5" ht="15" customHeight="1" x14ac:dyDescent="0.25">
      <c r="B344" s="83"/>
      <c r="C344" s="45" t="s">
        <v>130</v>
      </c>
      <c r="D344" s="44">
        <v>36</v>
      </c>
      <c r="E344" s="43">
        <v>4.7980807676929228E-3</v>
      </c>
    </row>
    <row r="345" spans="2:5" ht="15" customHeight="1" x14ac:dyDescent="0.25">
      <c r="B345" s="83"/>
      <c r="C345" s="45" t="s">
        <v>117</v>
      </c>
      <c r="D345" s="44">
        <v>4</v>
      </c>
      <c r="E345" s="43">
        <v>5.3312008529921365E-4</v>
      </c>
    </row>
    <row r="346" spans="2:5" ht="15" customHeight="1" x14ac:dyDescent="0.25">
      <c r="B346" s="83"/>
      <c r="C346" s="45" t="s">
        <v>122</v>
      </c>
      <c r="D346" s="44">
        <v>1</v>
      </c>
      <c r="E346" s="43">
        <v>1.3328002132480341E-4</v>
      </c>
    </row>
    <row r="347" spans="2:5" ht="15" customHeight="1" x14ac:dyDescent="0.25">
      <c r="B347" s="83"/>
      <c r="C347" s="45" t="s">
        <v>129</v>
      </c>
      <c r="D347" s="44">
        <v>7</v>
      </c>
      <c r="E347" s="43">
        <v>9.3296014927362388E-4</v>
      </c>
    </row>
    <row r="348" spans="2:5" ht="15" customHeight="1" x14ac:dyDescent="0.25">
      <c r="B348" s="83"/>
      <c r="C348" s="45" t="s">
        <v>127</v>
      </c>
      <c r="D348" s="44">
        <v>3</v>
      </c>
      <c r="E348" s="43">
        <v>3.9984006397441024E-4</v>
      </c>
    </row>
    <row r="349" spans="2:5" ht="15" customHeight="1" x14ac:dyDescent="0.25">
      <c r="B349" s="83"/>
      <c r="C349" s="45" t="s">
        <v>126</v>
      </c>
      <c r="D349" s="44">
        <v>6</v>
      </c>
      <c r="E349" s="43">
        <v>7.9968012794882047E-4</v>
      </c>
    </row>
    <row r="350" spans="2:5" ht="15" customHeight="1" x14ac:dyDescent="0.25">
      <c r="B350" s="83"/>
      <c r="C350" s="45" t="s">
        <v>120</v>
      </c>
      <c r="D350" s="44">
        <v>6</v>
      </c>
      <c r="E350" s="43">
        <v>7.9968012794882047E-4</v>
      </c>
    </row>
    <row r="351" spans="2:5" ht="15" customHeight="1" x14ac:dyDescent="0.25">
      <c r="B351" s="83"/>
      <c r="C351" s="45" t="s">
        <v>123</v>
      </c>
      <c r="D351" s="44">
        <v>2</v>
      </c>
      <c r="E351" s="43">
        <v>2.6656004264960682E-4</v>
      </c>
    </row>
    <row r="352" spans="2:5" ht="15" customHeight="1" x14ac:dyDescent="0.25">
      <c r="B352" s="83"/>
      <c r="C352" s="45" t="s">
        <v>125</v>
      </c>
      <c r="D352" s="44">
        <v>2</v>
      </c>
      <c r="E352" s="43">
        <v>2.6656004264960682E-4</v>
      </c>
    </row>
    <row r="353" spans="2:5" ht="15" customHeight="1" x14ac:dyDescent="0.25">
      <c r="B353" s="84"/>
      <c r="C353" s="42" t="s">
        <v>20</v>
      </c>
      <c r="D353" s="41">
        <v>97</v>
      </c>
      <c r="E353" s="40">
        <v>1.2928162068505932E-2</v>
      </c>
    </row>
    <row r="354" spans="2:5" ht="15" customHeight="1" x14ac:dyDescent="0.25">
      <c r="B354" s="82" t="s">
        <v>98</v>
      </c>
      <c r="C354" s="45" t="s">
        <v>128</v>
      </c>
      <c r="D354" s="44">
        <v>2</v>
      </c>
      <c r="E354" s="43">
        <v>2.6656004264960682E-4</v>
      </c>
    </row>
    <row r="355" spans="2:5" ht="15" customHeight="1" x14ac:dyDescent="0.25">
      <c r="B355" s="83"/>
      <c r="C355" s="45" t="s">
        <v>115</v>
      </c>
      <c r="D355" s="44">
        <v>1</v>
      </c>
      <c r="E355" s="43">
        <v>1.3328002132480341E-4</v>
      </c>
    </row>
    <row r="356" spans="2:5" ht="15" customHeight="1" x14ac:dyDescent="0.25">
      <c r="B356" s="83"/>
      <c r="C356" s="45" t="s">
        <v>114</v>
      </c>
      <c r="D356" s="44">
        <v>4</v>
      </c>
      <c r="E356" s="43">
        <v>5.3312008529921365E-4</v>
      </c>
    </row>
    <row r="357" spans="2:5" ht="15" customHeight="1" x14ac:dyDescent="0.25">
      <c r="B357" s="83"/>
      <c r="C357" s="45" t="s">
        <v>113</v>
      </c>
      <c r="D357" s="44">
        <v>2</v>
      </c>
      <c r="E357" s="43">
        <v>2.6656004264960682E-4</v>
      </c>
    </row>
    <row r="358" spans="2:5" ht="15" customHeight="1" x14ac:dyDescent="0.25">
      <c r="B358" s="83"/>
      <c r="C358" s="45" t="s">
        <v>121</v>
      </c>
      <c r="D358" s="44">
        <v>1</v>
      </c>
      <c r="E358" s="43">
        <v>1.3328002132480341E-4</v>
      </c>
    </row>
    <row r="359" spans="2:5" ht="15" customHeight="1" x14ac:dyDescent="0.25">
      <c r="B359" s="83"/>
      <c r="C359" s="45" t="s">
        <v>130</v>
      </c>
      <c r="D359" s="44">
        <v>20</v>
      </c>
      <c r="E359" s="43">
        <v>2.6656004264960682E-3</v>
      </c>
    </row>
    <row r="360" spans="2:5" ht="15" customHeight="1" x14ac:dyDescent="0.25">
      <c r="B360" s="83"/>
      <c r="C360" s="45" t="s">
        <v>119</v>
      </c>
      <c r="D360" s="44">
        <v>1</v>
      </c>
      <c r="E360" s="43">
        <v>1.3328002132480341E-4</v>
      </c>
    </row>
    <row r="361" spans="2:5" ht="15" customHeight="1" x14ac:dyDescent="0.25">
      <c r="B361" s="83"/>
      <c r="C361" s="45" t="s">
        <v>117</v>
      </c>
      <c r="D361" s="44">
        <v>1</v>
      </c>
      <c r="E361" s="43">
        <v>1.3328002132480341E-4</v>
      </c>
    </row>
    <row r="362" spans="2:5" ht="15" customHeight="1" x14ac:dyDescent="0.25">
      <c r="B362" s="83"/>
      <c r="C362" s="45" t="s">
        <v>122</v>
      </c>
      <c r="D362" s="44">
        <v>1</v>
      </c>
      <c r="E362" s="43">
        <v>1.3328002132480341E-4</v>
      </c>
    </row>
    <row r="363" spans="2:5" ht="15" customHeight="1" x14ac:dyDescent="0.25">
      <c r="B363" s="83"/>
      <c r="C363" s="45" t="s">
        <v>129</v>
      </c>
      <c r="D363" s="44">
        <v>8</v>
      </c>
      <c r="E363" s="43">
        <v>1.0662401705984273E-3</v>
      </c>
    </row>
    <row r="364" spans="2:5" ht="15" customHeight="1" x14ac:dyDescent="0.25">
      <c r="B364" s="83"/>
      <c r="C364" s="45" t="s">
        <v>127</v>
      </c>
      <c r="D364" s="44">
        <v>4</v>
      </c>
      <c r="E364" s="43">
        <v>5.3312008529921365E-4</v>
      </c>
    </row>
    <row r="365" spans="2:5" ht="15" customHeight="1" x14ac:dyDescent="0.25">
      <c r="B365" s="83"/>
      <c r="C365" s="45" t="s">
        <v>120</v>
      </c>
      <c r="D365" s="44">
        <v>3</v>
      </c>
      <c r="E365" s="43">
        <v>3.9984006397441024E-4</v>
      </c>
    </row>
    <row r="366" spans="2:5" ht="15" customHeight="1" x14ac:dyDescent="0.25">
      <c r="B366" s="83"/>
      <c r="C366" s="45" t="s">
        <v>116</v>
      </c>
      <c r="D366" s="44">
        <v>1</v>
      </c>
      <c r="E366" s="43">
        <v>1.3328002132480341E-4</v>
      </c>
    </row>
    <row r="367" spans="2:5" ht="15" customHeight="1" x14ac:dyDescent="0.25">
      <c r="B367" s="83"/>
      <c r="C367" s="45" t="s">
        <v>125</v>
      </c>
      <c r="D367" s="44">
        <v>2</v>
      </c>
      <c r="E367" s="43">
        <v>2.6656004264960682E-4</v>
      </c>
    </row>
    <row r="368" spans="2:5" ht="15" customHeight="1" x14ac:dyDescent="0.25">
      <c r="B368" s="84"/>
      <c r="C368" s="42" t="s">
        <v>20</v>
      </c>
      <c r="D368" s="41">
        <v>51</v>
      </c>
      <c r="E368" s="40">
        <v>6.797281087564974E-3</v>
      </c>
    </row>
    <row r="369" spans="2:5" ht="15" customHeight="1" x14ac:dyDescent="0.25">
      <c r="B369" s="82" t="s">
        <v>94</v>
      </c>
      <c r="C369" s="45" t="s">
        <v>128</v>
      </c>
      <c r="D369" s="44">
        <v>6</v>
      </c>
      <c r="E369" s="43">
        <v>7.9968012794882047E-4</v>
      </c>
    </row>
    <row r="370" spans="2:5" ht="15" customHeight="1" x14ac:dyDescent="0.25">
      <c r="B370" s="83"/>
      <c r="C370" s="45" t="s">
        <v>115</v>
      </c>
      <c r="D370" s="44">
        <v>2</v>
      </c>
      <c r="E370" s="43">
        <v>2.6656004264960682E-4</v>
      </c>
    </row>
    <row r="371" spans="2:5" ht="15" customHeight="1" x14ac:dyDescent="0.25">
      <c r="B371" s="83"/>
      <c r="C371" s="45" t="s">
        <v>124</v>
      </c>
      <c r="D371" s="44">
        <v>17</v>
      </c>
      <c r="E371" s="43">
        <v>2.265760362521658E-3</v>
      </c>
    </row>
    <row r="372" spans="2:5" ht="15" customHeight="1" x14ac:dyDescent="0.25">
      <c r="B372" s="83"/>
      <c r="C372" s="45" t="s">
        <v>113</v>
      </c>
      <c r="D372" s="44">
        <v>6</v>
      </c>
      <c r="E372" s="43">
        <v>7.9968012794882047E-4</v>
      </c>
    </row>
    <row r="373" spans="2:5" ht="15" customHeight="1" x14ac:dyDescent="0.25">
      <c r="B373" s="83"/>
      <c r="C373" s="45" t="s">
        <v>121</v>
      </c>
      <c r="D373" s="44">
        <v>1</v>
      </c>
      <c r="E373" s="43">
        <v>1.3328002132480341E-4</v>
      </c>
    </row>
    <row r="374" spans="2:5" ht="15" customHeight="1" x14ac:dyDescent="0.25">
      <c r="B374" s="83"/>
      <c r="C374" s="45" t="s">
        <v>130</v>
      </c>
      <c r="D374" s="44">
        <v>52</v>
      </c>
      <c r="E374" s="43">
        <v>6.9305611088897774E-3</v>
      </c>
    </row>
    <row r="375" spans="2:5" ht="15" customHeight="1" x14ac:dyDescent="0.25">
      <c r="B375" s="83"/>
      <c r="C375" s="45" t="s">
        <v>119</v>
      </c>
      <c r="D375" s="44">
        <v>6</v>
      </c>
      <c r="E375" s="43">
        <v>7.9968012794882047E-4</v>
      </c>
    </row>
    <row r="376" spans="2:5" ht="15" customHeight="1" x14ac:dyDescent="0.25">
      <c r="B376" s="83"/>
      <c r="C376" s="45" t="s">
        <v>117</v>
      </c>
      <c r="D376" s="44">
        <v>3</v>
      </c>
      <c r="E376" s="43">
        <v>3.9984006397441024E-4</v>
      </c>
    </row>
    <row r="377" spans="2:5" ht="15" customHeight="1" x14ac:dyDescent="0.25">
      <c r="B377" s="83"/>
      <c r="C377" s="45" t="s">
        <v>122</v>
      </c>
      <c r="D377" s="44">
        <v>9</v>
      </c>
      <c r="E377" s="43">
        <v>1.1995201919232307E-3</v>
      </c>
    </row>
    <row r="378" spans="2:5" ht="15" customHeight="1" x14ac:dyDescent="0.25">
      <c r="B378" s="83"/>
      <c r="C378" s="45" t="s">
        <v>129</v>
      </c>
      <c r="D378" s="44">
        <v>11</v>
      </c>
      <c r="E378" s="43">
        <v>1.4660802345728375E-3</v>
      </c>
    </row>
    <row r="379" spans="2:5" ht="15" customHeight="1" x14ac:dyDescent="0.25">
      <c r="B379" s="83"/>
      <c r="C379" s="45" t="s">
        <v>127</v>
      </c>
      <c r="D379" s="44">
        <v>15</v>
      </c>
      <c r="E379" s="43">
        <v>1.9992003198720512E-3</v>
      </c>
    </row>
    <row r="380" spans="2:5" ht="15" customHeight="1" x14ac:dyDescent="0.25">
      <c r="B380" s="83"/>
      <c r="C380" s="45" t="s">
        <v>126</v>
      </c>
      <c r="D380" s="44">
        <v>14</v>
      </c>
      <c r="E380" s="43">
        <v>1.8659202985472478E-3</v>
      </c>
    </row>
    <row r="381" spans="2:5" ht="15" customHeight="1" x14ac:dyDescent="0.25">
      <c r="B381" s="83"/>
      <c r="C381" s="45" t="s">
        <v>120</v>
      </c>
      <c r="D381" s="44">
        <v>13</v>
      </c>
      <c r="E381" s="43">
        <v>1.7326402772224444E-3</v>
      </c>
    </row>
    <row r="382" spans="2:5" ht="15" customHeight="1" x14ac:dyDescent="0.25">
      <c r="B382" s="83"/>
      <c r="C382" s="45" t="s">
        <v>116</v>
      </c>
      <c r="D382" s="44">
        <v>20</v>
      </c>
      <c r="E382" s="43">
        <v>2.6656004264960682E-3</v>
      </c>
    </row>
    <row r="383" spans="2:5" ht="15" customHeight="1" x14ac:dyDescent="0.25">
      <c r="B383" s="83"/>
      <c r="C383" s="45" t="s">
        <v>123</v>
      </c>
      <c r="D383" s="44">
        <v>3</v>
      </c>
      <c r="E383" s="43">
        <v>3.9984006397441024E-4</v>
      </c>
    </row>
    <row r="384" spans="2:5" ht="15" customHeight="1" x14ac:dyDescent="0.25">
      <c r="B384" s="83"/>
      <c r="C384" s="45" t="s">
        <v>118</v>
      </c>
      <c r="D384" s="44">
        <v>5</v>
      </c>
      <c r="E384" s="43">
        <v>6.6640010662401706E-4</v>
      </c>
    </row>
    <row r="385" spans="2:5" ht="15" customHeight="1" x14ac:dyDescent="0.25">
      <c r="B385" s="83"/>
      <c r="C385" s="45" t="s">
        <v>125</v>
      </c>
      <c r="D385" s="44">
        <v>5</v>
      </c>
      <c r="E385" s="43">
        <v>6.6640010662401706E-4</v>
      </c>
    </row>
    <row r="386" spans="2:5" ht="15" customHeight="1" x14ac:dyDescent="0.25">
      <c r="B386" s="84"/>
      <c r="C386" s="42" t="s">
        <v>20</v>
      </c>
      <c r="D386" s="41">
        <v>188</v>
      </c>
      <c r="E386" s="40">
        <v>2.5056644009063041E-2</v>
      </c>
    </row>
    <row r="387" spans="2:5" ht="15" customHeight="1" x14ac:dyDescent="0.25">
      <c r="B387" s="82" t="s">
        <v>82</v>
      </c>
      <c r="C387" s="45" t="s">
        <v>128</v>
      </c>
      <c r="D387" s="44">
        <v>99</v>
      </c>
      <c r="E387" s="43">
        <v>1.3194722111155539E-2</v>
      </c>
    </row>
    <row r="388" spans="2:5" ht="15" customHeight="1" x14ac:dyDescent="0.25">
      <c r="B388" s="83"/>
      <c r="C388" s="45" t="s">
        <v>115</v>
      </c>
      <c r="D388" s="44">
        <v>4</v>
      </c>
      <c r="E388" s="43">
        <v>5.3312008529921365E-4</v>
      </c>
    </row>
    <row r="389" spans="2:5" ht="15" customHeight="1" x14ac:dyDescent="0.25">
      <c r="B389" s="83"/>
      <c r="C389" s="45" t="s">
        <v>124</v>
      </c>
      <c r="D389" s="44">
        <v>8</v>
      </c>
      <c r="E389" s="43">
        <v>1.0662401705984273E-3</v>
      </c>
    </row>
    <row r="390" spans="2:5" ht="15" customHeight="1" x14ac:dyDescent="0.25">
      <c r="B390" s="83"/>
      <c r="C390" s="45" t="s">
        <v>114</v>
      </c>
      <c r="D390" s="44">
        <v>48</v>
      </c>
      <c r="E390" s="43">
        <v>6.3974410235905638E-3</v>
      </c>
    </row>
    <row r="391" spans="2:5" ht="15" customHeight="1" x14ac:dyDescent="0.25">
      <c r="B391" s="83"/>
      <c r="C391" s="45" t="s">
        <v>113</v>
      </c>
      <c r="D391" s="44">
        <v>2</v>
      </c>
      <c r="E391" s="43">
        <v>2.6656004264960682E-4</v>
      </c>
    </row>
    <row r="392" spans="2:5" ht="15" customHeight="1" x14ac:dyDescent="0.25">
      <c r="B392" s="83"/>
      <c r="C392" s="45" t="s">
        <v>121</v>
      </c>
      <c r="D392" s="44">
        <v>5</v>
      </c>
      <c r="E392" s="43">
        <v>6.6640010662401706E-4</v>
      </c>
    </row>
    <row r="393" spans="2:5" ht="15" customHeight="1" x14ac:dyDescent="0.25">
      <c r="B393" s="83"/>
      <c r="C393" s="45" t="s">
        <v>130</v>
      </c>
      <c r="D393" s="44">
        <v>140</v>
      </c>
      <c r="E393" s="43">
        <v>1.8659202985472478E-2</v>
      </c>
    </row>
    <row r="394" spans="2:5" ht="15" customHeight="1" x14ac:dyDescent="0.25">
      <c r="B394" s="83"/>
      <c r="C394" s="45" t="s">
        <v>119</v>
      </c>
      <c r="D394" s="44">
        <v>28</v>
      </c>
      <c r="E394" s="43">
        <v>3.7318405970944955E-3</v>
      </c>
    </row>
    <row r="395" spans="2:5" ht="15" customHeight="1" x14ac:dyDescent="0.25">
      <c r="B395" s="83"/>
      <c r="C395" s="45" t="s">
        <v>117</v>
      </c>
      <c r="D395" s="44">
        <v>1</v>
      </c>
      <c r="E395" s="43">
        <v>1.3328002132480341E-4</v>
      </c>
    </row>
    <row r="396" spans="2:5" ht="15" customHeight="1" x14ac:dyDescent="0.25">
      <c r="B396" s="83"/>
      <c r="C396" s="45" t="s">
        <v>122</v>
      </c>
      <c r="D396" s="44">
        <v>18</v>
      </c>
      <c r="E396" s="43">
        <v>2.3990403838464614E-3</v>
      </c>
    </row>
    <row r="397" spans="2:5" ht="15" customHeight="1" x14ac:dyDescent="0.25">
      <c r="B397" s="83"/>
      <c r="C397" s="45" t="s">
        <v>129</v>
      </c>
      <c r="D397" s="44">
        <v>92</v>
      </c>
      <c r="E397" s="43">
        <v>1.2261761961881914E-2</v>
      </c>
    </row>
    <row r="398" spans="2:5" ht="15" customHeight="1" x14ac:dyDescent="0.25">
      <c r="B398" s="83"/>
      <c r="C398" s="45" t="s">
        <v>127</v>
      </c>
      <c r="D398" s="44">
        <v>29</v>
      </c>
      <c r="E398" s="43">
        <v>3.8651206184192989E-3</v>
      </c>
    </row>
    <row r="399" spans="2:5" ht="15" customHeight="1" x14ac:dyDescent="0.25">
      <c r="B399" s="83"/>
      <c r="C399" s="45" t="s">
        <v>126</v>
      </c>
      <c r="D399" s="44">
        <v>18</v>
      </c>
      <c r="E399" s="43">
        <v>2.3990403838464614E-3</v>
      </c>
    </row>
    <row r="400" spans="2:5" ht="15" customHeight="1" x14ac:dyDescent="0.25">
      <c r="B400" s="83"/>
      <c r="C400" s="45" t="s">
        <v>120</v>
      </c>
      <c r="D400" s="44">
        <v>5</v>
      </c>
      <c r="E400" s="43">
        <v>6.6640010662401706E-4</v>
      </c>
    </row>
    <row r="401" spans="2:5" ht="15" customHeight="1" x14ac:dyDescent="0.25">
      <c r="B401" s="83"/>
      <c r="C401" s="45" t="s">
        <v>116</v>
      </c>
      <c r="D401" s="44">
        <v>5</v>
      </c>
      <c r="E401" s="43">
        <v>6.6640010662401706E-4</v>
      </c>
    </row>
    <row r="402" spans="2:5" ht="15" customHeight="1" x14ac:dyDescent="0.25">
      <c r="B402" s="83"/>
      <c r="C402" s="45" t="s">
        <v>123</v>
      </c>
      <c r="D402" s="44">
        <v>19</v>
      </c>
      <c r="E402" s="43">
        <v>2.5323204051712648E-3</v>
      </c>
    </row>
    <row r="403" spans="2:5" ht="15" customHeight="1" x14ac:dyDescent="0.25">
      <c r="B403" s="83"/>
      <c r="C403" s="45" t="s">
        <v>118</v>
      </c>
      <c r="D403" s="44">
        <v>3</v>
      </c>
      <c r="E403" s="43">
        <v>3.9984006397441024E-4</v>
      </c>
    </row>
    <row r="404" spans="2:5" ht="15" customHeight="1" x14ac:dyDescent="0.25">
      <c r="B404" s="83"/>
      <c r="C404" s="45" t="s">
        <v>125</v>
      </c>
      <c r="D404" s="44">
        <v>29</v>
      </c>
      <c r="E404" s="43">
        <v>3.8651206184192989E-3</v>
      </c>
    </row>
    <row r="405" spans="2:5" ht="15" customHeight="1" x14ac:dyDescent="0.25">
      <c r="B405" s="84"/>
      <c r="C405" s="42" t="s">
        <v>20</v>
      </c>
      <c r="D405" s="41">
        <v>553</v>
      </c>
      <c r="E405" s="40">
        <v>7.3703851792616293E-2</v>
      </c>
    </row>
    <row r="406" spans="2:5" ht="15" customHeight="1" x14ac:dyDescent="0.25">
      <c r="B406" s="82" t="s">
        <v>86</v>
      </c>
      <c r="C406" s="45" t="s">
        <v>128</v>
      </c>
      <c r="D406" s="44">
        <v>5</v>
      </c>
      <c r="E406" s="43">
        <v>6.6640010662401706E-4</v>
      </c>
    </row>
    <row r="407" spans="2:5" ht="15" customHeight="1" x14ac:dyDescent="0.25">
      <c r="B407" s="83"/>
      <c r="C407" s="45" t="s">
        <v>115</v>
      </c>
      <c r="D407" s="44">
        <v>1</v>
      </c>
      <c r="E407" s="43">
        <v>1.3328002132480341E-4</v>
      </c>
    </row>
    <row r="408" spans="2:5" ht="15" customHeight="1" x14ac:dyDescent="0.25">
      <c r="B408" s="83"/>
      <c r="C408" s="45" t="s">
        <v>124</v>
      </c>
      <c r="D408" s="44">
        <v>2</v>
      </c>
      <c r="E408" s="43">
        <v>2.6656004264960682E-4</v>
      </c>
    </row>
    <row r="409" spans="2:5" ht="15" customHeight="1" x14ac:dyDescent="0.25">
      <c r="B409" s="83"/>
      <c r="C409" s="45" t="s">
        <v>121</v>
      </c>
      <c r="D409" s="44">
        <v>2</v>
      </c>
      <c r="E409" s="43">
        <v>2.6656004264960682E-4</v>
      </c>
    </row>
    <row r="410" spans="2:5" ht="15" customHeight="1" x14ac:dyDescent="0.25">
      <c r="B410" s="83"/>
      <c r="C410" s="45" t="s">
        <v>130</v>
      </c>
      <c r="D410" s="44">
        <v>27</v>
      </c>
      <c r="E410" s="43">
        <v>3.5985605757696921E-3</v>
      </c>
    </row>
    <row r="411" spans="2:5" ht="15" customHeight="1" x14ac:dyDescent="0.25">
      <c r="B411" s="83"/>
      <c r="C411" s="45" t="s">
        <v>119</v>
      </c>
      <c r="D411" s="44">
        <v>1</v>
      </c>
      <c r="E411" s="43">
        <v>1.3328002132480341E-4</v>
      </c>
    </row>
    <row r="412" spans="2:5" ht="15" customHeight="1" x14ac:dyDescent="0.25">
      <c r="B412" s="83"/>
      <c r="C412" s="45" t="s">
        <v>117</v>
      </c>
      <c r="D412" s="44">
        <v>2</v>
      </c>
      <c r="E412" s="43">
        <v>2.6656004264960682E-4</v>
      </c>
    </row>
    <row r="413" spans="2:5" ht="15" customHeight="1" x14ac:dyDescent="0.25">
      <c r="B413" s="83"/>
      <c r="C413" s="45" t="s">
        <v>122</v>
      </c>
      <c r="D413" s="44">
        <v>4</v>
      </c>
      <c r="E413" s="43">
        <v>5.3312008529921365E-4</v>
      </c>
    </row>
    <row r="414" spans="2:5" ht="15" customHeight="1" x14ac:dyDescent="0.25">
      <c r="B414" s="83"/>
      <c r="C414" s="45" t="s">
        <v>129</v>
      </c>
      <c r="D414" s="44">
        <v>8</v>
      </c>
      <c r="E414" s="43">
        <v>1.0662401705984273E-3</v>
      </c>
    </row>
    <row r="415" spans="2:5" ht="15" customHeight="1" x14ac:dyDescent="0.25">
      <c r="B415" s="83"/>
      <c r="C415" s="45" t="s">
        <v>127</v>
      </c>
      <c r="D415" s="44">
        <v>3</v>
      </c>
      <c r="E415" s="43">
        <v>3.9984006397441024E-4</v>
      </c>
    </row>
    <row r="416" spans="2:5" ht="15" customHeight="1" x14ac:dyDescent="0.25">
      <c r="B416" s="83"/>
      <c r="C416" s="45" t="s">
        <v>126</v>
      </c>
      <c r="D416" s="44">
        <v>4</v>
      </c>
      <c r="E416" s="43">
        <v>5.3312008529921365E-4</v>
      </c>
    </row>
    <row r="417" spans="2:5" ht="15" customHeight="1" x14ac:dyDescent="0.25">
      <c r="B417" s="83"/>
      <c r="C417" s="45" t="s">
        <v>120</v>
      </c>
      <c r="D417" s="44">
        <v>4</v>
      </c>
      <c r="E417" s="43">
        <v>5.3312008529921365E-4</v>
      </c>
    </row>
    <row r="418" spans="2:5" ht="15" customHeight="1" x14ac:dyDescent="0.25">
      <c r="B418" s="83"/>
      <c r="C418" s="45" t="s">
        <v>123</v>
      </c>
      <c r="D418" s="44">
        <v>1</v>
      </c>
      <c r="E418" s="43">
        <v>1.3328002132480341E-4</v>
      </c>
    </row>
    <row r="419" spans="2:5" ht="15" customHeight="1" x14ac:dyDescent="0.25">
      <c r="B419" s="83"/>
      <c r="C419" s="45" t="s">
        <v>125</v>
      </c>
      <c r="D419" s="44">
        <v>1</v>
      </c>
      <c r="E419" s="43">
        <v>1.3328002132480341E-4</v>
      </c>
    </row>
    <row r="420" spans="2:5" ht="15" customHeight="1" x14ac:dyDescent="0.25">
      <c r="B420" s="84"/>
      <c r="C420" s="42" t="s">
        <v>20</v>
      </c>
      <c r="D420" s="41">
        <v>65</v>
      </c>
      <c r="E420" s="40">
        <v>8.6632013861122226E-3</v>
      </c>
    </row>
    <row r="421" spans="2:5" ht="15" customHeight="1" x14ac:dyDescent="0.25">
      <c r="B421" s="82" t="s">
        <v>70</v>
      </c>
      <c r="C421" s="45" t="s">
        <v>124</v>
      </c>
      <c r="D421" s="44">
        <v>2</v>
      </c>
      <c r="E421" s="43">
        <v>2.6656004264960682E-4</v>
      </c>
    </row>
    <row r="422" spans="2:5" ht="15" customHeight="1" x14ac:dyDescent="0.25">
      <c r="B422" s="83"/>
      <c r="C422" s="45" t="s">
        <v>130</v>
      </c>
      <c r="D422" s="44">
        <v>2</v>
      </c>
      <c r="E422" s="43">
        <v>2.6656004264960682E-4</v>
      </c>
    </row>
    <row r="423" spans="2:5" ht="15" customHeight="1" x14ac:dyDescent="0.25">
      <c r="B423" s="84"/>
      <c r="C423" s="42" t="s">
        <v>20</v>
      </c>
      <c r="D423" s="41">
        <v>4</v>
      </c>
      <c r="E423" s="40">
        <v>5.3312008529921365E-4</v>
      </c>
    </row>
    <row r="424" spans="2:5" ht="15" customHeight="1" x14ac:dyDescent="0.25">
      <c r="B424" s="82" t="s">
        <v>104</v>
      </c>
      <c r="C424" s="45" t="s">
        <v>128</v>
      </c>
      <c r="D424" s="44">
        <v>28</v>
      </c>
      <c r="E424" s="43">
        <v>3.7318405970944955E-3</v>
      </c>
    </row>
    <row r="425" spans="2:5" ht="15" customHeight="1" x14ac:dyDescent="0.25">
      <c r="B425" s="83"/>
      <c r="C425" s="45" t="s">
        <v>115</v>
      </c>
      <c r="D425" s="44">
        <v>1</v>
      </c>
      <c r="E425" s="43">
        <v>1.3328002132480341E-4</v>
      </c>
    </row>
    <row r="426" spans="2:5" ht="15" customHeight="1" x14ac:dyDescent="0.25">
      <c r="B426" s="83"/>
      <c r="C426" s="45" t="s">
        <v>124</v>
      </c>
      <c r="D426" s="44">
        <v>1</v>
      </c>
      <c r="E426" s="43">
        <v>1.3328002132480341E-4</v>
      </c>
    </row>
    <row r="427" spans="2:5" ht="15" customHeight="1" x14ac:dyDescent="0.25">
      <c r="B427" s="83"/>
      <c r="C427" s="45" t="s">
        <v>114</v>
      </c>
      <c r="D427" s="44">
        <v>2</v>
      </c>
      <c r="E427" s="43">
        <v>2.6656004264960682E-4</v>
      </c>
    </row>
    <row r="428" spans="2:5" ht="15" customHeight="1" x14ac:dyDescent="0.25">
      <c r="B428" s="83"/>
      <c r="C428" s="45" t="s">
        <v>113</v>
      </c>
      <c r="D428" s="44">
        <v>1</v>
      </c>
      <c r="E428" s="43">
        <v>1.3328002132480341E-4</v>
      </c>
    </row>
    <row r="429" spans="2:5" ht="15" customHeight="1" x14ac:dyDescent="0.25">
      <c r="B429" s="83"/>
      <c r="C429" s="45" t="s">
        <v>121</v>
      </c>
      <c r="D429" s="44">
        <v>1</v>
      </c>
      <c r="E429" s="43">
        <v>1.3328002132480341E-4</v>
      </c>
    </row>
    <row r="430" spans="2:5" ht="15" customHeight="1" x14ac:dyDescent="0.25">
      <c r="B430" s="83"/>
      <c r="C430" s="45" t="s">
        <v>130</v>
      </c>
      <c r="D430" s="44">
        <v>25</v>
      </c>
      <c r="E430" s="43">
        <v>3.3320005331200853E-3</v>
      </c>
    </row>
    <row r="431" spans="2:5" ht="15" customHeight="1" x14ac:dyDescent="0.25">
      <c r="B431" s="83"/>
      <c r="C431" s="45" t="s">
        <v>119</v>
      </c>
      <c r="D431" s="44">
        <v>8</v>
      </c>
      <c r="E431" s="43">
        <v>1.0662401705984273E-3</v>
      </c>
    </row>
    <row r="432" spans="2:5" ht="15" customHeight="1" x14ac:dyDescent="0.25">
      <c r="B432" s="83"/>
      <c r="C432" s="45" t="s">
        <v>117</v>
      </c>
      <c r="D432" s="44">
        <v>3</v>
      </c>
      <c r="E432" s="43">
        <v>3.9984006397441024E-4</v>
      </c>
    </row>
    <row r="433" spans="2:5" ht="15" customHeight="1" x14ac:dyDescent="0.25">
      <c r="B433" s="83"/>
      <c r="C433" s="45" t="s">
        <v>122</v>
      </c>
      <c r="D433" s="44">
        <v>3</v>
      </c>
      <c r="E433" s="43">
        <v>3.9984006397441024E-4</v>
      </c>
    </row>
    <row r="434" spans="2:5" ht="15" customHeight="1" x14ac:dyDescent="0.25">
      <c r="B434" s="83"/>
      <c r="C434" s="45" t="s">
        <v>129</v>
      </c>
      <c r="D434" s="44">
        <v>69</v>
      </c>
      <c r="E434" s="43">
        <v>9.1963214714114363E-3</v>
      </c>
    </row>
    <row r="435" spans="2:5" ht="15" customHeight="1" x14ac:dyDescent="0.25">
      <c r="B435" s="83"/>
      <c r="C435" s="45" t="s">
        <v>127</v>
      </c>
      <c r="D435" s="44">
        <v>7</v>
      </c>
      <c r="E435" s="43">
        <v>9.3296014927362388E-4</v>
      </c>
    </row>
    <row r="436" spans="2:5" ht="15" customHeight="1" x14ac:dyDescent="0.25">
      <c r="B436" s="83"/>
      <c r="C436" s="45" t="s">
        <v>126</v>
      </c>
      <c r="D436" s="44">
        <v>3</v>
      </c>
      <c r="E436" s="43">
        <v>3.9984006397441024E-4</v>
      </c>
    </row>
    <row r="437" spans="2:5" ht="15" customHeight="1" x14ac:dyDescent="0.25">
      <c r="B437" s="83"/>
      <c r="C437" s="45" t="s">
        <v>120</v>
      </c>
      <c r="D437" s="44">
        <v>5</v>
      </c>
      <c r="E437" s="43">
        <v>6.6640010662401706E-4</v>
      </c>
    </row>
    <row r="438" spans="2:5" ht="15" customHeight="1" x14ac:dyDescent="0.25">
      <c r="B438" s="83"/>
      <c r="C438" s="45" t="s">
        <v>123</v>
      </c>
      <c r="D438" s="44">
        <v>4</v>
      </c>
      <c r="E438" s="43">
        <v>5.3312008529921365E-4</v>
      </c>
    </row>
    <row r="439" spans="2:5" ht="15" customHeight="1" x14ac:dyDescent="0.25">
      <c r="B439" s="83"/>
      <c r="C439" s="45" t="s">
        <v>118</v>
      </c>
      <c r="D439" s="44">
        <v>2</v>
      </c>
      <c r="E439" s="43">
        <v>2.6656004264960682E-4</v>
      </c>
    </row>
    <row r="440" spans="2:5" ht="15" customHeight="1" x14ac:dyDescent="0.25">
      <c r="B440" s="83"/>
      <c r="C440" s="45" t="s">
        <v>125</v>
      </c>
      <c r="D440" s="44">
        <v>8</v>
      </c>
      <c r="E440" s="43">
        <v>1.0662401705984273E-3</v>
      </c>
    </row>
    <row r="441" spans="2:5" ht="15" customHeight="1" x14ac:dyDescent="0.25">
      <c r="B441" s="84"/>
      <c r="C441" s="42" t="s">
        <v>20</v>
      </c>
      <c r="D441" s="41">
        <v>171</v>
      </c>
      <c r="E441" s="40">
        <v>2.2790883646541384E-2</v>
      </c>
    </row>
    <row r="442" spans="2:5" ht="15" customHeight="1" x14ac:dyDescent="0.25">
      <c r="B442" s="82" t="s">
        <v>96</v>
      </c>
      <c r="C442" s="45" t="s">
        <v>128</v>
      </c>
      <c r="D442" s="44">
        <v>36</v>
      </c>
      <c r="E442" s="43">
        <v>4.7980807676929228E-3</v>
      </c>
    </row>
    <row r="443" spans="2:5" ht="15" customHeight="1" x14ac:dyDescent="0.25">
      <c r="B443" s="83"/>
      <c r="C443" s="45" t="s">
        <v>115</v>
      </c>
      <c r="D443" s="44">
        <v>13</v>
      </c>
      <c r="E443" s="43">
        <v>1.7326402772224444E-3</v>
      </c>
    </row>
    <row r="444" spans="2:5" ht="15" customHeight="1" x14ac:dyDescent="0.25">
      <c r="B444" s="83"/>
      <c r="C444" s="45" t="s">
        <v>124</v>
      </c>
      <c r="D444" s="44">
        <v>11</v>
      </c>
      <c r="E444" s="43">
        <v>1.4660802345728375E-3</v>
      </c>
    </row>
    <row r="445" spans="2:5" ht="15" customHeight="1" x14ac:dyDescent="0.25">
      <c r="B445" s="83"/>
      <c r="C445" s="45" t="s">
        <v>114</v>
      </c>
      <c r="D445" s="44">
        <v>5</v>
      </c>
      <c r="E445" s="43">
        <v>6.6640010662401706E-4</v>
      </c>
    </row>
    <row r="446" spans="2:5" ht="15" customHeight="1" x14ac:dyDescent="0.25">
      <c r="B446" s="83"/>
      <c r="C446" s="45" t="s">
        <v>113</v>
      </c>
      <c r="D446" s="44">
        <v>2</v>
      </c>
      <c r="E446" s="43">
        <v>2.6656004264960682E-4</v>
      </c>
    </row>
    <row r="447" spans="2:5" ht="15" customHeight="1" x14ac:dyDescent="0.25">
      <c r="B447" s="83"/>
      <c r="C447" s="45" t="s">
        <v>121</v>
      </c>
      <c r="D447" s="44">
        <v>15</v>
      </c>
      <c r="E447" s="43">
        <v>1.9992003198720512E-3</v>
      </c>
    </row>
    <row r="448" spans="2:5" ht="15" customHeight="1" x14ac:dyDescent="0.25">
      <c r="B448" s="83"/>
      <c r="C448" s="45" t="s">
        <v>130</v>
      </c>
      <c r="D448" s="44">
        <v>108</v>
      </c>
      <c r="E448" s="43">
        <v>1.4394242303078768E-2</v>
      </c>
    </row>
    <row r="449" spans="2:5" ht="15" customHeight="1" x14ac:dyDescent="0.25">
      <c r="B449" s="83"/>
      <c r="C449" s="45" t="s">
        <v>119</v>
      </c>
      <c r="D449" s="44">
        <v>12</v>
      </c>
      <c r="E449" s="43">
        <v>1.5993602558976409E-3</v>
      </c>
    </row>
    <row r="450" spans="2:5" ht="15" customHeight="1" x14ac:dyDescent="0.25">
      <c r="B450" s="83"/>
      <c r="C450" s="45" t="s">
        <v>117</v>
      </c>
      <c r="D450" s="44">
        <v>8</v>
      </c>
      <c r="E450" s="43">
        <v>1.0662401705984273E-3</v>
      </c>
    </row>
    <row r="451" spans="2:5" ht="15" customHeight="1" x14ac:dyDescent="0.25">
      <c r="B451" s="83"/>
      <c r="C451" s="45" t="s">
        <v>122</v>
      </c>
      <c r="D451" s="44">
        <v>10</v>
      </c>
      <c r="E451" s="43">
        <v>1.3328002132480341E-3</v>
      </c>
    </row>
    <row r="452" spans="2:5" ht="15" customHeight="1" x14ac:dyDescent="0.25">
      <c r="B452" s="83"/>
      <c r="C452" s="45" t="s">
        <v>129</v>
      </c>
      <c r="D452" s="44">
        <v>26</v>
      </c>
      <c r="E452" s="43">
        <v>3.4652805544448887E-3</v>
      </c>
    </row>
    <row r="453" spans="2:5" ht="15" customHeight="1" x14ac:dyDescent="0.25">
      <c r="B453" s="83"/>
      <c r="C453" s="45" t="s">
        <v>127</v>
      </c>
      <c r="D453" s="44">
        <v>24</v>
      </c>
      <c r="E453" s="43">
        <v>3.1987205117952819E-3</v>
      </c>
    </row>
    <row r="454" spans="2:5" ht="15" customHeight="1" x14ac:dyDescent="0.25">
      <c r="B454" s="83"/>
      <c r="C454" s="45" t="s">
        <v>126</v>
      </c>
      <c r="D454" s="44">
        <v>19</v>
      </c>
      <c r="E454" s="43">
        <v>2.5323204051712648E-3</v>
      </c>
    </row>
    <row r="455" spans="2:5" ht="15" customHeight="1" x14ac:dyDescent="0.25">
      <c r="B455" s="83"/>
      <c r="C455" s="45" t="s">
        <v>120</v>
      </c>
      <c r="D455" s="44">
        <v>6</v>
      </c>
      <c r="E455" s="43">
        <v>7.9968012794882047E-4</v>
      </c>
    </row>
    <row r="456" spans="2:5" ht="15" customHeight="1" x14ac:dyDescent="0.25">
      <c r="B456" s="83"/>
      <c r="C456" s="45" t="s">
        <v>116</v>
      </c>
      <c r="D456" s="44">
        <v>3</v>
      </c>
      <c r="E456" s="43">
        <v>3.9984006397441024E-4</v>
      </c>
    </row>
    <row r="457" spans="2:5" ht="15" customHeight="1" x14ac:dyDescent="0.25">
      <c r="B457" s="83"/>
      <c r="C457" s="45" t="s">
        <v>123</v>
      </c>
      <c r="D457" s="44">
        <v>18</v>
      </c>
      <c r="E457" s="43">
        <v>2.3990403838464614E-3</v>
      </c>
    </row>
    <row r="458" spans="2:5" ht="15" customHeight="1" x14ac:dyDescent="0.25">
      <c r="B458" s="83"/>
      <c r="C458" s="45" t="s">
        <v>118</v>
      </c>
      <c r="D458" s="44">
        <v>8</v>
      </c>
      <c r="E458" s="43">
        <v>1.0662401705984273E-3</v>
      </c>
    </row>
    <row r="459" spans="2:5" ht="15" customHeight="1" x14ac:dyDescent="0.25">
      <c r="B459" s="83"/>
      <c r="C459" s="45" t="s">
        <v>125</v>
      </c>
      <c r="D459" s="44">
        <v>11</v>
      </c>
      <c r="E459" s="43">
        <v>1.4660802345728375E-3</v>
      </c>
    </row>
    <row r="460" spans="2:5" ht="15" customHeight="1" x14ac:dyDescent="0.25">
      <c r="B460" s="84"/>
      <c r="C460" s="42" t="s">
        <v>20</v>
      </c>
      <c r="D460" s="41">
        <v>335</v>
      </c>
      <c r="E460" s="40">
        <v>4.4648807143809144E-2</v>
      </c>
    </row>
    <row r="461" spans="2:5" ht="15" customHeight="1" x14ac:dyDescent="0.25">
      <c r="B461" s="82" t="s">
        <v>81</v>
      </c>
      <c r="C461" s="45" t="s">
        <v>128</v>
      </c>
      <c r="D461" s="44">
        <v>5</v>
      </c>
      <c r="E461" s="43">
        <v>6.6640010662401706E-4</v>
      </c>
    </row>
    <row r="462" spans="2:5" ht="15" customHeight="1" x14ac:dyDescent="0.25">
      <c r="B462" s="83"/>
      <c r="C462" s="45" t="s">
        <v>115</v>
      </c>
      <c r="D462" s="44">
        <v>2</v>
      </c>
      <c r="E462" s="43">
        <v>2.6656004264960682E-4</v>
      </c>
    </row>
    <row r="463" spans="2:5" ht="15" customHeight="1" x14ac:dyDescent="0.25">
      <c r="B463" s="83"/>
      <c r="C463" s="45" t="s">
        <v>124</v>
      </c>
      <c r="D463" s="44">
        <v>3</v>
      </c>
      <c r="E463" s="43">
        <v>3.9984006397441024E-4</v>
      </c>
    </row>
    <row r="464" spans="2:5" ht="15" customHeight="1" x14ac:dyDescent="0.25">
      <c r="B464" s="83"/>
      <c r="C464" s="45" t="s">
        <v>114</v>
      </c>
      <c r="D464" s="44">
        <v>1</v>
      </c>
      <c r="E464" s="43">
        <v>1.3328002132480341E-4</v>
      </c>
    </row>
    <row r="465" spans="2:5" ht="15" customHeight="1" x14ac:dyDescent="0.25">
      <c r="B465" s="83"/>
      <c r="C465" s="45" t="s">
        <v>113</v>
      </c>
      <c r="D465" s="44">
        <v>1</v>
      </c>
      <c r="E465" s="43">
        <v>1.3328002132480341E-4</v>
      </c>
    </row>
    <row r="466" spans="2:5" ht="15" customHeight="1" x14ac:dyDescent="0.25">
      <c r="B466" s="83"/>
      <c r="C466" s="45" t="s">
        <v>130</v>
      </c>
      <c r="D466" s="44">
        <v>25</v>
      </c>
      <c r="E466" s="43">
        <v>3.3320005331200853E-3</v>
      </c>
    </row>
    <row r="467" spans="2:5" ht="15" customHeight="1" x14ac:dyDescent="0.25">
      <c r="B467" s="83"/>
      <c r="C467" s="45" t="s">
        <v>117</v>
      </c>
      <c r="D467" s="44">
        <v>2</v>
      </c>
      <c r="E467" s="43">
        <v>2.6656004264960682E-4</v>
      </c>
    </row>
    <row r="468" spans="2:5" ht="15" customHeight="1" x14ac:dyDescent="0.25">
      <c r="B468" s="83"/>
      <c r="C468" s="45" t="s">
        <v>122</v>
      </c>
      <c r="D468" s="44">
        <v>3</v>
      </c>
      <c r="E468" s="43">
        <v>3.9984006397441024E-4</v>
      </c>
    </row>
    <row r="469" spans="2:5" ht="15" customHeight="1" x14ac:dyDescent="0.25">
      <c r="B469" s="83"/>
      <c r="C469" s="45" t="s">
        <v>129</v>
      </c>
      <c r="D469" s="44">
        <v>3</v>
      </c>
      <c r="E469" s="43">
        <v>3.9984006397441024E-4</v>
      </c>
    </row>
    <row r="470" spans="2:5" ht="15" customHeight="1" x14ac:dyDescent="0.25">
      <c r="B470" s="83"/>
      <c r="C470" s="45" t="s">
        <v>127</v>
      </c>
      <c r="D470" s="44">
        <v>6</v>
      </c>
      <c r="E470" s="43">
        <v>7.9968012794882047E-4</v>
      </c>
    </row>
    <row r="471" spans="2:5" ht="15" customHeight="1" x14ac:dyDescent="0.25">
      <c r="B471" s="83"/>
      <c r="C471" s="45" t="s">
        <v>126</v>
      </c>
      <c r="D471" s="44">
        <v>5</v>
      </c>
      <c r="E471" s="43">
        <v>6.6640010662401706E-4</v>
      </c>
    </row>
    <row r="472" spans="2:5" ht="15" customHeight="1" x14ac:dyDescent="0.25">
      <c r="B472" s="83"/>
      <c r="C472" s="45" t="s">
        <v>120</v>
      </c>
      <c r="D472" s="44">
        <v>2</v>
      </c>
      <c r="E472" s="43">
        <v>2.6656004264960682E-4</v>
      </c>
    </row>
    <row r="473" spans="2:5" ht="15" customHeight="1" x14ac:dyDescent="0.25">
      <c r="B473" s="83"/>
      <c r="C473" s="45" t="s">
        <v>123</v>
      </c>
      <c r="D473" s="44">
        <v>2</v>
      </c>
      <c r="E473" s="43">
        <v>2.6656004264960682E-4</v>
      </c>
    </row>
    <row r="474" spans="2:5" ht="15" customHeight="1" x14ac:dyDescent="0.25">
      <c r="B474" s="83"/>
      <c r="C474" s="45" t="s">
        <v>125</v>
      </c>
      <c r="D474" s="44">
        <v>4</v>
      </c>
      <c r="E474" s="43">
        <v>5.3312008529921365E-4</v>
      </c>
    </row>
    <row r="475" spans="2:5" ht="15" customHeight="1" x14ac:dyDescent="0.25">
      <c r="B475" s="84"/>
      <c r="C475" s="42" t="s">
        <v>20</v>
      </c>
      <c r="D475" s="41">
        <v>64</v>
      </c>
      <c r="E475" s="40">
        <v>8.5299213647874184E-3</v>
      </c>
    </row>
    <row r="476" spans="2:5" ht="15" customHeight="1" x14ac:dyDescent="0.25">
      <c r="B476" s="82" t="s">
        <v>83</v>
      </c>
      <c r="C476" s="45" t="s">
        <v>128</v>
      </c>
      <c r="D476" s="44">
        <v>31</v>
      </c>
      <c r="E476" s="43">
        <v>4.1316806610689058E-3</v>
      </c>
    </row>
    <row r="477" spans="2:5" ht="15" customHeight="1" x14ac:dyDescent="0.25">
      <c r="B477" s="83"/>
      <c r="C477" s="45" t="s">
        <v>115</v>
      </c>
      <c r="D477" s="44">
        <v>8</v>
      </c>
      <c r="E477" s="43">
        <v>1.0662401705984273E-3</v>
      </c>
    </row>
    <row r="478" spans="2:5" ht="15" customHeight="1" x14ac:dyDescent="0.25">
      <c r="B478" s="83"/>
      <c r="C478" s="45" t="s">
        <v>124</v>
      </c>
      <c r="D478" s="44">
        <v>13</v>
      </c>
      <c r="E478" s="43">
        <v>1.7326402772224444E-3</v>
      </c>
    </row>
    <row r="479" spans="2:5" ht="15" customHeight="1" x14ac:dyDescent="0.25">
      <c r="B479" s="83"/>
      <c r="C479" s="45" t="s">
        <v>114</v>
      </c>
      <c r="D479" s="44">
        <v>5</v>
      </c>
      <c r="E479" s="43">
        <v>6.6640010662401706E-4</v>
      </c>
    </row>
    <row r="480" spans="2:5" ht="15" customHeight="1" x14ac:dyDescent="0.25">
      <c r="B480" s="83"/>
      <c r="C480" s="45" t="s">
        <v>113</v>
      </c>
      <c r="D480" s="44">
        <v>2</v>
      </c>
      <c r="E480" s="43">
        <v>2.6656004264960682E-4</v>
      </c>
    </row>
    <row r="481" spans="2:5" ht="15" customHeight="1" x14ac:dyDescent="0.25">
      <c r="B481" s="83"/>
      <c r="C481" s="45" t="s">
        <v>121</v>
      </c>
      <c r="D481" s="44">
        <v>1</v>
      </c>
      <c r="E481" s="43">
        <v>1.3328002132480341E-4</v>
      </c>
    </row>
    <row r="482" spans="2:5" ht="15" customHeight="1" x14ac:dyDescent="0.25">
      <c r="B482" s="83"/>
      <c r="C482" s="45" t="s">
        <v>130</v>
      </c>
      <c r="D482" s="44">
        <v>51</v>
      </c>
      <c r="E482" s="43">
        <v>6.797281087564974E-3</v>
      </c>
    </row>
    <row r="483" spans="2:5" ht="15" customHeight="1" x14ac:dyDescent="0.25">
      <c r="B483" s="83"/>
      <c r="C483" s="45" t="s">
        <v>119</v>
      </c>
      <c r="D483" s="44">
        <v>5</v>
      </c>
      <c r="E483" s="43">
        <v>6.6640010662401706E-4</v>
      </c>
    </row>
    <row r="484" spans="2:5" ht="15" customHeight="1" x14ac:dyDescent="0.25">
      <c r="B484" s="83"/>
      <c r="C484" s="45" t="s">
        <v>117</v>
      </c>
      <c r="D484" s="44">
        <v>2</v>
      </c>
      <c r="E484" s="43">
        <v>2.6656004264960682E-4</v>
      </c>
    </row>
    <row r="485" spans="2:5" ht="15" customHeight="1" x14ac:dyDescent="0.25">
      <c r="B485" s="83"/>
      <c r="C485" s="45" t="s">
        <v>122</v>
      </c>
      <c r="D485" s="44">
        <v>13</v>
      </c>
      <c r="E485" s="43">
        <v>1.7326402772224444E-3</v>
      </c>
    </row>
    <row r="486" spans="2:5" ht="15" customHeight="1" x14ac:dyDescent="0.25">
      <c r="B486" s="83"/>
      <c r="C486" s="45" t="s">
        <v>129</v>
      </c>
      <c r="D486" s="44">
        <v>20</v>
      </c>
      <c r="E486" s="43">
        <v>2.6656004264960682E-3</v>
      </c>
    </row>
    <row r="487" spans="2:5" ht="15" customHeight="1" x14ac:dyDescent="0.25">
      <c r="B487" s="83"/>
      <c r="C487" s="45" t="s">
        <v>127</v>
      </c>
      <c r="D487" s="44">
        <v>25</v>
      </c>
      <c r="E487" s="43">
        <v>3.3320005331200853E-3</v>
      </c>
    </row>
    <row r="488" spans="2:5" ht="15" customHeight="1" x14ac:dyDescent="0.25">
      <c r="B488" s="83"/>
      <c r="C488" s="45" t="s">
        <v>126</v>
      </c>
      <c r="D488" s="44">
        <v>9</v>
      </c>
      <c r="E488" s="43">
        <v>1.1995201919232307E-3</v>
      </c>
    </row>
    <row r="489" spans="2:5" ht="15" customHeight="1" x14ac:dyDescent="0.25">
      <c r="B489" s="83"/>
      <c r="C489" s="45" t="s">
        <v>120</v>
      </c>
      <c r="D489" s="44">
        <v>2</v>
      </c>
      <c r="E489" s="43">
        <v>2.6656004264960682E-4</v>
      </c>
    </row>
    <row r="490" spans="2:5" ht="15" customHeight="1" x14ac:dyDescent="0.25">
      <c r="B490" s="83"/>
      <c r="C490" s="45" t="s">
        <v>116</v>
      </c>
      <c r="D490" s="44">
        <v>15</v>
      </c>
      <c r="E490" s="43">
        <v>1.9992003198720512E-3</v>
      </c>
    </row>
    <row r="491" spans="2:5" ht="15" customHeight="1" x14ac:dyDescent="0.25">
      <c r="B491" s="83"/>
      <c r="C491" s="45" t="s">
        <v>123</v>
      </c>
      <c r="D491" s="44">
        <v>6</v>
      </c>
      <c r="E491" s="43">
        <v>7.9968012794882047E-4</v>
      </c>
    </row>
    <row r="492" spans="2:5" ht="15" customHeight="1" x14ac:dyDescent="0.25">
      <c r="B492" s="83"/>
      <c r="C492" s="45" t="s">
        <v>118</v>
      </c>
      <c r="D492" s="44">
        <v>1</v>
      </c>
      <c r="E492" s="43">
        <v>1.3328002132480341E-4</v>
      </c>
    </row>
    <row r="493" spans="2:5" ht="15" customHeight="1" x14ac:dyDescent="0.25">
      <c r="B493" s="83"/>
      <c r="C493" s="45" t="s">
        <v>125</v>
      </c>
      <c r="D493" s="44">
        <v>9</v>
      </c>
      <c r="E493" s="43">
        <v>1.1995201919232307E-3</v>
      </c>
    </row>
    <row r="494" spans="2:5" ht="15" customHeight="1" x14ac:dyDescent="0.25">
      <c r="B494" s="84"/>
      <c r="C494" s="42" t="s">
        <v>20</v>
      </c>
      <c r="D494" s="41">
        <v>218</v>
      </c>
      <c r="E494" s="40">
        <v>2.9055044648807146E-2</v>
      </c>
    </row>
    <row r="495" spans="2:5" ht="15" customHeight="1" x14ac:dyDescent="0.25">
      <c r="B495" s="82" t="s">
        <v>91</v>
      </c>
      <c r="C495" s="45" t="s">
        <v>128</v>
      </c>
      <c r="D495" s="44">
        <v>7</v>
      </c>
      <c r="E495" s="43">
        <v>9.3296014927362388E-4</v>
      </c>
    </row>
    <row r="496" spans="2:5" ht="15" customHeight="1" x14ac:dyDescent="0.25">
      <c r="B496" s="83"/>
      <c r="C496" s="45" t="s">
        <v>124</v>
      </c>
      <c r="D496" s="44">
        <v>1</v>
      </c>
      <c r="E496" s="43">
        <v>1.3328002132480341E-4</v>
      </c>
    </row>
    <row r="497" spans="2:5" ht="15" customHeight="1" x14ac:dyDescent="0.25">
      <c r="B497" s="83"/>
      <c r="C497" s="45" t="s">
        <v>114</v>
      </c>
      <c r="D497" s="44">
        <v>3</v>
      </c>
      <c r="E497" s="43">
        <v>3.9984006397441024E-4</v>
      </c>
    </row>
    <row r="498" spans="2:5" ht="15" customHeight="1" x14ac:dyDescent="0.25">
      <c r="B498" s="83"/>
      <c r="C498" s="45" t="s">
        <v>113</v>
      </c>
      <c r="D498" s="44">
        <v>1</v>
      </c>
      <c r="E498" s="43">
        <v>1.3328002132480341E-4</v>
      </c>
    </row>
    <row r="499" spans="2:5" ht="15" customHeight="1" x14ac:dyDescent="0.25">
      <c r="B499" s="83"/>
      <c r="C499" s="45" t="s">
        <v>130</v>
      </c>
      <c r="D499" s="44">
        <v>4</v>
      </c>
      <c r="E499" s="43">
        <v>5.3312008529921365E-4</v>
      </c>
    </row>
    <row r="500" spans="2:5" ht="15" customHeight="1" x14ac:dyDescent="0.25">
      <c r="B500" s="83"/>
      <c r="C500" s="45" t="s">
        <v>117</v>
      </c>
      <c r="D500" s="44">
        <v>1</v>
      </c>
      <c r="E500" s="43">
        <v>1.3328002132480341E-4</v>
      </c>
    </row>
    <row r="501" spans="2:5" ht="15" customHeight="1" x14ac:dyDescent="0.25">
      <c r="B501" s="83"/>
      <c r="C501" s="45" t="s">
        <v>129</v>
      </c>
      <c r="D501" s="44">
        <v>2</v>
      </c>
      <c r="E501" s="43">
        <v>2.6656004264960682E-4</v>
      </c>
    </row>
    <row r="502" spans="2:5" ht="15" customHeight="1" x14ac:dyDescent="0.25">
      <c r="B502" s="83"/>
      <c r="C502" s="45" t="s">
        <v>127</v>
      </c>
      <c r="D502" s="44">
        <v>1</v>
      </c>
      <c r="E502" s="43">
        <v>1.3328002132480341E-4</v>
      </c>
    </row>
    <row r="503" spans="2:5" ht="15" customHeight="1" x14ac:dyDescent="0.25">
      <c r="B503" s="83"/>
      <c r="C503" s="45" t="s">
        <v>126</v>
      </c>
      <c r="D503" s="44">
        <v>2</v>
      </c>
      <c r="E503" s="43">
        <v>2.6656004264960682E-4</v>
      </c>
    </row>
    <row r="504" spans="2:5" ht="15" customHeight="1" x14ac:dyDescent="0.25">
      <c r="B504" s="83"/>
      <c r="C504" s="45" t="s">
        <v>116</v>
      </c>
      <c r="D504" s="44">
        <v>1</v>
      </c>
      <c r="E504" s="43">
        <v>1.3328002132480341E-4</v>
      </c>
    </row>
    <row r="505" spans="2:5" ht="15" customHeight="1" x14ac:dyDescent="0.25">
      <c r="B505" s="83"/>
      <c r="C505" s="45" t="s">
        <v>123</v>
      </c>
      <c r="D505" s="44">
        <v>1</v>
      </c>
      <c r="E505" s="43">
        <v>1.3328002132480341E-4</v>
      </c>
    </row>
    <row r="506" spans="2:5" ht="15" customHeight="1" x14ac:dyDescent="0.25">
      <c r="B506" s="84"/>
      <c r="C506" s="42" t="s">
        <v>20</v>
      </c>
      <c r="D506" s="41">
        <v>24</v>
      </c>
      <c r="E506" s="40">
        <v>3.1987205117952819E-3</v>
      </c>
    </row>
    <row r="507" spans="2:5" ht="15" customHeight="1" x14ac:dyDescent="0.25">
      <c r="B507" s="82" t="s">
        <v>103</v>
      </c>
      <c r="C507" s="45" t="s">
        <v>128</v>
      </c>
      <c r="D507" s="44">
        <v>56</v>
      </c>
      <c r="E507" s="43">
        <v>7.4636811941889911E-3</v>
      </c>
    </row>
    <row r="508" spans="2:5" ht="15" customHeight="1" x14ac:dyDescent="0.25">
      <c r="B508" s="83"/>
      <c r="C508" s="45" t="s">
        <v>115</v>
      </c>
      <c r="D508" s="44">
        <v>12</v>
      </c>
      <c r="E508" s="43">
        <v>1.5993602558976409E-3</v>
      </c>
    </row>
    <row r="509" spans="2:5" ht="15" customHeight="1" x14ac:dyDescent="0.25">
      <c r="B509" s="83"/>
      <c r="C509" s="45" t="s">
        <v>124</v>
      </c>
      <c r="D509" s="44">
        <v>29</v>
      </c>
      <c r="E509" s="43">
        <v>3.8651206184192989E-3</v>
      </c>
    </row>
    <row r="510" spans="2:5" ht="15" customHeight="1" x14ac:dyDescent="0.25">
      <c r="B510" s="83"/>
      <c r="C510" s="45" t="s">
        <v>114</v>
      </c>
      <c r="D510" s="44">
        <v>10</v>
      </c>
      <c r="E510" s="43">
        <v>1.3328002132480341E-3</v>
      </c>
    </row>
    <row r="511" spans="2:5" ht="15" customHeight="1" x14ac:dyDescent="0.25">
      <c r="B511" s="83"/>
      <c r="C511" s="45" t="s">
        <v>113</v>
      </c>
      <c r="D511" s="44">
        <v>14</v>
      </c>
      <c r="E511" s="43">
        <v>1.8659202985472478E-3</v>
      </c>
    </row>
    <row r="512" spans="2:5" ht="15" customHeight="1" x14ac:dyDescent="0.25">
      <c r="B512" s="83"/>
      <c r="C512" s="45" t="s">
        <v>121</v>
      </c>
      <c r="D512" s="44">
        <v>33</v>
      </c>
      <c r="E512" s="43">
        <v>4.3982407037185126E-3</v>
      </c>
    </row>
    <row r="513" spans="2:5" ht="15" customHeight="1" x14ac:dyDescent="0.25">
      <c r="B513" s="83"/>
      <c r="C513" s="45" t="s">
        <v>130</v>
      </c>
      <c r="D513" s="44">
        <v>311</v>
      </c>
      <c r="E513" s="43">
        <v>4.1450086632013862E-2</v>
      </c>
    </row>
    <row r="514" spans="2:5" ht="15" customHeight="1" x14ac:dyDescent="0.25">
      <c r="B514" s="83"/>
      <c r="C514" s="45" t="s">
        <v>119</v>
      </c>
      <c r="D514" s="44">
        <v>20</v>
      </c>
      <c r="E514" s="43">
        <v>2.6656004264960682E-3</v>
      </c>
    </row>
    <row r="515" spans="2:5" ht="15" customHeight="1" x14ac:dyDescent="0.25">
      <c r="B515" s="83"/>
      <c r="C515" s="45" t="s">
        <v>117</v>
      </c>
      <c r="D515" s="44">
        <v>27</v>
      </c>
      <c r="E515" s="43">
        <v>3.5985605757696921E-3</v>
      </c>
    </row>
    <row r="516" spans="2:5" ht="15" customHeight="1" x14ac:dyDescent="0.25">
      <c r="B516" s="83"/>
      <c r="C516" s="45" t="s">
        <v>122</v>
      </c>
      <c r="D516" s="44">
        <v>15</v>
      </c>
      <c r="E516" s="43">
        <v>1.9992003198720512E-3</v>
      </c>
    </row>
    <row r="517" spans="2:5" ht="15" customHeight="1" x14ac:dyDescent="0.25">
      <c r="B517" s="83"/>
      <c r="C517" s="45" t="s">
        <v>129</v>
      </c>
      <c r="D517" s="44">
        <v>112</v>
      </c>
      <c r="E517" s="43">
        <v>1.4927362388377982E-2</v>
      </c>
    </row>
    <row r="518" spans="2:5" ht="15" customHeight="1" x14ac:dyDescent="0.25">
      <c r="B518" s="83"/>
      <c r="C518" s="45" t="s">
        <v>127</v>
      </c>
      <c r="D518" s="44">
        <v>67</v>
      </c>
      <c r="E518" s="43">
        <v>8.9297614287618295E-3</v>
      </c>
    </row>
    <row r="519" spans="2:5" ht="15" customHeight="1" x14ac:dyDescent="0.25">
      <c r="B519" s="83"/>
      <c r="C519" s="45" t="s">
        <v>126</v>
      </c>
      <c r="D519" s="44">
        <v>68</v>
      </c>
      <c r="E519" s="43">
        <v>9.063041450086632E-3</v>
      </c>
    </row>
    <row r="520" spans="2:5" ht="15" customHeight="1" x14ac:dyDescent="0.25">
      <c r="B520" s="83"/>
      <c r="C520" s="45" t="s">
        <v>120</v>
      </c>
      <c r="D520" s="44">
        <v>23</v>
      </c>
      <c r="E520" s="43">
        <v>3.0654404904704785E-3</v>
      </c>
    </row>
    <row r="521" spans="2:5" ht="15" customHeight="1" x14ac:dyDescent="0.25">
      <c r="B521" s="83"/>
      <c r="C521" s="45" t="s">
        <v>116</v>
      </c>
      <c r="D521" s="44">
        <v>15</v>
      </c>
      <c r="E521" s="43">
        <v>1.9992003198720512E-3</v>
      </c>
    </row>
    <row r="522" spans="2:5" ht="15" customHeight="1" x14ac:dyDescent="0.25">
      <c r="B522" s="83"/>
      <c r="C522" s="45" t="s">
        <v>123</v>
      </c>
      <c r="D522" s="44">
        <v>49</v>
      </c>
      <c r="E522" s="43">
        <v>6.5307210449153672E-3</v>
      </c>
    </row>
    <row r="523" spans="2:5" ht="15" customHeight="1" x14ac:dyDescent="0.25">
      <c r="B523" s="83"/>
      <c r="C523" s="45" t="s">
        <v>118</v>
      </c>
      <c r="D523" s="44">
        <v>12</v>
      </c>
      <c r="E523" s="43">
        <v>1.5993602558976409E-3</v>
      </c>
    </row>
    <row r="524" spans="2:5" ht="15" customHeight="1" x14ac:dyDescent="0.25">
      <c r="B524" s="83"/>
      <c r="C524" s="45" t="s">
        <v>125</v>
      </c>
      <c r="D524" s="44">
        <v>36</v>
      </c>
      <c r="E524" s="43">
        <v>4.7980807676929228E-3</v>
      </c>
    </row>
    <row r="525" spans="2:5" ht="15" customHeight="1" x14ac:dyDescent="0.25">
      <c r="B525" s="84"/>
      <c r="C525" s="42" t="s">
        <v>20</v>
      </c>
      <c r="D525" s="41">
        <v>909</v>
      </c>
      <c r="E525" s="40">
        <v>0.1211515393842463</v>
      </c>
    </row>
    <row r="526" spans="2:5" ht="15" customHeight="1" x14ac:dyDescent="0.25">
      <c r="B526" s="82" t="s">
        <v>87</v>
      </c>
      <c r="C526" s="45" t="s">
        <v>128</v>
      </c>
      <c r="D526" s="44">
        <v>33</v>
      </c>
      <c r="E526" s="43">
        <v>4.3982407037185126E-3</v>
      </c>
    </row>
    <row r="527" spans="2:5" ht="15" customHeight="1" x14ac:dyDescent="0.25">
      <c r="B527" s="83"/>
      <c r="C527" s="45" t="s">
        <v>115</v>
      </c>
      <c r="D527" s="44">
        <v>4</v>
      </c>
      <c r="E527" s="43">
        <v>5.3312008529921365E-4</v>
      </c>
    </row>
    <row r="528" spans="2:5" ht="15" customHeight="1" x14ac:dyDescent="0.25">
      <c r="B528" s="83"/>
      <c r="C528" s="45" t="s">
        <v>124</v>
      </c>
      <c r="D528" s="44">
        <v>2</v>
      </c>
      <c r="E528" s="43">
        <v>2.6656004264960682E-4</v>
      </c>
    </row>
    <row r="529" spans="2:5" ht="15" customHeight="1" x14ac:dyDescent="0.25">
      <c r="B529" s="83"/>
      <c r="C529" s="45" t="s">
        <v>114</v>
      </c>
      <c r="D529" s="44">
        <v>7</v>
      </c>
      <c r="E529" s="43">
        <v>9.3296014927362388E-4</v>
      </c>
    </row>
    <row r="530" spans="2:5" ht="15" customHeight="1" x14ac:dyDescent="0.25">
      <c r="B530" s="83"/>
      <c r="C530" s="45" t="s">
        <v>113</v>
      </c>
      <c r="D530" s="44">
        <v>2</v>
      </c>
      <c r="E530" s="43">
        <v>2.6656004264960682E-4</v>
      </c>
    </row>
    <row r="531" spans="2:5" ht="15" customHeight="1" x14ac:dyDescent="0.25">
      <c r="B531" s="83"/>
      <c r="C531" s="45" t="s">
        <v>121</v>
      </c>
      <c r="D531" s="44">
        <v>5</v>
      </c>
      <c r="E531" s="43">
        <v>6.6640010662401706E-4</v>
      </c>
    </row>
    <row r="532" spans="2:5" ht="15" customHeight="1" x14ac:dyDescent="0.25">
      <c r="B532" s="83"/>
      <c r="C532" s="45" t="s">
        <v>130</v>
      </c>
      <c r="D532" s="44">
        <v>98</v>
      </c>
      <c r="E532" s="43">
        <v>1.3061442089830734E-2</v>
      </c>
    </row>
    <row r="533" spans="2:5" ht="15" customHeight="1" x14ac:dyDescent="0.25">
      <c r="B533" s="83"/>
      <c r="C533" s="45" t="s">
        <v>119</v>
      </c>
      <c r="D533" s="44">
        <v>5</v>
      </c>
      <c r="E533" s="43">
        <v>6.6640010662401706E-4</v>
      </c>
    </row>
    <row r="534" spans="2:5" ht="15" customHeight="1" x14ac:dyDescent="0.25">
      <c r="B534" s="83"/>
      <c r="C534" s="45" t="s">
        <v>117</v>
      </c>
      <c r="D534" s="44">
        <v>5</v>
      </c>
      <c r="E534" s="43">
        <v>6.6640010662401706E-4</v>
      </c>
    </row>
    <row r="535" spans="2:5" ht="15" customHeight="1" x14ac:dyDescent="0.25">
      <c r="B535" s="83"/>
      <c r="C535" s="45" t="s">
        <v>122</v>
      </c>
      <c r="D535" s="44">
        <v>1</v>
      </c>
      <c r="E535" s="43">
        <v>1.3328002132480341E-4</v>
      </c>
    </row>
    <row r="536" spans="2:5" ht="15" customHeight="1" x14ac:dyDescent="0.25">
      <c r="B536" s="83"/>
      <c r="C536" s="45" t="s">
        <v>129</v>
      </c>
      <c r="D536" s="44">
        <v>25</v>
      </c>
      <c r="E536" s="43">
        <v>3.3320005331200853E-3</v>
      </c>
    </row>
    <row r="537" spans="2:5" ht="15" customHeight="1" x14ac:dyDescent="0.25">
      <c r="B537" s="83"/>
      <c r="C537" s="45" t="s">
        <v>127</v>
      </c>
      <c r="D537" s="44">
        <v>40</v>
      </c>
      <c r="E537" s="43">
        <v>5.3312008529921365E-3</v>
      </c>
    </row>
    <row r="538" spans="2:5" ht="15" customHeight="1" x14ac:dyDescent="0.25">
      <c r="B538" s="83"/>
      <c r="C538" s="45" t="s">
        <v>126</v>
      </c>
      <c r="D538" s="44">
        <v>11</v>
      </c>
      <c r="E538" s="43">
        <v>1.4660802345728375E-3</v>
      </c>
    </row>
    <row r="539" spans="2:5" ht="15" customHeight="1" x14ac:dyDescent="0.25">
      <c r="B539" s="83"/>
      <c r="C539" s="45" t="s">
        <v>120</v>
      </c>
      <c r="D539" s="44">
        <v>10</v>
      </c>
      <c r="E539" s="43">
        <v>1.3328002132480341E-3</v>
      </c>
    </row>
    <row r="540" spans="2:5" ht="15" customHeight="1" x14ac:dyDescent="0.25">
      <c r="B540" s="83"/>
      <c r="C540" s="45" t="s">
        <v>116</v>
      </c>
      <c r="D540" s="44">
        <v>8</v>
      </c>
      <c r="E540" s="43">
        <v>1.0662401705984273E-3</v>
      </c>
    </row>
    <row r="541" spans="2:5" ht="15" customHeight="1" x14ac:dyDescent="0.25">
      <c r="B541" s="83"/>
      <c r="C541" s="45" t="s">
        <v>123</v>
      </c>
      <c r="D541" s="44">
        <v>3</v>
      </c>
      <c r="E541" s="43">
        <v>3.9984006397441024E-4</v>
      </c>
    </row>
    <row r="542" spans="2:5" ht="15" customHeight="1" x14ac:dyDescent="0.25">
      <c r="B542" s="83"/>
      <c r="C542" s="45" t="s">
        <v>118</v>
      </c>
      <c r="D542" s="44">
        <v>12</v>
      </c>
      <c r="E542" s="43">
        <v>1.5993602558976409E-3</v>
      </c>
    </row>
    <row r="543" spans="2:5" ht="15" customHeight="1" x14ac:dyDescent="0.25">
      <c r="B543" s="83"/>
      <c r="C543" s="45" t="s">
        <v>125</v>
      </c>
      <c r="D543" s="44">
        <v>12</v>
      </c>
      <c r="E543" s="43">
        <v>1.5993602558976409E-3</v>
      </c>
    </row>
    <row r="544" spans="2:5" ht="15" customHeight="1" x14ac:dyDescent="0.25">
      <c r="B544" s="84"/>
      <c r="C544" s="42" t="s">
        <v>20</v>
      </c>
      <c r="D544" s="41">
        <v>283</v>
      </c>
      <c r="E544" s="40">
        <v>3.7718246034919363E-2</v>
      </c>
    </row>
    <row r="545" spans="2:5" ht="15" customHeight="1" x14ac:dyDescent="0.25">
      <c r="B545" s="82" t="s">
        <v>100</v>
      </c>
      <c r="C545" s="45" t="s">
        <v>128</v>
      </c>
      <c r="D545" s="44">
        <v>18</v>
      </c>
      <c r="E545" s="43">
        <v>2.3990403838464614E-3</v>
      </c>
    </row>
    <row r="546" spans="2:5" ht="15" customHeight="1" x14ac:dyDescent="0.25">
      <c r="B546" s="83"/>
      <c r="C546" s="45" t="s">
        <v>115</v>
      </c>
      <c r="D546" s="44">
        <v>7</v>
      </c>
      <c r="E546" s="43">
        <v>9.3296014927362388E-4</v>
      </c>
    </row>
    <row r="547" spans="2:5" ht="15" customHeight="1" x14ac:dyDescent="0.25">
      <c r="B547" s="83"/>
      <c r="C547" s="45" t="s">
        <v>124</v>
      </c>
      <c r="D547" s="44">
        <v>7</v>
      </c>
      <c r="E547" s="43">
        <v>9.3296014927362388E-4</v>
      </c>
    </row>
    <row r="548" spans="2:5" ht="15" customHeight="1" x14ac:dyDescent="0.25">
      <c r="B548" s="83"/>
      <c r="C548" s="45" t="s">
        <v>114</v>
      </c>
      <c r="D548" s="44">
        <v>4</v>
      </c>
      <c r="E548" s="43">
        <v>5.3312008529921365E-4</v>
      </c>
    </row>
    <row r="549" spans="2:5" ht="15" customHeight="1" x14ac:dyDescent="0.25">
      <c r="B549" s="83"/>
      <c r="C549" s="45" t="s">
        <v>113</v>
      </c>
      <c r="D549" s="44">
        <v>5</v>
      </c>
      <c r="E549" s="43">
        <v>6.6640010662401706E-4</v>
      </c>
    </row>
    <row r="550" spans="2:5" ht="15" customHeight="1" x14ac:dyDescent="0.25">
      <c r="B550" s="83"/>
      <c r="C550" s="45" t="s">
        <v>121</v>
      </c>
      <c r="D550" s="44">
        <v>3</v>
      </c>
      <c r="E550" s="43">
        <v>3.9984006397441024E-4</v>
      </c>
    </row>
    <row r="551" spans="2:5" ht="15" customHeight="1" x14ac:dyDescent="0.25">
      <c r="B551" s="83"/>
      <c r="C551" s="45" t="s">
        <v>130</v>
      </c>
      <c r="D551" s="44">
        <v>102</v>
      </c>
      <c r="E551" s="43">
        <v>1.3594562175129948E-2</v>
      </c>
    </row>
    <row r="552" spans="2:5" ht="15" customHeight="1" x14ac:dyDescent="0.25">
      <c r="B552" s="83"/>
      <c r="C552" s="45" t="s">
        <v>119</v>
      </c>
      <c r="D552" s="44">
        <v>1</v>
      </c>
      <c r="E552" s="43">
        <v>1.3328002132480341E-4</v>
      </c>
    </row>
    <row r="553" spans="2:5" ht="15" customHeight="1" x14ac:dyDescent="0.25">
      <c r="B553" s="83"/>
      <c r="C553" s="45" t="s">
        <v>117</v>
      </c>
      <c r="D553" s="44">
        <v>15</v>
      </c>
      <c r="E553" s="43">
        <v>1.9992003198720512E-3</v>
      </c>
    </row>
    <row r="554" spans="2:5" ht="15" customHeight="1" x14ac:dyDescent="0.25">
      <c r="B554" s="83"/>
      <c r="C554" s="45" t="s">
        <v>122</v>
      </c>
      <c r="D554" s="44">
        <v>8</v>
      </c>
      <c r="E554" s="43">
        <v>1.0662401705984273E-3</v>
      </c>
    </row>
    <row r="555" spans="2:5" ht="15" customHeight="1" x14ac:dyDescent="0.25">
      <c r="B555" s="83"/>
      <c r="C555" s="45" t="s">
        <v>129</v>
      </c>
      <c r="D555" s="44">
        <v>19</v>
      </c>
      <c r="E555" s="43">
        <v>2.5323204051712648E-3</v>
      </c>
    </row>
    <row r="556" spans="2:5" ht="15" customHeight="1" x14ac:dyDescent="0.25">
      <c r="B556" s="83"/>
      <c r="C556" s="45" t="s">
        <v>127</v>
      </c>
      <c r="D556" s="44">
        <v>29</v>
      </c>
      <c r="E556" s="43">
        <v>3.8651206184192989E-3</v>
      </c>
    </row>
    <row r="557" spans="2:5" ht="15" customHeight="1" x14ac:dyDescent="0.25">
      <c r="B557" s="83"/>
      <c r="C557" s="45" t="s">
        <v>126</v>
      </c>
      <c r="D557" s="44">
        <v>11</v>
      </c>
      <c r="E557" s="43">
        <v>1.4660802345728375E-3</v>
      </c>
    </row>
    <row r="558" spans="2:5" ht="15" customHeight="1" x14ac:dyDescent="0.25">
      <c r="B558" s="83"/>
      <c r="C558" s="45" t="s">
        <v>120</v>
      </c>
      <c r="D558" s="44">
        <v>10</v>
      </c>
      <c r="E558" s="43">
        <v>1.3328002132480341E-3</v>
      </c>
    </row>
    <row r="559" spans="2:5" ht="15" customHeight="1" x14ac:dyDescent="0.25">
      <c r="B559" s="83"/>
      <c r="C559" s="45" t="s">
        <v>116</v>
      </c>
      <c r="D559" s="44">
        <v>5</v>
      </c>
      <c r="E559" s="43">
        <v>6.6640010662401706E-4</v>
      </c>
    </row>
    <row r="560" spans="2:5" ht="15" customHeight="1" x14ac:dyDescent="0.25">
      <c r="B560" s="83"/>
      <c r="C560" s="45" t="s">
        <v>123</v>
      </c>
      <c r="D560" s="44">
        <v>11</v>
      </c>
      <c r="E560" s="43">
        <v>1.4660802345728375E-3</v>
      </c>
    </row>
    <row r="561" spans="2:5" ht="15" customHeight="1" x14ac:dyDescent="0.25">
      <c r="B561" s="83"/>
      <c r="C561" s="45" t="s">
        <v>118</v>
      </c>
      <c r="D561" s="44">
        <v>51</v>
      </c>
      <c r="E561" s="43">
        <v>6.797281087564974E-3</v>
      </c>
    </row>
    <row r="562" spans="2:5" ht="15" customHeight="1" x14ac:dyDescent="0.25">
      <c r="B562" s="83"/>
      <c r="C562" s="45" t="s">
        <v>125</v>
      </c>
      <c r="D562" s="44">
        <v>17</v>
      </c>
      <c r="E562" s="43">
        <v>2.265760362521658E-3</v>
      </c>
    </row>
    <row r="563" spans="2:5" ht="15" customHeight="1" x14ac:dyDescent="0.25">
      <c r="B563" s="84"/>
      <c r="C563" s="42" t="s">
        <v>20</v>
      </c>
      <c r="D563" s="41">
        <v>323</v>
      </c>
      <c r="E563" s="40">
        <v>4.3049446887911499E-2</v>
      </c>
    </row>
    <row r="564" spans="2:5" ht="15" customHeight="1" x14ac:dyDescent="0.25">
      <c r="B564" s="82" t="s">
        <v>101</v>
      </c>
      <c r="C564" s="45" t="s">
        <v>128</v>
      </c>
      <c r="D564" s="44">
        <v>47</v>
      </c>
      <c r="E564" s="43">
        <v>6.2641610022657604E-3</v>
      </c>
    </row>
    <row r="565" spans="2:5" ht="15" customHeight="1" x14ac:dyDescent="0.25">
      <c r="B565" s="83"/>
      <c r="C565" s="45" t="s">
        <v>115</v>
      </c>
      <c r="D565" s="44">
        <v>6</v>
      </c>
      <c r="E565" s="43">
        <v>7.9968012794882047E-4</v>
      </c>
    </row>
    <row r="566" spans="2:5" ht="15" customHeight="1" x14ac:dyDescent="0.25">
      <c r="B566" s="83"/>
      <c r="C566" s="45" t="s">
        <v>124</v>
      </c>
      <c r="D566" s="44">
        <v>4</v>
      </c>
      <c r="E566" s="43">
        <v>5.3312008529921365E-4</v>
      </c>
    </row>
    <row r="567" spans="2:5" ht="15" customHeight="1" x14ac:dyDescent="0.25">
      <c r="B567" s="83"/>
      <c r="C567" s="45" t="s">
        <v>114</v>
      </c>
      <c r="D567" s="44">
        <v>1</v>
      </c>
      <c r="E567" s="43">
        <v>1.3328002132480341E-4</v>
      </c>
    </row>
    <row r="568" spans="2:5" ht="15" customHeight="1" x14ac:dyDescent="0.25">
      <c r="B568" s="83"/>
      <c r="C568" s="45" t="s">
        <v>113</v>
      </c>
      <c r="D568" s="44">
        <v>5</v>
      </c>
      <c r="E568" s="43">
        <v>6.6640010662401706E-4</v>
      </c>
    </row>
    <row r="569" spans="2:5" ht="15" customHeight="1" x14ac:dyDescent="0.25">
      <c r="B569" s="83"/>
      <c r="C569" s="45" t="s">
        <v>121</v>
      </c>
      <c r="D569" s="44">
        <v>9</v>
      </c>
      <c r="E569" s="43">
        <v>1.1995201919232307E-3</v>
      </c>
    </row>
    <row r="570" spans="2:5" ht="15" customHeight="1" x14ac:dyDescent="0.25">
      <c r="B570" s="83"/>
      <c r="C570" s="45" t="s">
        <v>130</v>
      </c>
      <c r="D570" s="44">
        <v>86</v>
      </c>
      <c r="E570" s="43">
        <v>1.1462081833933093E-2</v>
      </c>
    </row>
    <row r="571" spans="2:5" ht="15" customHeight="1" x14ac:dyDescent="0.25">
      <c r="B571" s="83"/>
      <c r="C571" s="45" t="s">
        <v>119</v>
      </c>
      <c r="D571" s="44">
        <v>11</v>
      </c>
      <c r="E571" s="43">
        <v>1.4660802345728375E-3</v>
      </c>
    </row>
    <row r="572" spans="2:5" ht="15" customHeight="1" x14ac:dyDescent="0.25">
      <c r="B572" s="83"/>
      <c r="C572" s="45" t="s">
        <v>117</v>
      </c>
      <c r="D572" s="44">
        <v>9</v>
      </c>
      <c r="E572" s="43">
        <v>1.1995201919232307E-3</v>
      </c>
    </row>
    <row r="573" spans="2:5" ht="15" customHeight="1" x14ac:dyDescent="0.25">
      <c r="B573" s="83"/>
      <c r="C573" s="45" t="s">
        <v>122</v>
      </c>
      <c r="D573" s="44">
        <v>4</v>
      </c>
      <c r="E573" s="43">
        <v>5.3312008529921365E-4</v>
      </c>
    </row>
    <row r="574" spans="2:5" ht="15" customHeight="1" x14ac:dyDescent="0.25">
      <c r="B574" s="83"/>
      <c r="C574" s="45" t="s">
        <v>129</v>
      </c>
      <c r="D574" s="44">
        <v>33</v>
      </c>
      <c r="E574" s="43">
        <v>4.3982407037185126E-3</v>
      </c>
    </row>
    <row r="575" spans="2:5" ht="15" customHeight="1" x14ac:dyDescent="0.25">
      <c r="B575" s="83"/>
      <c r="C575" s="45" t="s">
        <v>127</v>
      </c>
      <c r="D575" s="44">
        <v>35</v>
      </c>
      <c r="E575" s="43">
        <v>4.6648007463681194E-3</v>
      </c>
    </row>
    <row r="576" spans="2:5" ht="15" customHeight="1" x14ac:dyDescent="0.25">
      <c r="B576" s="83"/>
      <c r="C576" s="45" t="s">
        <v>126</v>
      </c>
      <c r="D576" s="44">
        <v>4</v>
      </c>
      <c r="E576" s="43">
        <v>5.3312008529921365E-4</v>
      </c>
    </row>
    <row r="577" spans="2:5" ht="15" customHeight="1" x14ac:dyDescent="0.25">
      <c r="B577" s="83"/>
      <c r="C577" s="45" t="s">
        <v>120</v>
      </c>
      <c r="D577" s="44">
        <v>7</v>
      </c>
      <c r="E577" s="43">
        <v>9.3296014927362388E-4</v>
      </c>
    </row>
    <row r="578" spans="2:5" ht="15" customHeight="1" x14ac:dyDescent="0.25">
      <c r="B578" s="83"/>
      <c r="C578" s="45" t="s">
        <v>116</v>
      </c>
      <c r="D578" s="44">
        <v>4</v>
      </c>
      <c r="E578" s="43">
        <v>5.3312008529921365E-4</v>
      </c>
    </row>
    <row r="579" spans="2:5" ht="15" customHeight="1" x14ac:dyDescent="0.25">
      <c r="B579" s="83"/>
      <c r="C579" s="45" t="s">
        <v>123</v>
      </c>
      <c r="D579" s="44">
        <v>5</v>
      </c>
      <c r="E579" s="43">
        <v>6.6640010662401706E-4</v>
      </c>
    </row>
    <row r="580" spans="2:5" ht="15" customHeight="1" x14ac:dyDescent="0.25">
      <c r="B580" s="83"/>
      <c r="C580" s="45" t="s">
        <v>118</v>
      </c>
      <c r="D580" s="44">
        <v>3</v>
      </c>
      <c r="E580" s="43">
        <v>3.9984006397441024E-4</v>
      </c>
    </row>
    <row r="581" spans="2:5" ht="15" customHeight="1" x14ac:dyDescent="0.25">
      <c r="B581" s="83"/>
      <c r="C581" s="45" t="s">
        <v>125</v>
      </c>
      <c r="D581" s="44">
        <v>6</v>
      </c>
      <c r="E581" s="43">
        <v>7.9968012794882047E-4</v>
      </c>
    </row>
    <row r="582" spans="2:5" ht="15" customHeight="1" x14ac:dyDescent="0.25">
      <c r="B582" s="84"/>
      <c r="C582" s="42" t="s">
        <v>20</v>
      </c>
      <c r="D582" s="41">
        <v>279</v>
      </c>
      <c r="E582" s="40">
        <v>3.7185125949620153E-2</v>
      </c>
    </row>
    <row r="583" spans="2:5" ht="15" customHeight="1" x14ac:dyDescent="0.25">
      <c r="B583" s="82" t="s">
        <v>102</v>
      </c>
      <c r="C583" s="45" t="s">
        <v>128</v>
      </c>
      <c r="D583" s="44">
        <v>13</v>
      </c>
      <c r="E583" s="43">
        <v>1.7326402772224444E-3</v>
      </c>
    </row>
    <row r="584" spans="2:5" ht="15" customHeight="1" x14ac:dyDescent="0.25">
      <c r="B584" s="83"/>
      <c r="C584" s="45" t="s">
        <v>115</v>
      </c>
      <c r="D584" s="44">
        <v>4</v>
      </c>
      <c r="E584" s="43">
        <v>5.3312008529921365E-4</v>
      </c>
    </row>
    <row r="585" spans="2:5" ht="15" customHeight="1" x14ac:dyDescent="0.25">
      <c r="B585" s="83"/>
      <c r="C585" s="45" t="s">
        <v>124</v>
      </c>
      <c r="D585" s="44">
        <v>3</v>
      </c>
      <c r="E585" s="43">
        <v>3.9984006397441024E-4</v>
      </c>
    </row>
    <row r="586" spans="2:5" ht="15" customHeight="1" x14ac:dyDescent="0.25">
      <c r="B586" s="83"/>
      <c r="C586" s="45" t="s">
        <v>114</v>
      </c>
      <c r="D586" s="44">
        <v>1</v>
      </c>
      <c r="E586" s="43">
        <v>1.3328002132480341E-4</v>
      </c>
    </row>
    <row r="587" spans="2:5" ht="15" customHeight="1" x14ac:dyDescent="0.25">
      <c r="B587" s="83"/>
      <c r="C587" s="45" t="s">
        <v>113</v>
      </c>
      <c r="D587" s="44">
        <v>1</v>
      </c>
      <c r="E587" s="43">
        <v>1.3328002132480341E-4</v>
      </c>
    </row>
    <row r="588" spans="2:5" ht="15" customHeight="1" x14ac:dyDescent="0.25">
      <c r="B588" s="83"/>
      <c r="C588" s="45" t="s">
        <v>121</v>
      </c>
      <c r="D588" s="44">
        <v>3</v>
      </c>
      <c r="E588" s="43">
        <v>3.9984006397441024E-4</v>
      </c>
    </row>
    <row r="589" spans="2:5" ht="15" customHeight="1" x14ac:dyDescent="0.25">
      <c r="B589" s="83"/>
      <c r="C589" s="45" t="s">
        <v>130</v>
      </c>
      <c r="D589" s="44">
        <v>65</v>
      </c>
      <c r="E589" s="43">
        <v>8.6632013861122226E-3</v>
      </c>
    </row>
    <row r="590" spans="2:5" ht="15" customHeight="1" x14ac:dyDescent="0.25">
      <c r="B590" s="83"/>
      <c r="C590" s="45" t="s">
        <v>119</v>
      </c>
      <c r="D590" s="44">
        <v>5</v>
      </c>
      <c r="E590" s="43">
        <v>6.6640010662401706E-4</v>
      </c>
    </row>
    <row r="591" spans="2:5" ht="15" customHeight="1" x14ac:dyDescent="0.25">
      <c r="B591" s="83"/>
      <c r="C591" s="45" t="s">
        <v>117</v>
      </c>
      <c r="D591" s="44">
        <v>6</v>
      </c>
      <c r="E591" s="43">
        <v>7.9968012794882047E-4</v>
      </c>
    </row>
    <row r="592" spans="2:5" ht="15" customHeight="1" x14ac:dyDescent="0.25">
      <c r="B592" s="83"/>
      <c r="C592" s="45" t="s">
        <v>122</v>
      </c>
      <c r="D592" s="44">
        <v>5</v>
      </c>
      <c r="E592" s="43">
        <v>6.6640010662401706E-4</v>
      </c>
    </row>
    <row r="593" spans="2:5" ht="15" customHeight="1" x14ac:dyDescent="0.25">
      <c r="B593" s="83"/>
      <c r="C593" s="45" t="s">
        <v>129</v>
      </c>
      <c r="D593" s="44">
        <v>14</v>
      </c>
      <c r="E593" s="43">
        <v>1.8659202985472478E-3</v>
      </c>
    </row>
    <row r="594" spans="2:5" ht="15" customHeight="1" x14ac:dyDescent="0.25">
      <c r="B594" s="83"/>
      <c r="C594" s="45" t="s">
        <v>127</v>
      </c>
      <c r="D594" s="44">
        <v>27</v>
      </c>
      <c r="E594" s="43">
        <v>3.5985605757696921E-3</v>
      </c>
    </row>
    <row r="595" spans="2:5" ht="15" customHeight="1" x14ac:dyDescent="0.25">
      <c r="B595" s="83"/>
      <c r="C595" s="45" t="s">
        <v>126</v>
      </c>
      <c r="D595" s="44">
        <v>7</v>
      </c>
      <c r="E595" s="43">
        <v>9.3296014927362388E-4</v>
      </c>
    </row>
    <row r="596" spans="2:5" ht="15" customHeight="1" x14ac:dyDescent="0.25">
      <c r="B596" s="83"/>
      <c r="C596" s="45" t="s">
        <v>120</v>
      </c>
      <c r="D596" s="44">
        <v>4</v>
      </c>
      <c r="E596" s="43">
        <v>5.3312008529921365E-4</v>
      </c>
    </row>
    <row r="597" spans="2:5" ht="15" customHeight="1" x14ac:dyDescent="0.25">
      <c r="B597" s="83"/>
      <c r="C597" s="45" t="s">
        <v>116</v>
      </c>
      <c r="D597" s="44">
        <v>10</v>
      </c>
      <c r="E597" s="43">
        <v>1.3328002132480341E-3</v>
      </c>
    </row>
    <row r="598" spans="2:5" ht="15" customHeight="1" x14ac:dyDescent="0.25">
      <c r="B598" s="83"/>
      <c r="C598" s="45" t="s">
        <v>123</v>
      </c>
      <c r="D598" s="44">
        <v>4</v>
      </c>
      <c r="E598" s="43">
        <v>5.3312008529921365E-4</v>
      </c>
    </row>
    <row r="599" spans="2:5" ht="15" customHeight="1" x14ac:dyDescent="0.25">
      <c r="B599" s="83"/>
      <c r="C599" s="45" t="s">
        <v>118</v>
      </c>
      <c r="D599" s="44">
        <v>1</v>
      </c>
      <c r="E599" s="43">
        <v>1.3328002132480341E-4</v>
      </c>
    </row>
    <row r="600" spans="2:5" ht="15" customHeight="1" x14ac:dyDescent="0.25">
      <c r="B600" s="83"/>
      <c r="C600" s="45" t="s">
        <v>125</v>
      </c>
      <c r="D600" s="44">
        <v>5</v>
      </c>
      <c r="E600" s="43">
        <v>6.6640010662401706E-4</v>
      </c>
    </row>
    <row r="601" spans="2:5" ht="15" customHeight="1" x14ac:dyDescent="0.25">
      <c r="B601" s="84"/>
      <c r="C601" s="42" t="s">
        <v>20</v>
      </c>
      <c r="D601" s="41">
        <v>178</v>
      </c>
      <c r="E601" s="40">
        <v>2.3723843795815009E-2</v>
      </c>
    </row>
    <row r="602" spans="2:5" ht="15" customHeight="1" x14ac:dyDescent="0.25">
      <c r="B602" s="82" t="s">
        <v>80</v>
      </c>
      <c r="C602" s="45" t="s">
        <v>128</v>
      </c>
      <c r="D602" s="44">
        <v>6</v>
      </c>
      <c r="E602" s="43">
        <v>7.9968012794882047E-4</v>
      </c>
    </row>
    <row r="603" spans="2:5" ht="15" customHeight="1" x14ac:dyDescent="0.25">
      <c r="B603" s="83"/>
      <c r="C603" s="45" t="s">
        <v>115</v>
      </c>
      <c r="D603" s="44">
        <v>1</v>
      </c>
      <c r="E603" s="43">
        <v>1.3328002132480341E-4</v>
      </c>
    </row>
    <row r="604" spans="2:5" ht="15" customHeight="1" x14ac:dyDescent="0.25">
      <c r="B604" s="83"/>
      <c r="C604" s="45" t="s">
        <v>124</v>
      </c>
      <c r="D604" s="44">
        <v>2</v>
      </c>
      <c r="E604" s="43">
        <v>2.6656004264960682E-4</v>
      </c>
    </row>
    <row r="605" spans="2:5" ht="15" customHeight="1" x14ac:dyDescent="0.25">
      <c r="B605" s="83"/>
      <c r="C605" s="45" t="s">
        <v>114</v>
      </c>
      <c r="D605" s="44">
        <v>1</v>
      </c>
      <c r="E605" s="43">
        <v>1.3328002132480341E-4</v>
      </c>
    </row>
    <row r="606" spans="2:5" ht="15" customHeight="1" x14ac:dyDescent="0.25">
      <c r="B606" s="83"/>
      <c r="C606" s="45" t="s">
        <v>130</v>
      </c>
      <c r="D606" s="44">
        <v>11</v>
      </c>
      <c r="E606" s="43">
        <v>1.4660802345728375E-3</v>
      </c>
    </row>
    <row r="607" spans="2:5" ht="15" customHeight="1" x14ac:dyDescent="0.25">
      <c r="B607" s="83"/>
      <c r="C607" s="45" t="s">
        <v>119</v>
      </c>
      <c r="D607" s="44">
        <v>3</v>
      </c>
      <c r="E607" s="43">
        <v>3.9984006397441024E-4</v>
      </c>
    </row>
    <row r="608" spans="2:5" ht="15" customHeight="1" x14ac:dyDescent="0.25">
      <c r="B608" s="83"/>
      <c r="C608" s="45" t="s">
        <v>122</v>
      </c>
      <c r="D608" s="44">
        <v>1</v>
      </c>
      <c r="E608" s="43">
        <v>1.3328002132480341E-4</v>
      </c>
    </row>
    <row r="609" spans="2:5" ht="15" customHeight="1" x14ac:dyDescent="0.25">
      <c r="B609" s="83"/>
      <c r="C609" s="45" t="s">
        <v>129</v>
      </c>
      <c r="D609" s="44">
        <v>17</v>
      </c>
      <c r="E609" s="43">
        <v>2.265760362521658E-3</v>
      </c>
    </row>
    <row r="610" spans="2:5" ht="15" customHeight="1" x14ac:dyDescent="0.25">
      <c r="B610" s="83"/>
      <c r="C610" s="45" t="s">
        <v>127</v>
      </c>
      <c r="D610" s="44">
        <v>8</v>
      </c>
      <c r="E610" s="43">
        <v>1.0662401705984273E-3</v>
      </c>
    </row>
    <row r="611" spans="2:5" ht="15" customHeight="1" x14ac:dyDescent="0.25">
      <c r="B611" s="83"/>
      <c r="C611" s="45" t="s">
        <v>126</v>
      </c>
      <c r="D611" s="44">
        <v>2</v>
      </c>
      <c r="E611" s="43">
        <v>2.6656004264960682E-4</v>
      </c>
    </row>
    <row r="612" spans="2:5" ht="15" customHeight="1" x14ac:dyDescent="0.25">
      <c r="B612" s="83"/>
      <c r="C612" s="45" t="s">
        <v>120</v>
      </c>
      <c r="D612" s="44">
        <v>3</v>
      </c>
      <c r="E612" s="43">
        <v>3.9984006397441024E-4</v>
      </c>
    </row>
    <row r="613" spans="2:5" ht="15" customHeight="1" x14ac:dyDescent="0.25">
      <c r="B613" s="83"/>
      <c r="C613" s="45" t="s">
        <v>116</v>
      </c>
      <c r="D613" s="44">
        <v>2</v>
      </c>
      <c r="E613" s="43">
        <v>2.6656004264960682E-4</v>
      </c>
    </row>
    <row r="614" spans="2:5" ht="15" customHeight="1" x14ac:dyDescent="0.25">
      <c r="B614" s="83"/>
      <c r="C614" s="45" t="s">
        <v>123</v>
      </c>
      <c r="D614" s="44">
        <v>3</v>
      </c>
      <c r="E614" s="43">
        <v>3.9984006397441024E-4</v>
      </c>
    </row>
    <row r="615" spans="2:5" ht="15" customHeight="1" x14ac:dyDescent="0.25">
      <c r="B615" s="83"/>
      <c r="C615" s="45" t="s">
        <v>118</v>
      </c>
      <c r="D615" s="44">
        <v>1</v>
      </c>
      <c r="E615" s="43">
        <v>1.3328002132480341E-4</v>
      </c>
    </row>
    <row r="616" spans="2:5" ht="15" customHeight="1" x14ac:dyDescent="0.25">
      <c r="B616" s="84"/>
      <c r="C616" s="42" t="s">
        <v>20</v>
      </c>
      <c r="D616" s="41">
        <v>61</v>
      </c>
      <c r="E616" s="40">
        <v>8.130081300813009E-3</v>
      </c>
    </row>
    <row r="617" spans="2:5" ht="15" customHeight="1" x14ac:dyDescent="0.25">
      <c r="B617" s="82" t="s">
        <v>71</v>
      </c>
      <c r="C617" s="45" t="s">
        <v>128</v>
      </c>
      <c r="D617" s="44">
        <v>27</v>
      </c>
      <c r="E617" s="43">
        <v>3.5985605757696921E-3</v>
      </c>
    </row>
    <row r="618" spans="2:5" ht="15" customHeight="1" x14ac:dyDescent="0.25">
      <c r="B618" s="83"/>
      <c r="C618" s="45" t="s">
        <v>115</v>
      </c>
      <c r="D618" s="44">
        <v>2</v>
      </c>
      <c r="E618" s="43">
        <v>2.6656004264960682E-4</v>
      </c>
    </row>
    <row r="619" spans="2:5" ht="15" customHeight="1" x14ac:dyDescent="0.25">
      <c r="B619" s="83"/>
      <c r="C619" s="45" t="s">
        <v>124</v>
      </c>
      <c r="D619" s="44">
        <v>2</v>
      </c>
      <c r="E619" s="43">
        <v>2.6656004264960682E-4</v>
      </c>
    </row>
    <row r="620" spans="2:5" ht="15" customHeight="1" x14ac:dyDescent="0.25">
      <c r="B620" s="83"/>
      <c r="C620" s="45" t="s">
        <v>114</v>
      </c>
      <c r="D620" s="44">
        <v>4</v>
      </c>
      <c r="E620" s="43">
        <v>5.3312008529921365E-4</v>
      </c>
    </row>
    <row r="621" spans="2:5" ht="15" customHeight="1" x14ac:dyDescent="0.25">
      <c r="B621" s="83"/>
      <c r="C621" s="45" t="s">
        <v>113</v>
      </c>
      <c r="D621" s="44">
        <v>1</v>
      </c>
      <c r="E621" s="43">
        <v>1.3328002132480341E-4</v>
      </c>
    </row>
    <row r="622" spans="2:5" ht="15" customHeight="1" x14ac:dyDescent="0.25">
      <c r="B622" s="83"/>
      <c r="C622" s="45" t="s">
        <v>130</v>
      </c>
      <c r="D622" s="44">
        <v>25</v>
      </c>
      <c r="E622" s="43">
        <v>3.3320005331200853E-3</v>
      </c>
    </row>
    <row r="623" spans="2:5" ht="15" customHeight="1" x14ac:dyDescent="0.25">
      <c r="B623" s="83"/>
      <c r="C623" s="45" t="s">
        <v>119</v>
      </c>
      <c r="D623" s="44">
        <v>12</v>
      </c>
      <c r="E623" s="43">
        <v>1.5993602558976409E-3</v>
      </c>
    </row>
    <row r="624" spans="2:5" ht="15" customHeight="1" x14ac:dyDescent="0.25">
      <c r="B624" s="83"/>
      <c r="C624" s="45" t="s">
        <v>117</v>
      </c>
      <c r="D624" s="44">
        <v>1</v>
      </c>
      <c r="E624" s="43">
        <v>1.3328002132480341E-4</v>
      </c>
    </row>
    <row r="625" spans="2:5" ht="15" customHeight="1" x14ac:dyDescent="0.25">
      <c r="B625" s="83"/>
      <c r="C625" s="45" t="s">
        <v>122</v>
      </c>
      <c r="D625" s="44">
        <v>1</v>
      </c>
      <c r="E625" s="43">
        <v>1.3328002132480341E-4</v>
      </c>
    </row>
    <row r="626" spans="2:5" ht="15" customHeight="1" x14ac:dyDescent="0.25">
      <c r="B626" s="83"/>
      <c r="C626" s="45" t="s">
        <v>129</v>
      </c>
      <c r="D626" s="44">
        <v>30</v>
      </c>
      <c r="E626" s="43">
        <v>3.9984006397441024E-3</v>
      </c>
    </row>
    <row r="627" spans="2:5" ht="15" customHeight="1" x14ac:dyDescent="0.25">
      <c r="B627" s="83"/>
      <c r="C627" s="45" t="s">
        <v>127</v>
      </c>
      <c r="D627" s="44">
        <v>12</v>
      </c>
      <c r="E627" s="43">
        <v>1.5993602558976409E-3</v>
      </c>
    </row>
    <row r="628" spans="2:5" ht="15" customHeight="1" x14ac:dyDescent="0.25">
      <c r="B628" s="83"/>
      <c r="C628" s="45" t="s">
        <v>126</v>
      </c>
      <c r="D628" s="44">
        <v>2</v>
      </c>
      <c r="E628" s="43">
        <v>2.6656004264960682E-4</v>
      </c>
    </row>
    <row r="629" spans="2:5" ht="15" customHeight="1" x14ac:dyDescent="0.25">
      <c r="B629" s="83"/>
      <c r="C629" s="45" t="s">
        <v>120</v>
      </c>
      <c r="D629" s="44">
        <v>4</v>
      </c>
      <c r="E629" s="43">
        <v>5.3312008529921365E-4</v>
      </c>
    </row>
    <row r="630" spans="2:5" ht="15" customHeight="1" x14ac:dyDescent="0.25">
      <c r="B630" s="83"/>
      <c r="C630" s="45" t="s">
        <v>116</v>
      </c>
      <c r="D630" s="44">
        <v>3</v>
      </c>
      <c r="E630" s="43">
        <v>3.9984006397441024E-4</v>
      </c>
    </row>
    <row r="631" spans="2:5" ht="15" customHeight="1" x14ac:dyDescent="0.25">
      <c r="B631" s="83"/>
      <c r="C631" s="45" t="s">
        <v>123</v>
      </c>
      <c r="D631" s="44">
        <v>4</v>
      </c>
      <c r="E631" s="43">
        <v>5.3312008529921365E-4</v>
      </c>
    </row>
    <row r="632" spans="2:5" ht="15" customHeight="1" x14ac:dyDescent="0.25">
      <c r="B632" s="83"/>
      <c r="C632" s="45" t="s">
        <v>125</v>
      </c>
      <c r="D632" s="44">
        <v>10</v>
      </c>
      <c r="E632" s="43">
        <v>1.3328002132480341E-3</v>
      </c>
    </row>
    <row r="633" spans="2:5" ht="15" customHeight="1" x14ac:dyDescent="0.25">
      <c r="B633" s="84"/>
      <c r="C633" s="42" t="s">
        <v>20</v>
      </c>
      <c r="D633" s="41">
        <v>140</v>
      </c>
      <c r="E633" s="40">
        <v>1.8659202985472478E-2</v>
      </c>
    </row>
    <row r="634" spans="2:5" ht="15" customHeight="1" x14ac:dyDescent="0.25">
      <c r="B634" s="82" t="s">
        <v>54</v>
      </c>
      <c r="C634" s="45" t="s">
        <v>124</v>
      </c>
      <c r="D634" s="44">
        <v>1</v>
      </c>
      <c r="E634" s="43">
        <v>1.3328002132480341E-4</v>
      </c>
    </row>
    <row r="635" spans="2:5" ht="15" customHeight="1" x14ac:dyDescent="0.25">
      <c r="B635" s="83"/>
      <c r="C635" s="45" t="s">
        <v>130</v>
      </c>
      <c r="D635" s="44">
        <v>3</v>
      </c>
      <c r="E635" s="43">
        <v>3.9984006397441024E-4</v>
      </c>
    </row>
    <row r="636" spans="2:5" ht="15" customHeight="1" x14ac:dyDescent="0.25">
      <c r="B636" s="83"/>
      <c r="C636" s="45" t="s">
        <v>119</v>
      </c>
      <c r="D636" s="44">
        <v>1</v>
      </c>
      <c r="E636" s="43">
        <v>1.3328002132480341E-4</v>
      </c>
    </row>
    <row r="637" spans="2:5" ht="15" customHeight="1" x14ac:dyDescent="0.25">
      <c r="B637" s="83"/>
      <c r="C637" s="45" t="s">
        <v>122</v>
      </c>
      <c r="D637" s="44">
        <v>1</v>
      </c>
      <c r="E637" s="43">
        <v>1.3328002132480341E-4</v>
      </c>
    </row>
    <row r="638" spans="2:5" ht="15" customHeight="1" x14ac:dyDescent="0.25">
      <c r="B638" s="83"/>
      <c r="C638" s="45" t="s">
        <v>129</v>
      </c>
      <c r="D638" s="44">
        <v>8</v>
      </c>
      <c r="E638" s="43">
        <v>1.0662401705984273E-3</v>
      </c>
    </row>
    <row r="639" spans="2:5" ht="15" customHeight="1" x14ac:dyDescent="0.25">
      <c r="B639" s="83"/>
      <c r="C639" s="45" t="s">
        <v>127</v>
      </c>
      <c r="D639" s="44">
        <v>4</v>
      </c>
      <c r="E639" s="43">
        <v>5.3312008529921365E-4</v>
      </c>
    </row>
    <row r="640" spans="2:5" ht="15" customHeight="1" x14ac:dyDescent="0.25">
      <c r="B640" s="84"/>
      <c r="C640" s="42" t="s">
        <v>20</v>
      </c>
      <c r="D640" s="41">
        <v>18</v>
      </c>
      <c r="E640" s="40">
        <v>2.3990403838464614E-3</v>
      </c>
    </row>
    <row r="641" spans="2:5" ht="15" customHeight="1" x14ac:dyDescent="0.25">
      <c r="B641" s="82" t="s">
        <v>68</v>
      </c>
      <c r="C641" s="45" t="s">
        <v>128</v>
      </c>
      <c r="D641" s="44">
        <v>2</v>
      </c>
      <c r="E641" s="43">
        <v>2.6656004264960682E-4</v>
      </c>
    </row>
    <row r="642" spans="2:5" ht="15" customHeight="1" x14ac:dyDescent="0.25">
      <c r="B642" s="83"/>
      <c r="C642" s="45" t="s">
        <v>124</v>
      </c>
      <c r="D642" s="44">
        <v>1</v>
      </c>
      <c r="E642" s="43">
        <v>1.3328002132480341E-4</v>
      </c>
    </row>
    <row r="643" spans="2:5" ht="15" customHeight="1" x14ac:dyDescent="0.25">
      <c r="B643" s="83"/>
      <c r="C643" s="45" t="s">
        <v>113</v>
      </c>
      <c r="D643" s="44">
        <v>2</v>
      </c>
      <c r="E643" s="43">
        <v>2.6656004264960682E-4</v>
      </c>
    </row>
    <row r="644" spans="2:5" ht="15" customHeight="1" x14ac:dyDescent="0.25">
      <c r="B644" s="83"/>
      <c r="C644" s="45" t="s">
        <v>130</v>
      </c>
      <c r="D644" s="44">
        <v>3</v>
      </c>
      <c r="E644" s="43">
        <v>3.9984006397441024E-4</v>
      </c>
    </row>
    <row r="645" spans="2:5" ht="15" customHeight="1" x14ac:dyDescent="0.25">
      <c r="B645" s="83"/>
      <c r="C645" s="45" t="s">
        <v>119</v>
      </c>
      <c r="D645" s="44">
        <v>2</v>
      </c>
      <c r="E645" s="43">
        <v>2.6656004264960682E-4</v>
      </c>
    </row>
    <row r="646" spans="2:5" ht="15" customHeight="1" x14ac:dyDescent="0.25">
      <c r="B646" s="83"/>
      <c r="C646" s="45" t="s">
        <v>117</v>
      </c>
      <c r="D646" s="44">
        <v>1</v>
      </c>
      <c r="E646" s="43">
        <v>1.3328002132480341E-4</v>
      </c>
    </row>
    <row r="647" spans="2:5" ht="15" customHeight="1" x14ac:dyDescent="0.25">
      <c r="B647" s="83"/>
      <c r="C647" s="45" t="s">
        <v>122</v>
      </c>
      <c r="D647" s="44">
        <v>1</v>
      </c>
      <c r="E647" s="43">
        <v>1.3328002132480341E-4</v>
      </c>
    </row>
    <row r="648" spans="2:5" ht="15" customHeight="1" x14ac:dyDescent="0.25">
      <c r="B648" s="83"/>
      <c r="C648" s="45" t="s">
        <v>123</v>
      </c>
      <c r="D648" s="44">
        <v>1</v>
      </c>
      <c r="E648" s="43">
        <v>1.3328002132480341E-4</v>
      </c>
    </row>
    <row r="649" spans="2:5" ht="15" customHeight="1" x14ac:dyDescent="0.25">
      <c r="B649" s="83"/>
      <c r="C649" s="45" t="s">
        <v>125</v>
      </c>
      <c r="D649" s="44">
        <v>1</v>
      </c>
      <c r="E649" s="43">
        <v>1.3328002132480341E-4</v>
      </c>
    </row>
    <row r="650" spans="2:5" ht="15" customHeight="1" x14ac:dyDescent="0.25">
      <c r="B650" s="84"/>
      <c r="C650" s="42" t="s">
        <v>20</v>
      </c>
      <c r="D650" s="41">
        <v>14</v>
      </c>
      <c r="E650" s="40">
        <v>1.8659202985472478E-3</v>
      </c>
    </row>
    <row r="651" spans="2:5" ht="15" customHeight="1" x14ac:dyDescent="0.25">
      <c r="B651" s="80" t="s">
        <v>167</v>
      </c>
      <c r="C651" s="81"/>
      <c r="D651" s="39">
        <v>7503</v>
      </c>
      <c r="E651" s="38">
        <v>1</v>
      </c>
    </row>
    <row r="653" spans="2:5" ht="15" customHeight="1" x14ac:dyDescent="0.25">
      <c r="B653" s="19" t="s">
        <v>210</v>
      </c>
    </row>
    <row r="654" spans="2:5" ht="15" customHeight="1" x14ac:dyDescent="0.25">
      <c r="B654" s="21" t="s">
        <v>19</v>
      </c>
    </row>
    <row r="655" spans="2:5" ht="15" customHeight="1" x14ac:dyDescent="0.25">
      <c r="B655" s="20" t="s">
        <v>18</v>
      </c>
    </row>
    <row r="656" spans="2:5" ht="15" customHeight="1" x14ac:dyDescent="0.25">
      <c r="B656" s="19" t="s">
        <v>17</v>
      </c>
    </row>
    <row r="657" spans="2:2" ht="15" customHeight="1" x14ac:dyDescent="0.25">
      <c r="B657" s="19" t="s">
        <v>211</v>
      </c>
    </row>
  </sheetData>
  <mergeCells count="50">
    <mergeCell ref="B442:B460"/>
    <mergeCell ref="B461:B475"/>
    <mergeCell ref="B476:B494"/>
    <mergeCell ref="B495:B506"/>
    <mergeCell ref="B507:B525"/>
    <mergeCell ref="B369:B386"/>
    <mergeCell ref="B387:B405"/>
    <mergeCell ref="B406:B420"/>
    <mergeCell ref="B421:B423"/>
    <mergeCell ref="B424:B441"/>
    <mergeCell ref="B10:B22"/>
    <mergeCell ref="B23:B39"/>
    <mergeCell ref="B40:B47"/>
    <mergeCell ref="B48:B66"/>
    <mergeCell ref="B67:B73"/>
    <mergeCell ref="B7:E8"/>
    <mergeCell ref="B122:B137"/>
    <mergeCell ref="B138:B148"/>
    <mergeCell ref="B149:B151"/>
    <mergeCell ref="B152:B164"/>
    <mergeCell ref="B165:B171"/>
    <mergeCell ref="B172:B190"/>
    <mergeCell ref="B74:B77"/>
    <mergeCell ref="B78:B88"/>
    <mergeCell ref="B89:B106"/>
    <mergeCell ref="B107:B121"/>
    <mergeCell ref="B239:B256"/>
    <mergeCell ref="B257:B269"/>
    <mergeCell ref="B270:B288"/>
    <mergeCell ref="B289:B295"/>
    <mergeCell ref="B296:B305"/>
    <mergeCell ref="B306:B319"/>
    <mergeCell ref="B320:B326"/>
    <mergeCell ref="B191:B205"/>
    <mergeCell ref="B206:B217"/>
    <mergeCell ref="B218:B231"/>
    <mergeCell ref="B232:B238"/>
    <mergeCell ref="B327:B334"/>
    <mergeCell ref="B335:B340"/>
    <mergeCell ref="B341:B353"/>
    <mergeCell ref="B354:B368"/>
    <mergeCell ref="B526:B544"/>
    <mergeCell ref="B545:B563"/>
    <mergeCell ref="B564:B582"/>
    <mergeCell ref="B583:B601"/>
    <mergeCell ref="B602:B616"/>
    <mergeCell ref="B617:B633"/>
    <mergeCell ref="B634:B640"/>
    <mergeCell ref="B641:B650"/>
    <mergeCell ref="B651:C65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2"/>
  <sheetViews>
    <sheetView showGridLines="0" zoomScaleNormal="100" zoomScaleSheetLayoutView="115" workbookViewId="0">
      <selection activeCell="I21" sqref="I2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64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214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159</v>
      </c>
      <c r="C11" s="31" t="s">
        <v>158</v>
      </c>
      <c r="D11" s="30" t="s">
        <v>61</v>
      </c>
    </row>
    <row r="12" spans="1:5" x14ac:dyDescent="0.25">
      <c r="B12" s="27" t="s">
        <v>157</v>
      </c>
      <c r="C12" s="26">
        <v>92</v>
      </c>
      <c r="D12" s="25">
        <f t="shared" ref="D12:D36" si="0">C12/$C$36</f>
        <v>1.2261761961881914E-2</v>
      </c>
    </row>
    <row r="13" spans="1:5" x14ac:dyDescent="0.25">
      <c r="B13" s="27" t="s">
        <v>156</v>
      </c>
      <c r="C13" s="26">
        <v>42</v>
      </c>
      <c r="D13" s="25">
        <f t="shared" si="0"/>
        <v>5.5977608956417433E-3</v>
      </c>
    </row>
    <row r="14" spans="1:5" ht="15.75" x14ac:dyDescent="0.25">
      <c r="B14" s="27" t="s">
        <v>155</v>
      </c>
      <c r="C14" s="26">
        <v>41</v>
      </c>
      <c r="D14" s="25">
        <f t="shared" si="0"/>
        <v>5.4644808743169399E-3</v>
      </c>
      <c r="E14" s="28"/>
    </row>
    <row r="15" spans="1:5" ht="15.75" x14ac:dyDescent="0.25">
      <c r="B15" s="27" t="s">
        <v>154</v>
      </c>
      <c r="C15" s="26">
        <v>106</v>
      </c>
      <c r="D15" s="25">
        <f t="shared" si="0"/>
        <v>1.4127682260429162E-2</v>
      </c>
      <c r="E15" s="28"/>
    </row>
    <row r="16" spans="1:5" x14ac:dyDescent="0.25">
      <c r="B16" s="27" t="s">
        <v>153</v>
      </c>
      <c r="C16" s="26">
        <v>69</v>
      </c>
      <c r="D16" s="25">
        <f t="shared" si="0"/>
        <v>9.1963214714114363E-3</v>
      </c>
    </row>
    <row r="17" spans="2:4" x14ac:dyDescent="0.25">
      <c r="B17" s="27" t="s">
        <v>152</v>
      </c>
      <c r="C17" s="26">
        <v>113</v>
      </c>
      <c r="D17" s="25">
        <f t="shared" si="0"/>
        <v>1.5060642409702786E-2</v>
      </c>
    </row>
    <row r="18" spans="2:4" x14ac:dyDescent="0.25">
      <c r="B18" s="27" t="s">
        <v>151</v>
      </c>
      <c r="C18" s="26">
        <v>479</v>
      </c>
      <c r="D18" s="25">
        <f t="shared" si="0"/>
        <v>6.3841130214580835E-2</v>
      </c>
    </row>
    <row r="19" spans="2:4" ht="27" x14ac:dyDescent="0.25">
      <c r="B19" s="27" t="s">
        <v>150</v>
      </c>
      <c r="C19" s="26">
        <v>777</v>
      </c>
      <c r="D19" s="25">
        <f t="shared" si="0"/>
        <v>0.10355857656937226</v>
      </c>
    </row>
    <row r="20" spans="2:4" x14ac:dyDescent="0.25">
      <c r="B20" s="27" t="s">
        <v>149</v>
      </c>
      <c r="C20" s="26">
        <v>112</v>
      </c>
      <c r="D20" s="25">
        <f t="shared" si="0"/>
        <v>1.4927362388377982E-2</v>
      </c>
    </row>
    <row r="21" spans="2:4" x14ac:dyDescent="0.25">
      <c r="B21" s="27" t="s">
        <v>148</v>
      </c>
      <c r="C21" s="26">
        <v>211</v>
      </c>
      <c r="D21" s="25">
        <f t="shared" si="0"/>
        <v>2.8122084499533521E-2</v>
      </c>
    </row>
    <row r="22" spans="2:4" x14ac:dyDescent="0.25">
      <c r="B22" s="27" t="s">
        <v>147</v>
      </c>
      <c r="C22" s="26">
        <v>211</v>
      </c>
      <c r="D22" s="25">
        <f t="shared" si="0"/>
        <v>2.8122084499533521E-2</v>
      </c>
    </row>
    <row r="23" spans="2:4" ht="27" x14ac:dyDescent="0.25">
      <c r="B23" s="27" t="s">
        <v>146</v>
      </c>
      <c r="C23" s="26">
        <v>1865</v>
      </c>
      <c r="D23" s="25">
        <f t="shared" si="0"/>
        <v>0.24856723977075837</v>
      </c>
    </row>
    <row r="24" spans="2:4" x14ac:dyDescent="0.25">
      <c r="B24" s="27" t="s">
        <v>145</v>
      </c>
      <c r="C24" s="26">
        <v>147</v>
      </c>
      <c r="D24" s="25">
        <f t="shared" si="0"/>
        <v>1.9592163134746102E-2</v>
      </c>
    </row>
    <row r="25" spans="2:4" ht="27" x14ac:dyDescent="0.25">
      <c r="B25" s="27" t="s">
        <v>144</v>
      </c>
      <c r="C25" s="26">
        <v>661</v>
      </c>
      <c r="D25" s="25">
        <f t="shared" si="0"/>
        <v>8.8098094095695051E-2</v>
      </c>
    </row>
    <row r="26" spans="2:4" ht="27" x14ac:dyDescent="0.25">
      <c r="B26" s="27" t="s">
        <v>143</v>
      </c>
      <c r="C26" s="26">
        <v>1787</v>
      </c>
      <c r="D26" s="25">
        <f t="shared" si="0"/>
        <v>0.23817139810742369</v>
      </c>
    </row>
    <row r="27" spans="2:4" x14ac:dyDescent="0.25">
      <c r="B27" s="27" t="s">
        <v>142</v>
      </c>
      <c r="C27" s="26">
        <v>41</v>
      </c>
      <c r="D27" s="25">
        <f t="shared" si="0"/>
        <v>5.4644808743169399E-3</v>
      </c>
    </row>
    <row r="28" spans="2:4" x14ac:dyDescent="0.25">
      <c r="B28" s="27" t="s">
        <v>141</v>
      </c>
      <c r="C28" s="26">
        <v>47</v>
      </c>
      <c r="D28" s="25">
        <f t="shared" si="0"/>
        <v>6.2641610022657604E-3</v>
      </c>
    </row>
    <row r="29" spans="2:4" x14ac:dyDescent="0.25">
      <c r="B29" s="27" t="s">
        <v>140</v>
      </c>
      <c r="C29" s="26">
        <v>17</v>
      </c>
      <c r="D29" s="25">
        <f t="shared" si="0"/>
        <v>2.265760362521658E-3</v>
      </c>
    </row>
    <row r="30" spans="2:4" x14ac:dyDescent="0.25">
      <c r="B30" s="27" t="s">
        <v>139</v>
      </c>
      <c r="C30" s="26">
        <v>13</v>
      </c>
      <c r="D30" s="25">
        <f t="shared" si="0"/>
        <v>1.7326402772224444E-3</v>
      </c>
    </row>
    <row r="31" spans="2:4" x14ac:dyDescent="0.25">
      <c r="B31" s="27" t="s">
        <v>138</v>
      </c>
      <c r="C31" s="26">
        <v>185</v>
      </c>
      <c r="D31" s="25">
        <f t="shared" si="0"/>
        <v>2.465680394508863E-2</v>
      </c>
    </row>
    <row r="32" spans="2:4" x14ac:dyDescent="0.25">
      <c r="B32" s="27" t="s">
        <v>137</v>
      </c>
      <c r="C32" s="26">
        <v>462</v>
      </c>
      <c r="D32" s="25">
        <f t="shared" si="0"/>
        <v>6.1575369852059178E-2</v>
      </c>
    </row>
    <row r="33" spans="1:4" x14ac:dyDescent="0.25">
      <c r="B33" s="27" t="s">
        <v>136</v>
      </c>
      <c r="C33" s="26">
        <v>10</v>
      </c>
      <c r="D33" s="25">
        <f t="shared" si="0"/>
        <v>1.3328002132480341E-3</v>
      </c>
    </row>
    <row r="34" spans="1:4" x14ac:dyDescent="0.25">
      <c r="B34" s="27" t="s">
        <v>135</v>
      </c>
      <c r="C34" s="26">
        <v>12</v>
      </c>
      <c r="D34" s="25">
        <f t="shared" si="0"/>
        <v>1.5993602558976409E-3</v>
      </c>
    </row>
    <row r="35" spans="1:4" x14ac:dyDescent="0.25">
      <c r="B35" s="27" t="s">
        <v>134</v>
      </c>
      <c r="C35" s="26">
        <v>3</v>
      </c>
      <c r="D35" s="25">
        <f t="shared" si="0"/>
        <v>3.9984006397441024E-4</v>
      </c>
    </row>
    <row r="36" spans="1:4" x14ac:dyDescent="0.25">
      <c r="B36" s="24" t="s">
        <v>20</v>
      </c>
      <c r="C36" s="23">
        <v>7503</v>
      </c>
      <c r="D36" s="22">
        <f t="shared" si="0"/>
        <v>1</v>
      </c>
    </row>
    <row r="38" spans="1:4" x14ac:dyDescent="0.25">
      <c r="A38" s="58" t="s">
        <v>210</v>
      </c>
    </row>
    <row r="39" spans="1:4" x14ac:dyDescent="0.25">
      <c r="A39" s="58" t="s">
        <v>19</v>
      </c>
    </row>
    <row r="40" spans="1:4" x14ac:dyDescent="0.25">
      <c r="A40" s="58" t="s">
        <v>18</v>
      </c>
    </row>
    <row r="41" spans="1:4" x14ac:dyDescent="0.25">
      <c r="A41" s="58" t="s">
        <v>17</v>
      </c>
    </row>
    <row r="42" spans="1:4" x14ac:dyDescent="0.25">
      <c r="A42" s="58" t="s">
        <v>211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74"/>
  <sheetViews>
    <sheetView zoomScale="93" zoomScaleNormal="93" zoomScaleSheetLayoutView="85" workbookViewId="0">
      <selection activeCell="B10" sqref="B10:E474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9" customFormat="1" ht="40.5" customHeight="1" x14ac:dyDescent="0.2">
      <c r="B9" s="47" t="s">
        <v>160</v>
      </c>
      <c r="C9" s="49" t="s">
        <v>133</v>
      </c>
      <c r="D9" s="48" t="s">
        <v>62</v>
      </c>
      <c r="E9" s="47" t="s">
        <v>61</v>
      </c>
    </row>
    <row r="10" spans="1:5" ht="15" customHeight="1" x14ac:dyDescent="0.25">
      <c r="B10" s="82" t="s">
        <v>157</v>
      </c>
      <c r="C10" s="45" t="s">
        <v>59</v>
      </c>
      <c r="D10" s="44">
        <v>3</v>
      </c>
      <c r="E10" s="43">
        <v>3.9984006397441024E-4</v>
      </c>
    </row>
    <row r="11" spans="1:5" ht="15" customHeight="1" x14ac:dyDescent="0.25">
      <c r="B11" s="83"/>
      <c r="C11" s="45" t="s">
        <v>60</v>
      </c>
      <c r="D11" s="44">
        <v>66</v>
      </c>
      <c r="E11" s="43">
        <v>8.7964814074370252E-3</v>
      </c>
    </row>
    <row r="12" spans="1:5" ht="15" customHeight="1" x14ac:dyDescent="0.25">
      <c r="B12" s="83"/>
      <c r="C12" s="45" t="s">
        <v>53</v>
      </c>
      <c r="D12" s="44">
        <v>1</v>
      </c>
      <c r="E12" s="43">
        <v>1.3328002132480341E-4</v>
      </c>
    </row>
    <row r="13" spans="1:5" ht="15" customHeight="1" x14ac:dyDescent="0.25">
      <c r="B13" s="83"/>
      <c r="C13" s="45" t="s">
        <v>23</v>
      </c>
      <c r="D13" s="44">
        <v>1</v>
      </c>
      <c r="E13" s="43">
        <v>1.3328002132480341E-4</v>
      </c>
    </row>
    <row r="14" spans="1:5" ht="15" customHeight="1" x14ac:dyDescent="0.25">
      <c r="B14" s="83"/>
      <c r="C14" s="45" t="s">
        <v>49</v>
      </c>
      <c r="D14" s="44">
        <v>1</v>
      </c>
      <c r="E14" s="43">
        <v>1.3328002132480341E-4</v>
      </c>
    </row>
    <row r="15" spans="1:5" ht="15" customHeight="1" x14ac:dyDescent="0.25">
      <c r="B15" s="83"/>
      <c r="C15" s="45" t="s">
        <v>50</v>
      </c>
      <c r="D15" s="44">
        <v>2</v>
      </c>
      <c r="E15" s="43">
        <v>2.6656004264960682E-4</v>
      </c>
    </row>
    <row r="16" spans="1:5" ht="15" customHeight="1" x14ac:dyDescent="0.25">
      <c r="B16" s="83"/>
      <c r="C16" s="45" t="s">
        <v>55</v>
      </c>
      <c r="D16" s="44">
        <v>3</v>
      </c>
      <c r="E16" s="43">
        <v>3.9984006397441024E-4</v>
      </c>
    </row>
    <row r="17" spans="2:5" ht="15" customHeight="1" x14ac:dyDescent="0.25">
      <c r="B17" s="83"/>
      <c r="C17" s="45" t="s">
        <v>43</v>
      </c>
      <c r="D17" s="44">
        <v>1</v>
      </c>
      <c r="E17" s="43">
        <v>1.3328002132480341E-4</v>
      </c>
    </row>
    <row r="18" spans="2:5" ht="15" customHeight="1" x14ac:dyDescent="0.25">
      <c r="B18" s="83"/>
      <c r="C18" s="45" t="s">
        <v>48</v>
      </c>
      <c r="D18" s="44">
        <v>4</v>
      </c>
      <c r="E18" s="43">
        <v>5.3312008529921365E-4</v>
      </c>
    </row>
    <row r="19" spans="2:5" ht="15" customHeight="1" x14ac:dyDescent="0.25">
      <c r="B19" s="83"/>
      <c r="C19" s="45" t="s">
        <v>58</v>
      </c>
      <c r="D19" s="44">
        <v>1</v>
      </c>
      <c r="E19" s="43">
        <v>1.3328002132480341E-4</v>
      </c>
    </row>
    <row r="20" spans="2:5" ht="15" customHeight="1" x14ac:dyDescent="0.25">
      <c r="B20" s="83"/>
      <c r="C20" s="45" t="s">
        <v>51</v>
      </c>
      <c r="D20" s="44">
        <v>3</v>
      </c>
      <c r="E20" s="43">
        <v>3.9984006397441024E-4</v>
      </c>
    </row>
    <row r="21" spans="2:5" ht="15" customHeight="1" x14ac:dyDescent="0.25">
      <c r="B21" s="83"/>
      <c r="C21" s="45" t="s">
        <v>39</v>
      </c>
      <c r="D21" s="44">
        <v>2</v>
      </c>
      <c r="E21" s="43">
        <v>2.6656004264960682E-4</v>
      </c>
    </row>
    <row r="22" spans="2:5" ht="15" customHeight="1" x14ac:dyDescent="0.25">
      <c r="B22" s="83"/>
      <c r="C22" s="45" t="s">
        <v>57</v>
      </c>
      <c r="D22" s="44">
        <v>2</v>
      </c>
      <c r="E22" s="43">
        <v>2.6656004264960682E-4</v>
      </c>
    </row>
    <row r="23" spans="2:5" ht="15" customHeight="1" x14ac:dyDescent="0.25">
      <c r="B23" s="83"/>
      <c r="C23" s="45" t="s">
        <v>56</v>
      </c>
      <c r="D23" s="44">
        <v>2</v>
      </c>
      <c r="E23" s="43">
        <v>2.6656004264960682E-4</v>
      </c>
    </row>
    <row r="24" spans="2:5" ht="15" customHeight="1" x14ac:dyDescent="0.25">
      <c r="B24" s="84"/>
      <c r="C24" s="42" t="s">
        <v>20</v>
      </c>
      <c r="D24" s="41">
        <v>92</v>
      </c>
      <c r="E24" s="40">
        <v>1.2261761961881914E-2</v>
      </c>
    </row>
    <row r="25" spans="2:5" ht="15" customHeight="1" x14ac:dyDescent="0.25">
      <c r="B25" s="82" t="s">
        <v>156</v>
      </c>
      <c r="C25" s="45" t="s">
        <v>59</v>
      </c>
      <c r="D25" s="44">
        <v>1</v>
      </c>
      <c r="E25" s="43">
        <v>1.3328002132480341E-4</v>
      </c>
    </row>
    <row r="26" spans="2:5" ht="15" customHeight="1" x14ac:dyDescent="0.25">
      <c r="B26" s="83"/>
      <c r="C26" s="45" t="s">
        <v>60</v>
      </c>
      <c r="D26" s="44">
        <v>35</v>
      </c>
      <c r="E26" s="43">
        <v>4.6648007463681194E-3</v>
      </c>
    </row>
    <row r="27" spans="2:5" ht="15" customHeight="1" x14ac:dyDescent="0.25">
      <c r="B27" s="83"/>
      <c r="C27" s="45" t="s">
        <v>50</v>
      </c>
      <c r="D27" s="44">
        <v>1</v>
      </c>
      <c r="E27" s="43">
        <v>1.3328002132480341E-4</v>
      </c>
    </row>
    <row r="28" spans="2:5" ht="15" customHeight="1" x14ac:dyDescent="0.25">
      <c r="B28" s="83"/>
      <c r="C28" s="45" t="s">
        <v>42</v>
      </c>
      <c r="D28" s="44">
        <v>1</v>
      </c>
      <c r="E28" s="43">
        <v>1.3328002132480341E-4</v>
      </c>
    </row>
    <row r="29" spans="2:5" ht="15" customHeight="1" x14ac:dyDescent="0.25">
      <c r="B29" s="83"/>
      <c r="C29" s="45" t="s">
        <v>43</v>
      </c>
      <c r="D29" s="44">
        <v>1</v>
      </c>
      <c r="E29" s="43">
        <v>1.3328002132480341E-4</v>
      </c>
    </row>
    <row r="30" spans="2:5" ht="15" customHeight="1" x14ac:dyDescent="0.25">
      <c r="B30" s="83"/>
      <c r="C30" s="45" t="s">
        <v>58</v>
      </c>
      <c r="D30" s="44">
        <v>2</v>
      </c>
      <c r="E30" s="43">
        <v>2.6656004264960682E-4</v>
      </c>
    </row>
    <row r="31" spans="2:5" ht="15" customHeight="1" x14ac:dyDescent="0.25">
      <c r="B31" s="83"/>
      <c r="C31" s="45" t="s">
        <v>34</v>
      </c>
      <c r="D31" s="44">
        <v>1</v>
      </c>
      <c r="E31" s="43">
        <v>1.3328002132480341E-4</v>
      </c>
    </row>
    <row r="32" spans="2:5" ht="15" customHeight="1" x14ac:dyDescent="0.25">
      <c r="B32" s="84"/>
      <c r="C32" s="42" t="s">
        <v>20</v>
      </c>
      <c r="D32" s="41">
        <v>42</v>
      </c>
      <c r="E32" s="40">
        <v>5.5977608956417433E-3</v>
      </c>
    </row>
    <row r="33" spans="2:5" ht="15" customHeight="1" x14ac:dyDescent="0.25">
      <c r="B33" s="82" t="s">
        <v>155</v>
      </c>
      <c r="C33" s="45" t="s">
        <v>59</v>
      </c>
      <c r="D33" s="44">
        <v>4</v>
      </c>
      <c r="E33" s="43">
        <v>5.3312008529921365E-4</v>
      </c>
    </row>
    <row r="34" spans="2:5" ht="15" customHeight="1" x14ac:dyDescent="0.25">
      <c r="B34" s="83"/>
      <c r="C34" s="45" t="s">
        <v>60</v>
      </c>
      <c r="D34" s="44">
        <v>28</v>
      </c>
      <c r="E34" s="43">
        <v>3.7318405970944955E-3</v>
      </c>
    </row>
    <row r="35" spans="2:5" ht="15" customHeight="1" x14ac:dyDescent="0.25">
      <c r="B35" s="83"/>
      <c r="C35" s="45" t="s">
        <v>53</v>
      </c>
      <c r="D35" s="44">
        <v>1</v>
      </c>
      <c r="E35" s="43">
        <v>1.3328002132480341E-4</v>
      </c>
    </row>
    <row r="36" spans="2:5" ht="15" customHeight="1" x14ac:dyDescent="0.25">
      <c r="B36" s="83"/>
      <c r="C36" s="45" t="s">
        <v>50</v>
      </c>
      <c r="D36" s="44">
        <v>1</v>
      </c>
      <c r="E36" s="43">
        <v>1.3328002132480341E-4</v>
      </c>
    </row>
    <row r="37" spans="2:5" ht="15" customHeight="1" x14ac:dyDescent="0.25">
      <c r="B37" s="83"/>
      <c r="C37" s="45" t="s">
        <v>42</v>
      </c>
      <c r="D37" s="44">
        <v>3</v>
      </c>
      <c r="E37" s="43">
        <v>3.9984006397441024E-4</v>
      </c>
    </row>
    <row r="38" spans="2:5" ht="15" customHeight="1" x14ac:dyDescent="0.25">
      <c r="B38" s="83"/>
      <c r="C38" s="45" t="s">
        <v>43</v>
      </c>
      <c r="D38" s="44">
        <v>1</v>
      </c>
      <c r="E38" s="43">
        <v>1.3328002132480341E-4</v>
      </c>
    </row>
    <row r="39" spans="2:5" ht="15" customHeight="1" x14ac:dyDescent="0.25">
      <c r="B39" s="83"/>
      <c r="C39" s="45" t="s">
        <v>45</v>
      </c>
      <c r="D39" s="44">
        <v>1</v>
      </c>
      <c r="E39" s="43">
        <v>1.3328002132480341E-4</v>
      </c>
    </row>
    <row r="40" spans="2:5" ht="15" customHeight="1" x14ac:dyDescent="0.25">
      <c r="B40" s="83"/>
      <c r="C40" s="45" t="s">
        <v>52</v>
      </c>
      <c r="D40" s="44">
        <v>1</v>
      </c>
      <c r="E40" s="43">
        <v>1.3328002132480341E-4</v>
      </c>
    </row>
    <row r="41" spans="2:5" ht="15" customHeight="1" x14ac:dyDescent="0.25">
      <c r="B41" s="83"/>
      <c r="C41" s="45" t="s">
        <v>57</v>
      </c>
      <c r="D41" s="44">
        <v>1</v>
      </c>
      <c r="E41" s="43">
        <v>1.3328002132480341E-4</v>
      </c>
    </row>
    <row r="42" spans="2:5" ht="15" customHeight="1" x14ac:dyDescent="0.25">
      <c r="B42" s="84"/>
      <c r="C42" s="42" t="s">
        <v>20</v>
      </c>
      <c r="D42" s="41">
        <v>41</v>
      </c>
      <c r="E42" s="40">
        <v>5.4644808743169399E-3</v>
      </c>
    </row>
    <row r="43" spans="2:5" ht="15" customHeight="1" x14ac:dyDescent="0.25">
      <c r="B43" s="82" t="s">
        <v>154</v>
      </c>
      <c r="C43" s="45" t="s">
        <v>59</v>
      </c>
      <c r="D43" s="44">
        <v>12</v>
      </c>
      <c r="E43" s="43">
        <v>1.5993602558976409E-3</v>
      </c>
    </row>
    <row r="44" spans="2:5" ht="15" customHeight="1" x14ac:dyDescent="0.25">
      <c r="B44" s="83"/>
      <c r="C44" s="45" t="s">
        <v>60</v>
      </c>
      <c r="D44" s="44">
        <v>61</v>
      </c>
      <c r="E44" s="43">
        <v>8.130081300813009E-3</v>
      </c>
    </row>
    <row r="45" spans="2:5" ht="15" customHeight="1" x14ac:dyDescent="0.25">
      <c r="B45" s="83"/>
      <c r="C45" s="45" t="s">
        <v>53</v>
      </c>
      <c r="D45" s="44">
        <v>2</v>
      </c>
      <c r="E45" s="43">
        <v>2.6656004264960682E-4</v>
      </c>
    </row>
    <row r="46" spans="2:5" ht="15" customHeight="1" x14ac:dyDescent="0.25">
      <c r="B46" s="83"/>
      <c r="C46" s="45" t="s">
        <v>49</v>
      </c>
      <c r="D46" s="44">
        <v>3</v>
      </c>
      <c r="E46" s="43">
        <v>3.9984006397441024E-4</v>
      </c>
    </row>
    <row r="47" spans="2:5" ht="15" customHeight="1" x14ac:dyDescent="0.25">
      <c r="B47" s="83"/>
      <c r="C47" s="45" t="s">
        <v>46</v>
      </c>
      <c r="D47" s="44">
        <v>3</v>
      </c>
      <c r="E47" s="43">
        <v>3.9984006397441024E-4</v>
      </c>
    </row>
    <row r="48" spans="2:5" ht="15" customHeight="1" x14ac:dyDescent="0.25">
      <c r="B48" s="83"/>
      <c r="C48" s="45" t="s">
        <v>50</v>
      </c>
      <c r="D48" s="44">
        <v>2</v>
      </c>
      <c r="E48" s="43">
        <v>2.6656004264960682E-4</v>
      </c>
    </row>
    <row r="49" spans="2:5" ht="15" customHeight="1" x14ac:dyDescent="0.25">
      <c r="B49" s="83"/>
      <c r="C49" s="45" t="s">
        <v>55</v>
      </c>
      <c r="D49" s="44">
        <v>2</v>
      </c>
      <c r="E49" s="43">
        <v>2.6656004264960682E-4</v>
      </c>
    </row>
    <row r="50" spans="2:5" ht="15" customHeight="1" x14ac:dyDescent="0.25">
      <c r="B50" s="83"/>
      <c r="C50" s="45" t="s">
        <v>42</v>
      </c>
      <c r="D50" s="44">
        <v>1</v>
      </c>
      <c r="E50" s="43">
        <v>1.3328002132480341E-4</v>
      </c>
    </row>
    <row r="51" spans="2:5" ht="15" customHeight="1" x14ac:dyDescent="0.25">
      <c r="B51" s="83"/>
      <c r="C51" s="45" t="s">
        <v>43</v>
      </c>
      <c r="D51" s="44">
        <v>1</v>
      </c>
      <c r="E51" s="43">
        <v>1.3328002132480341E-4</v>
      </c>
    </row>
    <row r="52" spans="2:5" ht="15" customHeight="1" x14ac:dyDescent="0.25">
      <c r="B52" s="83"/>
      <c r="C52" s="45" t="s">
        <v>58</v>
      </c>
      <c r="D52" s="44">
        <v>3</v>
      </c>
      <c r="E52" s="43">
        <v>3.9984006397441024E-4</v>
      </c>
    </row>
    <row r="53" spans="2:5" ht="15" customHeight="1" x14ac:dyDescent="0.25">
      <c r="B53" s="83"/>
      <c r="C53" s="45" t="s">
        <v>47</v>
      </c>
      <c r="D53" s="44">
        <v>1</v>
      </c>
      <c r="E53" s="43">
        <v>1.3328002132480341E-4</v>
      </c>
    </row>
    <row r="54" spans="2:5" ht="15" customHeight="1" x14ac:dyDescent="0.25">
      <c r="B54" s="83"/>
      <c r="C54" s="45" t="s">
        <v>51</v>
      </c>
      <c r="D54" s="44">
        <v>2</v>
      </c>
      <c r="E54" s="43">
        <v>2.6656004264960682E-4</v>
      </c>
    </row>
    <row r="55" spans="2:5" ht="15" customHeight="1" x14ac:dyDescent="0.25">
      <c r="B55" s="83"/>
      <c r="C55" s="45" t="s">
        <v>52</v>
      </c>
      <c r="D55" s="44">
        <v>2</v>
      </c>
      <c r="E55" s="43">
        <v>2.6656004264960682E-4</v>
      </c>
    </row>
    <row r="56" spans="2:5" ht="15" customHeight="1" x14ac:dyDescent="0.25">
      <c r="B56" s="83"/>
      <c r="C56" s="45" t="s">
        <v>39</v>
      </c>
      <c r="D56" s="44">
        <v>1</v>
      </c>
      <c r="E56" s="43">
        <v>1.3328002132480341E-4</v>
      </c>
    </row>
    <row r="57" spans="2:5" ht="15" customHeight="1" x14ac:dyDescent="0.25">
      <c r="B57" s="83"/>
      <c r="C57" s="45" t="s">
        <v>57</v>
      </c>
      <c r="D57" s="44">
        <v>3</v>
      </c>
      <c r="E57" s="43">
        <v>3.9984006397441024E-4</v>
      </c>
    </row>
    <row r="58" spans="2:5" ht="15" customHeight="1" x14ac:dyDescent="0.25">
      <c r="B58" s="83"/>
      <c r="C58" s="45" t="s">
        <v>56</v>
      </c>
      <c r="D58" s="44">
        <v>5</v>
      </c>
      <c r="E58" s="43">
        <v>6.6640010662401706E-4</v>
      </c>
    </row>
    <row r="59" spans="2:5" ht="15" customHeight="1" x14ac:dyDescent="0.25">
      <c r="B59" s="83"/>
      <c r="C59" s="45" t="s">
        <v>54</v>
      </c>
      <c r="D59" s="44">
        <v>2</v>
      </c>
      <c r="E59" s="43">
        <v>2.6656004264960682E-4</v>
      </c>
    </row>
    <row r="60" spans="2:5" ht="15" customHeight="1" x14ac:dyDescent="0.25">
      <c r="B60" s="84"/>
      <c r="C60" s="42" t="s">
        <v>20</v>
      </c>
      <c r="D60" s="41">
        <v>106</v>
      </c>
      <c r="E60" s="40">
        <v>1.4127682260429162E-2</v>
      </c>
    </row>
    <row r="61" spans="2:5" ht="15" customHeight="1" x14ac:dyDescent="0.25">
      <c r="B61" s="82" t="s">
        <v>153</v>
      </c>
      <c r="C61" s="45" t="s">
        <v>59</v>
      </c>
      <c r="D61" s="44">
        <v>8</v>
      </c>
      <c r="E61" s="43">
        <v>1.0662401705984273E-3</v>
      </c>
    </row>
    <row r="62" spans="2:5" ht="15" customHeight="1" x14ac:dyDescent="0.25">
      <c r="B62" s="83"/>
      <c r="C62" s="45" t="s">
        <v>60</v>
      </c>
      <c r="D62" s="44">
        <v>44</v>
      </c>
      <c r="E62" s="43">
        <v>5.8643209382913501E-3</v>
      </c>
    </row>
    <row r="63" spans="2:5" ht="15" customHeight="1" x14ac:dyDescent="0.25">
      <c r="B63" s="83"/>
      <c r="C63" s="45" t="s">
        <v>53</v>
      </c>
      <c r="D63" s="44">
        <v>1</v>
      </c>
      <c r="E63" s="43">
        <v>1.3328002132480341E-4</v>
      </c>
    </row>
    <row r="64" spans="2:5" ht="15" customHeight="1" x14ac:dyDescent="0.25">
      <c r="B64" s="83"/>
      <c r="C64" s="45" t="s">
        <v>49</v>
      </c>
      <c r="D64" s="44">
        <v>2</v>
      </c>
      <c r="E64" s="43">
        <v>2.6656004264960682E-4</v>
      </c>
    </row>
    <row r="65" spans="2:5" ht="15" customHeight="1" x14ac:dyDescent="0.25">
      <c r="B65" s="83"/>
      <c r="C65" s="45" t="s">
        <v>50</v>
      </c>
      <c r="D65" s="44">
        <v>1</v>
      </c>
      <c r="E65" s="43">
        <v>1.3328002132480341E-4</v>
      </c>
    </row>
    <row r="66" spans="2:5" ht="15" customHeight="1" x14ac:dyDescent="0.25">
      <c r="B66" s="83"/>
      <c r="C66" s="45" t="s">
        <v>55</v>
      </c>
      <c r="D66" s="44">
        <v>1</v>
      </c>
      <c r="E66" s="43">
        <v>1.3328002132480341E-4</v>
      </c>
    </row>
    <row r="67" spans="2:5" ht="15" customHeight="1" x14ac:dyDescent="0.25">
      <c r="B67" s="83"/>
      <c r="C67" s="45" t="s">
        <v>41</v>
      </c>
      <c r="D67" s="44">
        <v>1</v>
      </c>
      <c r="E67" s="43">
        <v>1.3328002132480341E-4</v>
      </c>
    </row>
    <row r="68" spans="2:5" ht="15" customHeight="1" x14ac:dyDescent="0.25">
      <c r="B68" s="83"/>
      <c r="C68" s="45" t="s">
        <v>45</v>
      </c>
      <c r="D68" s="44">
        <v>1</v>
      </c>
      <c r="E68" s="43">
        <v>1.3328002132480341E-4</v>
      </c>
    </row>
    <row r="69" spans="2:5" ht="15" customHeight="1" x14ac:dyDescent="0.25">
      <c r="B69" s="83"/>
      <c r="C69" s="45" t="s">
        <v>35</v>
      </c>
      <c r="D69" s="44">
        <v>1</v>
      </c>
      <c r="E69" s="43">
        <v>1.3328002132480341E-4</v>
      </c>
    </row>
    <row r="70" spans="2:5" ht="15" customHeight="1" x14ac:dyDescent="0.25">
      <c r="B70" s="83"/>
      <c r="C70" s="45" t="s">
        <v>58</v>
      </c>
      <c r="D70" s="44">
        <v>2</v>
      </c>
      <c r="E70" s="43">
        <v>2.6656004264960682E-4</v>
      </c>
    </row>
    <row r="71" spans="2:5" ht="15" customHeight="1" x14ac:dyDescent="0.25">
      <c r="B71" s="83"/>
      <c r="C71" s="45" t="s">
        <v>51</v>
      </c>
      <c r="D71" s="44">
        <v>1</v>
      </c>
      <c r="E71" s="43">
        <v>1.3328002132480341E-4</v>
      </c>
    </row>
    <row r="72" spans="2:5" ht="15" customHeight="1" x14ac:dyDescent="0.25">
      <c r="B72" s="83"/>
      <c r="C72" s="45" t="s">
        <v>52</v>
      </c>
      <c r="D72" s="44">
        <v>1</v>
      </c>
      <c r="E72" s="43">
        <v>1.3328002132480341E-4</v>
      </c>
    </row>
    <row r="73" spans="2:5" ht="15" customHeight="1" x14ac:dyDescent="0.25">
      <c r="B73" s="83"/>
      <c r="C73" s="45" t="s">
        <v>39</v>
      </c>
      <c r="D73" s="44">
        <v>1</v>
      </c>
      <c r="E73" s="43">
        <v>1.3328002132480341E-4</v>
      </c>
    </row>
    <row r="74" spans="2:5" ht="15" customHeight="1" x14ac:dyDescent="0.25">
      <c r="B74" s="83"/>
      <c r="C74" s="45" t="s">
        <v>57</v>
      </c>
      <c r="D74" s="44">
        <v>2</v>
      </c>
      <c r="E74" s="43">
        <v>2.6656004264960682E-4</v>
      </c>
    </row>
    <row r="75" spans="2:5" ht="15" customHeight="1" x14ac:dyDescent="0.25">
      <c r="B75" s="83"/>
      <c r="C75" s="45" t="s">
        <v>56</v>
      </c>
      <c r="D75" s="44">
        <v>2</v>
      </c>
      <c r="E75" s="43">
        <v>2.6656004264960682E-4</v>
      </c>
    </row>
    <row r="76" spans="2:5" ht="15" customHeight="1" x14ac:dyDescent="0.25">
      <c r="B76" s="84"/>
      <c r="C76" s="42" t="s">
        <v>20</v>
      </c>
      <c r="D76" s="41">
        <v>69</v>
      </c>
      <c r="E76" s="40">
        <v>9.1963214714114363E-3</v>
      </c>
    </row>
    <row r="77" spans="2:5" ht="15" customHeight="1" x14ac:dyDescent="0.25">
      <c r="B77" s="82" t="s">
        <v>152</v>
      </c>
      <c r="C77" s="45" t="s">
        <v>59</v>
      </c>
      <c r="D77" s="44">
        <v>11</v>
      </c>
      <c r="E77" s="43">
        <v>1.4660802345728375E-3</v>
      </c>
    </row>
    <row r="78" spans="2:5" ht="15" customHeight="1" x14ac:dyDescent="0.25">
      <c r="B78" s="83"/>
      <c r="C78" s="45" t="s">
        <v>36</v>
      </c>
      <c r="D78" s="44">
        <v>2</v>
      </c>
      <c r="E78" s="43">
        <v>2.6656004264960682E-4</v>
      </c>
    </row>
    <row r="79" spans="2:5" ht="15" customHeight="1" x14ac:dyDescent="0.25">
      <c r="B79" s="83"/>
      <c r="C79" s="45" t="s">
        <v>60</v>
      </c>
      <c r="D79" s="44">
        <v>73</v>
      </c>
      <c r="E79" s="43">
        <v>9.7294415567106499E-3</v>
      </c>
    </row>
    <row r="80" spans="2:5" ht="15" customHeight="1" x14ac:dyDescent="0.25">
      <c r="B80" s="83"/>
      <c r="C80" s="45" t="s">
        <v>49</v>
      </c>
      <c r="D80" s="44">
        <v>5</v>
      </c>
      <c r="E80" s="43">
        <v>6.6640010662401706E-4</v>
      </c>
    </row>
    <row r="81" spans="2:5" ht="15" customHeight="1" x14ac:dyDescent="0.25">
      <c r="B81" s="83"/>
      <c r="C81" s="45" t="s">
        <v>50</v>
      </c>
      <c r="D81" s="44">
        <v>2</v>
      </c>
      <c r="E81" s="43">
        <v>2.6656004264960682E-4</v>
      </c>
    </row>
    <row r="82" spans="2:5" ht="15" customHeight="1" x14ac:dyDescent="0.25">
      <c r="B82" s="83"/>
      <c r="C82" s="45" t="s">
        <v>42</v>
      </c>
      <c r="D82" s="44">
        <v>1</v>
      </c>
      <c r="E82" s="43">
        <v>1.3328002132480341E-4</v>
      </c>
    </row>
    <row r="83" spans="2:5" ht="15" customHeight="1" x14ac:dyDescent="0.25">
      <c r="B83" s="83"/>
      <c r="C83" s="45" t="s">
        <v>43</v>
      </c>
      <c r="D83" s="44">
        <v>1</v>
      </c>
      <c r="E83" s="43">
        <v>1.3328002132480341E-4</v>
      </c>
    </row>
    <row r="84" spans="2:5" ht="15" customHeight="1" x14ac:dyDescent="0.25">
      <c r="B84" s="83"/>
      <c r="C84" s="45" t="s">
        <v>48</v>
      </c>
      <c r="D84" s="44">
        <v>1</v>
      </c>
      <c r="E84" s="43">
        <v>1.3328002132480341E-4</v>
      </c>
    </row>
    <row r="85" spans="2:5" ht="15" customHeight="1" x14ac:dyDescent="0.25">
      <c r="B85" s="83"/>
      <c r="C85" s="45" t="s">
        <v>58</v>
      </c>
      <c r="D85" s="44">
        <v>3</v>
      </c>
      <c r="E85" s="43">
        <v>3.9984006397441024E-4</v>
      </c>
    </row>
    <row r="86" spans="2:5" ht="15" customHeight="1" x14ac:dyDescent="0.25">
      <c r="B86" s="83"/>
      <c r="C86" s="45" t="s">
        <v>47</v>
      </c>
      <c r="D86" s="44">
        <v>1</v>
      </c>
      <c r="E86" s="43">
        <v>1.3328002132480341E-4</v>
      </c>
    </row>
    <row r="87" spans="2:5" ht="15" customHeight="1" x14ac:dyDescent="0.25">
      <c r="B87" s="83"/>
      <c r="C87" s="45" t="s">
        <v>38</v>
      </c>
      <c r="D87" s="44">
        <v>1</v>
      </c>
      <c r="E87" s="43">
        <v>1.3328002132480341E-4</v>
      </c>
    </row>
    <row r="88" spans="2:5" ht="15" customHeight="1" x14ac:dyDescent="0.25">
      <c r="B88" s="83"/>
      <c r="C88" s="45" t="s">
        <v>51</v>
      </c>
      <c r="D88" s="44">
        <v>5</v>
      </c>
      <c r="E88" s="43">
        <v>6.6640010662401706E-4</v>
      </c>
    </row>
    <row r="89" spans="2:5" ht="15" customHeight="1" x14ac:dyDescent="0.25">
      <c r="B89" s="83"/>
      <c r="C89" s="45" t="s">
        <v>52</v>
      </c>
      <c r="D89" s="44">
        <v>1</v>
      </c>
      <c r="E89" s="43">
        <v>1.3328002132480341E-4</v>
      </c>
    </row>
    <row r="90" spans="2:5" ht="15" customHeight="1" x14ac:dyDescent="0.25">
      <c r="B90" s="83"/>
      <c r="C90" s="45" t="s">
        <v>26</v>
      </c>
      <c r="D90" s="44">
        <v>1</v>
      </c>
      <c r="E90" s="43">
        <v>1.3328002132480341E-4</v>
      </c>
    </row>
    <row r="91" spans="2:5" ht="15" customHeight="1" x14ac:dyDescent="0.25">
      <c r="B91" s="83"/>
      <c r="C91" s="45" t="s">
        <v>57</v>
      </c>
      <c r="D91" s="44">
        <v>3</v>
      </c>
      <c r="E91" s="43">
        <v>3.9984006397441024E-4</v>
      </c>
    </row>
    <row r="92" spans="2:5" ht="15" customHeight="1" x14ac:dyDescent="0.25">
      <c r="B92" s="83"/>
      <c r="C92" s="45" t="s">
        <v>56</v>
      </c>
      <c r="D92" s="44">
        <v>2</v>
      </c>
      <c r="E92" s="43">
        <v>2.6656004264960682E-4</v>
      </c>
    </row>
    <row r="93" spans="2:5" ht="15" customHeight="1" x14ac:dyDescent="0.25">
      <c r="B93" s="84"/>
      <c r="C93" s="42" t="s">
        <v>20</v>
      </c>
      <c r="D93" s="41">
        <v>113</v>
      </c>
      <c r="E93" s="40">
        <v>1.5060642409702786E-2</v>
      </c>
    </row>
    <row r="94" spans="2:5" ht="15" customHeight="1" x14ac:dyDescent="0.25">
      <c r="B94" s="82" t="s">
        <v>151</v>
      </c>
      <c r="C94" s="45" t="s">
        <v>33</v>
      </c>
      <c r="D94" s="44">
        <v>1</v>
      </c>
      <c r="E94" s="43">
        <v>1.3328002132480341E-4</v>
      </c>
    </row>
    <row r="95" spans="2:5" ht="15" customHeight="1" x14ac:dyDescent="0.25">
      <c r="B95" s="83"/>
      <c r="C95" s="45" t="s">
        <v>59</v>
      </c>
      <c r="D95" s="44">
        <v>31</v>
      </c>
      <c r="E95" s="43">
        <v>4.1316806610689058E-3</v>
      </c>
    </row>
    <row r="96" spans="2:5" ht="15" customHeight="1" x14ac:dyDescent="0.25">
      <c r="B96" s="83"/>
      <c r="C96" s="45" t="s">
        <v>36</v>
      </c>
      <c r="D96" s="44">
        <v>1</v>
      </c>
      <c r="E96" s="43">
        <v>1.3328002132480341E-4</v>
      </c>
    </row>
    <row r="97" spans="2:5" ht="15" customHeight="1" x14ac:dyDescent="0.25">
      <c r="B97" s="83"/>
      <c r="C97" s="45" t="s">
        <v>60</v>
      </c>
      <c r="D97" s="44">
        <v>341</v>
      </c>
      <c r="E97" s="43">
        <v>4.5448487271757966E-2</v>
      </c>
    </row>
    <row r="98" spans="2:5" ht="15" customHeight="1" x14ac:dyDescent="0.25">
      <c r="B98" s="83"/>
      <c r="C98" s="45" t="s">
        <v>53</v>
      </c>
      <c r="D98" s="44">
        <v>7</v>
      </c>
      <c r="E98" s="43">
        <v>9.3296014927362388E-4</v>
      </c>
    </row>
    <row r="99" spans="2:5" ht="15" customHeight="1" x14ac:dyDescent="0.25">
      <c r="B99" s="83"/>
      <c r="C99" s="45" t="s">
        <v>49</v>
      </c>
      <c r="D99" s="44">
        <v>3</v>
      </c>
      <c r="E99" s="43">
        <v>3.9984006397441024E-4</v>
      </c>
    </row>
    <row r="100" spans="2:5" ht="15" customHeight="1" x14ac:dyDescent="0.25">
      <c r="B100" s="83"/>
      <c r="C100" s="45" t="s">
        <v>46</v>
      </c>
      <c r="D100" s="44">
        <v>2</v>
      </c>
      <c r="E100" s="43">
        <v>2.6656004264960682E-4</v>
      </c>
    </row>
    <row r="101" spans="2:5" ht="15" customHeight="1" x14ac:dyDescent="0.25">
      <c r="B101" s="83"/>
      <c r="C101" s="45" t="s">
        <v>50</v>
      </c>
      <c r="D101" s="44">
        <v>5</v>
      </c>
      <c r="E101" s="43">
        <v>6.6640010662401706E-4</v>
      </c>
    </row>
    <row r="102" spans="2:5" ht="15" customHeight="1" x14ac:dyDescent="0.25">
      <c r="B102" s="83"/>
      <c r="C102" s="45" t="s">
        <v>55</v>
      </c>
      <c r="D102" s="44">
        <v>5</v>
      </c>
      <c r="E102" s="43">
        <v>6.6640010662401706E-4</v>
      </c>
    </row>
    <row r="103" spans="2:5" ht="15" customHeight="1" x14ac:dyDescent="0.25">
      <c r="B103" s="83"/>
      <c r="C103" s="45" t="s">
        <v>42</v>
      </c>
      <c r="D103" s="44">
        <v>2</v>
      </c>
      <c r="E103" s="43">
        <v>2.6656004264960682E-4</v>
      </c>
    </row>
    <row r="104" spans="2:5" ht="15" customHeight="1" x14ac:dyDescent="0.25">
      <c r="B104" s="83"/>
      <c r="C104" s="45" t="s">
        <v>32</v>
      </c>
      <c r="D104" s="44">
        <v>2</v>
      </c>
      <c r="E104" s="43">
        <v>2.6656004264960682E-4</v>
      </c>
    </row>
    <row r="105" spans="2:5" ht="15" customHeight="1" x14ac:dyDescent="0.25">
      <c r="B105" s="83"/>
      <c r="C105" s="45" t="s">
        <v>43</v>
      </c>
      <c r="D105" s="44">
        <v>3</v>
      </c>
      <c r="E105" s="43">
        <v>3.9984006397441024E-4</v>
      </c>
    </row>
    <row r="106" spans="2:5" ht="15" customHeight="1" x14ac:dyDescent="0.25">
      <c r="B106" s="83"/>
      <c r="C106" s="45" t="s">
        <v>41</v>
      </c>
      <c r="D106" s="44">
        <v>1</v>
      </c>
      <c r="E106" s="43">
        <v>1.3328002132480341E-4</v>
      </c>
    </row>
    <row r="107" spans="2:5" ht="15" customHeight="1" x14ac:dyDescent="0.25">
      <c r="B107" s="83"/>
      <c r="C107" s="45" t="s">
        <v>37</v>
      </c>
      <c r="D107" s="44">
        <v>1</v>
      </c>
      <c r="E107" s="43">
        <v>1.3328002132480341E-4</v>
      </c>
    </row>
    <row r="108" spans="2:5" ht="15" customHeight="1" x14ac:dyDescent="0.25">
      <c r="B108" s="83"/>
      <c r="C108" s="45" t="s">
        <v>45</v>
      </c>
      <c r="D108" s="44">
        <v>1</v>
      </c>
      <c r="E108" s="43">
        <v>1.3328002132480341E-4</v>
      </c>
    </row>
    <row r="109" spans="2:5" ht="15" customHeight="1" x14ac:dyDescent="0.25">
      <c r="B109" s="83"/>
      <c r="C109" s="45" t="s">
        <v>48</v>
      </c>
      <c r="D109" s="44">
        <v>4</v>
      </c>
      <c r="E109" s="43">
        <v>5.3312008529921365E-4</v>
      </c>
    </row>
    <row r="110" spans="2:5" ht="15" customHeight="1" x14ac:dyDescent="0.25">
      <c r="B110" s="83"/>
      <c r="C110" s="45" t="s">
        <v>58</v>
      </c>
      <c r="D110" s="44">
        <v>16</v>
      </c>
      <c r="E110" s="43">
        <v>2.1324803411968546E-3</v>
      </c>
    </row>
    <row r="111" spans="2:5" ht="15" customHeight="1" x14ac:dyDescent="0.25">
      <c r="B111" s="83"/>
      <c r="C111" s="45" t="s">
        <v>47</v>
      </c>
      <c r="D111" s="44">
        <v>3</v>
      </c>
      <c r="E111" s="43">
        <v>3.9984006397441024E-4</v>
      </c>
    </row>
    <row r="112" spans="2:5" ht="15" customHeight="1" x14ac:dyDescent="0.25">
      <c r="B112" s="83"/>
      <c r="C112" s="45" t="s">
        <v>51</v>
      </c>
      <c r="D112" s="44">
        <v>4</v>
      </c>
      <c r="E112" s="43">
        <v>5.3312008529921365E-4</v>
      </c>
    </row>
    <row r="113" spans="2:5" ht="15" customHeight="1" x14ac:dyDescent="0.25">
      <c r="B113" s="83"/>
      <c r="C113" s="45" t="s">
        <v>44</v>
      </c>
      <c r="D113" s="44">
        <v>3</v>
      </c>
      <c r="E113" s="43">
        <v>3.9984006397441024E-4</v>
      </c>
    </row>
    <row r="114" spans="2:5" ht="15" customHeight="1" x14ac:dyDescent="0.25">
      <c r="B114" s="83"/>
      <c r="C114" s="45" t="s">
        <v>52</v>
      </c>
      <c r="D114" s="44">
        <v>10</v>
      </c>
      <c r="E114" s="43">
        <v>1.3328002132480341E-3</v>
      </c>
    </row>
    <row r="115" spans="2:5" ht="15" customHeight="1" x14ac:dyDescent="0.25">
      <c r="B115" s="83"/>
      <c r="C115" s="45" t="s">
        <v>27</v>
      </c>
      <c r="D115" s="44">
        <v>2</v>
      </c>
      <c r="E115" s="43">
        <v>2.6656004264960682E-4</v>
      </c>
    </row>
    <row r="116" spans="2:5" ht="15" customHeight="1" x14ac:dyDescent="0.25">
      <c r="B116" s="83"/>
      <c r="C116" s="45" t="s">
        <v>26</v>
      </c>
      <c r="D116" s="44">
        <v>2</v>
      </c>
      <c r="E116" s="43">
        <v>2.6656004264960682E-4</v>
      </c>
    </row>
    <row r="117" spans="2:5" ht="15" customHeight="1" x14ac:dyDescent="0.25">
      <c r="B117" s="83"/>
      <c r="C117" s="45" t="s">
        <v>39</v>
      </c>
      <c r="D117" s="44">
        <v>3</v>
      </c>
      <c r="E117" s="43">
        <v>3.9984006397441024E-4</v>
      </c>
    </row>
    <row r="118" spans="2:5" ht="15" customHeight="1" x14ac:dyDescent="0.25">
      <c r="B118" s="83"/>
      <c r="C118" s="45" t="s">
        <v>57</v>
      </c>
      <c r="D118" s="44">
        <v>11</v>
      </c>
      <c r="E118" s="43">
        <v>1.4660802345728375E-3</v>
      </c>
    </row>
    <row r="119" spans="2:5" ht="15" customHeight="1" x14ac:dyDescent="0.25">
      <c r="B119" s="83"/>
      <c r="C119" s="45" t="s">
        <v>56</v>
      </c>
      <c r="D119" s="44">
        <v>11</v>
      </c>
      <c r="E119" s="43">
        <v>1.4660802345728375E-3</v>
      </c>
    </row>
    <row r="120" spans="2:5" ht="15" customHeight="1" x14ac:dyDescent="0.25">
      <c r="B120" s="83"/>
      <c r="C120" s="45" t="s">
        <v>54</v>
      </c>
      <c r="D120" s="44">
        <v>3</v>
      </c>
      <c r="E120" s="43">
        <v>3.9984006397441024E-4</v>
      </c>
    </row>
    <row r="121" spans="2:5" ht="15" customHeight="1" x14ac:dyDescent="0.25">
      <c r="B121" s="83"/>
      <c r="C121" s="45" t="s">
        <v>208</v>
      </c>
      <c r="D121" s="44">
        <v>1</v>
      </c>
      <c r="E121" s="43">
        <v>1.3328002132480341E-4</v>
      </c>
    </row>
    <row r="122" spans="2:5" ht="15" customHeight="1" x14ac:dyDescent="0.25">
      <c r="B122" s="84"/>
      <c r="C122" s="42" t="s">
        <v>20</v>
      </c>
      <c r="D122" s="41">
        <v>479</v>
      </c>
      <c r="E122" s="40">
        <v>6.3841130214580835E-2</v>
      </c>
    </row>
    <row r="123" spans="2:5" ht="15" customHeight="1" x14ac:dyDescent="0.25">
      <c r="B123" s="82" t="s">
        <v>150</v>
      </c>
      <c r="C123" s="45" t="s">
        <v>33</v>
      </c>
      <c r="D123" s="44">
        <v>2</v>
      </c>
      <c r="E123" s="43">
        <v>2.6656004264960682E-4</v>
      </c>
    </row>
    <row r="124" spans="2:5" ht="15" customHeight="1" x14ac:dyDescent="0.25">
      <c r="B124" s="83"/>
      <c r="C124" s="45" t="s">
        <v>59</v>
      </c>
      <c r="D124" s="44">
        <v>68</v>
      </c>
      <c r="E124" s="43">
        <v>9.063041450086632E-3</v>
      </c>
    </row>
    <row r="125" spans="2:5" ht="15" customHeight="1" x14ac:dyDescent="0.25">
      <c r="B125" s="83"/>
      <c r="C125" s="45" t="s">
        <v>36</v>
      </c>
      <c r="D125" s="44">
        <v>3</v>
      </c>
      <c r="E125" s="43">
        <v>3.9984006397441024E-4</v>
      </c>
    </row>
    <row r="126" spans="2:5" ht="15" customHeight="1" x14ac:dyDescent="0.25">
      <c r="B126" s="83"/>
      <c r="C126" s="45" t="s">
        <v>60</v>
      </c>
      <c r="D126" s="44">
        <v>479</v>
      </c>
      <c r="E126" s="43">
        <v>6.3841130214580835E-2</v>
      </c>
    </row>
    <row r="127" spans="2:5" ht="15" customHeight="1" x14ac:dyDescent="0.25">
      <c r="B127" s="83"/>
      <c r="C127" s="45" t="s">
        <v>53</v>
      </c>
      <c r="D127" s="44">
        <v>21</v>
      </c>
      <c r="E127" s="43">
        <v>2.7988804478208716E-3</v>
      </c>
    </row>
    <row r="128" spans="2:5" ht="15" customHeight="1" x14ac:dyDescent="0.25">
      <c r="B128" s="83"/>
      <c r="C128" s="45" t="s">
        <v>23</v>
      </c>
      <c r="D128" s="44">
        <v>2</v>
      </c>
      <c r="E128" s="43">
        <v>2.6656004264960682E-4</v>
      </c>
    </row>
    <row r="129" spans="2:5" ht="15" customHeight="1" x14ac:dyDescent="0.25">
      <c r="B129" s="83"/>
      <c r="C129" s="45" t="s">
        <v>49</v>
      </c>
      <c r="D129" s="44">
        <v>9</v>
      </c>
      <c r="E129" s="43">
        <v>1.1995201919232307E-3</v>
      </c>
    </row>
    <row r="130" spans="2:5" ht="15" customHeight="1" x14ac:dyDescent="0.25">
      <c r="B130" s="83"/>
      <c r="C130" s="45" t="s">
        <v>46</v>
      </c>
      <c r="D130" s="44">
        <v>5</v>
      </c>
      <c r="E130" s="43">
        <v>6.6640010662401706E-4</v>
      </c>
    </row>
    <row r="131" spans="2:5" ht="15" customHeight="1" x14ac:dyDescent="0.25">
      <c r="B131" s="83"/>
      <c r="C131" s="45" t="s">
        <v>50</v>
      </c>
      <c r="D131" s="44">
        <v>15</v>
      </c>
      <c r="E131" s="43">
        <v>1.9992003198720512E-3</v>
      </c>
    </row>
    <row r="132" spans="2:5" ht="15" customHeight="1" x14ac:dyDescent="0.25">
      <c r="B132" s="83"/>
      <c r="C132" s="45" t="s">
        <v>55</v>
      </c>
      <c r="D132" s="44">
        <v>23</v>
      </c>
      <c r="E132" s="43">
        <v>3.0654404904704785E-3</v>
      </c>
    </row>
    <row r="133" spans="2:5" ht="15" customHeight="1" x14ac:dyDescent="0.25">
      <c r="B133" s="83"/>
      <c r="C133" s="45" t="s">
        <v>42</v>
      </c>
      <c r="D133" s="44">
        <v>6</v>
      </c>
      <c r="E133" s="43">
        <v>7.9968012794882047E-4</v>
      </c>
    </row>
    <row r="134" spans="2:5" ht="15" customHeight="1" x14ac:dyDescent="0.25">
      <c r="B134" s="83"/>
      <c r="C134" s="45" t="s">
        <v>32</v>
      </c>
      <c r="D134" s="44">
        <v>1</v>
      </c>
      <c r="E134" s="43">
        <v>1.3328002132480341E-4</v>
      </c>
    </row>
    <row r="135" spans="2:5" ht="15" customHeight="1" x14ac:dyDescent="0.25">
      <c r="B135" s="83"/>
      <c r="C135" s="45" t="s">
        <v>43</v>
      </c>
      <c r="D135" s="44">
        <v>3</v>
      </c>
      <c r="E135" s="43">
        <v>3.9984006397441024E-4</v>
      </c>
    </row>
    <row r="136" spans="2:5" ht="15" customHeight="1" x14ac:dyDescent="0.25">
      <c r="B136" s="83"/>
      <c r="C136" s="45" t="s">
        <v>30</v>
      </c>
      <c r="D136" s="44">
        <v>1</v>
      </c>
      <c r="E136" s="43">
        <v>1.3328002132480341E-4</v>
      </c>
    </row>
    <row r="137" spans="2:5" ht="15" customHeight="1" x14ac:dyDescent="0.25">
      <c r="B137" s="83"/>
      <c r="C137" s="45" t="s">
        <v>41</v>
      </c>
      <c r="D137" s="44">
        <v>2</v>
      </c>
      <c r="E137" s="43">
        <v>2.6656004264960682E-4</v>
      </c>
    </row>
    <row r="138" spans="2:5" ht="15" customHeight="1" x14ac:dyDescent="0.25">
      <c r="B138" s="83"/>
      <c r="C138" s="45" t="s">
        <v>24</v>
      </c>
      <c r="D138" s="44">
        <v>1</v>
      </c>
      <c r="E138" s="43">
        <v>1.3328002132480341E-4</v>
      </c>
    </row>
    <row r="139" spans="2:5" ht="15" customHeight="1" x14ac:dyDescent="0.25">
      <c r="B139" s="83"/>
      <c r="C139" s="45" t="s">
        <v>21</v>
      </c>
      <c r="D139" s="44">
        <v>1</v>
      </c>
      <c r="E139" s="43">
        <v>1.3328002132480341E-4</v>
      </c>
    </row>
    <row r="140" spans="2:5" ht="15" customHeight="1" x14ac:dyDescent="0.25">
      <c r="B140" s="83"/>
      <c r="C140" s="45" t="s">
        <v>37</v>
      </c>
      <c r="D140" s="44">
        <v>1</v>
      </c>
      <c r="E140" s="43">
        <v>1.3328002132480341E-4</v>
      </c>
    </row>
    <row r="141" spans="2:5" ht="15" customHeight="1" x14ac:dyDescent="0.25">
      <c r="B141" s="83"/>
      <c r="C141" s="45" t="s">
        <v>45</v>
      </c>
      <c r="D141" s="44">
        <v>9</v>
      </c>
      <c r="E141" s="43">
        <v>1.1995201919232307E-3</v>
      </c>
    </row>
    <row r="142" spans="2:5" ht="15" customHeight="1" x14ac:dyDescent="0.25">
      <c r="B142" s="83"/>
      <c r="C142" s="45" t="s">
        <v>35</v>
      </c>
      <c r="D142" s="44">
        <v>1</v>
      </c>
      <c r="E142" s="43">
        <v>1.3328002132480341E-4</v>
      </c>
    </row>
    <row r="143" spans="2:5" ht="15" customHeight="1" x14ac:dyDescent="0.25">
      <c r="B143" s="83"/>
      <c r="C143" s="45" t="s">
        <v>48</v>
      </c>
      <c r="D143" s="44">
        <v>5</v>
      </c>
      <c r="E143" s="43">
        <v>6.6640010662401706E-4</v>
      </c>
    </row>
    <row r="144" spans="2:5" ht="15" customHeight="1" x14ac:dyDescent="0.25">
      <c r="B144" s="83"/>
      <c r="C144" s="45" t="s">
        <v>58</v>
      </c>
      <c r="D144" s="44">
        <v>23</v>
      </c>
      <c r="E144" s="43">
        <v>3.0654404904704785E-3</v>
      </c>
    </row>
    <row r="145" spans="2:5" ht="15" customHeight="1" x14ac:dyDescent="0.25">
      <c r="B145" s="83"/>
      <c r="C145" s="45" t="s">
        <v>31</v>
      </c>
      <c r="D145" s="44">
        <v>1</v>
      </c>
      <c r="E145" s="43">
        <v>1.3328002132480341E-4</v>
      </c>
    </row>
    <row r="146" spans="2:5" ht="15" customHeight="1" x14ac:dyDescent="0.25">
      <c r="B146" s="83"/>
      <c r="C146" s="45" t="s">
        <v>47</v>
      </c>
      <c r="D146" s="44">
        <v>6</v>
      </c>
      <c r="E146" s="43">
        <v>7.9968012794882047E-4</v>
      </c>
    </row>
    <row r="147" spans="2:5" ht="15" customHeight="1" x14ac:dyDescent="0.25">
      <c r="B147" s="83"/>
      <c r="C147" s="45" t="s">
        <v>38</v>
      </c>
      <c r="D147" s="44">
        <v>2</v>
      </c>
      <c r="E147" s="43">
        <v>2.6656004264960682E-4</v>
      </c>
    </row>
    <row r="148" spans="2:5" ht="15" customHeight="1" x14ac:dyDescent="0.25">
      <c r="B148" s="83"/>
      <c r="C148" s="45" t="s">
        <v>51</v>
      </c>
      <c r="D148" s="44">
        <v>15</v>
      </c>
      <c r="E148" s="43">
        <v>1.9992003198720512E-3</v>
      </c>
    </row>
    <row r="149" spans="2:5" ht="15" customHeight="1" x14ac:dyDescent="0.25">
      <c r="B149" s="83"/>
      <c r="C149" s="45" t="s">
        <v>44</v>
      </c>
      <c r="D149" s="44">
        <v>3</v>
      </c>
      <c r="E149" s="43">
        <v>3.9984006397441024E-4</v>
      </c>
    </row>
    <row r="150" spans="2:5" ht="15" customHeight="1" x14ac:dyDescent="0.25">
      <c r="B150" s="83"/>
      <c r="C150" s="45" t="s">
        <v>52</v>
      </c>
      <c r="D150" s="44">
        <v>8</v>
      </c>
      <c r="E150" s="43">
        <v>1.0662401705984273E-3</v>
      </c>
    </row>
    <row r="151" spans="2:5" ht="15" customHeight="1" x14ac:dyDescent="0.25">
      <c r="B151" s="83"/>
      <c r="C151" s="45" t="s">
        <v>27</v>
      </c>
      <c r="D151" s="44">
        <v>2</v>
      </c>
      <c r="E151" s="43">
        <v>2.6656004264960682E-4</v>
      </c>
    </row>
    <row r="152" spans="2:5" ht="15" customHeight="1" x14ac:dyDescent="0.25">
      <c r="B152" s="83"/>
      <c r="C152" s="45" t="s">
        <v>26</v>
      </c>
      <c r="D152" s="44">
        <v>2</v>
      </c>
      <c r="E152" s="43">
        <v>2.6656004264960682E-4</v>
      </c>
    </row>
    <row r="153" spans="2:5" ht="15" customHeight="1" x14ac:dyDescent="0.25">
      <c r="B153" s="83"/>
      <c r="C153" s="45" t="s">
        <v>22</v>
      </c>
      <c r="D153" s="44">
        <v>2</v>
      </c>
      <c r="E153" s="43">
        <v>2.6656004264960682E-4</v>
      </c>
    </row>
    <row r="154" spans="2:5" ht="15" customHeight="1" x14ac:dyDescent="0.25">
      <c r="B154" s="83"/>
      <c r="C154" s="45" t="s">
        <v>39</v>
      </c>
      <c r="D154" s="44">
        <v>2</v>
      </c>
      <c r="E154" s="43">
        <v>2.6656004264960682E-4</v>
      </c>
    </row>
    <row r="155" spans="2:5" ht="15" customHeight="1" x14ac:dyDescent="0.25">
      <c r="B155" s="83"/>
      <c r="C155" s="45" t="s">
        <v>57</v>
      </c>
      <c r="D155" s="44">
        <v>17</v>
      </c>
      <c r="E155" s="43">
        <v>2.265760362521658E-3</v>
      </c>
    </row>
    <row r="156" spans="2:5" ht="15" customHeight="1" x14ac:dyDescent="0.25">
      <c r="B156" s="83"/>
      <c r="C156" s="45" t="s">
        <v>56</v>
      </c>
      <c r="D156" s="44">
        <v>23</v>
      </c>
      <c r="E156" s="43">
        <v>3.0654404904704785E-3</v>
      </c>
    </row>
    <row r="157" spans="2:5" ht="15" customHeight="1" x14ac:dyDescent="0.25">
      <c r="B157" s="83"/>
      <c r="C157" s="45" t="s">
        <v>34</v>
      </c>
      <c r="D157" s="44">
        <v>2</v>
      </c>
      <c r="E157" s="43">
        <v>2.6656004264960682E-4</v>
      </c>
    </row>
    <row r="158" spans="2:5" ht="15" customHeight="1" x14ac:dyDescent="0.25">
      <c r="B158" s="83"/>
      <c r="C158" s="45" t="s">
        <v>54</v>
      </c>
      <c r="D158" s="44">
        <v>6</v>
      </c>
      <c r="E158" s="43">
        <v>7.9968012794882047E-4</v>
      </c>
    </row>
    <row r="159" spans="2:5" ht="15" customHeight="1" x14ac:dyDescent="0.25">
      <c r="B159" s="83"/>
      <c r="C159" s="45" t="s">
        <v>40</v>
      </c>
      <c r="D159" s="44">
        <v>4</v>
      </c>
      <c r="E159" s="43">
        <v>5.3312008529921365E-4</v>
      </c>
    </row>
    <row r="160" spans="2:5" ht="15" customHeight="1" x14ac:dyDescent="0.25">
      <c r="B160" s="83"/>
      <c r="C160" s="45" t="s">
        <v>29</v>
      </c>
      <c r="D160" s="44">
        <v>1</v>
      </c>
      <c r="E160" s="43">
        <v>1.3328002132480341E-4</v>
      </c>
    </row>
    <row r="161" spans="2:5" ht="15" customHeight="1" x14ac:dyDescent="0.25">
      <c r="B161" s="84"/>
      <c r="C161" s="42" t="s">
        <v>20</v>
      </c>
      <c r="D161" s="41">
        <v>777</v>
      </c>
      <c r="E161" s="40">
        <v>0.10355857656937226</v>
      </c>
    </row>
    <row r="162" spans="2:5" ht="15" customHeight="1" x14ac:dyDescent="0.25">
      <c r="B162" s="82" t="s">
        <v>149</v>
      </c>
      <c r="C162" s="45" t="s">
        <v>59</v>
      </c>
      <c r="D162" s="44">
        <v>13</v>
      </c>
      <c r="E162" s="43">
        <v>1.7326402772224444E-3</v>
      </c>
    </row>
    <row r="163" spans="2:5" ht="15" customHeight="1" x14ac:dyDescent="0.25">
      <c r="B163" s="83"/>
      <c r="C163" s="45" t="s">
        <v>60</v>
      </c>
      <c r="D163" s="44">
        <v>70</v>
      </c>
      <c r="E163" s="43">
        <v>9.3296014927362388E-3</v>
      </c>
    </row>
    <row r="164" spans="2:5" ht="15" customHeight="1" x14ac:dyDescent="0.25">
      <c r="B164" s="83"/>
      <c r="C164" s="45" t="s">
        <v>53</v>
      </c>
      <c r="D164" s="44">
        <v>4</v>
      </c>
      <c r="E164" s="43">
        <v>5.3312008529921365E-4</v>
      </c>
    </row>
    <row r="165" spans="2:5" ht="15" customHeight="1" x14ac:dyDescent="0.25">
      <c r="B165" s="83"/>
      <c r="C165" s="45" t="s">
        <v>49</v>
      </c>
      <c r="D165" s="44">
        <v>1</v>
      </c>
      <c r="E165" s="43">
        <v>1.3328002132480341E-4</v>
      </c>
    </row>
    <row r="166" spans="2:5" ht="15" customHeight="1" x14ac:dyDescent="0.25">
      <c r="B166" s="83"/>
      <c r="C166" s="45" t="s">
        <v>46</v>
      </c>
      <c r="D166" s="44">
        <v>1</v>
      </c>
      <c r="E166" s="43">
        <v>1.3328002132480341E-4</v>
      </c>
    </row>
    <row r="167" spans="2:5" ht="15" customHeight="1" x14ac:dyDescent="0.25">
      <c r="B167" s="83"/>
      <c r="C167" s="45" t="s">
        <v>41</v>
      </c>
      <c r="D167" s="44">
        <v>1</v>
      </c>
      <c r="E167" s="43">
        <v>1.3328002132480341E-4</v>
      </c>
    </row>
    <row r="168" spans="2:5" ht="15" customHeight="1" x14ac:dyDescent="0.25">
      <c r="B168" s="83"/>
      <c r="C168" s="45" t="s">
        <v>45</v>
      </c>
      <c r="D168" s="44">
        <v>1</v>
      </c>
      <c r="E168" s="43">
        <v>1.3328002132480341E-4</v>
      </c>
    </row>
    <row r="169" spans="2:5" ht="15" customHeight="1" x14ac:dyDescent="0.25">
      <c r="B169" s="83"/>
      <c r="C169" s="45" t="s">
        <v>48</v>
      </c>
      <c r="D169" s="44">
        <v>1</v>
      </c>
      <c r="E169" s="43">
        <v>1.3328002132480341E-4</v>
      </c>
    </row>
    <row r="170" spans="2:5" ht="15" customHeight="1" x14ac:dyDescent="0.25">
      <c r="B170" s="83"/>
      <c r="C170" s="45" t="s">
        <v>58</v>
      </c>
      <c r="D170" s="44">
        <v>4</v>
      </c>
      <c r="E170" s="43">
        <v>5.3312008529921365E-4</v>
      </c>
    </row>
    <row r="171" spans="2:5" ht="15" customHeight="1" x14ac:dyDescent="0.25">
      <c r="B171" s="83"/>
      <c r="C171" s="45" t="s">
        <v>31</v>
      </c>
      <c r="D171" s="44">
        <v>1</v>
      </c>
      <c r="E171" s="43">
        <v>1.3328002132480341E-4</v>
      </c>
    </row>
    <row r="172" spans="2:5" ht="15" customHeight="1" x14ac:dyDescent="0.25">
      <c r="B172" s="83"/>
      <c r="C172" s="45" t="s">
        <v>51</v>
      </c>
      <c r="D172" s="44">
        <v>1</v>
      </c>
      <c r="E172" s="43">
        <v>1.3328002132480341E-4</v>
      </c>
    </row>
    <row r="173" spans="2:5" ht="15" customHeight="1" x14ac:dyDescent="0.25">
      <c r="B173" s="83"/>
      <c r="C173" s="45" t="s">
        <v>28</v>
      </c>
      <c r="D173" s="44">
        <v>1</v>
      </c>
      <c r="E173" s="43">
        <v>1.3328002132480341E-4</v>
      </c>
    </row>
    <row r="174" spans="2:5" ht="15" customHeight="1" x14ac:dyDescent="0.25">
      <c r="B174" s="83"/>
      <c r="C174" s="45" t="s">
        <v>52</v>
      </c>
      <c r="D174" s="44">
        <v>3</v>
      </c>
      <c r="E174" s="43">
        <v>3.9984006397441024E-4</v>
      </c>
    </row>
    <row r="175" spans="2:5" ht="15" customHeight="1" x14ac:dyDescent="0.25">
      <c r="B175" s="83"/>
      <c r="C175" s="45" t="s">
        <v>57</v>
      </c>
      <c r="D175" s="44">
        <v>4</v>
      </c>
      <c r="E175" s="43">
        <v>5.3312008529921365E-4</v>
      </c>
    </row>
    <row r="176" spans="2:5" ht="15" customHeight="1" x14ac:dyDescent="0.25">
      <c r="B176" s="83"/>
      <c r="C176" s="45" t="s">
        <v>56</v>
      </c>
      <c r="D176" s="44">
        <v>2</v>
      </c>
      <c r="E176" s="43">
        <v>2.6656004264960682E-4</v>
      </c>
    </row>
    <row r="177" spans="2:5" ht="15" customHeight="1" x14ac:dyDescent="0.25">
      <c r="B177" s="83"/>
      <c r="C177" s="45" t="s">
        <v>54</v>
      </c>
      <c r="D177" s="44">
        <v>3</v>
      </c>
      <c r="E177" s="43">
        <v>3.9984006397441024E-4</v>
      </c>
    </row>
    <row r="178" spans="2:5" ht="15" customHeight="1" x14ac:dyDescent="0.25">
      <c r="B178" s="83"/>
      <c r="C178" s="45" t="s">
        <v>40</v>
      </c>
      <c r="D178" s="44">
        <v>1</v>
      </c>
      <c r="E178" s="43">
        <v>1.3328002132480341E-4</v>
      </c>
    </row>
    <row r="179" spans="2:5" ht="15" customHeight="1" x14ac:dyDescent="0.25">
      <c r="B179" s="84"/>
      <c r="C179" s="42" t="s">
        <v>20</v>
      </c>
      <c r="D179" s="41">
        <v>112</v>
      </c>
      <c r="E179" s="40">
        <v>1.4927362388377982E-2</v>
      </c>
    </row>
    <row r="180" spans="2:5" ht="15" customHeight="1" x14ac:dyDescent="0.25">
      <c r="B180" s="82" t="s">
        <v>148</v>
      </c>
      <c r="C180" s="45" t="s">
        <v>59</v>
      </c>
      <c r="D180" s="44">
        <v>15</v>
      </c>
      <c r="E180" s="43">
        <v>1.9992003198720512E-3</v>
      </c>
    </row>
    <row r="181" spans="2:5" ht="15" customHeight="1" x14ac:dyDescent="0.25">
      <c r="B181" s="83"/>
      <c r="C181" s="45" t="s">
        <v>60</v>
      </c>
      <c r="D181" s="44">
        <v>123</v>
      </c>
      <c r="E181" s="43">
        <v>1.6393442622950821E-2</v>
      </c>
    </row>
    <row r="182" spans="2:5" ht="15" customHeight="1" x14ac:dyDescent="0.25">
      <c r="B182" s="83"/>
      <c r="C182" s="45" t="s">
        <v>53</v>
      </c>
      <c r="D182" s="44">
        <v>4</v>
      </c>
      <c r="E182" s="43">
        <v>5.3312008529921365E-4</v>
      </c>
    </row>
    <row r="183" spans="2:5" ht="15" customHeight="1" x14ac:dyDescent="0.25">
      <c r="B183" s="83"/>
      <c r="C183" s="45" t="s">
        <v>49</v>
      </c>
      <c r="D183" s="44">
        <v>3</v>
      </c>
      <c r="E183" s="43">
        <v>3.9984006397441024E-4</v>
      </c>
    </row>
    <row r="184" spans="2:5" ht="15" customHeight="1" x14ac:dyDescent="0.25">
      <c r="B184" s="83"/>
      <c r="C184" s="45" t="s">
        <v>50</v>
      </c>
      <c r="D184" s="44">
        <v>3</v>
      </c>
      <c r="E184" s="43">
        <v>3.9984006397441024E-4</v>
      </c>
    </row>
    <row r="185" spans="2:5" ht="15" customHeight="1" x14ac:dyDescent="0.25">
      <c r="B185" s="83"/>
      <c r="C185" s="45" t="s">
        <v>55</v>
      </c>
      <c r="D185" s="44">
        <v>2</v>
      </c>
      <c r="E185" s="43">
        <v>2.6656004264960682E-4</v>
      </c>
    </row>
    <row r="186" spans="2:5" ht="15" customHeight="1" x14ac:dyDescent="0.25">
      <c r="B186" s="83"/>
      <c r="C186" s="45" t="s">
        <v>42</v>
      </c>
      <c r="D186" s="44">
        <v>2</v>
      </c>
      <c r="E186" s="43">
        <v>2.6656004264960682E-4</v>
      </c>
    </row>
    <row r="187" spans="2:5" ht="15" customHeight="1" x14ac:dyDescent="0.25">
      <c r="B187" s="83"/>
      <c r="C187" s="45" t="s">
        <v>43</v>
      </c>
      <c r="D187" s="44">
        <v>2</v>
      </c>
      <c r="E187" s="43">
        <v>2.6656004264960682E-4</v>
      </c>
    </row>
    <row r="188" spans="2:5" ht="15" customHeight="1" x14ac:dyDescent="0.25">
      <c r="B188" s="83"/>
      <c r="C188" s="45" t="s">
        <v>30</v>
      </c>
      <c r="D188" s="44">
        <v>1</v>
      </c>
      <c r="E188" s="43">
        <v>1.3328002132480341E-4</v>
      </c>
    </row>
    <row r="189" spans="2:5" ht="15" customHeight="1" x14ac:dyDescent="0.25">
      <c r="B189" s="83"/>
      <c r="C189" s="45" t="s">
        <v>41</v>
      </c>
      <c r="D189" s="44">
        <v>1</v>
      </c>
      <c r="E189" s="43">
        <v>1.3328002132480341E-4</v>
      </c>
    </row>
    <row r="190" spans="2:5" ht="15" customHeight="1" x14ac:dyDescent="0.25">
      <c r="B190" s="83"/>
      <c r="C190" s="45" t="s">
        <v>37</v>
      </c>
      <c r="D190" s="44">
        <v>2</v>
      </c>
      <c r="E190" s="43">
        <v>2.6656004264960682E-4</v>
      </c>
    </row>
    <row r="191" spans="2:5" ht="15" customHeight="1" x14ac:dyDescent="0.25">
      <c r="B191" s="83"/>
      <c r="C191" s="45" t="s">
        <v>45</v>
      </c>
      <c r="D191" s="44">
        <v>1</v>
      </c>
      <c r="E191" s="43">
        <v>1.3328002132480341E-4</v>
      </c>
    </row>
    <row r="192" spans="2:5" ht="15" customHeight="1" x14ac:dyDescent="0.25">
      <c r="B192" s="83"/>
      <c r="C192" s="45" t="s">
        <v>35</v>
      </c>
      <c r="D192" s="44">
        <v>1</v>
      </c>
      <c r="E192" s="43">
        <v>1.3328002132480341E-4</v>
      </c>
    </row>
    <row r="193" spans="2:5" ht="15" customHeight="1" x14ac:dyDescent="0.25">
      <c r="B193" s="83"/>
      <c r="C193" s="45" t="s">
        <v>48</v>
      </c>
      <c r="D193" s="44">
        <v>3</v>
      </c>
      <c r="E193" s="43">
        <v>3.9984006397441024E-4</v>
      </c>
    </row>
    <row r="194" spans="2:5" ht="15" customHeight="1" x14ac:dyDescent="0.25">
      <c r="B194" s="83"/>
      <c r="C194" s="45" t="s">
        <v>58</v>
      </c>
      <c r="D194" s="44">
        <v>10</v>
      </c>
      <c r="E194" s="43">
        <v>1.3328002132480341E-3</v>
      </c>
    </row>
    <row r="195" spans="2:5" ht="15" customHeight="1" x14ac:dyDescent="0.25">
      <c r="B195" s="83"/>
      <c r="C195" s="45" t="s">
        <v>31</v>
      </c>
      <c r="D195" s="44">
        <v>1</v>
      </c>
      <c r="E195" s="43">
        <v>1.3328002132480341E-4</v>
      </c>
    </row>
    <row r="196" spans="2:5" ht="15" customHeight="1" x14ac:dyDescent="0.25">
      <c r="B196" s="83"/>
      <c r="C196" s="45" t="s">
        <v>47</v>
      </c>
      <c r="D196" s="44">
        <v>4</v>
      </c>
      <c r="E196" s="43">
        <v>5.3312008529921365E-4</v>
      </c>
    </row>
    <row r="197" spans="2:5" ht="15" customHeight="1" x14ac:dyDescent="0.25">
      <c r="B197" s="83"/>
      <c r="C197" s="45" t="s">
        <v>51</v>
      </c>
      <c r="D197" s="44">
        <v>11</v>
      </c>
      <c r="E197" s="43">
        <v>1.4660802345728375E-3</v>
      </c>
    </row>
    <row r="198" spans="2:5" ht="15" customHeight="1" x14ac:dyDescent="0.25">
      <c r="B198" s="83"/>
      <c r="C198" s="45" t="s">
        <v>44</v>
      </c>
      <c r="D198" s="44">
        <v>1</v>
      </c>
      <c r="E198" s="43">
        <v>1.3328002132480341E-4</v>
      </c>
    </row>
    <row r="199" spans="2:5" ht="15" customHeight="1" x14ac:dyDescent="0.25">
      <c r="B199" s="83"/>
      <c r="C199" s="45" t="s">
        <v>52</v>
      </c>
      <c r="D199" s="44">
        <v>1</v>
      </c>
      <c r="E199" s="43">
        <v>1.3328002132480341E-4</v>
      </c>
    </row>
    <row r="200" spans="2:5" ht="15" customHeight="1" x14ac:dyDescent="0.25">
      <c r="B200" s="83"/>
      <c r="C200" s="45" t="s">
        <v>26</v>
      </c>
      <c r="D200" s="44">
        <v>2</v>
      </c>
      <c r="E200" s="43">
        <v>2.6656004264960682E-4</v>
      </c>
    </row>
    <row r="201" spans="2:5" ht="15" customHeight="1" x14ac:dyDescent="0.25">
      <c r="B201" s="83"/>
      <c r="C201" s="45" t="s">
        <v>39</v>
      </c>
      <c r="D201" s="44">
        <v>1</v>
      </c>
      <c r="E201" s="43">
        <v>1.3328002132480341E-4</v>
      </c>
    </row>
    <row r="202" spans="2:5" ht="15" customHeight="1" x14ac:dyDescent="0.25">
      <c r="B202" s="83"/>
      <c r="C202" s="45" t="s">
        <v>57</v>
      </c>
      <c r="D202" s="44">
        <v>2</v>
      </c>
      <c r="E202" s="43">
        <v>2.6656004264960682E-4</v>
      </c>
    </row>
    <row r="203" spans="2:5" ht="15" customHeight="1" x14ac:dyDescent="0.25">
      <c r="B203" s="83"/>
      <c r="C203" s="45" t="s">
        <v>56</v>
      </c>
      <c r="D203" s="44">
        <v>13</v>
      </c>
      <c r="E203" s="43">
        <v>1.7326402772224444E-3</v>
      </c>
    </row>
    <row r="204" spans="2:5" ht="15" customHeight="1" x14ac:dyDescent="0.25">
      <c r="B204" s="83"/>
      <c r="C204" s="45" t="s">
        <v>54</v>
      </c>
      <c r="D204" s="44">
        <v>1</v>
      </c>
      <c r="E204" s="43">
        <v>1.3328002132480341E-4</v>
      </c>
    </row>
    <row r="205" spans="2:5" ht="15" customHeight="1" x14ac:dyDescent="0.25">
      <c r="B205" s="83"/>
      <c r="C205" s="45" t="s">
        <v>40</v>
      </c>
      <c r="D205" s="44">
        <v>1</v>
      </c>
      <c r="E205" s="43">
        <v>1.3328002132480341E-4</v>
      </c>
    </row>
    <row r="206" spans="2:5" ht="15" customHeight="1" x14ac:dyDescent="0.25">
      <c r="B206" s="84"/>
      <c r="C206" s="42" t="s">
        <v>20</v>
      </c>
      <c r="D206" s="41">
        <v>211</v>
      </c>
      <c r="E206" s="40">
        <v>2.8122084499533521E-2</v>
      </c>
    </row>
    <row r="207" spans="2:5" ht="15" customHeight="1" x14ac:dyDescent="0.25">
      <c r="B207" s="82" t="s">
        <v>147</v>
      </c>
      <c r="C207" s="45" t="s">
        <v>59</v>
      </c>
      <c r="D207" s="44">
        <v>11</v>
      </c>
      <c r="E207" s="43">
        <v>1.4660802345728375E-3</v>
      </c>
    </row>
    <row r="208" spans="2:5" ht="15" customHeight="1" x14ac:dyDescent="0.25">
      <c r="B208" s="83"/>
      <c r="C208" s="45" t="s">
        <v>60</v>
      </c>
      <c r="D208" s="44">
        <v>130</v>
      </c>
      <c r="E208" s="43">
        <v>1.7326402772224445E-2</v>
      </c>
    </row>
    <row r="209" spans="2:5" ht="15" customHeight="1" x14ac:dyDescent="0.25">
      <c r="B209" s="83"/>
      <c r="C209" s="45" t="s">
        <v>53</v>
      </c>
      <c r="D209" s="44">
        <v>2</v>
      </c>
      <c r="E209" s="43">
        <v>2.6656004264960682E-4</v>
      </c>
    </row>
    <row r="210" spans="2:5" ht="15" customHeight="1" x14ac:dyDescent="0.25">
      <c r="B210" s="83"/>
      <c r="C210" s="45" t="s">
        <v>49</v>
      </c>
      <c r="D210" s="44">
        <v>3</v>
      </c>
      <c r="E210" s="43">
        <v>3.9984006397441024E-4</v>
      </c>
    </row>
    <row r="211" spans="2:5" ht="15" customHeight="1" x14ac:dyDescent="0.25">
      <c r="B211" s="83"/>
      <c r="C211" s="45" t="s">
        <v>50</v>
      </c>
      <c r="D211" s="44">
        <v>14</v>
      </c>
      <c r="E211" s="43">
        <v>1.8659202985472478E-3</v>
      </c>
    </row>
    <row r="212" spans="2:5" ht="15" customHeight="1" x14ac:dyDescent="0.25">
      <c r="B212" s="83"/>
      <c r="C212" s="45" t="s">
        <v>55</v>
      </c>
      <c r="D212" s="44">
        <v>1</v>
      </c>
      <c r="E212" s="43">
        <v>1.3328002132480341E-4</v>
      </c>
    </row>
    <row r="213" spans="2:5" ht="15" customHeight="1" x14ac:dyDescent="0.25">
      <c r="B213" s="83"/>
      <c r="C213" s="45" t="s">
        <v>43</v>
      </c>
      <c r="D213" s="44">
        <v>1</v>
      </c>
      <c r="E213" s="43">
        <v>1.3328002132480341E-4</v>
      </c>
    </row>
    <row r="214" spans="2:5" ht="15" customHeight="1" x14ac:dyDescent="0.25">
      <c r="B214" s="83"/>
      <c r="C214" s="45" t="s">
        <v>37</v>
      </c>
      <c r="D214" s="44">
        <v>1</v>
      </c>
      <c r="E214" s="43">
        <v>1.3328002132480341E-4</v>
      </c>
    </row>
    <row r="215" spans="2:5" ht="15" customHeight="1" x14ac:dyDescent="0.25">
      <c r="B215" s="83"/>
      <c r="C215" s="45" t="s">
        <v>25</v>
      </c>
      <c r="D215" s="44">
        <v>1</v>
      </c>
      <c r="E215" s="43">
        <v>1.3328002132480341E-4</v>
      </c>
    </row>
    <row r="216" spans="2:5" ht="15" customHeight="1" x14ac:dyDescent="0.25">
      <c r="B216" s="83"/>
      <c r="C216" s="45" t="s">
        <v>35</v>
      </c>
      <c r="D216" s="44">
        <v>2</v>
      </c>
      <c r="E216" s="43">
        <v>2.6656004264960682E-4</v>
      </c>
    </row>
    <row r="217" spans="2:5" ht="15" customHeight="1" x14ac:dyDescent="0.25">
      <c r="B217" s="83"/>
      <c r="C217" s="45" t="s">
        <v>48</v>
      </c>
      <c r="D217" s="44">
        <v>3</v>
      </c>
      <c r="E217" s="43">
        <v>3.9984006397441024E-4</v>
      </c>
    </row>
    <row r="218" spans="2:5" ht="15" customHeight="1" x14ac:dyDescent="0.25">
      <c r="B218" s="83"/>
      <c r="C218" s="45" t="s">
        <v>58</v>
      </c>
      <c r="D218" s="44">
        <v>6</v>
      </c>
      <c r="E218" s="43">
        <v>7.9968012794882047E-4</v>
      </c>
    </row>
    <row r="219" spans="2:5" ht="15" customHeight="1" x14ac:dyDescent="0.25">
      <c r="B219" s="83"/>
      <c r="C219" s="45" t="s">
        <v>31</v>
      </c>
      <c r="D219" s="44">
        <v>1</v>
      </c>
      <c r="E219" s="43">
        <v>1.3328002132480341E-4</v>
      </c>
    </row>
    <row r="220" spans="2:5" ht="15" customHeight="1" x14ac:dyDescent="0.25">
      <c r="B220" s="83"/>
      <c r="C220" s="45" t="s">
        <v>47</v>
      </c>
      <c r="D220" s="44">
        <v>1</v>
      </c>
      <c r="E220" s="43">
        <v>1.3328002132480341E-4</v>
      </c>
    </row>
    <row r="221" spans="2:5" ht="15" customHeight="1" x14ac:dyDescent="0.25">
      <c r="B221" s="83"/>
      <c r="C221" s="45" t="s">
        <v>51</v>
      </c>
      <c r="D221" s="44">
        <v>3</v>
      </c>
      <c r="E221" s="43">
        <v>3.9984006397441024E-4</v>
      </c>
    </row>
    <row r="222" spans="2:5" ht="15" customHeight="1" x14ac:dyDescent="0.25">
      <c r="B222" s="83"/>
      <c r="C222" s="45" t="s">
        <v>52</v>
      </c>
      <c r="D222" s="44">
        <v>7</v>
      </c>
      <c r="E222" s="43">
        <v>9.3296014927362388E-4</v>
      </c>
    </row>
    <row r="223" spans="2:5" ht="15" customHeight="1" x14ac:dyDescent="0.25">
      <c r="B223" s="83"/>
      <c r="C223" s="45" t="s">
        <v>26</v>
      </c>
      <c r="D223" s="44">
        <v>1</v>
      </c>
      <c r="E223" s="43">
        <v>1.3328002132480341E-4</v>
      </c>
    </row>
    <row r="224" spans="2:5" ht="15" customHeight="1" x14ac:dyDescent="0.25">
      <c r="B224" s="83"/>
      <c r="C224" s="45" t="s">
        <v>57</v>
      </c>
      <c r="D224" s="44">
        <v>8</v>
      </c>
      <c r="E224" s="43">
        <v>1.0662401705984273E-3</v>
      </c>
    </row>
    <row r="225" spans="2:5" ht="15" customHeight="1" x14ac:dyDescent="0.25">
      <c r="B225" s="83"/>
      <c r="C225" s="45" t="s">
        <v>56</v>
      </c>
      <c r="D225" s="44">
        <v>11</v>
      </c>
      <c r="E225" s="43">
        <v>1.4660802345728375E-3</v>
      </c>
    </row>
    <row r="226" spans="2:5" ht="15" customHeight="1" x14ac:dyDescent="0.25">
      <c r="B226" s="83"/>
      <c r="C226" s="45" t="s">
        <v>34</v>
      </c>
      <c r="D226" s="44">
        <v>1</v>
      </c>
      <c r="E226" s="43">
        <v>1.3328002132480341E-4</v>
      </c>
    </row>
    <row r="227" spans="2:5" ht="15" customHeight="1" x14ac:dyDescent="0.25">
      <c r="B227" s="83"/>
      <c r="C227" s="45" t="s">
        <v>54</v>
      </c>
      <c r="D227" s="44">
        <v>1</v>
      </c>
      <c r="E227" s="43">
        <v>1.3328002132480341E-4</v>
      </c>
    </row>
    <row r="228" spans="2:5" ht="15" customHeight="1" x14ac:dyDescent="0.25">
      <c r="B228" s="83"/>
      <c r="C228" s="45" t="s">
        <v>40</v>
      </c>
      <c r="D228" s="44">
        <v>2</v>
      </c>
      <c r="E228" s="43">
        <v>2.6656004264960682E-4</v>
      </c>
    </row>
    <row r="229" spans="2:5" ht="15" customHeight="1" x14ac:dyDescent="0.25">
      <c r="B229" s="84"/>
      <c r="C229" s="42" t="s">
        <v>20</v>
      </c>
      <c r="D229" s="41">
        <v>211</v>
      </c>
      <c r="E229" s="40">
        <v>2.8122084499533521E-2</v>
      </c>
    </row>
    <row r="230" spans="2:5" ht="15" customHeight="1" x14ac:dyDescent="0.25">
      <c r="B230" s="82" t="s">
        <v>146</v>
      </c>
      <c r="C230" s="45" t="s">
        <v>33</v>
      </c>
      <c r="D230" s="44">
        <v>6</v>
      </c>
      <c r="E230" s="43">
        <v>7.9968012794882047E-4</v>
      </c>
    </row>
    <row r="231" spans="2:5" ht="15" customHeight="1" x14ac:dyDescent="0.25">
      <c r="B231" s="83"/>
      <c r="C231" s="45" t="s">
        <v>59</v>
      </c>
      <c r="D231" s="44">
        <v>183</v>
      </c>
      <c r="E231" s="43">
        <v>2.4390243902439025E-2</v>
      </c>
    </row>
    <row r="232" spans="2:5" ht="15" customHeight="1" x14ac:dyDescent="0.25">
      <c r="B232" s="83"/>
      <c r="C232" s="45" t="s">
        <v>36</v>
      </c>
      <c r="D232" s="44">
        <v>2</v>
      </c>
      <c r="E232" s="43">
        <v>2.6656004264960682E-4</v>
      </c>
    </row>
    <row r="233" spans="2:5" ht="15" customHeight="1" x14ac:dyDescent="0.25">
      <c r="B233" s="83"/>
      <c r="C233" s="45" t="s">
        <v>60</v>
      </c>
      <c r="D233" s="44">
        <v>1157</v>
      </c>
      <c r="E233" s="43">
        <v>0.15420498467279756</v>
      </c>
    </row>
    <row r="234" spans="2:5" ht="15" customHeight="1" x14ac:dyDescent="0.25">
      <c r="B234" s="83"/>
      <c r="C234" s="45" t="s">
        <v>53</v>
      </c>
      <c r="D234" s="44">
        <v>36</v>
      </c>
      <c r="E234" s="43">
        <v>4.7980807676929228E-3</v>
      </c>
    </row>
    <row r="235" spans="2:5" ht="15" customHeight="1" x14ac:dyDescent="0.25">
      <c r="B235" s="83"/>
      <c r="C235" s="45" t="s">
        <v>23</v>
      </c>
      <c r="D235" s="44">
        <v>2</v>
      </c>
      <c r="E235" s="43">
        <v>2.6656004264960682E-4</v>
      </c>
    </row>
    <row r="236" spans="2:5" ht="15" customHeight="1" x14ac:dyDescent="0.25">
      <c r="B236" s="83"/>
      <c r="C236" s="45" t="s">
        <v>49</v>
      </c>
      <c r="D236" s="44">
        <v>14</v>
      </c>
      <c r="E236" s="43">
        <v>1.8659202985472478E-3</v>
      </c>
    </row>
    <row r="237" spans="2:5" ht="15" customHeight="1" x14ac:dyDescent="0.25">
      <c r="B237" s="83"/>
      <c r="C237" s="45" t="s">
        <v>46</v>
      </c>
      <c r="D237" s="44">
        <v>12</v>
      </c>
      <c r="E237" s="43">
        <v>1.5993602558976409E-3</v>
      </c>
    </row>
    <row r="238" spans="2:5" ht="15" customHeight="1" x14ac:dyDescent="0.25">
      <c r="B238" s="83"/>
      <c r="C238" s="45" t="s">
        <v>50</v>
      </c>
      <c r="D238" s="44">
        <v>25</v>
      </c>
      <c r="E238" s="43">
        <v>3.3320005331200853E-3</v>
      </c>
    </row>
    <row r="239" spans="2:5" ht="15" customHeight="1" x14ac:dyDescent="0.25">
      <c r="B239" s="83"/>
      <c r="C239" s="45" t="s">
        <v>55</v>
      </c>
      <c r="D239" s="44">
        <v>30</v>
      </c>
      <c r="E239" s="43">
        <v>3.9984006397441024E-3</v>
      </c>
    </row>
    <row r="240" spans="2:5" ht="15" customHeight="1" x14ac:dyDescent="0.25">
      <c r="B240" s="83"/>
      <c r="C240" s="45" t="s">
        <v>42</v>
      </c>
      <c r="D240" s="44">
        <v>11</v>
      </c>
      <c r="E240" s="43">
        <v>1.4660802345728375E-3</v>
      </c>
    </row>
    <row r="241" spans="2:5" ht="15" customHeight="1" x14ac:dyDescent="0.25">
      <c r="B241" s="83"/>
      <c r="C241" s="45" t="s">
        <v>43</v>
      </c>
      <c r="D241" s="44">
        <v>9</v>
      </c>
      <c r="E241" s="43">
        <v>1.1995201919232307E-3</v>
      </c>
    </row>
    <row r="242" spans="2:5" ht="15" customHeight="1" x14ac:dyDescent="0.25">
      <c r="B242" s="83"/>
      <c r="C242" s="45" t="s">
        <v>30</v>
      </c>
      <c r="D242" s="44">
        <v>2</v>
      </c>
      <c r="E242" s="43">
        <v>2.6656004264960682E-4</v>
      </c>
    </row>
    <row r="243" spans="2:5" ht="15" customHeight="1" x14ac:dyDescent="0.25">
      <c r="B243" s="83"/>
      <c r="C243" s="45" t="s">
        <v>41</v>
      </c>
      <c r="D243" s="44">
        <v>6</v>
      </c>
      <c r="E243" s="43">
        <v>7.9968012794882047E-4</v>
      </c>
    </row>
    <row r="244" spans="2:5" ht="15" customHeight="1" x14ac:dyDescent="0.25">
      <c r="B244" s="83"/>
      <c r="C244" s="45" t="s">
        <v>24</v>
      </c>
      <c r="D244" s="44">
        <v>2</v>
      </c>
      <c r="E244" s="43">
        <v>2.6656004264960682E-4</v>
      </c>
    </row>
    <row r="245" spans="2:5" ht="15" customHeight="1" x14ac:dyDescent="0.25">
      <c r="B245" s="83"/>
      <c r="C245" s="45" t="s">
        <v>37</v>
      </c>
      <c r="D245" s="44">
        <v>8</v>
      </c>
      <c r="E245" s="43">
        <v>1.0662401705984273E-3</v>
      </c>
    </row>
    <row r="246" spans="2:5" ht="15" customHeight="1" x14ac:dyDescent="0.25">
      <c r="B246" s="83"/>
      <c r="C246" s="45" t="s">
        <v>45</v>
      </c>
      <c r="D246" s="44">
        <v>14</v>
      </c>
      <c r="E246" s="43">
        <v>1.8659202985472478E-3</v>
      </c>
    </row>
    <row r="247" spans="2:5" ht="15" customHeight="1" x14ac:dyDescent="0.25">
      <c r="B247" s="83"/>
      <c r="C247" s="45" t="s">
        <v>25</v>
      </c>
      <c r="D247" s="44">
        <v>1</v>
      </c>
      <c r="E247" s="43">
        <v>1.3328002132480341E-4</v>
      </c>
    </row>
    <row r="248" spans="2:5" ht="15" customHeight="1" x14ac:dyDescent="0.25">
      <c r="B248" s="83"/>
      <c r="C248" s="45" t="s">
        <v>35</v>
      </c>
      <c r="D248" s="44">
        <v>5</v>
      </c>
      <c r="E248" s="43">
        <v>6.6640010662401706E-4</v>
      </c>
    </row>
    <row r="249" spans="2:5" ht="15" customHeight="1" x14ac:dyDescent="0.25">
      <c r="B249" s="83"/>
      <c r="C249" s="45" t="s">
        <v>48</v>
      </c>
      <c r="D249" s="44">
        <v>20</v>
      </c>
      <c r="E249" s="43">
        <v>2.6656004264960682E-3</v>
      </c>
    </row>
    <row r="250" spans="2:5" ht="15" customHeight="1" x14ac:dyDescent="0.25">
      <c r="B250" s="83"/>
      <c r="C250" s="45" t="s">
        <v>58</v>
      </c>
      <c r="D250" s="44">
        <v>73</v>
      </c>
      <c r="E250" s="43">
        <v>9.7294415567106499E-3</v>
      </c>
    </row>
    <row r="251" spans="2:5" ht="15" customHeight="1" x14ac:dyDescent="0.25">
      <c r="B251" s="83"/>
      <c r="C251" s="45" t="s">
        <v>31</v>
      </c>
      <c r="D251" s="44">
        <v>2</v>
      </c>
      <c r="E251" s="43">
        <v>2.6656004264960682E-4</v>
      </c>
    </row>
    <row r="252" spans="2:5" ht="15" customHeight="1" x14ac:dyDescent="0.25">
      <c r="B252" s="83"/>
      <c r="C252" s="45" t="s">
        <v>47</v>
      </c>
      <c r="D252" s="44">
        <v>14</v>
      </c>
      <c r="E252" s="43">
        <v>1.8659202985472478E-3</v>
      </c>
    </row>
    <row r="253" spans="2:5" ht="15" customHeight="1" x14ac:dyDescent="0.25">
      <c r="B253" s="83"/>
      <c r="C253" s="45" t="s">
        <v>38</v>
      </c>
      <c r="D253" s="44">
        <v>3</v>
      </c>
      <c r="E253" s="43">
        <v>3.9984006397441024E-4</v>
      </c>
    </row>
    <row r="254" spans="2:5" ht="15" customHeight="1" x14ac:dyDescent="0.25">
      <c r="B254" s="83"/>
      <c r="C254" s="45" t="s">
        <v>51</v>
      </c>
      <c r="D254" s="44">
        <v>38</v>
      </c>
      <c r="E254" s="43">
        <v>5.0646408103425297E-3</v>
      </c>
    </row>
    <row r="255" spans="2:5" ht="15" customHeight="1" x14ac:dyDescent="0.25">
      <c r="B255" s="83"/>
      <c r="C255" s="45" t="s">
        <v>28</v>
      </c>
      <c r="D255" s="44">
        <v>2</v>
      </c>
      <c r="E255" s="43">
        <v>2.6656004264960682E-4</v>
      </c>
    </row>
    <row r="256" spans="2:5" ht="15" customHeight="1" x14ac:dyDescent="0.25">
      <c r="B256" s="83"/>
      <c r="C256" s="45" t="s">
        <v>44</v>
      </c>
      <c r="D256" s="44">
        <v>13</v>
      </c>
      <c r="E256" s="43">
        <v>1.7326402772224444E-3</v>
      </c>
    </row>
    <row r="257" spans="2:5" ht="15" customHeight="1" x14ac:dyDescent="0.25">
      <c r="B257" s="83"/>
      <c r="C257" s="45" t="s">
        <v>52</v>
      </c>
      <c r="D257" s="44">
        <v>9</v>
      </c>
      <c r="E257" s="43">
        <v>1.1995201919232307E-3</v>
      </c>
    </row>
    <row r="258" spans="2:5" ht="15" customHeight="1" x14ac:dyDescent="0.25">
      <c r="B258" s="83"/>
      <c r="C258" s="45" t="s">
        <v>27</v>
      </c>
      <c r="D258" s="44">
        <v>1</v>
      </c>
      <c r="E258" s="43">
        <v>1.3328002132480341E-4</v>
      </c>
    </row>
    <row r="259" spans="2:5" ht="15" customHeight="1" x14ac:dyDescent="0.25">
      <c r="B259" s="83"/>
      <c r="C259" s="45" t="s">
        <v>26</v>
      </c>
      <c r="D259" s="44">
        <v>6</v>
      </c>
      <c r="E259" s="43">
        <v>7.9968012794882047E-4</v>
      </c>
    </row>
    <row r="260" spans="2:5" ht="15" customHeight="1" x14ac:dyDescent="0.25">
      <c r="B260" s="83"/>
      <c r="C260" s="45" t="s">
        <v>39</v>
      </c>
      <c r="D260" s="44">
        <v>5</v>
      </c>
      <c r="E260" s="43">
        <v>6.6640010662401706E-4</v>
      </c>
    </row>
    <row r="261" spans="2:5" ht="15" customHeight="1" x14ac:dyDescent="0.25">
      <c r="B261" s="83"/>
      <c r="C261" s="45" t="s">
        <v>57</v>
      </c>
      <c r="D261" s="44">
        <v>84</v>
      </c>
      <c r="E261" s="43">
        <v>1.1195521791283487E-2</v>
      </c>
    </row>
    <row r="262" spans="2:5" ht="15" customHeight="1" x14ac:dyDescent="0.25">
      <c r="B262" s="83"/>
      <c r="C262" s="45" t="s">
        <v>56</v>
      </c>
      <c r="D262" s="44">
        <v>36</v>
      </c>
      <c r="E262" s="43">
        <v>4.7980807676929228E-3</v>
      </c>
    </row>
    <row r="263" spans="2:5" ht="15" customHeight="1" x14ac:dyDescent="0.25">
      <c r="B263" s="83"/>
      <c r="C263" s="45" t="s">
        <v>34</v>
      </c>
      <c r="D263" s="44">
        <v>3</v>
      </c>
      <c r="E263" s="43">
        <v>3.9984006397441024E-4</v>
      </c>
    </row>
    <row r="264" spans="2:5" ht="15" customHeight="1" x14ac:dyDescent="0.25">
      <c r="B264" s="83"/>
      <c r="C264" s="45" t="s">
        <v>54</v>
      </c>
      <c r="D264" s="44">
        <v>16</v>
      </c>
      <c r="E264" s="43">
        <v>2.1324803411968546E-3</v>
      </c>
    </row>
    <row r="265" spans="2:5" ht="15" customHeight="1" x14ac:dyDescent="0.25">
      <c r="B265" s="83"/>
      <c r="C265" s="45" t="s">
        <v>208</v>
      </c>
      <c r="D265" s="44">
        <v>1</v>
      </c>
      <c r="E265" s="43">
        <v>1.3328002132480341E-4</v>
      </c>
    </row>
    <row r="266" spans="2:5" ht="15" customHeight="1" x14ac:dyDescent="0.25">
      <c r="B266" s="83"/>
      <c r="C266" s="45" t="s">
        <v>40</v>
      </c>
      <c r="D266" s="44">
        <v>6</v>
      </c>
      <c r="E266" s="43">
        <v>7.9968012794882047E-4</v>
      </c>
    </row>
    <row r="267" spans="2:5" ht="15" customHeight="1" x14ac:dyDescent="0.25">
      <c r="B267" s="83"/>
      <c r="C267" s="45" t="s">
        <v>29</v>
      </c>
      <c r="D267" s="44">
        <v>8</v>
      </c>
      <c r="E267" s="43">
        <v>1.0662401705984273E-3</v>
      </c>
    </row>
    <row r="268" spans="2:5" ht="15" customHeight="1" x14ac:dyDescent="0.25">
      <c r="B268" s="84"/>
      <c r="C268" s="42" t="s">
        <v>20</v>
      </c>
      <c r="D268" s="41">
        <v>1865</v>
      </c>
      <c r="E268" s="40">
        <v>0.24856723977075837</v>
      </c>
    </row>
    <row r="269" spans="2:5" ht="15" customHeight="1" x14ac:dyDescent="0.25">
      <c r="B269" s="82" t="s">
        <v>145</v>
      </c>
      <c r="C269" s="45" t="s">
        <v>59</v>
      </c>
      <c r="D269" s="44">
        <v>16</v>
      </c>
      <c r="E269" s="43">
        <v>2.1324803411968546E-3</v>
      </c>
    </row>
    <row r="270" spans="2:5" ht="15" customHeight="1" x14ac:dyDescent="0.25">
      <c r="B270" s="83"/>
      <c r="C270" s="45" t="s">
        <v>60</v>
      </c>
      <c r="D270" s="44">
        <v>87</v>
      </c>
      <c r="E270" s="43">
        <v>1.1595361855257898E-2</v>
      </c>
    </row>
    <row r="271" spans="2:5" ht="15" customHeight="1" x14ac:dyDescent="0.25">
      <c r="B271" s="83"/>
      <c r="C271" s="45" t="s">
        <v>53</v>
      </c>
      <c r="D271" s="44">
        <v>2</v>
      </c>
      <c r="E271" s="43">
        <v>2.6656004264960682E-4</v>
      </c>
    </row>
    <row r="272" spans="2:5" ht="15" customHeight="1" x14ac:dyDescent="0.25">
      <c r="B272" s="83"/>
      <c r="C272" s="45" t="s">
        <v>49</v>
      </c>
      <c r="D272" s="44">
        <v>3</v>
      </c>
      <c r="E272" s="43">
        <v>3.9984006397441024E-4</v>
      </c>
    </row>
    <row r="273" spans="2:5" ht="15" customHeight="1" x14ac:dyDescent="0.25">
      <c r="B273" s="83"/>
      <c r="C273" s="45" t="s">
        <v>46</v>
      </c>
      <c r="D273" s="44">
        <v>1</v>
      </c>
      <c r="E273" s="43">
        <v>1.3328002132480341E-4</v>
      </c>
    </row>
    <row r="274" spans="2:5" ht="15" customHeight="1" x14ac:dyDescent="0.25">
      <c r="B274" s="83"/>
      <c r="C274" s="45" t="s">
        <v>50</v>
      </c>
      <c r="D274" s="44">
        <v>2</v>
      </c>
      <c r="E274" s="43">
        <v>2.6656004264960682E-4</v>
      </c>
    </row>
    <row r="275" spans="2:5" ht="15" customHeight="1" x14ac:dyDescent="0.25">
      <c r="B275" s="83"/>
      <c r="C275" s="45" t="s">
        <v>55</v>
      </c>
      <c r="D275" s="44">
        <v>3</v>
      </c>
      <c r="E275" s="43">
        <v>3.9984006397441024E-4</v>
      </c>
    </row>
    <row r="276" spans="2:5" ht="15" customHeight="1" x14ac:dyDescent="0.25">
      <c r="B276" s="83"/>
      <c r="C276" s="45" t="s">
        <v>42</v>
      </c>
      <c r="D276" s="44">
        <v>1</v>
      </c>
      <c r="E276" s="43">
        <v>1.3328002132480341E-4</v>
      </c>
    </row>
    <row r="277" spans="2:5" ht="15" customHeight="1" x14ac:dyDescent="0.25">
      <c r="B277" s="83"/>
      <c r="C277" s="45" t="s">
        <v>41</v>
      </c>
      <c r="D277" s="44">
        <v>2</v>
      </c>
      <c r="E277" s="43">
        <v>2.6656004264960682E-4</v>
      </c>
    </row>
    <row r="278" spans="2:5" ht="15" customHeight="1" x14ac:dyDescent="0.25">
      <c r="B278" s="83"/>
      <c r="C278" s="45" t="s">
        <v>37</v>
      </c>
      <c r="D278" s="44">
        <v>1</v>
      </c>
      <c r="E278" s="43">
        <v>1.3328002132480341E-4</v>
      </c>
    </row>
    <row r="279" spans="2:5" ht="15" customHeight="1" x14ac:dyDescent="0.25">
      <c r="B279" s="83"/>
      <c r="C279" s="45" t="s">
        <v>45</v>
      </c>
      <c r="D279" s="44">
        <v>1</v>
      </c>
      <c r="E279" s="43">
        <v>1.3328002132480341E-4</v>
      </c>
    </row>
    <row r="280" spans="2:5" ht="15" customHeight="1" x14ac:dyDescent="0.25">
      <c r="B280" s="83"/>
      <c r="C280" s="45" t="s">
        <v>48</v>
      </c>
      <c r="D280" s="44">
        <v>6</v>
      </c>
      <c r="E280" s="43">
        <v>7.9968012794882047E-4</v>
      </c>
    </row>
    <row r="281" spans="2:5" ht="15" customHeight="1" x14ac:dyDescent="0.25">
      <c r="B281" s="83"/>
      <c r="C281" s="45" t="s">
        <v>58</v>
      </c>
      <c r="D281" s="44">
        <v>6</v>
      </c>
      <c r="E281" s="43">
        <v>7.9968012794882047E-4</v>
      </c>
    </row>
    <row r="282" spans="2:5" ht="15" customHeight="1" x14ac:dyDescent="0.25">
      <c r="B282" s="83"/>
      <c r="C282" s="45" t="s">
        <v>47</v>
      </c>
      <c r="D282" s="44">
        <v>2</v>
      </c>
      <c r="E282" s="43">
        <v>2.6656004264960682E-4</v>
      </c>
    </row>
    <row r="283" spans="2:5" ht="15" customHeight="1" x14ac:dyDescent="0.25">
      <c r="B283" s="83"/>
      <c r="C283" s="45" t="s">
        <v>51</v>
      </c>
      <c r="D283" s="44">
        <v>2</v>
      </c>
      <c r="E283" s="43">
        <v>2.6656004264960682E-4</v>
      </c>
    </row>
    <row r="284" spans="2:5" ht="15" customHeight="1" x14ac:dyDescent="0.25">
      <c r="B284" s="83"/>
      <c r="C284" s="45" t="s">
        <v>52</v>
      </c>
      <c r="D284" s="44">
        <v>1</v>
      </c>
      <c r="E284" s="43">
        <v>1.3328002132480341E-4</v>
      </c>
    </row>
    <row r="285" spans="2:5" ht="15" customHeight="1" x14ac:dyDescent="0.25">
      <c r="B285" s="83"/>
      <c r="C285" s="45" t="s">
        <v>39</v>
      </c>
      <c r="D285" s="44">
        <v>1</v>
      </c>
      <c r="E285" s="43">
        <v>1.3328002132480341E-4</v>
      </c>
    </row>
    <row r="286" spans="2:5" ht="15" customHeight="1" x14ac:dyDescent="0.25">
      <c r="B286" s="83"/>
      <c r="C286" s="45" t="s">
        <v>57</v>
      </c>
      <c r="D286" s="44">
        <v>7</v>
      </c>
      <c r="E286" s="43">
        <v>9.3296014927362388E-4</v>
      </c>
    </row>
    <row r="287" spans="2:5" ht="15" customHeight="1" x14ac:dyDescent="0.25">
      <c r="B287" s="83"/>
      <c r="C287" s="45" t="s">
        <v>56</v>
      </c>
      <c r="D287" s="44">
        <v>1</v>
      </c>
      <c r="E287" s="43">
        <v>1.3328002132480341E-4</v>
      </c>
    </row>
    <row r="288" spans="2:5" ht="15" customHeight="1" x14ac:dyDescent="0.25">
      <c r="B288" s="83"/>
      <c r="C288" s="45" t="s">
        <v>40</v>
      </c>
      <c r="D288" s="44">
        <v>2</v>
      </c>
      <c r="E288" s="43">
        <v>2.6656004264960682E-4</v>
      </c>
    </row>
    <row r="289" spans="2:5" ht="15" customHeight="1" x14ac:dyDescent="0.25">
      <c r="B289" s="84"/>
      <c r="C289" s="42" t="s">
        <v>20</v>
      </c>
      <c r="D289" s="41">
        <v>147</v>
      </c>
      <c r="E289" s="40">
        <v>1.9592163134746102E-2</v>
      </c>
    </row>
    <row r="290" spans="2:5" ht="15" customHeight="1" x14ac:dyDescent="0.25">
      <c r="B290" s="82" t="s">
        <v>144</v>
      </c>
      <c r="C290" s="45" t="s">
        <v>33</v>
      </c>
      <c r="D290" s="44">
        <v>2</v>
      </c>
      <c r="E290" s="43">
        <v>2.6656004264960682E-4</v>
      </c>
    </row>
    <row r="291" spans="2:5" ht="15" customHeight="1" x14ac:dyDescent="0.25">
      <c r="B291" s="83"/>
      <c r="C291" s="45" t="s">
        <v>59</v>
      </c>
      <c r="D291" s="44">
        <v>76</v>
      </c>
      <c r="E291" s="43">
        <v>1.0129281620685059E-2</v>
      </c>
    </row>
    <row r="292" spans="2:5" ht="15" customHeight="1" x14ac:dyDescent="0.25">
      <c r="B292" s="83"/>
      <c r="C292" s="45" t="s">
        <v>36</v>
      </c>
      <c r="D292" s="44">
        <v>2</v>
      </c>
      <c r="E292" s="43">
        <v>2.6656004264960682E-4</v>
      </c>
    </row>
    <row r="293" spans="2:5" ht="15" customHeight="1" x14ac:dyDescent="0.25">
      <c r="B293" s="83"/>
      <c r="C293" s="45" t="s">
        <v>60</v>
      </c>
      <c r="D293" s="44">
        <v>392</v>
      </c>
      <c r="E293" s="43">
        <v>5.2245768359322937E-2</v>
      </c>
    </row>
    <row r="294" spans="2:5" ht="15" customHeight="1" x14ac:dyDescent="0.25">
      <c r="B294" s="83"/>
      <c r="C294" s="45" t="s">
        <v>53</v>
      </c>
      <c r="D294" s="44">
        <v>17</v>
      </c>
      <c r="E294" s="43">
        <v>2.265760362521658E-3</v>
      </c>
    </row>
    <row r="295" spans="2:5" ht="15" customHeight="1" x14ac:dyDescent="0.25">
      <c r="B295" s="83"/>
      <c r="C295" s="45" t="s">
        <v>49</v>
      </c>
      <c r="D295" s="44">
        <v>5</v>
      </c>
      <c r="E295" s="43">
        <v>6.6640010662401706E-4</v>
      </c>
    </row>
    <row r="296" spans="2:5" ht="15" customHeight="1" x14ac:dyDescent="0.25">
      <c r="B296" s="83"/>
      <c r="C296" s="45" t="s">
        <v>46</v>
      </c>
      <c r="D296" s="44">
        <v>4</v>
      </c>
      <c r="E296" s="43">
        <v>5.3312008529921365E-4</v>
      </c>
    </row>
    <row r="297" spans="2:5" ht="15" customHeight="1" x14ac:dyDescent="0.25">
      <c r="B297" s="83"/>
      <c r="C297" s="45" t="s">
        <v>50</v>
      </c>
      <c r="D297" s="44">
        <v>6</v>
      </c>
      <c r="E297" s="43">
        <v>7.9968012794882047E-4</v>
      </c>
    </row>
    <row r="298" spans="2:5" ht="15" customHeight="1" x14ac:dyDescent="0.25">
      <c r="B298" s="83"/>
      <c r="C298" s="45" t="s">
        <v>55</v>
      </c>
      <c r="D298" s="44">
        <v>8</v>
      </c>
      <c r="E298" s="43">
        <v>1.0662401705984273E-3</v>
      </c>
    </row>
    <row r="299" spans="2:5" ht="15" customHeight="1" x14ac:dyDescent="0.25">
      <c r="B299" s="83"/>
      <c r="C299" s="45" t="s">
        <v>42</v>
      </c>
      <c r="D299" s="44">
        <v>5</v>
      </c>
      <c r="E299" s="43">
        <v>6.6640010662401706E-4</v>
      </c>
    </row>
    <row r="300" spans="2:5" ht="15" customHeight="1" x14ac:dyDescent="0.25">
      <c r="B300" s="83"/>
      <c r="C300" s="45" t="s">
        <v>32</v>
      </c>
      <c r="D300" s="44">
        <v>1</v>
      </c>
      <c r="E300" s="43">
        <v>1.3328002132480341E-4</v>
      </c>
    </row>
    <row r="301" spans="2:5" ht="15" customHeight="1" x14ac:dyDescent="0.25">
      <c r="B301" s="83"/>
      <c r="C301" s="45" t="s">
        <v>43</v>
      </c>
      <c r="D301" s="44">
        <v>4</v>
      </c>
      <c r="E301" s="43">
        <v>5.3312008529921365E-4</v>
      </c>
    </row>
    <row r="302" spans="2:5" ht="15" customHeight="1" x14ac:dyDescent="0.25">
      <c r="B302" s="83"/>
      <c r="C302" s="45" t="s">
        <v>41</v>
      </c>
      <c r="D302" s="44">
        <v>2</v>
      </c>
      <c r="E302" s="43">
        <v>2.6656004264960682E-4</v>
      </c>
    </row>
    <row r="303" spans="2:5" ht="15" customHeight="1" x14ac:dyDescent="0.25">
      <c r="B303" s="83"/>
      <c r="C303" s="45" t="s">
        <v>24</v>
      </c>
      <c r="D303" s="44">
        <v>1</v>
      </c>
      <c r="E303" s="43">
        <v>1.3328002132480341E-4</v>
      </c>
    </row>
    <row r="304" spans="2:5" ht="15" customHeight="1" x14ac:dyDescent="0.25">
      <c r="B304" s="83"/>
      <c r="C304" s="45" t="s">
        <v>21</v>
      </c>
      <c r="D304" s="44">
        <v>1</v>
      </c>
      <c r="E304" s="43">
        <v>1.3328002132480341E-4</v>
      </c>
    </row>
    <row r="305" spans="2:5" ht="15" customHeight="1" x14ac:dyDescent="0.25">
      <c r="B305" s="83"/>
      <c r="C305" s="45" t="s">
        <v>37</v>
      </c>
      <c r="D305" s="44">
        <v>1</v>
      </c>
      <c r="E305" s="43">
        <v>1.3328002132480341E-4</v>
      </c>
    </row>
    <row r="306" spans="2:5" ht="15" customHeight="1" x14ac:dyDescent="0.25">
      <c r="B306" s="83"/>
      <c r="C306" s="45" t="s">
        <v>45</v>
      </c>
      <c r="D306" s="44">
        <v>4</v>
      </c>
      <c r="E306" s="43">
        <v>5.3312008529921365E-4</v>
      </c>
    </row>
    <row r="307" spans="2:5" ht="15" customHeight="1" x14ac:dyDescent="0.25">
      <c r="B307" s="83"/>
      <c r="C307" s="45" t="s">
        <v>25</v>
      </c>
      <c r="D307" s="44">
        <v>1</v>
      </c>
      <c r="E307" s="43">
        <v>1.3328002132480341E-4</v>
      </c>
    </row>
    <row r="308" spans="2:5" ht="15" customHeight="1" x14ac:dyDescent="0.25">
      <c r="B308" s="83"/>
      <c r="C308" s="45" t="s">
        <v>35</v>
      </c>
      <c r="D308" s="44">
        <v>4</v>
      </c>
      <c r="E308" s="43">
        <v>5.3312008529921365E-4</v>
      </c>
    </row>
    <row r="309" spans="2:5" ht="15" customHeight="1" x14ac:dyDescent="0.25">
      <c r="B309" s="83"/>
      <c r="C309" s="45" t="s">
        <v>48</v>
      </c>
      <c r="D309" s="44">
        <v>8</v>
      </c>
      <c r="E309" s="43">
        <v>1.0662401705984273E-3</v>
      </c>
    </row>
    <row r="310" spans="2:5" ht="15" customHeight="1" x14ac:dyDescent="0.25">
      <c r="B310" s="83"/>
      <c r="C310" s="45" t="s">
        <v>58</v>
      </c>
      <c r="D310" s="44">
        <v>32</v>
      </c>
      <c r="E310" s="43">
        <v>4.2649606823937092E-3</v>
      </c>
    </row>
    <row r="311" spans="2:5" ht="15" customHeight="1" x14ac:dyDescent="0.25">
      <c r="B311" s="83"/>
      <c r="C311" s="45" t="s">
        <v>31</v>
      </c>
      <c r="D311" s="44">
        <v>1</v>
      </c>
      <c r="E311" s="43">
        <v>1.3328002132480341E-4</v>
      </c>
    </row>
    <row r="312" spans="2:5" ht="15" customHeight="1" x14ac:dyDescent="0.25">
      <c r="B312" s="83"/>
      <c r="C312" s="45" t="s">
        <v>47</v>
      </c>
      <c r="D312" s="44">
        <v>3</v>
      </c>
      <c r="E312" s="43">
        <v>3.9984006397441024E-4</v>
      </c>
    </row>
    <row r="313" spans="2:5" ht="15" customHeight="1" x14ac:dyDescent="0.25">
      <c r="B313" s="83"/>
      <c r="C313" s="45" t="s">
        <v>51</v>
      </c>
      <c r="D313" s="44">
        <v>15</v>
      </c>
      <c r="E313" s="43">
        <v>1.9992003198720512E-3</v>
      </c>
    </row>
    <row r="314" spans="2:5" ht="15" customHeight="1" x14ac:dyDescent="0.25">
      <c r="B314" s="83"/>
      <c r="C314" s="45" t="s">
        <v>28</v>
      </c>
      <c r="D314" s="44">
        <v>1</v>
      </c>
      <c r="E314" s="43">
        <v>1.3328002132480341E-4</v>
      </c>
    </row>
    <row r="315" spans="2:5" ht="15" customHeight="1" x14ac:dyDescent="0.25">
      <c r="B315" s="83"/>
      <c r="C315" s="45" t="s">
        <v>44</v>
      </c>
      <c r="D315" s="44">
        <v>2</v>
      </c>
      <c r="E315" s="43">
        <v>2.6656004264960682E-4</v>
      </c>
    </row>
    <row r="316" spans="2:5" ht="15" customHeight="1" x14ac:dyDescent="0.25">
      <c r="B316" s="83"/>
      <c r="C316" s="45" t="s">
        <v>52</v>
      </c>
      <c r="D316" s="44">
        <v>4</v>
      </c>
      <c r="E316" s="43">
        <v>5.3312008529921365E-4</v>
      </c>
    </row>
    <row r="317" spans="2:5" ht="15" customHeight="1" x14ac:dyDescent="0.25">
      <c r="B317" s="83"/>
      <c r="C317" s="45" t="s">
        <v>26</v>
      </c>
      <c r="D317" s="44">
        <v>3</v>
      </c>
      <c r="E317" s="43">
        <v>3.9984006397441024E-4</v>
      </c>
    </row>
    <row r="318" spans="2:5" ht="15" customHeight="1" x14ac:dyDescent="0.25">
      <c r="B318" s="83"/>
      <c r="C318" s="45" t="s">
        <v>39</v>
      </c>
      <c r="D318" s="44">
        <v>1</v>
      </c>
      <c r="E318" s="43">
        <v>1.3328002132480341E-4</v>
      </c>
    </row>
    <row r="319" spans="2:5" ht="15" customHeight="1" x14ac:dyDescent="0.25">
      <c r="B319" s="83"/>
      <c r="C319" s="45" t="s">
        <v>57</v>
      </c>
      <c r="D319" s="44">
        <v>19</v>
      </c>
      <c r="E319" s="43">
        <v>2.5323204051712648E-3</v>
      </c>
    </row>
    <row r="320" spans="2:5" ht="15" customHeight="1" x14ac:dyDescent="0.25">
      <c r="B320" s="83"/>
      <c r="C320" s="45" t="s">
        <v>56</v>
      </c>
      <c r="D320" s="44">
        <v>17</v>
      </c>
      <c r="E320" s="43">
        <v>2.265760362521658E-3</v>
      </c>
    </row>
    <row r="321" spans="2:5" ht="15" customHeight="1" x14ac:dyDescent="0.25">
      <c r="B321" s="83"/>
      <c r="C321" s="45" t="s">
        <v>34</v>
      </c>
      <c r="D321" s="44">
        <v>2</v>
      </c>
      <c r="E321" s="43">
        <v>2.6656004264960682E-4</v>
      </c>
    </row>
    <row r="322" spans="2:5" ht="15" customHeight="1" x14ac:dyDescent="0.25">
      <c r="B322" s="83"/>
      <c r="C322" s="45" t="s">
        <v>54</v>
      </c>
      <c r="D322" s="44">
        <v>10</v>
      </c>
      <c r="E322" s="43">
        <v>1.3328002132480341E-3</v>
      </c>
    </row>
    <row r="323" spans="2:5" ht="15" customHeight="1" x14ac:dyDescent="0.25">
      <c r="B323" s="83"/>
      <c r="C323" s="45" t="s">
        <v>40</v>
      </c>
      <c r="D323" s="44">
        <v>5</v>
      </c>
      <c r="E323" s="43">
        <v>6.6640010662401706E-4</v>
      </c>
    </row>
    <row r="324" spans="2:5" ht="15" customHeight="1" x14ac:dyDescent="0.25">
      <c r="B324" s="83"/>
      <c r="C324" s="45" t="s">
        <v>29</v>
      </c>
      <c r="D324" s="44">
        <v>2</v>
      </c>
      <c r="E324" s="43">
        <v>2.6656004264960682E-4</v>
      </c>
    </row>
    <row r="325" spans="2:5" ht="15" customHeight="1" x14ac:dyDescent="0.25">
      <c r="B325" s="84"/>
      <c r="C325" s="42" t="s">
        <v>20</v>
      </c>
      <c r="D325" s="41">
        <v>661</v>
      </c>
      <c r="E325" s="40">
        <v>8.8098094095695051E-2</v>
      </c>
    </row>
    <row r="326" spans="2:5" ht="15" customHeight="1" x14ac:dyDescent="0.25">
      <c r="B326" s="82" t="s">
        <v>143</v>
      </c>
      <c r="C326" s="45" t="s">
        <v>33</v>
      </c>
      <c r="D326" s="44">
        <v>2</v>
      </c>
      <c r="E326" s="43">
        <v>2.6656004264960682E-4</v>
      </c>
    </row>
    <row r="327" spans="2:5" ht="15" customHeight="1" x14ac:dyDescent="0.25">
      <c r="B327" s="83"/>
      <c r="C327" s="45" t="s">
        <v>59</v>
      </c>
      <c r="D327" s="44">
        <v>182</v>
      </c>
      <c r="E327" s="43">
        <v>2.4256963881114223E-2</v>
      </c>
    </row>
    <row r="328" spans="2:5" ht="15" customHeight="1" x14ac:dyDescent="0.25">
      <c r="B328" s="83"/>
      <c r="C328" s="45" t="s">
        <v>36</v>
      </c>
      <c r="D328" s="44">
        <v>4</v>
      </c>
      <c r="E328" s="43">
        <v>5.3312008529921365E-4</v>
      </c>
    </row>
    <row r="329" spans="2:5" ht="15" customHeight="1" x14ac:dyDescent="0.25">
      <c r="B329" s="83"/>
      <c r="C329" s="45" t="s">
        <v>60</v>
      </c>
      <c r="D329" s="44">
        <v>1065</v>
      </c>
      <c r="E329" s="43">
        <v>0.14194322271091564</v>
      </c>
    </row>
    <row r="330" spans="2:5" ht="15" customHeight="1" x14ac:dyDescent="0.25">
      <c r="B330" s="83"/>
      <c r="C330" s="45" t="s">
        <v>53</v>
      </c>
      <c r="D330" s="44">
        <v>28</v>
      </c>
      <c r="E330" s="43">
        <v>3.7318405970944955E-3</v>
      </c>
    </row>
    <row r="331" spans="2:5" ht="15" customHeight="1" x14ac:dyDescent="0.25">
      <c r="B331" s="83"/>
      <c r="C331" s="45" t="s">
        <v>23</v>
      </c>
      <c r="D331" s="44">
        <v>1</v>
      </c>
      <c r="E331" s="43">
        <v>1.3328002132480341E-4</v>
      </c>
    </row>
    <row r="332" spans="2:5" ht="15" customHeight="1" x14ac:dyDescent="0.25">
      <c r="B332" s="83"/>
      <c r="C332" s="45" t="s">
        <v>49</v>
      </c>
      <c r="D332" s="44">
        <v>17</v>
      </c>
      <c r="E332" s="43">
        <v>2.265760362521658E-3</v>
      </c>
    </row>
    <row r="333" spans="2:5" ht="15" customHeight="1" x14ac:dyDescent="0.25">
      <c r="B333" s="83"/>
      <c r="C333" s="45" t="s">
        <v>46</v>
      </c>
      <c r="D333" s="44">
        <v>14</v>
      </c>
      <c r="E333" s="43">
        <v>1.8659202985472478E-3</v>
      </c>
    </row>
    <row r="334" spans="2:5" ht="15" customHeight="1" x14ac:dyDescent="0.25">
      <c r="B334" s="83"/>
      <c r="C334" s="45" t="s">
        <v>50</v>
      </c>
      <c r="D334" s="44">
        <v>19</v>
      </c>
      <c r="E334" s="43">
        <v>2.5323204051712648E-3</v>
      </c>
    </row>
    <row r="335" spans="2:5" ht="15" customHeight="1" x14ac:dyDescent="0.25">
      <c r="B335" s="83"/>
      <c r="C335" s="45" t="s">
        <v>55</v>
      </c>
      <c r="D335" s="44">
        <v>35</v>
      </c>
      <c r="E335" s="43">
        <v>4.6648007463681194E-3</v>
      </c>
    </row>
    <row r="336" spans="2:5" ht="15" customHeight="1" x14ac:dyDescent="0.25">
      <c r="B336" s="83"/>
      <c r="C336" s="45" t="s">
        <v>42</v>
      </c>
      <c r="D336" s="44">
        <v>9</v>
      </c>
      <c r="E336" s="43">
        <v>1.1995201919232307E-3</v>
      </c>
    </row>
    <row r="337" spans="2:5" ht="15" customHeight="1" x14ac:dyDescent="0.25">
      <c r="B337" s="83"/>
      <c r="C337" s="45" t="s">
        <v>32</v>
      </c>
      <c r="D337" s="44">
        <v>4</v>
      </c>
      <c r="E337" s="43">
        <v>5.3312008529921365E-4</v>
      </c>
    </row>
    <row r="338" spans="2:5" ht="15" customHeight="1" x14ac:dyDescent="0.25">
      <c r="B338" s="83"/>
      <c r="C338" s="45" t="s">
        <v>43</v>
      </c>
      <c r="D338" s="44">
        <v>6</v>
      </c>
      <c r="E338" s="43">
        <v>7.9968012794882047E-4</v>
      </c>
    </row>
    <row r="339" spans="2:5" ht="15" customHeight="1" x14ac:dyDescent="0.25">
      <c r="B339" s="83"/>
      <c r="C339" s="45" t="s">
        <v>30</v>
      </c>
      <c r="D339" s="44">
        <v>2</v>
      </c>
      <c r="E339" s="43">
        <v>2.6656004264960682E-4</v>
      </c>
    </row>
    <row r="340" spans="2:5" ht="15" customHeight="1" x14ac:dyDescent="0.25">
      <c r="B340" s="83"/>
      <c r="C340" s="45" t="s">
        <v>41</v>
      </c>
      <c r="D340" s="44">
        <v>19</v>
      </c>
      <c r="E340" s="43">
        <v>2.5323204051712648E-3</v>
      </c>
    </row>
    <row r="341" spans="2:5" ht="15" customHeight="1" x14ac:dyDescent="0.25">
      <c r="B341" s="83"/>
      <c r="C341" s="45" t="s">
        <v>24</v>
      </c>
      <c r="D341" s="44">
        <v>1</v>
      </c>
      <c r="E341" s="43">
        <v>1.3328002132480341E-4</v>
      </c>
    </row>
    <row r="342" spans="2:5" ht="15" customHeight="1" x14ac:dyDescent="0.25">
      <c r="B342" s="83"/>
      <c r="C342" s="45" t="s">
        <v>21</v>
      </c>
      <c r="D342" s="44">
        <v>2</v>
      </c>
      <c r="E342" s="43">
        <v>2.6656004264960682E-4</v>
      </c>
    </row>
    <row r="343" spans="2:5" ht="15" customHeight="1" x14ac:dyDescent="0.25">
      <c r="B343" s="83"/>
      <c r="C343" s="45" t="s">
        <v>37</v>
      </c>
      <c r="D343" s="44">
        <v>4</v>
      </c>
      <c r="E343" s="43">
        <v>5.3312008529921365E-4</v>
      </c>
    </row>
    <row r="344" spans="2:5" ht="15" customHeight="1" x14ac:dyDescent="0.25">
      <c r="B344" s="83"/>
      <c r="C344" s="45" t="s">
        <v>45</v>
      </c>
      <c r="D344" s="44">
        <v>14</v>
      </c>
      <c r="E344" s="43">
        <v>1.8659202985472478E-3</v>
      </c>
    </row>
    <row r="345" spans="2:5" ht="15" customHeight="1" x14ac:dyDescent="0.25">
      <c r="B345" s="83"/>
      <c r="C345" s="45" t="s">
        <v>35</v>
      </c>
      <c r="D345" s="44">
        <v>6</v>
      </c>
      <c r="E345" s="43">
        <v>7.9968012794882047E-4</v>
      </c>
    </row>
    <row r="346" spans="2:5" ht="15" customHeight="1" x14ac:dyDescent="0.25">
      <c r="B346" s="83"/>
      <c r="C346" s="45" t="s">
        <v>48</v>
      </c>
      <c r="D346" s="44">
        <v>20</v>
      </c>
      <c r="E346" s="43">
        <v>2.6656004264960682E-3</v>
      </c>
    </row>
    <row r="347" spans="2:5" ht="15" customHeight="1" x14ac:dyDescent="0.25">
      <c r="B347" s="83"/>
      <c r="C347" s="45" t="s">
        <v>58</v>
      </c>
      <c r="D347" s="44">
        <v>81</v>
      </c>
      <c r="E347" s="43">
        <v>1.0795681727309077E-2</v>
      </c>
    </row>
    <row r="348" spans="2:5" ht="15" customHeight="1" x14ac:dyDescent="0.25">
      <c r="B348" s="83"/>
      <c r="C348" s="45" t="s">
        <v>31</v>
      </c>
      <c r="D348" s="44">
        <v>3</v>
      </c>
      <c r="E348" s="43">
        <v>3.9984006397441024E-4</v>
      </c>
    </row>
    <row r="349" spans="2:5" ht="15" customHeight="1" x14ac:dyDescent="0.25">
      <c r="B349" s="83"/>
      <c r="C349" s="45" t="s">
        <v>47</v>
      </c>
      <c r="D349" s="44">
        <v>15</v>
      </c>
      <c r="E349" s="43">
        <v>1.9992003198720512E-3</v>
      </c>
    </row>
    <row r="350" spans="2:5" ht="15" customHeight="1" x14ac:dyDescent="0.25">
      <c r="B350" s="83"/>
      <c r="C350" s="45" t="s">
        <v>38</v>
      </c>
      <c r="D350" s="44">
        <v>3</v>
      </c>
      <c r="E350" s="43">
        <v>3.9984006397441024E-4</v>
      </c>
    </row>
    <row r="351" spans="2:5" ht="15" customHeight="1" x14ac:dyDescent="0.25">
      <c r="B351" s="83"/>
      <c r="C351" s="45" t="s">
        <v>51</v>
      </c>
      <c r="D351" s="44">
        <v>33</v>
      </c>
      <c r="E351" s="43">
        <v>4.3982407037185126E-3</v>
      </c>
    </row>
    <row r="352" spans="2:5" ht="15" customHeight="1" x14ac:dyDescent="0.25">
      <c r="B352" s="83"/>
      <c r="C352" s="45" t="s">
        <v>28</v>
      </c>
      <c r="D352" s="44">
        <v>2</v>
      </c>
      <c r="E352" s="43">
        <v>2.6656004264960682E-4</v>
      </c>
    </row>
    <row r="353" spans="2:5" ht="15" customHeight="1" x14ac:dyDescent="0.25">
      <c r="B353" s="83"/>
      <c r="C353" s="45" t="s">
        <v>44</v>
      </c>
      <c r="D353" s="44">
        <v>7</v>
      </c>
      <c r="E353" s="43">
        <v>9.3296014927362388E-4</v>
      </c>
    </row>
    <row r="354" spans="2:5" ht="15" customHeight="1" x14ac:dyDescent="0.25">
      <c r="B354" s="83"/>
      <c r="C354" s="45" t="s">
        <v>52</v>
      </c>
      <c r="D354" s="44">
        <v>17</v>
      </c>
      <c r="E354" s="43">
        <v>2.265760362521658E-3</v>
      </c>
    </row>
    <row r="355" spans="2:5" ht="15" customHeight="1" x14ac:dyDescent="0.25">
      <c r="B355" s="83"/>
      <c r="C355" s="45" t="s">
        <v>209</v>
      </c>
      <c r="D355" s="44">
        <v>1</v>
      </c>
      <c r="E355" s="43">
        <v>1.3328002132480341E-4</v>
      </c>
    </row>
    <row r="356" spans="2:5" ht="15" customHeight="1" x14ac:dyDescent="0.25">
      <c r="B356" s="83"/>
      <c r="C356" s="45" t="s">
        <v>26</v>
      </c>
      <c r="D356" s="44">
        <v>6</v>
      </c>
      <c r="E356" s="43">
        <v>7.9968012794882047E-4</v>
      </c>
    </row>
    <row r="357" spans="2:5" ht="15" customHeight="1" x14ac:dyDescent="0.25">
      <c r="B357" s="83"/>
      <c r="C357" s="45" t="s">
        <v>22</v>
      </c>
      <c r="D357" s="44">
        <v>2</v>
      </c>
      <c r="E357" s="43">
        <v>2.6656004264960682E-4</v>
      </c>
    </row>
    <row r="358" spans="2:5" ht="15" customHeight="1" x14ac:dyDescent="0.25">
      <c r="B358" s="83"/>
      <c r="C358" s="45" t="s">
        <v>39</v>
      </c>
      <c r="D358" s="44">
        <v>3</v>
      </c>
      <c r="E358" s="43">
        <v>3.9984006397441024E-4</v>
      </c>
    </row>
    <row r="359" spans="2:5" ht="15" customHeight="1" x14ac:dyDescent="0.25">
      <c r="B359" s="83"/>
      <c r="C359" s="45" t="s">
        <v>57</v>
      </c>
      <c r="D359" s="44">
        <v>76</v>
      </c>
      <c r="E359" s="43">
        <v>1.0129281620685059E-2</v>
      </c>
    </row>
    <row r="360" spans="2:5" ht="15" customHeight="1" x14ac:dyDescent="0.25">
      <c r="B360" s="83"/>
      <c r="C360" s="45" t="s">
        <v>56</v>
      </c>
      <c r="D360" s="44">
        <v>51</v>
      </c>
      <c r="E360" s="43">
        <v>6.797281087564974E-3</v>
      </c>
    </row>
    <row r="361" spans="2:5" ht="15" customHeight="1" x14ac:dyDescent="0.25">
      <c r="B361" s="83"/>
      <c r="C361" s="45" t="s">
        <v>34</v>
      </c>
      <c r="D361" s="44">
        <v>2</v>
      </c>
      <c r="E361" s="43">
        <v>2.6656004264960682E-4</v>
      </c>
    </row>
    <row r="362" spans="2:5" ht="15" customHeight="1" x14ac:dyDescent="0.25">
      <c r="B362" s="83"/>
      <c r="C362" s="45" t="s">
        <v>54</v>
      </c>
      <c r="D362" s="44">
        <v>17</v>
      </c>
      <c r="E362" s="43">
        <v>2.265760362521658E-3</v>
      </c>
    </row>
    <row r="363" spans="2:5" ht="15" customHeight="1" x14ac:dyDescent="0.25">
      <c r="B363" s="83"/>
      <c r="C363" s="45" t="s">
        <v>40</v>
      </c>
      <c r="D363" s="44">
        <v>10</v>
      </c>
      <c r="E363" s="43">
        <v>1.3328002132480341E-3</v>
      </c>
    </row>
    <row r="364" spans="2:5" ht="15" customHeight="1" x14ac:dyDescent="0.25">
      <c r="B364" s="83"/>
      <c r="C364" s="45" t="s">
        <v>29</v>
      </c>
      <c r="D364" s="44">
        <v>4</v>
      </c>
      <c r="E364" s="43">
        <v>5.3312008529921365E-4</v>
      </c>
    </row>
    <row r="365" spans="2:5" ht="15" customHeight="1" x14ac:dyDescent="0.25">
      <c r="B365" s="84"/>
      <c r="C365" s="42" t="s">
        <v>20</v>
      </c>
      <c r="D365" s="41">
        <v>1787</v>
      </c>
      <c r="E365" s="40">
        <v>0.23817139810742369</v>
      </c>
    </row>
    <row r="366" spans="2:5" ht="15" customHeight="1" x14ac:dyDescent="0.25">
      <c r="B366" s="82" t="s">
        <v>142</v>
      </c>
      <c r="C366" s="45" t="s">
        <v>59</v>
      </c>
      <c r="D366" s="44">
        <v>7</v>
      </c>
      <c r="E366" s="43">
        <v>9.3296014927362388E-4</v>
      </c>
    </row>
    <row r="367" spans="2:5" ht="15" customHeight="1" x14ac:dyDescent="0.25">
      <c r="B367" s="83"/>
      <c r="C367" s="45" t="s">
        <v>60</v>
      </c>
      <c r="D367" s="44">
        <v>22</v>
      </c>
      <c r="E367" s="43">
        <v>2.9321604691456751E-3</v>
      </c>
    </row>
    <row r="368" spans="2:5" ht="15" customHeight="1" x14ac:dyDescent="0.25">
      <c r="B368" s="83"/>
      <c r="C368" s="45" t="s">
        <v>53</v>
      </c>
      <c r="D368" s="44">
        <v>2</v>
      </c>
      <c r="E368" s="43">
        <v>2.6656004264960682E-4</v>
      </c>
    </row>
    <row r="369" spans="2:5" ht="15" customHeight="1" x14ac:dyDescent="0.25">
      <c r="B369" s="83"/>
      <c r="C369" s="45" t="s">
        <v>55</v>
      </c>
      <c r="D369" s="44">
        <v>1</v>
      </c>
      <c r="E369" s="43">
        <v>1.3328002132480341E-4</v>
      </c>
    </row>
    <row r="370" spans="2:5" ht="15" customHeight="1" x14ac:dyDescent="0.25">
      <c r="B370" s="83"/>
      <c r="C370" s="45" t="s">
        <v>48</v>
      </c>
      <c r="D370" s="44">
        <v>4</v>
      </c>
      <c r="E370" s="43">
        <v>5.3312008529921365E-4</v>
      </c>
    </row>
    <row r="371" spans="2:5" ht="15" customHeight="1" x14ac:dyDescent="0.25">
      <c r="B371" s="83"/>
      <c r="C371" s="45" t="s">
        <v>58</v>
      </c>
      <c r="D371" s="44">
        <v>1</v>
      </c>
      <c r="E371" s="43">
        <v>1.3328002132480341E-4</v>
      </c>
    </row>
    <row r="372" spans="2:5" ht="15" customHeight="1" x14ac:dyDescent="0.25">
      <c r="B372" s="83"/>
      <c r="C372" s="45" t="s">
        <v>57</v>
      </c>
      <c r="D372" s="44">
        <v>2</v>
      </c>
      <c r="E372" s="43">
        <v>2.6656004264960682E-4</v>
      </c>
    </row>
    <row r="373" spans="2:5" ht="15" customHeight="1" x14ac:dyDescent="0.25">
      <c r="B373" s="83"/>
      <c r="C373" s="45" t="s">
        <v>56</v>
      </c>
      <c r="D373" s="44">
        <v>1</v>
      </c>
      <c r="E373" s="43">
        <v>1.3328002132480341E-4</v>
      </c>
    </row>
    <row r="374" spans="2:5" ht="15" customHeight="1" x14ac:dyDescent="0.25">
      <c r="B374" s="83"/>
      <c r="C374" s="45" t="s">
        <v>40</v>
      </c>
      <c r="D374" s="44">
        <v>1</v>
      </c>
      <c r="E374" s="43">
        <v>1.3328002132480341E-4</v>
      </c>
    </row>
    <row r="375" spans="2:5" ht="15" customHeight="1" x14ac:dyDescent="0.25">
      <c r="B375" s="84"/>
      <c r="C375" s="42" t="s">
        <v>20</v>
      </c>
      <c r="D375" s="41">
        <v>41</v>
      </c>
      <c r="E375" s="40">
        <v>5.4644808743169399E-3</v>
      </c>
    </row>
    <row r="376" spans="2:5" ht="15" customHeight="1" x14ac:dyDescent="0.25">
      <c r="B376" s="82" t="s">
        <v>141</v>
      </c>
      <c r="C376" s="45" t="s">
        <v>59</v>
      </c>
      <c r="D376" s="44">
        <v>8</v>
      </c>
      <c r="E376" s="43">
        <v>1.0662401705984273E-3</v>
      </c>
    </row>
    <row r="377" spans="2:5" ht="15" customHeight="1" x14ac:dyDescent="0.25">
      <c r="B377" s="83"/>
      <c r="C377" s="45" t="s">
        <v>60</v>
      </c>
      <c r="D377" s="44">
        <v>28</v>
      </c>
      <c r="E377" s="43">
        <v>3.7318405970944955E-3</v>
      </c>
    </row>
    <row r="378" spans="2:5" ht="15" customHeight="1" x14ac:dyDescent="0.25">
      <c r="B378" s="83"/>
      <c r="C378" s="45" t="s">
        <v>53</v>
      </c>
      <c r="D378" s="44">
        <v>1</v>
      </c>
      <c r="E378" s="43">
        <v>1.3328002132480341E-4</v>
      </c>
    </row>
    <row r="379" spans="2:5" ht="15" customHeight="1" x14ac:dyDescent="0.25">
      <c r="B379" s="83"/>
      <c r="C379" s="45" t="s">
        <v>46</v>
      </c>
      <c r="D379" s="44">
        <v>1</v>
      </c>
      <c r="E379" s="43">
        <v>1.3328002132480341E-4</v>
      </c>
    </row>
    <row r="380" spans="2:5" ht="15" customHeight="1" x14ac:dyDescent="0.25">
      <c r="B380" s="83"/>
      <c r="C380" s="45" t="s">
        <v>35</v>
      </c>
      <c r="D380" s="44">
        <v>1</v>
      </c>
      <c r="E380" s="43">
        <v>1.3328002132480341E-4</v>
      </c>
    </row>
    <row r="381" spans="2:5" ht="15" customHeight="1" x14ac:dyDescent="0.25">
      <c r="B381" s="83"/>
      <c r="C381" s="45" t="s">
        <v>58</v>
      </c>
      <c r="D381" s="44">
        <v>2</v>
      </c>
      <c r="E381" s="43">
        <v>2.6656004264960682E-4</v>
      </c>
    </row>
    <row r="382" spans="2:5" ht="15" customHeight="1" x14ac:dyDescent="0.25">
      <c r="B382" s="83"/>
      <c r="C382" s="45" t="s">
        <v>57</v>
      </c>
      <c r="D382" s="44">
        <v>2</v>
      </c>
      <c r="E382" s="43">
        <v>2.6656004264960682E-4</v>
      </c>
    </row>
    <row r="383" spans="2:5" ht="15" customHeight="1" x14ac:dyDescent="0.25">
      <c r="B383" s="83"/>
      <c r="C383" s="45" t="s">
        <v>56</v>
      </c>
      <c r="D383" s="44">
        <v>3</v>
      </c>
      <c r="E383" s="43">
        <v>3.9984006397441024E-4</v>
      </c>
    </row>
    <row r="384" spans="2:5" ht="15" customHeight="1" x14ac:dyDescent="0.25">
      <c r="B384" s="83"/>
      <c r="C384" s="45" t="s">
        <v>54</v>
      </c>
      <c r="D384" s="44">
        <v>1</v>
      </c>
      <c r="E384" s="43">
        <v>1.3328002132480341E-4</v>
      </c>
    </row>
    <row r="385" spans="2:5" ht="15" customHeight="1" x14ac:dyDescent="0.25">
      <c r="B385" s="84"/>
      <c r="C385" s="42" t="s">
        <v>20</v>
      </c>
      <c r="D385" s="41">
        <v>47</v>
      </c>
      <c r="E385" s="40">
        <v>6.2641610022657604E-3</v>
      </c>
    </row>
    <row r="386" spans="2:5" ht="15" customHeight="1" x14ac:dyDescent="0.25">
      <c r="B386" s="82" t="s">
        <v>140</v>
      </c>
      <c r="C386" s="45" t="s">
        <v>59</v>
      </c>
      <c r="D386" s="44">
        <v>2</v>
      </c>
      <c r="E386" s="43">
        <v>2.6656004264960682E-4</v>
      </c>
    </row>
    <row r="387" spans="2:5" ht="15" customHeight="1" x14ac:dyDescent="0.25">
      <c r="B387" s="83"/>
      <c r="C387" s="45" t="s">
        <v>60</v>
      </c>
      <c r="D387" s="44">
        <v>10</v>
      </c>
      <c r="E387" s="43">
        <v>1.3328002132480341E-3</v>
      </c>
    </row>
    <row r="388" spans="2:5" ht="15" customHeight="1" x14ac:dyDescent="0.25">
      <c r="B388" s="83"/>
      <c r="C388" s="45" t="s">
        <v>53</v>
      </c>
      <c r="D388" s="44">
        <v>1</v>
      </c>
      <c r="E388" s="43">
        <v>1.3328002132480341E-4</v>
      </c>
    </row>
    <row r="389" spans="2:5" ht="15" customHeight="1" x14ac:dyDescent="0.25">
      <c r="B389" s="83"/>
      <c r="C389" s="45" t="s">
        <v>49</v>
      </c>
      <c r="D389" s="44">
        <v>1</v>
      </c>
      <c r="E389" s="43">
        <v>1.3328002132480341E-4</v>
      </c>
    </row>
    <row r="390" spans="2:5" ht="15" customHeight="1" x14ac:dyDescent="0.25">
      <c r="B390" s="83"/>
      <c r="C390" s="45" t="s">
        <v>48</v>
      </c>
      <c r="D390" s="44">
        <v>1</v>
      </c>
      <c r="E390" s="43">
        <v>1.3328002132480341E-4</v>
      </c>
    </row>
    <row r="391" spans="2:5" ht="15" customHeight="1" x14ac:dyDescent="0.25">
      <c r="B391" s="83"/>
      <c r="C391" s="45" t="s">
        <v>57</v>
      </c>
      <c r="D391" s="44">
        <v>1</v>
      </c>
      <c r="E391" s="43">
        <v>1.3328002132480341E-4</v>
      </c>
    </row>
    <row r="392" spans="2:5" ht="15" customHeight="1" x14ac:dyDescent="0.25">
      <c r="B392" s="83"/>
      <c r="C392" s="45" t="s">
        <v>56</v>
      </c>
      <c r="D392" s="44">
        <v>1</v>
      </c>
      <c r="E392" s="43">
        <v>1.3328002132480341E-4</v>
      </c>
    </row>
    <row r="393" spans="2:5" ht="15" customHeight="1" x14ac:dyDescent="0.25">
      <c r="B393" s="84"/>
      <c r="C393" s="42" t="s">
        <v>20</v>
      </c>
      <c r="D393" s="41">
        <v>17</v>
      </c>
      <c r="E393" s="40">
        <v>2.265760362521658E-3</v>
      </c>
    </row>
    <row r="394" spans="2:5" ht="15" customHeight="1" x14ac:dyDescent="0.25">
      <c r="B394" s="82" t="s">
        <v>139</v>
      </c>
      <c r="C394" s="45" t="s">
        <v>59</v>
      </c>
      <c r="D394" s="44">
        <v>2</v>
      </c>
      <c r="E394" s="43">
        <v>2.6656004264960682E-4</v>
      </c>
    </row>
    <row r="395" spans="2:5" ht="15" customHeight="1" x14ac:dyDescent="0.25">
      <c r="B395" s="83"/>
      <c r="C395" s="45" t="s">
        <v>60</v>
      </c>
      <c r="D395" s="44">
        <v>6</v>
      </c>
      <c r="E395" s="43">
        <v>7.9968012794882047E-4</v>
      </c>
    </row>
    <row r="396" spans="2:5" ht="15" customHeight="1" x14ac:dyDescent="0.25">
      <c r="B396" s="83"/>
      <c r="C396" s="45" t="s">
        <v>48</v>
      </c>
      <c r="D396" s="44">
        <v>1</v>
      </c>
      <c r="E396" s="43">
        <v>1.3328002132480341E-4</v>
      </c>
    </row>
    <row r="397" spans="2:5" ht="15" customHeight="1" x14ac:dyDescent="0.25">
      <c r="B397" s="83"/>
      <c r="C397" s="45" t="s">
        <v>58</v>
      </c>
      <c r="D397" s="44">
        <v>1</v>
      </c>
      <c r="E397" s="43">
        <v>1.3328002132480341E-4</v>
      </c>
    </row>
    <row r="398" spans="2:5" ht="15" customHeight="1" x14ac:dyDescent="0.25">
      <c r="B398" s="83"/>
      <c r="C398" s="45" t="s">
        <v>51</v>
      </c>
      <c r="D398" s="44">
        <v>1</v>
      </c>
      <c r="E398" s="43">
        <v>1.3328002132480341E-4</v>
      </c>
    </row>
    <row r="399" spans="2:5" ht="15" customHeight="1" x14ac:dyDescent="0.25">
      <c r="B399" s="83"/>
      <c r="C399" s="45" t="s">
        <v>57</v>
      </c>
      <c r="D399" s="44">
        <v>1</v>
      </c>
      <c r="E399" s="43">
        <v>1.3328002132480341E-4</v>
      </c>
    </row>
    <row r="400" spans="2:5" ht="15" customHeight="1" x14ac:dyDescent="0.25">
      <c r="B400" s="83"/>
      <c r="C400" s="45" t="s">
        <v>54</v>
      </c>
      <c r="D400" s="44">
        <v>1</v>
      </c>
      <c r="E400" s="43">
        <v>1.3328002132480341E-4</v>
      </c>
    </row>
    <row r="401" spans="2:5" ht="15" customHeight="1" x14ac:dyDescent="0.25">
      <c r="B401" s="84"/>
      <c r="C401" s="42" t="s">
        <v>20</v>
      </c>
      <c r="D401" s="41">
        <v>13</v>
      </c>
      <c r="E401" s="40">
        <v>1.7326402772224444E-3</v>
      </c>
    </row>
    <row r="402" spans="2:5" ht="15" customHeight="1" x14ac:dyDescent="0.25">
      <c r="B402" s="82" t="s">
        <v>138</v>
      </c>
      <c r="C402" s="45" t="s">
        <v>33</v>
      </c>
      <c r="D402" s="44">
        <v>1</v>
      </c>
      <c r="E402" s="43">
        <v>1.3328002132480341E-4</v>
      </c>
    </row>
    <row r="403" spans="2:5" ht="15" customHeight="1" x14ac:dyDescent="0.25">
      <c r="B403" s="83"/>
      <c r="C403" s="45" t="s">
        <v>59</v>
      </c>
      <c r="D403" s="44">
        <v>14</v>
      </c>
      <c r="E403" s="43">
        <v>1.8659202985472478E-3</v>
      </c>
    </row>
    <row r="404" spans="2:5" ht="15" customHeight="1" x14ac:dyDescent="0.25">
      <c r="B404" s="83"/>
      <c r="C404" s="45" t="s">
        <v>36</v>
      </c>
      <c r="D404" s="44">
        <v>1</v>
      </c>
      <c r="E404" s="43">
        <v>1.3328002132480341E-4</v>
      </c>
    </row>
    <row r="405" spans="2:5" ht="15" customHeight="1" x14ac:dyDescent="0.25">
      <c r="B405" s="83"/>
      <c r="C405" s="45" t="s">
        <v>60</v>
      </c>
      <c r="D405" s="44">
        <v>108</v>
      </c>
      <c r="E405" s="43">
        <v>1.4394242303078768E-2</v>
      </c>
    </row>
    <row r="406" spans="2:5" ht="15" customHeight="1" x14ac:dyDescent="0.25">
      <c r="B406" s="83"/>
      <c r="C406" s="45" t="s">
        <v>53</v>
      </c>
      <c r="D406" s="44">
        <v>8</v>
      </c>
      <c r="E406" s="43">
        <v>1.0662401705984273E-3</v>
      </c>
    </row>
    <row r="407" spans="2:5" ht="15" customHeight="1" x14ac:dyDescent="0.25">
      <c r="B407" s="83"/>
      <c r="C407" s="45" t="s">
        <v>49</v>
      </c>
      <c r="D407" s="44">
        <v>1</v>
      </c>
      <c r="E407" s="43">
        <v>1.3328002132480341E-4</v>
      </c>
    </row>
    <row r="408" spans="2:5" ht="15" customHeight="1" x14ac:dyDescent="0.25">
      <c r="B408" s="83"/>
      <c r="C408" s="45" t="s">
        <v>50</v>
      </c>
      <c r="D408" s="44">
        <v>1</v>
      </c>
      <c r="E408" s="43">
        <v>1.3328002132480341E-4</v>
      </c>
    </row>
    <row r="409" spans="2:5" ht="15" customHeight="1" x14ac:dyDescent="0.25">
      <c r="B409" s="83"/>
      <c r="C409" s="45" t="s">
        <v>55</v>
      </c>
      <c r="D409" s="44">
        <v>5</v>
      </c>
      <c r="E409" s="43">
        <v>6.6640010662401706E-4</v>
      </c>
    </row>
    <row r="410" spans="2:5" ht="15" customHeight="1" x14ac:dyDescent="0.25">
      <c r="B410" s="83"/>
      <c r="C410" s="45" t="s">
        <v>42</v>
      </c>
      <c r="D410" s="44">
        <v>1</v>
      </c>
      <c r="E410" s="43">
        <v>1.3328002132480341E-4</v>
      </c>
    </row>
    <row r="411" spans="2:5" ht="15" customHeight="1" x14ac:dyDescent="0.25">
      <c r="B411" s="83"/>
      <c r="C411" s="45" t="s">
        <v>43</v>
      </c>
      <c r="D411" s="44">
        <v>1</v>
      </c>
      <c r="E411" s="43">
        <v>1.3328002132480341E-4</v>
      </c>
    </row>
    <row r="412" spans="2:5" ht="15" customHeight="1" x14ac:dyDescent="0.25">
      <c r="B412" s="83"/>
      <c r="C412" s="45" t="s">
        <v>30</v>
      </c>
      <c r="D412" s="44">
        <v>2</v>
      </c>
      <c r="E412" s="43">
        <v>2.6656004264960682E-4</v>
      </c>
    </row>
    <row r="413" spans="2:5" ht="15" customHeight="1" x14ac:dyDescent="0.25">
      <c r="B413" s="83"/>
      <c r="C413" s="45" t="s">
        <v>37</v>
      </c>
      <c r="D413" s="44">
        <v>2</v>
      </c>
      <c r="E413" s="43">
        <v>2.6656004264960682E-4</v>
      </c>
    </row>
    <row r="414" spans="2:5" ht="15" customHeight="1" x14ac:dyDescent="0.25">
      <c r="B414" s="83"/>
      <c r="C414" s="45" t="s">
        <v>45</v>
      </c>
      <c r="D414" s="44">
        <v>2</v>
      </c>
      <c r="E414" s="43">
        <v>2.6656004264960682E-4</v>
      </c>
    </row>
    <row r="415" spans="2:5" ht="15" customHeight="1" x14ac:dyDescent="0.25">
      <c r="B415" s="83"/>
      <c r="C415" s="45" t="s">
        <v>35</v>
      </c>
      <c r="D415" s="44">
        <v>2</v>
      </c>
      <c r="E415" s="43">
        <v>2.6656004264960682E-4</v>
      </c>
    </row>
    <row r="416" spans="2:5" ht="15" customHeight="1" x14ac:dyDescent="0.25">
      <c r="B416" s="83"/>
      <c r="C416" s="45" t="s">
        <v>48</v>
      </c>
      <c r="D416" s="44">
        <v>1</v>
      </c>
      <c r="E416" s="43">
        <v>1.3328002132480341E-4</v>
      </c>
    </row>
    <row r="417" spans="2:5" ht="15" customHeight="1" x14ac:dyDescent="0.25">
      <c r="B417" s="83"/>
      <c r="C417" s="45" t="s">
        <v>58</v>
      </c>
      <c r="D417" s="44">
        <v>12</v>
      </c>
      <c r="E417" s="43">
        <v>1.5993602558976409E-3</v>
      </c>
    </row>
    <row r="418" spans="2:5" ht="15" customHeight="1" x14ac:dyDescent="0.25">
      <c r="B418" s="83"/>
      <c r="C418" s="45" t="s">
        <v>51</v>
      </c>
      <c r="D418" s="44">
        <v>5</v>
      </c>
      <c r="E418" s="43">
        <v>6.6640010662401706E-4</v>
      </c>
    </row>
    <row r="419" spans="2:5" ht="15" customHeight="1" x14ac:dyDescent="0.25">
      <c r="B419" s="83"/>
      <c r="C419" s="45" t="s">
        <v>57</v>
      </c>
      <c r="D419" s="44">
        <v>3</v>
      </c>
      <c r="E419" s="43">
        <v>3.9984006397441024E-4</v>
      </c>
    </row>
    <row r="420" spans="2:5" ht="15" customHeight="1" x14ac:dyDescent="0.25">
      <c r="B420" s="83"/>
      <c r="C420" s="45" t="s">
        <v>56</v>
      </c>
      <c r="D420" s="44">
        <v>11</v>
      </c>
      <c r="E420" s="43">
        <v>1.4660802345728375E-3</v>
      </c>
    </row>
    <row r="421" spans="2:5" ht="15" customHeight="1" x14ac:dyDescent="0.25">
      <c r="B421" s="83"/>
      <c r="C421" s="45" t="s">
        <v>54</v>
      </c>
      <c r="D421" s="44">
        <v>1</v>
      </c>
      <c r="E421" s="43">
        <v>1.3328002132480341E-4</v>
      </c>
    </row>
    <row r="422" spans="2:5" ht="15" customHeight="1" x14ac:dyDescent="0.25">
      <c r="B422" s="83"/>
      <c r="C422" s="45" t="s">
        <v>40</v>
      </c>
      <c r="D422" s="44">
        <v>3</v>
      </c>
      <c r="E422" s="43">
        <v>3.9984006397441024E-4</v>
      </c>
    </row>
    <row r="423" spans="2:5" ht="15" customHeight="1" x14ac:dyDescent="0.25">
      <c r="B423" s="84"/>
      <c r="C423" s="42" t="s">
        <v>20</v>
      </c>
      <c r="D423" s="41">
        <v>185</v>
      </c>
      <c r="E423" s="40">
        <v>2.465680394508863E-2</v>
      </c>
    </row>
    <row r="424" spans="2:5" ht="15" customHeight="1" x14ac:dyDescent="0.25">
      <c r="B424" s="82" t="s">
        <v>137</v>
      </c>
      <c r="C424" s="45" t="s">
        <v>33</v>
      </c>
      <c r="D424" s="44">
        <v>2</v>
      </c>
      <c r="E424" s="43">
        <v>2.6656004264960682E-4</v>
      </c>
    </row>
    <row r="425" spans="2:5" ht="15" customHeight="1" x14ac:dyDescent="0.25">
      <c r="B425" s="83"/>
      <c r="C425" s="45" t="s">
        <v>59</v>
      </c>
      <c r="D425" s="44">
        <v>48</v>
      </c>
      <c r="E425" s="43">
        <v>6.3974410235905638E-3</v>
      </c>
    </row>
    <row r="426" spans="2:5" ht="15" customHeight="1" x14ac:dyDescent="0.25">
      <c r="B426" s="83"/>
      <c r="C426" s="45" t="s">
        <v>36</v>
      </c>
      <c r="D426" s="44">
        <v>1</v>
      </c>
      <c r="E426" s="43">
        <v>1.3328002132480341E-4</v>
      </c>
    </row>
    <row r="427" spans="2:5" ht="15" customHeight="1" x14ac:dyDescent="0.25">
      <c r="B427" s="83"/>
      <c r="C427" s="45" t="s">
        <v>60</v>
      </c>
      <c r="D427" s="44">
        <v>250</v>
      </c>
      <c r="E427" s="43">
        <v>3.3320005331200851E-2</v>
      </c>
    </row>
    <row r="428" spans="2:5" ht="15" customHeight="1" x14ac:dyDescent="0.25">
      <c r="B428" s="83"/>
      <c r="C428" s="45" t="s">
        <v>53</v>
      </c>
      <c r="D428" s="44">
        <v>13</v>
      </c>
      <c r="E428" s="43">
        <v>1.7326402772224444E-3</v>
      </c>
    </row>
    <row r="429" spans="2:5" ht="15" customHeight="1" x14ac:dyDescent="0.25">
      <c r="B429" s="83"/>
      <c r="C429" s="45" t="s">
        <v>49</v>
      </c>
      <c r="D429" s="44">
        <v>5</v>
      </c>
      <c r="E429" s="43">
        <v>6.6640010662401706E-4</v>
      </c>
    </row>
    <row r="430" spans="2:5" ht="15" customHeight="1" x14ac:dyDescent="0.25">
      <c r="B430" s="83"/>
      <c r="C430" s="45" t="s">
        <v>46</v>
      </c>
      <c r="D430" s="44">
        <v>1</v>
      </c>
      <c r="E430" s="43">
        <v>1.3328002132480341E-4</v>
      </c>
    </row>
    <row r="431" spans="2:5" ht="15" customHeight="1" x14ac:dyDescent="0.25">
      <c r="B431" s="83"/>
      <c r="C431" s="45" t="s">
        <v>50</v>
      </c>
      <c r="D431" s="44">
        <v>4</v>
      </c>
      <c r="E431" s="43">
        <v>5.3312008529921365E-4</v>
      </c>
    </row>
    <row r="432" spans="2:5" ht="15" customHeight="1" x14ac:dyDescent="0.25">
      <c r="B432" s="83"/>
      <c r="C432" s="45" t="s">
        <v>55</v>
      </c>
      <c r="D432" s="44">
        <v>9</v>
      </c>
      <c r="E432" s="43">
        <v>1.1995201919232307E-3</v>
      </c>
    </row>
    <row r="433" spans="2:5" ht="15" customHeight="1" x14ac:dyDescent="0.25">
      <c r="B433" s="83"/>
      <c r="C433" s="45" t="s">
        <v>42</v>
      </c>
      <c r="D433" s="44">
        <v>3</v>
      </c>
      <c r="E433" s="43">
        <v>3.9984006397441024E-4</v>
      </c>
    </row>
    <row r="434" spans="2:5" ht="15" customHeight="1" x14ac:dyDescent="0.25">
      <c r="B434" s="83"/>
      <c r="C434" s="45" t="s">
        <v>43</v>
      </c>
      <c r="D434" s="44">
        <v>2</v>
      </c>
      <c r="E434" s="43">
        <v>2.6656004264960682E-4</v>
      </c>
    </row>
    <row r="435" spans="2:5" ht="15" customHeight="1" x14ac:dyDescent="0.25">
      <c r="B435" s="83"/>
      <c r="C435" s="45" t="s">
        <v>30</v>
      </c>
      <c r="D435" s="44">
        <v>2</v>
      </c>
      <c r="E435" s="43">
        <v>2.6656004264960682E-4</v>
      </c>
    </row>
    <row r="436" spans="2:5" ht="15" customHeight="1" x14ac:dyDescent="0.25">
      <c r="B436" s="83"/>
      <c r="C436" s="45" t="s">
        <v>41</v>
      </c>
      <c r="D436" s="44">
        <v>2</v>
      </c>
      <c r="E436" s="43">
        <v>2.6656004264960682E-4</v>
      </c>
    </row>
    <row r="437" spans="2:5" ht="15" customHeight="1" x14ac:dyDescent="0.25">
      <c r="B437" s="83"/>
      <c r="C437" s="45" t="s">
        <v>21</v>
      </c>
      <c r="D437" s="44">
        <v>2</v>
      </c>
      <c r="E437" s="43">
        <v>2.6656004264960682E-4</v>
      </c>
    </row>
    <row r="438" spans="2:5" ht="15" customHeight="1" x14ac:dyDescent="0.25">
      <c r="B438" s="83"/>
      <c r="C438" s="45" t="s">
        <v>37</v>
      </c>
      <c r="D438" s="44">
        <v>3</v>
      </c>
      <c r="E438" s="43">
        <v>3.9984006397441024E-4</v>
      </c>
    </row>
    <row r="439" spans="2:5" ht="15" customHeight="1" x14ac:dyDescent="0.25">
      <c r="B439" s="83"/>
      <c r="C439" s="45" t="s">
        <v>45</v>
      </c>
      <c r="D439" s="44">
        <v>8</v>
      </c>
      <c r="E439" s="43">
        <v>1.0662401705984273E-3</v>
      </c>
    </row>
    <row r="440" spans="2:5" ht="15" customHeight="1" x14ac:dyDescent="0.25">
      <c r="B440" s="83"/>
      <c r="C440" s="45" t="s">
        <v>35</v>
      </c>
      <c r="D440" s="44">
        <v>3</v>
      </c>
      <c r="E440" s="43">
        <v>3.9984006397441024E-4</v>
      </c>
    </row>
    <row r="441" spans="2:5" ht="15" customHeight="1" x14ac:dyDescent="0.25">
      <c r="B441" s="83"/>
      <c r="C441" s="45" t="s">
        <v>48</v>
      </c>
      <c r="D441" s="44">
        <v>7</v>
      </c>
      <c r="E441" s="43">
        <v>9.3296014927362388E-4</v>
      </c>
    </row>
    <row r="442" spans="2:5" ht="15" customHeight="1" x14ac:dyDescent="0.25">
      <c r="B442" s="83"/>
      <c r="C442" s="45" t="s">
        <v>58</v>
      </c>
      <c r="D442" s="44">
        <v>21</v>
      </c>
      <c r="E442" s="43">
        <v>2.7988804478208716E-3</v>
      </c>
    </row>
    <row r="443" spans="2:5" ht="15" customHeight="1" x14ac:dyDescent="0.25">
      <c r="B443" s="83"/>
      <c r="C443" s="45" t="s">
        <v>47</v>
      </c>
      <c r="D443" s="44">
        <v>3</v>
      </c>
      <c r="E443" s="43">
        <v>3.9984006397441024E-4</v>
      </c>
    </row>
    <row r="444" spans="2:5" ht="15" customHeight="1" x14ac:dyDescent="0.25">
      <c r="B444" s="83"/>
      <c r="C444" s="45" t="s">
        <v>38</v>
      </c>
      <c r="D444" s="44">
        <v>1</v>
      </c>
      <c r="E444" s="43">
        <v>1.3328002132480341E-4</v>
      </c>
    </row>
    <row r="445" spans="2:5" ht="15" customHeight="1" x14ac:dyDescent="0.25">
      <c r="B445" s="83"/>
      <c r="C445" s="45" t="s">
        <v>51</v>
      </c>
      <c r="D445" s="44">
        <v>7</v>
      </c>
      <c r="E445" s="43">
        <v>9.3296014927362388E-4</v>
      </c>
    </row>
    <row r="446" spans="2:5" ht="15" customHeight="1" x14ac:dyDescent="0.25">
      <c r="B446" s="83"/>
      <c r="C446" s="45" t="s">
        <v>44</v>
      </c>
      <c r="D446" s="44">
        <v>3</v>
      </c>
      <c r="E446" s="43">
        <v>3.9984006397441024E-4</v>
      </c>
    </row>
    <row r="447" spans="2:5" ht="15" customHeight="1" x14ac:dyDescent="0.25">
      <c r="B447" s="83"/>
      <c r="C447" s="45" t="s">
        <v>52</v>
      </c>
      <c r="D447" s="44">
        <v>5</v>
      </c>
      <c r="E447" s="43">
        <v>6.6640010662401706E-4</v>
      </c>
    </row>
    <row r="448" spans="2:5" ht="15" customHeight="1" x14ac:dyDescent="0.25">
      <c r="B448" s="83"/>
      <c r="C448" s="45" t="s">
        <v>27</v>
      </c>
      <c r="D448" s="44">
        <v>1</v>
      </c>
      <c r="E448" s="43">
        <v>1.3328002132480341E-4</v>
      </c>
    </row>
    <row r="449" spans="2:5" ht="15" customHeight="1" x14ac:dyDescent="0.25">
      <c r="B449" s="83"/>
      <c r="C449" s="45" t="s">
        <v>26</v>
      </c>
      <c r="D449" s="44">
        <v>2</v>
      </c>
      <c r="E449" s="43">
        <v>2.6656004264960682E-4</v>
      </c>
    </row>
    <row r="450" spans="2:5" ht="15" customHeight="1" x14ac:dyDescent="0.25">
      <c r="B450" s="83"/>
      <c r="C450" s="45" t="s">
        <v>22</v>
      </c>
      <c r="D450" s="44">
        <v>2</v>
      </c>
      <c r="E450" s="43">
        <v>2.6656004264960682E-4</v>
      </c>
    </row>
    <row r="451" spans="2:5" ht="15" customHeight="1" x14ac:dyDescent="0.25">
      <c r="B451" s="83"/>
      <c r="C451" s="45" t="s">
        <v>39</v>
      </c>
      <c r="D451" s="44">
        <v>1</v>
      </c>
      <c r="E451" s="43">
        <v>1.3328002132480341E-4</v>
      </c>
    </row>
    <row r="452" spans="2:5" ht="15" customHeight="1" x14ac:dyDescent="0.25">
      <c r="B452" s="83"/>
      <c r="C452" s="45" t="s">
        <v>57</v>
      </c>
      <c r="D452" s="44">
        <v>28</v>
      </c>
      <c r="E452" s="43">
        <v>3.7318405970944955E-3</v>
      </c>
    </row>
    <row r="453" spans="2:5" ht="15" customHeight="1" x14ac:dyDescent="0.25">
      <c r="B453" s="83"/>
      <c r="C453" s="45" t="s">
        <v>56</v>
      </c>
      <c r="D453" s="44">
        <v>14</v>
      </c>
      <c r="E453" s="43">
        <v>1.8659202985472478E-3</v>
      </c>
    </row>
    <row r="454" spans="2:5" ht="15" customHeight="1" x14ac:dyDescent="0.25">
      <c r="B454" s="83"/>
      <c r="C454" s="45" t="s">
        <v>54</v>
      </c>
      <c r="D454" s="44">
        <v>7</v>
      </c>
      <c r="E454" s="43">
        <v>9.3296014927362388E-4</v>
      </c>
    </row>
    <row r="455" spans="2:5" ht="15" customHeight="1" x14ac:dyDescent="0.25">
      <c r="B455" s="83"/>
      <c r="C455" s="45" t="s">
        <v>40</v>
      </c>
      <c r="D455" s="44">
        <v>1</v>
      </c>
      <c r="E455" s="43">
        <v>1.3328002132480341E-4</v>
      </c>
    </row>
    <row r="456" spans="2:5" ht="15" customHeight="1" x14ac:dyDescent="0.25">
      <c r="B456" s="83"/>
      <c r="C456" s="45" t="s">
        <v>29</v>
      </c>
      <c r="D456" s="44">
        <v>1</v>
      </c>
      <c r="E456" s="43">
        <v>1.3328002132480341E-4</v>
      </c>
    </row>
    <row r="457" spans="2:5" ht="15" customHeight="1" x14ac:dyDescent="0.25">
      <c r="B457" s="84"/>
      <c r="C457" s="42" t="s">
        <v>20</v>
      </c>
      <c r="D457" s="41">
        <v>462</v>
      </c>
      <c r="E457" s="40">
        <v>6.1575369852059178E-2</v>
      </c>
    </row>
    <row r="458" spans="2:5" ht="15" customHeight="1" x14ac:dyDescent="0.25">
      <c r="B458" s="82" t="s">
        <v>136</v>
      </c>
      <c r="C458" s="45" t="s">
        <v>60</v>
      </c>
      <c r="D458" s="44">
        <v>9</v>
      </c>
      <c r="E458" s="43">
        <v>1.1995201919232307E-3</v>
      </c>
    </row>
    <row r="459" spans="2:5" ht="15" customHeight="1" x14ac:dyDescent="0.25">
      <c r="B459" s="83"/>
      <c r="C459" s="45" t="s">
        <v>39</v>
      </c>
      <c r="D459" s="44">
        <v>1</v>
      </c>
      <c r="E459" s="43">
        <v>1.3328002132480341E-4</v>
      </c>
    </row>
    <row r="460" spans="2:5" ht="15" customHeight="1" x14ac:dyDescent="0.25">
      <c r="B460" s="84"/>
      <c r="C460" s="42" t="s">
        <v>20</v>
      </c>
      <c r="D460" s="41">
        <v>10</v>
      </c>
      <c r="E460" s="40">
        <v>1.3328002132480341E-3</v>
      </c>
    </row>
    <row r="461" spans="2:5" ht="15" customHeight="1" x14ac:dyDescent="0.25">
      <c r="B461" s="82" t="s">
        <v>135</v>
      </c>
      <c r="C461" s="45" t="s">
        <v>60</v>
      </c>
      <c r="D461" s="44">
        <v>8</v>
      </c>
      <c r="E461" s="43">
        <v>1.0662401705984273E-3</v>
      </c>
    </row>
    <row r="462" spans="2:5" ht="15" customHeight="1" x14ac:dyDescent="0.25">
      <c r="B462" s="83"/>
      <c r="C462" s="45" t="s">
        <v>49</v>
      </c>
      <c r="D462" s="44">
        <v>2</v>
      </c>
      <c r="E462" s="43">
        <v>2.6656004264960682E-4</v>
      </c>
    </row>
    <row r="463" spans="2:5" ht="15" customHeight="1" x14ac:dyDescent="0.25">
      <c r="B463" s="83"/>
      <c r="C463" s="45" t="s">
        <v>57</v>
      </c>
      <c r="D463" s="44">
        <v>2</v>
      </c>
      <c r="E463" s="43">
        <v>2.6656004264960682E-4</v>
      </c>
    </row>
    <row r="464" spans="2:5" ht="15" customHeight="1" x14ac:dyDescent="0.25">
      <c r="B464" s="84"/>
      <c r="C464" s="42" t="s">
        <v>20</v>
      </c>
      <c r="D464" s="41">
        <v>12</v>
      </c>
      <c r="E464" s="40">
        <v>1.5993602558976409E-3</v>
      </c>
    </row>
    <row r="465" spans="2:5" ht="15" customHeight="1" x14ac:dyDescent="0.25">
      <c r="B465" s="82" t="s">
        <v>134</v>
      </c>
      <c r="C465" s="45" t="s">
        <v>59</v>
      </c>
      <c r="D465" s="44">
        <v>1</v>
      </c>
      <c r="E465" s="43">
        <v>1.3328002132480341E-4</v>
      </c>
    </row>
    <row r="466" spans="2:5" ht="15" customHeight="1" x14ac:dyDescent="0.25">
      <c r="B466" s="83"/>
      <c r="C466" s="45" t="s">
        <v>60</v>
      </c>
      <c r="D466" s="44">
        <v>2</v>
      </c>
      <c r="E466" s="43">
        <v>2.6656004264960682E-4</v>
      </c>
    </row>
    <row r="467" spans="2:5" ht="15" customHeight="1" x14ac:dyDescent="0.25">
      <c r="B467" s="84"/>
      <c r="C467" s="42" t="s">
        <v>20</v>
      </c>
      <c r="D467" s="41">
        <v>3</v>
      </c>
      <c r="E467" s="40">
        <v>3.9984006397441024E-4</v>
      </c>
    </row>
    <row r="468" spans="2:5" ht="15" customHeight="1" x14ac:dyDescent="0.25">
      <c r="B468" s="80" t="s">
        <v>20</v>
      </c>
      <c r="C468" s="81"/>
      <c r="D468" s="39">
        <v>7503</v>
      </c>
      <c r="E468" s="38">
        <v>1</v>
      </c>
    </row>
    <row r="470" spans="2:5" ht="15" customHeight="1" x14ac:dyDescent="0.25">
      <c r="B470" s="19" t="s">
        <v>210</v>
      </c>
    </row>
    <row r="471" spans="2:5" ht="15" customHeight="1" x14ac:dyDescent="0.25">
      <c r="B471" s="21" t="s">
        <v>19</v>
      </c>
    </row>
    <row r="472" spans="2:5" ht="15" customHeight="1" x14ac:dyDescent="0.25">
      <c r="B472" s="20" t="s">
        <v>18</v>
      </c>
    </row>
    <row r="473" spans="2:5" ht="15" customHeight="1" x14ac:dyDescent="0.25">
      <c r="B473" s="19" t="s">
        <v>17</v>
      </c>
    </row>
    <row r="474" spans="2:5" ht="15" customHeight="1" x14ac:dyDescent="0.25">
      <c r="B474" s="19" t="s">
        <v>211</v>
      </c>
    </row>
  </sheetData>
  <mergeCells count="26">
    <mergeCell ref="B366:B375"/>
    <mergeCell ref="B376:B385"/>
    <mergeCell ref="B386:B393"/>
    <mergeCell ref="B394:B401"/>
    <mergeCell ref="B402:B423"/>
    <mergeCell ref="B162:B179"/>
    <mergeCell ref="B180:B206"/>
    <mergeCell ref="B207:B229"/>
    <mergeCell ref="B230:B268"/>
    <mergeCell ref="B269:B289"/>
    <mergeCell ref="B43:B60"/>
    <mergeCell ref="B61:B76"/>
    <mergeCell ref="B77:B93"/>
    <mergeCell ref="B94:B122"/>
    <mergeCell ref="B123:B161"/>
    <mergeCell ref="B7:E8"/>
    <mergeCell ref="B10:B24"/>
    <mergeCell ref="B25:B32"/>
    <mergeCell ref="B33:B42"/>
    <mergeCell ref="B290:B325"/>
    <mergeCell ref="B326:B365"/>
    <mergeCell ref="B424:B457"/>
    <mergeCell ref="B458:B460"/>
    <mergeCell ref="B461:B464"/>
    <mergeCell ref="B465:B467"/>
    <mergeCell ref="B468:C46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90"/>
  <sheetViews>
    <sheetView zoomScale="96" zoomScaleNormal="96" zoomScaleSheetLayoutView="85" workbookViewId="0">
      <selection activeCell="F15" sqref="F15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9" customFormat="1" ht="40.5" customHeight="1" x14ac:dyDescent="0.2">
      <c r="B9" s="47" t="s">
        <v>112</v>
      </c>
      <c r="C9" s="49" t="s">
        <v>159</v>
      </c>
      <c r="D9" s="48" t="s">
        <v>62</v>
      </c>
      <c r="E9" s="47" t="s">
        <v>61</v>
      </c>
    </row>
    <row r="10" spans="1:5" ht="15" customHeight="1" x14ac:dyDescent="0.25">
      <c r="B10" s="82" t="s">
        <v>75</v>
      </c>
      <c r="C10" s="45" t="s">
        <v>154</v>
      </c>
      <c r="D10" s="44">
        <v>1</v>
      </c>
      <c r="E10" s="43">
        <v>1.3328002132480341E-4</v>
      </c>
    </row>
    <row r="11" spans="1:5" ht="15" customHeight="1" x14ac:dyDescent="0.25">
      <c r="B11" s="83"/>
      <c r="C11" s="45" t="s">
        <v>152</v>
      </c>
      <c r="D11" s="44">
        <v>1</v>
      </c>
      <c r="E11" s="43">
        <v>1.3328002132480341E-4</v>
      </c>
    </row>
    <row r="12" spans="1:5" ht="15" customHeight="1" x14ac:dyDescent="0.25">
      <c r="B12" s="83"/>
      <c r="C12" s="45" t="s">
        <v>151</v>
      </c>
      <c r="D12" s="44">
        <v>2</v>
      </c>
      <c r="E12" s="43">
        <v>2.6656004264960682E-4</v>
      </c>
    </row>
    <row r="13" spans="1:5" ht="15" customHeight="1" x14ac:dyDescent="0.25">
      <c r="B13" s="83"/>
      <c r="C13" s="45" t="s">
        <v>150</v>
      </c>
      <c r="D13" s="44">
        <v>4</v>
      </c>
      <c r="E13" s="43">
        <v>5.3312008529921365E-4</v>
      </c>
    </row>
    <row r="14" spans="1:5" ht="15" customHeight="1" x14ac:dyDescent="0.25">
      <c r="B14" s="83"/>
      <c r="C14" s="45" t="s">
        <v>148</v>
      </c>
      <c r="D14" s="44">
        <v>3</v>
      </c>
      <c r="E14" s="43">
        <v>3.9984006397441024E-4</v>
      </c>
    </row>
    <row r="15" spans="1:5" ht="15" customHeight="1" x14ac:dyDescent="0.25">
      <c r="B15" s="83"/>
      <c r="C15" s="45" t="s">
        <v>147</v>
      </c>
      <c r="D15" s="44">
        <v>1</v>
      </c>
      <c r="E15" s="43">
        <v>1.3328002132480341E-4</v>
      </c>
    </row>
    <row r="16" spans="1:5" ht="15" customHeight="1" x14ac:dyDescent="0.25">
      <c r="B16" s="83"/>
      <c r="C16" s="45" t="s">
        <v>146</v>
      </c>
      <c r="D16" s="44">
        <v>10</v>
      </c>
      <c r="E16" s="43">
        <v>1.3328002132480341E-3</v>
      </c>
    </row>
    <row r="17" spans="2:5" ht="15" customHeight="1" x14ac:dyDescent="0.25">
      <c r="B17" s="83"/>
      <c r="C17" s="45" t="s">
        <v>145</v>
      </c>
      <c r="D17" s="44">
        <v>2</v>
      </c>
      <c r="E17" s="43">
        <v>2.6656004264960682E-4</v>
      </c>
    </row>
    <row r="18" spans="2:5" ht="15" customHeight="1" x14ac:dyDescent="0.25">
      <c r="B18" s="83"/>
      <c r="C18" s="45" t="s">
        <v>144</v>
      </c>
      <c r="D18" s="44">
        <v>3</v>
      </c>
      <c r="E18" s="43">
        <v>3.9984006397441024E-4</v>
      </c>
    </row>
    <row r="19" spans="2:5" ht="15" customHeight="1" x14ac:dyDescent="0.25">
      <c r="B19" s="83"/>
      <c r="C19" s="45" t="s">
        <v>143</v>
      </c>
      <c r="D19" s="44">
        <v>13</v>
      </c>
      <c r="E19" s="43">
        <v>1.7326402772224444E-3</v>
      </c>
    </row>
    <row r="20" spans="2:5" ht="15" customHeight="1" x14ac:dyDescent="0.25">
      <c r="B20" s="83"/>
      <c r="C20" s="45" t="s">
        <v>137</v>
      </c>
      <c r="D20" s="44">
        <v>3</v>
      </c>
      <c r="E20" s="43">
        <v>3.9984006397441024E-4</v>
      </c>
    </row>
    <row r="21" spans="2:5" ht="15" customHeight="1" x14ac:dyDescent="0.25">
      <c r="B21" s="84"/>
      <c r="C21" s="42" t="s">
        <v>20</v>
      </c>
      <c r="D21" s="41">
        <v>43</v>
      </c>
      <c r="E21" s="40">
        <v>5.7310409169665467E-3</v>
      </c>
    </row>
    <row r="22" spans="2:5" ht="15" customHeight="1" x14ac:dyDescent="0.25">
      <c r="B22" s="82" t="s">
        <v>107</v>
      </c>
      <c r="C22" s="45" t="s">
        <v>157</v>
      </c>
      <c r="D22" s="44">
        <v>1</v>
      </c>
      <c r="E22" s="43">
        <v>1.3328002132480341E-4</v>
      </c>
    </row>
    <row r="23" spans="2:5" ht="15" customHeight="1" x14ac:dyDescent="0.25">
      <c r="B23" s="83"/>
      <c r="C23" s="45" t="s">
        <v>154</v>
      </c>
      <c r="D23" s="44">
        <v>3</v>
      </c>
      <c r="E23" s="43">
        <v>3.9984006397441024E-4</v>
      </c>
    </row>
    <row r="24" spans="2:5" ht="15" customHeight="1" x14ac:dyDescent="0.25">
      <c r="B24" s="83"/>
      <c r="C24" s="45" t="s">
        <v>153</v>
      </c>
      <c r="D24" s="44">
        <v>1</v>
      </c>
      <c r="E24" s="43">
        <v>1.3328002132480341E-4</v>
      </c>
    </row>
    <row r="25" spans="2:5" ht="15" customHeight="1" x14ac:dyDescent="0.25">
      <c r="B25" s="83"/>
      <c r="C25" s="45" t="s">
        <v>151</v>
      </c>
      <c r="D25" s="44">
        <v>4</v>
      </c>
      <c r="E25" s="43">
        <v>5.3312008529921365E-4</v>
      </c>
    </row>
    <row r="26" spans="2:5" ht="15" customHeight="1" x14ac:dyDescent="0.25">
      <c r="B26" s="83"/>
      <c r="C26" s="45" t="s">
        <v>150</v>
      </c>
      <c r="D26" s="44">
        <v>9</v>
      </c>
      <c r="E26" s="43">
        <v>1.1995201919232307E-3</v>
      </c>
    </row>
    <row r="27" spans="2:5" ht="15" customHeight="1" x14ac:dyDescent="0.25">
      <c r="B27" s="83"/>
      <c r="C27" s="45" t="s">
        <v>149</v>
      </c>
      <c r="D27" s="44">
        <v>1</v>
      </c>
      <c r="E27" s="43">
        <v>1.3328002132480341E-4</v>
      </c>
    </row>
    <row r="28" spans="2:5" ht="15" customHeight="1" x14ac:dyDescent="0.25">
      <c r="B28" s="83"/>
      <c r="C28" s="45" t="s">
        <v>148</v>
      </c>
      <c r="D28" s="44">
        <v>1</v>
      </c>
      <c r="E28" s="43">
        <v>1.3328002132480341E-4</v>
      </c>
    </row>
    <row r="29" spans="2:5" ht="15" customHeight="1" x14ac:dyDescent="0.25">
      <c r="B29" s="83"/>
      <c r="C29" s="45" t="s">
        <v>146</v>
      </c>
      <c r="D29" s="44">
        <v>21</v>
      </c>
      <c r="E29" s="43">
        <v>2.7988804478208716E-3</v>
      </c>
    </row>
    <row r="30" spans="2:5" ht="15" customHeight="1" x14ac:dyDescent="0.25">
      <c r="B30" s="83"/>
      <c r="C30" s="45" t="s">
        <v>145</v>
      </c>
      <c r="D30" s="44">
        <v>2</v>
      </c>
      <c r="E30" s="43">
        <v>2.6656004264960682E-4</v>
      </c>
    </row>
    <row r="31" spans="2:5" ht="15" customHeight="1" x14ac:dyDescent="0.25">
      <c r="B31" s="83"/>
      <c r="C31" s="45" t="s">
        <v>144</v>
      </c>
      <c r="D31" s="44">
        <v>6</v>
      </c>
      <c r="E31" s="43">
        <v>7.9968012794882047E-4</v>
      </c>
    </row>
    <row r="32" spans="2:5" ht="15" customHeight="1" x14ac:dyDescent="0.25">
      <c r="B32" s="83"/>
      <c r="C32" s="45" t="s">
        <v>143</v>
      </c>
      <c r="D32" s="44">
        <v>18</v>
      </c>
      <c r="E32" s="43">
        <v>2.3990403838464614E-3</v>
      </c>
    </row>
    <row r="33" spans="2:5" ht="15" customHeight="1" x14ac:dyDescent="0.25">
      <c r="B33" s="83"/>
      <c r="C33" s="45" t="s">
        <v>141</v>
      </c>
      <c r="D33" s="44">
        <v>1</v>
      </c>
      <c r="E33" s="43">
        <v>1.3328002132480341E-4</v>
      </c>
    </row>
    <row r="34" spans="2:5" ht="15" customHeight="1" x14ac:dyDescent="0.25">
      <c r="B34" s="83"/>
      <c r="C34" s="45" t="s">
        <v>138</v>
      </c>
      <c r="D34" s="44">
        <v>1</v>
      </c>
      <c r="E34" s="43">
        <v>1.3328002132480341E-4</v>
      </c>
    </row>
    <row r="35" spans="2:5" ht="15" customHeight="1" x14ac:dyDescent="0.25">
      <c r="B35" s="83"/>
      <c r="C35" s="45" t="s">
        <v>137</v>
      </c>
      <c r="D35" s="44">
        <v>4</v>
      </c>
      <c r="E35" s="43">
        <v>5.3312008529921365E-4</v>
      </c>
    </row>
    <row r="36" spans="2:5" ht="15" customHeight="1" x14ac:dyDescent="0.25">
      <c r="B36" s="84"/>
      <c r="C36" s="42" t="s">
        <v>20</v>
      </c>
      <c r="D36" s="41">
        <v>73</v>
      </c>
      <c r="E36" s="40">
        <v>9.7294415567106499E-3</v>
      </c>
    </row>
    <row r="37" spans="2:5" ht="15" customHeight="1" x14ac:dyDescent="0.25">
      <c r="B37" s="82" t="s">
        <v>97</v>
      </c>
      <c r="C37" s="45" t="s">
        <v>150</v>
      </c>
      <c r="D37" s="44">
        <v>1</v>
      </c>
      <c r="E37" s="43">
        <v>1.3328002132480341E-4</v>
      </c>
    </row>
    <row r="38" spans="2:5" ht="15" customHeight="1" x14ac:dyDescent="0.25">
      <c r="B38" s="83"/>
      <c r="C38" s="45" t="s">
        <v>146</v>
      </c>
      <c r="D38" s="44">
        <v>4</v>
      </c>
      <c r="E38" s="43">
        <v>5.3312008529921365E-4</v>
      </c>
    </row>
    <row r="39" spans="2:5" ht="15" customHeight="1" x14ac:dyDescent="0.25">
      <c r="B39" s="83"/>
      <c r="C39" s="45" t="s">
        <v>145</v>
      </c>
      <c r="D39" s="44">
        <v>1</v>
      </c>
      <c r="E39" s="43">
        <v>1.3328002132480341E-4</v>
      </c>
    </row>
    <row r="40" spans="2:5" ht="15" customHeight="1" x14ac:dyDescent="0.25">
      <c r="B40" s="83"/>
      <c r="C40" s="45" t="s">
        <v>143</v>
      </c>
      <c r="D40" s="44">
        <v>4</v>
      </c>
      <c r="E40" s="43">
        <v>5.3312008529921365E-4</v>
      </c>
    </row>
    <row r="41" spans="2:5" ht="15" customHeight="1" x14ac:dyDescent="0.25">
      <c r="B41" s="84"/>
      <c r="C41" s="42" t="s">
        <v>20</v>
      </c>
      <c r="D41" s="41">
        <v>10</v>
      </c>
      <c r="E41" s="40">
        <v>1.3328002132480341E-3</v>
      </c>
    </row>
    <row r="42" spans="2:5" ht="15" customHeight="1" x14ac:dyDescent="0.25">
      <c r="B42" s="82" t="s">
        <v>73</v>
      </c>
      <c r="C42" s="45" t="s">
        <v>157</v>
      </c>
      <c r="D42" s="44">
        <v>2</v>
      </c>
      <c r="E42" s="43">
        <v>2.6656004264960682E-4</v>
      </c>
    </row>
    <row r="43" spans="2:5" ht="15" customHeight="1" x14ac:dyDescent="0.25">
      <c r="B43" s="83"/>
      <c r="C43" s="45" t="s">
        <v>156</v>
      </c>
      <c r="D43" s="44">
        <v>1</v>
      </c>
      <c r="E43" s="43">
        <v>1.3328002132480341E-4</v>
      </c>
    </row>
    <row r="44" spans="2:5" ht="15" customHeight="1" x14ac:dyDescent="0.25">
      <c r="B44" s="83"/>
      <c r="C44" s="45" t="s">
        <v>155</v>
      </c>
      <c r="D44" s="44">
        <v>1</v>
      </c>
      <c r="E44" s="43">
        <v>1.3328002132480341E-4</v>
      </c>
    </row>
    <row r="45" spans="2:5" ht="15" customHeight="1" x14ac:dyDescent="0.25">
      <c r="B45" s="83"/>
      <c r="C45" s="45" t="s">
        <v>154</v>
      </c>
      <c r="D45" s="44">
        <v>2</v>
      </c>
      <c r="E45" s="43">
        <v>2.6656004264960682E-4</v>
      </c>
    </row>
    <row r="46" spans="2:5" ht="15" customHeight="1" x14ac:dyDescent="0.25">
      <c r="B46" s="83"/>
      <c r="C46" s="45" t="s">
        <v>153</v>
      </c>
      <c r="D46" s="44">
        <v>1</v>
      </c>
      <c r="E46" s="43">
        <v>1.3328002132480341E-4</v>
      </c>
    </row>
    <row r="47" spans="2:5" ht="15" customHeight="1" x14ac:dyDescent="0.25">
      <c r="B47" s="83"/>
      <c r="C47" s="45" t="s">
        <v>152</v>
      </c>
      <c r="D47" s="44">
        <v>2</v>
      </c>
      <c r="E47" s="43">
        <v>2.6656004264960682E-4</v>
      </c>
    </row>
    <row r="48" spans="2:5" ht="15" customHeight="1" x14ac:dyDescent="0.25">
      <c r="B48" s="83"/>
      <c r="C48" s="45" t="s">
        <v>151</v>
      </c>
      <c r="D48" s="44">
        <v>6</v>
      </c>
      <c r="E48" s="43">
        <v>7.9968012794882047E-4</v>
      </c>
    </row>
    <row r="49" spans="2:5" ht="15" customHeight="1" x14ac:dyDescent="0.25">
      <c r="B49" s="83"/>
      <c r="C49" s="45" t="s">
        <v>150</v>
      </c>
      <c r="D49" s="44">
        <v>19</v>
      </c>
      <c r="E49" s="43">
        <v>2.5323204051712648E-3</v>
      </c>
    </row>
    <row r="50" spans="2:5" ht="15" customHeight="1" x14ac:dyDescent="0.25">
      <c r="B50" s="83"/>
      <c r="C50" s="45" t="s">
        <v>149</v>
      </c>
      <c r="D50" s="44">
        <v>1</v>
      </c>
      <c r="E50" s="43">
        <v>1.3328002132480341E-4</v>
      </c>
    </row>
    <row r="51" spans="2:5" ht="15" customHeight="1" x14ac:dyDescent="0.25">
      <c r="B51" s="83"/>
      <c r="C51" s="45" t="s">
        <v>148</v>
      </c>
      <c r="D51" s="44">
        <v>4</v>
      </c>
      <c r="E51" s="43">
        <v>5.3312008529921365E-4</v>
      </c>
    </row>
    <row r="52" spans="2:5" ht="15" customHeight="1" x14ac:dyDescent="0.25">
      <c r="B52" s="83"/>
      <c r="C52" s="45" t="s">
        <v>147</v>
      </c>
      <c r="D52" s="44">
        <v>16</v>
      </c>
      <c r="E52" s="43">
        <v>2.1324803411968546E-3</v>
      </c>
    </row>
    <row r="53" spans="2:5" ht="15" customHeight="1" x14ac:dyDescent="0.25">
      <c r="B53" s="83"/>
      <c r="C53" s="45" t="s">
        <v>146</v>
      </c>
      <c r="D53" s="44">
        <v>29</v>
      </c>
      <c r="E53" s="43">
        <v>3.8651206184192989E-3</v>
      </c>
    </row>
    <row r="54" spans="2:5" ht="15" customHeight="1" x14ac:dyDescent="0.25">
      <c r="B54" s="83"/>
      <c r="C54" s="45" t="s">
        <v>145</v>
      </c>
      <c r="D54" s="44">
        <v>3</v>
      </c>
      <c r="E54" s="43">
        <v>3.9984006397441024E-4</v>
      </c>
    </row>
    <row r="55" spans="2:5" ht="15" customHeight="1" x14ac:dyDescent="0.25">
      <c r="B55" s="83"/>
      <c r="C55" s="45" t="s">
        <v>144</v>
      </c>
      <c r="D55" s="44">
        <v>7</v>
      </c>
      <c r="E55" s="43">
        <v>9.3296014927362388E-4</v>
      </c>
    </row>
    <row r="56" spans="2:5" ht="15" customHeight="1" x14ac:dyDescent="0.25">
      <c r="B56" s="83"/>
      <c r="C56" s="45" t="s">
        <v>143</v>
      </c>
      <c r="D56" s="44">
        <v>24</v>
      </c>
      <c r="E56" s="43">
        <v>3.1987205117952819E-3</v>
      </c>
    </row>
    <row r="57" spans="2:5" ht="15" customHeight="1" x14ac:dyDescent="0.25">
      <c r="B57" s="83"/>
      <c r="C57" s="45" t="s">
        <v>138</v>
      </c>
      <c r="D57" s="44">
        <v>1</v>
      </c>
      <c r="E57" s="43">
        <v>1.3328002132480341E-4</v>
      </c>
    </row>
    <row r="58" spans="2:5" ht="15" customHeight="1" x14ac:dyDescent="0.25">
      <c r="B58" s="83"/>
      <c r="C58" s="45" t="s">
        <v>137</v>
      </c>
      <c r="D58" s="44">
        <v>5</v>
      </c>
      <c r="E58" s="43">
        <v>6.6640010662401706E-4</v>
      </c>
    </row>
    <row r="59" spans="2:5" ht="15" customHeight="1" x14ac:dyDescent="0.25">
      <c r="B59" s="84"/>
      <c r="C59" s="42" t="s">
        <v>20</v>
      </c>
      <c r="D59" s="41">
        <v>124</v>
      </c>
      <c r="E59" s="40">
        <v>1.6526722644275623E-2</v>
      </c>
    </row>
    <row r="60" spans="2:5" ht="15" customHeight="1" x14ac:dyDescent="0.25">
      <c r="B60" s="82" t="s">
        <v>69</v>
      </c>
      <c r="C60" s="45" t="s">
        <v>150</v>
      </c>
      <c r="D60" s="44">
        <v>1</v>
      </c>
      <c r="E60" s="43">
        <v>1.3328002132480341E-4</v>
      </c>
    </row>
    <row r="61" spans="2:5" ht="15" customHeight="1" x14ac:dyDescent="0.25">
      <c r="B61" s="83"/>
      <c r="C61" s="45" t="s">
        <v>146</v>
      </c>
      <c r="D61" s="44">
        <v>1</v>
      </c>
      <c r="E61" s="43">
        <v>1.3328002132480341E-4</v>
      </c>
    </row>
    <row r="62" spans="2:5" ht="15" customHeight="1" x14ac:dyDescent="0.25">
      <c r="B62" s="83"/>
      <c r="C62" s="45" t="s">
        <v>144</v>
      </c>
      <c r="D62" s="44">
        <v>1</v>
      </c>
      <c r="E62" s="43">
        <v>1.3328002132480341E-4</v>
      </c>
    </row>
    <row r="63" spans="2:5" ht="15" customHeight="1" x14ac:dyDescent="0.25">
      <c r="B63" s="83"/>
      <c r="C63" s="45" t="s">
        <v>143</v>
      </c>
      <c r="D63" s="44">
        <v>3</v>
      </c>
      <c r="E63" s="43">
        <v>3.9984006397441024E-4</v>
      </c>
    </row>
    <row r="64" spans="2:5" ht="15" customHeight="1" x14ac:dyDescent="0.25">
      <c r="B64" s="83"/>
      <c r="C64" s="45" t="s">
        <v>137</v>
      </c>
      <c r="D64" s="44">
        <v>2</v>
      </c>
      <c r="E64" s="43">
        <v>2.6656004264960682E-4</v>
      </c>
    </row>
    <row r="65" spans="2:5" ht="15" customHeight="1" x14ac:dyDescent="0.25">
      <c r="B65" s="84"/>
      <c r="C65" s="42" t="s">
        <v>20</v>
      </c>
      <c r="D65" s="41">
        <v>8</v>
      </c>
      <c r="E65" s="40">
        <v>1.0662401705984273E-3</v>
      </c>
    </row>
    <row r="66" spans="2:5" ht="15" customHeight="1" x14ac:dyDescent="0.25">
      <c r="B66" s="82" t="s">
        <v>74</v>
      </c>
      <c r="C66" s="45" t="s">
        <v>146</v>
      </c>
      <c r="D66" s="44">
        <v>1</v>
      </c>
      <c r="E66" s="43">
        <v>1.3328002132480341E-4</v>
      </c>
    </row>
    <row r="67" spans="2:5" ht="15" customHeight="1" x14ac:dyDescent="0.25">
      <c r="B67" s="83"/>
      <c r="C67" s="45" t="s">
        <v>145</v>
      </c>
      <c r="D67" s="44">
        <v>1</v>
      </c>
      <c r="E67" s="43">
        <v>1.3328002132480341E-4</v>
      </c>
    </row>
    <row r="68" spans="2:5" ht="15" customHeight="1" x14ac:dyDescent="0.25">
      <c r="B68" s="83"/>
      <c r="C68" s="45" t="s">
        <v>143</v>
      </c>
      <c r="D68" s="44">
        <v>1</v>
      </c>
      <c r="E68" s="43">
        <v>1.3328002132480341E-4</v>
      </c>
    </row>
    <row r="69" spans="2:5" ht="15" customHeight="1" x14ac:dyDescent="0.25">
      <c r="B69" s="83"/>
      <c r="C69" s="45" t="s">
        <v>137</v>
      </c>
      <c r="D69" s="44">
        <v>1</v>
      </c>
      <c r="E69" s="43">
        <v>1.3328002132480341E-4</v>
      </c>
    </row>
    <row r="70" spans="2:5" ht="15" customHeight="1" x14ac:dyDescent="0.25">
      <c r="B70" s="84"/>
      <c r="C70" s="42" t="s">
        <v>20</v>
      </c>
      <c r="D70" s="41">
        <v>4</v>
      </c>
      <c r="E70" s="40">
        <v>5.3312008529921365E-4</v>
      </c>
    </row>
    <row r="71" spans="2:5" ht="15" customHeight="1" x14ac:dyDescent="0.25">
      <c r="B71" s="82" t="s">
        <v>166</v>
      </c>
      <c r="C71" s="45" t="s">
        <v>157</v>
      </c>
      <c r="D71" s="44">
        <v>1</v>
      </c>
      <c r="E71" s="43">
        <v>1.3328002132480341E-4</v>
      </c>
    </row>
    <row r="72" spans="2:5" ht="15" customHeight="1" x14ac:dyDescent="0.25">
      <c r="B72" s="83"/>
      <c r="C72" s="45" t="s">
        <v>153</v>
      </c>
      <c r="D72" s="44">
        <v>1</v>
      </c>
      <c r="E72" s="43">
        <v>1.3328002132480341E-4</v>
      </c>
    </row>
    <row r="73" spans="2:5" ht="15" customHeight="1" x14ac:dyDescent="0.25">
      <c r="B73" s="83"/>
      <c r="C73" s="45" t="s">
        <v>151</v>
      </c>
      <c r="D73" s="44">
        <v>3</v>
      </c>
      <c r="E73" s="43">
        <v>3.9984006397441024E-4</v>
      </c>
    </row>
    <row r="74" spans="2:5" ht="15" customHeight="1" x14ac:dyDescent="0.25">
      <c r="B74" s="83"/>
      <c r="C74" s="45" t="s">
        <v>150</v>
      </c>
      <c r="D74" s="44">
        <v>3</v>
      </c>
      <c r="E74" s="43">
        <v>3.9984006397441024E-4</v>
      </c>
    </row>
    <row r="75" spans="2:5" ht="15" customHeight="1" x14ac:dyDescent="0.25">
      <c r="B75" s="83"/>
      <c r="C75" s="45" t="s">
        <v>147</v>
      </c>
      <c r="D75" s="44">
        <v>2</v>
      </c>
      <c r="E75" s="43">
        <v>2.6656004264960682E-4</v>
      </c>
    </row>
    <row r="76" spans="2:5" ht="15" customHeight="1" x14ac:dyDescent="0.25">
      <c r="B76" s="83"/>
      <c r="C76" s="45" t="s">
        <v>146</v>
      </c>
      <c r="D76" s="44">
        <v>7</v>
      </c>
      <c r="E76" s="43">
        <v>9.3296014927362388E-4</v>
      </c>
    </row>
    <row r="77" spans="2:5" ht="15" customHeight="1" x14ac:dyDescent="0.25">
      <c r="B77" s="83"/>
      <c r="C77" s="45" t="s">
        <v>143</v>
      </c>
      <c r="D77" s="44">
        <v>7</v>
      </c>
      <c r="E77" s="43">
        <v>9.3296014927362388E-4</v>
      </c>
    </row>
    <row r="78" spans="2:5" ht="15" customHeight="1" x14ac:dyDescent="0.25">
      <c r="B78" s="83"/>
      <c r="C78" s="45" t="s">
        <v>137</v>
      </c>
      <c r="D78" s="44">
        <v>1</v>
      </c>
      <c r="E78" s="43">
        <v>1.3328002132480341E-4</v>
      </c>
    </row>
    <row r="79" spans="2:5" ht="15" customHeight="1" x14ac:dyDescent="0.25">
      <c r="B79" s="84"/>
      <c r="C79" s="42" t="s">
        <v>20</v>
      </c>
      <c r="D79" s="41">
        <v>25</v>
      </c>
      <c r="E79" s="40">
        <v>3.3320005331200853E-3</v>
      </c>
    </row>
    <row r="80" spans="2:5" ht="15" customHeight="1" x14ac:dyDescent="0.25">
      <c r="B80" s="82" t="s">
        <v>110</v>
      </c>
      <c r="C80" s="45" t="s">
        <v>157</v>
      </c>
      <c r="D80" s="44">
        <v>3</v>
      </c>
      <c r="E80" s="43">
        <v>3.9984006397441024E-4</v>
      </c>
    </row>
    <row r="81" spans="2:5" ht="15" customHeight="1" x14ac:dyDescent="0.25">
      <c r="B81" s="83"/>
      <c r="C81" s="45" t="s">
        <v>156</v>
      </c>
      <c r="D81" s="44">
        <v>1</v>
      </c>
      <c r="E81" s="43">
        <v>1.3328002132480341E-4</v>
      </c>
    </row>
    <row r="82" spans="2:5" ht="15" customHeight="1" x14ac:dyDescent="0.25">
      <c r="B82" s="83"/>
      <c r="C82" s="45" t="s">
        <v>155</v>
      </c>
      <c r="D82" s="44">
        <v>2</v>
      </c>
      <c r="E82" s="43">
        <v>2.6656004264960682E-4</v>
      </c>
    </row>
    <row r="83" spans="2:5" ht="15" customHeight="1" x14ac:dyDescent="0.25">
      <c r="B83" s="83"/>
      <c r="C83" s="45" t="s">
        <v>154</v>
      </c>
      <c r="D83" s="44">
        <v>2</v>
      </c>
      <c r="E83" s="43">
        <v>2.6656004264960682E-4</v>
      </c>
    </row>
    <row r="84" spans="2:5" ht="15" customHeight="1" x14ac:dyDescent="0.25">
      <c r="B84" s="83"/>
      <c r="C84" s="45" t="s">
        <v>153</v>
      </c>
      <c r="D84" s="44">
        <v>1</v>
      </c>
      <c r="E84" s="43">
        <v>1.3328002132480341E-4</v>
      </c>
    </row>
    <row r="85" spans="2:5" ht="15" customHeight="1" x14ac:dyDescent="0.25">
      <c r="B85" s="83"/>
      <c r="C85" s="45" t="s">
        <v>151</v>
      </c>
      <c r="D85" s="44">
        <v>5</v>
      </c>
      <c r="E85" s="43">
        <v>6.6640010662401706E-4</v>
      </c>
    </row>
    <row r="86" spans="2:5" ht="15" customHeight="1" x14ac:dyDescent="0.25">
      <c r="B86" s="83"/>
      <c r="C86" s="45" t="s">
        <v>150</v>
      </c>
      <c r="D86" s="44">
        <v>26</v>
      </c>
      <c r="E86" s="43">
        <v>3.4652805544448887E-3</v>
      </c>
    </row>
    <row r="87" spans="2:5" ht="15" customHeight="1" x14ac:dyDescent="0.25">
      <c r="B87" s="83"/>
      <c r="C87" s="45" t="s">
        <v>148</v>
      </c>
      <c r="D87" s="44">
        <v>3</v>
      </c>
      <c r="E87" s="43">
        <v>3.9984006397441024E-4</v>
      </c>
    </row>
    <row r="88" spans="2:5" ht="15" customHeight="1" x14ac:dyDescent="0.25">
      <c r="B88" s="83"/>
      <c r="C88" s="45" t="s">
        <v>147</v>
      </c>
      <c r="D88" s="44">
        <v>1</v>
      </c>
      <c r="E88" s="43">
        <v>1.3328002132480341E-4</v>
      </c>
    </row>
    <row r="89" spans="2:5" ht="15" customHeight="1" x14ac:dyDescent="0.25">
      <c r="B89" s="83"/>
      <c r="C89" s="45" t="s">
        <v>146</v>
      </c>
      <c r="D89" s="44">
        <v>37</v>
      </c>
      <c r="E89" s="43">
        <v>4.9313607890177262E-3</v>
      </c>
    </row>
    <row r="90" spans="2:5" ht="15" customHeight="1" x14ac:dyDescent="0.25">
      <c r="B90" s="83"/>
      <c r="C90" s="45" t="s">
        <v>145</v>
      </c>
      <c r="D90" s="44">
        <v>4</v>
      </c>
      <c r="E90" s="43">
        <v>5.3312008529921365E-4</v>
      </c>
    </row>
    <row r="91" spans="2:5" ht="15" customHeight="1" x14ac:dyDescent="0.25">
      <c r="B91" s="83"/>
      <c r="C91" s="45" t="s">
        <v>144</v>
      </c>
      <c r="D91" s="44">
        <v>10</v>
      </c>
      <c r="E91" s="43">
        <v>1.3328002132480341E-3</v>
      </c>
    </row>
    <row r="92" spans="2:5" ht="15" customHeight="1" x14ac:dyDescent="0.25">
      <c r="B92" s="83"/>
      <c r="C92" s="45" t="s">
        <v>143</v>
      </c>
      <c r="D92" s="44">
        <v>37</v>
      </c>
      <c r="E92" s="43">
        <v>4.9313607890177262E-3</v>
      </c>
    </row>
    <row r="93" spans="2:5" ht="15" customHeight="1" x14ac:dyDescent="0.25">
      <c r="B93" s="83"/>
      <c r="C93" s="45" t="s">
        <v>142</v>
      </c>
      <c r="D93" s="44">
        <v>1</v>
      </c>
      <c r="E93" s="43">
        <v>1.3328002132480341E-4</v>
      </c>
    </row>
    <row r="94" spans="2:5" ht="15" customHeight="1" x14ac:dyDescent="0.25">
      <c r="B94" s="83"/>
      <c r="C94" s="45" t="s">
        <v>138</v>
      </c>
      <c r="D94" s="44">
        <v>5</v>
      </c>
      <c r="E94" s="43">
        <v>6.6640010662401706E-4</v>
      </c>
    </row>
    <row r="95" spans="2:5" ht="15" customHeight="1" x14ac:dyDescent="0.25">
      <c r="B95" s="83"/>
      <c r="C95" s="45" t="s">
        <v>137</v>
      </c>
      <c r="D95" s="44">
        <v>9</v>
      </c>
      <c r="E95" s="43">
        <v>1.1995201919232307E-3</v>
      </c>
    </row>
    <row r="96" spans="2:5" ht="15" customHeight="1" x14ac:dyDescent="0.25">
      <c r="B96" s="84"/>
      <c r="C96" s="42" t="s">
        <v>20</v>
      </c>
      <c r="D96" s="41">
        <v>147</v>
      </c>
      <c r="E96" s="40">
        <v>1.9592163134746102E-2</v>
      </c>
    </row>
    <row r="97" spans="2:5" ht="15" customHeight="1" x14ac:dyDescent="0.25">
      <c r="B97" s="82" t="s">
        <v>108</v>
      </c>
      <c r="C97" s="45" t="s">
        <v>154</v>
      </c>
      <c r="D97" s="44">
        <v>3</v>
      </c>
      <c r="E97" s="43">
        <v>3.9984006397441024E-4</v>
      </c>
    </row>
    <row r="98" spans="2:5" ht="15" customHeight="1" x14ac:dyDescent="0.25">
      <c r="B98" s="83"/>
      <c r="C98" s="45" t="s">
        <v>153</v>
      </c>
      <c r="D98" s="44">
        <v>1</v>
      </c>
      <c r="E98" s="43">
        <v>1.3328002132480341E-4</v>
      </c>
    </row>
    <row r="99" spans="2:5" ht="15" customHeight="1" x14ac:dyDescent="0.25">
      <c r="B99" s="83"/>
      <c r="C99" s="45" t="s">
        <v>151</v>
      </c>
      <c r="D99" s="44">
        <v>3</v>
      </c>
      <c r="E99" s="43">
        <v>3.9984006397441024E-4</v>
      </c>
    </row>
    <row r="100" spans="2:5" ht="15" customHeight="1" x14ac:dyDescent="0.25">
      <c r="B100" s="83"/>
      <c r="C100" s="45" t="s">
        <v>150</v>
      </c>
      <c r="D100" s="44">
        <v>5</v>
      </c>
      <c r="E100" s="43">
        <v>6.6640010662401706E-4</v>
      </c>
    </row>
    <row r="101" spans="2:5" ht="15" customHeight="1" x14ac:dyDescent="0.25">
      <c r="B101" s="83"/>
      <c r="C101" s="45" t="s">
        <v>149</v>
      </c>
      <c r="D101" s="44">
        <v>2</v>
      </c>
      <c r="E101" s="43">
        <v>2.6656004264960682E-4</v>
      </c>
    </row>
    <row r="102" spans="2:5" ht="15" customHeight="1" x14ac:dyDescent="0.25">
      <c r="B102" s="83"/>
      <c r="C102" s="45" t="s">
        <v>148</v>
      </c>
      <c r="D102" s="44">
        <v>1</v>
      </c>
      <c r="E102" s="43">
        <v>1.3328002132480341E-4</v>
      </c>
    </row>
    <row r="103" spans="2:5" ht="15" customHeight="1" x14ac:dyDescent="0.25">
      <c r="B103" s="83"/>
      <c r="C103" s="45" t="s">
        <v>147</v>
      </c>
      <c r="D103" s="44">
        <v>4</v>
      </c>
      <c r="E103" s="43">
        <v>5.3312008529921365E-4</v>
      </c>
    </row>
    <row r="104" spans="2:5" ht="15" customHeight="1" x14ac:dyDescent="0.25">
      <c r="B104" s="83"/>
      <c r="C104" s="45" t="s">
        <v>146</v>
      </c>
      <c r="D104" s="44">
        <v>44</v>
      </c>
      <c r="E104" s="43">
        <v>5.8643209382913501E-3</v>
      </c>
    </row>
    <row r="105" spans="2:5" ht="15" customHeight="1" x14ac:dyDescent="0.25">
      <c r="B105" s="83"/>
      <c r="C105" s="45" t="s">
        <v>144</v>
      </c>
      <c r="D105" s="44">
        <v>9</v>
      </c>
      <c r="E105" s="43">
        <v>1.1995201919232307E-3</v>
      </c>
    </row>
    <row r="106" spans="2:5" ht="15" customHeight="1" x14ac:dyDescent="0.25">
      <c r="B106" s="83"/>
      <c r="C106" s="45" t="s">
        <v>143</v>
      </c>
      <c r="D106" s="44">
        <v>33</v>
      </c>
      <c r="E106" s="43">
        <v>4.3982407037185126E-3</v>
      </c>
    </row>
    <row r="107" spans="2:5" ht="15" customHeight="1" x14ac:dyDescent="0.25">
      <c r="B107" s="83"/>
      <c r="C107" s="45" t="s">
        <v>142</v>
      </c>
      <c r="D107" s="44">
        <v>2</v>
      </c>
      <c r="E107" s="43">
        <v>2.6656004264960682E-4</v>
      </c>
    </row>
    <row r="108" spans="2:5" ht="15" customHeight="1" x14ac:dyDescent="0.25">
      <c r="B108" s="83"/>
      <c r="C108" s="45" t="s">
        <v>141</v>
      </c>
      <c r="D108" s="44">
        <v>1</v>
      </c>
      <c r="E108" s="43">
        <v>1.3328002132480341E-4</v>
      </c>
    </row>
    <row r="109" spans="2:5" ht="15" customHeight="1" x14ac:dyDescent="0.25">
      <c r="B109" s="83"/>
      <c r="C109" s="45" t="s">
        <v>140</v>
      </c>
      <c r="D109" s="44">
        <v>1</v>
      </c>
      <c r="E109" s="43">
        <v>1.3328002132480341E-4</v>
      </c>
    </row>
    <row r="110" spans="2:5" ht="15" customHeight="1" x14ac:dyDescent="0.25">
      <c r="B110" s="83"/>
      <c r="C110" s="45" t="s">
        <v>137</v>
      </c>
      <c r="D110" s="44">
        <v>8</v>
      </c>
      <c r="E110" s="43">
        <v>1.0662401705984273E-3</v>
      </c>
    </row>
    <row r="111" spans="2:5" ht="15" customHeight="1" x14ac:dyDescent="0.25">
      <c r="B111" s="84"/>
      <c r="C111" s="42" t="s">
        <v>20</v>
      </c>
      <c r="D111" s="41">
        <v>117</v>
      </c>
      <c r="E111" s="40">
        <v>1.5593762495002E-2</v>
      </c>
    </row>
    <row r="112" spans="2:5" ht="15" customHeight="1" x14ac:dyDescent="0.25">
      <c r="B112" s="82" t="s">
        <v>92</v>
      </c>
      <c r="C112" s="45" t="s">
        <v>157</v>
      </c>
      <c r="D112" s="44">
        <v>1</v>
      </c>
      <c r="E112" s="43">
        <v>1.3328002132480341E-4</v>
      </c>
    </row>
    <row r="113" spans="2:5" ht="15" customHeight="1" x14ac:dyDescent="0.25">
      <c r="B113" s="83"/>
      <c r="C113" s="45" t="s">
        <v>155</v>
      </c>
      <c r="D113" s="44">
        <v>1</v>
      </c>
      <c r="E113" s="43">
        <v>1.3328002132480341E-4</v>
      </c>
    </row>
    <row r="114" spans="2:5" ht="15" customHeight="1" x14ac:dyDescent="0.25">
      <c r="B114" s="83"/>
      <c r="C114" s="45" t="s">
        <v>154</v>
      </c>
      <c r="D114" s="44">
        <v>2</v>
      </c>
      <c r="E114" s="43">
        <v>2.6656004264960682E-4</v>
      </c>
    </row>
    <row r="115" spans="2:5" ht="15" customHeight="1" x14ac:dyDescent="0.25">
      <c r="B115" s="83"/>
      <c r="C115" s="45" t="s">
        <v>153</v>
      </c>
      <c r="D115" s="44">
        <v>1</v>
      </c>
      <c r="E115" s="43">
        <v>1.3328002132480341E-4</v>
      </c>
    </row>
    <row r="116" spans="2:5" ht="15" customHeight="1" x14ac:dyDescent="0.25">
      <c r="B116" s="83"/>
      <c r="C116" s="45" t="s">
        <v>151</v>
      </c>
      <c r="D116" s="44">
        <v>7</v>
      </c>
      <c r="E116" s="43">
        <v>9.3296014927362388E-4</v>
      </c>
    </row>
    <row r="117" spans="2:5" ht="15" customHeight="1" x14ac:dyDescent="0.25">
      <c r="B117" s="83"/>
      <c r="C117" s="45" t="s">
        <v>150</v>
      </c>
      <c r="D117" s="44">
        <v>21</v>
      </c>
      <c r="E117" s="43">
        <v>2.7988804478208716E-3</v>
      </c>
    </row>
    <row r="118" spans="2:5" ht="15" customHeight="1" x14ac:dyDescent="0.25">
      <c r="B118" s="83"/>
      <c r="C118" s="45" t="s">
        <v>149</v>
      </c>
      <c r="D118" s="44">
        <v>4</v>
      </c>
      <c r="E118" s="43">
        <v>5.3312008529921365E-4</v>
      </c>
    </row>
    <row r="119" spans="2:5" ht="15" customHeight="1" x14ac:dyDescent="0.25">
      <c r="B119" s="83"/>
      <c r="C119" s="45" t="s">
        <v>148</v>
      </c>
      <c r="D119" s="44">
        <v>4</v>
      </c>
      <c r="E119" s="43">
        <v>5.3312008529921365E-4</v>
      </c>
    </row>
    <row r="120" spans="2:5" ht="15" customHeight="1" x14ac:dyDescent="0.25">
      <c r="B120" s="83"/>
      <c r="C120" s="45" t="s">
        <v>147</v>
      </c>
      <c r="D120" s="44">
        <v>2</v>
      </c>
      <c r="E120" s="43">
        <v>2.6656004264960682E-4</v>
      </c>
    </row>
    <row r="121" spans="2:5" ht="15" customHeight="1" x14ac:dyDescent="0.25">
      <c r="B121" s="83"/>
      <c r="C121" s="45" t="s">
        <v>146</v>
      </c>
      <c r="D121" s="44">
        <v>38</v>
      </c>
      <c r="E121" s="43">
        <v>5.0646408103425297E-3</v>
      </c>
    </row>
    <row r="122" spans="2:5" ht="15" customHeight="1" x14ac:dyDescent="0.25">
      <c r="B122" s="83"/>
      <c r="C122" s="45" t="s">
        <v>145</v>
      </c>
      <c r="D122" s="44">
        <v>2</v>
      </c>
      <c r="E122" s="43">
        <v>2.6656004264960682E-4</v>
      </c>
    </row>
    <row r="123" spans="2:5" ht="15" customHeight="1" x14ac:dyDescent="0.25">
      <c r="B123" s="83"/>
      <c r="C123" s="45" t="s">
        <v>144</v>
      </c>
      <c r="D123" s="44">
        <v>17</v>
      </c>
      <c r="E123" s="43">
        <v>2.265760362521658E-3</v>
      </c>
    </row>
    <row r="124" spans="2:5" ht="15" customHeight="1" x14ac:dyDescent="0.25">
      <c r="B124" s="83"/>
      <c r="C124" s="45" t="s">
        <v>143</v>
      </c>
      <c r="D124" s="44">
        <v>28</v>
      </c>
      <c r="E124" s="43">
        <v>3.7318405970944955E-3</v>
      </c>
    </row>
    <row r="125" spans="2:5" ht="15" customHeight="1" x14ac:dyDescent="0.25">
      <c r="B125" s="83"/>
      <c r="C125" s="45" t="s">
        <v>142</v>
      </c>
      <c r="D125" s="44">
        <v>2</v>
      </c>
      <c r="E125" s="43">
        <v>2.6656004264960682E-4</v>
      </c>
    </row>
    <row r="126" spans="2:5" ht="15" customHeight="1" x14ac:dyDescent="0.25">
      <c r="B126" s="83"/>
      <c r="C126" s="45" t="s">
        <v>141</v>
      </c>
      <c r="D126" s="44">
        <v>1</v>
      </c>
      <c r="E126" s="43">
        <v>1.3328002132480341E-4</v>
      </c>
    </row>
    <row r="127" spans="2:5" ht="15" customHeight="1" x14ac:dyDescent="0.25">
      <c r="B127" s="83"/>
      <c r="C127" s="45" t="s">
        <v>140</v>
      </c>
      <c r="D127" s="44">
        <v>1</v>
      </c>
      <c r="E127" s="43">
        <v>1.3328002132480341E-4</v>
      </c>
    </row>
    <row r="128" spans="2:5" ht="15" customHeight="1" x14ac:dyDescent="0.25">
      <c r="B128" s="83"/>
      <c r="C128" s="45" t="s">
        <v>138</v>
      </c>
      <c r="D128" s="44">
        <v>8</v>
      </c>
      <c r="E128" s="43">
        <v>1.0662401705984273E-3</v>
      </c>
    </row>
    <row r="129" spans="2:5" ht="15" customHeight="1" x14ac:dyDescent="0.25">
      <c r="B129" s="83"/>
      <c r="C129" s="45" t="s">
        <v>137</v>
      </c>
      <c r="D129" s="44">
        <v>13</v>
      </c>
      <c r="E129" s="43">
        <v>1.7326402772224444E-3</v>
      </c>
    </row>
    <row r="130" spans="2:5" ht="15" customHeight="1" x14ac:dyDescent="0.25">
      <c r="B130" s="84"/>
      <c r="C130" s="42" t="s">
        <v>20</v>
      </c>
      <c r="D130" s="41">
        <v>153</v>
      </c>
      <c r="E130" s="40">
        <v>2.0391843262694921E-2</v>
      </c>
    </row>
    <row r="131" spans="2:5" ht="15" customHeight="1" x14ac:dyDescent="0.25">
      <c r="B131" s="82" t="s">
        <v>78</v>
      </c>
      <c r="C131" s="45" t="s">
        <v>151</v>
      </c>
      <c r="D131" s="44">
        <v>1</v>
      </c>
      <c r="E131" s="43">
        <v>1.3328002132480341E-4</v>
      </c>
    </row>
    <row r="132" spans="2:5" ht="15" customHeight="1" x14ac:dyDescent="0.25">
      <c r="B132" s="83"/>
      <c r="C132" s="45" t="s">
        <v>150</v>
      </c>
      <c r="D132" s="44">
        <v>1</v>
      </c>
      <c r="E132" s="43">
        <v>1.3328002132480341E-4</v>
      </c>
    </row>
    <row r="133" spans="2:5" ht="15" customHeight="1" x14ac:dyDescent="0.25">
      <c r="B133" s="83"/>
      <c r="C133" s="45" t="s">
        <v>149</v>
      </c>
      <c r="D133" s="44">
        <v>1</v>
      </c>
      <c r="E133" s="43">
        <v>1.3328002132480341E-4</v>
      </c>
    </row>
    <row r="134" spans="2:5" ht="15" customHeight="1" x14ac:dyDescent="0.25">
      <c r="B134" s="83"/>
      <c r="C134" s="45" t="s">
        <v>148</v>
      </c>
      <c r="D134" s="44">
        <v>2</v>
      </c>
      <c r="E134" s="43">
        <v>2.6656004264960682E-4</v>
      </c>
    </row>
    <row r="135" spans="2:5" ht="15" customHeight="1" x14ac:dyDescent="0.25">
      <c r="B135" s="83"/>
      <c r="C135" s="45" t="s">
        <v>147</v>
      </c>
      <c r="D135" s="44">
        <v>1</v>
      </c>
      <c r="E135" s="43">
        <v>1.3328002132480341E-4</v>
      </c>
    </row>
    <row r="136" spans="2:5" ht="15" customHeight="1" x14ac:dyDescent="0.25">
      <c r="B136" s="83"/>
      <c r="C136" s="45" t="s">
        <v>146</v>
      </c>
      <c r="D136" s="44">
        <v>9</v>
      </c>
      <c r="E136" s="43">
        <v>1.1995201919232307E-3</v>
      </c>
    </row>
    <row r="137" spans="2:5" ht="15" customHeight="1" x14ac:dyDescent="0.25">
      <c r="B137" s="83"/>
      <c r="C137" s="45" t="s">
        <v>145</v>
      </c>
      <c r="D137" s="44">
        <v>1</v>
      </c>
      <c r="E137" s="43">
        <v>1.3328002132480341E-4</v>
      </c>
    </row>
    <row r="138" spans="2:5" ht="15" customHeight="1" x14ac:dyDescent="0.25">
      <c r="B138" s="83"/>
      <c r="C138" s="45" t="s">
        <v>144</v>
      </c>
      <c r="D138" s="44">
        <v>2</v>
      </c>
      <c r="E138" s="43">
        <v>2.6656004264960682E-4</v>
      </c>
    </row>
    <row r="139" spans="2:5" ht="15" customHeight="1" x14ac:dyDescent="0.25">
      <c r="B139" s="83"/>
      <c r="C139" s="45" t="s">
        <v>143</v>
      </c>
      <c r="D139" s="44">
        <v>5</v>
      </c>
      <c r="E139" s="43">
        <v>6.6640010662401706E-4</v>
      </c>
    </row>
    <row r="140" spans="2:5" ht="15" customHeight="1" x14ac:dyDescent="0.25">
      <c r="B140" s="83"/>
      <c r="C140" s="45" t="s">
        <v>138</v>
      </c>
      <c r="D140" s="44">
        <v>2</v>
      </c>
      <c r="E140" s="43">
        <v>2.6656004264960682E-4</v>
      </c>
    </row>
    <row r="141" spans="2:5" ht="15" customHeight="1" x14ac:dyDescent="0.25">
      <c r="B141" s="83"/>
      <c r="C141" s="45" t="s">
        <v>137</v>
      </c>
      <c r="D141" s="44">
        <v>3</v>
      </c>
      <c r="E141" s="43">
        <v>3.9984006397441024E-4</v>
      </c>
    </row>
    <row r="142" spans="2:5" ht="15" customHeight="1" x14ac:dyDescent="0.25">
      <c r="B142" s="84"/>
      <c r="C142" s="42" t="s">
        <v>20</v>
      </c>
      <c r="D142" s="41">
        <v>28</v>
      </c>
      <c r="E142" s="40">
        <v>3.7318405970944955E-3</v>
      </c>
    </row>
    <row r="143" spans="2:5" ht="15" customHeight="1" x14ac:dyDescent="0.25">
      <c r="B143" s="82" t="s">
        <v>65</v>
      </c>
      <c r="C143" s="45" t="s">
        <v>143</v>
      </c>
      <c r="D143" s="44">
        <v>1</v>
      </c>
      <c r="E143" s="43">
        <v>1.3328002132480341E-4</v>
      </c>
    </row>
    <row r="144" spans="2:5" ht="15" customHeight="1" x14ac:dyDescent="0.25">
      <c r="B144" s="83"/>
      <c r="C144" s="45" t="s">
        <v>137</v>
      </c>
      <c r="D144" s="44">
        <v>1</v>
      </c>
      <c r="E144" s="43">
        <v>1.3328002132480341E-4</v>
      </c>
    </row>
    <row r="145" spans="2:5" ht="15" customHeight="1" x14ac:dyDescent="0.25">
      <c r="B145" s="84"/>
      <c r="C145" s="42" t="s">
        <v>20</v>
      </c>
      <c r="D145" s="41">
        <v>2</v>
      </c>
      <c r="E145" s="40">
        <v>2.6656004264960682E-4</v>
      </c>
    </row>
    <row r="146" spans="2:5" ht="15" customHeight="1" x14ac:dyDescent="0.25">
      <c r="B146" s="82" t="s">
        <v>76</v>
      </c>
      <c r="C146" s="45" t="s">
        <v>153</v>
      </c>
      <c r="D146" s="44">
        <v>1</v>
      </c>
      <c r="E146" s="43">
        <v>1.3328002132480341E-4</v>
      </c>
    </row>
    <row r="147" spans="2:5" ht="15" customHeight="1" x14ac:dyDescent="0.25">
      <c r="B147" s="83"/>
      <c r="C147" s="45" t="s">
        <v>151</v>
      </c>
      <c r="D147" s="44">
        <v>1</v>
      </c>
      <c r="E147" s="43">
        <v>1.3328002132480341E-4</v>
      </c>
    </row>
    <row r="148" spans="2:5" ht="15" customHeight="1" x14ac:dyDescent="0.25">
      <c r="B148" s="83"/>
      <c r="C148" s="45" t="s">
        <v>150</v>
      </c>
      <c r="D148" s="44">
        <v>2</v>
      </c>
      <c r="E148" s="43">
        <v>2.6656004264960682E-4</v>
      </c>
    </row>
    <row r="149" spans="2:5" ht="15" customHeight="1" x14ac:dyDescent="0.25">
      <c r="B149" s="83"/>
      <c r="C149" s="45" t="s">
        <v>148</v>
      </c>
      <c r="D149" s="44">
        <v>1</v>
      </c>
      <c r="E149" s="43">
        <v>1.3328002132480341E-4</v>
      </c>
    </row>
    <row r="150" spans="2:5" ht="15" customHeight="1" x14ac:dyDescent="0.25">
      <c r="B150" s="83"/>
      <c r="C150" s="45" t="s">
        <v>146</v>
      </c>
      <c r="D150" s="44">
        <v>9</v>
      </c>
      <c r="E150" s="43">
        <v>1.1995201919232307E-3</v>
      </c>
    </row>
    <row r="151" spans="2:5" ht="15" customHeight="1" x14ac:dyDescent="0.25">
      <c r="B151" s="83"/>
      <c r="C151" s="45" t="s">
        <v>144</v>
      </c>
      <c r="D151" s="44">
        <v>1</v>
      </c>
      <c r="E151" s="43">
        <v>1.3328002132480341E-4</v>
      </c>
    </row>
    <row r="152" spans="2:5" ht="15" customHeight="1" x14ac:dyDescent="0.25">
      <c r="B152" s="83"/>
      <c r="C152" s="45" t="s">
        <v>143</v>
      </c>
      <c r="D152" s="44">
        <v>3</v>
      </c>
      <c r="E152" s="43">
        <v>3.9984006397441024E-4</v>
      </c>
    </row>
    <row r="153" spans="2:5" ht="15" customHeight="1" x14ac:dyDescent="0.25">
      <c r="B153" s="83"/>
      <c r="C153" s="45" t="s">
        <v>138</v>
      </c>
      <c r="D153" s="44">
        <v>1</v>
      </c>
      <c r="E153" s="43">
        <v>1.3328002132480341E-4</v>
      </c>
    </row>
    <row r="154" spans="2:5" ht="15" customHeight="1" x14ac:dyDescent="0.25">
      <c r="B154" s="83"/>
      <c r="C154" s="45" t="s">
        <v>137</v>
      </c>
      <c r="D154" s="44">
        <v>4</v>
      </c>
      <c r="E154" s="43">
        <v>5.3312008529921365E-4</v>
      </c>
    </row>
    <row r="155" spans="2:5" ht="15" customHeight="1" x14ac:dyDescent="0.25">
      <c r="B155" s="84"/>
      <c r="C155" s="42" t="s">
        <v>20</v>
      </c>
      <c r="D155" s="41">
        <v>23</v>
      </c>
      <c r="E155" s="40">
        <v>3.0654404904704785E-3</v>
      </c>
    </row>
    <row r="156" spans="2:5" ht="15" customHeight="1" x14ac:dyDescent="0.25">
      <c r="B156" s="82" t="s">
        <v>89</v>
      </c>
      <c r="C156" s="45" t="s">
        <v>151</v>
      </c>
      <c r="D156" s="44">
        <v>2</v>
      </c>
      <c r="E156" s="43">
        <v>2.6656004264960682E-4</v>
      </c>
    </row>
    <row r="157" spans="2:5" ht="15" customHeight="1" x14ac:dyDescent="0.25">
      <c r="B157" s="83"/>
      <c r="C157" s="45" t="s">
        <v>150</v>
      </c>
      <c r="D157" s="44">
        <v>2</v>
      </c>
      <c r="E157" s="43">
        <v>2.6656004264960682E-4</v>
      </c>
    </row>
    <row r="158" spans="2:5" ht="15" customHeight="1" x14ac:dyDescent="0.25">
      <c r="B158" s="83"/>
      <c r="C158" s="45" t="s">
        <v>148</v>
      </c>
      <c r="D158" s="44">
        <v>1</v>
      </c>
      <c r="E158" s="43">
        <v>1.3328002132480341E-4</v>
      </c>
    </row>
    <row r="159" spans="2:5" ht="15" customHeight="1" x14ac:dyDescent="0.25">
      <c r="B159" s="83"/>
      <c r="C159" s="45" t="s">
        <v>147</v>
      </c>
      <c r="D159" s="44">
        <v>1</v>
      </c>
      <c r="E159" s="43">
        <v>1.3328002132480341E-4</v>
      </c>
    </row>
    <row r="160" spans="2:5" ht="15" customHeight="1" x14ac:dyDescent="0.25">
      <c r="B160" s="83"/>
      <c r="C160" s="45" t="s">
        <v>146</v>
      </c>
      <c r="D160" s="44">
        <v>2</v>
      </c>
      <c r="E160" s="43">
        <v>2.6656004264960682E-4</v>
      </c>
    </row>
    <row r="161" spans="2:5" ht="15" customHeight="1" x14ac:dyDescent="0.25">
      <c r="B161" s="83"/>
      <c r="C161" s="45" t="s">
        <v>144</v>
      </c>
      <c r="D161" s="44">
        <v>1</v>
      </c>
      <c r="E161" s="43">
        <v>1.3328002132480341E-4</v>
      </c>
    </row>
    <row r="162" spans="2:5" ht="15" customHeight="1" x14ac:dyDescent="0.25">
      <c r="B162" s="83"/>
      <c r="C162" s="45" t="s">
        <v>143</v>
      </c>
      <c r="D162" s="44">
        <v>2</v>
      </c>
      <c r="E162" s="43">
        <v>2.6656004264960682E-4</v>
      </c>
    </row>
    <row r="163" spans="2:5" ht="15" customHeight="1" x14ac:dyDescent="0.25">
      <c r="B163" s="83"/>
      <c r="C163" s="45" t="s">
        <v>137</v>
      </c>
      <c r="D163" s="44">
        <v>1</v>
      </c>
      <c r="E163" s="43">
        <v>1.3328002132480341E-4</v>
      </c>
    </row>
    <row r="164" spans="2:5" ht="15" customHeight="1" x14ac:dyDescent="0.25">
      <c r="B164" s="84"/>
      <c r="C164" s="42" t="s">
        <v>20</v>
      </c>
      <c r="D164" s="41">
        <v>12</v>
      </c>
      <c r="E164" s="40">
        <v>1.5993602558976409E-3</v>
      </c>
    </row>
    <row r="165" spans="2:5" ht="15" customHeight="1" x14ac:dyDescent="0.25">
      <c r="B165" s="82" t="s">
        <v>105</v>
      </c>
      <c r="C165" s="45" t="s">
        <v>157</v>
      </c>
      <c r="D165" s="44">
        <v>19</v>
      </c>
      <c r="E165" s="43">
        <v>2.5323204051712648E-3</v>
      </c>
    </row>
    <row r="166" spans="2:5" ht="15" customHeight="1" x14ac:dyDescent="0.25">
      <c r="B166" s="83"/>
      <c r="C166" s="45" t="s">
        <v>156</v>
      </c>
      <c r="D166" s="44">
        <v>8</v>
      </c>
      <c r="E166" s="43">
        <v>1.0662401705984273E-3</v>
      </c>
    </row>
    <row r="167" spans="2:5" ht="15" customHeight="1" x14ac:dyDescent="0.25">
      <c r="B167" s="83"/>
      <c r="C167" s="45" t="s">
        <v>155</v>
      </c>
      <c r="D167" s="44">
        <v>6</v>
      </c>
      <c r="E167" s="43">
        <v>7.9968012794882047E-4</v>
      </c>
    </row>
    <row r="168" spans="2:5" ht="15" customHeight="1" x14ac:dyDescent="0.25">
      <c r="B168" s="83"/>
      <c r="C168" s="45" t="s">
        <v>154</v>
      </c>
      <c r="D168" s="44">
        <v>21</v>
      </c>
      <c r="E168" s="43">
        <v>2.7988804478208716E-3</v>
      </c>
    </row>
    <row r="169" spans="2:5" ht="15" customHeight="1" x14ac:dyDescent="0.25">
      <c r="B169" s="83"/>
      <c r="C169" s="45" t="s">
        <v>153</v>
      </c>
      <c r="D169" s="44">
        <v>12</v>
      </c>
      <c r="E169" s="43">
        <v>1.5993602558976409E-3</v>
      </c>
    </row>
    <row r="170" spans="2:5" ht="15" customHeight="1" x14ac:dyDescent="0.25">
      <c r="B170" s="83"/>
      <c r="C170" s="45" t="s">
        <v>152</v>
      </c>
      <c r="D170" s="44">
        <v>15</v>
      </c>
      <c r="E170" s="43">
        <v>1.9992003198720512E-3</v>
      </c>
    </row>
    <row r="171" spans="2:5" ht="15" customHeight="1" x14ac:dyDescent="0.25">
      <c r="B171" s="83"/>
      <c r="C171" s="45" t="s">
        <v>151</v>
      </c>
      <c r="D171" s="44">
        <v>67</v>
      </c>
      <c r="E171" s="43">
        <v>8.9297614287618295E-3</v>
      </c>
    </row>
    <row r="172" spans="2:5" ht="15" customHeight="1" x14ac:dyDescent="0.25">
      <c r="B172" s="83"/>
      <c r="C172" s="45" t="s">
        <v>150</v>
      </c>
      <c r="D172" s="44">
        <v>77</v>
      </c>
      <c r="E172" s="43">
        <v>1.0262561642009864E-2</v>
      </c>
    </row>
    <row r="173" spans="2:5" ht="15" customHeight="1" x14ac:dyDescent="0.25">
      <c r="B173" s="83"/>
      <c r="C173" s="45" t="s">
        <v>149</v>
      </c>
      <c r="D173" s="44">
        <v>15</v>
      </c>
      <c r="E173" s="43">
        <v>1.9992003198720512E-3</v>
      </c>
    </row>
    <row r="174" spans="2:5" ht="15" customHeight="1" x14ac:dyDescent="0.25">
      <c r="B174" s="83"/>
      <c r="C174" s="45" t="s">
        <v>148</v>
      </c>
      <c r="D174" s="44">
        <v>27</v>
      </c>
      <c r="E174" s="43">
        <v>3.5985605757696921E-3</v>
      </c>
    </row>
    <row r="175" spans="2:5" ht="15" customHeight="1" x14ac:dyDescent="0.25">
      <c r="B175" s="83"/>
      <c r="C175" s="45" t="s">
        <v>147</v>
      </c>
      <c r="D175" s="44">
        <v>30</v>
      </c>
      <c r="E175" s="43">
        <v>3.9984006397441024E-3</v>
      </c>
    </row>
    <row r="176" spans="2:5" ht="15" customHeight="1" x14ac:dyDescent="0.25">
      <c r="B176" s="83"/>
      <c r="C176" s="45" t="s">
        <v>146</v>
      </c>
      <c r="D176" s="44">
        <v>162</v>
      </c>
      <c r="E176" s="43">
        <v>2.1591363454618154E-2</v>
      </c>
    </row>
    <row r="177" spans="2:5" ht="15" customHeight="1" x14ac:dyDescent="0.25">
      <c r="B177" s="83"/>
      <c r="C177" s="45" t="s">
        <v>145</v>
      </c>
      <c r="D177" s="44">
        <v>9</v>
      </c>
      <c r="E177" s="43">
        <v>1.1995201919232307E-3</v>
      </c>
    </row>
    <row r="178" spans="2:5" ht="15" customHeight="1" x14ac:dyDescent="0.25">
      <c r="B178" s="83"/>
      <c r="C178" s="45" t="s">
        <v>144</v>
      </c>
      <c r="D178" s="44">
        <v>83</v>
      </c>
      <c r="E178" s="43">
        <v>1.1062241769958684E-2</v>
      </c>
    </row>
    <row r="179" spans="2:5" ht="15" customHeight="1" x14ac:dyDescent="0.25">
      <c r="B179" s="83"/>
      <c r="C179" s="45" t="s">
        <v>143</v>
      </c>
      <c r="D179" s="44">
        <v>156</v>
      </c>
      <c r="E179" s="43">
        <v>2.0791683326669332E-2</v>
      </c>
    </row>
    <row r="180" spans="2:5" ht="15" customHeight="1" x14ac:dyDescent="0.25">
      <c r="B180" s="83"/>
      <c r="C180" s="45" t="s">
        <v>142</v>
      </c>
      <c r="D180" s="44">
        <v>6</v>
      </c>
      <c r="E180" s="43">
        <v>7.9968012794882047E-4</v>
      </c>
    </row>
    <row r="181" spans="2:5" ht="15" customHeight="1" x14ac:dyDescent="0.25">
      <c r="B181" s="83"/>
      <c r="C181" s="45" t="s">
        <v>141</v>
      </c>
      <c r="D181" s="44">
        <v>4</v>
      </c>
      <c r="E181" s="43">
        <v>5.3312008529921365E-4</v>
      </c>
    </row>
    <row r="182" spans="2:5" ht="15" customHeight="1" x14ac:dyDescent="0.25">
      <c r="B182" s="83"/>
      <c r="C182" s="45" t="s">
        <v>140</v>
      </c>
      <c r="D182" s="44">
        <v>2</v>
      </c>
      <c r="E182" s="43">
        <v>2.6656004264960682E-4</v>
      </c>
    </row>
    <row r="183" spans="2:5" ht="15" customHeight="1" x14ac:dyDescent="0.25">
      <c r="B183" s="83"/>
      <c r="C183" s="45" t="s">
        <v>139</v>
      </c>
      <c r="D183" s="44">
        <v>1</v>
      </c>
      <c r="E183" s="43">
        <v>1.3328002132480341E-4</v>
      </c>
    </row>
    <row r="184" spans="2:5" ht="15" customHeight="1" x14ac:dyDescent="0.25">
      <c r="B184" s="83"/>
      <c r="C184" s="45" t="s">
        <v>138</v>
      </c>
      <c r="D184" s="44">
        <v>20</v>
      </c>
      <c r="E184" s="43">
        <v>2.6656004264960682E-3</v>
      </c>
    </row>
    <row r="185" spans="2:5" ht="15" customHeight="1" x14ac:dyDescent="0.25">
      <c r="B185" s="83"/>
      <c r="C185" s="45" t="s">
        <v>137</v>
      </c>
      <c r="D185" s="44">
        <v>25</v>
      </c>
      <c r="E185" s="43">
        <v>3.3320005331200853E-3</v>
      </c>
    </row>
    <row r="186" spans="2:5" ht="15" customHeight="1" x14ac:dyDescent="0.25">
      <c r="B186" s="83"/>
      <c r="C186" s="45" t="s">
        <v>162</v>
      </c>
      <c r="D186" s="44">
        <v>1</v>
      </c>
      <c r="E186" s="43">
        <v>1.3328002132480341E-4</v>
      </c>
    </row>
    <row r="187" spans="2:5" ht="15" customHeight="1" x14ac:dyDescent="0.25">
      <c r="B187" s="83"/>
      <c r="C187" s="45" t="s">
        <v>135</v>
      </c>
      <c r="D187" s="44">
        <v>1</v>
      </c>
      <c r="E187" s="43">
        <v>1.3328002132480341E-4</v>
      </c>
    </row>
    <row r="188" spans="2:5" ht="15" customHeight="1" x14ac:dyDescent="0.25">
      <c r="B188" s="84"/>
      <c r="C188" s="42" t="s">
        <v>20</v>
      </c>
      <c r="D188" s="41">
        <v>767</v>
      </c>
      <c r="E188" s="40">
        <v>0.10222577635612422</v>
      </c>
    </row>
    <row r="189" spans="2:5" ht="15" customHeight="1" x14ac:dyDescent="0.25">
      <c r="B189" s="82" t="s">
        <v>109</v>
      </c>
      <c r="C189" s="45" t="s">
        <v>157</v>
      </c>
      <c r="D189" s="44">
        <v>1</v>
      </c>
      <c r="E189" s="43">
        <v>1.3328002132480341E-4</v>
      </c>
    </row>
    <row r="190" spans="2:5" ht="15" customHeight="1" x14ac:dyDescent="0.25">
      <c r="B190" s="83"/>
      <c r="C190" s="45" t="s">
        <v>152</v>
      </c>
      <c r="D190" s="44">
        <v>1</v>
      </c>
      <c r="E190" s="43">
        <v>1.3328002132480341E-4</v>
      </c>
    </row>
    <row r="191" spans="2:5" ht="15" customHeight="1" x14ac:dyDescent="0.25">
      <c r="B191" s="83"/>
      <c r="C191" s="45" t="s">
        <v>151</v>
      </c>
      <c r="D191" s="44">
        <v>6</v>
      </c>
      <c r="E191" s="43">
        <v>7.9968012794882047E-4</v>
      </c>
    </row>
    <row r="192" spans="2:5" ht="15" customHeight="1" x14ac:dyDescent="0.25">
      <c r="B192" s="83"/>
      <c r="C192" s="45" t="s">
        <v>150</v>
      </c>
      <c r="D192" s="44">
        <v>10</v>
      </c>
      <c r="E192" s="43">
        <v>1.3328002132480341E-3</v>
      </c>
    </row>
    <row r="193" spans="2:5" ht="15" customHeight="1" x14ac:dyDescent="0.25">
      <c r="B193" s="83"/>
      <c r="C193" s="45" t="s">
        <v>149</v>
      </c>
      <c r="D193" s="44">
        <v>1</v>
      </c>
      <c r="E193" s="43">
        <v>1.3328002132480341E-4</v>
      </c>
    </row>
    <row r="194" spans="2:5" ht="15" customHeight="1" x14ac:dyDescent="0.25">
      <c r="B194" s="83"/>
      <c r="C194" s="45" t="s">
        <v>147</v>
      </c>
      <c r="D194" s="44">
        <v>3</v>
      </c>
      <c r="E194" s="43">
        <v>3.9984006397441024E-4</v>
      </c>
    </row>
    <row r="195" spans="2:5" ht="15" customHeight="1" x14ac:dyDescent="0.25">
      <c r="B195" s="83"/>
      <c r="C195" s="45" t="s">
        <v>146</v>
      </c>
      <c r="D195" s="44">
        <v>17</v>
      </c>
      <c r="E195" s="43">
        <v>2.265760362521658E-3</v>
      </c>
    </row>
    <row r="196" spans="2:5" ht="15" customHeight="1" x14ac:dyDescent="0.25">
      <c r="B196" s="83"/>
      <c r="C196" s="45" t="s">
        <v>145</v>
      </c>
      <c r="D196" s="44">
        <v>3</v>
      </c>
      <c r="E196" s="43">
        <v>3.9984006397441024E-4</v>
      </c>
    </row>
    <row r="197" spans="2:5" ht="15" customHeight="1" x14ac:dyDescent="0.25">
      <c r="B197" s="83"/>
      <c r="C197" s="45" t="s">
        <v>144</v>
      </c>
      <c r="D197" s="44">
        <v>5</v>
      </c>
      <c r="E197" s="43">
        <v>6.6640010662401706E-4</v>
      </c>
    </row>
    <row r="198" spans="2:5" ht="15" customHeight="1" x14ac:dyDescent="0.25">
      <c r="B198" s="83"/>
      <c r="C198" s="45" t="s">
        <v>143</v>
      </c>
      <c r="D198" s="44">
        <v>17</v>
      </c>
      <c r="E198" s="43">
        <v>2.265760362521658E-3</v>
      </c>
    </row>
    <row r="199" spans="2:5" ht="15" customHeight="1" x14ac:dyDescent="0.25">
      <c r="B199" s="83"/>
      <c r="C199" s="45" t="s">
        <v>139</v>
      </c>
      <c r="D199" s="44">
        <v>1</v>
      </c>
      <c r="E199" s="43">
        <v>1.3328002132480341E-4</v>
      </c>
    </row>
    <row r="200" spans="2:5" ht="15" customHeight="1" x14ac:dyDescent="0.25">
      <c r="B200" s="83"/>
      <c r="C200" s="45" t="s">
        <v>137</v>
      </c>
      <c r="D200" s="44">
        <v>8</v>
      </c>
      <c r="E200" s="43">
        <v>1.0662401705984273E-3</v>
      </c>
    </row>
    <row r="201" spans="2:5" ht="15" customHeight="1" x14ac:dyDescent="0.25">
      <c r="B201" s="83"/>
      <c r="C201" s="45" t="s">
        <v>135</v>
      </c>
      <c r="D201" s="44">
        <v>1</v>
      </c>
      <c r="E201" s="43">
        <v>1.3328002132480341E-4</v>
      </c>
    </row>
    <row r="202" spans="2:5" ht="15" customHeight="1" x14ac:dyDescent="0.25">
      <c r="B202" s="84"/>
      <c r="C202" s="42" t="s">
        <v>20</v>
      </c>
      <c r="D202" s="41">
        <v>74</v>
      </c>
      <c r="E202" s="40">
        <v>9.8627215780354525E-3</v>
      </c>
    </row>
    <row r="203" spans="2:5" ht="15" customHeight="1" x14ac:dyDescent="0.25">
      <c r="B203" s="82" t="s">
        <v>165</v>
      </c>
      <c r="C203" s="45" t="s">
        <v>155</v>
      </c>
      <c r="D203" s="44">
        <v>1</v>
      </c>
      <c r="E203" s="43">
        <v>1.3328002132480341E-4</v>
      </c>
    </row>
    <row r="204" spans="2:5" ht="15" customHeight="1" x14ac:dyDescent="0.25">
      <c r="B204" s="83"/>
      <c r="C204" s="45" t="s">
        <v>154</v>
      </c>
      <c r="D204" s="44">
        <v>1</v>
      </c>
      <c r="E204" s="43">
        <v>1.3328002132480341E-4</v>
      </c>
    </row>
    <row r="205" spans="2:5" ht="15" customHeight="1" x14ac:dyDescent="0.25">
      <c r="B205" s="83"/>
      <c r="C205" s="45" t="s">
        <v>152</v>
      </c>
      <c r="D205" s="44">
        <v>1</v>
      </c>
      <c r="E205" s="43">
        <v>1.3328002132480341E-4</v>
      </c>
    </row>
    <row r="206" spans="2:5" ht="15" customHeight="1" x14ac:dyDescent="0.25">
      <c r="B206" s="83"/>
      <c r="C206" s="45" t="s">
        <v>151</v>
      </c>
      <c r="D206" s="44">
        <v>2</v>
      </c>
      <c r="E206" s="43">
        <v>2.6656004264960682E-4</v>
      </c>
    </row>
    <row r="207" spans="2:5" ht="15" customHeight="1" x14ac:dyDescent="0.25">
      <c r="B207" s="83"/>
      <c r="C207" s="45" t="s">
        <v>150</v>
      </c>
      <c r="D207" s="44">
        <v>4</v>
      </c>
      <c r="E207" s="43">
        <v>5.3312008529921365E-4</v>
      </c>
    </row>
    <row r="208" spans="2:5" ht="15" customHeight="1" x14ac:dyDescent="0.25">
      <c r="B208" s="83"/>
      <c r="C208" s="45" t="s">
        <v>148</v>
      </c>
      <c r="D208" s="44">
        <v>2</v>
      </c>
      <c r="E208" s="43">
        <v>2.6656004264960682E-4</v>
      </c>
    </row>
    <row r="209" spans="2:5" ht="15" customHeight="1" x14ac:dyDescent="0.25">
      <c r="B209" s="83"/>
      <c r="C209" s="45" t="s">
        <v>146</v>
      </c>
      <c r="D209" s="44">
        <v>7</v>
      </c>
      <c r="E209" s="43">
        <v>9.3296014927362388E-4</v>
      </c>
    </row>
    <row r="210" spans="2:5" ht="15" customHeight="1" x14ac:dyDescent="0.25">
      <c r="B210" s="83"/>
      <c r="C210" s="45" t="s">
        <v>144</v>
      </c>
      <c r="D210" s="44">
        <v>3</v>
      </c>
      <c r="E210" s="43">
        <v>3.9984006397441024E-4</v>
      </c>
    </row>
    <row r="211" spans="2:5" ht="15" customHeight="1" x14ac:dyDescent="0.25">
      <c r="B211" s="83"/>
      <c r="C211" s="45" t="s">
        <v>143</v>
      </c>
      <c r="D211" s="44">
        <v>10</v>
      </c>
      <c r="E211" s="43">
        <v>1.3328002132480341E-3</v>
      </c>
    </row>
    <row r="212" spans="2:5" ht="15" customHeight="1" x14ac:dyDescent="0.25">
      <c r="B212" s="83"/>
      <c r="C212" s="45" t="s">
        <v>138</v>
      </c>
      <c r="D212" s="44">
        <v>3</v>
      </c>
      <c r="E212" s="43">
        <v>3.9984006397441024E-4</v>
      </c>
    </row>
    <row r="213" spans="2:5" ht="15" customHeight="1" x14ac:dyDescent="0.25">
      <c r="B213" s="83"/>
      <c r="C213" s="45" t="s">
        <v>137</v>
      </c>
      <c r="D213" s="44">
        <v>5</v>
      </c>
      <c r="E213" s="43">
        <v>6.6640010662401706E-4</v>
      </c>
    </row>
    <row r="214" spans="2:5" ht="15" customHeight="1" x14ac:dyDescent="0.25">
      <c r="B214" s="84"/>
      <c r="C214" s="42" t="s">
        <v>20</v>
      </c>
      <c r="D214" s="41">
        <v>39</v>
      </c>
      <c r="E214" s="40">
        <v>5.1979208316673331E-3</v>
      </c>
    </row>
    <row r="215" spans="2:5" ht="15" customHeight="1" x14ac:dyDescent="0.25">
      <c r="B215" s="82" t="s">
        <v>88</v>
      </c>
      <c r="C215" s="45" t="s">
        <v>157</v>
      </c>
      <c r="D215" s="44">
        <v>1</v>
      </c>
      <c r="E215" s="43">
        <v>1.3328002132480341E-4</v>
      </c>
    </row>
    <row r="216" spans="2:5" ht="15" customHeight="1" x14ac:dyDescent="0.25">
      <c r="B216" s="83"/>
      <c r="C216" s="45" t="s">
        <v>156</v>
      </c>
      <c r="D216" s="44">
        <v>1</v>
      </c>
      <c r="E216" s="43">
        <v>1.3328002132480341E-4</v>
      </c>
    </row>
    <row r="217" spans="2:5" ht="15" customHeight="1" x14ac:dyDescent="0.25">
      <c r="B217" s="83"/>
      <c r="C217" s="45" t="s">
        <v>155</v>
      </c>
      <c r="D217" s="44">
        <v>1</v>
      </c>
      <c r="E217" s="43">
        <v>1.3328002132480341E-4</v>
      </c>
    </row>
    <row r="218" spans="2:5" ht="15" customHeight="1" x14ac:dyDescent="0.25">
      <c r="B218" s="83"/>
      <c r="C218" s="45" t="s">
        <v>154</v>
      </c>
      <c r="D218" s="44">
        <v>1</v>
      </c>
      <c r="E218" s="43">
        <v>1.3328002132480341E-4</v>
      </c>
    </row>
    <row r="219" spans="2:5" ht="15" customHeight="1" x14ac:dyDescent="0.25">
      <c r="B219" s="83"/>
      <c r="C219" s="45" t="s">
        <v>153</v>
      </c>
      <c r="D219" s="44">
        <v>1</v>
      </c>
      <c r="E219" s="43">
        <v>1.3328002132480341E-4</v>
      </c>
    </row>
    <row r="220" spans="2:5" ht="15" customHeight="1" x14ac:dyDescent="0.25">
      <c r="B220" s="83"/>
      <c r="C220" s="45" t="s">
        <v>152</v>
      </c>
      <c r="D220" s="44">
        <v>1</v>
      </c>
      <c r="E220" s="43">
        <v>1.3328002132480341E-4</v>
      </c>
    </row>
    <row r="221" spans="2:5" ht="15" customHeight="1" x14ac:dyDescent="0.25">
      <c r="B221" s="83"/>
      <c r="C221" s="45" t="s">
        <v>151</v>
      </c>
      <c r="D221" s="44">
        <v>4</v>
      </c>
      <c r="E221" s="43">
        <v>5.3312008529921365E-4</v>
      </c>
    </row>
    <row r="222" spans="2:5" ht="15" customHeight="1" x14ac:dyDescent="0.25">
      <c r="B222" s="83"/>
      <c r="C222" s="45" t="s">
        <v>150</v>
      </c>
      <c r="D222" s="44">
        <v>4</v>
      </c>
      <c r="E222" s="43">
        <v>5.3312008529921365E-4</v>
      </c>
    </row>
    <row r="223" spans="2:5" ht="15" customHeight="1" x14ac:dyDescent="0.25">
      <c r="B223" s="83"/>
      <c r="C223" s="45" t="s">
        <v>148</v>
      </c>
      <c r="D223" s="44">
        <v>4</v>
      </c>
      <c r="E223" s="43">
        <v>5.3312008529921365E-4</v>
      </c>
    </row>
    <row r="224" spans="2:5" ht="15" customHeight="1" x14ac:dyDescent="0.25">
      <c r="B224" s="83"/>
      <c r="C224" s="45" t="s">
        <v>147</v>
      </c>
      <c r="D224" s="44">
        <v>3</v>
      </c>
      <c r="E224" s="43">
        <v>3.9984006397441024E-4</v>
      </c>
    </row>
    <row r="225" spans="2:5" ht="15" customHeight="1" x14ac:dyDescent="0.25">
      <c r="B225" s="83"/>
      <c r="C225" s="45" t="s">
        <v>146</v>
      </c>
      <c r="D225" s="44">
        <v>15</v>
      </c>
      <c r="E225" s="43">
        <v>1.9992003198720512E-3</v>
      </c>
    </row>
    <row r="226" spans="2:5" ht="15" customHeight="1" x14ac:dyDescent="0.25">
      <c r="B226" s="83"/>
      <c r="C226" s="45" t="s">
        <v>144</v>
      </c>
      <c r="D226" s="44">
        <v>8</v>
      </c>
      <c r="E226" s="43">
        <v>1.0662401705984273E-3</v>
      </c>
    </row>
    <row r="227" spans="2:5" ht="15" customHeight="1" x14ac:dyDescent="0.25">
      <c r="B227" s="83"/>
      <c r="C227" s="45" t="s">
        <v>143</v>
      </c>
      <c r="D227" s="44">
        <v>12</v>
      </c>
      <c r="E227" s="43">
        <v>1.5993602558976409E-3</v>
      </c>
    </row>
    <row r="228" spans="2:5" ht="15" customHeight="1" x14ac:dyDescent="0.25">
      <c r="B228" s="83"/>
      <c r="C228" s="45" t="s">
        <v>141</v>
      </c>
      <c r="D228" s="44">
        <v>1</v>
      </c>
      <c r="E228" s="43">
        <v>1.3328002132480341E-4</v>
      </c>
    </row>
    <row r="229" spans="2:5" ht="15" customHeight="1" x14ac:dyDescent="0.25">
      <c r="B229" s="83"/>
      <c r="C229" s="45" t="s">
        <v>138</v>
      </c>
      <c r="D229" s="44">
        <v>3</v>
      </c>
      <c r="E229" s="43">
        <v>3.9984006397441024E-4</v>
      </c>
    </row>
    <row r="230" spans="2:5" ht="15" customHeight="1" x14ac:dyDescent="0.25">
      <c r="B230" s="83"/>
      <c r="C230" s="45" t="s">
        <v>137</v>
      </c>
      <c r="D230" s="44">
        <v>5</v>
      </c>
      <c r="E230" s="43">
        <v>6.6640010662401706E-4</v>
      </c>
    </row>
    <row r="231" spans="2:5" ht="15" customHeight="1" x14ac:dyDescent="0.25">
      <c r="B231" s="84"/>
      <c r="C231" s="42" t="s">
        <v>20</v>
      </c>
      <c r="D231" s="41">
        <v>65</v>
      </c>
      <c r="E231" s="40">
        <v>8.6632013861122226E-3</v>
      </c>
    </row>
    <row r="232" spans="2:5" ht="15" customHeight="1" x14ac:dyDescent="0.25">
      <c r="B232" s="82" t="s">
        <v>72</v>
      </c>
      <c r="C232" s="45" t="s">
        <v>152</v>
      </c>
      <c r="D232" s="44">
        <v>1</v>
      </c>
      <c r="E232" s="43">
        <v>1.3328002132480341E-4</v>
      </c>
    </row>
    <row r="233" spans="2:5" ht="15" customHeight="1" x14ac:dyDescent="0.25">
      <c r="B233" s="83"/>
      <c r="C233" s="45" t="s">
        <v>146</v>
      </c>
      <c r="D233" s="44">
        <v>1</v>
      </c>
      <c r="E233" s="43">
        <v>1.3328002132480341E-4</v>
      </c>
    </row>
    <row r="234" spans="2:5" ht="15" customHeight="1" x14ac:dyDescent="0.25">
      <c r="B234" s="83"/>
      <c r="C234" s="45" t="s">
        <v>144</v>
      </c>
      <c r="D234" s="44">
        <v>1</v>
      </c>
      <c r="E234" s="43">
        <v>1.3328002132480341E-4</v>
      </c>
    </row>
    <row r="235" spans="2:5" ht="15" customHeight="1" x14ac:dyDescent="0.25">
      <c r="B235" s="83"/>
      <c r="C235" s="45" t="s">
        <v>143</v>
      </c>
      <c r="D235" s="44">
        <v>4</v>
      </c>
      <c r="E235" s="43">
        <v>5.3312008529921365E-4</v>
      </c>
    </row>
    <row r="236" spans="2:5" ht="15" customHeight="1" x14ac:dyDescent="0.25">
      <c r="B236" s="83"/>
      <c r="C236" s="45" t="s">
        <v>141</v>
      </c>
      <c r="D236" s="44">
        <v>1</v>
      </c>
      <c r="E236" s="43">
        <v>1.3328002132480341E-4</v>
      </c>
    </row>
    <row r="237" spans="2:5" ht="15" customHeight="1" x14ac:dyDescent="0.25">
      <c r="B237" s="83"/>
      <c r="C237" s="45" t="s">
        <v>138</v>
      </c>
      <c r="D237" s="44">
        <v>1</v>
      </c>
      <c r="E237" s="43">
        <v>1.3328002132480341E-4</v>
      </c>
    </row>
    <row r="238" spans="2:5" ht="15" customHeight="1" x14ac:dyDescent="0.25">
      <c r="B238" s="83"/>
      <c r="C238" s="45" t="s">
        <v>137</v>
      </c>
      <c r="D238" s="44">
        <v>4</v>
      </c>
      <c r="E238" s="43">
        <v>5.3312008529921365E-4</v>
      </c>
    </row>
    <row r="239" spans="2:5" ht="15" customHeight="1" x14ac:dyDescent="0.25">
      <c r="B239" s="84"/>
      <c r="C239" s="42" t="s">
        <v>20</v>
      </c>
      <c r="D239" s="41">
        <v>13</v>
      </c>
      <c r="E239" s="40">
        <v>1.7326402772224444E-3</v>
      </c>
    </row>
    <row r="240" spans="2:5" ht="15" customHeight="1" x14ac:dyDescent="0.25">
      <c r="B240" s="82" t="s">
        <v>95</v>
      </c>
      <c r="C240" s="45" t="s">
        <v>157</v>
      </c>
      <c r="D240" s="44">
        <v>1</v>
      </c>
      <c r="E240" s="43">
        <v>1.3328002132480341E-4</v>
      </c>
    </row>
    <row r="241" spans="2:5" ht="15" customHeight="1" x14ac:dyDescent="0.25">
      <c r="B241" s="83"/>
      <c r="C241" s="45" t="s">
        <v>156</v>
      </c>
      <c r="D241" s="44">
        <v>2</v>
      </c>
      <c r="E241" s="43">
        <v>2.6656004264960682E-4</v>
      </c>
    </row>
    <row r="242" spans="2:5" ht="15" customHeight="1" x14ac:dyDescent="0.25">
      <c r="B242" s="83"/>
      <c r="C242" s="45" t="s">
        <v>154</v>
      </c>
      <c r="D242" s="44">
        <v>3</v>
      </c>
      <c r="E242" s="43">
        <v>3.9984006397441024E-4</v>
      </c>
    </row>
    <row r="243" spans="2:5" ht="15" customHeight="1" x14ac:dyDescent="0.25">
      <c r="B243" s="83"/>
      <c r="C243" s="45" t="s">
        <v>153</v>
      </c>
      <c r="D243" s="44">
        <v>2</v>
      </c>
      <c r="E243" s="43">
        <v>2.6656004264960682E-4</v>
      </c>
    </row>
    <row r="244" spans="2:5" ht="15" customHeight="1" x14ac:dyDescent="0.25">
      <c r="B244" s="83"/>
      <c r="C244" s="45" t="s">
        <v>152</v>
      </c>
      <c r="D244" s="44">
        <v>4</v>
      </c>
      <c r="E244" s="43">
        <v>5.3312008529921365E-4</v>
      </c>
    </row>
    <row r="245" spans="2:5" ht="15" customHeight="1" x14ac:dyDescent="0.25">
      <c r="B245" s="83"/>
      <c r="C245" s="45" t="s">
        <v>151</v>
      </c>
      <c r="D245" s="44">
        <v>16</v>
      </c>
      <c r="E245" s="43">
        <v>2.1324803411968546E-3</v>
      </c>
    </row>
    <row r="246" spans="2:5" ht="15" customHeight="1" x14ac:dyDescent="0.25">
      <c r="B246" s="83"/>
      <c r="C246" s="45" t="s">
        <v>150</v>
      </c>
      <c r="D246" s="44">
        <v>22</v>
      </c>
      <c r="E246" s="43">
        <v>2.9321604691456751E-3</v>
      </c>
    </row>
    <row r="247" spans="2:5" ht="15" customHeight="1" x14ac:dyDescent="0.25">
      <c r="B247" s="83"/>
      <c r="C247" s="45" t="s">
        <v>149</v>
      </c>
      <c r="D247" s="44">
        <v>4</v>
      </c>
      <c r="E247" s="43">
        <v>5.3312008529921365E-4</v>
      </c>
    </row>
    <row r="248" spans="2:5" ht="15" customHeight="1" x14ac:dyDescent="0.25">
      <c r="B248" s="83"/>
      <c r="C248" s="45" t="s">
        <v>148</v>
      </c>
      <c r="D248" s="44">
        <v>9</v>
      </c>
      <c r="E248" s="43">
        <v>1.1995201919232307E-3</v>
      </c>
    </row>
    <row r="249" spans="2:5" ht="15" customHeight="1" x14ac:dyDescent="0.25">
      <c r="B249" s="83"/>
      <c r="C249" s="45" t="s">
        <v>147</v>
      </c>
      <c r="D249" s="44">
        <v>6</v>
      </c>
      <c r="E249" s="43">
        <v>7.9968012794882047E-4</v>
      </c>
    </row>
    <row r="250" spans="2:5" ht="15" customHeight="1" x14ac:dyDescent="0.25">
      <c r="B250" s="83"/>
      <c r="C250" s="45" t="s">
        <v>146</v>
      </c>
      <c r="D250" s="44">
        <v>71</v>
      </c>
      <c r="E250" s="43">
        <v>9.4628815140610431E-3</v>
      </c>
    </row>
    <row r="251" spans="2:5" ht="15" customHeight="1" x14ac:dyDescent="0.25">
      <c r="B251" s="83"/>
      <c r="C251" s="45" t="s">
        <v>145</v>
      </c>
      <c r="D251" s="44">
        <v>5</v>
      </c>
      <c r="E251" s="43">
        <v>6.6640010662401706E-4</v>
      </c>
    </row>
    <row r="252" spans="2:5" ht="15" customHeight="1" x14ac:dyDescent="0.25">
      <c r="B252" s="83"/>
      <c r="C252" s="45" t="s">
        <v>144</v>
      </c>
      <c r="D252" s="44">
        <v>31</v>
      </c>
      <c r="E252" s="43">
        <v>4.1316806610689058E-3</v>
      </c>
    </row>
    <row r="253" spans="2:5" ht="15" customHeight="1" x14ac:dyDescent="0.25">
      <c r="B253" s="83"/>
      <c r="C253" s="45" t="s">
        <v>143</v>
      </c>
      <c r="D253" s="44">
        <v>81</v>
      </c>
      <c r="E253" s="43">
        <v>1.0795681727309077E-2</v>
      </c>
    </row>
    <row r="254" spans="2:5" ht="15" customHeight="1" x14ac:dyDescent="0.25">
      <c r="B254" s="83"/>
      <c r="C254" s="45" t="s">
        <v>142</v>
      </c>
      <c r="D254" s="44">
        <v>1</v>
      </c>
      <c r="E254" s="43">
        <v>1.3328002132480341E-4</v>
      </c>
    </row>
    <row r="255" spans="2:5" ht="15" customHeight="1" x14ac:dyDescent="0.25">
      <c r="B255" s="83"/>
      <c r="C255" s="45" t="s">
        <v>141</v>
      </c>
      <c r="D255" s="44">
        <v>2</v>
      </c>
      <c r="E255" s="43">
        <v>2.6656004264960682E-4</v>
      </c>
    </row>
    <row r="256" spans="2:5" ht="15" customHeight="1" x14ac:dyDescent="0.25">
      <c r="B256" s="83"/>
      <c r="C256" s="45" t="s">
        <v>139</v>
      </c>
      <c r="D256" s="44">
        <v>1</v>
      </c>
      <c r="E256" s="43">
        <v>1.3328002132480341E-4</v>
      </c>
    </row>
    <row r="257" spans="2:5" ht="15" customHeight="1" x14ac:dyDescent="0.25">
      <c r="B257" s="83"/>
      <c r="C257" s="45" t="s">
        <v>138</v>
      </c>
      <c r="D257" s="44">
        <v>12</v>
      </c>
      <c r="E257" s="43">
        <v>1.5993602558976409E-3</v>
      </c>
    </row>
    <row r="258" spans="2:5" ht="15" customHeight="1" x14ac:dyDescent="0.25">
      <c r="B258" s="83"/>
      <c r="C258" s="45" t="s">
        <v>137</v>
      </c>
      <c r="D258" s="44">
        <v>20</v>
      </c>
      <c r="E258" s="43">
        <v>2.6656004264960682E-3</v>
      </c>
    </row>
    <row r="259" spans="2:5" ht="15" customHeight="1" x14ac:dyDescent="0.25">
      <c r="B259" s="84"/>
      <c r="C259" s="42" t="s">
        <v>20</v>
      </c>
      <c r="D259" s="41">
        <v>293</v>
      </c>
      <c r="E259" s="40">
        <v>3.9051046248167402E-2</v>
      </c>
    </row>
    <row r="260" spans="2:5" ht="15" customHeight="1" x14ac:dyDescent="0.25">
      <c r="B260" s="82" t="s">
        <v>99</v>
      </c>
      <c r="C260" s="45" t="s">
        <v>157</v>
      </c>
      <c r="D260" s="44">
        <v>1</v>
      </c>
      <c r="E260" s="43">
        <v>1.3328002132480341E-4</v>
      </c>
    </row>
    <row r="261" spans="2:5" ht="15" customHeight="1" x14ac:dyDescent="0.25">
      <c r="B261" s="83"/>
      <c r="C261" s="45" t="s">
        <v>154</v>
      </c>
      <c r="D261" s="44">
        <v>1</v>
      </c>
      <c r="E261" s="43">
        <v>1.3328002132480341E-4</v>
      </c>
    </row>
    <row r="262" spans="2:5" ht="15" customHeight="1" x14ac:dyDescent="0.25">
      <c r="B262" s="83"/>
      <c r="C262" s="45" t="s">
        <v>152</v>
      </c>
      <c r="D262" s="44">
        <v>2</v>
      </c>
      <c r="E262" s="43">
        <v>2.6656004264960682E-4</v>
      </c>
    </row>
    <row r="263" spans="2:5" ht="15" customHeight="1" x14ac:dyDescent="0.25">
      <c r="B263" s="83"/>
      <c r="C263" s="45" t="s">
        <v>151</v>
      </c>
      <c r="D263" s="44">
        <v>4</v>
      </c>
      <c r="E263" s="43">
        <v>5.3312008529921365E-4</v>
      </c>
    </row>
    <row r="264" spans="2:5" ht="15" customHeight="1" x14ac:dyDescent="0.25">
      <c r="B264" s="83"/>
      <c r="C264" s="45" t="s">
        <v>150</v>
      </c>
      <c r="D264" s="44">
        <v>6</v>
      </c>
      <c r="E264" s="43">
        <v>7.9968012794882047E-4</v>
      </c>
    </row>
    <row r="265" spans="2:5" ht="15" customHeight="1" x14ac:dyDescent="0.25">
      <c r="B265" s="83"/>
      <c r="C265" s="45" t="s">
        <v>146</v>
      </c>
      <c r="D265" s="44">
        <v>15</v>
      </c>
      <c r="E265" s="43">
        <v>1.9992003198720512E-3</v>
      </c>
    </row>
    <row r="266" spans="2:5" ht="15" customHeight="1" x14ac:dyDescent="0.25">
      <c r="B266" s="83"/>
      <c r="C266" s="45" t="s">
        <v>144</v>
      </c>
      <c r="D266" s="44">
        <v>4</v>
      </c>
      <c r="E266" s="43">
        <v>5.3312008529921365E-4</v>
      </c>
    </row>
    <row r="267" spans="2:5" ht="15" customHeight="1" x14ac:dyDescent="0.25">
      <c r="B267" s="83"/>
      <c r="C267" s="45" t="s">
        <v>143</v>
      </c>
      <c r="D267" s="44">
        <v>12</v>
      </c>
      <c r="E267" s="43">
        <v>1.5993602558976409E-3</v>
      </c>
    </row>
    <row r="268" spans="2:5" ht="15" customHeight="1" x14ac:dyDescent="0.25">
      <c r="B268" s="83"/>
      <c r="C268" s="45" t="s">
        <v>138</v>
      </c>
      <c r="D268" s="44">
        <v>1</v>
      </c>
      <c r="E268" s="43">
        <v>1.3328002132480341E-4</v>
      </c>
    </row>
    <row r="269" spans="2:5" ht="15" customHeight="1" x14ac:dyDescent="0.25">
      <c r="B269" s="83"/>
      <c r="C269" s="45" t="s">
        <v>137</v>
      </c>
      <c r="D269" s="44">
        <v>4</v>
      </c>
      <c r="E269" s="43">
        <v>5.3312008529921365E-4</v>
      </c>
    </row>
    <row r="270" spans="2:5" ht="15" customHeight="1" x14ac:dyDescent="0.25">
      <c r="B270" s="83"/>
      <c r="C270" s="45" t="s">
        <v>162</v>
      </c>
      <c r="D270" s="44">
        <v>1</v>
      </c>
      <c r="E270" s="43">
        <v>1.3328002132480341E-4</v>
      </c>
    </row>
    <row r="271" spans="2:5" ht="15" customHeight="1" x14ac:dyDescent="0.25">
      <c r="B271" s="84"/>
      <c r="C271" s="42" t="s">
        <v>20</v>
      </c>
      <c r="D271" s="41">
        <v>51</v>
      </c>
      <c r="E271" s="40">
        <v>6.797281087564974E-3</v>
      </c>
    </row>
    <row r="272" spans="2:5" ht="15" customHeight="1" x14ac:dyDescent="0.25">
      <c r="B272" s="82" t="s">
        <v>164</v>
      </c>
      <c r="C272" s="45" t="s">
        <v>157</v>
      </c>
      <c r="D272" s="44">
        <v>14</v>
      </c>
      <c r="E272" s="43">
        <v>1.8659202985472478E-3</v>
      </c>
    </row>
    <row r="273" spans="2:5" ht="15" customHeight="1" x14ac:dyDescent="0.25">
      <c r="B273" s="83"/>
      <c r="C273" s="45" t="s">
        <v>156</v>
      </c>
      <c r="D273" s="44">
        <v>9</v>
      </c>
      <c r="E273" s="43">
        <v>1.1995201919232307E-3</v>
      </c>
    </row>
    <row r="274" spans="2:5" ht="15" customHeight="1" x14ac:dyDescent="0.25">
      <c r="B274" s="83"/>
      <c r="C274" s="45" t="s">
        <v>155</v>
      </c>
      <c r="D274" s="44">
        <v>5</v>
      </c>
      <c r="E274" s="43">
        <v>6.6640010662401706E-4</v>
      </c>
    </row>
    <row r="275" spans="2:5" ht="15" customHeight="1" x14ac:dyDescent="0.25">
      <c r="B275" s="83"/>
      <c r="C275" s="45" t="s">
        <v>154</v>
      </c>
      <c r="D275" s="44">
        <v>10</v>
      </c>
      <c r="E275" s="43">
        <v>1.3328002132480341E-3</v>
      </c>
    </row>
    <row r="276" spans="2:5" ht="15" customHeight="1" x14ac:dyDescent="0.25">
      <c r="B276" s="83"/>
      <c r="C276" s="45" t="s">
        <v>153</v>
      </c>
      <c r="D276" s="44">
        <v>11</v>
      </c>
      <c r="E276" s="43">
        <v>1.4660802345728375E-3</v>
      </c>
    </row>
    <row r="277" spans="2:5" ht="15" customHeight="1" x14ac:dyDescent="0.25">
      <c r="B277" s="83"/>
      <c r="C277" s="45" t="s">
        <v>152</v>
      </c>
      <c r="D277" s="44">
        <v>18</v>
      </c>
      <c r="E277" s="43">
        <v>2.3990403838464614E-3</v>
      </c>
    </row>
    <row r="278" spans="2:5" ht="15" customHeight="1" x14ac:dyDescent="0.25">
      <c r="B278" s="83"/>
      <c r="C278" s="45" t="s">
        <v>151</v>
      </c>
      <c r="D278" s="44">
        <v>75</v>
      </c>
      <c r="E278" s="43">
        <v>9.9960015993602568E-3</v>
      </c>
    </row>
    <row r="279" spans="2:5" ht="15" customHeight="1" x14ac:dyDescent="0.25">
      <c r="B279" s="83"/>
      <c r="C279" s="45" t="s">
        <v>150</v>
      </c>
      <c r="D279" s="44">
        <v>170</v>
      </c>
      <c r="E279" s="43">
        <v>2.2657603625216582E-2</v>
      </c>
    </row>
    <row r="280" spans="2:5" ht="15" customHeight="1" x14ac:dyDescent="0.25">
      <c r="B280" s="83"/>
      <c r="C280" s="45" t="s">
        <v>149</v>
      </c>
      <c r="D280" s="44">
        <v>15</v>
      </c>
      <c r="E280" s="43">
        <v>1.9992003198720512E-3</v>
      </c>
    </row>
    <row r="281" spans="2:5" ht="15" customHeight="1" x14ac:dyDescent="0.25">
      <c r="B281" s="83"/>
      <c r="C281" s="45" t="s">
        <v>148</v>
      </c>
      <c r="D281" s="44">
        <v>25</v>
      </c>
      <c r="E281" s="43">
        <v>3.3320005331200853E-3</v>
      </c>
    </row>
    <row r="282" spans="2:5" ht="15" customHeight="1" x14ac:dyDescent="0.25">
      <c r="B282" s="83"/>
      <c r="C282" s="45" t="s">
        <v>147</v>
      </c>
      <c r="D282" s="44">
        <v>22</v>
      </c>
      <c r="E282" s="43">
        <v>2.9321604691456751E-3</v>
      </c>
    </row>
    <row r="283" spans="2:5" ht="15" customHeight="1" x14ac:dyDescent="0.25">
      <c r="B283" s="83"/>
      <c r="C283" s="45" t="s">
        <v>146</v>
      </c>
      <c r="D283" s="44">
        <v>351</v>
      </c>
      <c r="E283" s="43">
        <v>4.6781287485005998E-2</v>
      </c>
    </row>
    <row r="284" spans="2:5" ht="15" customHeight="1" x14ac:dyDescent="0.25">
      <c r="B284" s="83"/>
      <c r="C284" s="45" t="s">
        <v>145</v>
      </c>
      <c r="D284" s="44">
        <v>22</v>
      </c>
      <c r="E284" s="43">
        <v>2.9321604691456751E-3</v>
      </c>
    </row>
    <row r="285" spans="2:5" ht="15" customHeight="1" x14ac:dyDescent="0.25">
      <c r="B285" s="83"/>
      <c r="C285" s="45" t="s">
        <v>144</v>
      </c>
      <c r="D285" s="44">
        <v>102</v>
      </c>
      <c r="E285" s="43">
        <v>1.3594562175129948E-2</v>
      </c>
    </row>
    <row r="286" spans="2:5" ht="15" customHeight="1" x14ac:dyDescent="0.25">
      <c r="B286" s="83"/>
      <c r="C286" s="45" t="s">
        <v>143</v>
      </c>
      <c r="D286" s="44">
        <v>337</v>
      </c>
      <c r="E286" s="43">
        <v>4.4915367186458749E-2</v>
      </c>
    </row>
    <row r="287" spans="2:5" ht="15" customHeight="1" x14ac:dyDescent="0.25">
      <c r="B287" s="83"/>
      <c r="C287" s="45" t="s">
        <v>142</v>
      </c>
      <c r="D287" s="44">
        <v>5</v>
      </c>
      <c r="E287" s="43">
        <v>6.6640010662401706E-4</v>
      </c>
    </row>
    <row r="288" spans="2:5" ht="15" customHeight="1" x14ac:dyDescent="0.25">
      <c r="B288" s="83"/>
      <c r="C288" s="45" t="s">
        <v>141</v>
      </c>
      <c r="D288" s="44">
        <v>8</v>
      </c>
      <c r="E288" s="43">
        <v>1.0662401705984273E-3</v>
      </c>
    </row>
    <row r="289" spans="2:5" ht="15" customHeight="1" x14ac:dyDescent="0.25">
      <c r="B289" s="83"/>
      <c r="C289" s="45" t="s">
        <v>140</v>
      </c>
      <c r="D289" s="44">
        <v>2</v>
      </c>
      <c r="E289" s="43">
        <v>2.6656004264960682E-4</v>
      </c>
    </row>
    <row r="290" spans="2:5" ht="15" customHeight="1" x14ac:dyDescent="0.25">
      <c r="B290" s="83"/>
      <c r="C290" s="45" t="s">
        <v>139</v>
      </c>
      <c r="D290" s="44">
        <v>2</v>
      </c>
      <c r="E290" s="43">
        <v>2.6656004264960682E-4</v>
      </c>
    </row>
    <row r="291" spans="2:5" ht="15" customHeight="1" x14ac:dyDescent="0.25">
      <c r="B291" s="83"/>
      <c r="C291" s="45" t="s">
        <v>138</v>
      </c>
      <c r="D291" s="44">
        <v>31</v>
      </c>
      <c r="E291" s="43">
        <v>4.1316806610689058E-3</v>
      </c>
    </row>
    <row r="292" spans="2:5" ht="15" customHeight="1" x14ac:dyDescent="0.25">
      <c r="B292" s="83"/>
      <c r="C292" s="45" t="s">
        <v>137</v>
      </c>
      <c r="D292" s="44">
        <v>73</v>
      </c>
      <c r="E292" s="43">
        <v>9.7294415567106499E-3</v>
      </c>
    </row>
    <row r="293" spans="2:5" ht="15" customHeight="1" x14ac:dyDescent="0.25">
      <c r="B293" s="83"/>
      <c r="C293" s="45" t="s">
        <v>135</v>
      </c>
      <c r="D293" s="44">
        <v>2</v>
      </c>
      <c r="E293" s="43">
        <v>2.6656004264960682E-4</v>
      </c>
    </row>
    <row r="294" spans="2:5" ht="15" customHeight="1" x14ac:dyDescent="0.25">
      <c r="B294" s="83"/>
      <c r="C294" s="45" t="s">
        <v>134</v>
      </c>
      <c r="D294" s="44">
        <v>1</v>
      </c>
      <c r="E294" s="43">
        <v>1.3328002132480341E-4</v>
      </c>
    </row>
    <row r="295" spans="2:5" ht="15" customHeight="1" x14ac:dyDescent="0.25">
      <c r="B295" s="84"/>
      <c r="C295" s="42" t="s">
        <v>20</v>
      </c>
      <c r="D295" s="41">
        <v>1310</v>
      </c>
      <c r="E295" s="40">
        <v>0.17459682793549247</v>
      </c>
    </row>
    <row r="296" spans="2:5" ht="15" customHeight="1" x14ac:dyDescent="0.25">
      <c r="B296" s="82" t="s">
        <v>163</v>
      </c>
      <c r="C296" s="45" t="s">
        <v>157</v>
      </c>
      <c r="D296" s="44">
        <v>1</v>
      </c>
      <c r="E296" s="43">
        <v>1.3328002132480341E-4</v>
      </c>
    </row>
    <row r="297" spans="2:5" ht="15" customHeight="1" x14ac:dyDescent="0.25">
      <c r="B297" s="83"/>
      <c r="C297" s="45" t="s">
        <v>152</v>
      </c>
      <c r="D297" s="44">
        <v>1</v>
      </c>
      <c r="E297" s="43">
        <v>1.3328002132480341E-4</v>
      </c>
    </row>
    <row r="298" spans="2:5" ht="15" customHeight="1" x14ac:dyDescent="0.25">
      <c r="B298" s="83"/>
      <c r="C298" s="45" t="s">
        <v>150</v>
      </c>
      <c r="D298" s="44">
        <v>1</v>
      </c>
      <c r="E298" s="43">
        <v>1.3328002132480341E-4</v>
      </c>
    </row>
    <row r="299" spans="2:5" ht="15" customHeight="1" x14ac:dyDescent="0.25">
      <c r="B299" s="83"/>
      <c r="C299" s="45" t="s">
        <v>149</v>
      </c>
      <c r="D299" s="44">
        <v>1</v>
      </c>
      <c r="E299" s="43">
        <v>1.3328002132480341E-4</v>
      </c>
    </row>
    <row r="300" spans="2:5" ht="15" customHeight="1" x14ac:dyDescent="0.25">
      <c r="B300" s="83"/>
      <c r="C300" s="45" t="s">
        <v>147</v>
      </c>
      <c r="D300" s="44">
        <v>1</v>
      </c>
      <c r="E300" s="43">
        <v>1.3328002132480341E-4</v>
      </c>
    </row>
    <row r="301" spans="2:5" ht="15" customHeight="1" x14ac:dyDescent="0.25">
      <c r="B301" s="83"/>
      <c r="C301" s="45" t="s">
        <v>146</v>
      </c>
      <c r="D301" s="44">
        <v>4</v>
      </c>
      <c r="E301" s="43">
        <v>5.3312008529921365E-4</v>
      </c>
    </row>
    <row r="302" spans="2:5" ht="15" customHeight="1" x14ac:dyDescent="0.25">
      <c r="B302" s="83"/>
      <c r="C302" s="45" t="s">
        <v>144</v>
      </c>
      <c r="D302" s="44">
        <v>1</v>
      </c>
      <c r="E302" s="43">
        <v>1.3328002132480341E-4</v>
      </c>
    </row>
    <row r="303" spans="2:5" ht="15" customHeight="1" x14ac:dyDescent="0.25">
      <c r="B303" s="83"/>
      <c r="C303" s="45" t="s">
        <v>143</v>
      </c>
      <c r="D303" s="44">
        <v>7</v>
      </c>
      <c r="E303" s="43">
        <v>9.3296014927362388E-4</v>
      </c>
    </row>
    <row r="304" spans="2:5" ht="15" customHeight="1" x14ac:dyDescent="0.25">
      <c r="B304" s="83"/>
      <c r="C304" s="45" t="s">
        <v>137</v>
      </c>
      <c r="D304" s="44">
        <v>1</v>
      </c>
      <c r="E304" s="43">
        <v>1.3328002132480341E-4</v>
      </c>
    </row>
    <row r="305" spans="2:5" ht="15" customHeight="1" x14ac:dyDescent="0.25">
      <c r="B305" s="84"/>
      <c r="C305" s="42" t="s">
        <v>20</v>
      </c>
      <c r="D305" s="41">
        <v>18</v>
      </c>
      <c r="E305" s="40">
        <v>2.3990403838464614E-3</v>
      </c>
    </row>
    <row r="306" spans="2:5" ht="15" customHeight="1" x14ac:dyDescent="0.25">
      <c r="B306" s="82" t="s">
        <v>85</v>
      </c>
      <c r="C306" s="45" t="s">
        <v>154</v>
      </c>
      <c r="D306" s="44">
        <v>1</v>
      </c>
      <c r="E306" s="43">
        <v>1.3328002132480341E-4</v>
      </c>
    </row>
    <row r="307" spans="2:5" ht="15" customHeight="1" x14ac:dyDescent="0.25">
      <c r="B307" s="83"/>
      <c r="C307" s="45" t="s">
        <v>151</v>
      </c>
      <c r="D307" s="44">
        <v>1</v>
      </c>
      <c r="E307" s="43">
        <v>1.3328002132480341E-4</v>
      </c>
    </row>
    <row r="308" spans="2:5" ht="15" customHeight="1" x14ac:dyDescent="0.25">
      <c r="B308" s="83"/>
      <c r="C308" s="45" t="s">
        <v>150</v>
      </c>
      <c r="D308" s="44">
        <v>2</v>
      </c>
      <c r="E308" s="43">
        <v>2.6656004264960682E-4</v>
      </c>
    </row>
    <row r="309" spans="2:5" ht="15" customHeight="1" x14ac:dyDescent="0.25">
      <c r="B309" s="83"/>
      <c r="C309" s="45" t="s">
        <v>149</v>
      </c>
      <c r="D309" s="44">
        <v>1</v>
      </c>
      <c r="E309" s="43">
        <v>1.3328002132480341E-4</v>
      </c>
    </row>
    <row r="310" spans="2:5" ht="15" customHeight="1" x14ac:dyDescent="0.25">
      <c r="B310" s="83"/>
      <c r="C310" s="45" t="s">
        <v>148</v>
      </c>
      <c r="D310" s="44">
        <v>1</v>
      </c>
      <c r="E310" s="43">
        <v>1.3328002132480341E-4</v>
      </c>
    </row>
    <row r="311" spans="2:5" ht="15" customHeight="1" x14ac:dyDescent="0.25">
      <c r="B311" s="83"/>
      <c r="C311" s="45" t="s">
        <v>147</v>
      </c>
      <c r="D311" s="44">
        <v>1</v>
      </c>
      <c r="E311" s="43">
        <v>1.3328002132480341E-4</v>
      </c>
    </row>
    <row r="312" spans="2:5" ht="15" customHeight="1" x14ac:dyDescent="0.25">
      <c r="B312" s="83"/>
      <c r="C312" s="45" t="s">
        <v>146</v>
      </c>
      <c r="D312" s="44">
        <v>4</v>
      </c>
      <c r="E312" s="43">
        <v>5.3312008529921365E-4</v>
      </c>
    </row>
    <row r="313" spans="2:5" ht="15" customHeight="1" x14ac:dyDescent="0.25">
      <c r="B313" s="83"/>
      <c r="C313" s="45" t="s">
        <v>145</v>
      </c>
      <c r="D313" s="44">
        <v>3</v>
      </c>
      <c r="E313" s="43">
        <v>3.9984006397441024E-4</v>
      </c>
    </row>
    <row r="314" spans="2:5" ht="15" customHeight="1" x14ac:dyDescent="0.25">
      <c r="B314" s="83"/>
      <c r="C314" s="45" t="s">
        <v>144</v>
      </c>
      <c r="D314" s="44">
        <v>2</v>
      </c>
      <c r="E314" s="43">
        <v>2.6656004264960682E-4</v>
      </c>
    </row>
    <row r="315" spans="2:5" ht="15" customHeight="1" x14ac:dyDescent="0.25">
      <c r="B315" s="83"/>
      <c r="C315" s="45" t="s">
        <v>143</v>
      </c>
      <c r="D315" s="44">
        <v>8</v>
      </c>
      <c r="E315" s="43">
        <v>1.0662401705984273E-3</v>
      </c>
    </row>
    <row r="316" spans="2:5" ht="15" customHeight="1" x14ac:dyDescent="0.25">
      <c r="B316" s="83"/>
      <c r="C316" s="45" t="s">
        <v>137</v>
      </c>
      <c r="D316" s="44">
        <v>2</v>
      </c>
      <c r="E316" s="43">
        <v>2.6656004264960682E-4</v>
      </c>
    </row>
    <row r="317" spans="2:5" ht="15" customHeight="1" x14ac:dyDescent="0.25">
      <c r="B317" s="83"/>
      <c r="C317" s="45" t="s">
        <v>135</v>
      </c>
      <c r="D317" s="44">
        <v>1</v>
      </c>
      <c r="E317" s="43">
        <v>1.3328002132480341E-4</v>
      </c>
    </row>
    <row r="318" spans="2:5" ht="15" customHeight="1" x14ac:dyDescent="0.25">
      <c r="B318" s="84"/>
      <c r="C318" s="42" t="s">
        <v>20</v>
      </c>
      <c r="D318" s="41">
        <v>27</v>
      </c>
      <c r="E318" s="40">
        <v>3.5985605757696921E-3</v>
      </c>
    </row>
    <row r="319" spans="2:5" ht="15" customHeight="1" x14ac:dyDescent="0.25">
      <c r="B319" s="82" t="s">
        <v>84</v>
      </c>
      <c r="C319" s="45" t="s">
        <v>150</v>
      </c>
      <c r="D319" s="44">
        <v>4</v>
      </c>
      <c r="E319" s="43">
        <v>5.3312008529921365E-4</v>
      </c>
    </row>
    <row r="320" spans="2:5" ht="15" customHeight="1" x14ac:dyDescent="0.25">
      <c r="B320" s="83"/>
      <c r="C320" s="45" t="s">
        <v>149</v>
      </c>
      <c r="D320" s="44">
        <v>1</v>
      </c>
      <c r="E320" s="43">
        <v>1.3328002132480341E-4</v>
      </c>
    </row>
    <row r="321" spans="2:5" ht="15" customHeight="1" x14ac:dyDescent="0.25">
      <c r="B321" s="83"/>
      <c r="C321" s="45" t="s">
        <v>148</v>
      </c>
      <c r="D321" s="44">
        <v>1</v>
      </c>
      <c r="E321" s="43">
        <v>1.3328002132480341E-4</v>
      </c>
    </row>
    <row r="322" spans="2:5" ht="15" customHeight="1" x14ac:dyDescent="0.25">
      <c r="B322" s="83"/>
      <c r="C322" s="45" t="s">
        <v>147</v>
      </c>
      <c r="D322" s="44">
        <v>2</v>
      </c>
      <c r="E322" s="43">
        <v>2.6656004264960682E-4</v>
      </c>
    </row>
    <row r="323" spans="2:5" ht="15" customHeight="1" x14ac:dyDescent="0.25">
      <c r="B323" s="83"/>
      <c r="C323" s="45" t="s">
        <v>146</v>
      </c>
      <c r="D323" s="44">
        <v>6</v>
      </c>
      <c r="E323" s="43">
        <v>7.9968012794882047E-4</v>
      </c>
    </row>
    <row r="324" spans="2:5" ht="15" customHeight="1" x14ac:dyDescent="0.25">
      <c r="B324" s="83"/>
      <c r="C324" s="45" t="s">
        <v>145</v>
      </c>
      <c r="D324" s="44">
        <v>2</v>
      </c>
      <c r="E324" s="43">
        <v>2.6656004264960682E-4</v>
      </c>
    </row>
    <row r="325" spans="2:5" ht="15" customHeight="1" x14ac:dyDescent="0.25">
      <c r="B325" s="83"/>
      <c r="C325" s="45" t="s">
        <v>144</v>
      </c>
      <c r="D325" s="44">
        <v>5</v>
      </c>
      <c r="E325" s="43">
        <v>6.6640010662401706E-4</v>
      </c>
    </row>
    <row r="326" spans="2:5" ht="15" customHeight="1" x14ac:dyDescent="0.25">
      <c r="B326" s="83"/>
      <c r="C326" s="45" t="s">
        <v>143</v>
      </c>
      <c r="D326" s="44">
        <v>10</v>
      </c>
      <c r="E326" s="43">
        <v>1.3328002132480341E-3</v>
      </c>
    </row>
    <row r="327" spans="2:5" ht="15" customHeight="1" x14ac:dyDescent="0.25">
      <c r="B327" s="83"/>
      <c r="C327" s="45" t="s">
        <v>142</v>
      </c>
      <c r="D327" s="44">
        <v>1</v>
      </c>
      <c r="E327" s="43">
        <v>1.3328002132480341E-4</v>
      </c>
    </row>
    <row r="328" spans="2:5" ht="15" customHeight="1" x14ac:dyDescent="0.25">
      <c r="B328" s="83"/>
      <c r="C328" s="45" t="s">
        <v>138</v>
      </c>
      <c r="D328" s="44">
        <v>3</v>
      </c>
      <c r="E328" s="43">
        <v>3.9984006397441024E-4</v>
      </c>
    </row>
    <row r="329" spans="2:5" ht="15" customHeight="1" x14ac:dyDescent="0.25">
      <c r="B329" s="83"/>
      <c r="C329" s="45" t="s">
        <v>137</v>
      </c>
      <c r="D329" s="44">
        <v>1</v>
      </c>
      <c r="E329" s="43">
        <v>1.3328002132480341E-4</v>
      </c>
    </row>
    <row r="330" spans="2:5" ht="15" customHeight="1" x14ac:dyDescent="0.25">
      <c r="B330" s="84"/>
      <c r="C330" s="42" t="s">
        <v>20</v>
      </c>
      <c r="D330" s="41">
        <v>36</v>
      </c>
      <c r="E330" s="40">
        <v>4.7980807676929228E-3</v>
      </c>
    </row>
    <row r="331" spans="2:5" ht="15" customHeight="1" x14ac:dyDescent="0.25">
      <c r="B331" s="82" t="s">
        <v>66</v>
      </c>
      <c r="C331" s="45" t="s">
        <v>151</v>
      </c>
      <c r="D331" s="44">
        <v>1</v>
      </c>
      <c r="E331" s="43">
        <v>1.3328002132480341E-4</v>
      </c>
    </row>
    <row r="332" spans="2:5" ht="15" customHeight="1" x14ac:dyDescent="0.25">
      <c r="B332" s="83"/>
      <c r="C332" s="45" t="s">
        <v>150</v>
      </c>
      <c r="D332" s="44">
        <v>1</v>
      </c>
      <c r="E332" s="43">
        <v>1.3328002132480341E-4</v>
      </c>
    </row>
    <row r="333" spans="2:5" ht="15" customHeight="1" x14ac:dyDescent="0.25">
      <c r="B333" s="83"/>
      <c r="C333" s="45" t="s">
        <v>147</v>
      </c>
      <c r="D333" s="44">
        <v>1</v>
      </c>
      <c r="E333" s="43">
        <v>1.3328002132480341E-4</v>
      </c>
    </row>
    <row r="334" spans="2:5" ht="15" customHeight="1" x14ac:dyDescent="0.25">
      <c r="B334" s="83"/>
      <c r="C334" s="45" t="s">
        <v>143</v>
      </c>
      <c r="D334" s="44">
        <v>1</v>
      </c>
      <c r="E334" s="43">
        <v>1.3328002132480341E-4</v>
      </c>
    </row>
    <row r="335" spans="2:5" ht="15" customHeight="1" x14ac:dyDescent="0.25">
      <c r="B335" s="83"/>
      <c r="C335" s="45" t="s">
        <v>139</v>
      </c>
      <c r="D335" s="44">
        <v>1</v>
      </c>
      <c r="E335" s="43">
        <v>1.3328002132480341E-4</v>
      </c>
    </row>
    <row r="336" spans="2:5" ht="15" customHeight="1" x14ac:dyDescent="0.25">
      <c r="B336" s="83"/>
      <c r="C336" s="45" t="s">
        <v>138</v>
      </c>
      <c r="D336" s="44">
        <v>1</v>
      </c>
      <c r="E336" s="43">
        <v>1.3328002132480341E-4</v>
      </c>
    </row>
    <row r="337" spans="2:5" ht="15" customHeight="1" x14ac:dyDescent="0.25">
      <c r="B337" s="83"/>
      <c r="C337" s="45" t="s">
        <v>137</v>
      </c>
      <c r="D337" s="44">
        <v>1</v>
      </c>
      <c r="E337" s="43">
        <v>1.3328002132480341E-4</v>
      </c>
    </row>
    <row r="338" spans="2:5" ht="15" customHeight="1" x14ac:dyDescent="0.25">
      <c r="B338" s="84"/>
      <c r="C338" s="42" t="s">
        <v>20</v>
      </c>
      <c r="D338" s="41">
        <v>7</v>
      </c>
      <c r="E338" s="40">
        <v>9.3296014927362388E-4</v>
      </c>
    </row>
    <row r="339" spans="2:5" ht="15" customHeight="1" x14ac:dyDescent="0.25">
      <c r="B339" s="82" t="s">
        <v>77</v>
      </c>
      <c r="C339" s="45" t="s">
        <v>153</v>
      </c>
      <c r="D339" s="44">
        <v>1</v>
      </c>
      <c r="E339" s="43">
        <v>1.3328002132480341E-4</v>
      </c>
    </row>
    <row r="340" spans="2:5" ht="15" customHeight="1" x14ac:dyDescent="0.25">
      <c r="B340" s="83"/>
      <c r="C340" s="45" t="s">
        <v>151</v>
      </c>
      <c r="D340" s="44">
        <v>1</v>
      </c>
      <c r="E340" s="43">
        <v>1.3328002132480341E-4</v>
      </c>
    </row>
    <row r="341" spans="2:5" ht="15" customHeight="1" x14ac:dyDescent="0.25">
      <c r="B341" s="83"/>
      <c r="C341" s="45" t="s">
        <v>150</v>
      </c>
      <c r="D341" s="44">
        <v>2</v>
      </c>
      <c r="E341" s="43">
        <v>2.6656004264960682E-4</v>
      </c>
    </row>
    <row r="342" spans="2:5" ht="15" customHeight="1" x14ac:dyDescent="0.25">
      <c r="B342" s="83"/>
      <c r="C342" s="45" t="s">
        <v>149</v>
      </c>
      <c r="D342" s="44">
        <v>1</v>
      </c>
      <c r="E342" s="43">
        <v>1.3328002132480341E-4</v>
      </c>
    </row>
    <row r="343" spans="2:5" ht="15" customHeight="1" x14ac:dyDescent="0.25">
      <c r="B343" s="83"/>
      <c r="C343" s="45" t="s">
        <v>148</v>
      </c>
      <c r="D343" s="44">
        <v>1</v>
      </c>
      <c r="E343" s="43">
        <v>1.3328002132480341E-4</v>
      </c>
    </row>
    <row r="344" spans="2:5" ht="15" customHeight="1" x14ac:dyDescent="0.25">
      <c r="B344" s="83"/>
      <c r="C344" s="45" t="s">
        <v>147</v>
      </c>
      <c r="D344" s="44">
        <v>1</v>
      </c>
      <c r="E344" s="43">
        <v>1.3328002132480341E-4</v>
      </c>
    </row>
    <row r="345" spans="2:5" ht="15" customHeight="1" x14ac:dyDescent="0.25">
      <c r="B345" s="83"/>
      <c r="C345" s="45" t="s">
        <v>146</v>
      </c>
      <c r="D345" s="44">
        <v>7</v>
      </c>
      <c r="E345" s="43">
        <v>9.3296014927362388E-4</v>
      </c>
    </row>
    <row r="346" spans="2:5" ht="15" customHeight="1" x14ac:dyDescent="0.25">
      <c r="B346" s="83"/>
      <c r="C346" s="45" t="s">
        <v>145</v>
      </c>
      <c r="D346" s="44">
        <v>2</v>
      </c>
      <c r="E346" s="43">
        <v>2.6656004264960682E-4</v>
      </c>
    </row>
    <row r="347" spans="2:5" ht="15" customHeight="1" x14ac:dyDescent="0.25">
      <c r="B347" s="83"/>
      <c r="C347" s="45" t="s">
        <v>144</v>
      </c>
      <c r="D347" s="44">
        <v>3</v>
      </c>
      <c r="E347" s="43">
        <v>3.9984006397441024E-4</v>
      </c>
    </row>
    <row r="348" spans="2:5" ht="15" customHeight="1" x14ac:dyDescent="0.25">
      <c r="B348" s="83"/>
      <c r="C348" s="45" t="s">
        <v>143</v>
      </c>
      <c r="D348" s="44">
        <v>19</v>
      </c>
      <c r="E348" s="43">
        <v>2.5323204051712648E-3</v>
      </c>
    </row>
    <row r="349" spans="2:5" ht="15" customHeight="1" x14ac:dyDescent="0.25">
      <c r="B349" s="83"/>
      <c r="C349" s="45" t="s">
        <v>137</v>
      </c>
      <c r="D349" s="44">
        <v>2</v>
      </c>
      <c r="E349" s="43">
        <v>2.6656004264960682E-4</v>
      </c>
    </row>
    <row r="350" spans="2:5" ht="15" customHeight="1" x14ac:dyDescent="0.25">
      <c r="B350" s="84"/>
      <c r="C350" s="42" t="s">
        <v>20</v>
      </c>
      <c r="D350" s="41">
        <v>40</v>
      </c>
      <c r="E350" s="40">
        <v>5.3312008529921365E-3</v>
      </c>
    </row>
    <row r="351" spans="2:5" ht="15" customHeight="1" x14ac:dyDescent="0.25">
      <c r="B351" s="82" t="s">
        <v>106</v>
      </c>
      <c r="C351" s="45" t="s">
        <v>157</v>
      </c>
      <c r="D351" s="44">
        <v>1</v>
      </c>
      <c r="E351" s="43">
        <v>1.3328002132480341E-4</v>
      </c>
    </row>
    <row r="352" spans="2:5" ht="15" customHeight="1" x14ac:dyDescent="0.25">
      <c r="B352" s="83"/>
      <c r="C352" s="45" t="s">
        <v>152</v>
      </c>
      <c r="D352" s="44">
        <v>1</v>
      </c>
      <c r="E352" s="43">
        <v>1.3328002132480341E-4</v>
      </c>
    </row>
    <row r="353" spans="2:5" ht="15" customHeight="1" x14ac:dyDescent="0.25">
      <c r="B353" s="83"/>
      <c r="C353" s="45" t="s">
        <v>150</v>
      </c>
      <c r="D353" s="44">
        <v>5</v>
      </c>
      <c r="E353" s="43">
        <v>6.6640010662401706E-4</v>
      </c>
    </row>
    <row r="354" spans="2:5" ht="15" customHeight="1" x14ac:dyDescent="0.25">
      <c r="B354" s="83"/>
      <c r="C354" s="45" t="s">
        <v>149</v>
      </c>
      <c r="D354" s="44">
        <v>1</v>
      </c>
      <c r="E354" s="43">
        <v>1.3328002132480341E-4</v>
      </c>
    </row>
    <row r="355" spans="2:5" ht="15" customHeight="1" x14ac:dyDescent="0.25">
      <c r="B355" s="83"/>
      <c r="C355" s="45" t="s">
        <v>146</v>
      </c>
      <c r="D355" s="44">
        <v>5</v>
      </c>
      <c r="E355" s="43">
        <v>6.6640010662401706E-4</v>
      </c>
    </row>
    <row r="356" spans="2:5" ht="15" customHeight="1" x14ac:dyDescent="0.25">
      <c r="B356" s="83"/>
      <c r="C356" s="45" t="s">
        <v>143</v>
      </c>
      <c r="D356" s="44">
        <v>5</v>
      </c>
      <c r="E356" s="43">
        <v>6.6640010662401706E-4</v>
      </c>
    </row>
    <row r="357" spans="2:5" ht="15" customHeight="1" x14ac:dyDescent="0.25">
      <c r="B357" s="83"/>
      <c r="C357" s="45" t="s">
        <v>137</v>
      </c>
      <c r="D357" s="44">
        <v>1</v>
      </c>
      <c r="E357" s="43">
        <v>1.3328002132480341E-4</v>
      </c>
    </row>
    <row r="358" spans="2:5" ht="15" customHeight="1" x14ac:dyDescent="0.25">
      <c r="B358" s="84"/>
      <c r="C358" s="42" t="s">
        <v>20</v>
      </c>
      <c r="D358" s="41">
        <v>19</v>
      </c>
      <c r="E358" s="40">
        <v>2.5323204051712648E-3</v>
      </c>
    </row>
    <row r="359" spans="2:5" ht="15" customHeight="1" x14ac:dyDescent="0.25">
      <c r="B359" s="82" t="s">
        <v>79</v>
      </c>
      <c r="C359" s="45" t="s">
        <v>157</v>
      </c>
      <c r="D359" s="44">
        <v>4</v>
      </c>
      <c r="E359" s="43">
        <v>5.3312008529921365E-4</v>
      </c>
    </row>
    <row r="360" spans="2:5" ht="15" customHeight="1" x14ac:dyDescent="0.25">
      <c r="B360" s="83"/>
      <c r="C360" s="45" t="s">
        <v>152</v>
      </c>
      <c r="D360" s="44">
        <v>1</v>
      </c>
      <c r="E360" s="43">
        <v>1.3328002132480341E-4</v>
      </c>
    </row>
    <row r="361" spans="2:5" ht="15" customHeight="1" x14ac:dyDescent="0.25">
      <c r="B361" s="83"/>
      <c r="C361" s="45" t="s">
        <v>151</v>
      </c>
      <c r="D361" s="44">
        <v>6</v>
      </c>
      <c r="E361" s="43">
        <v>7.9968012794882047E-4</v>
      </c>
    </row>
    <row r="362" spans="2:5" ht="15" customHeight="1" x14ac:dyDescent="0.25">
      <c r="B362" s="83"/>
      <c r="C362" s="45" t="s">
        <v>150</v>
      </c>
      <c r="D362" s="44">
        <v>6</v>
      </c>
      <c r="E362" s="43">
        <v>7.9968012794882047E-4</v>
      </c>
    </row>
    <row r="363" spans="2:5" ht="15" customHeight="1" x14ac:dyDescent="0.25">
      <c r="B363" s="83"/>
      <c r="C363" s="45" t="s">
        <v>149</v>
      </c>
      <c r="D363" s="44">
        <v>1</v>
      </c>
      <c r="E363" s="43">
        <v>1.3328002132480341E-4</v>
      </c>
    </row>
    <row r="364" spans="2:5" ht="15" customHeight="1" x14ac:dyDescent="0.25">
      <c r="B364" s="83"/>
      <c r="C364" s="45" t="s">
        <v>148</v>
      </c>
      <c r="D364" s="44">
        <v>3</v>
      </c>
      <c r="E364" s="43">
        <v>3.9984006397441024E-4</v>
      </c>
    </row>
    <row r="365" spans="2:5" ht="15" customHeight="1" x14ac:dyDescent="0.25">
      <c r="B365" s="83"/>
      <c r="C365" s="45" t="s">
        <v>147</v>
      </c>
      <c r="D365" s="44">
        <v>3</v>
      </c>
      <c r="E365" s="43">
        <v>3.9984006397441024E-4</v>
      </c>
    </row>
    <row r="366" spans="2:5" ht="15" customHeight="1" x14ac:dyDescent="0.25">
      <c r="B366" s="83"/>
      <c r="C366" s="45" t="s">
        <v>146</v>
      </c>
      <c r="D366" s="44">
        <v>20</v>
      </c>
      <c r="E366" s="43">
        <v>2.6656004264960682E-3</v>
      </c>
    </row>
    <row r="367" spans="2:5" ht="15" customHeight="1" x14ac:dyDescent="0.25">
      <c r="B367" s="83"/>
      <c r="C367" s="45" t="s">
        <v>145</v>
      </c>
      <c r="D367" s="44">
        <v>6</v>
      </c>
      <c r="E367" s="43">
        <v>7.9968012794882047E-4</v>
      </c>
    </row>
    <row r="368" spans="2:5" ht="15" customHeight="1" x14ac:dyDescent="0.25">
      <c r="B368" s="83"/>
      <c r="C368" s="45" t="s">
        <v>144</v>
      </c>
      <c r="D368" s="44">
        <v>9</v>
      </c>
      <c r="E368" s="43">
        <v>1.1995201919232307E-3</v>
      </c>
    </row>
    <row r="369" spans="2:5" ht="15" customHeight="1" x14ac:dyDescent="0.25">
      <c r="B369" s="83"/>
      <c r="C369" s="45" t="s">
        <v>143</v>
      </c>
      <c r="D369" s="44">
        <v>24</v>
      </c>
      <c r="E369" s="43">
        <v>3.1987205117952819E-3</v>
      </c>
    </row>
    <row r="370" spans="2:5" ht="15" customHeight="1" x14ac:dyDescent="0.25">
      <c r="B370" s="83"/>
      <c r="C370" s="45" t="s">
        <v>142</v>
      </c>
      <c r="D370" s="44">
        <v>4</v>
      </c>
      <c r="E370" s="43">
        <v>5.3312008529921365E-4</v>
      </c>
    </row>
    <row r="371" spans="2:5" ht="15" customHeight="1" x14ac:dyDescent="0.25">
      <c r="B371" s="83"/>
      <c r="C371" s="45" t="s">
        <v>140</v>
      </c>
      <c r="D371" s="44">
        <v>1</v>
      </c>
      <c r="E371" s="43">
        <v>1.3328002132480341E-4</v>
      </c>
    </row>
    <row r="372" spans="2:5" ht="15" customHeight="1" x14ac:dyDescent="0.25">
      <c r="B372" s="83"/>
      <c r="C372" s="45" t="s">
        <v>139</v>
      </c>
      <c r="D372" s="44">
        <v>1</v>
      </c>
      <c r="E372" s="43">
        <v>1.3328002132480341E-4</v>
      </c>
    </row>
    <row r="373" spans="2:5" ht="15" customHeight="1" x14ac:dyDescent="0.25">
      <c r="B373" s="83"/>
      <c r="C373" s="45" t="s">
        <v>138</v>
      </c>
      <c r="D373" s="44">
        <v>1</v>
      </c>
      <c r="E373" s="43">
        <v>1.3328002132480341E-4</v>
      </c>
    </row>
    <row r="374" spans="2:5" ht="15" customHeight="1" x14ac:dyDescent="0.25">
      <c r="B374" s="83"/>
      <c r="C374" s="45" t="s">
        <v>137</v>
      </c>
      <c r="D374" s="44">
        <v>7</v>
      </c>
      <c r="E374" s="43">
        <v>9.3296014927362388E-4</v>
      </c>
    </row>
    <row r="375" spans="2:5" ht="15" customHeight="1" x14ac:dyDescent="0.25">
      <c r="B375" s="84"/>
      <c r="C375" s="42" t="s">
        <v>20</v>
      </c>
      <c r="D375" s="41">
        <v>97</v>
      </c>
      <c r="E375" s="40">
        <v>1.2928162068505932E-2</v>
      </c>
    </row>
    <row r="376" spans="2:5" ht="15" customHeight="1" x14ac:dyDescent="0.25">
      <c r="B376" s="82" t="s">
        <v>98</v>
      </c>
      <c r="C376" s="45" t="s">
        <v>157</v>
      </c>
      <c r="D376" s="44">
        <v>1</v>
      </c>
      <c r="E376" s="43">
        <v>1.3328002132480341E-4</v>
      </c>
    </row>
    <row r="377" spans="2:5" ht="15" customHeight="1" x14ac:dyDescent="0.25">
      <c r="B377" s="83"/>
      <c r="C377" s="45" t="s">
        <v>154</v>
      </c>
      <c r="D377" s="44">
        <v>2</v>
      </c>
      <c r="E377" s="43">
        <v>2.6656004264960682E-4</v>
      </c>
    </row>
    <row r="378" spans="2:5" ht="15" customHeight="1" x14ac:dyDescent="0.25">
      <c r="B378" s="83"/>
      <c r="C378" s="45" t="s">
        <v>153</v>
      </c>
      <c r="D378" s="44">
        <v>2</v>
      </c>
      <c r="E378" s="43">
        <v>2.6656004264960682E-4</v>
      </c>
    </row>
    <row r="379" spans="2:5" ht="15" customHeight="1" x14ac:dyDescent="0.25">
      <c r="B379" s="83"/>
      <c r="C379" s="45" t="s">
        <v>152</v>
      </c>
      <c r="D379" s="44">
        <v>5</v>
      </c>
      <c r="E379" s="43">
        <v>6.6640010662401706E-4</v>
      </c>
    </row>
    <row r="380" spans="2:5" ht="15" customHeight="1" x14ac:dyDescent="0.25">
      <c r="B380" s="83"/>
      <c r="C380" s="45" t="s">
        <v>151</v>
      </c>
      <c r="D380" s="44">
        <v>2</v>
      </c>
      <c r="E380" s="43">
        <v>2.6656004264960682E-4</v>
      </c>
    </row>
    <row r="381" spans="2:5" ht="15" customHeight="1" x14ac:dyDescent="0.25">
      <c r="B381" s="83"/>
      <c r="C381" s="45" t="s">
        <v>150</v>
      </c>
      <c r="D381" s="44">
        <v>7</v>
      </c>
      <c r="E381" s="43">
        <v>9.3296014927362388E-4</v>
      </c>
    </row>
    <row r="382" spans="2:5" ht="15" customHeight="1" x14ac:dyDescent="0.25">
      <c r="B382" s="83"/>
      <c r="C382" s="45" t="s">
        <v>148</v>
      </c>
      <c r="D382" s="44">
        <v>2</v>
      </c>
      <c r="E382" s="43">
        <v>2.6656004264960682E-4</v>
      </c>
    </row>
    <row r="383" spans="2:5" ht="15" customHeight="1" x14ac:dyDescent="0.25">
      <c r="B383" s="83"/>
      <c r="C383" s="45" t="s">
        <v>147</v>
      </c>
      <c r="D383" s="44">
        <v>2</v>
      </c>
      <c r="E383" s="43">
        <v>2.6656004264960682E-4</v>
      </c>
    </row>
    <row r="384" spans="2:5" ht="15" customHeight="1" x14ac:dyDescent="0.25">
      <c r="B384" s="83"/>
      <c r="C384" s="45" t="s">
        <v>146</v>
      </c>
      <c r="D384" s="44">
        <v>10</v>
      </c>
      <c r="E384" s="43">
        <v>1.3328002132480341E-3</v>
      </c>
    </row>
    <row r="385" spans="2:5" ht="15" customHeight="1" x14ac:dyDescent="0.25">
      <c r="B385" s="83"/>
      <c r="C385" s="45" t="s">
        <v>144</v>
      </c>
      <c r="D385" s="44">
        <v>3</v>
      </c>
      <c r="E385" s="43">
        <v>3.9984006397441024E-4</v>
      </c>
    </row>
    <row r="386" spans="2:5" ht="15" customHeight="1" x14ac:dyDescent="0.25">
      <c r="B386" s="83"/>
      <c r="C386" s="45" t="s">
        <v>143</v>
      </c>
      <c r="D386" s="44">
        <v>9</v>
      </c>
      <c r="E386" s="43">
        <v>1.1995201919232307E-3</v>
      </c>
    </row>
    <row r="387" spans="2:5" ht="15" customHeight="1" x14ac:dyDescent="0.25">
      <c r="B387" s="83"/>
      <c r="C387" s="45" t="s">
        <v>140</v>
      </c>
      <c r="D387" s="44">
        <v>1</v>
      </c>
      <c r="E387" s="43">
        <v>1.3328002132480341E-4</v>
      </c>
    </row>
    <row r="388" spans="2:5" ht="15" customHeight="1" x14ac:dyDescent="0.25">
      <c r="B388" s="83"/>
      <c r="C388" s="45" t="s">
        <v>138</v>
      </c>
      <c r="D388" s="44">
        <v>1</v>
      </c>
      <c r="E388" s="43">
        <v>1.3328002132480341E-4</v>
      </c>
    </row>
    <row r="389" spans="2:5" ht="15" customHeight="1" x14ac:dyDescent="0.25">
      <c r="B389" s="83"/>
      <c r="C389" s="45" t="s">
        <v>137</v>
      </c>
      <c r="D389" s="44">
        <v>3</v>
      </c>
      <c r="E389" s="43">
        <v>3.9984006397441024E-4</v>
      </c>
    </row>
    <row r="390" spans="2:5" ht="15" customHeight="1" x14ac:dyDescent="0.25">
      <c r="B390" s="83"/>
      <c r="C390" s="45" t="s">
        <v>135</v>
      </c>
      <c r="D390" s="44">
        <v>1</v>
      </c>
      <c r="E390" s="43">
        <v>1.3328002132480341E-4</v>
      </c>
    </row>
    <row r="391" spans="2:5" ht="15" customHeight="1" x14ac:dyDescent="0.25">
      <c r="B391" s="84"/>
      <c r="C391" s="42" t="s">
        <v>20</v>
      </c>
      <c r="D391" s="41">
        <v>51</v>
      </c>
      <c r="E391" s="40">
        <v>6.797281087564974E-3</v>
      </c>
    </row>
    <row r="392" spans="2:5" ht="15" customHeight="1" x14ac:dyDescent="0.25">
      <c r="B392" s="82" t="s">
        <v>94</v>
      </c>
      <c r="C392" s="45" t="s">
        <v>157</v>
      </c>
      <c r="D392" s="44">
        <v>7</v>
      </c>
      <c r="E392" s="43">
        <v>9.3296014927362388E-4</v>
      </c>
    </row>
    <row r="393" spans="2:5" ht="15" customHeight="1" x14ac:dyDescent="0.25">
      <c r="B393" s="83"/>
      <c r="C393" s="45" t="s">
        <v>156</v>
      </c>
      <c r="D393" s="44">
        <v>3</v>
      </c>
      <c r="E393" s="43">
        <v>3.9984006397441024E-4</v>
      </c>
    </row>
    <row r="394" spans="2:5" ht="15" customHeight="1" x14ac:dyDescent="0.25">
      <c r="B394" s="83"/>
      <c r="C394" s="45" t="s">
        <v>155</v>
      </c>
      <c r="D394" s="44">
        <v>2</v>
      </c>
      <c r="E394" s="43">
        <v>2.6656004264960682E-4</v>
      </c>
    </row>
    <row r="395" spans="2:5" ht="15" customHeight="1" x14ac:dyDescent="0.25">
      <c r="B395" s="83"/>
      <c r="C395" s="45" t="s">
        <v>154</v>
      </c>
      <c r="D395" s="44">
        <v>6</v>
      </c>
      <c r="E395" s="43">
        <v>7.9968012794882047E-4</v>
      </c>
    </row>
    <row r="396" spans="2:5" ht="15" customHeight="1" x14ac:dyDescent="0.25">
      <c r="B396" s="83"/>
      <c r="C396" s="45" t="s">
        <v>153</v>
      </c>
      <c r="D396" s="44">
        <v>3</v>
      </c>
      <c r="E396" s="43">
        <v>3.9984006397441024E-4</v>
      </c>
    </row>
    <row r="397" spans="2:5" ht="15" customHeight="1" x14ac:dyDescent="0.25">
      <c r="B397" s="83"/>
      <c r="C397" s="45" t="s">
        <v>152</v>
      </c>
      <c r="D397" s="44">
        <v>4</v>
      </c>
      <c r="E397" s="43">
        <v>5.3312008529921365E-4</v>
      </c>
    </row>
    <row r="398" spans="2:5" ht="15" customHeight="1" x14ac:dyDescent="0.25">
      <c r="B398" s="83"/>
      <c r="C398" s="45" t="s">
        <v>151</v>
      </c>
      <c r="D398" s="44">
        <v>18</v>
      </c>
      <c r="E398" s="43">
        <v>2.3990403838464614E-3</v>
      </c>
    </row>
    <row r="399" spans="2:5" ht="15" customHeight="1" x14ac:dyDescent="0.25">
      <c r="B399" s="83"/>
      <c r="C399" s="45" t="s">
        <v>150</v>
      </c>
      <c r="D399" s="44">
        <v>26</v>
      </c>
      <c r="E399" s="43">
        <v>3.4652805544448887E-3</v>
      </c>
    </row>
    <row r="400" spans="2:5" ht="15" customHeight="1" x14ac:dyDescent="0.25">
      <c r="B400" s="83"/>
      <c r="C400" s="45" t="s">
        <v>149</v>
      </c>
      <c r="D400" s="44">
        <v>4</v>
      </c>
      <c r="E400" s="43">
        <v>5.3312008529921365E-4</v>
      </c>
    </row>
    <row r="401" spans="2:5" ht="15" customHeight="1" x14ac:dyDescent="0.25">
      <c r="B401" s="83"/>
      <c r="C401" s="45" t="s">
        <v>148</v>
      </c>
      <c r="D401" s="44">
        <v>5</v>
      </c>
      <c r="E401" s="43">
        <v>6.6640010662401706E-4</v>
      </c>
    </row>
    <row r="402" spans="2:5" ht="15" customHeight="1" x14ac:dyDescent="0.25">
      <c r="B402" s="83"/>
      <c r="C402" s="45" t="s">
        <v>147</v>
      </c>
      <c r="D402" s="44">
        <v>9</v>
      </c>
      <c r="E402" s="43">
        <v>1.1995201919232307E-3</v>
      </c>
    </row>
    <row r="403" spans="2:5" ht="15" customHeight="1" x14ac:dyDescent="0.25">
      <c r="B403" s="83"/>
      <c r="C403" s="45" t="s">
        <v>146</v>
      </c>
      <c r="D403" s="44">
        <v>45</v>
      </c>
      <c r="E403" s="43">
        <v>5.9976009596161535E-3</v>
      </c>
    </row>
    <row r="404" spans="2:5" ht="15" customHeight="1" x14ac:dyDescent="0.25">
      <c r="B404" s="83"/>
      <c r="C404" s="45" t="s">
        <v>144</v>
      </c>
      <c r="D404" s="44">
        <v>13</v>
      </c>
      <c r="E404" s="43">
        <v>1.7326402772224444E-3</v>
      </c>
    </row>
    <row r="405" spans="2:5" ht="15" customHeight="1" x14ac:dyDescent="0.25">
      <c r="B405" s="83"/>
      <c r="C405" s="45" t="s">
        <v>143</v>
      </c>
      <c r="D405" s="44">
        <v>31</v>
      </c>
      <c r="E405" s="43">
        <v>4.1316806610689058E-3</v>
      </c>
    </row>
    <row r="406" spans="2:5" ht="15" customHeight="1" x14ac:dyDescent="0.25">
      <c r="B406" s="83"/>
      <c r="C406" s="45" t="s">
        <v>142</v>
      </c>
      <c r="D406" s="44">
        <v>1</v>
      </c>
      <c r="E406" s="43">
        <v>1.3328002132480341E-4</v>
      </c>
    </row>
    <row r="407" spans="2:5" ht="15" customHeight="1" x14ac:dyDescent="0.25">
      <c r="B407" s="83"/>
      <c r="C407" s="45" t="s">
        <v>138</v>
      </c>
      <c r="D407" s="44">
        <v>3</v>
      </c>
      <c r="E407" s="43">
        <v>3.9984006397441024E-4</v>
      </c>
    </row>
    <row r="408" spans="2:5" ht="15" customHeight="1" x14ac:dyDescent="0.25">
      <c r="B408" s="83"/>
      <c r="C408" s="45" t="s">
        <v>137</v>
      </c>
      <c r="D408" s="44">
        <v>7</v>
      </c>
      <c r="E408" s="43">
        <v>9.3296014927362388E-4</v>
      </c>
    </row>
    <row r="409" spans="2:5" ht="15" customHeight="1" x14ac:dyDescent="0.25">
      <c r="B409" s="83"/>
      <c r="C409" s="45" t="s">
        <v>134</v>
      </c>
      <c r="D409" s="44">
        <v>1</v>
      </c>
      <c r="E409" s="43">
        <v>1.3328002132480341E-4</v>
      </c>
    </row>
    <row r="410" spans="2:5" ht="15" customHeight="1" x14ac:dyDescent="0.25">
      <c r="B410" s="84"/>
      <c r="C410" s="42" t="s">
        <v>20</v>
      </c>
      <c r="D410" s="41">
        <v>188</v>
      </c>
      <c r="E410" s="40">
        <v>2.5056644009063041E-2</v>
      </c>
    </row>
    <row r="411" spans="2:5" ht="15" customHeight="1" x14ac:dyDescent="0.25">
      <c r="B411" s="82" t="s">
        <v>82</v>
      </c>
      <c r="C411" s="45" t="s">
        <v>157</v>
      </c>
      <c r="D411" s="44">
        <v>2</v>
      </c>
      <c r="E411" s="43">
        <v>2.6656004264960682E-4</v>
      </c>
    </row>
    <row r="412" spans="2:5" ht="15" customHeight="1" x14ac:dyDescent="0.25">
      <c r="B412" s="83"/>
      <c r="C412" s="45" t="s">
        <v>155</v>
      </c>
      <c r="D412" s="44">
        <v>3</v>
      </c>
      <c r="E412" s="43">
        <v>3.9984006397441024E-4</v>
      </c>
    </row>
    <row r="413" spans="2:5" ht="15" customHeight="1" x14ac:dyDescent="0.25">
      <c r="B413" s="83"/>
      <c r="C413" s="45" t="s">
        <v>154</v>
      </c>
      <c r="D413" s="44">
        <v>11</v>
      </c>
      <c r="E413" s="43">
        <v>1.4660802345728375E-3</v>
      </c>
    </row>
    <row r="414" spans="2:5" ht="15" customHeight="1" x14ac:dyDescent="0.25">
      <c r="B414" s="83"/>
      <c r="C414" s="45" t="s">
        <v>153</v>
      </c>
      <c r="D414" s="44">
        <v>7</v>
      </c>
      <c r="E414" s="43">
        <v>9.3296014927362388E-4</v>
      </c>
    </row>
    <row r="415" spans="2:5" ht="15" customHeight="1" x14ac:dyDescent="0.25">
      <c r="B415" s="83"/>
      <c r="C415" s="45" t="s">
        <v>152</v>
      </c>
      <c r="D415" s="44">
        <v>10</v>
      </c>
      <c r="E415" s="43">
        <v>1.3328002132480341E-3</v>
      </c>
    </row>
    <row r="416" spans="2:5" ht="15" customHeight="1" x14ac:dyDescent="0.25">
      <c r="B416" s="83"/>
      <c r="C416" s="45" t="s">
        <v>151</v>
      </c>
      <c r="D416" s="44">
        <v>23</v>
      </c>
      <c r="E416" s="43">
        <v>3.0654404904704785E-3</v>
      </c>
    </row>
    <row r="417" spans="2:5" ht="15" customHeight="1" x14ac:dyDescent="0.25">
      <c r="B417" s="83"/>
      <c r="C417" s="45" t="s">
        <v>150</v>
      </c>
      <c r="D417" s="44">
        <v>56</v>
      </c>
      <c r="E417" s="43">
        <v>7.4636811941889911E-3</v>
      </c>
    </row>
    <row r="418" spans="2:5" ht="15" customHeight="1" x14ac:dyDescent="0.25">
      <c r="B418" s="83"/>
      <c r="C418" s="45" t="s">
        <v>149</v>
      </c>
      <c r="D418" s="44">
        <v>12</v>
      </c>
      <c r="E418" s="43">
        <v>1.5993602558976409E-3</v>
      </c>
    </row>
    <row r="419" spans="2:5" ht="15" customHeight="1" x14ac:dyDescent="0.25">
      <c r="B419" s="83"/>
      <c r="C419" s="45" t="s">
        <v>148</v>
      </c>
      <c r="D419" s="44">
        <v>11</v>
      </c>
      <c r="E419" s="43">
        <v>1.4660802345728375E-3</v>
      </c>
    </row>
    <row r="420" spans="2:5" ht="15" customHeight="1" x14ac:dyDescent="0.25">
      <c r="B420" s="83"/>
      <c r="C420" s="45" t="s">
        <v>147</v>
      </c>
      <c r="D420" s="44">
        <v>9</v>
      </c>
      <c r="E420" s="43">
        <v>1.1995201919232307E-3</v>
      </c>
    </row>
    <row r="421" spans="2:5" ht="15" customHeight="1" x14ac:dyDescent="0.25">
      <c r="B421" s="83"/>
      <c r="C421" s="45" t="s">
        <v>146</v>
      </c>
      <c r="D421" s="44">
        <v>152</v>
      </c>
      <c r="E421" s="43">
        <v>2.0258563241370119E-2</v>
      </c>
    </row>
    <row r="422" spans="2:5" ht="15" customHeight="1" x14ac:dyDescent="0.25">
      <c r="B422" s="83"/>
      <c r="C422" s="45" t="s">
        <v>145</v>
      </c>
      <c r="D422" s="44">
        <v>11</v>
      </c>
      <c r="E422" s="43">
        <v>1.4660802345728375E-3</v>
      </c>
    </row>
    <row r="423" spans="2:5" ht="15" customHeight="1" x14ac:dyDescent="0.25">
      <c r="B423" s="83"/>
      <c r="C423" s="45" t="s">
        <v>144</v>
      </c>
      <c r="D423" s="44">
        <v>52</v>
      </c>
      <c r="E423" s="43">
        <v>6.9305611088897774E-3</v>
      </c>
    </row>
    <row r="424" spans="2:5" ht="15" customHeight="1" x14ac:dyDescent="0.25">
      <c r="B424" s="83"/>
      <c r="C424" s="45" t="s">
        <v>143</v>
      </c>
      <c r="D424" s="44">
        <v>136</v>
      </c>
      <c r="E424" s="43">
        <v>1.8126082900173264E-2</v>
      </c>
    </row>
    <row r="425" spans="2:5" ht="15" customHeight="1" x14ac:dyDescent="0.25">
      <c r="B425" s="83"/>
      <c r="C425" s="45" t="s">
        <v>142</v>
      </c>
      <c r="D425" s="44">
        <v>6</v>
      </c>
      <c r="E425" s="43">
        <v>7.9968012794882047E-4</v>
      </c>
    </row>
    <row r="426" spans="2:5" ht="15" customHeight="1" x14ac:dyDescent="0.25">
      <c r="B426" s="83"/>
      <c r="C426" s="45" t="s">
        <v>141</v>
      </c>
      <c r="D426" s="44">
        <v>7</v>
      </c>
      <c r="E426" s="43">
        <v>9.3296014927362388E-4</v>
      </c>
    </row>
    <row r="427" spans="2:5" ht="15" customHeight="1" x14ac:dyDescent="0.25">
      <c r="B427" s="83"/>
      <c r="C427" s="45" t="s">
        <v>140</v>
      </c>
      <c r="D427" s="44">
        <v>2</v>
      </c>
      <c r="E427" s="43">
        <v>2.6656004264960682E-4</v>
      </c>
    </row>
    <row r="428" spans="2:5" ht="15" customHeight="1" x14ac:dyDescent="0.25">
      <c r="B428" s="83"/>
      <c r="C428" s="45" t="s">
        <v>139</v>
      </c>
      <c r="D428" s="44">
        <v>1</v>
      </c>
      <c r="E428" s="43">
        <v>1.3328002132480341E-4</v>
      </c>
    </row>
    <row r="429" spans="2:5" ht="15" customHeight="1" x14ac:dyDescent="0.25">
      <c r="B429" s="83"/>
      <c r="C429" s="45" t="s">
        <v>138</v>
      </c>
      <c r="D429" s="44">
        <v>10</v>
      </c>
      <c r="E429" s="43">
        <v>1.3328002132480341E-3</v>
      </c>
    </row>
    <row r="430" spans="2:5" ht="15" customHeight="1" x14ac:dyDescent="0.25">
      <c r="B430" s="83"/>
      <c r="C430" s="45" t="s">
        <v>137</v>
      </c>
      <c r="D430" s="44">
        <v>31</v>
      </c>
      <c r="E430" s="43">
        <v>4.1316806610689058E-3</v>
      </c>
    </row>
    <row r="431" spans="2:5" ht="15" customHeight="1" x14ac:dyDescent="0.25">
      <c r="B431" s="83"/>
      <c r="C431" s="45" t="s">
        <v>134</v>
      </c>
      <c r="D431" s="44">
        <v>1</v>
      </c>
      <c r="E431" s="43">
        <v>1.3328002132480341E-4</v>
      </c>
    </row>
    <row r="432" spans="2:5" ht="15" customHeight="1" x14ac:dyDescent="0.25">
      <c r="B432" s="84"/>
      <c r="C432" s="42" t="s">
        <v>20</v>
      </c>
      <c r="D432" s="41">
        <v>553</v>
      </c>
      <c r="E432" s="40">
        <v>7.3703851792616293E-2</v>
      </c>
    </row>
    <row r="433" spans="2:5" ht="15" customHeight="1" x14ac:dyDescent="0.25">
      <c r="B433" s="82" t="s">
        <v>86</v>
      </c>
      <c r="C433" s="45" t="s">
        <v>155</v>
      </c>
      <c r="D433" s="44">
        <v>1</v>
      </c>
      <c r="E433" s="43">
        <v>1.3328002132480341E-4</v>
      </c>
    </row>
    <row r="434" spans="2:5" ht="15" customHeight="1" x14ac:dyDescent="0.25">
      <c r="B434" s="83"/>
      <c r="C434" s="45" t="s">
        <v>154</v>
      </c>
      <c r="D434" s="44">
        <v>2</v>
      </c>
      <c r="E434" s="43">
        <v>2.6656004264960682E-4</v>
      </c>
    </row>
    <row r="435" spans="2:5" ht="15" customHeight="1" x14ac:dyDescent="0.25">
      <c r="B435" s="83"/>
      <c r="C435" s="45" t="s">
        <v>153</v>
      </c>
      <c r="D435" s="44">
        <v>1</v>
      </c>
      <c r="E435" s="43">
        <v>1.3328002132480341E-4</v>
      </c>
    </row>
    <row r="436" spans="2:5" ht="15" customHeight="1" x14ac:dyDescent="0.25">
      <c r="B436" s="83"/>
      <c r="C436" s="45" t="s">
        <v>152</v>
      </c>
      <c r="D436" s="44">
        <v>1</v>
      </c>
      <c r="E436" s="43">
        <v>1.3328002132480341E-4</v>
      </c>
    </row>
    <row r="437" spans="2:5" ht="15" customHeight="1" x14ac:dyDescent="0.25">
      <c r="B437" s="83"/>
      <c r="C437" s="45" t="s">
        <v>151</v>
      </c>
      <c r="D437" s="44">
        <v>10</v>
      </c>
      <c r="E437" s="43">
        <v>1.3328002132480341E-3</v>
      </c>
    </row>
    <row r="438" spans="2:5" ht="15" customHeight="1" x14ac:dyDescent="0.25">
      <c r="B438" s="83"/>
      <c r="C438" s="45" t="s">
        <v>150</v>
      </c>
      <c r="D438" s="44">
        <v>6</v>
      </c>
      <c r="E438" s="43">
        <v>7.9968012794882047E-4</v>
      </c>
    </row>
    <row r="439" spans="2:5" ht="15" customHeight="1" x14ac:dyDescent="0.25">
      <c r="B439" s="83"/>
      <c r="C439" s="45" t="s">
        <v>149</v>
      </c>
      <c r="D439" s="44">
        <v>3</v>
      </c>
      <c r="E439" s="43">
        <v>3.9984006397441024E-4</v>
      </c>
    </row>
    <row r="440" spans="2:5" ht="15" customHeight="1" x14ac:dyDescent="0.25">
      <c r="B440" s="83"/>
      <c r="C440" s="45" t="s">
        <v>148</v>
      </c>
      <c r="D440" s="44">
        <v>1</v>
      </c>
      <c r="E440" s="43">
        <v>1.3328002132480341E-4</v>
      </c>
    </row>
    <row r="441" spans="2:5" ht="15" customHeight="1" x14ac:dyDescent="0.25">
      <c r="B441" s="83"/>
      <c r="C441" s="45" t="s">
        <v>147</v>
      </c>
      <c r="D441" s="44">
        <v>6</v>
      </c>
      <c r="E441" s="43">
        <v>7.9968012794882047E-4</v>
      </c>
    </row>
    <row r="442" spans="2:5" ht="15" customHeight="1" x14ac:dyDescent="0.25">
      <c r="B442" s="83"/>
      <c r="C442" s="45" t="s">
        <v>146</v>
      </c>
      <c r="D442" s="44">
        <v>7</v>
      </c>
      <c r="E442" s="43">
        <v>9.3296014927362388E-4</v>
      </c>
    </row>
    <row r="443" spans="2:5" ht="15" customHeight="1" x14ac:dyDescent="0.25">
      <c r="B443" s="83"/>
      <c r="C443" s="45" t="s">
        <v>145</v>
      </c>
      <c r="D443" s="44">
        <v>1</v>
      </c>
      <c r="E443" s="43">
        <v>1.3328002132480341E-4</v>
      </c>
    </row>
    <row r="444" spans="2:5" ht="15" customHeight="1" x14ac:dyDescent="0.25">
      <c r="B444" s="83"/>
      <c r="C444" s="45" t="s">
        <v>144</v>
      </c>
      <c r="D444" s="44">
        <v>4</v>
      </c>
      <c r="E444" s="43">
        <v>5.3312008529921365E-4</v>
      </c>
    </row>
    <row r="445" spans="2:5" ht="15" customHeight="1" x14ac:dyDescent="0.25">
      <c r="B445" s="83"/>
      <c r="C445" s="45" t="s">
        <v>143</v>
      </c>
      <c r="D445" s="44">
        <v>16</v>
      </c>
      <c r="E445" s="43">
        <v>2.1324803411968546E-3</v>
      </c>
    </row>
    <row r="446" spans="2:5" ht="15" customHeight="1" x14ac:dyDescent="0.25">
      <c r="B446" s="83"/>
      <c r="C446" s="45" t="s">
        <v>137</v>
      </c>
      <c r="D446" s="44">
        <v>6</v>
      </c>
      <c r="E446" s="43">
        <v>7.9968012794882047E-4</v>
      </c>
    </row>
    <row r="447" spans="2:5" ht="15" customHeight="1" x14ac:dyDescent="0.25">
      <c r="B447" s="84"/>
      <c r="C447" s="42" t="s">
        <v>20</v>
      </c>
      <c r="D447" s="41">
        <v>65</v>
      </c>
      <c r="E447" s="40">
        <v>8.6632013861122226E-3</v>
      </c>
    </row>
    <row r="448" spans="2:5" ht="15" customHeight="1" x14ac:dyDescent="0.25">
      <c r="B448" s="82" t="s">
        <v>70</v>
      </c>
      <c r="C448" s="45" t="s">
        <v>146</v>
      </c>
      <c r="D448" s="44">
        <v>2</v>
      </c>
      <c r="E448" s="43">
        <v>2.6656004264960682E-4</v>
      </c>
    </row>
    <row r="449" spans="2:5" ht="15" customHeight="1" x14ac:dyDescent="0.25">
      <c r="B449" s="83"/>
      <c r="C449" s="45" t="s">
        <v>143</v>
      </c>
      <c r="D449" s="44">
        <v>2</v>
      </c>
      <c r="E449" s="43">
        <v>2.6656004264960682E-4</v>
      </c>
    </row>
    <row r="450" spans="2:5" ht="15" customHeight="1" x14ac:dyDescent="0.25">
      <c r="B450" s="84"/>
      <c r="C450" s="42" t="s">
        <v>20</v>
      </c>
      <c r="D450" s="41">
        <v>4</v>
      </c>
      <c r="E450" s="40">
        <v>5.3312008529921365E-4</v>
      </c>
    </row>
    <row r="451" spans="2:5" ht="15" customHeight="1" x14ac:dyDescent="0.25">
      <c r="B451" s="82" t="s">
        <v>104</v>
      </c>
      <c r="C451" s="45" t="s">
        <v>157</v>
      </c>
      <c r="D451" s="44">
        <v>3</v>
      </c>
      <c r="E451" s="43">
        <v>3.9984006397441024E-4</v>
      </c>
    </row>
    <row r="452" spans="2:5" ht="15" customHeight="1" x14ac:dyDescent="0.25">
      <c r="B452" s="83"/>
      <c r="C452" s="45" t="s">
        <v>154</v>
      </c>
      <c r="D452" s="44">
        <v>2</v>
      </c>
      <c r="E452" s="43">
        <v>2.6656004264960682E-4</v>
      </c>
    </row>
    <row r="453" spans="2:5" ht="15" customHeight="1" x14ac:dyDescent="0.25">
      <c r="B453" s="83"/>
      <c r="C453" s="45" t="s">
        <v>153</v>
      </c>
      <c r="D453" s="44">
        <v>1</v>
      </c>
      <c r="E453" s="43">
        <v>1.3328002132480341E-4</v>
      </c>
    </row>
    <row r="454" spans="2:5" ht="15" customHeight="1" x14ac:dyDescent="0.25">
      <c r="B454" s="83"/>
      <c r="C454" s="45" t="s">
        <v>152</v>
      </c>
      <c r="D454" s="44">
        <v>6</v>
      </c>
      <c r="E454" s="43">
        <v>7.9968012794882047E-4</v>
      </c>
    </row>
    <row r="455" spans="2:5" ht="15" customHeight="1" x14ac:dyDescent="0.25">
      <c r="B455" s="83"/>
      <c r="C455" s="45" t="s">
        <v>151</v>
      </c>
      <c r="D455" s="44">
        <v>6</v>
      </c>
      <c r="E455" s="43">
        <v>7.9968012794882047E-4</v>
      </c>
    </row>
    <row r="456" spans="2:5" ht="15" customHeight="1" x14ac:dyDescent="0.25">
      <c r="B456" s="83"/>
      <c r="C456" s="45" t="s">
        <v>150</v>
      </c>
      <c r="D456" s="44">
        <v>17</v>
      </c>
      <c r="E456" s="43">
        <v>2.265760362521658E-3</v>
      </c>
    </row>
    <row r="457" spans="2:5" ht="15" customHeight="1" x14ac:dyDescent="0.25">
      <c r="B457" s="83"/>
      <c r="C457" s="45" t="s">
        <v>149</v>
      </c>
      <c r="D457" s="44">
        <v>1</v>
      </c>
      <c r="E457" s="43">
        <v>1.3328002132480341E-4</v>
      </c>
    </row>
    <row r="458" spans="2:5" ht="15" customHeight="1" x14ac:dyDescent="0.25">
      <c r="B458" s="83"/>
      <c r="C458" s="45" t="s">
        <v>148</v>
      </c>
      <c r="D458" s="44">
        <v>13</v>
      </c>
      <c r="E458" s="43">
        <v>1.7326402772224444E-3</v>
      </c>
    </row>
    <row r="459" spans="2:5" ht="15" customHeight="1" x14ac:dyDescent="0.25">
      <c r="B459" s="83"/>
      <c r="C459" s="45" t="s">
        <v>147</v>
      </c>
      <c r="D459" s="44">
        <v>4</v>
      </c>
      <c r="E459" s="43">
        <v>5.3312008529921365E-4</v>
      </c>
    </row>
    <row r="460" spans="2:5" ht="15" customHeight="1" x14ac:dyDescent="0.25">
      <c r="B460" s="83"/>
      <c r="C460" s="45" t="s">
        <v>146</v>
      </c>
      <c r="D460" s="44">
        <v>44</v>
      </c>
      <c r="E460" s="43">
        <v>5.8643209382913501E-3</v>
      </c>
    </row>
    <row r="461" spans="2:5" ht="15" customHeight="1" x14ac:dyDescent="0.25">
      <c r="B461" s="83"/>
      <c r="C461" s="45" t="s">
        <v>145</v>
      </c>
      <c r="D461" s="44">
        <v>2</v>
      </c>
      <c r="E461" s="43">
        <v>2.6656004264960682E-4</v>
      </c>
    </row>
    <row r="462" spans="2:5" ht="15" customHeight="1" x14ac:dyDescent="0.25">
      <c r="B462" s="83"/>
      <c r="C462" s="45" t="s">
        <v>144</v>
      </c>
      <c r="D462" s="44">
        <v>18</v>
      </c>
      <c r="E462" s="43">
        <v>2.3990403838464614E-3</v>
      </c>
    </row>
    <row r="463" spans="2:5" ht="15" customHeight="1" x14ac:dyDescent="0.25">
      <c r="B463" s="83"/>
      <c r="C463" s="45" t="s">
        <v>143</v>
      </c>
      <c r="D463" s="44">
        <v>39</v>
      </c>
      <c r="E463" s="43">
        <v>5.1979208316673331E-3</v>
      </c>
    </row>
    <row r="464" spans="2:5" ht="15" customHeight="1" x14ac:dyDescent="0.25">
      <c r="B464" s="83"/>
      <c r="C464" s="45" t="s">
        <v>139</v>
      </c>
      <c r="D464" s="44">
        <v>1</v>
      </c>
      <c r="E464" s="43">
        <v>1.3328002132480341E-4</v>
      </c>
    </row>
    <row r="465" spans="2:5" ht="15" customHeight="1" x14ac:dyDescent="0.25">
      <c r="B465" s="83"/>
      <c r="C465" s="45" t="s">
        <v>138</v>
      </c>
      <c r="D465" s="44">
        <v>5</v>
      </c>
      <c r="E465" s="43">
        <v>6.6640010662401706E-4</v>
      </c>
    </row>
    <row r="466" spans="2:5" ht="15" customHeight="1" x14ac:dyDescent="0.25">
      <c r="B466" s="83"/>
      <c r="C466" s="45" t="s">
        <v>137</v>
      </c>
      <c r="D466" s="44">
        <v>9</v>
      </c>
      <c r="E466" s="43">
        <v>1.1995201919232307E-3</v>
      </c>
    </row>
    <row r="467" spans="2:5" ht="15" customHeight="1" x14ac:dyDescent="0.25">
      <c r="B467" s="84"/>
      <c r="C467" s="42" t="s">
        <v>20</v>
      </c>
      <c r="D467" s="41">
        <v>171</v>
      </c>
      <c r="E467" s="40">
        <v>2.2790883646541384E-2</v>
      </c>
    </row>
    <row r="468" spans="2:5" ht="15" customHeight="1" x14ac:dyDescent="0.25">
      <c r="B468" s="82" t="s">
        <v>96</v>
      </c>
      <c r="C468" s="45" t="s">
        <v>157</v>
      </c>
      <c r="D468" s="44">
        <v>5</v>
      </c>
      <c r="E468" s="43">
        <v>6.6640010662401706E-4</v>
      </c>
    </row>
    <row r="469" spans="2:5" ht="15" customHeight="1" x14ac:dyDescent="0.25">
      <c r="B469" s="83"/>
      <c r="C469" s="45" t="s">
        <v>156</v>
      </c>
      <c r="D469" s="44">
        <v>3</v>
      </c>
      <c r="E469" s="43">
        <v>3.9984006397441024E-4</v>
      </c>
    </row>
    <row r="470" spans="2:5" ht="15" customHeight="1" x14ac:dyDescent="0.25">
      <c r="B470" s="83"/>
      <c r="C470" s="45" t="s">
        <v>154</v>
      </c>
      <c r="D470" s="44">
        <v>2</v>
      </c>
      <c r="E470" s="43">
        <v>2.6656004264960682E-4</v>
      </c>
    </row>
    <row r="471" spans="2:5" ht="15" customHeight="1" x14ac:dyDescent="0.25">
      <c r="B471" s="83"/>
      <c r="C471" s="45" t="s">
        <v>152</v>
      </c>
      <c r="D471" s="44">
        <v>4</v>
      </c>
      <c r="E471" s="43">
        <v>5.3312008529921365E-4</v>
      </c>
    </row>
    <row r="472" spans="2:5" ht="15" customHeight="1" x14ac:dyDescent="0.25">
      <c r="B472" s="83"/>
      <c r="C472" s="45" t="s">
        <v>151</v>
      </c>
      <c r="D472" s="44">
        <v>13</v>
      </c>
      <c r="E472" s="43">
        <v>1.7326402772224444E-3</v>
      </c>
    </row>
    <row r="473" spans="2:5" ht="15" customHeight="1" x14ac:dyDescent="0.25">
      <c r="B473" s="83"/>
      <c r="C473" s="45" t="s">
        <v>150</v>
      </c>
      <c r="D473" s="44">
        <v>52</v>
      </c>
      <c r="E473" s="43">
        <v>6.9305611088897774E-3</v>
      </c>
    </row>
    <row r="474" spans="2:5" ht="15" customHeight="1" x14ac:dyDescent="0.25">
      <c r="B474" s="83"/>
      <c r="C474" s="45" t="s">
        <v>149</v>
      </c>
      <c r="D474" s="44">
        <v>4</v>
      </c>
      <c r="E474" s="43">
        <v>5.3312008529921365E-4</v>
      </c>
    </row>
    <row r="475" spans="2:5" ht="15" customHeight="1" x14ac:dyDescent="0.25">
      <c r="B475" s="83"/>
      <c r="C475" s="45" t="s">
        <v>148</v>
      </c>
      <c r="D475" s="44">
        <v>8</v>
      </c>
      <c r="E475" s="43">
        <v>1.0662401705984273E-3</v>
      </c>
    </row>
    <row r="476" spans="2:5" ht="15" customHeight="1" x14ac:dyDescent="0.25">
      <c r="B476" s="83"/>
      <c r="C476" s="45" t="s">
        <v>147</v>
      </c>
      <c r="D476" s="44">
        <v>5</v>
      </c>
      <c r="E476" s="43">
        <v>6.6640010662401706E-4</v>
      </c>
    </row>
    <row r="477" spans="2:5" ht="15" customHeight="1" x14ac:dyDescent="0.25">
      <c r="B477" s="83"/>
      <c r="C477" s="45" t="s">
        <v>146</v>
      </c>
      <c r="D477" s="44">
        <v>79</v>
      </c>
      <c r="E477" s="43">
        <v>1.052912168465947E-2</v>
      </c>
    </row>
    <row r="478" spans="2:5" ht="15" customHeight="1" x14ac:dyDescent="0.25">
      <c r="B478" s="83"/>
      <c r="C478" s="45" t="s">
        <v>145</v>
      </c>
      <c r="D478" s="44">
        <v>10</v>
      </c>
      <c r="E478" s="43">
        <v>1.3328002132480341E-3</v>
      </c>
    </row>
    <row r="479" spans="2:5" ht="15" customHeight="1" x14ac:dyDescent="0.25">
      <c r="B479" s="83"/>
      <c r="C479" s="45" t="s">
        <v>144</v>
      </c>
      <c r="D479" s="44">
        <v>37</v>
      </c>
      <c r="E479" s="43">
        <v>4.9313607890177262E-3</v>
      </c>
    </row>
    <row r="480" spans="2:5" ht="15" customHeight="1" x14ac:dyDescent="0.25">
      <c r="B480" s="83"/>
      <c r="C480" s="45" t="s">
        <v>143</v>
      </c>
      <c r="D480" s="44">
        <v>74</v>
      </c>
      <c r="E480" s="43">
        <v>9.8627215780354525E-3</v>
      </c>
    </row>
    <row r="481" spans="2:5" ht="15" customHeight="1" x14ac:dyDescent="0.25">
      <c r="B481" s="83"/>
      <c r="C481" s="45" t="s">
        <v>141</v>
      </c>
      <c r="D481" s="44">
        <v>1</v>
      </c>
      <c r="E481" s="43">
        <v>1.3328002132480341E-4</v>
      </c>
    </row>
    <row r="482" spans="2:5" ht="15" customHeight="1" x14ac:dyDescent="0.25">
      <c r="B482" s="83"/>
      <c r="C482" s="45" t="s">
        <v>138</v>
      </c>
      <c r="D482" s="44">
        <v>13</v>
      </c>
      <c r="E482" s="43">
        <v>1.7326402772224444E-3</v>
      </c>
    </row>
    <row r="483" spans="2:5" ht="15" customHeight="1" x14ac:dyDescent="0.25">
      <c r="B483" s="83"/>
      <c r="C483" s="45" t="s">
        <v>137</v>
      </c>
      <c r="D483" s="44">
        <v>24</v>
      </c>
      <c r="E483" s="43">
        <v>3.1987205117952819E-3</v>
      </c>
    </row>
    <row r="484" spans="2:5" ht="15" customHeight="1" x14ac:dyDescent="0.25">
      <c r="B484" s="83"/>
      <c r="C484" s="45" t="s">
        <v>162</v>
      </c>
      <c r="D484" s="44">
        <v>1</v>
      </c>
      <c r="E484" s="43">
        <v>1.3328002132480341E-4</v>
      </c>
    </row>
    <row r="485" spans="2:5" ht="15" customHeight="1" x14ac:dyDescent="0.25">
      <c r="B485" s="84"/>
      <c r="C485" s="42" t="s">
        <v>20</v>
      </c>
      <c r="D485" s="41">
        <v>335</v>
      </c>
      <c r="E485" s="40">
        <v>4.4648807143809144E-2</v>
      </c>
    </row>
    <row r="486" spans="2:5" ht="15" customHeight="1" x14ac:dyDescent="0.25">
      <c r="B486" s="82" t="s">
        <v>81</v>
      </c>
      <c r="C486" s="45" t="s">
        <v>155</v>
      </c>
      <c r="D486" s="44">
        <v>1</v>
      </c>
      <c r="E486" s="43">
        <v>1.3328002132480341E-4</v>
      </c>
    </row>
    <row r="487" spans="2:5" ht="15" customHeight="1" x14ac:dyDescent="0.25">
      <c r="B487" s="83"/>
      <c r="C487" s="45" t="s">
        <v>153</v>
      </c>
      <c r="D487" s="44">
        <v>1</v>
      </c>
      <c r="E487" s="43">
        <v>1.3328002132480341E-4</v>
      </c>
    </row>
    <row r="488" spans="2:5" ht="15" customHeight="1" x14ac:dyDescent="0.25">
      <c r="B488" s="83"/>
      <c r="C488" s="45" t="s">
        <v>151</v>
      </c>
      <c r="D488" s="44">
        <v>1</v>
      </c>
      <c r="E488" s="43">
        <v>1.3328002132480341E-4</v>
      </c>
    </row>
    <row r="489" spans="2:5" ht="15" customHeight="1" x14ac:dyDescent="0.25">
      <c r="B489" s="83"/>
      <c r="C489" s="45" t="s">
        <v>150</v>
      </c>
      <c r="D489" s="44">
        <v>11</v>
      </c>
      <c r="E489" s="43">
        <v>1.4660802345728375E-3</v>
      </c>
    </row>
    <row r="490" spans="2:5" ht="15" customHeight="1" x14ac:dyDescent="0.25">
      <c r="B490" s="83"/>
      <c r="C490" s="45" t="s">
        <v>149</v>
      </c>
      <c r="D490" s="44">
        <v>1</v>
      </c>
      <c r="E490" s="43">
        <v>1.3328002132480341E-4</v>
      </c>
    </row>
    <row r="491" spans="2:5" ht="15" customHeight="1" x14ac:dyDescent="0.25">
      <c r="B491" s="83"/>
      <c r="C491" s="45" t="s">
        <v>148</v>
      </c>
      <c r="D491" s="44">
        <v>1</v>
      </c>
      <c r="E491" s="43">
        <v>1.3328002132480341E-4</v>
      </c>
    </row>
    <row r="492" spans="2:5" ht="15" customHeight="1" x14ac:dyDescent="0.25">
      <c r="B492" s="83"/>
      <c r="C492" s="45" t="s">
        <v>146</v>
      </c>
      <c r="D492" s="44">
        <v>15</v>
      </c>
      <c r="E492" s="43">
        <v>1.9992003198720512E-3</v>
      </c>
    </row>
    <row r="493" spans="2:5" ht="15" customHeight="1" x14ac:dyDescent="0.25">
      <c r="B493" s="83"/>
      <c r="C493" s="45" t="s">
        <v>145</v>
      </c>
      <c r="D493" s="44">
        <v>1</v>
      </c>
      <c r="E493" s="43">
        <v>1.3328002132480341E-4</v>
      </c>
    </row>
    <row r="494" spans="2:5" ht="15" customHeight="1" x14ac:dyDescent="0.25">
      <c r="B494" s="83"/>
      <c r="C494" s="45" t="s">
        <v>144</v>
      </c>
      <c r="D494" s="44">
        <v>4</v>
      </c>
      <c r="E494" s="43">
        <v>5.3312008529921365E-4</v>
      </c>
    </row>
    <row r="495" spans="2:5" ht="15" customHeight="1" x14ac:dyDescent="0.25">
      <c r="B495" s="83"/>
      <c r="C495" s="45" t="s">
        <v>143</v>
      </c>
      <c r="D495" s="44">
        <v>16</v>
      </c>
      <c r="E495" s="43">
        <v>2.1324803411968546E-3</v>
      </c>
    </row>
    <row r="496" spans="2:5" ht="15" customHeight="1" x14ac:dyDescent="0.25">
      <c r="B496" s="83"/>
      <c r="C496" s="45" t="s">
        <v>138</v>
      </c>
      <c r="D496" s="44">
        <v>2</v>
      </c>
      <c r="E496" s="43">
        <v>2.6656004264960682E-4</v>
      </c>
    </row>
    <row r="497" spans="2:5" ht="15" customHeight="1" x14ac:dyDescent="0.25">
      <c r="B497" s="83"/>
      <c r="C497" s="45" t="s">
        <v>137</v>
      </c>
      <c r="D497" s="44">
        <v>10</v>
      </c>
      <c r="E497" s="43">
        <v>1.3328002132480341E-3</v>
      </c>
    </row>
    <row r="498" spans="2:5" ht="15" customHeight="1" x14ac:dyDescent="0.25">
      <c r="B498" s="84"/>
      <c r="C498" s="42" t="s">
        <v>20</v>
      </c>
      <c r="D498" s="41">
        <v>64</v>
      </c>
      <c r="E498" s="40">
        <v>8.5299213647874184E-3</v>
      </c>
    </row>
    <row r="499" spans="2:5" ht="15" customHeight="1" x14ac:dyDescent="0.25">
      <c r="B499" s="82" t="s">
        <v>83</v>
      </c>
      <c r="C499" s="45" t="s">
        <v>157</v>
      </c>
      <c r="D499" s="44">
        <v>2</v>
      </c>
      <c r="E499" s="43">
        <v>2.6656004264960682E-4</v>
      </c>
    </row>
    <row r="500" spans="2:5" ht="15" customHeight="1" x14ac:dyDescent="0.25">
      <c r="B500" s="83"/>
      <c r="C500" s="45" t="s">
        <v>154</v>
      </c>
      <c r="D500" s="44">
        <v>5</v>
      </c>
      <c r="E500" s="43">
        <v>6.6640010662401706E-4</v>
      </c>
    </row>
    <row r="501" spans="2:5" ht="15" customHeight="1" x14ac:dyDescent="0.25">
      <c r="B501" s="83"/>
      <c r="C501" s="45" t="s">
        <v>153</v>
      </c>
      <c r="D501" s="44">
        <v>2</v>
      </c>
      <c r="E501" s="43">
        <v>2.6656004264960682E-4</v>
      </c>
    </row>
    <row r="502" spans="2:5" ht="15" customHeight="1" x14ac:dyDescent="0.25">
      <c r="B502" s="83"/>
      <c r="C502" s="45" t="s">
        <v>152</v>
      </c>
      <c r="D502" s="44">
        <v>1</v>
      </c>
      <c r="E502" s="43">
        <v>1.3328002132480341E-4</v>
      </c>
    </row>
    <row r="503" spans="2:5" ht="15" customHeight="1" x14ac:dyDescent="0.25">
      <c r="B503" s="83"/>
      <c r="C503" s="45" t="s">
        <v>151</v>
      </c>
      <c r="D503" s="44">
        <v>11</v>
      </c>
      <c r="E503" s="43">
        <v>1.4660802345728375E-3</v>
      </c>
    </row>
    <row r="504" spans="2:5" ht="15" customHeight="1" x14ac:dyDescent="0.25">
      <c r="B504" s="83"/>
      <c r="C504" s="45" t="s">
        <v>150</v>
      </c>
      <c r="D504" s="44">
        <v>24</v>
      </c>
      <c r="E504" s="43">
        <v>3.1987205117952819E-3</v>
      </c>
    </row>
    <row r="505" spans="2:5" ht="15" customHeight="1" x14ac:dyDescent="0.25">
      <c r="B505" s="83"/>
      <c r="C505" s="45" t="s">
        <v>149</v>
      </c>
      <c r="D505" s="44">
        <v>2</v>
      </c>
      <c r="E505" s="43">
        <v>2.6656004264960682E-4</v>
      </c>
    </row>
    <row r="506" spans="2:5" ht="15" customHeight="1" x14ac:dyDescent="0.25">
      <c r="B506" s="83"/>
      <c r="C506" s="45" t="s">
        <v>148</v>
      </c>
      <c r="D506" s="44">
        <v>13</v>
      </c>
      <c r="E506" s="43">
        <v>1.7326402772224444E-3</v>
      </c>
    </row>
    <row r="507" spans="2:5" ht="15" customHeight="1" x14ac:dyDescent="0.25">
      <c r="B507" s="83"/>
      <c r="C507" s="45" t="s">
        <v>147</v>
      </c>
      <c r="D507" s="44">
        <v>11</v>
      </c>
      <c r="E507" s="43">
        <v>1.4660802345728375E-3</v>
      </c>
    </row>
    <row r="508" spans="2:5" ht="15" customHeight="1" x14ac:dyDescent="0.25">
      <c r="B508" s="83"/>
      <c r="C508" s="45" t="s">
        <v>146</v>
      </c>
      <c r="D508" s="44">
        <v>42</v>
      </c>
      <c r="E508" s="43">
        <v>5.5977608956417433E-3</v>
      </c>
    </row>
    <row r="509" spans="2:5" ht="15" customHeight="1" x14ac:dyDescent="0.25">
      <c r="B509" s="83"/>
      <c r="C509" s="45" t="s">
        <v>145</v>
      </c>
      <c r="D509" s="44">
        <v>1</v>
      </c>
      <c r="E509" s="43">
        <v>1.3328002132480341E-4</v>
      </c>
    </row>
    <row r="510" spans="2:5" ht="15" customHeight="1" x14ac:dyDescent="0.25">
      <c r="B510" s="83"/>
      <c r="C510" s="45" t="s">
        <v>144</v>
      </c>
      <c r="D510" s="44">
        <v>19</v>
      </c>
      <c r="E510" s="43">
        <v>2.5323204051712648E-3</v>
      </c>
    </row>
    <row r="511" spans="2:5" ht="15" customHeight="1" x14ac:dyDescent="0.25">
      <c r="B511" s="83"/>
      <c r="C511" s="45" t="s">
        <v>143</v>
      </c>
      <c r="D511" s="44">
        <v>54</v>
      </c>
      <c r="E511" s="43">
        <v>7.1971211515393842E-3</v>
      </c>
    </row>
    <row r="512" spans="2:5" ht="15" customHeight="1" x14ac:dyDescent="0.25">
      <c r="B512" s="83"/>
      <c r="C512" s="45" t="s">
        <v>142</v>
      </c>
      <c r="D512" s="44">
        <v>1</v>
      </c>
      <c r="E512" s="43">
        <v>1.3328002132480341E-4</v>
      </c>
    </row>
    <row r="513" spans="2:5" ht="15" customHeight="1" x14ac:dyDescent="0.25">
      <c r="B513" s="83"/>
      <c r="C513" s="45" t="s">
        <v>141</v>
      </c>
      <c r="D513" s="44">
        <v>3</v>
      </c>
      <c r="E513" s="43">
        <v>3.9984006397441024E-4</v>
      </c>
    </row>
    <row r="514" spans="2:5" ht="15" customHeight="1" x14ac:dyDescent="0.25">
      <c r="B514" s="83"/>
      <c r="C514" s="45" t="s">
        <v>140</v>
      </c>
      <c r="D514" s="44">
        <v>1</v>
      </c>
      <c r="E514" s="43">
        <v>1.3328002132480341E-4</v>
      </c>
    </row>
    <row r="515" spans="2:5" ht="15" customHeight="1" x14ac:dyDescent="0.25">
      <c r="B515" s="83"/>
      <c r="C515" s="45" t="s">
        <v>138</v>
      </c>
      <c r="D515" s="44">
        <v>11</v>
      </c>
      <c r="E515" s="43">
        <v>1.4660802345728375E-3</v>
      </c>
    </row>
    <row r="516" spans="2:5" ht="15" customHeight="1" x14ac:dyDescent="0.25">
      <c r="B516" s="83"/>
      <c r="C516" s="45" t="s">
        <v>137</v>
      </c>
      <c r="D516" s="44">
        <v>15</v>
      </c>
      <c r="E516" s="43">
        <v>1.9992003198720512E-3</v>
      </c>
    </row>
    <row r="517" spans="2:5" ht="15" customHeight="1" x14ac:dyDescent="0.25">
      <c r="B517" s="84"/>
      <c r="C517" s="42" t="s">
        <v>20</v>
      </c>
      <c r="D517" s="41">
        <v>218</v>
      </c>
      <c r="E517" s="40">
        <v>2.9055044648807146E-2</v>
      </c>
    </row>
    <row r="518" spans="2:5" ht="15" customHeight="1" x14ac:dyDescent="0.25">
      <c r="B518" s="82" t="s">
        <v>91</v>
      </c>
      <c r="C518" s="45" t="s">
        <v>155</v>
      </c>
      <c r="D518" s="44">
        <v>1</v>
      </c>
      <c r="E518" s="43">
        <v>1.3328002132480341E-4</v>
      </c>
    </row>
    <row r="519" spans="2:5" ht="15" customHeight="1" x14ac:dyDescent="0.25">
      <c r="B519" s="83"/>
      <c r="C519" s="45" t="s">
        <v>151</v>
      </c>
      <c r="D519" s="44">
        <v>2</v>
      </c>
      <c r="E519" s="43">
        <v>2.6656004264960682E-4</v>
      </c>
    </row>
    <row r="520" spans="2:5" ht="15" customHeight="1" x14ac:dyDescent="0.25">
      <c r="B520" s="83"/>
      <c r="C520" s="45" t="s">
        <v>148</v>
      </c>
      <c r="D520" s="44">
        <v>1</v>
      </c>
      <c r="E520" s="43">
        <v>1.3328002132480341E-4</v>
      </c>
    </row>
    <row r="521" spans="2:5" ht="15" customHeight="1" x14ac:dyDescent="0.25">
      <c r="B521" s="83"/>
      <c r="C521" s="45" t="s">
        <v>146</v>
      </c>
      <c r="D521" s="44">
        <v>5</v>
      </c>
      <c r="E521" s="43">
        <v>6.6640010662401706E-4</v>
      </c>
    </row>
    <row r="522" spans="2:5" ht="15" customHeight="1" x14ac:dyDescent="0.25">
      <c r="B522" s="83"/>
      <c r="C522" s="45" t="s">
        <v>145</v>
      </c>
      <c r="D522" s="44">
        <v>2</v>
      </c>
      <c r="E522" s="43">
        <v>2.6656004264960682E-4</v>
      </c>
    </row>
    <row r="523" spans="2:5" ht="15" customHeight="1" x14ac:dyDescent="0.25">
      <c r="B523" s="83"/>
      <c r="C523" s="45" t="s">
        <v>144</v>
      </c>
      <c r="D523" s="44">
        <v>2</v>
      </c>
      <c r="E523" s="43">
        <v>2.6656004264960682E-4</v>
      </c>
    </row>
    <row r="524" spans="2:5" ht="15" customHeight="1" x14ac:dyDescent="0.25">
      <c r="B524" s="83"/>
      <c r="C524" s="45" t="s">
        <v>143</v>
      </c>
      <c r="D524" s="44">
        <v>7</v>
      </c>
      <c r="E524" s="43">
        <v>9.3296014927362388E-4</v>
      </c>
    </row>
    <row r="525" spans="2:5" ht="15" customHeight="1" x14ac:dyDescent="0.25">
      <c r="B525" s="83"/>
      <c r="C525" s="45" t="s">
        <v>138</v>
      </c>
      <c r="D525" s="44">
        <v>1</v>
      </c>
      <c r="E525" s="43">
        <v>1.3328002132480341E-4</v>
      </c>
    </row>
    <row r="526" spans="2:5" ht="15" customHeight="1" x14ac:dyDescent="0.25">
      <c r="B526" s="83"/>
      <c r="C526" s="45" t="s">
        <v>137</v>
      </c>
      <c r="D526" s="44">
        <v>2</v>
      </c>
      <c r="E526" s="43">
        <v>2.6656004264960682E-4</v>
      </c>
    </row>
    <row r="527" spans="2:5" ht="15" customHeight="1" x14ac:dyDescent="0.25">
      <c r="B527" s="83"/>
      <c r="C527" s="45" t="s">
        <v>135</v>
      </c>
      <c r="D527" s="44">
        <v>1</v>
      </c>
      <c r="E527" s="43">
        <v>1.3328002132480341E-4</v>
      </c>
    </row>
    <row r="528" spans="2:5" ht="15" customHeight="1" x14ac:dyDescent="0.25">
      <c r="B528" s="84"/>
      <c r="C528" s="42" t="s">
        <v>20</v>
      </c>
      <c r="D528" s="41">
        <v>24</v>
      </c>
      <c r="E528" s="40">
        <v>3.1987205117952819E-3</v>
      </c>
    </row>
    <row r="529" spans="2:5" ht="15" customHeight="1" x14ac:dyDescent="0.25">
      <c r="B529" s="82" t="s">
        <v>103</v>
      </c>
      <c r="C529" s="45" t="s">
        <v>157</v>
      </c>
      <c r="D529" s="44">
        <v>9</v>
      </c>
      <c r="E529" s="43">
        <v>1.1995201919232307E-3</v>
      </c>
    </row>
    <row r="530" spans="2:5" ht="15" customHeight="1" x14ac:dyDescent="0.25">
      <c r="B530" s="83"/>
      <c r="C530" s="45" t="s">
        <v>156</v>
      </c>
      <c r="D530" s="44">
        <v>5</v>
      </c>
      <c r="E530" s="43">
        <v>6.6640010662401706E-4</v>
      </c>
    </row>
    <row r="531" spans="2:5" ht="15" customHeight="1" x14ac:dyDescent="0.25">
      <c r="B531" s="83"/>
      <c r="C531" s="45" t="s">
        <v>155</v>
      </c>
      <c r="D531" s="44">
        <v>10</v>
      </c>
      <c r="E531" s="43">
        <v>1.3328002132480341E-3</v>
      </c>
    </row>
    <row r="532" spans="2:5" ht="15" customHeight="1" x14ac:dyDescent="0.25">
      <c r="B532" s="83"/>
      <c r="C532" s="45" t="s">
        <v>154</v>
      </c>
      <c r="D532" s="44">
        <v>10</v>
      </c>
      <c r="E532" s="43">
        <v>1.3328002132480341E-3</v>
      </c>
    </row>
    <row r="533" spans="2:5" ht="15" customHeight="1" x14ac:dyDescent="0.25">
      <c r="B533" s="83"/>
      <c r="C533" s="45" t="s">
        <v>153</v>
      </c>
      <c r="D533" s="44">
        <v>7</v>
      </c>
      <c r="E533" s="43">
        <v>9.3296014927362388E-4</v>
      </c>
    </row>
    <row r="534" spans="2:5" ht="15" customHeight="1" x14ac:dyDescent="0.25">
      <c r="B534" s="83"/>
      <c r="C534" s="45" t="s">
        <v>152</v>
      </c>
      <c r="D534" s="44">
        <v>18</v>
      </c>
      <c r="E534" s="43">
        <v>2.3990403838464614E-3</v>
      </c>
    </row>
    <row r="535" spans="2:5" ht="15" customHeight="1" x14ac:dyDescent="0.25">
      <c r="B535" s="83"/>
      <c r="C535" s="45" t="s">
        <v>151</v>
      </c>
      <c r="D535" s="44">
        <v>91</v>
      </c>
      <c r="E535" s="43">
        <v>1.2128481940557111E-2</v>
      </c>
    </row>
    <row r="536" spans="2:5" ht="15" customHeight="1" x14ac:dyDescent="0.25">
      <c r="B536" s="83"/>
      <c r="C536" s="45" t="s">
        <v>150</v>
      </c>
      <c r="D536" s="44">
        <v>62</v>
      </c>
      <c r="E536" s="43">
        <v>8.2633613221378115E-3</v>
      </c>
    </row>
    <row r="537" spans="2:5" ht="15" customHeight="1" x14ac:dyDescent="0.25">
      <c r="B537" s="83"/>
      <c r="C537" s="45" t="s">
        <v>149</v>
      </c>
      <c r="D537" s="44">
        <v>14</v>
      </c>
      <c r="E537" s="43">
        <v>1.8659202985472478E-3</v>
      </c>
    </row>
    <row r="538" spans="2:5" ht="15" customHeight="1" x14ac:dyDescent="0.25">
      <c r="B538" s="83"/>
      <c r="C538" s="45" t="s">
        <v>148</v>
      </c>
      <c r="D538" s="44">
        <v>25</v>
      </c>
      <c r="E538" s="43">
        <v>3.3320005331200853E-3</v>
      </c>
    </row>
    <row r="539" spans="2:5" ht="15" customHeight="1" x14ac:dyDescent="0.25">
      <c r="B539" s="83"/>
      <c r="C539" s="45" t="s">
        <v>147</v>
      </c>
      <c r="D539" s="44">
        <v>47</v>
      </c>
      <c r="E539" s="43">
        <v>6.2641610022657604E-3</v>
      </c>
    </row>
    <row r="540" spans="2:5" ht="15" customHeight="1" x14ac:dyDescent="0.25">
      <c r="B540" s="83"/>
      <c r="C540" s="45" t="s">
        <v>146</v>
      </c>
      <c r="D540" s="44">
        <v>200</v>
      </c>
      <c r="E540" s="43">
        <v>2.6656004264960682E-2</v>
      </c>
    </row>
    <row r="541" spans="2:5" ht="15" customHeight="1" x14ac:dyDescent="0.25">
      <c r="B541" s="83"/>
      <c r="C541" s="45" t="s">
        <v>145</v>
      </c>
      <c r="D541" s="44">
        <v>17</v>
      </c>
      <c r="E541" s="43">
        <v>2.265760362521658E-3</v>
      </c>
    </row>
    <row r="542" spans="2:5" ht="15" customHeight="1" x14ac:dyDescent="0.25">
      <c r="B542" s="83"/>
      <c r="C542" s="45" t="s">
        <v>144</v>
      </c>
      <c r="D542" s="44">
        <v>72</v>
      </c>
      <c r="E542" s="43">
        <v>9.5961615353858457E-3</v>
      </c>
    </row>
    <row r="543" spans="2:5" ht="15" customHeight="1" x14ac:dyDescent="0.25">
      <c r="B543" s="83"/>
      <c r="C543" s="45" t="s">
        <v>143</v>
      </c>
      <c r="D543" s="44">
        <v>235</v>
      </c>
      <c r="E543" s="43">
        <v>3.1320805011328799E-2</v>
      </c>
    </row>
    <row r="544" spans="2:5" ht="15" customHeight="1" x14ac:dyDescent="0.25">
      <c r="B544" s="83"/>
      <c r="C544" s="45" t="s">
        <v>142</v>
      </c>
      <c r="D544" s="44">
        <v>4</v>
      </c>
      <c r="E544" s="43">
        <v>5.3312008529921365E-4</v>
      </c>
    </row>
    <row r="545" spans="2:5" ht="15" customHeight="1" x14ac:dyDescent="0.25">
      <c r="B545" s="83"/>
      <c r="C545" s="45" t="s">
        <v>141</v>
      </c>
      <c r="D545" s="44">
        <v>5</v>
      </c>
      <c r="E545" s="43">
        <v>6.6640010662401706E-4</v>
      </c>
    </row>
    <row r="546" spans="2:5" ht="15" customHeight="1" x14ac:dyDescent="0.25">
      <c r="B546" s="83"/>
      <c r="C546" s="45" t="s">
        <v>140</v>
      </c>
      <c r="D546" s="44">
        <v>2</v>
      </c>
      <c r="E546" s="43">
        <v>2.6656004264960682E-4</v>
      </c>
    </row>
    <row r="547" spans="2:5" ht="15" customHeight="1" x14ac:dyDescent="0.25">
      <c r="B547" s="83"/>
      <c r="C547" s="45" t="s">
        <v>139</v>
      </c>
      <c r="D547" s="44">
        <v>1</v>
      </c>
      <c r="E547" s="43">
        <v>1.3328002132480341E-4</v>
      </c>
    </row>
    <row r="548" spans="2:5" ht="15" customHeight="1" x14ac:dyDescent="0.25">
      <c r="B548" s="83"/>
      <c r="C548" s="45" t="s">
        <v>138</v>
      </c>
      <c r="D548" s="44">
        <v>14</v>
      </c>
      <c r="E548" s="43">
        <v>1.8659202985472478E-3</v>
      </c>
    </row>
    <row r="549" spans="2:5" ht="15" customHeight="1" x14ac:dyDescent="0.25">
      <c r="B549" s="83"/>
      <c r="C549" s="45" t="s">
        <v>137</v>
      </c>
      <c r="D549" s="44">
        <v>54</v>
      </c>
      <c r="E549" s="43">
        <v>7.1971211515393842E-3</v>
      </c>
    </row>
    <row r="550" spans="2:5" ht="15" customHeight="1" x14ac:dyDescent="0.25">
      <c r="B550" s="83"/>
      <c r="C550" s="45" t="s">
        <v>162</v>
      </c>
      <c r="D550" s="44">
        <v>6</v>
      </c>
      <c r="E550" s="43">
        <v>7.9968012794882047E-4</v>
      </c>
    </row>
    <row r="551" spans="2:5" ht="15" customHeight="1" x14ac:dyDescent="0.25">
      <c r="B551" s="83"/>
      <c r="C551" s="45" t="s">
        <v>135</v>
      </c>
      <c r="D551" s="44">
        <v>1</v>
      </c>
      <c r="E551" s="43">
        <v>1.3328002132480341E-4</v>
      </c>
    </row>
    <row r="552" spans="2:5" ht="15" customHeight="1" x14ac:dyDescent="0.25">
      <c r="B552" s="84"/>
      <c r="C552" s="42" t="s">
        <v>20</v>
      </c>
      <c r="D552" s="41">
        <v>909</v>
      </c>
      <c r="E552" s="40">
        <v>0.1211515393842463</v>
      </c>
    </row>
    <row r="553" spans="2:5" ht="15" customHeight="1" x14ac:dyDescent="0.25">
      <c r="B553" s="82" t="s">
        <v>87</v>
      </c>
      <c r="C553" s="45" t="s">
        <v>157</v>
      </c>
      <c r="D553" s="44">
        <v>2</v>
      </c>
      <c r="E553" s="43">
        <v>2.6656004264960682E-4</v>
      </c>
    </row>
    <row r="554" spans="2:5" ht="15" customHeight="1" x14ac:dyDescent="0.25">
      <c r="B554" s="83"/>
      <c r="C554" s="45" t="s">
        <v>155</v>
      </c>
      <c r="D554" s="44">
        <v>2</v>
      </c>
      <c r="E554" s="43">
        <v>2.6656004264960682E-4</v>
      </c>
    </row>
    <row r="555" spans="2:5" ht="15" customHeight="1" x14ac:dyDescent="0.25">
      <c r="B555" s="83"/>
      <c r="C555" s="45" t="s">
        <v>154</v>
      </c>
      <c r="D555" s="44">
        <v>2</v>
      </c>
      <c r="E555" s="43">
        <v>2.6656004264960682E-4</v>
      </c>
    </row>
    <row r="556" spans="2:5" ht="15" customHeight="1" x14ac:dyDescent="0.25">
      <c r="B556" s="83"/>
      <c r="C556" s="45" t="s">
        <v>152</v>
      </c>
      <c r="D556" s="44">
        <v>2</v>
      </c>
      <c r="E556" s="43">
        <v>2.6656004264960682E-4</v>
      </c>
    </row>
    <row r="557" spans="2:5" ht="15" customHeight="1" x14ac:dyDescent="0.25">
      <c r="B557" s="83"/>
      <c r="C557" s="45" t="s">
        <v>151</v>
      </c>
      <c r="D557" s="44">
        <v>10</v>
      </c>
      <c r="E557" s="43">
        <v>1.3328002132480341E-3</v>
      </c>
    </row>
    <row r="558" spans="2:5" ht="15" customHeight="1" x14ac:dyDescent="0.25">
      <c r="B558" s="83"/>
      <c r="C558" s="45" t="s">
        <v>150</v>
      </c>
      <c r="D558" s="44">
        <v>36</v>
      </c>
      <c r="E558" s="43">
        <v>4.7980807676929228E-3</v>
      </c>
    </row>
    <row r="559" spans="2:5" ht="15" customHeight="1" x14ac:dyDescent="0.25">
      <c r="B559" s="83"/>
      <c r="C559" s="45" t="s">
        <v>149</v>
      </c>
      <c r="D559" s="44">
        <v>4</v>
      </c>
      <c r="E559" s="43">
        <v>5.3312008529921365E-4</v>
      </c>
    </row>
    <row r="560" spans="2:5" ht="15" customHeight="1" x14ac:dyDescent="0.25">
      <c r="B560" s="83"/>
      <c r="C560" s="45" t="s">
        <v>148</v>
      </c>
      <c r="D560" s="44">
        <v>7</v>
      </c>
      <c r="E560" s="43">
        <v>9.3296014927362388E-4</v>
      </c>
    </row>
    <row r="561" spans="2:5" ht="15" customHeight="1" x14ac:dyDescent="0.25">
      <c r="B561" s="83"/>
      <c r="C561" s="45" t="s">
        <v>147</v>
      </c>
      <c r="D561" s="44">
        <v>2</v>
      </c>
      <c r="E561" s="43">
        <v>2.6656004264960682E-4</v>
      </c>
    </row>
    <row r="562" spans="2:5" ht="15" customHeight="1" x14ac:dyDescent="0.25">
      <c r="B562" s="83"/>
      <c r="C562" s="45" t="s">
        <v>146</v>
      </c>
      <c r="D562" s="44">
        <v>70</v>
      </c>
      <c r="E562" s="43">
        <v>9.3296014927362388E-3</v>
      </c>
    </row>
    <row r="563" spans="2:5" ht="15" customHeight="1" x14ac:dyDescent="0.25">
      <c r="B563" s="83"/>
      <c r="C563" s="45" t="s">
        <v>145</v>
      </c>
      <c r="D563" s="44">
        <v>8</v>
      </c>
      <c r="E563" s="43">
        <v>1.0662401705984273E-3</v>
      </c>
    </row>
    <row r="564" spans="2:5" ht="15" customHeight="1" x14ac:dyDescent="0.25">
      <c r="B564" s="83"/>
      <c r="C564" s="45" t="s">
        <v>144</v>
      </c>
      <c r="D564" s="44">
        <v>26</v>
      </c>
      <c r="E564" s="43">
        <v>3.4652805544448887E-3</v>
      </c>
    </row>
    <row r="565" spans="2:5" ht="15" customHeight="1" x14ac:dyDescent="0.25">
      <c r="B565" s="83"/>
      <c r="C565" s="45" t="s">
        <v>143</v>
      </c>
      <c r="D565" s="44">
        <v>71</v>
      </c>
      <c r="E565" s="43">
        <v>9.4628815140610431E-3</v>
      </c>
    </row>
    <row r="566" spans="2:5" ht="15" customHeight="1" x14ac:dyDescent="0.25">
      <c r="B566" s="83"/>
      <c r="C566" s="45" t="s">
        <v>142</v>
      </c>
      <c r="D566" s="44">
        <v>1</v>
      </c>
      <c r="E566" s="43">
        <v>1.3328002132480341E-4</v>
      </c>
    </row>
    <row r="567" spans="2:5" ht="15" customHeight="1" x14ac:dyDescent="0.25">
      <c r="B567" s="83"/>
      <c r="C567" s="45" t="s">
        <v>141</v>
      </c>
      <c r="D567" s="44">
        <v>5</v>
      </c>
      <c r="E567" s="43">
        <v>6.6640010662401706E-4</v>
      </c>
    </row>
    <row r="568" spans="2:5" ht="15" customHeight="1" x14ac:dyDescent="0.25">
      <c r="B568" s="83"/>
      <c r="C568" s="45" t="s">
        <v>140</v>
      </c>
      <c r="D568" s="44">
        <v>2</v>
      </c>
      <c r="E568" s="43">
        <v>2.6656004264960682E-4</v>
      </c>
    </row>
    <row r="569" spans="2:5" ht="15" customHeight="1" x14ac:dyDescent="0.25">
      <c r="B569" s="83"/>
      <c r="C569" s="45" t="s">
        <v>139</v>
      </c>
      <c r="D569" s="44">
        <v>1</v>
      </c>
      <c r="E569" s="43">
        <v>1.3328002132480341E-4</v>
      </c>
    </row>
    <row r="570" spans="2:5" ht="15" customHeight="1" x14ac:dyDescent="0.25">
      <c r="B570" s="83"/>
      <c r="C570" s="45" t="s">
        <v>138</v>
      </c>
      <c r="D570" s="44">
        <v>7</v>
      </c>
      <c r="E570" s="43">
        <v>9.3296014927362388E-4</v>
      </c>
    </row>
    <row r="571" spans="2:5" ht="15" customHeight="1" x14ac:dyDescent="0.25">
      <c r="B571" s="83"/>
      <c r="C571" s="45" t="s">
        <v>137</v>
      </c>
      <c r="D571" s="44">
        <v>25</v>
      </c>
      <c r="E571" s="43">
        <v>3.3320005331200853E-3</v>
      </c>
    </row>
    <row r="572" spans="2:5" ht="15" customHeight="1" x14ac:dyDescent="0.25">
      <c r="B572" s="84"/>
      <c r="C572" s="42" t="s">
        <v>20</v>
      </c>
      <c r="D572" s="41">
        <v>283</v>
      </c>
      <c r="E572" s="40">
        <v>3.7718246034919363E-2</v>
      </c>
    </row>
    <row r="573" spans="2:5" ht="15" customHeight="1" x14ac:dyDescent="0.25">
      <c r="B573" s="82" t="s">
        <v>100</v>
      </c>
      <c r="C573" s="45" t="s">
        <v>157</v>
      </c>
      <c r="D573" s="44">
        <v>4</v>
      </c>
      <c r="E573" s="43">
        <v>5.3312008529921365E-4</v>
      </c>
    </row>
    <row r="574" spans="2:5" ht="15" customHeight="1" x14ac:dyDescent="0.25">
      <c r="B574" s="83"/>
      <c r="C574" s="45" t="s">
        <v>156</v>
      </c>
      <c r="D574" s="44">
        <v>2</v>
      </c>
      <c r="E574" s="43">
        <v>2.6656004264960682E-4</v>
      </c>
    </row>
    <row r="575" spans="2:5" ht="15" customHeight="1" x14ac:dyDescent="0.25">
      <c r="B575" s="83"/>
      <c r="C575" s="45" t="s">
        <v>155</v>
      </c>
      <c r="D575" s="44">
        <v>1</v>
      </c>
      <c r="E575" s="43">
        <v>1.3328002132480341E-4</v>
      </c>
    </row>
    <row r="576" spans="2:5" ht="15" customHeight="1" x14ac:dyDescent="0.25">
      <c r="B576" s="83"/>
      <c r="C576" s="45" t="s">
        <v>154</v>
      </c>
      <c r="D576" s="44">
        <v>3</v>
      </c>
      <c r="E576" s="43">
        <v>3.9984006397441024E-4</v>
      </c>
    </row>
    <row r="577" spans="2:5" ht="15" customHeight="1" x14ac:dyDescent="0.25">
      <c r="B577" s="83"/>
      <c r="C577" s="45" t="s">
        <v>153</v>
      </c>
      <c r="D577" s="44">
        <v>3</v>
      </c>
      <c r="E577" s="43">
        <v>3.9984006397441024E-4</v>
      </c>
    </row>
    <row r="578" spans="2:5" ht="15" customHeight="1" x14ac:dyDescent="0.25">
      <c r="B578" s="83"/>
      <c r="C578" s="45" t="s">
        <v>152</v>
      </c>
      <c r="D578" s="44">
        <v>3</v>
      </c>
      <c r="E578" s="43">
        <v>3.9984006397441024E-4</v>
      </c>
    </row>
    <row r="579" spans="2:5" ht="15" customHeight="1" x14ac:dyDescent="0.25">
      <c r="B579" s="83"/>
      <c r="C579" s="45" t="s">
        <v>151</v>
      </c>
      <c r="D579" s="44">
        <v>31</v>
      </c>
      <c r="E579" s="43">
        <v>4.1316806610689058E-3</v>
      </c>
    </row>
    <row r="580" spans="2:5" ht="15" customHeight="1" x14ac:dyDescent="0.25">
      <c r="B580" s="83"/>
      <c r="C580" s="45" t="s">
        <v>150</v>
      </c>
      <c r="D580" s="44">
        <v>26</v>
      </c>
      <c r="E580" s="43">
        <v>3.4652805544448887E-3</v>
      </c>
    </row>
    <row r="581" spans="2:5" ht="15" customHeight="1" x14ac:dyDescent="0.25">
      <c r="B581" s="83"/>
      <c r="C581" s="45" t="s">
        <v>149</v>
      </c>
      <c r="D581" s="44">
        <v>5</v>
      </c>
      <c r="E581" s="43">
        <v>6.6640010662401706E-4</v>
      </c>
    </row>
    <row r="582" spans="2:5" ht="15" customHeight="1" x14ac:dyDescent="0.25">
      <c r="B582" s="83"/>
      <c r="C582" s="45" t="s">
        <v>148</v>
      </c>
      <c r="D582" s="44">
        <v>7</v>
      </c>
      <c r="E582" s="43">
        <v>9.3296014927362388E-4</v>
      </c>
    </row>
    <row r="583" spans="2:5" ht="15" customHeight="1" x14ac:dyDescent="0.25">
      <c r="B583" s="83"/>
      <c r="C583" s="45" t="s">
        <v>147</v>
      </c>
      <c r="D583" s="44">
        <v>6</v>
      </c>
      <c r="E583" s="43">
        <v>7.9968012794882047E-4</v>
      </c>
    </row>
    <row r="584" spans="2:5" ht="15" customHeight="1" x14ac:dyDescent="0.25">
      <c r="B584" s="83"/>
      <c r="C584" s="45" t="s">
        <v>146</v>
      </c>
      <c r="D584" s="44">
        <v>116</v>
      </c>
      <c r="E584" s="43">
        <v>1.5460482473677196E-2</v>
      </c>
    </row>
    <row r="585" spans="2:5" ht="15" customHeight="1" x14ac:dyDescent="0.25">
      <c r="B585" s="83"/>
      <c r="C585" s="45" t="s">
        <v>145</v>
      </c>
      <c r="D585" s="44">
        <v>11</v>
      </c>
      <c r="E585" s="43">
        <v>1.4660802345728375E-3</v>
      </c>
    </row>
    <row r="586" spans="2:5" ht="15" customHeight="1" x14ac:dyDescent="0.25">
      <c r="B586" s="83"/>
      <c r="C586" s="45" t="s">
        <v>144</v>
      </c>
      <c r="D586" s="44">
        <v>26</v>
      </c>
      <c r="E586" s="43">
        <v>3.4652805544448887E-3</v>
      </c>
    </row>
    <row r="587" spans="2:5" ht="15" customHeight="1" x14ac:dyDescent="0.25">
      <c r="B587" s="83"/>
      <c r="C587" s="45" t="s">
        <v>143</v>
      </c>
      <c r="D587" s="44">
        <v>53</v>
      </c>
      <c r="E587" s="43">
        <v>7.0638411302145808E-3</v>
      </c>
    </row>
    <row r="588" spans="2:5" ht="15" customHeight="1" x14ac:dyDescent="0.25">
      <c r="B588" s="83"/>
      <c r="C588" s="45" t="s">
        <v>141</v>
      </c>
      <c r="D588" s="44">
        <v>1</v>
      </c>
      <c r="E588" s="43">
        <v>1.3328002132480341E-4</v>
      </c>
    </row>
    <row r="589" spans="2:5" ht="15" customHeight="1" x14ac:dyDescent="0.25">
      <c r="B589" s="83"/>
      <c r="C589" s="45" t="s">
        <v>138</v>
      </c>
      <c r="D589" s="44">
        <v>8</v>
      </c>
      <c r="E589" s="43">
        <v>1.0662401705984273E-3</v>
      </c>
    </row>
    <row r="590" spans="2:5" ht="15" customHeight="1" x14ac:dyDescent="0.25">
      <c r="B590" s="83"/>
      <c r="C590" s="45" t="s">
        <v>137</v>
      </c>
      <c r="D590" s="44">
        <v>15</v>
      </c>
      <c r="E590" s="43">
        <v>1.9992003198720512E-3</v>
      </c>
    </row>
    <row r="591" spans="2:5" ht="15" customHeight="1" x14ac:dyDescent="0.25">
      <c r="B591" s="83"/>
      <c r="C591" s="45" t="s">
        <v>162</v>
      </c>
      <c r="D591" s="44">
        <v>1</v>
      </c>
      <c r="E591" s="43">
        <v>1.3328002132480341E-4</v>
      </c>
    </row>
    <row r="592" spans="2:5" ht="15" customHeight="1" x14ac:dyDescent="0.25">
      <c r="B592" s="83"/>
      <c r="C592" s="45" t="s">
        <v>135</v>
      </c>
      <c r="D592" s="44">
        <v>1</v>
      </c>
      <c r="E592" s="43">
        <v>1.3328002132480341E-4</v>
      </c>
    </row>
    <row r="593" spans="2:5" ht="15" customHeight="1" x14ac:dyDescent="0.25">
      <c r="B593" s="84"/>
      <c r="C593" s="42" t="s">
        <v>20</v>
      </c>
      <c r="D593" s="41">
        <v>323</v>
      </c>
      <c r="E593" s="40">
        <v>4.3049446887911499E-2</v>
      </c>
    </row>
    <row r="594" spans="2:5" ht="15" customHeight="1" x14ac:dyDescent="0.25">
      <c r="B594" s="82" t="s">
        <v>161</v>
      </c>
      <c r="C594" s="45" t="s">
        <v>157</v>
      </c>
      <c r="D594" s="44">
        <v>3</v>
      </c>
      <c r="E594" s="43">
        <v>3.9984006397441024E-4</v>
      </c>
    </row>
    <row r="595" spans="2:5" ht="15" customHeight="1" x14ac:dyDescent="0.25">
      <c r="B595" s="83"/>
      <c r="C595" s="45" t="s">
        <v>156</v>
      </c>
      <c r="D595" s="44">
        <v>4</v>
      </c>
      <c r="E595" s="43">
        <v>5.3312008529921365E-4</v>
      </c>
    </row>
    <row r="596" spans="2:5" ht="15" customHeight="1" x14ac:dyDescent="0.25">
      <c r="B596" s="83"/>
      <c r="C596" s="45" t="s">
        <v>155</v>
      </c>
      <c r="D596" s="44">
        <v>2</v>
      </c>
      <c r="E596" s="43">
        <v>2.6656004264960682E-4</v>
      </c>
    </row>
    <row r="597" spans="2:5" ht="15" customHeight="1" x14ac:dyDescent="0.25">
      <c r="B597" s="83"/>
      <c r="C597" s="45" t="s">
        <v>154</v>
      </c>
      <c r="D597" s="44">
        <v>3</v>
      </c>
      <c r="E597" s="43">
        <v>3.9984006397441024E-4</v>
      </c>
    </row>
    <row r="598" spans="2:5" ht="15" customHeight="1" x14ac:dyDescent="0.25">
      <c r="B598" s="83"/>
      <c r="C598" s="45" t="s">
        <v>153</v>
      </c>
      <c r="D598" s="44">
        <v>5</v>
      </c>
      <c r="E598" s="43">
        <v>6.6640010662401706E-4</v>
      </c>
    </row>
    <row r="599" spans="2:5" ht="15" customHeight="1" x14ac:dyDescent="0.25">
      <c r="B599" s="83"/>
      <c r="C599" s="45" t="s">
        <v>152</v>
      </c>
      <c r="D599" s="44">
        <v>9</v>
      </c>
      <c r="E599" s="43">
        <v>1.1995201919232307E-3</v>
      </c>
    </row>
    <row r="600" spans="2:5" ht="15" customHeight="1" x14ac:dyDescent="0.25">
      <c r="B600" s="83"/>
      <c r="C600" s="45" t="s">
        <v>151</v>
      </c>
      <c r="D600" s="44">
        <v>26</v>
      </c>
      <c r="E600" s="43">
        <v>3.4652805544448887E-3</v>
      </c>
    </row>
    <row r="601" spans="2:5" ht="15" customHeight="1" x14ac:dyDescent="0.25">
      <c r="B601" s="83"/>
      <c r="C601" s="45" t="s">
        <v>150</v>
      </c>
      <c r="D601" s="44">
        <v>18</v>
      </c>
      <c r="E601" s="43">
        <v>2.3990403838464614E-3</v>
      </c>
    </row>
    <row r="602" spans="2:5" ht="15" customHeight="1" x14ac:dyDescent="0.25">
      <c r="B602" s="83"/>
      <c r="C602" s="45" t="s">
        <v>149</v>
      </c>
      <c r="D602" s="44">
        <v>5</v>
      </c>
      <c r="E602" s="43">
        <v>6.6640010662401706E-4</v>
      </c>
    </row>
    <row r="603" spans="2:5" ht="15" customHeight="1" x14ac:dyDescent="0.25">
      <c r="B603" s="83"/>
      <c r="C603" s="45" t="s">
        <v>148</v>
      </c>
      <c r="D603" s="44">
        <v>15</v>
      </c>
      <c r="E603" s="43">
        <v>1.9992003198720512E-3</v>
      </c>
    </row>
    <row r="604" spans="2:5" ht="15" customHeight="1" x14ac:dyDescent="0.25">
      <c r="B604" s="83"/>
      <c r="C604" s="45" t="s">
        <v>147</v>
      </c>
      <c r="D604" s="44">
        <v>6</v>
      </c>
      <c r="E604" s="43">
        <v>7.9968012794882047E-4</v>
      </c>
    </row>
    <row r="605" spans="2:5" ht="15" customHeight="1" x14ac:dyDescent="0.25">
      <c r="B605" s="83"/>
      <c r="C605" s="45" t="s">
        <v>146</v>
      </c>
      <c r="D605" s="44">
        <v>75</v>
      </c>
      <c r="E605" s="43">
        <v>9.9960015993602568E-3</v>
      </c>
    </row>
    <row r="606" spans="2:5" ht="15" customHeight="1" x14ac:dyDescent="0.25">
      <c r="B606" s="83"/>
      <c r="C606" s="45" t="s">
        <v>145</v>
      </c>
      <c r="D606" s="44">
        <v>4</v>
      </c>
      <c r="E606" s="43">
        <v>5.3312008529921365E-4</v>
      </c>
    </row>
    <row r="607" spans="2:5" ht="15" customHeight="1" x14ac:dyDescent="0.25">
      <c r="B607" s="83"/>
      <c r="C607" s="45" t="s">
        <v>144</v>
      </c>
      <c r="D607" s="44">
        <v>23</v>
      </c>
      <c r="E607" s="43">
        <v>3.0654404904704785E-3</v>
      </c>
    </row>
    <row r="608" spans="2:5" ht="15" customHeight="1" x14ac:dyDescent="0.25">
      <c r="B608" s="83"/>
      <c r="C608" s="45" t="s">
        <v>143</v>
      </c>
      <c r="D608" s="44">
        <v>61</v>
      </c>
      <c r="E608" s="43">
        <v>8.130081300813009E-3</v>
      </c>
    </row>
    <row r="609" spans="2:5" ht="15" customHeight="1" x14ac:dyDescent="0.25">
      <c r="B609" s="83"/>
      <c r="C609" s="45" t="s">
        <v>142</v>
      </c>
      <c r="D609" s="44">
        <v>1</v>
      </c>
      <c r="E609" s="43">
        <v>1.3328002132480341E-4</v>
      </c>
    </row>
    <row r="610" spans="2:5" ht="15" customHeight="1" x14ac:dyDescent="0.25">
      <c r="B610" s="83"/>
      <c r="C610" s="45" t="s">
        <v>141</v>
      </c>
      <c r="D610" s="44">
        <v>1</v>
      </c>
      <c r="E610" s="43">
        <v>1.3328002132480341E-4</v>
      </c>
    </row>
    <row r="611" spans="2:5" ht="15" customHeight="1" x14ac:dyDescent="0.25">
      <c r="B611" s="83"/>
      <c r="C611" s="45" t="s">
        <v>139</v>
      </c>
      <c r="D611" s="44">
        <v>1</v>
      </c>
      <c r="E611" s="43">
        <v>1.3328002132480341E-4</v>
      </c>
    </row>
    <row r="612" spans="2:5" ht="15" customHeight="1" x14ac:dyDescent="0.25">
      <c r="B612" s="83"/>
      <c r="C612" s="45" t="s">
        <v>138</v>
      </c>
      <c r="D612" s="44">
        <v>5</v>
      </c>
      <c r="E612" s="43">
        <v>6.6640010662401706E-4</v>
      </c>
    </row>
    <row r="613" spans="2:5" ht="15" customHeight="1" x14ac:dyDescent="0.25">
      <c r="B613" s="83"/>
      <c r="C613" s="45" t="s">
        <v>137</v>
      </c>
      <c r="D613" s="44">
        <v>11</v>
      </c>
      <c r="E613" s="43">
        <v>1.4660802345728375E-3</v>
      </c>
    </row>
    <row r="614" spans="2:5" ht="15" customHeight="1" x14ac:dyDescent="0.25">
      <c r="B614" s="83"/>
      <c r="C614" s="45" t="s">
        <v>135</v>
      </c>
      <c r="D614" s="44">
        <v>1</v>
      </c>
      <c r="E614" s="43">
        <v>1.3328002132480341E-4</v>
      </c>
    </row>
    <row r="615" spans="2:5" ht="15" customHeight="1" x14ac:dyDescent="0.25">
      <c r="B615" s="84"/>
      <c r="C615" s="42" t="s">
        <v>20</v>
      </c>
      <c r="D615" s="41">
        <v>279</v>
      </c>
      <c r="E615" s="40">
        <v>3.7185125949620153E-2</v>
      </c>
    </row>
    <row r="616" spans="2:5" ht="15" customHeight="1" x14ac:dyDescent="0.25">
      <c r="B616" s="82" t="s">
        <v>102</v>
      </c>
      <c r="C616" s="45" t="s">
        <v>157</v>
      </c>
      <c r="D616" s="44">
        <v>2</v>
      </c>
      <c r="E616" s="43">
        <v>2.6656004264960682E-4</v>
      </c>
    </row>
    <row r="617" spans="2:5" ht="15" customHeight="1" x14ac:dyDescent="0.25">
      <c r="B617" s="83"/>
      <c r="C617" s="45" t="s">
        <v>156</v>
      </c>
      <c r="D617" s="44">
        <v>1</v>
      </c>
      <c r="E617" s="43">
        <v>1.3328002132480341E-4</v>
      </c>
    </row>
    <row r="618" spans="2:5" ht="15" customHeight="1" x14ac:dyDescent="0.25">
      <c r="B618" s="83"/>
      <c r="C618" s="45" t="s">
        <v>154</v>
      </c>
      <c r="D618" s="44">
        <v>4</v>
      </c>
      <c r="E618" s="43">
        <v>5.3312008529921365E-4</v>
      </c>
    </row>
    <row r="619" spans="2:5" ht="15" customHeight="1" x14ac:dyDescent="0.25">
      <c r="B619" s="83"/>
      <c r="C619" s="45" t="s">
        <v>153</v>
      </c>
      <c r="D619" s="44">
        <v>2</v>
      </c>
      <c r="E619" s="43">
        <v>2.6656004264960682E-4</v>
      </c>
    </row>
    <row r="620" spans="2:5" ht="15" customHeight="1" x14ac:dyDescent="0.25">
      <c r="B620" s="83"/>
      <c r="C620" s="45" t="s">
        <v>151</v>
      </c>
      <c r="D620" s="44">
        <v>8</v>
      </c>
      <c r="E620" s="43">
        <v>1.0662401705984273E-3</v>
      </c>
    </row>
    <row r="621" spans="2:5" ht="15" customHeight="1" x14ac:dyDescent="0.25">
      <c r="B621" s="83"/>
      <c r="C621" s="45" t="s">
        <v>150</v>
      </c>
      <c r="D621" s="44">
        <v>9</v>
      </c>
      <c r="E621" s="43">
        <v>1.1995201919232307E-3</v>
      </c>
    </row>
    <row r="622" spans="2:5" ht="15" customHeight="1" x14ac:dyDescent="0.25">
      <c r="B622" s="83"/>
      <c r="C622" s="45" t="s">
        <v>149</v>
      </c>
      <c r="D622" s="44">
        <v>4</v>
      </c>
      <c r="E622" s="43">
        <v>5.3312008529921365E-4</v>
      </c>
    </row>
    <row r="623" spans="2:5" ht="15" customHeight="1" x14ac:dyDescent="0.25">
      <c r="B623" s="83"/>
      <c r="C623" s="45" t="s">
        <v>148</v>
      </c>
      <c r="D623" s="44">
        <v>4</v>
      </c>
      <c r="E623" s="43">
        <v>5.3312008529921365E-4</v>
      </c>
    </row>
    <row r="624" spans="2:5" ht="15" customHeight="1" x14ac:dyDescent="0.25">
      <c r="B624" s="83"/>
      <c r="C624" s="45" t="s">
        <v>147</v>
      </c>
      <c r="D624" s="44">
        <v>1</v>
      </c>
      <c r="E624" s="43">
        <v>1.3328002132480341E-4</v>
      </c>
    </row>
    <row r="625" spans="2:5" ht="15" customHeight="1" x14ac:dyDescent="0.25">
      <c r="B625" s="83"/>
      <c r="C625" s="45" t="s">
        <v>146</v>
      </c>
      <c r="D625" s="44">
        <v>53</v>
      </c>
      <c r="E625" s="43">
        <v>7.0638411302145808E-3</v>
      </c>
    </row>
    <row r="626" spans="2:5" ht="15" customHeight="1" x14ac:dyDescent="0.25">
      <c r="B626" s="83"/>
      <c r="C626" s="45" t="s">
        <v>145</v>
      </c>
      <c r="D626" s="44">
        <v>6</v>
      </c>
      <c r="E626" s="43">
        <v>7.9968012794882047E-4</v>
      </c>
    </row>
    <row r="627" spans="2:5" ht="15" customHeight="1" x14ac:dyDescent="0.25">
      <c r="B627" s="83"/>
      <c r="C627" s="45" t="s">
        <v>144</v>
      </c>
      <c r="D627" s="44">
        <v>11</v>
      </c>
      <c r="E627" s="43">
        <v>1.4660802345728375E-3</v>
      </c>
    </row>
    <row r="628" spans="2:5" ht="15" customHeight="1" x14ac:dyDescent="0.25">
      <c r="B628" s="83"/>
      <c r="C628" s="45" t="s">
        <v>143</v>
      </c>
      <c r="D628" s="44">
        <v>40</v>
      </c>
      <c r="E628" s="43">
        <v>5.3312008529921365E-3</v>
      </c>
    </row>
    <row r="629" spans="2:5" ht="15" customHeight="1" x14ac:dyDescent="0.25">
      <c r="B629" s="83"/>
      <c r="C629" s="45" t="s">
        <v>142</v>
      </c>
      <c r="D629" s="44">
        <v>4</v>
      </c>
      <c r="E629" s="43">
        <v>5.3312008529921365E-4</v>
      </c>
    </row>
    <row r="630" spans="2:5" ht="15" customHeight="1" x14ac:dyDescent="0.25">
      <c r="B630" s="83"/>
      <c r="C630" s="45" t="s">
        <v>141</v>
      </c>
      <c r="D630" s="44">
        <v>3</v>
      </c>
      <c r="E630" s="43">
        <v>3.9984006397441024E-4</v>
      </c>
    </row>
    <row r="631" spans="2:5" ht="15" customHeight="1" x14ac:dyDescent="0.25">
      <c r="B631" s="83"/>
      <c r="C631" s="45" t="s">
        <v>140</v>
      </c>
      <c r="D631" s="44">
        <v>2</v>
      </c>
      <c r="E631" s="43">
        <v>2.6656004264960682E-4</v>
      </c>
    </row>
    <row r="632" spans="2:5" ht="15" customHeight="1" x14ac:dyDescent="0.25">
      <c r="B632" s="83"/>
      <c r="C632" s="45" t="s">
        <v>138</v>
      </c>
      <c r="D632" s="44">
        <v>7</v>
      </c>
      <c r="E632" s="43">
        <v>9.3296014927362388E-4</v>
      </c>
    </row>
    <row r="633" spans="2:5" ht="15" customHeight="1" x14ac:dyDescent="0.25">
      <c r="B633" s="83"/>
      <c r="C633" s="45" t="s">
        <v>137</v>
      </c>
      <c r="D633" s="44">
        <v>15</v>
      </c>
      <c r="E633" s="43">
        <v>1.9992003198720512E-3</v>
      </c>
    </row>
    <row r="634" spans="2:5" ht="15" customHeight="1" x14ac:dyDescent="0.25">
      <c r="B634" s="83"/>
      <c r="C634" s="45" t="s">
        <v>135</v>
      </c>
      <c r="D634" s="44">
        <v>2</v>
      </c>
      <c r="E634" s="43">
        <v>2.6656004264960682E-4</v>
      </c>
    </row>
    <row r="635" spans="2:5" ht="15" customHeight="1" x14ac:dyDescent="0.25">
      <c r="B635" s="84"/>
      <c r="C635" s="42" t="s">
        <v>20</v>
      </c>
      <c r="D635" s="41">
        <v>178</v>
      </c>
      <c r="E635" s="40">
        <v>2.3723843795815009E-2</v>
      </c>
    </row>
    <row r="636" spans="2:5" ht="15" customHeight="1" x14ac:dyDescent="0.25">
      <c r="B636" s="82" t="s">
        <v>80</v>
      </c>
      <c r="C636" s="45" t="s">
        <v>154</v>
      </c>
      <c r="D636" s="44">
        <v>2</v>
      </c>
      <c r="E636" s="43">
        <v>2.6656004264960682E-4</v>
      </c>
    </row>
    <row r="637" spans="2:5" ht="15" customHeight="1" x14ac:dyDescent="0.25">
      <c r="B637" s="83"/>
      <c r="C637" s="45" t="s">
        <v>151</v>
      </c>
      <c r="D637" s="44">
        <v>2</v>
      </c>
      <c r="E637" s="43">
        <v>2.6656004264960682E-4</v>
      </c>
    </row>
    <row r="638" spans="2:5" ht="15" customHeight="1" x14ac:dyDescent="0.25">
      <c r="B638" s="83"/>
      <c r="C638" s="45" t="s">
        <v>150</v>
      </c>
      <c r="D638" s="44">
        <v>5</v>
      </c>
      <c r="E638" s="43">
        <v>6.6640010662401706E-4</v>
      </c>
    </row>
    <row r="639" spans="2:5" ht="15" customHeight="1" x14ac:dyDescent="0.25">
      <c r="B639" s="83"/>
      <c r="C639" s="45" t="s">
        <v>149</v>
      </c>
      <c r="D639" s="44">
        <v>2</v>
      </c>
      <c r="E639" s="43">
        <v>2.6656004264960682E-4</v>
      </c>
    </row>
    <row r="640" spans="2:5" ht="15" customHeight="1" x14ac:dyDescent="0.25">
      <c r="B640" s="83"/>
      <c r="C640" s="45" t="s">
        <v>148</v>
      </c>
      <c r="D640" s="44">
        <v>1</v>
      </c>
      <c r="E640" s="43">
        <v>1.3328002132480341E-4</v>
      </c>
    </row>
    <row r="641" spans="2:5" ht="15" customHeight="1" x14ac:dyDescent="0.25">
      <c r="B641" s="83"/>
      <c r="C641" s="45" t="s">
        <v>146</v>
      </c>
      <c r="D641" s="44">
        <v>16</v>
      </c>
      <c r="E641" s="43">
        <v>2.1324803411968546E-3</v>
      </c>
    </row>
    <row r="642" spans="2:5" ht="15" customHeight="1" x14ac:dyDescent="0.25">
      <c r="B642" s="83"/>
      <c r="C642" s="45" t="s">
        <v>144</v>
      </c>
      <c r="D642" s="44">
        <v>10</v>
      </c>
      <c r="E642" s="43">
        <v>1.3328002132480341E-3</v>
      </c>
    </row>
    <row r="643" spans="2:5" ht="15" customHeight="1" x14ac:dyDescent="0.25">
      <c r="B643" s="83"/>
      <c r="C643" s="45" t="s">
        <v>143</v>
      </c>
      <c r="D643" s="44">
        <v>14</v>
      </c>
      <c r="E643" s="43">
        <v>1.8659202985472478E-3</v>
      </c>
    </row>
    <row r="644" spans="2:5" ht="15" customHeight="1" x14ac:dyDescent="0.25">
      <c r="B644" s="83"/>
      <c r="C644" s="45" t="s">
        <v>141</v>
      </c>
      <c r="D644" s="44">
        <v>1</v>
      </c>
      <c r="E644" s="43">
        <v>1.3328002132480341E-4</v>
      </c>
    </row>
    <row r="645" spans="2:5" ht="15" customHeight="1" x14ac:dyDescent="0.25">
      <c r="B645" s="83"/>
      <c r="C645" s="45" t="s">
        <v>139</v>
      </c>
      <c r="D645" s="44">
        <v>1</v>
      </c>
      <c r="E645" s="43">
        <v>1.3328002132480341E-4</v>
      </c>
    </row>
    <row r="646" spans="2:5" ht="15" customHeight="1" x14ac:dyDescent="0.25">
      <c r="B646" s="83"/>
      <c r="C646" s="45" t="s">
        <v>138</v>
      </c>
      <c r="D646" s="44">
        <v>1</v>
      </c>
      <c r="E646" s="43">
        <v>1.3328002132480341E-4</v>
      </c>
    </row>
    <row r="647" spans="2:5" ht="15" customHeight="1" x14ac:dyDescent="0.25">
      <c r="B647" s="83"/>
      <c r="C647" s="45" t="s">
        <v>137</v>
      </c>
      <c r="D647" s="44">
        <v>6</v>
      </c>
      <c r="E647" s="43">
        <v>7.9968012794882047E-4</v>
      </c>
    </row>
    <row r="648" spans="2:5" ht="15" customHeight="1" x14ac:dyDescent="0.25">
      <c r="B648" s="84"/>
      <c r="C648" s="42" t="s">
        <v>20</v>
      </c>
      <c r="D648" s="41">
        <v>61</v>
      </c>
      <c r="E648" s="40">
        <v>8.130081300813009E-3</v>
      </c>
    </row>
    <row r="649" spans="2:5" ht="15" customHeight="1" x14ac:dyDescent="0.25">
      <c r="B649" s="82" t="s">
        <v>71</v>
      </c>
      <c r="C649" s="45" t="s">
        <v>157</v>
      </c>
      <c r="D649" s="44">
        <v>1</v>
      </c>
      <c r="E649" s="43">
        <v>1.3328002132480341E-4</v>
      </c>
    </row>
    <row r="650" spans="2:5" ht="15" customHeight="1" x14ac:dyDescent="0.25">
      <c r="B650" s="83"/>
      <c r="C650" s="45" t="s">
        <v>155</v>
      </c>
      <c r="D650" s="44">
        <v>1</v>
      </c>
      <c r="E650" s="43">
        <v>1.3328002132480341E-4</v>
      </c>
    </row>
    <row r="651" spans="2:5" ht="15" customHeight="1" x14ac:dyDescent="0.25">
      <c r="B651" s="83"/>
      <c r="C651" s="45" t="s">
        <v>154</v>
      </c>
      <c r="D651" s="44">
        <v>1</v>
      </c>
      <c r="E651" s="43">
        <v>1.3328002132480341E-4</v>
      </c>
    </row>
    <row r="652" spans="2:5" ht="15" customHeight="1" x14ac:dyDescent="0.25">
      <c r="B652" s="83"/>
      <c r="C652" s="45" t="s">
        <v>153</v>
      </c>
      <c r="D652" s="44">
        <v>1</v>
      </c>
      <c r="E652" s="43">
        <v>1.3328002132480341E-4</v>
      </c>
    </row>
    <row r="653" spans="2:5" ht="15" customHeight="1" x14ac:dyDescent="0.25">
      <c r="B653" s="83"/>
      <c r="C653" s="45" t="s">
        <v>152</v>
      </c>
      <c r="D653" s="44">
        <v>1</v>
      </c>
      <c r="E653" s="43">
        <v>1.3328002132480341E-4</v>
      </c>
    </row>
    <row r="654" spans="2:5" ht="15" customHeight="1" x14ac:dyDescent="0.25">
      <c r="B654" s="83"/>
      <c r="C654" s="45" t="s">
        <v>151</v>
      </c>
      <c r="D654" s="44">
        <v>5</v>
      </c>
      <c r="E654" s="43">
        <v>6.6640010662401706E-4</v>
      </c>
    </row>
    <row r="655" spans="2:5" ht="15" customHeight="1" x14ac:dyDescent="0.25">
      <c r="B655" s="83"/>
      <c r="C655" s="45" t="s">
        <v>150</v>
      </c>
      <c r="D655" s="44">
        <v>11</v>
      </c>
      <c r="E655" s="43">
        <v>1.4660802345728375E-3</v>
      </c>
    </row>
    <row r="656" spans="2:5" ht="15" customHeight="1" x14ac:dyDescent="0.25">
      <c r="B656" s="83"/>
      <c r="C656" s="45" t="s">
        <v>149</v>
      </c>
      <c r="D656" s="44">
        <v>1</v>
      </c>
      <c r="E656" s="43">
        <v>1.3328002132480341E-4</v>
      </c>
    </row>
    <row r="657" spans="2:5" ht="15" customHeight="1" x14ac:dyDescent="0.25">
      <c r="B657" s="83"/>
      <c r="C657" s="45" t="s">
        <v>148</v>
      </c>
      <c r="D657" s="44">
        <v>4</v>
      </c>
      <c r="E657" s="43">
        <v>5.3312008529921365E-4</v>
      </c>
    </row>
    <row r="658" spans="2:5" ht="15" customHeight="1" x14ac:dyDescent="0.25">
      <c r="B658" s="83"/>
      <c r="C658" s="45" t="s">
        <v>147</v>
      </c>
      <c r="D658" s="44">
        <v>1</v>
      </c>
      <c r="E658" s="43">
        <v>1.3328002132480341E-4</v>
      </c>
    </row>
    <row r="659" spans="2:5" ht="15" customHeight="1" x14ac:dyDescent="0.25">
      <c r="B659" s="83"/>
      <c r="C659" s="45" t="s">
        <v>146</v>
      </c>
      <c r="D659" s="44">
        <v>28</v>
      </c>
      <c r="E659" s="43">
        <v>3.7318405970944955E-3</v>
      </c>
    </row>
    <row r="660" spans="2:5" ht="15" customHeight="1" x14ac:dyDescent="0.25">
      <c r="B660" s="83"/>
      <c r="C660" s="45" t="s">
        <v>145</v>
      </c>
      <c r="D660" s="44">
        <v>4</v>
      </c>
      <c r="E660" s="43">
        <v>5.3312008529921365E-4</v>
      </c>
    </row>
    <row r="661" spans="2:5" ht="15" customHeight="1" x14ac:dyDescent="0.25">
      <c r="B661" s="83"/>
      <c r="C661" s="45" t="s">
        <v>144</v>
      </c>
      <c r="D661" s="44">
        <v>23</v>
      </c>
      <c r="E661" s="43">
        <v>3.0654404904704785E-3</v>
      </c>
    </row>
    <row r="662" spans="2:5" ht="15" customHeight="1" x14ac:dyDescent="0.25">
      <c r="B662" s="83"/>
      <c r="C662" s="45" t="s">
        <v>143</v>
      </c>
      <c r="D662" s="44">
        <v>41</v>
      </c>
      <c r="E662" s="43">
        <v>5.4644808743169399E-3</v>
      </c>
    </row>
    <row r="663" spans="2:5" ht="15" customHeight="1" x14ac:dyDescent="0.25">
      <c r="B663" s="83"/>
      <c r="C663" s="45" t="s">
        <v>142</v>
      </c>
      <c r="D663" s="44">
        <v>1</v>
      </c>
      <c r="E663" s="43">
        <v>1.3328002132480341E-4</v>
      </c>
    </row>
    <row r="664" spans="2:5" ht="15" customHeight="1" x14ac:dyDescent="0.25">
      <c r="B664" s="83"/>
      <c r="C664" s="45" t="s">
        <v>141</v>
      </c>
      <c r="D664" s="44">
        <v>1</v>
      </c>
      <c r="E664" s="43">
        <v>1.3328002132480341E-4</v>
      </c>
    </row>
    <row r="665" spans="2:5" ht="15" customHeight="1" x14ac:dyDescent="0.25">
      <c r="B665" s="83"/>
      <c r="C665" s="45" t="s">
        <v>138</v>
      </c>
      <c r="D665" s="44">
        <v>3</v>
      </c>
      <c r="E665" s="43">
        <v>3.9984006397441024E-4</v>
      </c>
    </row>
    <row r="666" spans="2:5" ht="15" customHeight="1" x14ac:dyDescent="0.25">
      <c r="B666" s="83"/>
      <c r="C666" s="45" t="s">
        <v>137</v>
      </c>
      <c r="D666" s="44">
        <v>12</v>
      </c>
      <c r="E666" s="43">
        <v>1.5993602558976409E-3</v>
      </c>
    </row>
    <row r="667" spans="2:5" ht="15" customHeight="1" x14ac:dyDescent="0.25">
      <c r="B667" s="84"/>
      <c r="C667" s="42" t="s">
        <v>20</v>
      </c>
      <c r="D667" s="41">
        <v>140</v>
      </c>
      <c r="E667" s="40">
        <v>1.8659202985472478E-2</v>
      </c>
    </row>
    <row r="668" spans="2:5" ht="15" customHeight="1" x14ac:dyDescent="0.25">
      <c r="B668" s="82" t="s">
        <v>54</v>
      </c>
      <c r="C668" s="45" t="s">
        <v>156</v>
      </c>
      <c r="D668" s="44">
        <v>1</v>
      </c>
      <c r="E668" s="43">
        <v>1.3328002132480341E-4</v>
      </c>
    </row>
    <row r="669" spans="2:5" ht="15" customHeight="1" x14ac:dyDescent="0.25">
      <c r="B669" s="83"/>
      <c r="C669" s="45" t="s">
        <v>151</v>
      </c>
      <c r="D669" s="44">
        <v>1</v>
      </c>
      <c r="E669" s="43">
        <v>1.3328002132480341E-4</v>
      </c>
    </row>
    <row r="670" spans="2:5" ht="15" customHeight="1" x14ac:dyDescent="0.25">
      <c r="B670" s="83"/>
      <c r="C670" s="45" t="s">
        <v>150</v>
      </c>
      <c r="D670" s="44">
        <v>3</v>
      </c>
      <c r="E670" s="43">
        <v>3.9984006397441024E-4</v>
      </c>
    </row>
    <row r="671" spans="2:5" ht="15" customHeight="1" x14ac:dyDescent="0.25">
      <c r="B671" s="83"/>
      <c r="C671" s="45" t="s">
        <v>147</v>
      </c>
      <c r="D671" s="44">
        <v>1</v>
      </c>
      <c r="E671" s="43">
        <v>1.3328002132480341E-4</v>
      </c>
    </row>
    <row r="672" spans="2:5" ht="15" customHeight="1" x14ac:dyDescent="0.25">
      <c r="B672" s="83"/>
      <c r="C672" s="45" t="s">
        <v>146</v>
      </c>
      <c r="D672" s="44">
        <v>6</v>
      </c>
      <c r="E672" s="43">
        <v>7.9968012794882047E-4</v>
      </c>
    </row>
    <row r="673" spans="2:5" ht="15" customHeight="1" x14ac:dyDescent="0.25">
      <c r="B673" s="83"/>
      <c r="C673" s="45" t="s">
        <v>144</v>
      </c>
      <c r="D673" s="44">
        <v>3</v>
      </c>
      <c r="E673" s="43">
        <v>3.9984006397441024E-4</v>
      </c>
    </row>
    <row r="674" spans="2:5" ht="15" customHeight="1" x14ac:dyDescent="0.25">
      <c r="B674" s="83"/>
      <c r="C674" s="45" t="s">
        <v>143</v>
      </c>
      <c r="D674" s="44">
        <v>3</v>
      </c>
      <c r="E674" s="43">
        <v>3.9984006397441024E-4</v>
      </c>
    </row>
    <row r="675" spans="2:5" ht="15" customHeight="1" x14ac:dyDescent="0.25">
      <c r="B675" s="84"/>
      <c r="C675" s="42" t="s">
        <v>20</v>
      </c>
      <c r="D675" s="41">
        <v>18</v>
      </c>
      <c r="E675" s="40">
        <v>2.3990403838464614E-3</v>
      </c>
    </row>
    <row r="676" spans="2:5" ht="15" customHeight="1" x14ac:dyDescent="0.25">
      <c r="B676" s="82" t="s">
        <v>68</v>
      </c>
      <c r="C676" s="45" t="s">
        <v>156</v>
      </c>
      <c r="D676" s="44">
        <v>1</v>
      </c>
      <c r="E676" s="43">
        <v>1.3328002132480341E-4</v>
      </c>
    </row>
    <row r="677" spans="2:5" ht="15" customHeight="1" x14ac:dyDescent="0.25">
      <c r="B677" s="83"/>
      <c r="C677" s="45" t="s">
        <v>151</v>
      </c>
      <c r="D677" s="44">
        <v>2</v>
      </c>
      <c r="E677" s="43">
        <v>2.6656004264960682E-4</v>
      </c>
    </row>
    <row r="678" spans="2:5" ht="15" customHeight="1" x14ac:dyDescent="0.25">
      <c r="B678" s="83"/>
      <c r="C678" s="45" t="s">
        <v>146</v>
      </c>
      <c r="D678" s="44">
        <v>3</v>
      </c>
      <c r="E678" s="43">
        <v>3.9984006397441024E-4</v>
      </c>
    </row>
    <row r="679" spans="2:5" ht="15" customHeight="1" x14ac:dyDescent="0.25">
      <c r="B679" s="83"/>
      <c r="C679" s="45" t="s">
        <v>145</v>
      </c>
      <c r="D679" s="44">
        <v>1</v>
      </c>
      <c r="E679" s="43">
        <v>1.3328002132480341E-4</v>
      </c>
    </row>
    <row r="680" spans="2:5" ht="15" customHeight="1" x14ac:dyDescent="0.25">
      <c r="B680" s="83"/>
      <c r="C680" s="45" t="s">
        <v>144</v>
      </c>
      <c r="D680" s="44">
        <v>1</v>
      </c>
      <c r="E680" s="43">
        <v>1.3328002132480341E-4</v>
      </c>
    </row>
    <row r="681" spans="2:5" ht="15" customHeight="1" x14ac:dyDescent="0.25">
      <c r="B681" s="83"/>
      <c r="C681" s="45" t="s">
        <v>143</v>
      </c>
      <c r="D681" s="44">
        <v>3</v>
      </c>
      <c r="E681" s="43">
        <v>3.9984006397441024E-4</v>
      </c>
    </row>
    <row r="682" spans="2:5" ht="15" customHeight="1" x14ac:dyDescent="0.25">
      <c r="B682" s="83"/>
      <c r="C682" s="45" t="s">
        <v>137</v>
      </c>
      <c r="D682" s="44">
        <v>3</v>
      </c>
      <c r="E682" s="43">
        <v>3.9984006397441024E-4</v>
      </c>
    </row>
    <row r="683" spans="2:5" ht="15" customHeight="1" x14ac:dyDescent="0.25">
      <c r="B683" s="84"/>
      <c r="C683" s="42" t="s">
        <v>20</v>
      </c>
      <c r="D683" s="41">
        <v>14</v>
      </c>
      <c r="E683" s="40">
        <v>1.8659202985472478E-3</v>
      </c>
    </row>
    <row r="684" spans="2:5" ht="15" customHeight="1" x14ac:dyDescent="0.25">
      <c r="B684" s="80" t="s">
        <v>20</v>
      </c>
      <c r="C684" s="81"/>
      <c r="D684" s="39">
        <v>7503</v>
      </c>
      <c r="E684" s="38">
        <v>1</v>
      </c>
    </row>
    <row r="686" spans="2:5" ht="15" customHeight="1" x14ac:dyDescent="0.25">
      <c r="B686" s="19" t="s">
        <v>210</v>
      </c>
    </row>
    <row r="687" spans="2:5" ht="15" customHeight="1" x14ac:dyDescent="0.25">
      <c r="B687" s="21" t="s">
        <v>19</v>
      </c>
    </row>
    <row r="688" spans="2:5" ht="15" customHeight="1" x14ac:dyDescent="0.25">
      <c r="B688" s="20" t="s">
        <v>18</v>
      </c>
    </row>
    <row r="689" spans="2:2" ht="15" customHeight="1" x14ac:dyDescent="0.25">
      <c r="B689" s="19" t="s">
        <v>17</v>
      </c>
    </row>
    <row r="690" spans="2:2" ht="15" customHeight="1" x14ac:dyDescent="0.25">
      <c r="B690" s="19" t="s">
        <v>211</v>
      </c>
    </row>
  </sheetData>
  <mergeCells count="50">
    <mergeCell ref="B573:B593"/>
    <mergeCell ref="B594:B615"/>
    <mergeCell ref="B616:B635"/>
    <mergeCell ref="B636:B648"/>
    <mergeCell ref="B649:B667"/>
    <mergeCell ref="B392:B410"/>
    <mergeCell ref="B411:B432"/>
    <mergeCell ref="B433:B447"/>
    <mergeCell ref="B448:B450"/>
    <mergeCell ref="B451:B467"/>
    <mergeCell ref="B66:B70"/>
    <mergeCell ref="B71:B79"/>
    <mergeCell ref="B80:B96"/>
    <mergeCell ref="B97:B111"/>
    <mergeCell ref="B112:B130"/>
    <mergeCell ref="B10:B21"/>
    <mergeCell ref="B22:B36"/>
    <mergeCell ref="B37:B41"/>
    <mergeCell ref="B42:B59"/>
    <mergeCell ref="B60:B65"/>
    <mergeCell ref="B7:E8"/>
    <mergeCell ref="B131:B142"/>
    <mergeCell ref="B143:B145"/>
    <mergeCell ref="B146:B155"/>
    <mergeCell ref="B156:B164"/>
    <mergeCell ref="B165:B188"/>
    <mergeCell ref="B240:B259"/>
    <mergeCell ref="B260:B271"/>
    <mergeCell ref="B272:B295"/>
    <mergeCell ref="B296:B305"/>
    <mergeCell ref="B306:B318"/>
    <mergeCell ref="B319:B330"/>
    <mergeCell ref="B331:B338"/>
    <mergeCell ref="B189:B202"/>
    <mergeCell ref="B203:B214"/>
    <mergeCell ref="B215:B231"/>
    <mergeCell ref="B232:B239"/>
    <mergeCell ref="B339:B350"/>
    <mergeCell ref="B351:B358"/>
    <mergeCell ref="B359:B375"/>
    <mergeCell ref="B376:B391"/>
    <mergeCell ref="B468:B485"/>
    <mergeCell ref="B486:B498"/>
    <mergeCell ref="B499:B517"/>
    <mergeCell ref="B518:B528"/>
    <mergeCell ref="B529:B552"/>
    <mergeCell ref="B553:B572"/>
    <mergeCell ref="B668:B675"/>
    <mergeCell ref="B676:B683"/>
    <mergeCell ref="B684:C68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H19" sqref="H19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64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86" t="s">
        <v>215</v>
      </c>
      <c r="C7" s="86"/>
      <c r="D7" s="86"/>
    </row>
    <row r="8" spans="1:5" s="29" customFormat="1" ht="15" customHeight="1" x14ac:dyDescent="0.2">
      <c r="B8" s="86"/>
      <c r="C8" s="86"/>
      <c r="D8" s="86"/>
    </row>
    <row r="9" spans="1:5" s="29" customFormat="1" ht="33" customHeight="1" x14ac:dyDescent="0.2">
      <c r="B9" s="86"/>
      <c r="C9" s="86"/>
      <c r="D9" s="86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170</v>
      </c>
      <c r="C11" s="31" t="s">
        <v>62</v>
      </c>
      <c r="D11" s="30" t="s">
        <v>61</v>
      </c>
    </row>
    <row r="12" spans="1:5" x14ac:dyDescent="0.25">
      <c r="B12" s="27" t="s">
        <v>169</v>
      </c>
      <c r="C12" s="26">
        <v>3906</v>
      </c>
      <c r="D12" s="25">
        <v>0.52059176329468215</v>
      </c>
    </row>
    <row r="13" spans="1:5" x14ac:dyDescent="0.25">
      <c r="B13" s="27" t="s">
        <v>168</v>
      </c>
      <c r="C13" s="26">
        <v>3597</v>
      </c>
      <c r="D13" s="25">
        <v>0.47940823670531785</v>
      </c>
    </row>
    <row r="14" spans="1:5" x14ac:dyDescent="0.25">
      <c r="B14" s="24" t="s">
        <v>167</v>
      </c>
      <c r="C14" s="23">
        <v>7503</v>
      </c>
      <c r="D14" s="22">
        <v>1</v>
      </c>
    </row>
    <row r="15" spans="1:5" ht="15.75" x14ac:dyDescent="0.25">
      <c r="B15" s="28"/>
      <c r="C15" s="61"/>
      <c r="D15" s="61"/>
      <c r="E15" s="28"/>
    </row>
    <row r="16" spans="1:5" ht="15.75" x14ac:dyDescent="0.25">
      <c r="B16" s="19" t="s">
        <v>210</v>
      </c>
      <c r="C16" s="61"/>
      <c r="D16" s="61"/>
      <c r="E16" s="28"/>
    </row>
    <row r="17" spans="2:4" x14ac:dyDescent="0.25">
      <c r="B17" s="21" t="s">
        <v>19</v>
      </c>
      <c r="C17" s="60"/>
      <c r="D17" s="60"/>
    </row>
    <row r="18" spans="2:4" x14ac:dyDescent="0.25">
      <c r="B18" s="20" t="s">
        <v>18</v>
      </c>
      <c r="C18" s="59"/>
      <c r="D18" s="59"/>
    </row>
    <row r="19" spans="2:4" x14ac:dyDescent="0.25">
      <c r="B19" s="19" t="s">
        <v>17</v>
      </c>
    </row>
    <row r="20" spans="2:4" x14ac:dyDescent="0.25">
      <c r="B20" s="19" t="s">
        <v>211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1"/>
  <sheetViews>
    <sheetView showGridLines="0" zoomScale="89" zoomScaleNormal="89" zoomScaleSheetLayoutView="100" workbookViewId="0">
      <selection activeCell="H22" sqref="H22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4.7109375" style="50" customWidth="1"/>
    <col min="4" max="4" width="23.5703125" style="62" customWidth="1"/>
    <col min="5" max="5" width="15.140625" style="50" bestFit="1" customWidth="1"/>
    <col min="6" max="6" width="5.7109375" style="29" customWidth="1"/>
    <col min="7" max="16384" width="11.42578125" style="29"/>
  </cols>
  <sheetData>
    <row r="1" spans="1:6" s="64" customFormat="1" ht="15" x14ac:dyDescent="0.25">
      <c r="B1" s="53"/>
      <c r="C1" s="50"/>
    </row>
    <row r="2" spans="1:6" s="50" customFormat="1" x14ac:dyDescent="0.2">
      <c r="B2" s="68"/>
    </row>
    <row r="3" spans="1:6" ht="15" customHeight="1" x14ac:dyDescent="0.2">
      <c r="B3" s="69"/>
      <c r="C3" s="35"/>
      <c r="D3" s="29"/>
      <c r="F3" s="50"/>
    </row>
    <row r="4" spans="1:6" ht="30" customHeight="1" x14ac:dyDescent="0.2">
      <c r="B4" s="69"/>
      <c r="C4" s="35"/>
      <c r="D4" s="29"/>
      <c r="F4" s="50"/>
    </row>
    <row r="5" spans="1:6" ht="15" customHeight="1" x14ac:dyDescent="0.2">
      <c r="B5" s="69"/>
      <c r="C5" s="35"/>
      <c r="D5" s="29"/>
      <c r="F5" s="50"/>
    </row>
    <row r="6" spans="1:6" s="50" customFormat="1" x14ac:dyDescent="0.2">
      <c r="B6" s="57"/>
      <c r="C6" s="46"/>
    </row>
    <row r="7" spans="1:6" s="50" customFormat="1" x14ac:dyDescent="0.2">
      <c r="A7" s="53"/>
      <c r="B7" s="68"/>
      <c r="C7" s="53"/>
    </row>
    <row r="8" spans="1:6" s="64" customFormat="1" ht="15" customHeight="1" x14ac:dyDescent="0.25">
      <c r="B8" s="90" t="s">
        <v>216</v>
      </c>
      <c r="C8" s="90"/>
      <c r="D8" s="90"/>
      <c r="E8" s="90"/>
    </row>
    <row r="9" spans="1:6" s="64" customFormat="1" ht="15" customHeight="1" x14ac:dyDescent="0.25">
      <c r="A9" s="66"/>
      <c r="B9" s="90"/>
      <c r="C9" s="90"/>
      <c r="D9" s="90"/>
      <c r="E9" s="90"/>
      <c r="F9" s="67"/>
    </row>
    <row r="10" spans="1:6" s="64" customFormat="1" ht="15" customHeight="1" x14ac:dyDescent="0.25">
      <c r="A10" s="66"/>
      <c r="B10" s="91"/>
      <c r="C10" s="91"/>
      <c r="D10" s="91"/>
      <c r="E10" s="91"/>
      <c r="F10" s="66"/>
    </row>
    <row r="11" spans="1:6" s="64" customFormat="1" ht="36.950000000000003" customHeight="1" x14ac:dyDescent="0.25">
      <c r="B11" s="65" t="s">
        <v>112</v>
      </c>
      <c r="C11" s="65" t="s">
        <v>170</v>
      </c>
      <c r="D11" s="65" t="s">
        <v>62</v>
      </c>
      <c r="E11" s="65" t="s">
        <v>61</v>
      </c>
    </row>
    <row r="12" spans="1:6" ht="13.5" x14ac:dyDescent="0.2">
      <c r="B12" s="87" t="s">
        <v>75</v>
      </c>
      <c r="C12" s="63" t="s">
        <v>172</v>
      </c>
      <c r="D12" s="26">
        <v>22</v>
      </c>
      <c r="E12" s="25">
        <v>2.9321604691456751E-3</v>
      </c>
    </row>
    <row r="13" spans="1:6" ht="13.5" x14ac:dyDescent="0.2">
      <c r="B13" s="88"/>
      <c r="C13" s="63" t="s">
        <v>171</v>
      </c>
      <c r="D13" s="26">
        <v>21</v>
      </c>
      <c r="E13" s="25">
        <v>2.7988804478208716E-3</v>
      </c>
    </row>
    <row r="14" spans="1:6" ht="13.5" x14ac:dyDescent="0.2">
      <c r="B14" s="89"/>
      <c r="C14" s="92" t="s">
        <v>20</v>
      </c>
      <c r="D14" s="93">
        <v>43</v>
      </c>
      <c r="E14" s="94">
        <v>5.7310409169665467E-3</v>
      </c>
    </row>
    <row r="15" spans="1:6" ht="13.5" x14ac:dyDescent="0.2">
      <c r="B15" s="87" t="s">
        <v>107</v>
      </c>
      <c r="C15" s="63" t="s">
        <v>172</v>
      </c>
      <c r="D15" s="26">
        <v>32</v>
      </c>
      <c r="E15" s="25">
        <v>4.2649606823937092E-3</v>
      </c>
    </row>
    <row r="16" spans="1:6" ht="13.5" x14ac:dyDescent="0.2">
      <c r="B16" s="88"/>
      <c r="C16" s="63" t="s">
        <v>171</v>
      </c>
      <c r="D16" s="26">
        <v>41</v>
      </c>
      <c r="E16" s="25">
        <v>5.4644808743169399E-3</v>
      </c>
    </row>
    <row r="17" spans="2:5" ht="13.5" x14ac:dyDescent="0.2">
      <c r="B17" s="89"/>
      <c r="C17" s="92" t="s">
        <v>20</v>
      </c>
      <c r="D17" s="93">
        <v>73</v>
      </c>
      <c r="E17" s="94">
        <v>9.7294415567106499E-3</v>
      </c>
    </row>
    <row r="18" spans="2:5" ht="13.5" x14ac:dyDescent="0.2">
      <c r="B18" s="87" t="s">
        <v>97</v>
      </c>
      <c r="C18" s="63" t="s">
        <v>172</v>
      </c>
      <c r="D18" s="26">
        <v>7</v>
      </c>
      <c r="E18" s="25">
        <v>9.3296014927362388E-4</v>
      </c>
    </row>
    <row r="19" spans="2:5" ht="13.5" x14ac:dyDescent="0.2">
      <c r="B19" s="88"/>
      <c r="C19" s="63" t="s">
        <v>171</v>
      </c>
      <c r="D19" s="26">
        <v>3</v>
      </c>
      <c r="E19" s="25">
        <v>3.9984006397441024E-4</v>
      </c>
    </row>
    <row r="20" spans="2:5" ht="13.5" x14ac:dyDescent="0.2">
      <c r="B20" s="89"/>
      <c r="C20" s="92" t="s">
        <v>20</v>
      </c>
      <c r="D20" s="93">
        <v>10</v>
      </c>
      <c r="E20" s="94">
        <v>1.3328002132480341E-3</v>
      </c>
    </row>
    <row r="21" spans="2:5" ht="13.5" x14ac:dyDescent="0.2">
      <c r="B21" s="87" t="s">
        <v>73</v>
      </c>
      <c r="C21" s="63" t="s">
        <v>172</v>
      </c>
      <c r="D21" s="26">
        <v>71</v>
      </c>
      <c r="E21" s="25">
        <v>9.4628815140610431E-3</v>
      </c>
    </row>
    <row r="22" spans="2:5" ht="13.5" x14ac:dyDescent="0.2">
      <c r="B22" s="88"/>
      <c r="C22" s="63" t="s">
        <v>171</v>
      </c>
      <c r="D22" s="26">
        <v>53</v>
      </c>
      <c r="E22" s="25">
        <v>7.0638411302145808E-3</v>
      </c>
    </row>
    <row r="23" spans="2:5" ht="13.5" x14ac:dyDescent="0.2">
      <c r="B23" s="89"/>
      <c r="C23" s="92" t="s">
        <v>20</v>
      </c>
      <c r="D23" s="93">
        <v>124</v>
      </c>
      <c r="E23" s="94">
        <v>1.6526722644275623E-2</v>
      </c>
    </row>
    <row r="24" spans="2:5" ht="13.5" x14ac:dyDescent="0.2">
      <c r="B24" s="87" t="s">
        <v>69</v>
      </c>
      <c r="C24" s="63" t="s">
        <v>172</v>
      </c>
      <c r="D24" s="26">
        <v>6</v>
      </c>
      <c r="E24" s="25">
        <v>7.9968012794882047E-4</v>
      </c>
    </row>
    <row r="25" spans="2:5" ht="13.5" x14ac:dyDescent="0.2">
      <c r="B25" s="88"/>
      <c r="C25" s="63" t="s">
        <v>171</v>
      </c>
      <c r="D25" s="26">
        <v>2</v>
      </c>
      <c r="E25" s="25">
        <v>2.6656004264960682E-4</v>
      </c>
    </row>
    <row r="26" spans="2:5" ht="13.5" x14ac:dyDescent="0.2">
      <c r="B26" s="89"/>
      <c r="C26" s="92" t="s">
        <v>20</v>
      </c>
      <c r="D26" s="93">
        <v>8</v>
      </c>
      <c r="E26" s="94">
        <v>1.0662401705984273E-3</v>
      </c>
    </row>
    <row r="27" spans="2:5" ht="13.5" x14ac:dyDescent="0.2">
      <c r="B27" s="87" t="s">
        <v>74</v>
      </c>
      <c r="C27" s="63" t="s">
        <v>172</v>
      </c>
      <c r="D27" s="26">
        <v>1</v>
      </c>
      <c r="E27" s="25">
        <v>1.3328002132480341E-4</v>
      </c>
    </row>
    <row r="28" spans="2:5" ht="13.5" x14ac:dyDescent="0.2">
      <c r="B28" s="88"/>
      <c r="C28" s="63" t="s">
        <v>171</v>
      </c>
      <c r="D28" s="26">
        <v>3</v>
      </c>
      <c r="E28" s="25">
        <v>3.9984006397441024E-4</v>
      </c>
    </row>
    <row r="29" spans="2:5" ht="13.5" x14ac:dyDescent="0.2">
      <c r="B29" s="89"/>
      <c r="C29" s="92" t="s">
        <v>20</v>
      </c>
      <c r="D29" s="93">
        <v>4</v>
      </c>
      <c r="E29" s="94">
        <v>5.3312008529921365E-4</v>
      </c>
    </row>
    <row r="30" spans="2:5" ht="13.5" x14ac:dyDescent="0.2">
      <c r="B30" s="87" t="s">
        <v>166</v>
      </c>
      <c r="C30" s="63" t="s">
        <v>172</v>
      </c>
      <c r="D30" s="26">
        <v>11</v>
      </c>
      <c r="E30" s="25">
        <v>1.4660802345728375E-3</v>
      </c>
    </row>
    <row r="31" spans="2:5" ht="13.5" x14ac:dyDescent="0.2">
      <c r="B31" s="88"/>
      <c r="C31" s="63" t="s">
        <v>171</v>
      </c>
      <c r="D31" s="26">
        <v>14</v>
      </c>
      <c r="E31" s="25">
        <v>1.8659202985472478E-3</v>
      </c>
    </row>
    <row r="32" spans="2:5" ht="13.5" x14ac:dyDescent="0.2">
      <c r="B32" s="89"/>
      <c r="C32" s="92" t="s">
        <v>20</v>
      </c>
      <c r="D32" s="93">
        <v>25</v>
      </c>
      <c r="E32" s="94">
        <v>3.3320005331200853E-3</v>
      </c>
    </row>
    <row r="33" spans="2:5" ht="13.5" x14ac:dyDescent="0.2">
      <c r="B33" s="87" t="s">
        <v>110</v>
      </c>
      <c r="C33" s="63" t="s">
        <v>172</v>
      </c>
      <c r="D33" s="26">
        <v>76</v>
      </c>
      <c r="E33" s="25">
        <v>1.0129281620685059E-2</v>
      </c>
    </row>
    <row r="34" spans="2:5" ht="13.5" x14ac:dyDescent="0.2">
      <c r="B34" s="88"/>
      <c r="C34" s="63" t="s">
        <v>171</v>
      </c>
      <c r="D34" s="26">
        <v>71</v>
      </c>
      <c r="E34" s="25">
        <v>9.4628815140610431E-3</v>
      </c>
    </row>
    <row r="35" spans="2:5" ht="13.5" x14ac:dyDescent="0.2">
      <c r="B35" s="89"/>
      <c r="C35" s="92" t="s">
        <v>20</v>
      </c>
      <c r="D35" s="93">
        <v>147</v>
      </c>
      <c r="E35" s="94">
        <v>1.9592163134746102E-2</v>
      </c>
    </row>
    <row r="36" spans="2:5" ht="13.5" x14ac:dyDescent="0.2">
      <c r="B36" s="87" t="s">
        <v>108</v>
      </c>
      <c r="C36" s="63" t="s">
        <v>172</v>
      </c>
      <c r="D36" s="26">
        <v>67</v>
      </c>
      <c r="E36" s="25">
        <v>8.9297614287618295E-3</v>
      </c>
    </row>
    <row r="37" spans="2:5" ht="13.5" x14ac:dyDescent="0.2">
      <c r="B37" s="88"/>
      <c r="C37" s="63" t="s">
        <v>171</v>
      </c>
      <c r="D37" s="26">
        <v>50</v>
      </c>
      <c r="E37" s="25">
        <v>6.6640010662401706E-3</v>
      </c>
    </row>
    <row r="38" spans="2:5" ht="13.5" x14ac:dyDescent="0.2">
      <c r="B38" s="89"/>
      <c r="C38" s="92" t="s">
        <v>20</v>
      </c>
      <c r="D38" s="93">
        <v>117</v>
      </c>
      <c r="E38" s="94">
        <v>1.5593762495002E-2</v>
      </c>
    </row>
    <row r="39" spans="2:5" ht="13.5" x14ac:dyDescent="0.2">
      <c r="B39" s="87" t="s">
        <v>92</v>
      </c>
      <c r="C39" s="63" t="s">
        <v>172</v>
      </c>
      <c r="D39" s="26">
        <v>96</v>
      </c>
      <c r="E39" s="25">
        <v>1.2794882047181128E-2</v>
      </c>
    </row>
    <row r="40" spans="2:5" ht="13.5" x14ac:dyDescent="0.2">
      <c r="B40" s="88"/>
      <c r="C40" s="63" t="s">
        <v>171</v>
      </c>
      <c r="D40" s="26">
        <v>57</v>
      </c>
      <c r="E40" s="25">
        <v>7.5969612155137945E-3</v>
      </c>
    </row>
    <row r="41" spans="2:5" ht="13.5" x14ac:dyDescent="0.2">
      <c r="B41" s="89"/>
      <c r="C41" s="92" t="s">
        <v>20</v>
      </c>
      <c r="D41" s="93">
        <v>153</v>
      </c>
      <c r="E41" s="94">
        <v>2.0391843262694921E-2</v>
      </c>
    </row>
    <row r="42" spans="2:5" ht="13.5" x14ac:dyDescent="0.2">
      <c r="B42" s="87" t="s">
        <v>78</v>
      </c>
      <c r="C42" s="63" t="s">
        <v>172</v>
      </c>
      <c r="D42" s="26">
        <v>11</v>
      </c>
      <c r="E42" s="25">
        <v>1.4660802345728375E-3</v>
      </c>
    </row>
    <row r="43" spans="2:5" ht="13.5" x14ac:dyDescent="0.2">
      <c r="B43" s="88"/>
      <c r="C43" s="63" t="s">
        <v>171</v>
      </c>
      <c r="D43" s="26">
        <v>17</v>
      </c>
      <c r="E43" s="25">
        <v>2.265760362521658E-3</v>
      </c>
    </row>
    <row r="44" spans="2:5" ht="13.5" x14ac:dyDescent="0.2">
      <c r="B44" s="89"/>
      <c r="C44" s="92" t="s">
        <v>20</v>
      </c>
      <c r="D44" s="93">
        <v>28</v>
      </c>
      <c r="E44" s="94">
        <v>3.7318405970944955E-3</v>
      </c>
    </row>
    <row r="45" spans="2:5" ht="13.5" x14ac:dyDescent="0.2">
      <c r="B45" s="87" t="s">
        <v>65</v>
      </c>
      <c r="C45" s="63" t="s">
        <v>172</v>
      </c>
      <c r="D45" s="26">
        <v>2</v>
      </c>
      <c r="E45" s="25">
        <v>2.6656004264960682E-4</v>
      </c>
    </row>
    <row r="46" spans="2:5" ht="13.5" x14ac:dyDescent="0.2">
      <c r="B46" s="89"/>
      <c r="C46" s="92" t="s">
        <v>20</v>
      </c>
      <c r="D46" s="93">
        <v>2</v>
      </c>
      <c r="E46" s="94">
        <v>2.6656004264960682E-4</v>
      </c>
    </row>
    <row r="47" spans="2:5" ht="13.5" x14ac:dyDescent="0.2">
      <c r="B47" s="87" t="s">
        <v>76</v>
      </c>
      <c r="C47" s="63" t="s">
        <v>172</v>
      </c>
      <c r="D47" s="26">
        <v>8</v>
      </c>
      <c r="E47" s="25">
        <v>1.0662401705984273E-3</v>
      </c>
    </row>
    <row r="48" spans="2:5" ht="13.5" x14ac:dyDescent="0.2">
      <c r="B48" s="88"/>
      <c r="C48" s="63" t="s">
        <v>171</v>
      </c>
      <c r="D48" s="26">
        <v>15</v>
      </c>
      <c r="E48" s="25">
        <v>1.9992003198720512E-3</v>
      </c>
    </row>
    <row r="49" spans="2:5" ht="13.5" x14ac:dyDescent="0.2">
      <c r="B49" s="89"/>
      <c r="C49" s="92" t="s">
        <v>20</v>
      </c>
      <c r="D49" s="93">
        <v>23</v>
      </c>
      <c r="E49" s="94">
        <v>3.0654404904704785E-3</v>
      </c>
    </row>
    <row r="50" spans="2:5" ht="13.5" x14ac:dyDescent="0.2">
      <c r="B50" s="87" t="s">
        <v>89</v>
      </c>
      <c r="C50" s="63" t="s">
        <v>172</v>
      </c>
      <c r="D50" s="26">
        <v>10</v>
      </c>
      <c r="E50" s="25">
        <v>1.3328002132480341E-3</v>
      </c>
    </row>
    <row r="51" spans="2:5" ht="13.5" x14ac:dyDescent="0.2">
      <c r="B51" s="88"/>
      <c r="C51" s="63" t="s">
        <v>171</v>
      </c>
      <c r="D51" s="26">
        <v>2</v>
      </c>
      <c r="E51" s="25">
        <v>2.6656004264960682E-4</v>
      </c>
    </row>
    <row r="52" spans="2:5" ht="13.5" x14ac:dyDescent="0.2">
      <c r="B52" s="89"/>
      <c r="C52" s="92" t="s">
        <v>20</v>
      </c>
      <c r="D52" s="93">
        <v>12</v>
      </c>
      <c r="E52" s="94">
        <v>1.5993602558976409E-3</v>
      </c>
    </row>
    <row r="53" spans="2:5" ht="13.5" x14ac:dyDescent="0.2">
      <c r="B53" s="87" t="s">
        <v>105</v>
      </c>
      <c r="C53" s="63" t="s">
        <v>172</v>
      </c>
      <c r="D53" s="26">
        <v>422</v>
      </c>
      <c r="E53" s="25">
        <v>5.6244168999067042E-2</v>
      </c>
    </row>
    <row r="54" spans="2:5" ht="13.5" x14ac:dyDescent="0.2">
      <c r="B54" s="88"/>
      <c r="C54" s="63" t="s">
        <v>171</v>
      </c>
      <c r="D54" s="26">
        <v>345</v>
      </c>
      <c r="E54" s="25">
        <v>4.5981607357057176E-2</v>
      </c>
    </row>
    <row r="55" spans="2:5" ht="13.5" x14ac:dyDescent="0.2">
      <c r="B55" s="89"/>
      <c r="C55" s="92" t="s">
        <v>20</v>
      </c>
      <c r="D55" s="93">
        <v>767</v>
      </c>
      <c r="E55" s="94">
        <v>0.10222577635612422</v>
      </c>
    </row>
    <row r="56" spans="2:5" ht="13.5" x14ac:dyDescent="0.2">
      <c r="B56" s="87" t="s">
        <v>109</v>
      </c>
      <c r="C56" s="63" t="s">
        <v>172</v>
      </c>
      <c r="D56" s="26">
        <v>36</v>
      </c>
      <c r="E56" s="25">
        <v>4.7980807676929228E-3</v>
      </c>
    </row>
    <row r="57" spans="2:5" ht="13.5" x14ac:dyDescent="0.2">
      <c r="B57" s="88"/>
      <c r="C57" s="63" t="s">
        <v>171</v>
      </c>
      <c r="D57" s="26">
        <v>38</v>
      </c>
      <c r="E57" s="25">
        <v>5.0646408103425297E-3</v>
      </c>
    </row>
    <row r="58" spans="2:5" ht="13.5" x14ac:dyDescent="0.2">
      <c r="B58" s="89"/>
      <c r="C58" s="92" t="s">
        <v>20</v>
      </c>
      <c r="D58" s="93">
        <v>74</v>
      </c>
      <c r="E58" s="94">
        <v>9.8627215780354525E-3</v>
      </c>
    </row>
    <row r="59" spans="2:5" ht="13.5" x14ac:dyDescent="0.2">
      <c r="B59" s="87" t="s">
        <v>165</v>
      </c>
      <c r="C59" s="63" t="s">
        <v>172</v>
      </c>
      <c r="D59" s="26">
        <v>12</v>
      </c>
      <c r="E59" s="25">
        <v>1.5993602558976409E-3</v>
      </c>
    </row>
    <row r="60" spans="2:5" ht="13.5" x14ac:dyDescent="0.2">
      <c r="B60" s="88"/>
      <c r="C60" s="63" t="s">
        <v>171</v>
      </c>
      <c r="D60" s="26">
        <v>27</v>
      </c>
      <c r="E60" s="25">
        <v>3.5985605757696921E-3</v>
      </c>
    </row>
    <row r="61" spans="2:5" ht="13.5" x14ac:dyDescent="0.2">
      <c r="B61" s="89"/>
      <c r="C61" s="92" t="s">
        <v>20</v>
      </c>
      <c r="D61" s="93">
        <v>39</v>
      </c>
      <c r="E61" s="94">
        <v>5.1979208316673331E-3</v>
      </c>
    </row>
    <row r="62" spans="2:5" ht="13.5" x14ac:dyDescent="0.2">
      <c r="B62" s="87" t="s">
        <v>88</v>
      </c>
      <c r="C62" s="63" t="s">
        <v>172</v>
      </c>
      <c r="D62" s="26">
        <v>41</v>
      </c>
      <c r="E62" s="25">
        <v>5.4644808743169399E-3</v>
      </c>
    </row>
    <row r="63" spans="2:5" ht="13.5" x14ac:dyDescent="0.2">
      <c r="B63" s="88"/>
      <c r="C63" s="63" t="s">
        <v>171</v>
      </c>
      <c r="D63" s="26">
        <v>24</v>
      </c>
      <c r="E63" s="25">
        <v>3.1987205117952819E-3</v>
      </c>
    </row>
    <row r="64" spans="2:5" ht="13.5" x14ac:dyDescent="0.2">
      <c r="B64" s="89"/>
      <c r="C64" s="92" t="s">
        <v>20</v>
      </c>
      <c r="D64" s="93">
        <v>65</v>
      </c>
      <c r="E64" s="94">
        <v>8.6632013861122226E-3</v>
      </c>
    </row>
    <row r="65" spans="2:5" ht="13.5" x14ac:dyDescent="0.2">
      <c r="B65" s="87" t="s">
        <v>72</v>
      </c>
      <c r="C65" s="63" t="s">
        <v>172</v>
      </c>
      <c r="D65" s="26">
        <v>9</v>
      </c>
      <c r="E65" s="25">
        <v>1.1995201919232307E-3</v>
      </c>
    </row>
    <row r="66" spans="2:5" ht="13.5" x14ac:dyDescent="0.2">
      <c r="B66" s="88"/>
      <c r="C66" s="63" t="s">
        <v>171</v>
      </c>
      <c r="D66" s="26">
        <v>4</v>
      </c>
      <c r="E66" s="25">
        <v>5.3312008529921365E-4</v>
      </c>
    </row>
    <row r="67" spans="2:5" ht="13.5" x14ac:dyDescent="0.2">
      <c r="B67" s="89"/>
      <c r="C67" s="92" t="s">
        <v>20</v>
      </c>
      <c r="D67" s="93">
        <v>13</v>
      </c>
      <c r="E67" s="94">
        <v>1.7326402772224444E-3</v>
      </c>
    </row>
    <row r="68" spans="2:5" ht="13.5" x14ac:dyDescent="0.2">
      <c r="B68" s="87" t="s">
        <v>95</v>
      </c>
      <c r="C68" s="63" t="s">
        <v>172</v>
      </c>
      <c r="D68" s="26">
        <v>147</v>
      </c>
      <c r="E68" s="25">
        <v>1.9592163134746102E-2</v>
      </c>
    </row>
    <row r="69" spans="2:5" ht="13.5" x14ac:dyDescent="0.2">
      <c r="B69" s="88"/>
      <c r="C69" s="63" t="s">
        <v>171</v>
      </c>
      <c r="D69" s="26">
        <v>146</v>
      </c>
      <c r="E69" s="25">
        <v>1.94588831134213E-2</v>
      </c>
    </row>
    <row r="70" spans="2:5" ht="13.5" x14ac:dyDescent="0.2">
      <c r="B70" s="89"/>
      <c r="C70" s="92" t="s">
        <v>20</v>
      </c>
      <c r="D70" s="93">
        <v>293</v>
      </c>
      <c r="E70" s="94">
        <v>3.9051046248167402E-2</v>
      </c>
    </row>
    <row r="71" spans="2:5" ht="13.5" x14ac:dyDescent="0.2">
      <c r="B71" s="87" t="s">
        <v>99</v>
      </c>
      <c r="C71" s="63" t="s">
        <v>172</v>
      </c>
      <c r="D71" s="26">
        <v>25</v>
      </c>
      <c r="E71" s="25">
        <v>3.3320005331200853E-3</v>
      </c>
    </row>
    <row r="72" spans="2:5" ht="13.5" x14ac:dyDescent="0.2">
      <c r="B72" s="88"/>
      <c r="C72" s="63" t="s">
        <v>171</v>
      </c>
      <c r="D72" s="26">
        <v>26</v>
      </c>
      <c r="E72" s="25">
        <v>3.4652805544448887E-3</v>
      </c>
    </row>
    <row r="73" spans="2:5" ht="13.5" x14ac:dyDescent="0.2">
      <c r="B73" s="89"/>
      <c r="C73" s="92" t="s">
        <v>20</v>
      </c>
      <c r="D73" s="93">
        <v>51</v>
      </c>
      <c r="E73" s="94">
        <v>6.797281087564974E-3</v>
      </c>
    </row>
    <row r="74" spans="2:5" ht="13.5" x14ac:dyDescent="0.2">
      <c r="B74" s="87" t="s">
        <v>164</v>
      </c>
      <c r="C74" s="63" t="s">
        <v>172</v>
      </c>
      <c r="D74" s="26">
        <v>623</v>
      </c>
      <c r="E74" s="25">
        <v>8.3033453285352526E-2</v>
      </c>
    </row>
    <row r="75" spans="2:5" ht="13.5" x14ac:dyDescent="0.2">
      <c r="B75" s="88"/>
      <c r="C75" s="63" t="s">
        <v>171</v>
      </c>
      <c r="D75" s="26">
        <v>687</v>
      </c>
      <c r="E75" s="25">
        <v>9.1563374650139945E-2</v>
      </c>
    </row>
    <row r="76" spans="2:5" ht="13.5" x14ac:dyDescent="0.2">
      <c r="B76" s="89"/>
      <c r="C76" s="92" t="s">
        <v>20</v>
      </c>
      <c r="D76" s="93">
        <v>1310</v>
      </c>
      <c r="E76" s="94">
        <v>0.17459682793549247</v>
      </c>
    </row>
    <row r="77" spans="2:5" ht="13.5" x14ac:dyDescent="0.2">
      <c r="B77" s="87" t="s">
        <v>163</v>
      </c>
      <c r="C77" s="63" t="s">
        <v>172</v>
      </c>
      <c r="D77" s="26">
        <v>8</v>
      </c>
      <c r="E77" s="25">
        <v>1.0662401705984273E-3</v>
      </c>
    </row>
    <row r="78" spans="2:5" ht="13.5" x14ac:dyDescent="0.2">
      <c r="B78" s="88"/>
      <c r="C78" s="63" t="s">
        <v>171</v>
      </c>
      <c r="D78" s="26">
        <v>10</v>
      </c>
      <c r="E78" s="25">
        <v>1.3328002132480341E-3</v>
      </c>
    </row>
    <row r="79" spans="2:5" ht="13.5" x14ac:dyDescent="0.2">
      <c r="B79" s="89"/>
      <c r="C79" s="92" t="s">
        <v>20</v>
      </c>
      <c r="D79" s="93">
        <v>18</v>
      </c>
      <c r="E79" s="94">
        <v>2.3990403838464614E-3</v>
      </c>
    </row>
    <row r="80" spans="2:5" ht="13.5" x14ac:dyDescent="0.2">
      <c r="B80" s="87" t="s">
        <v>85</v>
      </c>
      <c r="C80" s="63" t="s">
        <v>172</v>
      </c>
      <c r="D80" s="26">
        <v>19</v>
      </c>
      <c r="E80" s="25">
        <v>2.5323204051712648E-3</v>
      </c>
    </row>
    <row r="81" spans="2:5" ht="13.5" x14ac:dyDescent="0.2">
      <c r="B81" s="88"/>
      <c r="C81" s="63" t="s">
        <v>171</v>
      </c>
      <c r="D81" s="26">
        <v>8</v>
      </c>
      <c r="E81" s="25">
        <v>1.0662401705984273E-3</v>
      </c>
    </row>
    <row r="82" spans="2:5" ht="13.5" x14ac:dyDescent="0.2">
      <c r="B82" s="89"/>
      <c r="C82" s="92" t="s">
        <v>20</v>
      </c>
      <c r="D82" s="93">
        <v>27</v>
      </c>
      <c r="E82" s="94">
        <v>3.5985605757696921E-3</v>
      </c>
    </row>
    <row r="83" spans="2:5" ht="13.5" x14ac:dyDescent="0.2">
      <c r="B83" s="87" t="s">
        <v>84</v>
      </c>
      <c r="C83" s="63" t="s">
        <v>172</v>
      </c>
      <c r="D83" s="26">
        <v>17</v>
      </c>
      <c r="E83" s="25">
        <v>2.265760362521658E-3</v>
      </c>
    </row>
    <row r="84" spans="2:5" ht="13.5" x14ac:dyDescent="0.2">
      <c r="B84" s="88"/>
      <c r="C84" s="63" t="s">
        <v>171</v>
      </c>
      <c r="D84" s="26">
        <v>19</v>
      </c>
      <c r="E84" s="25">
        <v>2.5323204051712648E-3</v>
      </c>
    </row>
    <row r="85" spans="2:5" ht="13.5" x14ac:dyDescent="0.2">
      <c r="B85" s="89"/>
      <c r="C85" s="92" t="s">
        <v>20</v>
      </c>
      <c r="D85" s="93">
        <v>36</v>
      </c>
      <c r="E85" s="94">
        <v>4.7980807676929228E-3</v>
      </c>
    </row>
    <row r="86" spans="2:5" ht="13.5" x14ac:dyDescent="0.2">
      <c r="B86" s="87" t="s">
        <v>66</v>
      </c>
      <c r="C86" s="63" t="s">
        <v>172</v>
      </c>
      <c r="D86" s="26">
        <v>2</v>
      </c>
      <c r="E86" s="25">
        <v>2.6656004264960682E-4</v>
      </c>
    </row>
    <row r="87" spans="2:5" ht="13.5" x14ac:dyDescent="0.2">
      <c r="B87" s="88"/>
      <c r="C87" s="63" t="s">
        <v>171</v>
      </c>
      <c r="D87" s="26">
        <v>5</v>
      </c>
      <c r="E87" s="25">
        <v>6.6640010662401706E-4</v>
      </c>
    </row>
    <row r="88" spans="2:5" ht="13.5" x14ac:dyDescent="0.2">
      <c r="B88" s="89"/>
      <c r="C88" s="92" t="s">
        <v>20</v>
      </c>
      <c r="D88" s="93">
        <v>7</v>
      </c>
      <c r="E88" s="94">
        <v>9.3296014927362388E-4</v>
      </c>
    </row>
    <row r="89" spans="2:5" ht="13.5" x14ac:dyDescent="0.2">
      <c r="B89" s="87" t="s">
        <v>77</v>
      </c>
      <c r="C89" s="63" t="s">
        <v>172</v>
      </c>
      <c r="D89" s="26">
        <v>22</v>
      </c>
      <c r="E89" s="25">
        <v>2.9321604691456751E-3</v>
      </c>
    </row>
    <row r="90" spans="2:5" ht="13.5" x14ac:dyDescent="0.2">
      <c r="B90" s="88"/>
      <c r="C90" s="63" t="s">
        <v>171</v>
      </c>
      <c r="D90" s="26">
        <v>18</v>
      </c>
      <c r="E90" s="25">
        <v>2.3990403838464614E-3</v>
      </c>
    </row>
    <row r="91" spans="2:5" ht="13.5" x14ac:dyDescent="0.2">
      <c r="B91" s="89"/>
      <c r="C91" s="92" t="s">
        <v>20</v>
      </c>
      <c r="D91" s="93">
        <v>40</v>
      </c>
      <c r="E91" s="94">
        <v>5.3312008529921365E-3</v>
      </c>
    </row>
    <row r="92" spans="2:5" ht="13.5" x14ac:dyDescent="0.2">
      <c r="B92" s="87" t="s">
        <v>106</v>
      </c>
      <c r="C92" s="63" t="s">
        <v>172</v>
      </c>
      <c r="D92" s="26">
        <v>11</v>
      </c>
      <c r="E92" s="25">
        <v>1.4660802345728375E-3</v>
      </c>
    </row>
    <row r="93" spans="2:5" ht="13.5" x14ac:dyDescent="0.2">
      <c r="B93" s="88"/>
      <c r="C93" s="63" t="s">
        <v>171</v>
      </c>
      <c r="D93" s="26">
        <v>8</v>
      </c>
      <c r="E93" s="25">
        <v>1.0662401705984273E-3</v>
      </c>
    </row>
    <row r="94" spans="2:5" ht="13.5" x14ac:dyDescent="0.2">
      <c r="B94" s="89"/>
      <c r="C94" s="92" t="s">
        <v>20</v>
      </c>
      <c r="D94" s="93">
        <v>19</v>
      </c>
      <c r="E94" s="94">
        <v>2.5323204051712648E-3</v>
      </c>
    </row>
    <row r="95" spans="2:5" ht="13.5" x14ac:dyDescent="0.2">
      <c r="B95" s="87" t="s">
        <v>79</v>
      </c>
      <c r="C95" s="63" t="s">
        <v>172</v>
      </c>
      <c r="D95" s="26">
        <v>53</v>
      </c>
      <c r="E95" s="25">
        <v>7.0638411302145808E-3</v>
      </c>
    </row>
    <row r="96" spans="2:5" ht="13.5" x14ac:dyDescent="0.2">
      <c r="B96" s="88"/>
      <c r="C96" s="63" t="s">
        <v>171</v>
      </c>
      <c r="D96" s="26">
        <v>44</v>
      </c>
      <c r="E96" s="25">
        <v>5.8643209382913501E-3</v>
      </c>
    </row>
    <row r="97" spans="2:5" ht="13.5" x14ac:dyDescent="0.2">
      <c r="B97" s="89"/>
      <c r="C97" s="92" t="s">
        <v>20</v>
      </c>
      <c r="D97" s="93">
        <v>97</v>
      </c>
      <c r="E97" s="94">
        <v>1.2928162068505932E-2</v>
      </c>
    </row>
    <row r="98" spans="2:5" ht="13.5" x14ac:dyDescent="0.2">
      <c r="B98" s="87" t="s">
        <v>98</v>
      </c>
      <c r="C98" s="63" t="s">
        <v>172</v>
      </c>
      <c r="D98" s="26">
        <v>24</v>
      </c>
      <c r="E98" s="25">
        <v>3.1987205117952819E-3</v>
      </c>
    </row>
    <row r="99" spans="2:5" ht="13.5" x14ac:dyDescent="0.2">
      <c r="B99" s="88"/>
      <c r="C99" s="63" t="s">
        <v>171</v>
      </c>
      <c r="D99" s="26">
        <v>27</v>
      </c>
      <c r="E99" s="25">
        <v>3.5985605757696921E-3</v>
      </c>
    </row>
    <row r="100" spans="2:5" ht="13.5" x14ac:dyDescent="0.2">
      <c r="B100" s="89"/>
      <c r="C100" s="92" t="s">
        <v>20</v>
      </c>
      <c r="D100" s="93">
        <v>51</v>
      </c>
      <c r="E100" s="94">
        <v>6.797281087564974E-3</v>
      </c>
    </row>
    <row r="101" spans="2:5" ht="13.5" x14ac:dyDescent="0.2">
      <c r="B101" s="87" t="s">
        <v>94</v>
      </c>
      <c r="C101" s="63" t="s">
        <v>172</v>
      </c>
      <c r="D101" s="26">
        <v>96</v>
      </c>
      <c r="E101" s="25">
        <v>1.2794882047181128E-2</v>
      </c>
    </row>
    <row r="102" spans="2:5" ht="13.5" x14ac:dyDescent="0.2">
      <c r="B102" s="88"/>
      <c r="C102" s="63" t="s">
        <v>171</v>
      </c>
      <c r="D102" s="26">
        <v>92</v>
      </c>
      <c r="E102" s="25">
        <v>1.2261761961881914E-2</v>
      </c>
    </row>
    <row r="103" spans="2:5" ht="13.5" x14ac:dyDescent="0.2">
      <c r="B103" s="89"/>
      <c r="C103" s="92" t="s">
        <v>20</v>
      </c>
      <c r="D103" s="93">
        <v>188</v>
      </c>
      <c r="E103" s="94">
        <v>2.5056644009063041E-2</v>
      </c>
    </row>
    <row r="104" spans="2:5" ht="13.5" x14ac:dyDescent="0.2">
      <c r="B104" s="87" t="s">
        <v>82</v>
      </c>
      <c r="C104" s="63" t="s">
        <v>172</v>
      </c>
      <c r="D104" s="26">
        <v>298</v>
      </c>
      <c r="E104" s="25">
        <v>3.9717446354791415E-2</v>
      </c>
    </row>
    <row r="105" spans="2:5" ht="13.5" x14ac:dyDescent="0.2">
      <c r="B105" s="88"/>
      <c r="C105" s="63" t="s">
        <v>171</v>
      </c>
      <c r="D105" s="26">
        <v>255</v>
      </c>
      <c r="E105" s="25">
        <v>3.3986405437824871E-2</v>
      </c>
    </row>
    <row r="106" spans="2:5" ht="13.5" x14ac:dyDescent="0.2">
      <c r="B106" s="89"/>
      <c r="C106" s="92" t="s">
        <v>20</v>
      </c>
      <c r="D106" s="93">
        <v>553</v>
      </c>
      <c r="E106" s="94">
        <v>7.3703851792616293E-2</v>
      </c>
    </row>
    <row r="107" spans="2:5" ht="13.5" x14ac:dyDescent="0.2">
      <c r="B107" s="87" t="s">
        <v>86</v>
      </c>
      <c r="C107" s="63" t="s">
        <v>172</v>
      </c>
      <c r="D107" s="26">
        <v>37</v>
      </c>
      <c r="E107" s="25">
        <v>4.9313607890177262E-3</v>
      </c>
    </row>
    <row r="108" spans="2:5" ht="13.5" x14ac:dyDescent="0.2">
      <c r="B108" s="88"/>
      <c r="C108" s="63" t="s">
        <v>171</v>
      </c>
      <c r="D108" s="26">
        <v>28</v>
      </c>
      <c r="E108" s="25">
        <v>3.7318405970944955E-3</v>
      </c>
    </row>
    <row r="109" spans="2:5" ht="13.5" x14ac:dyDescent="0.2">
      <c r="B109" s="89"/>
      <c r="C109" s="92" t="s">
        <v>20</v>
      </c>
      <c r="D109" s="93">
        <v>65</v>
      </c>
      <c r="E109" s="94">
        <v>8.6632013861122226E-3</v>
      </c>
    </row>
    <row r="110" spans="2:5" ht="13.5" x14ac:dyDescent="0.2">
      <c r="B110" s="87" t="s">
        <v>70</v>
      </c>
      <c r="C110" s="63" t="s">
        <v>172</v>
      </c>
      <c r="D110" s="26">
        <v>3</v>
      </c>
      <c r="E110" s="25">
        <v>3.9984006397441024E-4</v>
      </c>
    </row>
    <row r="111" spans="2:5" ht="13.5" x14ac:dyDescent="0.2">
      <c r="B111" s="88"/>
      <c r="C111" s="63" t="s">
        <v>171</v>
      </c>
      <c r="D111" s="26">
        <v>1</v>
      </c>
      <c r="E111" s="25">
        <v>1.3328002132480341E-4</v>
      </c>
    </row>
    <row r="112" spans="2:5" ht="13.5" x14ac:dyDescent="0.2">
      <c r="B112" s="89"/>
      <c r="C112" s="92" t="s">
        <v>20</v>
      </c>
      <c r="D112" s="93">
        <v>4</v>
      </c>
      <c r="E112" s="94">
        <v>5.3312008529921365E-4</v>
      </c>
    </row>
    <row r="113" spans="2:5" ht="13.5" x14ac:dyDescent="0.2">
      <c r="B113" s="87" t="s">
        <v>104</v>
      </c>
      <c r="C113" s="63" t="s">
        <v>172</v>
      </c>
      <c r="D113" s="26">
        <v>77</v>
      </c>
      <c r="E113" s="25">
        <v>1.0262561642009864E-2</v>
      </c>
    </row>
    <row r="114" spans="2:5" ht="13.5" x14ac:dyDescent="0.2">
      <c r="B114" s="88"/>
      <c r="C114" s="63" t="s">
        <v>171</v>
      </c>
      <c r="D114" s="26">
        <v>94</v>
      </c>
      <c r="E114" s="25">
        <v>1.2528322004531521E-2</v>
      </c>
    </row>
    <row r="115" spans="2:5" ht="13.5" x14ac:dyDescent="0.2">
      <c r="B115" s="89"/>
      <c r="C115" s="92" t="s">
        <v>20</v>
      </c>
      <c r="D115" s="93">
        <v>171</v>
      </c>
      <c r="E115" s="94">
        <v>2.2790883646541384E-2</v>
      </c>
    </row>
    <row r="116" spans="2:5" ht="13.5" x14ac:dyDescent="0.2">
      <c r="B116" s="87" t="s">
        <v>96</v>
      </c>
      <c r="C116" s="63" t="s">
        <v>172</v>
      </c>
      <c r="D116" s="26">
        <v>169</v>
      </c>
      <c r="E116" s="25">
        <v>2.2524323603891776E-2</v>
      </c>
    </row>
    <row r="117" spans="2:5" ht="13.5" x14ac:dyDescent="0.2">
      <c r="B117" s="88"/>
      <c r="C117" s="63" t="s">
        <v>171</v>
      </c>
      <c r="D117" s="26">
        <v>166</v>
      </c>
      <c r="E117" s="25">
        <v>2.2124483539917368E-2</v>
      </c>
    </row>
    <row r="118" spans="2:5" ht="13.5" x14ac:dyDescent="0.2">
      <c r="B118" s="89"/>
      <c r="C118" s="92" t="s">
        <v>20</v>
      </c>
      <c r="D118" s="93">
        <v>335</v>
      </c>
      <c r="E118" s="94">
        <v>4.4648807143809144E-2</v>
      </c>
    </row>
    <row r="119" spans="2:5" ht="13.5" x14ac:dyDescent="0.2">
      <c r="B119" s="87" t="s">
        <v>81</v>
      </c>
      <c r="C119" s="63" t="s">
        <v>172</v>
      </c>
      <c r="D119" s="26">
        <v>39</v>
      </c>
      <c r="E119" s="25">
        <v>5.1979208316673331E-3</v>
      </c>
    </row>
    <row r="120" spans="2:5" ht="13.5" x14ac:dyDescent="0.2">
      <c r="B120" s="88"/>
      <c r="C120" s="63" t="s">
        <v>171</v>
      </c>
      <c r="D120" s="26">
        <v>25</v>
      </c>
      <c r="E120" s="25">
        <v>3.3320005331200853E-3</v>
      </c>
    </row>
    <row r="121" spans="2:5" ht="13.5" x14ac:dyDescent="0.2">
      <c r="B121" s="89"/>
      <c r="C121" s="92" t="s">
        <v>20</v>
      </c>
      <c r="D121" s="93">
        <v>64</v>
      </c>
      <c r="E121" s="94">
        <v>8.5299213647874184E-3</v>
      </c>
    </row>
    <row r="122" spans="2:5" ht="13.5" x14ac:dyDescent="0.2">
      <c r="B122" s="87" t="s">
        <v>83</v>
      </c>
      <c r="C122" s="63" t="s">
        <v>172</v>
      </c>
      <c r="D122" s="26">
        <v>125</v>
      </c>
      <c r="E122" s="25">
        <v>1.6660002665600426E-2</v>
      </c>
    </row>
    <row r="123" spans="2:5" ht="13.5" x14ac:dyDescent="0.2">
      <c r="B123" s="88"/>
      <c r="C123" s="63" t="s">
        <v>171</v>
      </c>
      <c r="D123" s="26">
        <v>93</v>
      </c>
      <c r="E123" s="25">
        <v>1.2395041983206718E-2</v>
      </c>
    </row>
    <row r="124" spans="2:5" ht="13.5" x14ac:dyDescent="0.2">
      <c r="B124" s="89"/>
      <c r="C124" s="92" t="s">
        <v>20</v>
      </c>
      <c r="D124" s="93">
        <v>218</v>
      </c>
      <c r="E124" s="94">
        <v>2.9055044648807146E-2</v>
      </c>
    </row>
    <row r="125" spans="2:5" ht="13.5" x14ac:dyDescent="0.2">
      <c r="B125" s="87" t="s">
        <v>91</v>
      </c>
      <c r="C125" s="63" t="s">
        <v>172</v>
      </c>
      <c r="D125" s="26">
        <v>10</v>
      </c>
      <c r="E125" s="25">
        <v>1.3328002132480341E-3</v>
      </c>
    </row>
    <row r="126" spans="2:5" ht="13.5" x14ac:dyDescent="0.2">
      <c r="B126" s="88"/>
      <c r="C126" s="63" t="s">
        <v>171</v>
      </c>
      <c r="D126" s="26">
        <v>14</v>
      </c>
      <c r="E126" s="25">
        <v>1.8659202985472478E-3</v>
      </c>
    </row>
    <row r="127" spans="2:5" ht="13.5" x14ac:dyDescent="0.2">
      <c r="B127" s="89"/>
      <c r="C127" s="92" t="s">
        <v>20</v>
      </c>
      <c r="D127" s="93">
        <v>24</v>
      </c>
      <c r="E127" s="94">
        <v>3.1987205117952819E-3</v>
      </c>
    </row>
    <row r="128" spans="2:5" ht="13.5" x14ac:dyDescent="0.2">
      <c r="B128" s="87" t="s">
        <v>103</v>
      </c>
      <c r="C128" s="63" t="s">
        <v>172</v>
      </c>
      <c r="D128" s="26">
        <v>456</v>
      </c>
      <c r="E128" s="25">
        <v>6.0775689724110356E-2</v>
      </c>
    </row>
    <row r="129" spans="2:5" ht="13.5" x14ac:dyDescent="0.2">
      <c r="B129" s="88"/>
      <c r="C129" s="63" t="s">
        <v>171</v>
      </c>
      <c r="D129" s="26">
        <v>453</v>
      </c>
      <c r="E129" s="25">
        <v>6.0375849660135948E-2</v>
      </c>
    </row>
    <row r="130" spans="2:5" ht="13.5" x14ac:dyDescent="0.2">
      <c r="B130" s="89"/>
      <c r="C130" s="92" t="s">
        <v>20</v>
      </c>
      <c r="D130" s="93">
        <v>909</v>
      </c>
      <c r="E130" s="94">
        <v>0.1211515393842463</v>
      </c>
    </row>
    <row r="131" spans="2:5" ht="13.5" x14ac:dyDescent="0.2">
      <c r="B131" s="87" t="s">
        <v>87</v>
      </c>
      <c r="C131" s="63" t="s">
        <v>172</v>
      </c>
      <c r="D131" s="26">
        <v>133</v>
      </c>
      <c r="E131" s="25">
        <v>1.7726242836198853E-2</v>
      </c>
    </row>
    <row r="132" spans="2:5" ht="13.5" x14ac:dyDescent="0.2">
      <c r="B132" s="88"/>
      <c r="C132" s="63" t="s">
        <v>171</v>
      </c>
      <c r="D132" s="26">
        <v>150</v>
      </c>
      <c r="E132" s="25">
        <v>1.9992003198720514E-2</v>
      </c>
    </row>
    <row r="133" spans="2:5" ht="13.5" x14ac:dyDescent="0.2">
      <c r="B133" s="89"/>
      <c r="C133" s="92" t="s">
        <v>20</v>
      </c>
      <c r="D133" s="93">
        <v>283</v>
      </c>
      <c r="E133" s="94">
        <v>3.7718246034919363E-2</v>
      </c>
    </row>
    <row r="134" spans="2:5" ht="13.5" x14ac:dyDescent="0.2">
      <c r="B134" s="87" t="s">
        <v>100</v>
      </c>
      <c r="C134" s="63" t="s">
        <v>172</v>
      </c>
      <c r="D134" s="26">
        <v>190</v>
      </c>
      <c r="E134" s="25">
        <v>2.532320405171265E-2</v>
      </c>
    </row>
    <row r="135" spans="2:5" ht="13.5" x14ac:dyDescent="0.2">
      <c r="B135" s="88"/>
      <c r="C135" s="63" t="s">
        <v>171</v>
      </c>
      <c r="D135" s="26">
        <v>133</v>
      </c>
      <c r="E135" s="25">
        <v>1.7726242836198853E-2</v>
      </c>
    </row>
    <row r="136" spans="2:5" ht="13.5" x14ac:dyDescent="0.2">
      <c r="B136" s="89"/>
      <c r="C136" s="92" t="s">
        <v>20</v>
      </c>
      <c r="D136" s="93">
        <v>323</v>
      </c>
      <c r="E136" s="94">
        <v>4.3049446887911499E-2</v>
      </c>
    </row>
    <row r="137" spans="2:5" ht="13.5" x14ac:dyDescent="0.2">
      <c r="B137" s="87" t="s">
        <v>161</v>
      </c>
      <c r="C137" s="63" t="s">
        <v>172</v>
      </c>
      <c r="D137" s="26">
        <v>163</v>
      </c>
      <c r="E137" s="25">
        <v>2.1724643475942957E-2</v>
      </c>
    </row>
    <row r="138" spans="2:5" ht="13.5" x14ac:dyDescent="0.2">
      <c r="B138" s="88"/>
      <c r="C138" s="63" t="s">
        <v>171</v>
      </c>
      <c r="D138" s="26">
        <v>116</v>
      </c>
      <c r="E138" s="25">
        <v>1.5460482473677196E-2</v>
      </c>
    </row>
    <row r="139" spans="2:5" ht="13.5" x14ac:dyDescent="0.2">
      <c r="B139" s="89"/>
      <c r="C139" s="92" t="s">
        <v>20</v>
      </c>
      <c r="D139" s="93">
        <v>279</v>
      </c>
      <c r="E139" s="94">
        <v>3.7185125949620153E-2</v>
      </c>
    </row>
    <row r="140" spans="2:5" ht="13.5" x14ac:dyDescent="0.2">
      <c r="B140" s="87" t="s">
        <v>102</v>
      </c>
      <c r="C140" s="63" t="s">
        <v>172</v>
      </c>
      <c r="D140" s="26">
        <v>72</v>
      </c>
      <c r="E140" s="25">
        <v>9.5961615353858457E-3</v>
      </c>
    </row>
    <row r="141" spans="2:5" ht="13.5" x14ac:dyDescent="0.2">
      <c r="B141" s="88"/>
      <c r="C141" s="63" t="s">
        <v>171</v>
      </c>
      <c r="D141" s="26">
        <v>106</v>
      </c>
      <c r="E141" s="25">
        <v>1.4127682260429162E-2</v>
      </c>
    </row>
    <row r="142" spans="2:5" ht="13.5" x14ac:dyDescent="0.2">
      <c r="B142" s="89"/>
      <c r="C142" s="92" t="s">
        <v>20</v>
      </c>
      <c r="D142" s="93">
        <v>178</v>
      </c>
      <c r="E142" s="94">
        <v>2.3723843795815009E-2</v>
      </c>
    </row>
    <row r="143" spans="2:5" ht="13.5" x14ac:dyDescent="0.2">
      <c r="B143" s="87" t="s">
        <v>80</v>
      </c>
      <c r="C143" s="63" t="s">
        <v>172</v>
      </c>
      <c r="D143" s="26">
        <v>47</v>
      </c>
      <c r="E143" s="25">
        <v>6.2641610022657604E-3</v>
      </c>
    </row>
    <row r="144" spans="2:5" ht="13.5" x14ac:dyDescent="0.2">
      <c r="B144" s="88"/>
      <c r="C144" s="63" t="s">
        <v>171</v>
      </c>
      <c r="D144" s="26">
        <v>14</v>
      </c>
      <c r="E144" s="25">
        <v>1.8659202985472478E-3</v>
      </c>
    </row>
    <row r="145" spans="2:5" ht="13.5" x14ac:dyDescent="0.2">
      <c r="B145" s="89"/>
      <c r="C145" s="92" t="s">
        <v>20</v>
      </c>
      <c r="D145" s="93">
        <v>61</v>
      </c>
      <c r="E145" s="94">
        <v>8.130081300813009E-3</v>
      </c>
    </row>
    <row r="146" spans="2:5" ht="13.5" x14ac:dyDescent="0.2">
      <c r="B146" s="87" t="s">
        <v>71</v>
      </c>
      <c r="C146" s="63" t="s">
        <v>172</v>
      </c>
      <c r="D146" s="26">
        <v>84</v>
      </c>
      <c r="E146" s="25">
        <v>1.1195521791283487E-2</v>
      </c>
    </row>
    <row r="147" spans="2:5" ht="13.5" x14ac:dyDescent="0.2">
      <c r="B147" s="88"/>
      <c r="C147" s="63" t="s">
        <v>171</v>
      </c>
      <c r="D147" s="26">
        <v>56</v>
      </c>
      <c r="E147" s="25">
        <v>7.4636811941889911E-3</v>
      </c>
    </row>
    <row r="148" spans="2:5" ht="13.5" x14ac:dyDescent="0.2">
      <c r="B148" s="89"/>
      <c r="C148" s="92" t="s">
        <v>20</v>
      </c>
      <c r="D148" s="93">
        <v>140</v>
      </c>
      <c r="E148" s="94">
        <v>1.8659202985472478E-2</v>
      </c>
    </row>
    <row r="149" spans="2:5" ht="13.5" x14ac:dyDescent="0.2">
      <c r="B149" s="87" t="s">
        <v>54</v>
      </c>
      <c r="C149" s="63" t="s">
        <v>172</v>
      </c>
      <c r="D149" s="26">
        <v>9</v>
      </c>
      <c r="E149" s="25">
        <v>1.1995201919232307E-3</v>
      </c>
    </row>
    <row r="150" spans="2:5" ht="13.5" x14ac:dyDescent="0.2">
      <c r="B150" s="88"/>
      <c r="C150" s="63" t="s">
        <v>171</v>
      </c>
      <c r="D150" s="26">
        <v>9</v>
      </c>
      <c r="E150" s="25">
        <v>1.1995201919232307E-3</v>
      </c>
    </row>
    <row r="151" spans="2:5" ht="13.5" x14ac:dyDescent="0.2">
      <c r="B151" s="89"/>
      <c r="C151" s="92" t="s">
        <v>20</v>
      </c>
      <c r="D151" s="93">
        <v>18</v>
      </c>
      <c r="E151" s="94">
        <v>2.3990403838464614E-3</v>
      </c>
    </row>
    <row r="152" spans="2:5" ht="13.5" x14ac:dyDescent="0.2">
      <c r="B152" s="87" t="s">
        <v>68</v>
      </c>
      <c r="C152" s="63" t="s">
        <v>172</v>
      </c>
      <c r="D152" s="26">
        <v>7</v>
      </c>
      <c r="E152" s="25">
        <v>9.3296014927362388E-4</v>
      </c>
    </row>
    <row r="153" spans="2:5" ht="13.5" x14ac:dyDescent="0.2">
      <c r="B153" s="88"/>
      <c r="C153" s="63" t="s">
        <v>171</v>
      </c>
      <c r="D153" s="26">
        <v>7</v>
      </c>
      <c r="E153" s="25">
        <v>9.3296014927362388E-4</v>
      </c>
    </row>
    <row r="154" spans="2:5" ht="13.5" x14ac:dyDescent="0.2">
      <c r="B154" s="89"/>
      <c r="C154" s="92" t="s">
        <v>20</v>
      </c>
      <c r="D154" s="93">
        <v>14</v>
      </c>
      <c r="E154" s="94">
        <v>1.8659202985472478E-3</v>
      </c>
    </row>
    <row r="155" spans="2:5" ht="13.5" x14ac:dyDescent="0.2">
      <c r="B155" s="80" t="s">
        <v>167</v>
      </c>
      <c r="C155" s="81"/>
      <c r="D155" s="95">
        <v>7503</v>
      </c>
      <c r="E155" s="96">
        <v>1</v>
      </c>
    </row>
    <row r="157" spans="2:5" x14ac:dyDescent="0.2">
      <c r="B157" s="19" t="s">
        <v>210</v>
      </c>
    </row>
    <row r="158" spans="2:5" x14ac:dyDescent="0.2">
      <c r="B158" s="21" t="s">
        <v>19</v>
      </c>
    </row>
    <row r="159" spans="2:5" x14ac:dyDescent="0.2">
      <c r="B159" s="20" t="s">
        <v>18</v>
      </c>
    </row>
    <row r="160" spans="2:5" x14ac:dyDescent="0.2">
      <c r="B160" s="19" t="s">
        <v>17</v>
      </c>
    </row>
    <row r="161" spans="2:2" x14ac:dyDescent="0.2">
      <c r="B161" s="19" t="s">
        <v>211</v>
      </c>
    </row>
  </sheetData>
  <mergeCells count="50">
    <mergeCell ref="B128:B130"/>
    <mergeCell ref="B131:B133"/>
    <mergeCell ref="B134:B136"/>
    <mergeCell ref="B137:B139"/>
    <mergeCell ref="B140:B142"/>
    <mergeCell ref="B95:B97"/>
    <mergeCell ref="B98:B100"/>
    <mergeCell ref="B101:B103"/>
    <mergeCell ref="B104:B106"/>
    <mergeCell ref="B107:B109"/>
    <mergeCell ref="B12:B14"/>
    <mergeCell ref="B15:B17"/>
    <mergeCell ref="B18:B20"/>
    <mergeCell ref="B21:B23"/>
    <mergeCell ref="B24:B26"/>
    <mergeCell ref="B8:E10"/>
    <mergeCell ref="B36:B38"/>
    <mergeCell ref="B39:B41"/>
    <mergeCell ref="B42:B44"/>
    <mergeCell ref="B45:B46"/>
    <mergeCell ref="B47:B49"/>
    <mergeCell ref="B50:B52"/>
    <mergeCell ref="B27:B29"/>
    <mergeCell ref="B30:B32"/>
    <mergeCell ref="B33:B35"/>
    <mergeCell ref="B65:B67"/>
    <mergeCell ref="B68:B70"/>
    <mergeCell ref="B71:B73"/>
    <mergeCell ref="B74:B76"/>
    <mergeCell ref="B77:B79"/>
    <mergeCell ref="B80:B82"/>
    <mergeCell ref="B53:B55"/>
    <mergeCell ref="B56:B58"/>
    <mergeCell ref="B59:B61"/>
    <mergeCell ref="B62:B64"/>
    <mergeCell ref="B83:B85"/>
    <mergeCell ref="B86:B88"/>
    <mergeCell ref="B89:B91"/>
    <mergeCell ref="B92:B94"/>
    <mergeCell ref="B110:B112"/>
    <mergeCell ref="B113:B115"/>
    <mergeCell ref="B116:B118"/>
    <mergeCell ref="B119:B121"/>
    <mergeCell ref="B122:B124"/>
    <mergeCell ref="B125:B127"/>
    <mergeCell ref="B143:B145"/>
    <mergeCell ref="B146:B148"/>
    <mergeCell ref="B149:B151"/>
    <mergeCell ref="B152:B154"/>
    <mergeCell ref="B155:C155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topLeftCell="A7" zoomScale="84" zoomScaleNormal="84" zoomScaleSheetLayoutView="100" workbookViewId="0">
      <selection activeCell="I27" sqref="I27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7.140625" style="50" customWidth="1"/>
    <col min="4" max="4" width="17.140625" style="62" customWidth="1"/>
    <col min="5" max="5" width="16.5703125" style="62" customWidth="1"/>
    <col min="6" max="6" width="16.5703125" style="50" customWidth="1"/>
    <col min="7" max="7" width="5.7109375" style="29" customWidth="1"/>
    <col min="8" max="16384" width="11.42578125" style="29"/>
  </cols>
  <sheetData>
    <row r="1" spans="1:7" s="64" customFormat="1" ht="15" x14ac:dyDescent="0.25">
      <c r="B1" s="53"/>
      <c r="C1" s="50"/>
    </row>
    <row r="2" spans="1:7" s="50" customFormat="1" x14ac:dyDescent="0.2">
      <c r="B2" s="68"/>
    </row>
    <row r="3" spans="1:7" ht="15" customHeight="1" x14ac:dyDescent="0.2">
      <c r="B3" s="69"/>
      <c r="C3" s="35"/>
      <c r="D3" s="29"/>
      <c r="E3" s="29"/>
      <c r="G3" s="50"/>
    </row>
    <row r="4" spans="1:7" ht="30" customHeight="1" x14ac:dyDescent="0.2">
      <c r="B4" s="69"/>
      <c r="C4" s="35"/>
      <c r="D4" s="29"/>
      <c r="E4" s="29"/>
      <c r="G4" s="50"/>
    </row>
    <row r="5" spans="1:7" ht="15" customHeight="1" x14ac:dyDescent="0.2">
      <c r="B5" s="69"/>
      <c r="C5" s="35"/>
      <c r="D5" s="29"/>
      <c r="E5" s="29"/>
      <c r="G5" s="50"/>
    </row>
    <row r="6" spans="1:7" s="50" customFormat="1" x14ac:dyDescent="0.2">
      <c r="B6" s="57"/>
      <c r="C6" s="46"/>
    </row>
    <row r="7" spans="1:7" s="50" customFormat="1" x14ac:dyDescent="0.2">
      <c r="A7" s="53"/>
      <c r="B7" s="68"/>
      <c r="C7" s="53"/>
    </row>
    <row r="8" spans="1:7" s="64" customFormat="1" ht="15" customHeight="1" x14ac:dyDescent="0.25">
      <c r="B8" s="90" t="s">
        <v>184</v>
      </c>
      <c r="C8" s="90"/>
      <c r="D8" s="90"/>
      <c r="E8" s="90"/>
      <c r="F8" s="90"/>
    </row>
    <row r="9" spans="1:7" s="64" customFormat="1" ht="15" customHeight="1" x14ac:dyDescent="0.25">
      <c r="A9" s="66"/>
      <c r="B9" s="90"/>
      <c r="C9" s="90"/>
      <c r="D9" s="90"/>
      <c r="E9" s="90"/>
      <c r="F9" s="90"/>
      <c r="G9" s="67"/>
    </row>
    <row r="10" spans="1:7" s="64" customFormat="1" ht="15" customHeight="1" x14ac:dyDescent="0.25">
      <c r="A10" s="66"/>
      <c r="B10" s="91"/>
      <c r="C10" s="91"/>
      <c r="D10" s="91"/>
      <c r="E10" s="91"/>
      <c r="F10" s="91"/>
      <c r="G10" s="66"/>
    </row>
    <row r="11" spans="1:7" s="64" customFormat="1" ht="36.950000000000003" customHeight="1" x14ac:dyDescent="0.25">
      <c r="B11" s="65" t="s">
        <v>170</v>
      </c>
      <c r="C11" s="65" t="s">
        <v>183</v>
      </c>
      <c r="D11" s="65" t="s">
        <v>62</v>
      </c>
      <c r="E11" s="65" t="s">
        <v>182</v>
      </c>
      <c r="F11" s="65" t="s">
        <v>181</v>
      </c>
    </row>
    <row r="12" spans="1:7" ht="13.5" x14ac:dyDescent="0.2">
      <c r="B12" s="87" t="s">
        <v>172</v>
      </c>
      <c r="C12" s="63" t="s">
        <v>180</v>
      </c>
      <c r="D12" s="26">
        <v>7</v>
      </c>
      <c r="E12" s="97">
        <v>1.7921146953405018E-3</v>
      </c>
      <c r="F12" s="25">
        <f t="shared" ref="F12:F28" si="0">D12/$D$28</f>
        <v>9.3296014927362388E-4</v>
      </c>
    </row>
    <row r="13" spans="1:7" ht="13.5" x14ac:dyDescent="0.2">
      <c r="B13" s="88"/>
      <c r="C13" s="63" t="s">
        <v>179</v>
      </c>
      <c r="D13" s="26">
        <v>56</v>
      </c>
      <c r="E13" s="97">
        <v>1.4336917562724014E-2</v>
      </c>
      <c r="F13" s="25">
        <f t="shared" si="0"/>
        <v>7.4636811941889911E-3</v>
      </c>
    </row>
    <row r="14" spans="1:7" ht="13.5" x14ac:dyDescent="0.2">
      <c r="B14" s="88"/>
      <c r="C14" s="63" t="s">
        <v>178</v>
      </c>
      <c r="D14" s="26">
        <v>647</v>
      </c>
      <c r="E14" s="97">
        <v>0.16564260112647208</v>
      </c>
      <c r="F14" s="25">
        <f t="shared" si="0"/>
        <v>8.6232173797147801E-2</v>
      </c>
    </row>
    <row r="15" spans="1:7" ht="13.5" x14ac:dyDescent="0.2">
      <c r="B15" s="88"/>
      <c r="C15" s="63" t="s">
        <v>177</v>
      </c>
      <c r="D15" s="26">
        <v>1120</v>
      </c>
      <c r="E15" s="97">
        <v>0.28673835125448027</v>
      </c>
      <c r="F15" s="25">
        <f t="shared" si="0"/>
        <v>0.14927362388377982</v>
      </c>
    </row>
    <row r="16" spans="1:7" ht="27" x14ac:dyDescent="0.2">
      <c r="B16" s="88"/>
      <c r="C16" s="63" t="s">
        <v>176</v>
      </c>
      <c r="D16" s="26">
        <v>1373</v>
      </c>
      <c r="E16" s="97">
        <v>0.35151049667178702</v>
      </c>
      <c r="F16" s="25">
        <f t="shared" si="0"/>
        <v>0.18299346927895507</v>
      </c>
    </row>
    <row r="17" spans="2:6" ht="13.5" x14ac:dyDescent="0.2">
      <c r="B17" s="88"/>
      <c r="C17" s="63" t="s">
        <v>175</v>
      </c>
      <c r="D17" s="26">
        <v>652</v>
      </c>
      <c r="E17" s="97">
        <v>0.16692268305171531</v>
      </c>
      <c r="F17" s="25">
        <f t="shared" si="0"/>
        <v>8.6898573903771828E-2</v>
      </c>
    </row>
    <row r="18" spans="2:6" ht="13.5" x14ac:dyDescent="0.2">
      <c r="B18" s="88"/>
      <c r="C18" s="63" t="s">
        <v>174</v>
      </c>
      <c r="D18" s="26">
        <v>45</v>
      </c>
      <c r="E18" s="97">
        <v>1.1520737327188941E-2</v>
      </c>
      <c r="F18" s="25">
        <f t="shared" si="0"/>
        <v>5.9976009596161535E-3</v>
      </c>
    </row>
    <row r="19" spans="2:6" ht="13.5" x14ac:dyDescent="0.2">
      <c r="B19" s="89"/>
      <c r="C19" s="63" t="s">
        <v>173</v>
      </c>
      <c r="D19" s="26">
        <v>6</v>
      </c>
      <c r="E19" s="97">
        <v>1.5360983102918587E-3</v>
      </c>
      <c r="F19" s="25">
        <f t="shared" si="0"/>
        <v>7.9968012794882047E-4</v>
      </c>
    </row>
    <row r="20" spans="2:6" ht="13.5" x14ac:dyDescent="0.2">
      <c r="B20" s="87" t="s">
        <v>171</v>
      </c>
      <c r="C20" s="63" t="s">
        <v>180</v>
      </c>
      <c r="D20" s="26">
        <v>7</v>
      </c>
      <c r="E20" s="98">
        <v>1.9460661662496525E-3</v>
      </c>
      <c r="F20" s="25">
        <f t="shared" si="0"/>
        <v>9.3296014927362388E-4</v>
      </c>
    </row>
    <row r="21" spans="2:6" ht="13.5" x14ac:dyDescent="0.2">
      <c r="B21" s="88"/>
      <c r="C21" s="63" t="s">
        <v>179</v>
      </c>
      <c r="D21" s="26">
        <v>53</v>
      </c>
      <c r="E21" s="98">
        <v>1.4734500973033082E-2</v>
      </c>
      <c r="F21" s="25">
        <f t="shared" si="0"/>
        <v>7.0638411302145808E-3</v>
      </c>
    </row>
    <row r="22" spans="2:6" ht="13.5" x14ac:dyDescent="0.2">
      <c r="B22" s="88"/>
      <c r="C22" s="63" t="s">
        <v>178</v>
      </c>
      <c r="D22" s="26">
        <v>390</v>
      </c>
      <c r="E22" s="98">
        <v>0.10842368640533778</v>
      </c>
      <c r="F22" s="25">
        <f t="shared" si="0"/>
        <v>5.1979208316673332E-2</v>
      </c>
    </row>
    <row r="23" spans="2:6" ht="13.5" x14ac:dyDescent="0.2">
      <c r="B23" s="88"/>
      <c r="C23" s="63" t="s">
        <v>177</v>
      </c>
      <c r="D23" s="26">
        <v>1022</v>
      </c>
      <c r="E23" s="98">
        <v>0.28412566027244929</v>
      </c>
      <c r="F23" s="25">
        <f t="shared" si="0"/>
        <v>0.13621218179394909</v>
      </c>
    </row>
    <row r="24" spans="2:6" ht="27" x14ac:dyDescent="0.2">
      <c r="B24" s="88"/>
      <c r="C24" s="63" t="s">
        <v>176</v>
      </c>
      <c r="D24" s="26">
        <v>1343</v>
      </c>
      <c r="E24" s="98">
        <v>0.37336669446761189</v>
      </c>
      <c r="F24" s="25">
        <f t="shared" si="0"/>
        <v>0.17899506863921097</v>
      </c>
    </row>
    <row r="25" spans="2:6" ht="13.5" x14ac:dyDescent="0.2">
      <c r="B25" s="88"/>
      <c r="C25" s="63" t="s">
        <v>175</v>
      </c>
      <c r="D25" s="26">
        <v>729</v>
      </c>
      <c r="E25" s="98">
        <v>0.20266889074228525</v>
      </c>
      <c r="F25" s="25">
        <f t="shared" si="0"/>
        <v>9.7161135545781693E-2</v>
      </c>
    </row>
    <row r="26" spans="2:6" ht="13.5" x14ac:dyDescent="0.2">
      <c r="B26" s="88"/>
      <c r="C26" s="63" t="s">
        <v>174</v>
      </c>
      <c r="D26" s="26">
        <v>37</v>
      </c>
      <c r="E26" s="98">
        <v>1.028634973589102E-2</v>
      </c>
      <c r="F26" s="25">
        <f t="shared" si="0"/>
        <v>4.9313607890177262E-3</v>
      </c>
    </row>
    <row r="27" spans="2:6" ht="13.5" x14ac:dyDescent="0.2">
      <c r="B27" s="89"/>
      <c r="C27" s="63" t="s">
        <v>173</v>
      </c>
      <c r="D27" s="26">
        <v>16</v>
      </c>
      <c r="E27" s="98">
        <v>4.4481512371420629E-3</v>
      </c>
      <c r="F27" s="25">
        <f t="shared" si="0"/>
        <v>2.1324803411968546E-3</v>
      </c>
    </row>
    <row r="28" spans="2:6" ht="13.5" x14ac:dyDescent="0.2">
      <c r="B28" s="99" t="s">
        <v>20</v>
      </c>
      <c r="C28" s="99"/>
      <c r="D28" s="95">
        <v>7503</v>
      </c>
      <c r="E28" s="96"/>
      <c r="F28" s="96">
        <f t="shared" si="0"/>
        <v>1</v>
      </c>
    </row>
    <row r="30" spans="2:6" x14ac:dyDescent="0.2">
      <c r="B30" s="19" t="s">
        <v>210</v>
      </c>
    </row>
    <row r="31" spans="2:6" x14ac:dyDescent="0.2">
      <c r="B31" s="21" t="s">
        <v>19</v>
      </c>
    </row>
    <row r="32" spans="2:6" x14ac:dyDescent="0.2">
      <c r="B32" s="20" t="s">
        <v>18</v>
      </c>
    </row>
    <row r="33" spans="2:2" x14ac:dyDescent="0.2">
      <c r="B33" s="19" t="s">
        <v>17</v>
      </c>
    </row>
    <row r="34" spans="2:2" x14ac:dyDescent="0.2">
      <c r="B34" s="19" t="s">
        <v>211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38"/>
  <sheetViews>
    <sheetView showGridLines="0" tabSelected="1" topLeftCell="A16" zoomScaleNormal="100" zoomScaleSheetLayoutView="115" workbookViewId="0">
      <selection activeCell="H20" sqref="H20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64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217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205</v>
      </c>
      <c r="C11" s="31" t="s">
        <v>62</v>
      </c>
      <c r="D11" s="30" t="s">
        <v>61</v>
      </c>
    </row>
    <row r="12" spans="1:5" x14ac:dyDescent="0.25">
      <c r="B12" s="27" t="s">
        <v>204</v>
      </c>
      <c r="C12" s="26">
        <v>3903</v>
      </c>
      <c r="D12" s="25">
        <f t="shared" ref="D12:D32" si="0">C12/$C$32</f>
        <v>0.52019192323070773</v>
      </c>
    </row>
    <row r="13" spans="1:5" x14ac:dyDescent="0.25">
      <c r="B13" s="27" t="s">
        <v>203</v>
      </c>
      <c r="C13" s="26">
        <v>2175</v>
      </c>
      <c r="D13" s="25">
        <f t="shared" si="0"/>
        <v>0.28988404638144744</v>
      </c>
    </row>
    <row r="14" spans="1:5" ht="15.75" x14ac:dyDescent="0.25">
      <c r="B14" s="27" t="s">
        <v>202</v>
      </c>
      <c r="C14" s="26">
        <v>377</v>
      </c>
      <c r="D14" s="25">
        <f t="shared" si="0"/>
        <v>5.0246568039450885E-2</v>
      </c>
      <c r="E14" s="28"/>
    </row>
    <row r="15" spans="1:5" ht="15.75" x14ac:dyDescent="0.25">
      <c r="B15" s="27" t="s">
        <v>201</v>
      </c>
      <c r="C15" s="26">
        <v>240</v>
      </c>
      <c r="D15" s="25">
        <f t="shared" si="0"/>
        <v>3.1987205117952819E-2</v>
      </c>
      <c r="E15" s="28"/>
    </row>
    <row r="16" spans="1:5" x14ac:dyDescent="0.25">
      <c r="B16" s="27" t="s">
        <v>200</v>
      </c>
      <c r="C16" s="26">
        <v>216</v>
      </c>
      <c r="D16" s="25">
        <f t="shared" si="0"/>
        <v>2.8788484606157537E-2</v>
      </c>
    </row>
    <row r="17" spans="2:4" x14ac:dyDescent="0.25">
      <c r="B17" s="27" t="s">
        <v>199</v>
      </c>
      <c r="C17" s="26">
        <v>178</v>
      </c>
      <c r="D17" s="25">
        <f t="shared" si="0"/>
        <v>2.3723843795815009E-2</v>
      </c>
    </row>
    <row r="18" spans="2:4" x14ac:dyDescent="0.25">
      <c r="B18" s="27" t="s">
        <v>197</v>
      </c>
      <c r="C18" s="26">
        <v>95</v>
      </c>
      <c r="D18" s="25">
        <f t="shared" si="0"/>
        <v>1.2661602025856325E-2</v>
      </c>
    </row>
    <row r="19" spans="2:4" x14ac:dyDescent="0.25">
      <c r="B19" s="27" t="s">
        <v>198</v>
      </c>
      <c r="C19" s="26">
        <v>85</v>
      </c>
      <c r="D19" s="25">
        <f t="shared" si="0"/>
        <v>1.1328801812608291E-2</v>
      </c>
    </row>
    <row r="20" spans="2:4" x14ac:dyDescent="0.25">
      <c r="B20" s="27" t="s">
        <v>195</v>
      </c>
      <c r="C20" s="26">
        <v>45</v>
      </c>
      <c r="D20" s="25">
        <f t="shared" si="0"/>
        <v>5.9976009596161535E-3</v>
      </c>
    </row>
    <row r="21" spans="2:4" x14ac:dyDescent="0.25">
      <c r="B21" s="27" t="s">
        <v>196</v>
      </c>
      <c r="C21" s="26">
        <v>41</v>
      </c>
      <c r="D21" s="25">
        <f t="shared" si="0"/>
        <v>5.4644808743169399E-3</v>
      </c>
    </row>
    <row r="22" spans="2:4" x14ac:dyDescent="0.25">
      <c r="B22" s="27" t="s">
        <v>192</v>
      </c>
      <c r="C22" s="26">
        <v>31</v>
      </c>
      <c r="D22" s="25">
        <f t="shared" si="0"/>
        <v>4.1316806610689058E-3</v>
      </c>
    </row>
    <row r="23" spans="2:4" x14ac:dyDescent="0.25">
      <c r="B23" s="27" t="s">
        <v>194</v>
      </c>
      <c r="C23" s="26">
        <v>30</v>
      </c>
      <c r="D23" s="25">
        <f t="shared" si="0"/>
        <v>3.9984006397441024E-3</v>
      </c>
    </row>
    <row r="24" spans="2:4" x14ac:dyDescent="0.25">
      <c r="B24" s="27" t="s">
        <v>193</v>
      </c>
      <c r="C24" s="26">
        <v>27</v>
      </c>
      <c r="D24" s="25">
        <f t="shared" si="0"/>
        <v>3.5985605757696921E-3</v>
      </c>
    </row>
    <row r="25" spans="2:4" x14ac:dyDescent="0.25">
      <c r="B25" s="27" t="s">
        <v>191</v>
      </c>
      <c r="C25" s="26">
        <v>20</v>
      </c>
      <c r="D25" s="25">
        <f t="shared" si="0"/>
        <v>2.6656004264960682E-3</v>
      </c>
    </row>
    <row r="26" spans="2:4" x14ac:dyDescent="0.25">
      <c r="B26" s="27" t="s">
        <v>188</v>
      </c>
      <c r="C26" s="26">
        <v>13</v>
      </c>
      <c r="D26" s="25">
        <f t="shared" si="0"/>
        <v>1.7326402772224444E-3</v>
      </c>
    </row>
    <row r="27" spans="2:4" x14ac:dyDescent="0.25">
      <c r="B27" s="27" t="s">
        <v>190</v>
      </c>
      <c r="C27" s="26">
        <v>13</v>
      </c>
      <c r="D27" s="25">
        <f t="shared" si="0"/>
        <v>1.7326402772224444E-3</v>
      </c>
    </row>
    <row r="28" spans="2:4" x14ac:dyDescent="0.25">
      <c r="B28" s="27" t="s">
        <v>189</v>
      </c>
      <c r="C28" s="26">
        <v>10</v>
      </c>
      <c r="D28" s="25">
        <f t="shared" si="0"/>
        <v>1.3328002132480341E-3</v>
      </c>
    </row>
    <row r="29" spans="2:4" x14ac:dyDescent="0.25">
      <c r="B29" s="27" t="s">
        <v>185</v>
      </c>
      <c r="C29" s="26">
        <v>2</v>
      </c>
      <c r="D29" s="25">
        <f t="shared" si="0"/>
        <v>2.6656004264960682E-4</v>
      </c>
    </row>
    <row r="30" spans="2:4" x14ac:dyDescent="0.25">
      <c r="B30" s="27" t="s">
        <v>186</v>
      </c>
      <c r="C30" s="26">
        <v>1</v>
      </c>
      <c r="D30" s="25">
        <f t="shared" si="0"/>
        <v>1.3328002132480341E-4</v>
      </c>
    </row>
    <row r="31" spans="2:4" x14ac:dyDescent="0.25">
      <c r="B31" s="27" t="s">
        <v>187</v>
      </c>
      <c r="C31" s="26">
        <v>1</v>
      </c>
      <c r="D31" s="25">
        <f t="shared" si="0"/>
        <v>1.3328002132480341E-4</v>
      </c>
    </row>
    <row r="32" spans="2:4" x14ac:dyDescent="0.25">
      <c r="B32" s="24" t="s">
        <v>20</v>
      </c>
      <c r="C32" s="23">
        <v>7503</v>
      </c>
      <c r="D32" s="22">
        <f t="shared" si="0"/>
        <v>1</v>
      </c>
    </row>
    <row r="34" spans="1:1" x14ac:dyDescent="0.25">
      <c r="A34" s="58" t="s">
        <v>210</v>
      </c>
    </row>
    <row r="35" spans="1:1" x14ac:dyDescent="0.25">
      <c r="A35" s="58" t="s">
        <v>19</v>
      </c>
    </row>
    <row r="36" spans="1:1" x14ac:dyDescent="0.25">
      <c r="A36" s="58" t="s">
        <v>18</v>
      </c>
    </row>
    <row r="37" spans="1:1" x14ac:dyDescent="0.25">
      <c r="A37" s="58" t="s">
        <v>17</v>
      </c>
    </row>
    <row r="38" spans="1:1" x14ac:dyDescent="0.25">
      <c r="A38" s="58" t="s">
        <v>211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Sinaloa_EdoUsa</vt:lpstr>
      <vt:lpstr>Sinaloa_Cons</vt:lpstr>
      <vt:lpstr>SinaloaXCons</vt:lpstr>
      <vt:lpstr>Sinaloa_EdoMun</vt:lpstr>
      <vt:lpstr>Sinaloa_USAMuni</vt:lpstr>
      <vt:lpstr>Sinaloa_MUNICIPIO</vt:lpstr>
      <vt:lpstr>Sinaloa_educ_gral</vt:lpstr>
      <vt:lpstr>Sinaloa_NivelE_Cons</vt:lpstr>
      <vt:lpstr>Sinaloa_EducCons</vt:lpstr>
      <vt:lpstr>Sinaloa_GenGral</vt:lpstr>
      <vt:lpstr>Sinaloa_GENERO</vt:lpstr>
      <vt:lpstr>Sinaloa_Gen_Edad</vt:lpstr>
      <vt:lpstr>Sinaloa_ocup_gral</vt:lpstr>
      <vt:lpstr>Sinaloa_EducCons!Área_de_impresión</vt:lpstr>
      <vt:lpstr>Sinaloa_MUNICIPIO!Área_de_impresión</vt:lpstr>
      <vt:lpstr>Sinaloa_NivelE_Cons!Área_de_impresión</vt:lpstr>
      <vt:lpstr>Sinaloa_USAMuni!Área_de_impresión</vt:lpstr>
      <vt:lpstr>Sinaloa_Cons!Títulos_a_imprimir</vt:lpstr>
      <vt:lpstr>Sinaloa_EdoMun!Títulos_a_imprimir</vt:lpstr>
      <vt:lpstr>Sinaloa_EdoUsa!Títulos_a_imprimir</vt:lpstr>
      <vt:lpstr>Sinaloa_educ_gral!Títulos_a_imprimir</vt:lpstr>
      <vt:lpstr>Sinaloa_EducCons!Títulos_a_imprimir</vt:lpstr>
      <vt:lpstr>Sinaloa_Gen_Edad!Títulos_a_imprimir</vt:lpstr>
      <vt:lpstr>Sinaloa_GENERO!Títulos_a_imprimir</vt:lpstr>
      <vt:lpstr>Sinaloa_GenGral!Títulos_a_imprimir</vt:lpstr>
      <vt:lpstr>Sinaloa_MUNICIPIO!Títulos_a_imprimir</vt:lpstr>
      <vt:lpstr>Sinaloa_NivelE_Cons!Títulos_a_imprimir</vt:lpstr>
      <vt:lpstr>Sinaloa_ocup_gral!Títulos_a_imprimir</vt:lpstr>
      <vt:lpstr>Sinaloa_USAMuni!Títulos_a_imprimir</vt:lpstr>
      <vt:lpstr>SinaloaXCons!Títulos_a_imprimir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dcterms:created xsi:type="dcterms:W3CDTF">2020-06-03T23:39:32Z</dcterms:created>
  <dcterms:modified xsi:type="dcterms:W3CDTF">2021-11-05T19:30:31Z</dcterms:modified>
</cp:coreProperties>
</file>