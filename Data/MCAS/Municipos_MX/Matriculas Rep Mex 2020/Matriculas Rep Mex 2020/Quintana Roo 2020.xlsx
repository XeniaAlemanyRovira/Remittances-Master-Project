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10" activeTab="13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_Edad" sheetId="13" r:id="rId13"/>
    <sheet name="Quintana Roo_ocup_gral" sheetId="14" r:id="rId14"/>
  </sheets>
  <definedNames>
    <definedName name="_xlnm._FilterDatabase" localSheetId="2" hidden="1">'Quintana Roo_Cons'!$B$11:$D$11</definedName>
    <definedName name="_xlnm._FilterDatabase" localSheetId="4" hidden="1">'Quintana Roo_EdoMun'!$B$11:$D$11</definedName>
    <definedName name="_xlnm._FilterDatabase" localSheetId="1" hidden="1">'Quintana Roo_EdoUsa'!$B$11:$D$11</definedName>
    <definedName name="_xlnm._FilterDatabase" localSheetId="7" hidden="1">'Quintana Roo_educ_gral'!$B$11:$D$11</definedName>
    <definedName name="_xlnm._FilterDatabase" localSheetId="9" hidden="1">'Quintana Roo_EducCons'!$B$9:$E$9</definedName>
    <definedName name="_xlnm._FilterDatabase" localSheetId="11" hidden="1">'Quintana Roo_GENERO'!$C$11:$E$11</definedName>
    <definedName name="_xlnm._FilterDatabase" localSheetId="10" hidden="1">'Quintana Roo_GenGral'!$B$11:$D$11</definedName>
    <definedName name="_xlnm._FilterDatabase" localSheetId="6" hidden="1">'Quintana Roo_MUNICIPIO'!$B$9:$E$9</definedName>
    <definedName name="_xlnm._FilterDatabase" localSheetId="8" hidden="1">'Quintana Roo_NivelE_Cons'!$B$9:$E$9</definedName>
    <definedName name="_xlnm._FilterDatabase" localSheetId="13" hidden="1">'Quintana Roo_ocup_gral'!$B$11:$D$11</definedName>
    <definedName name="_xlnm._FilterDatabase" localSheetId="5" hidden="1">'Quintana Roo_USAMuni'!$B$9:$E$9</definedName>
    <definedName name="_xlnm._FilterDatabase" localSheetId="3" hidden="1">'Quintana RooXCons'!$B$11:$D$11</definedName>
    <definedName name="_xlnm.Print_Area" localSheetId="9">'Quintana Roo_EducCons'!$A$1:$E$9</definedName>
    <definedName name="_xlnm.Print_Area" localSheetId="6">'Quintana Roo_MUNICIPIO'!$A$1:$E$9</definedName>
    <definedName name="_xlnm.Print_Area" localSheetId="8">'Quintana Roo_NivelE_Cons'!$A$1:$E$9</definedName>
    <definedName name="_xlnm.Print_Area" localSheetId="5">'Quintana Roo_USAMuni'!$A$1:$E$9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2">'Quintana Roo_Gen_Edad'!$1:$11</definedName>
    <definedName name="_xlnm.Print_Titles" localSheetId="11">'Quintana Roo_GENERO'!$1:$11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3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52511"/>
</workbook>
</file>

<file path=xl/calcChain.xml><?xml version="1.0" encoding="utf-8"?>
<calcChain xmlns="http://schemas.openxmlformats.org/spreadsheetml/2006/main">
  <c r="D28" i="14" l="1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3" i="13" l="1"/>
  <c r="F22" i="13"/>
  <c r="F21" i="13"/>
  <c r="F20" i="13"/>
  <c r="F19" i="13"/>
  <c r="F18" i="13"/>
  <c r="F17" i="13"/>
  <c r="F16" i="13"/>
  <c r="F15" i="13"/>
  <c r="F14" i="13"/>
  <c r="F13" i="13"/>
  <c r="F12" i="13"/>
  <c r="D34" i="8" l="1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2" i="16" s="1"/>
  <c r="D21" i="16"/>
  <c r="D20" i="16"/>
  <c r="D18" i="16"/>
  <c r="D17" i="16"/>
  <c r="D16" i="16"/>
  <c r="D14" i="16"/>
  <c r="D13" i="16"/>
  <c r="D12" i="16"/>
  <c r="D15" i="16" l="1"/>
  <c r="D19" i="16"/>
</calcChain>
</file>

<file path=xl/sharedStrings.xml><?xml version="1.0" encoding="utf-8"?>
<sst xmlns="http://schemas.openxmlformats.org/spreadsheetml/2006/main" count="1236" uniqueCount="182">
  <si>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</si>
  <si>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</si>
  <si>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</si>
  <si>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</si>
  <si>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</si>
  <si>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</si>
  <si>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</si>
  <si>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</si>
  <si>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</si>
  <si>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</si>
  <si>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</si>
  <si>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</si>
  <si>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</si>
  <si>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</si>
  <si>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</si>
  <si>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</si>
  <si>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</si>
  <si>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</si>
  <si>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</si>
  <si>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</si>
  <si>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</si>
  <si>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West Virginia</t>
  </si>
  <si>
    <t>Nebraska</t>
  </si>
  <si>
    <t>Ohio</t>
  </si>
  <si>
    <t>New Mexico</t>
  </si>
  <si>
    <t>Kentucky</t>
  </si>
  <si>
    <t>District of Columbia</t>
  </si>
  <si>
    <t>Connecticut</t>
  </si>
  <si>
    <t>Louisiana</t>
  </si>
  <si>
    <t>Oklahoma</t>
  </si>
  <si>
    <t>Arkansas</t>
  </si>
  <si>
    <t>Nevada</t>
  </si>
  <si>
    <t>Kansas</t>
  </si>
  <si>
    <t>Arizona</t>
  </si>
  <si>
    <t>New York</t>
  </si>
  <si>
    <t>Washington</t>
  </si>
  <si>
    <t>Utah</t>
  </si>
  <si>
    <t>South Carolina</t>
  </si>
  <si>
    <t>Michigan</t>
  </si>
  <si>
    <t>New Jersey</t>
  </si>
  <si>
    <t>Wisconsin</t>
  </si>
  <si>
    <t>Indiana</t>
  </si>
  <si>
    <t>Tennessee</t>
  </si>
  <si>
    <t>Colorado</t>
  </si>
  <si>
    <t>Oregon</t>
  </si>
  <si>
    <t>Minnesota</t>
  </si>
  <si>
    <t>North Carolina</t>
  </si>
  <si>
    <t>Illinois</t>
  </si>
  <si>
    <t>Virginia</t>
  </si>
  <si>
    <t>Georgia</t>
  </si>
  <si>
    <t>Florida</t>
  </si>
  <si>
    <t>Alabama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</si>
  <si>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</si>
  <si>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</si>
  <si>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</si>
  <si>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</si>
  <si>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</si>
  <si>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</si>
  <si>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Laredo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</si>
  <si>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</si>
  <si>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</si>
  <si>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</si>
  <si>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</si>
  <si>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</si>
  <si>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</si>
  <si>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</si>
  <si>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</si>
  <si>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</si>
  <si>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</si>
  <si>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</si>
  <si>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</si>
  <si>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</si>
  <si>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</si>
  <si>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</si>
  <si>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</si>
  <si>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</si>
  <si>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</si>
  <si>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</si>
  <si>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</si>
  <si>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</si>
  <si>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</si>
  <si>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</si>
  <si>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</si>
  <si>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</si>
  <si>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</si>
  <si>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</si>
  <si>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</si>
  <si>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</si>
  <si>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</si>
  <si>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</si>
  <si>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</si>
  <si>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</si>
  <si>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</si>
  <si>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</si>
  <si>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</si>
  <si>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</si>
  <si>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</si>
  <si>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</si>
  <si>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Solidaridad</t>
  </si>
  <si>
    <t>Lázaro Cárdenas</t>
  </si>
  <si>
    <t>Isla Mujeres</t>
  </si>
  <si>
    <t>Cozumel</t>
  </si>
  <si>
    <t>Felipe Carrillo Puerto</t>
  </si>
  <si>
    <t>José María Morelos</t>
  </si>
  <si>
    <t>Benito Juárez</t>
  </si>
  <si>
    <t>Othón P. Blanco</t>
  </si>
  <si>
    <t>Municipio de origen</t>
  </si>
  <si>
    <t>Municipio de Origen</t>
  </si>
  <si>
    <t>Estado</t>
  </si>
  <si>
    <t>Posgrado [Maestría]</t>
  </si>
  <si>
    <t>Menores De Edad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</si>
  <si>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</si>
  <si>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</si>
  <si>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</si>
  <si>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</si>
  <si>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</si>
  <si>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</si>
  <si>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</si>
  <si>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</si>
  <si>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</si>
  <si>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</si>
  <si>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</si>
  <si>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</si>
  <si>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</si>
  <si>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</si>
  <si>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</si>
  <si>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</si>
  <si>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</si>
  <si>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</si>
  <si>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</si>
  <si>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</si>
  <si>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</si>
  <si>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</si>
  <si>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</si>
  <si>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</si>
  <si>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</si>
  <si>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</si>
  <si>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</si>
  <si>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Menores de edad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</si>
  <si>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</si>
  <si>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</si>
  <si>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</si>
  <si>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</si>
  <si>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</si>
  <si>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</si>
  <si>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</si>
  <si>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</si>
  <si>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</si>
  <si>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</si>
  <si>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</si>
  <si>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</si>
  <si>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</si>
  <si>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</si>
  <si>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</si>
  <si>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</si>
  <si>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Profesionista</t>
  </si>
  <si>
    <t>Panadero(a)</t>
  </si>
  <si>
    <t>Campesino(a)</t>
  </si>
  <si>
    <t>Albañil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</si>
  <si>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</si>
  <si>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</si>
  <si>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</si>
  <si>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</si>
  <si>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</si>
  <si>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</si>
  <si>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</si>
  <si>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</si>
  <si>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</si>
  <si>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Quintana Roo en el 2020.</t>
  </si>
  <si>
    <t>MATRÍCULAS CONSULARES DE ALTA SEGURIDAD EXPEDIDAS A ORIGINARIOS DE QUINTANA ROO POR ESTADO DE LA UNIÓN AMERICANA. DURANTE EL 2020</t>
  </si>
  <si>
    <t>Tamaño de la muestra: 497,795</t>
  </si>
  <si>
    <t>Octubre de 2021</t>
  </si>
  <si>
    <t>MATRÍCULAS CONSULARES DE ALTA SEGURIDAD EXPEDIDAS DURANTE EL 2020 A ORIGINARIOS DE QUINTANA ROO EN LOS CONSULADOS DE MÉXICO EN EE.UU.</t>
  </si>
  <si>
    <t>MATRÍCULAS CONSULARES DE ALTA SEGURIDAD EXPEDIDAS POR MUNICIPIO A ORIGINARIOS DEL ESTADO DE QUINTANA ROO EN LOS CONSULADOS DE MÉXICO EN EE.UU. 2020</t>
  </si>
  <si>
    <t>MATRÍCULAS CONSULARES EXPEDIDAS EN EE.UU. A ORIGINARIOS DE QUINTANA ROO POR NIVEL DE EDUCACIÓN, 2020.</t>
  </si>
  <si>
    <t>MATRÍCULAS CONSULARES EXPEDIDAS A ORIGINARIOS DE QUINTANA ROO POR GÉNERO EN EE.UU DURANTE EL 2020.</t>
  </si>
  <si>
    <t>MATRÍCULAS CONSULARES EXPEDIDAS A ORIGINARIOS DE QUINTANA ROO POR GÉNERO Y CONSULADO DE MÉXICO 2020.</t>
  </si>
  <si>
    <t>MATRÍCULAS CONSULARES EXPEDIDAS EN EE.UU. A ORIGINARIOS DE QUINTANA ROO POR PERFIL OCUPACIONAL, 2020.</t>
  </si>
  <si>
    <t>Cajero(a)</t>
  </si>
  <si>
    <t>Carnicero</t>
  </si>
  <si>
    <t>Mesero(a)</t>
  </si>
  <si>
    <t>Comerciante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</si>
</sst>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119064</xdr:colOff>
      <xdr:row>7</xdr:row>
      <xdr:rowOff>168672</xdr:rowOff>
    </xdr:from>
    <xdr:to>
      <xdr:col>6</xdr:col>
      <xdr:colOff>254129</xdr:colOff>
      <xdr:row>8</xdr:row>
      <xdr:rowOff>168672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28048" y="1527969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7</xdr:col>
      <xdr:colOff>126816</xdr:colOff>
      <xdr:row>8</xdr:row>
      <xdr:rowOff>192640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3090" y="1573230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171450</xdr:rowOff>
    </xdr:from>
    <xdr:to>
      <xdr:col>5</xdr:col>
      <xdr:colOff>121572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168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Quintana Roo_USAMuni'!A1" display="3.2 Por Estado de USA"/>
    <hyperlink ref="A8:D8" location="'Quintana Roo_Cons'!A1" display="2. Por Circunscripción Consular"/>
    <hyperlink ref="B9:D9" location="'Quintana RooXCons'!A1" display="2.1 Top ten por circunscripción consular"/>
    <hyperlink ref="A6:D6" location="'Quintana Roo_EdoUsa'!A1" display="1. Por Estados de USA"/>
    <hyperlink ref="B12:D12" location="'Quintana Roo_EdoMun'!A1" display="3.1 Municipio general"/>
    <hyperlink ref="B14:D14" location="'Quintana Roo_MUNICIPIO'!A1" display="3.3 Por Circunscripción Consular"/>
    <hyperlink ref="B17:D17" location="'Quintana Roo_educ_gral'!A1" display="4.1 Educación general"/>
    <hyperlink ref="B18:D18" location="'Quintana Roo_NivelE_Cons'!A1" display="4.2 Por Estado de USA"/>
    <hyperlink ref="B19:D19" location="'Quintana Roo_EducCons'!A1" display="4.3 Por Circunscripción Consular"/>
    <hyperlink ref="B22:D22" location="'Quintana Roo_GenGral'!A1" display="5.1 Género General"/>
    <hyperlink ref="B23:D23" location="'Quintana Roo_GENERO'!A1" display="5.2 Por Circunscripción Consular"/>
    <hyperlink ref="A25:D25" location="'Quintana Roo_Gen_Edad'!A1" display="6. Por estructura de Edad"/>
    <hyperlink ref="A27:D27" location="'Quintana Ro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51"/>
  <sheetViews>
    <sheetView showGridLines="0" zoomScaleNormal="100" zoomScaleSheetLayoutView="115" workbookViewId="0">
      <selection activeCell="G21" sqref="G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169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56</v>
      </c>
      <c r="C11" s="31" t="s">
        <v>55</v>
      </c>
      <c r="D11" s="30" t="s">
        <v>54</v>
      </c>
    </row>
    <row r="12" spans="1:5" x14ac:dyDescent="0.25">
      <c r="B12" s="27" t="s">
        <v>53</v>
      </c>
      <c r="C12" s="26">
        <v>110</v>
      </c>
      <c r="D12" s="25">
        <v>0.27500000000000002</v>
      </c>
    </row>
    <row r="13" spans="1:5" ht="15.75" x14ac:dyDescent="0.25">
      <c r="B13" s="27" t="s">
        <v>52</v>
      </c>
      <c r="C13" s="26">
        <v>69</v>
      </c>
      <c r="D13" s="25">
        <v>0.17249999999999999</v>
      </c>
      <c r="E13" s="28"/>
    </row>
    <row r="14" spans="1:5" ht="15.75" x14ac:dyDescent="0.25">
      <c r="B14" s="27" t="s">
        <v>50</v>
      </c>
      <c r="C14" s="26">
        <v>24</v>
      </c>
      <c r="D14" s="25">
        <v>0.06</v>
      </c>
      <c r="E14" s="28"/>
    </row>
    <row r="15" spans="1:5" x14ac:dyDescent="0.25">
      <c r="B15" s="27" t="s">
        <v>46</v>
      </c>
      <c r="C15" s="26">
        <v>24</v>
      </c>
      <c r="D15" s="25">
        <v>0.06</v>
      </c>
    </row>
    <row r="16" spans="1:5" x14ac:dyDescent="0.25">
      <c r="B16" s="27" t="s">
        <v>51</v>
      </c>
      <c r="C16" s="26">
        <v>17</v>
      </c>
      <c r="D16" s="25">
        <v>4.2500000000000003E-2</v>
      </c>
    </row>
    <row r="17" spans="2:4" x14ac:dyDescent="0.25">
      <c r="B17" s="27" t="s">
        <v>49</v>
      </c>
      <c r="C17" s="26">
        <v>13</v>
      </c>
      <c r="D17" s="25">
        <v>3.2500000000000001E-2</v>
      </c>
    </row>
    <row r="18" spans="2:4" x14ac:dyDescent="0.25">
      <c r="B18" s="27" t="s">
        <v>47</v>
      </c>
      <c r="C18" s="26">
        <v>13</v>
      </c>
      <c r="D18" s="25">
        <v>3.2500000000000001E-2</v>
      </c>
    </row>
    <row r="19" spans="2:4" x14ac:dyDescent="0.25">
      <c r="B19" s="27" t="s">
        <v>41</v>
      </c>
      <c r="C19" s="26">
        <v>12</v>
      </c>
      <c r="D19" s="25">
        <v>0.03</v>
      </c>
    </row>
    <row r="20" spans="2:4" x14ac:dyDescent="0.25">
      <c r="B20" s="27" t="s">
        <v>37</v>
      </c>
      <c r="C20" s="26">
        <v>12</v>
      </c>
      <c r="D20" s="25">
        <v>0.03</v>
      </c>
    </row>
    <row r="21" spans="2:4" x14ac:dyDescent="0.25">
      <c r="B21" s="27" t="s">
        <v>29</v>
      </c>
      <c r="C21" s="26">
        <v>10</v>
      </c>
      <c r="D21" s="25">
        <v>2.5000000000000001E-2</v>
      </c>
    </row>
    <row r="22" spans="2:4" x14ac:dyDescent="0.25">
      <c r="B22" s="27" t="s">
        <v>28</v>
      </c>
      <c r="C22" s="26">
        <v>8</v>
      </c>
      <c r="D22" s="25">
        <v>0.02</v>
      </c>
    </row>
    <row r="23" spans="2:4" x14ac:dyDescent="0.25">
      <c r="B23" s="27" t="s">
        <v>43</v>
      </c>
      <c r="C23" s="26">
        <v>7</v>
      </c>
      <c r="D23" s="25">
        <v>1.7500000000000002E-2</v>
      </c>
    </row>
    <row r="24" spans="2:4" x14ac:dyDescent="0.25">
      <c r="B24" s="27" t="s">
        <v>45</v>
      </c>
      <c r="C24" s="26">
        <v>7</v>
      </c>
      <c r="D24" s="25">
        <v>1.7500000000000002E-2</v>
      </c>
    </row>
    <row r="25" spans="2:4" x14ac:dyDescent="0.25">
      <c r="B25" s="27" t="s">
        <v>48</v>
      </c>
      <c r="C25" s="26">
        <v>7</v>
      </c>
      <c r="D25" s="25">
        <v>1.7500000000000002E-2</v>
      </c>
    </row>
    <row r="26" spans="2:4" x14ac:dyDescent="0.25">
      <c r="B26" s="27" t="s">
        <v>35</v>
      </c>
      <c r="C26" s="26">
        <v>7</v>
      </c>
      <c r="D26" s="25">
        <v>1.7500000000000002E-2</v>
      </c>
    </row>
    <row r="27" spans="2:4" x14ac:dyDescent="0.25">
      <c r="B27" s="27" t="s">
        <v>38</v>
      </c>
      <c r="C27" s="26">
        <v>6</v>
      </c>
      <c r="D27" s="25">
        <v>1.4999999999999999E-2</v>
      </c>
    </row>
    <row r="28" spans="2:4" x14ac:dyDescent="0.25">
      <c r="B28" s="27" t="s">
        <v>34</v>
      </c>
      <c r="C28" s="26">
        <v>6</v>
      </c>
      <c r="D28" s="25">
        <v>1.4999999999999999E-2</v>
      </c>
    </row>
    <row r="29" spans="2:4" x14ac:dyDescent="0.25">
      <c r="B29" s="27" t="s">
        <v>23</v>
      </c>
      <c r="C29" s="26">
        <v>5</v>
      </c>
      <c r="D29" s="25">
        <v>1.2500000000000001E-2</v>
      </c>
    </row>
    <row r="30" spans="2:4" x14ac:dyDescent="0.25">
      <c r="B30" s="27" t="s">
        <v>44</v>
      </c>
      <c r="C30" s="26">
        <v>5</v>
      </c>
      <c r="D30" s="25">
        <v>1.2500000000000001E-2</v>
      </c>
    </row>
    <row r="31" spans="2:4" x14ac:dyDescent="0.25">
      <c r="B31" s="27" t="s">
        <v>42</v>
      </c>
      <c r="C31" s="26">
        <v>5</v>
      </c>
      <c r="D31" s="25">
        <v>1.2500000000000001E-2</v>
      </c>
    </row>
    <row r="32" spans="2:4" x14ac:dyDescent="0.25">
      <c r="B32" s="27" t="s">
        <v>36</v>
      </c>
      <c r="C32" s="26">
        <v>5</v>
      </c>
      <c r="D32" s="25">
        <v>1.2500000000000001E-2</v>
      </c>
    </row>
    <row r="33" spans="2:4" x14ac:dyDescent="0.25">
      <c r="B33" s="27" t="s">
        <v>33</v>
      </c>
      <c r="C33" s="26">
        <v>4</v>
      </c>
      <c r="D33" s="25">
        <v>0.01</v>
      </c>
    </row>
    <row r="34" spans="2:4" x14ac:dyDescent="0.25">
      <c r="B34" s="27" t="s">
        <v>39</v>
      </c>
      <c r="C34" s="26">
        <v>4</v>
      </c>
      <c r="D34" s="25">
        <v>0.01</v>
      </c>
    </row>
    <row r="35" spans="2:4" x14ac:dyDescent="0.25">
      <c r="B35" s="27" t="s">
        <v>24</v>
      </c>
      <c r="C35" s="26">
        <v>4</v>
      </c>
      <c r="D35" s="25">
        <v>0.01</v>
      </c>
    </row>
    <row r="36" spans="2:4" x14ac:dyDescent="0.25">
      <c r="B36" s="27" t="s">
        <v>30</v>
      </c>
      <c r="C36" s="26">
        <v>3</v>
      </c>
      <c r="D36" s="25">
        <v>7.4999999999999997E-3</v>
      </c>
    </row>
    <row r="37" spans="2:4" x14ac:dyDescent="0.25">
      <c r="B37" s="27" t="s">
        <v>32</v>
      </c>
      <c r="C37" s="26">
        <v>3</v>
      </c>
      <c r="D37" s="25">
        <v>7.4999999999999997E-3</v>
      </c>
    </row>
    <row r="38" spans="2:4" x14ac:dyDescent="0.25">
      <c r="B38" s="27" t="s">
        <v>31</v>
      </c>
      <c r="C38" s="26">
        <v>3</v>
      </c>
      <c r="D38" s="25">
        <v>7.4999999999999997E-3</v>
      </c>
    </row>
    <row r="39" spans="2:4" x14ac:dyDescent="0.25">
      <c r="B39" s="27" t="s">
        <v>40</v>
      </c>
      <c r="C39" s="26">
        <v>2</v>
      </c>
      <c r="D39" s="25">
        <v>5.0000000000000001E-3</v>
      </c>
    </row>
    <row r="40" spans="2:4" x14ac:dyDescent="0.25">
      <c r="B40" s="27" t="s">
        <v>27</v>
      </c>
      <c r="C40" s="26">
        <v>1</v>
      </c>
      <c r="D40" s="25">
        <v>2.5000000000000001E-3</v>
      </c>
    </row>
    <row r="41" spans="2:4" x14ac:dyDescent="0.25">
      <c r="B41" s="27" t="s">
        <v>26</v>
      </c>
      <c r="C41" s="26">
        <v>1</v>
      </c>
      <c r="D41" s="25">
        <v>2.5000000000000001E-3</v>
      </c>
    </row>
    <row r="42" spans="2:4" x14ac:dyDescent="0.25">
      <c r="B42" s="27" t="s">
        <v>25</v>
      </c>
      <c r="C42" s="26">
        <v>1</v>
      </c>
      <c r="D42" s="25">
        <v>2.5000000000000001E-3</v>
      </c>
    </row>
    <row r="43" spans="2:4" x14ac:dyDescent="0.25">
      <c r="B43" s="27" t="s">
        <v>22</v>
      </c>
      <c r="C43" s="26">
        <v>1</v>
      </c>
      <c r="D43" s="25">
        <v>2.5000000000000001E-3</v>
      </c>
    </row>
    <row r="44" spans="2:4" x14ac:dyDescent="0.25">
      <c r="B44" s="27" t="s">
        <v>21</v>
      </c>
      <c r="C44" s="26">
        <v>1</v>
      </c>
      <c r="D44" s="25">
        <v>2.5000000000000001E-3</v>
      </c>
    </row>
    <row r="45" spans="2:4" x14ac:dyDescent="0.25">
      <c r="B45" s="24" t="s">
        <v>20</v>
      </c>
      <c r="C45" s="23">
        <v>400</v>
      </c>
      <c r="D45" s="22">
        <v>1</v>
      </c>
    </row>
    <row r="47" spans="2:4" x14ac:dyDescent="0.25">
      <c r="B47" s="19" t="s">
        <v>170</v>
      </c>
    </row>
    <row r="48" spans="2:4" x14ac:dyDescent="0.25">
      <c r="B48" s="21" t="s">
        <v>19</v>
      </c>
    </row>
    <row r="49" spans="2:2" x14ac:dyDescent="0.25">
      <c r="B49" s="20" t="s">
        <v>18</v>
      </c>
    </row>
    <row r="50" spans="2:2" x14ac:dyDescent="0.25">
      <c r="B50" s="19" t="s">
        <v>17</v>
      </c>
    </row>
    <row r="51" spans="2:2" x14ac:dyDescent="0.25">
      <c r="B51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58"/>
  <sheetViews>
    <sheetView showGridLines="0" zoomScaleNormal="100" zoomScaleSheetLayoutView="115" workbookViewId="0">
      <selection activeCell="H18" sqref="H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172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97</v>
      </c>
      <c r="C11" s="31" t="s">
        <v>55</v>
      </c>
      <c r="D11" s="30" t="s">
        <v>54</v>
      </c>
    </row>
    <row r="12" spans="1:5" x14ac:dyDescent="0.25">
      <c r="B12" s="27" t="s">
        <v>85</v>
      </c>
      <c r="C12" s="26">
        <v>48</v>
      </c>
      <c r="D12" s="25">
        <v>0.12</v>
      </c>
    </row>
    <row r="13" spans="1:5" x14ac:dyDescent="0.25">
      <c r="B13" s="27" t="s">
        <v>89</v>
      </c>
      <c r="C13" s="26">
        <v>36</v>
      </c>
      <c r="D13" s="25">
        <v>0.09</v>
      </c>
    </row>
    <row r="14" spans="1:5" ht="15.75" x14ac:dyDescent="0.25">
      <c r="B14" s="27" t="s">
        <v>92</v>
      </c>
      <c r="C14" s="26">
        <v>31</v>
      </c>
      <c r="D14" s="25">
        <v>7.7499999999999999E-2</v>
      </c>
      <c r="E14" s="28"/>
    </row>
    <row r="15" spans="1:5" x14ac:dyDescent="0.25">
      <c r="B15" s="27" t="s">
        <v>94</v>
      </c>
      <c r="C15" s="26">
        <v>28</v>
      </c>
      <c r="D15" s="25">
        <v>7.0000000000000007E-2</v>
      </c>
    </row>
    <row r="16" spans="1:5" x14ac:dyDescent="0.25">
      <c r="B16" s="27" t="s">
        <v>93</v>
      </c>
      <c r="C16" s="26">
        <v>19</v>
      </c>
      <c r="D16" s="25">
        <v>4.7500000000000001E-2</v>
      </c>
    </row>
    <row r="17" spans="2:4" x14ac:dyDescent="0.25">
      <c r="B17" s="27" t="s">
        <v>95</v>
      </c>
      <c r="C17" s="26">
        <v>17</v>
      </c>
      <c r="D17" s="25">
        <v>4.2500000000000003E-2</v>
      </c>
    </row>
    <row r="18" spans="2:4" x14ac:dyDescent="0.25">
      <c r="B18" s="27" t="s">
        <v>84</v>
      </c>
      <c r="C18" s="26">
        <v>17</v>
      </c>
      <c r="D18" s="25">
        <v>4.2500000000000003E-2</v>
      </c>
    </row>
    <row r="19" spans="2:4" x14ac:dyDescent="0.25">
      <c r="B19" s="27" t="s">
        <v>83</v>
      </c>
      <c r="C19" s="26">
        <v>16</v>
      </c>
      <c r="D19" s="25">
        <v>0.04</v>
      </c>
    </row>
    <row r="20" spans="2:4" x14ac:dyDescent="0.25">
      <c r="B20" s="27" t="s">
        <v>134</v>
      </c>
      <c r="C20" s="26">
        <v>16</v>
      </c>
      <c r="D20" s="25">
        <v>0.04</v>
      </c>
    </row>
    <row r="21" spans="2:4" x14ac:dyDescent="0.25">
      <c r="B21" s="27" t="s">
        <v>136</v>
      </c>
      <c r="C21" s="26">
        <v>15</v>
      </c>
      <c r="D21" s="25">
        <v>3.7499999999999999E-2</v>
      </c>
    </row>
    <row r="22" spans="2:4" x14ac:dyDescent="0.25">
      <c r="B22" s="27" t="s">
        <v>137</v>
      </c>
      <c r="C22" s="26">
        <v>14</v>
      </c>
      <c r="D22" s="25">
        <v>3.5000000000000003E-2</v>
      </c>
    </row>
    <row r="23" spans="2:4" x14ac:dyDescent="0.25">
      <c r="B23" s="27" t="s">
        <v>35</v>
      </c>
      <c r="C23" s="26">
        <v>9</v>
      </c>
      <c r="D23" s="25">
        <v>2.2499999999999999E-2</v>
      </c>
    </row>
    <row r="24" spans="2:4" x14ac:dyDescent="0.25">
      <c r="B24" s="27" t="s">
        <v>70</v>
      </c>
      <c r="C24" s="26">
        <v>8</v>
      </c>
      <c r="D24" s="25">
        <v>0.02</v>
      </c>
    </row>
    <row r="25" spans="2:4" x14ac:dyDescent="0.25">
      <c r="B25" s="27" t="s">
        <v>62</v>
      </c>
      <c r="C25" s="26">
        <v>8</v>
      </c>
      <c r="D25" s="25">
        <v>0.02</v>
      </c>
    </row>
    <row r="26" spans="2:4" x14ac:dyDescent="0.25">
      <c r="B26" s="27" t="s">
        <v>91</v>
      </c>
      <c r="C26" s="26">
        <v>8</v>
      </c>
      <c r="D26" s="25">
        <v>0.02</v>
      </c>
    </row>
    <row r="27" spans="2:4" x14ac:dyDescent="0.25">
      <c r="B27" s="27" t="s">
        <v>87</v>
      </c>
      <c r="C27" s="26">
        <v>8</v>
      </c>
      <c r="D27" s="25">
        <v>0.02</v>
      </c>
    </row>
    <row r="28" spans="2:4" x14ac:dyDescent="0.25">
      <c r="B28" s="27" t="s">
        <v>59</v>
      </c>
      <c r="C28" s="26">
        <v>7</v>
      </c>
      <c r="D28" s="25">
        <v>1.7500000000000002E-2</v>
      </c>
    </row>
    <row r="29" spans="2:4" x14ac:dyDescent="0.25">
      <c r="B29" s="27" t="s">
        <v>77</v>
      </c>
      <c r="C29" s="26">
        <v>7</v>
      </c>
      <c r="D29" s="25">
        <v>1.7500000000000002E-2</v>
      </c>
    </row>
    <row r="30" spans="2:4" x14ac:dyDescent="0.25">
      <c r="B30" s="27" t="s">
        <v>81</v>
      </c>
      <c r="C30" s="26">
        <v>7</v>
      </c>
      <c r="D30" s="25">
        <v>1.7500000000000002E-2</v>
      </c>
    </row>
    <row r="31" spans="2:4" x14ac:dyDescent="0.25">
      <c r="B31" s="27" t="s">
        <v>66</v>
      </c>
      <c r="C31" s="26">
        <v>7</v>
      </c>
      <c r="D31" s="25">
        <v>1.7500000000000002E-2</v>
      </c>
    </row>
    <row r="32" spans="2:4" x14ac:dyDescent="0.25">
      <c r="B32" s="27" t="s">
        <v>88</v>
      </c>
      <c r="C32" s="26">
        <v>7</v>
      </c>
      <c r="D32" s="25">
        <v>1.7500000000000002E-2</v>
      </c>
    </row>
    <row r="33" spans="2:4" x14ac:dyDescent="0.25">
      <c r="B33" s="27" t="s">
        <v>65</v>
      </c>
      <c r="C33" s="26">
        <v>7</v>
      </c>
      <c r="D33" s="25">
        <v>1.7500000000000002E-2</v>
      </c>
    </row>
    <row r="34" spans="2:4" x14ac:dyDescent="0.25">
      <c r="B34" s="27" t="s">
        <v>82</v>
      </c>
      <c r="C34" s="26">
        <v>6</v>
      </c>
      <c r="D34" s="25">
        <v>1.4999999999999999E-2</v>
      </c>
    </row>
    <row r="35" spans="2:4" x14ac:dyDescent="0.25">
      <c r="B35" s="27" t="s">
        <v>63</v>
      </c>
      <c r="C35" s="26">
        <v>6</v>
      </c>
      <c r="D35" s="25">
        <v>1.4999999999999999E-2</v>
      </c>
    </row>
    <row r="36" spans="2:4" x14ac:dyDescent="0.25">
      <c r="B36" s="27" t="s">
        <v>90</v>
      </c>
      <c r="C36" s="26">
        <v>5</v>
      </c>
      <c r="D36" s="25">
        <v>1.2500000000000001E-2</v>
      </c>
    </row>
    <row r="37" spans="2:4" x14ac:dyDescent="0.25">
      <c r="B37" s="27" t="s">
        <v>135</v>
      </c>
      <c r="C37" s="26">
        <v>5</v>
      </c>
      <c r="D37" s="25">
        <v>1.2500000000000001E-2</v>
      </c>
    </row>
    <row r="38" spans="2:4" x14ac:dyDescent="0.25">
      <c r="B38" s="27" t="s">
        <v>71</v>
      </c>
      <c r="C38" s="26">
        <v>5</v>
      </c>
      <c r="D38" s="25">
        <v>1.2500000000000001E-2</v>
      </c>
    </row>
    <row r="39" spans="2:4" x14ac:dyDescent="0.25">
      <c r="B39" s="27" t="s">
        <v>68</v>
      </c>
      <c r="C39" s="26">
        <v>5</v>
      </c>
      <c r="D39" s="25">
        <v>1.2500000000000001E-2</v>
      </c>
    </row>
    <row r="40" spans="2:4" x14ac:dyDescent="0.25">
      <c r="B40" s="27" t="s">
        <v>60</v>
      </c>
      <c r="C40" s="26">
        <v>4</v>
      </c>
      <c r="D40" s="25">
        <v>0.01</v>
      </c>
    </row>
    <row r="41" spans="2:4" x14ac:dyDescent="0.25">
      <c r="B41" s="27" t="s">
        <v>67</v>
      </c>
      <c r="C41" s="26">
        <v>4</v>
      </c>
      <c r="D41" s="25">
        <v>0.01</v>
      </c>
    </row>
    <row r="42" spans="2:4" x14ac:dyDescent="0.25">
      <c r="B42" s="27" t="s">
        <v>74</v>
      </c>
      <c r="C42" s="26">
        <v>3</v>
      </c>
      <c r="D42" s="25">
        <v>7.4999999999999997E-3</v>
      </c>
    </row>
    <row r="43" spans="2:4" x14ac:dyDescent="0.25">
      <c r="B43" s="27" t="s">
        <v>73</v>
      </c>
      <c r="C43" s="26">
        <v>3</v>
      </c>
      <c r="D43" s="25">
        <v>7.4999999999999997E-3</v>
      </c>
    </row>
    <row r="44" spans="2:4" x14ac:dyDescent="0.25">
      <c r="B44" s="27" t="s">
        <v>80</v>
      </c>
      <c r="C44" s="26">
        <v>3</v>
      </c>
      <c r="D44" s="25">
        <v>7.4999999999999997E-3</v>
      </c>
    </row>
    <row r="45" spans="2:4" x14ac:dyDescent="0.25">
      <c r="B45" s="27" t="s">
        <v>58</v>
      </c>
      <c r="C45" s="26">
        <v>2</v>
      </c>
      <c r="D45" s="25">
        <v>5.0000000000000001E-3</v>
      </c>
    </row>
    <row r="46" spans="2:4" x14ac:dyDescent="0.25">
      <c r="B46" s="27" t="s">
        <v>69</v>
      </c>
      <c r="C46" s="26">
        <v>2</v>
      </c>
      <c r="D46" s="25">
        <v>5.0000000000000001E-3</v>
      </c>
    </row>
    <row r="47" spans="2:4" x14ac:dyDescent="0.25">
      <c r="B47" s="27" t="s">
        <v>79</v>
      </c>
      <c r="C47" s="26">
        <v>2</v>
      </c>
      <c r="D47" s="25">
        <v>5.0000000000000001E-3</v>
      </c>
    </row>
    <row r="48" spans="2:4" x14ac:dyDescent="0.25">
      <c r="B48" s="27" t="s">
        <v>72</v>
      </c>
      <c r="C48" s="26">
        <v>2</v>
      </c>
      <c r="D48" s="25">
        <v>5.0000000000000001E-3</v>
      </c>
    </row>
    <row r="49" spans="2:4" x14ac:dyDescent="0.25">
      <c r="B49" s="27" t="s">
        <v>61</v>
      </c>
      <c r="C49" s="26">
        <v>1</v>
      </c>
      <c r="D49" s="25">
        <v>2.5000000000000001E-3</v>
      </c>
    </row>
    <row r="50" spans="2:4" x14ac:dyDescent="0.25">
      <c r="B50" s="27" t="s">
        <v>64</v>
      </c>
      <c r="C50" s="26">
        <v>1</v>
      </c>
      <c r="D50" s="25">
        <v>2.5000000000000001E-3</v>
      </c>
    </row>
    <row r="51" spans="2:4" x14ac:dyDescent="0.25">
      <c r="B51" s="27" t="s">
        <v>76</v>
      </c>
      <c r="C51" s="26">
        <v>1</v>
      </c>
      <c r="D51" s="25">
        <v>2.5000000000000001E-3</v>
      </c>
    </row>
    <row r="52" spans="2:4" x14ac:dyDescent="0.25">
      <c r="B52" s="24" t="s">
        <v>20</v>
      </c>
      <c r="C52" s="23">
        <v>400</v>
      </c>
      <c r="D52" s="22">
        <v>1</v>
      </c>
    </row>
    <row r="54" spans="2:4" x14ac:dyDescent="0.25">
      <c r="B54" s="19" t="s">
        <v>170</v>
      </c>
    </row>
    <row r="55" spans="2:4" x14ac:dyDescent="0.25">
      <c r="B55" s="21" t="s">
        <v>19</v>
      </c>
    </row>
    <row r="56" spans="2:4" x14ac:dyDescent="0.25">
      <c r="B56" s="20" t="s">
        <v>18</v>
      </c>
    </row>
    <row r="57" spans="2:4" x14ac:dyDescent="0.25">
      <c r="B57" s="19" t="s">
        <v>17</v>
      </c>
    </row>
    <row r="58" spans="2:4" x14ac:dyDescent="0.25">
      <c r="B58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H16" sqref="H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172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97</v>
      </c>
      <c r="C11" s="31" t="s">
        <v>55</v>
      </c>
      <c r="D11" s="30" t="s">
        <v>54</v>
      </c>
    </row>
    <row r="12" spans="1:5" x14ac:dyDescent="0.25">
      <c r="B12" s="27" t="s">
        <v>85</v>
      </c>
      <c r="C12" s="26">
        <v>48</v>
      </c>
      <c r="D12" s="25">
        <f t="shared" ref="D12:D22" si="0">C12/$C$22</f>
        <v>0.19753086419753085</v>
      </c>
    </row>
    <row r="13" spans="1:5" x14ac:dyDescent="0.25">
      <c r="B13" s="27" t="s">
        <v>89</v>
      </c>
      <c r="C13" s="26">
        <v>36</v>
      </c>
      <c r="D13" s="25">
        <f t="shared" si="0"/>
        <v>0.14814814814814814</v>
      </c>
    </row>
    <row r="14" spans="1:5" ht="15.75" x14ac:dyDescent="0.25">
      <c r="B14" s="27" t="s">
        <v>92</v>
      </c>
      <c r="C14" s="26">
        <v>31</v>
      </c>
      <c r="D14" s="25">
        <f t="shared" si="0"/>
        <v>0.12757201646090535</v>
      </c>
      <c r="E14" s="28"/>
    </row>
    <row r="15" spans="1:5" ht="15.75" x14ac:dyDescent="0.25">
      <c r="B15" s="27" t="s">
        <v>94</v>
      </c>
      <c r="C15" s="26">
        <v>28</v>
      </c>
      <c r="D15" s="25">
        <f t="shared" si="0"/>
        <v>0.11522633744855967</v>
      </c>
      <c r="E15" s="28"/>
    </row>
    <row r="16" spans="1:5" x14ac:dyDescent="0.25">
      <c r="B16" s="27" t="s">
        <v>93</v>
      </c>
      <c r="C16" s="26">
        <v>19</v>
      </c>
      <c r="D16" s="25">
        <f t="shared" si="0"/>
        <v>7.8189300411522639E-2</v>
      </c>
    </row>
    <row r="17" spans="2:4" x14ac:dyDescent="0.25">
      <c r="B17" s="27" t="s">
        <v>95</v>
      </c>
      <c r="C17" s="26">
        <v>17</v>
      </c>
      <c r="D17" s="25">
        <f t="shared" si="0"/>
        <v>6.9958847736625515E-2</v>
      </c>
    </row>
    <row r="18" spans="2:4" x14ac:dyDescent="0.25">
      <c r="B18" s="27" t="s">
        <v>84</v>
      </c>
      <c r="C18" s="26">
        <v>17</v>
      </c>
      <c r="D18" s="25">
        <f t="shared" si="0"/>
        <v>6.9958847736625515E-2</v>
      </c>
    </row>
    <row r="19" spans="2:4" x14ac:dyDescent="0.25">
      <c r="B19" s="27" t="s">
        <v>83</v>
      </c>
      <c r="C19" s="26">
        <v>16</v>
      </c>
      <c r="D19" s="25">
        <f t="shared" si="0"/>
        <v>6.584362139917696E-2</v>
      </c>
    </row>
    <row r="20" spans="2:4" x14ac:dyDescent="0.25">
      <c r="B20" s="27" t="s">
        <v>86</v>
      </c>
      <c r="C20" s="26">
        <v>16</v>
      </c>
      <c r="D20" s="25">
        <f t="shared" si="0"/>
        <v>6.584362139917696E-2</v>
      </c>
    </row>
    <row r="21" spans="2:4" x14ac:dyDescent="0.25">
      <c r="B21" s="27" t="s">
        <v>96</v>
      </c>
      <c r="C21" s="26">
        <v>15</v>
      </c>
      <c r="D21" s="25">
        <f t="shared" si="0"/>
        <v>6.1728395061728392E-2</v>
      </c>
    </row>
    <row r="22" spans="2:4" x14ac:dyDescent="0.25">
      <c r="B22" s="24" t="s">
        <v>139</v>
      </c>
      <c r="C22" s="23">
        <f>SUM(C12:C21)</f>
        <v>243</v>
      </c>
      <c r="D22" s="22">
        <f t="shared" si="0"/>
        <v>1</v>
      </c>
    </row>
    <row r="24" spans="2:4" x14ac:dyDescent="0.25">
      <c r="B24" s="19" t="s">
        <v>170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"/>
  <sheetViews>
    <sheetView showGridLines="0" zoomScaleNormal="100" zoomScaleSheetLayoutView="115" workbookViewId="0">
      <selection activeCell="I24" sqref="I2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173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106</v>
      </c>
      <c r="C11" s="31" t="s">
        <v>55</v>
      </c>
      <c r="D11" s="30" t="s">
        <v>54</v>
      </c>
    </row>
    <row r="12" spans="1:5" x14ac:dyDescent="0.25">
      <c r="B12" s="27" t="s">
        <v>105</v>
      </c>
      <c r="C12" s="26">
        <v>235</v>
      </c>
      <c r="D12" s="25">
        <v>0.58750000000000002</v>
      </c>
    </row>
    <row r="13" spans="1:5" x14ac:dyDescent="0.25">
      <c r="B13" s="27" t="s">
        <v>104</v>
      </c>
      <c r="C13" s="26">
        <v>84</v>
      </c>
      <c r="D13" s="25">
        <v>0.21</v>
      </c>
    </row>
    <row r="14" spans="1:5" ht="15.75" x14ac:dyDescent="0.25">
      <c r="B14" s="27" t="s">
        <v>103</v>
      </c>
      <c r="C14" s="26">
        <v>41</v>
      </c>
      <c r="D14" s="25">
        <v>0.10249999999999999</v>
      </c>
      <c r="E14" s="28"/>
    </row>
    <row r="15" spans="1:5" ht="15.75" x14ac:dyDescent="0.25">
      <c r="B15" s="27" t="s">
        <v>102</v>
      </c>
      <c r="C15" s="26">
        <v>24</v>
      </c>
      <c r="D15" s="25">
        <v>0.06</v>
      </c>
      <c r="E15" s="28"/>
    </row>
    <row r="16" spans="1:5" x14ac:dyDescent="0.25">
      <c r="B16" s="27" t="s">
        <v>100</v>
      </c>
      <c r="C16" s="26">
        <v>6</v>
      </c>
      <c r="D16" s="25">
        <v>1.4999999999999999E-2</v>
      </c>
    </row>
    <row r="17" spans="2:4" x14ac:dyDescent="0.25">
      <c r="B17" s="27" t="s">
        <v>101</v>
      </c>
      <c r="C17" s="26">
        <v>4</v>
      </c>
      <c r="D17" s="25">
        <v>0.01</v>
      </c>
    </row>
    <row r="18" spans="2:4" x14ac:dyDescent="0.25">
      <c r="B18" s="27" t="s">
        <v>99</v>
      </c>
      <c r="C18" s="26">
        <v>3</v>
      </c>
      <c r="D18" s="25">
        <v>7.4999999999999997E-3</v>
      </c>
    </row>
    <row r="19" spans="2:4" x14ac:dyDescent="0.25">
      <c r="B19" s="27" t="s">
        <v>98</v>
      </c>
      <c r="C19" s="26">
        <v>3</v>
      </c>
      <c r="D19" s="25">
        <v>7.4999999999999997E-3</v>
      </c>
    </row>
    <row r="20" spans="2:4" x14ac:dyDescent="0.25">
      <c r="B20" s="24" t="s">
        <v>20</v>
      </c>
      <c r="C20" s="23">
        <v>400</v>
      </c>
      <c r="D20" s="22">
        <v>1</v>
      </c>
    </row>
    <row r="22" spans="2:4" x14ac:dyDescent="0.25">
      <c r="B22" s="19" t="s">
        <v>170</v>
      </c>
    </row>
    <row r="23" spans="2:4" x14ac:dyDescent="0.25">
      <c r="B23" s="21" t="s">
        <v>19</v>
      </c>
    </row>
    <row r="24" spans="2:4" x14ac:dyDescent="0.25">
      <c r="B24" s="20" t="s">
        <v>18</v>
      </c>
    </row>
    <row r="25" spans="2:4" x14ac:dyDescent="0.25">
      <c r="B25" s="19" t="s">
        <v>17</v>
      </c>
    </row>
    <row r="26" spans="2:4" x14ac:dyDescent="0.25">
      <c r="B26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2"/>
  <sheetViews>
    <sheetView zoomScale="87" zoomScaleNormal="87" zoomScaleSheetLayoutView="85" workbookViewId="0">
      <selection activeCell="G18" sqref="G18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108</v>
      </c>
      <c r="C9" s="49" t="s">
        <v>107</v>
      </c>
      <c r="D9" s="48" t="s">
        <v>55</v>
      </c>
      <c r="E9" s="47" t="s">
        <v>54</v>
      </c>
    </row>
    <row r="10" spans="1:5" ht="15" customHeight="1" x14ac:dyDescent="0.25">
      <c r="B10" s="80" t="s">
        <v>51</v>
      </c>
      <c r="C10" s="45" t="s">
        <v>104</v>
      </c>
      <c r="D10" s="44">
        <v>1</v>
      </c>
      <c r="E10" s="43">
        <v>2.5000000000000001E-3</v>
      </c>
    </row>
    <row r="11" spans="1:5" ht="15" customHeight="1" x14ac:dyDescent="0.25">
      <c r="B11" s="81"/>
      <c r="C11" s="45" t="s">
        <v>101</v>
      </c>
      <c r="D11" s="44">
        <v>1</v>
      </c>
      <c r="E11" s="43">
        <v>2.5000000000000001E-3</v>
      </c>
    </row>
    <row r="12" spans="1:5" ht="15" customHeight="1" x14ac:dyDescent="0.25">
      <c r="B12" s="81"/>
      <c r="C12" s="45" t="s">
        <v>100</v>
      </c>
      <c r="D12" s="44">
        <v>1</v>
      </c>
      <c r="E12" s="43">
        <v>2.5000000000000001E-3</v>
      </c>
    </row>
    <row r="13" spans="1:5" ht="15" customHeight="1" x14ac:dyDescent="0.25">
      <c r="B13" s="81"/>
      <c r="C13" s="45" t="s">
        <v>105</v>
      </c>
      <c r="D13" s="44">
        <v>14</v>
      </c>
      <c r="E13" s="43">
        <v>3.5000000000000003E-2</v>
      </c>
    </row>
    <row r="14" spans="1:5" ht="15" customHeight="1" x14ac:dyDescent="0.25">
      <c r="B14" s="82"/>
      <c r="C14" s="42" t="s">
        <v>20</v>
      </c>
      <c r="D14" s="41">
        <v>17</v>
      </c>
      <c r="E14" s="40">
        <v>4.2500000000000003E-2</v>
      </c>
    </row>
    <row r="15" spans="1:5" ht="15" customHeight="1" x14ac:dyDescent="0.25">
      <c r="B15" s="80" t="s">
        <v>33</v>
      </c>
      <c r="C15" s="45" t="s">
        <v>104</v>
      </c>
      <c r="D15" s="44">
        <v>1</v>
      </c>
      <c r="E15" s="43">
        <v>2.5000000000000001E-3</v>
      </c>
    </row>
    <row r="16" spans="1:5" ht="15" customHeight="1" x14ac:dyDescent="0.25">
      <c r="B16" s="81"/>
      <c r="C16" s="45" t="s">
        <v>105</v>
      </c>
      <c r="D16" s="44">
        <v>2</v>
      </c>
      <c r="E16" s="43">
        <v>5.0000000000000001E-3</v>
      </c>
    </row>
    <row r="17" spans="2:5" ht="15" customHeight="1" x14ac:dyDescent="0.25">
      <c r="B17" s="81"/>
      <c r="C17" s="45" t="s">
        <v>98</v>
      </c>
      <c r="D17" s="44">
        <v>1</v>
      </c>
      <c r="E17" s="43">
        <v>2.5000000000000001E-3</v>
      </c>
    </row>
    <row r="18" spans="2:5" ht="15" customHeight="1" x14ac:dyDescent="0.25">
      <c r="B18" s="82"/>
      <c r="C18" s="42" t="s">
        <v>20</v>
      </c>
      <c r="D18" s="41">
        <v>4</v>
      </c>
      <c r="E18" s="40">
        <v>0.01</v>
      </c>
    </row>
    <row r="19" spans="2:5" ht="15" customHeight="1" x14ac:dyDescent="0.25">
      <c r="B19" s="80" t="s">
        <v>30</v>
      </c>
      <c r="C19" s="45" t="s">
        <v>105</v>
      </c>
      <c r="D19" s="44">
        <v>3</v>
      </c>
      <c r="E19" s="43">
        <v>7.4999999999999997E-3</v>
      </c>
    </row>
    <row r="20" spans="2:5" ht="15" customHeight="1" x14ac:dyDescent="0.25">
      <c r="B20" s="82"/>
      <c r="C20" s="42" t="s">
        <v>20</v>
      </c>
      <c r="D20" s="41">
        <v>3</v>
      </c>
      <c r="E20" s="40">
        <v>7.4999999999999997E-3</v>
      </c>
    </row>
    <row r="21" spans="2:5" ht="15" customHeight="1" x14ac:dyDescent="0.25">
      <c r="B21" s="80" t="s">
        <v>53</v>
      </c>
      <c r="C21" s="45" t="s">
        <v>104</v>
      </c>
      <c r="D21" s="44">
        <v>22</v>
      </c>
      <c r="E21" s="43">
        <v>5.5E-2</v>
      </c>
    </row>
    <row r="22" spans="2:5" ht="15" customHeight="1" x14ac:dyDescent="0.25">
      <c r="B22" s="81"/>
      <c r="C22" s="45" t="s">
        <v>102</v>
      </c>
      <c r="D22" s="44">
        <v>20</v>
      </c>
      <c r="E22" s="43">
        <v>0.05</v>
      </c>
    </row>
    <row r="23" spans="2:5" ht="15" customHeight="1" x14ac:dyDescent="0.25">
      <c r="B23" s="81"/>
      <c r="C23" s="45" t="s">
        <v>103</v>
      </c>
      <c r="D23" s="44">
        <v>29</v>
      </c>
      <c r="E23" s="43">
        <v>7.2499999999999995E-2</v>
      </c>
    </row>
    <row r="24" spans="2:5" ht="15" customHeight="1" x14ac:dyDescent="0.25">
      <c r="B24" s="81"/>
      <c r="C24" s="45" t="s">
        <v>99</v>
      </c>
      <c r="D24" s="44">
        <v>3</v>
      </c>
      <c r="E24" s="43">
        <v>7.4999999999999997E-3</v>
      </c>
    </row>
    <row r="25" spans="2:5" ht="15" customHeight="1" x14ac:dyDescent="0.25">
      <c r="B25" s="81"/>
      <c r="C25" s="45" t="s">
        <v>105</v>
      </c>
      <c r="D25" s="44">
        <v>36</v>
      </c>
      <c r="E25" s="43">
        <v>0.09</v>
      </c>
    </row>
    <row r="26" spans="2:5" ht="15" customHeight="1" x14ac:dyDescent="0.25">
      <c r="B26" s="82"/>
      <c r="C26" s="42" t="s">
        <v>20</v>
      </c>
      <c r="D26" s="41">
        <v>110</v>
      </c>
      <c r="E26" s="40">
        <v>0.27500000000000002</v>
      </c>
    </row>
    <row r="27" spans="2:5" ht="15" customHeight="1" x14ac:dyDescent="0.25">
      <c r="B27" s="80" t="s">
        <v>43</v>
      </c>
      <c r="C27" s="45" t="s">
        <v>104</v>
      </c>
      <c r="D27" s="44">
        <v>4</v>
      </c>
      <c r="E27" s="43">
        <v>0.01</v>
      </c>
    </row>
    <row r="28" spans="2:5" ht="15" customHeight="1" x14ac:dyDescent="0.25">
      <c r="B28" s="81"/>
      <c r="C28" s="45" t="s">
        <v>102</v>
      </c>
      <c r="D28" s="44">
        <v>1</v>
      </c>
      <c r="E28" s="43">
        <v>2.5000000000000001E-3</v>
      </c>
    </row>
    <row r="29" spans="2:5" ht="15" customHeight="1" x14ac:dyDescent="0.25">
      <c r="B29" s="81"/>
      <c r="C29" s="45" t="s">
        <v>105</v>
      </c>
      <c r="D29" s="44">
        <v>2</v>
      </c>
      <c r="E29" s="43">
        <v>5.0000000000000001E-3</v>
      </c>
    </row>
    <row r="30" spans="2:5" ht="15" customHeight="1" x14ac:dyDescent="0.25">
      <c r="B30" s="82"/>
      <c r="C30" s="42" t="s">
        <v>20</v>
      </c>
      <c r="D30" s="41">
        <v>7</v>
      </c>
      <c r="E30" s="40">
        <v>1.7500000000000002E-2</v>
      </c>
    </row>
    <row r="31" spans="2:5" ht="15" customHeight="1" x14ac:dyDescent="0.25">
      <c r="B31" s="80" t="s">
        <v>27</v>
      </c>
      <c r="C31" s="45" t="s">
        <v>105</v>
      </c>
      <c r="D31" s="44">
        <v>1</v>
      </c>
      <c r="E31" s="43">
        <v>2.5000000000000001E-3</v>
      </c>
    </row>
    <row r="32" spans="2:5" ht="15" customHeight="1" x14ac:dyDescent="0.25">
      <c r="B32" s="82"/>
      <c r="C32" s="42" t="s">
        <v>20</v>
      </c>
      <c r="D32" s="41">
        <v>1</v>
      </c>
      <c r="E32" s="40">
        <v>2.5000000000000001E-3</v>
      </c>
    </row>
    <row r="33" spans="2:5" ht="15" customHeight="1" x14ac:dyDescent="0.25">
      <c r="B33" s="80" t="s">
        <v>26</v>
      </c>
      <c r="C33" s="45" t="s">
        <v>105</v>
      </c>
      <c r="D33" s="44">
        <v>1</v>
      </c>
      <c r="E33" s="43">
        <v>2.5000000000000001E-3</v>
      </c>
    </row>
    <row r="34" spans="2:5" ht="15" customHeight="1" x14ac:dyDescent="0.25">
      <c r="B34" s="82"/>
      <c r="C34" s="42" t="s">
        <v>20</v>
      </c>
      <c r="D34" s="41">
        <v>1</v>
      </c>
      <c r="E34" s="40">
        <v>2.5000000000000001E-3</v>
      </c>
    </row>
    <row r="35" spans="2:5" ht="15" customHeight="1" x14ac:dyDescent="0.25">
      <c r="B35" s="80" t="s">
        <v>50</v>
      </c>
      <c r="C35" s="45" t="s">
        <v>104</v>
      </c>
      <c r="D35" s="44">
        <v>2</v>
      </c>
      <c r="E35" s="43">
        <v>5.0000000000000001E-3</v>
      </c>
    </row>
    <row r="36" spans="2:5" ht="15" customHeight="1" x14ac:dyDescent="0.25">
      <c r="B36" s="81"/>
      <c r="C36" s="45" t="s">
        <v>103</v>
      </c>
      <c r="D36" s="44">
        <v>1</v>
      </c>
      <c r="E36" s="43">
        <v>2.5000000000000001E-3</v>
      </c>
    </row>
    <row r="37" spans="2:5" ht="15" customHeight="1" x14ac:dyDescent="0.25">
      <c r="B37" s="81"/>
      <c r="C37" s="45" t="s">
        <v>105</v>
      </c>
      <c r="D37" s="44">
        <v>21</v>
      </c>
      <c r="E37" s="43">
        <v>5.2499999999999998E-2</v>
      </c>
    </row>
    <row r="38" spans="2:5" ht="15" customHeight="1" x14ac:dyDescent="0.25">
      <c r="B38" s="82"/>
      <c r="C38" s="42" t="s">
        <v>20</v>
      </c>
      <c r="D38" s="41">
        <v>24</v>
      </c>
      <c r="E38" s="40">
        <v>0.06</v>
      </c>
    </row>
    <row r="39" spans="2:5" ht="15" customHeight="1" x14ac:dyDescent="0.25">
      <c r="B39" s="80" t="s">
        <v>49</v>
      </c>
      <c r="C39" s="45" t="s">
        <v>104</v>
      </c>
      <c r="D39" s="44">
        <v>3</v>
      </c>
      <c r="E39" s="43">
        <v>7.4999999999999997E-3</v>
      </c>
    </row>
    <row r="40" spans="2:5" ht="15" customHeight="1" x14ac:dyDescent="0.25">
      <c r="B40" s="81"/>
      <c r="C40" s="45" t="s">
        <v>105</v>
      </c>
      <c r="D40" s="44">
        <v>10</v>
      </c>
      <c r="E40" s="43">
        <v>2.5000000000000001E-2</v>
      </c>
    </row>
    <row r="41" spans="2:5" ht="15" customHeight="1" x14ac:dyDescent="0.25">
      <c r="B41" s="82"/>
      <c r="C41" s="42" t="s">
        <v>20</v>
      </c>
      <c r="D41" s="41">
        <v>13</v>
      </c>
      <c r="E41" s="40">
        <v>3.2500000000000001E-2</v>
      </c>
    </row>
    <row r="42" spans="2:5" ht="15" customHeight="1" x14ac:dyDescent="0.25">
      <c r="B42" s="80" t="s">
        <v>47</v>
      </c>
      <c r="C42" s="45" t="s">
        <v>104</v>
      </c>
      <c r="D42" s="44">
        <v>5</v>
      </c>
      <c r="E42" s="43">
        <v>1.2500000000000001E-2</v>
      </c>
    </row>
    <row r="43" spans="2:5" ht="15" customHeight="1" x14ac:dyDescent="0.25">
      <c r="B43" s="81"/>
      <c r="C43" s="45" t="s">
        <v>103</v>
      </c>
      <c r="D43" s="44">
        <v>1</v>
      </c>
      <c r="E43" s="43">
        <v>2.5000000000000001E-3</v>
      </c>
    </row>
    <row r="44" spans="2:5" ht="15" customHeight="1" x14ac:dyDescent="0.25">
      <c r="B44" s="81"/>
      <c r="C44" s="45" t="s">
        <v>105</v>
      </c>
      <c r="D44" s="44">
        <v>7</v>
      </c>
      <c r="E44" s="43">
        <v>1.7500000000000002E-2</v>
      </c>
    </row>
    <row r="45" spans="2:5" ht="15" customHeight="1" x14ac:dyDescent="0.25">
      <c r="B45" s="82"/>
      <c r="C45" s="42" t="s">
        <v>20</v>
      </c>
      <c r="D45" s="41">
        <v>13</v>
      </c>
      <c r="E45" s="40">
        <v>3.2500000000000001E-2</v>
      </c>
    </row>
    <row r="46" spans="2:5" ht="15" customHeight="1" x14ac:dyDescent="0.25">
      <c r="B46" s="80" t="s">
        <v>41</v>
      </c>
      <c r="C46" s="45" t="s">
        <v>104</v>
      </c>
      <c r="D46" s="44">
        <v>4</v>
      </c>
      <c r="E46" s="43">
        <v>0.01</v>
      </c>
    </row>
    <row r="47" spans="2:5" ht="15" customHeight="1" x14ac:dyDescent="0.25">
      <c r="B47" s="81"/>
      <c r="C47" s="45" t="s">
        <v>102</v>
      </c>
      <c r="D47" s="44">
        <v>1</v>
      </c>
      <c r="E47" s="43">
        <v>2.5000000000000001E-3</v>
      </c>
    </row>
    <row r="48" spans="2:5" ht="15" customHeight="1" x14ac:dyDescent="0.25">
      <c r="B48" s="81"/>
      <c r="C48" s="45" t="s">
        <v>105</v>
      </c>
      <c r="D48" s="44">
        <v>7</v>
      </c>
      <c r="E48" s="43">
        <v>1.7500000000000002E-2</v>
      </c>
    </row>
    <row r="49" spans="2:5" ht="15" customHeight="1" x14ac:dyDescent="0.25">
      <c r="B49" s="82"/>
      <c r="C49" s="42" t="s">
        <v>20</v>
      </c>
      <c r="D49" s="41">
        <v>12</v>
      </c>
      <c r="E49" s="40">
        <v>0.03</v>
      </c>
    </row>
    <row r="50" spans="2:5" ht="15" customHeight="1" x14ac:dyDescent="0.25">
      <c r="B50" s="80" t="s">
        <v>32</v>
      </c>
      <c r="C50" s="45" t="s">
        <v>103</v>
      </c>
      <c r="D50" s="44">
        <v>1</v>
      </c>
      <c r="E50" s="43">
        <v>2.5000000000000001E-3</v>
      </c>
    </row>
    <row r="51" spans="2:5" ht="15" customHeight="1" x14ac:dyDescent="0.25">
      <c r="B51" s="81"/>
      <c r="C51" s="45" t="s">
        <v>105</v>
      </c>
      <c r="D51" s="44">
        <v>2</v>
      </c>
      <c r="E51" s="43">
        <v>5.0000000000000001E-3</v>
      </c>
    </row>
    <row r="52" spans="2:5" ht="15" customHeight="1" x14ac:dyDescent="0.25">
      <c r="B52" s="82"/>
      <c r="C52" s="42" t="s">
        <v>20</v>
      </c>
      <c r="D52" s="41">
        <v>3</v>
      </c>
      <c r="E52" s="40">
        <v>7.4999999999999997E-3</v>
      </c>
    </row>
    <row r="53" spans="2:5" ht="15" customHeight="1" x14ac:dyDescent="0.25">
      <c r="B53" s="80" t="s">
        <v>25</v>
      </c>
      <c r="C53" s="45" t="s">
        <v>104</v>
      </c>
      <c r="D53" s="44">
        <v>1</v>
      </c>
      <c r="E53" s="43">
        <v>2.5000000000000001E-3</v>
      </c>
    </row>
    <row r="54" spans="2:5" ht="15" customHeight="1" x14ac:dyDescent="0.25">
      <c r="B54" s="82"/>
      <c r="C54" s="42" t="s">
        <v>20</v>
      </c>
      <c r="D54" s="41">
        <v>1</v>
      </c>
      <c r="E54" s="40">
        <v>2.5000000000000001E-3</v>
      </c>
    </row>
    <row r="55" spans="2:5" ht="15" customHeight="1" x14ac:dyDescent="0.25">
      <c r="B55" s="80" t="s">
        <v>28</v>
      </c>
      <c r="C55" s="45" t="s">
        <v>104</v>
      </c>
      <c r="D55" s="44">
        <v>2</v>
      </c>
      <c r="E55" s="43">
        <v>5.0000000000000001E-3</v>
      </c>
    </row>
    <row r="56" spans="2:5" ht="15" customHeight="1" x14ac:dyDescent="0.25">
      <c r="B56" s="81"/>
      <c r="C56" s="45" t="s">
        <v>100</v>
      </c>
      <c r="D56" s="44">
        <v>1</v>
      </c>
      <c r="E56" s="43">
        <v>2.5000000000000001E-3</v>
      </c>
    </row>
    <row r="57" spans="2:5" ht="15" customHeight="1" x14ac:dyDescent="0.25">
      <c r="B57" s="81"/>
      <c r="C57" s="45" t="s">
        <v>105</v>
      </c>
      <c r="D57" s="44">
        <v>5</v>
      </c>
      <c r="E57" s="43">
        <v>1.2500000000000001E-2</v>
      </c>
    </row>
    <row r="58" spans="2:5" ht="15" customHeight="1" x14ac:dyDescent="0.25">
      <c r="B58" s="82"/>
      <c r="C58" s="42" t="s">
        <v>20</v>
      </c>
      <c r="D58" s="41">
        <v>8</v>
      </c>
      <c r="E58" s="40">
        <v>0.02</v>
      </c>
    </row>
    <row r="59" spans="2:5" ht="15" customHeight="1" x14ac:dyDescent="0.25">
      <c r="B59" s="80" t="s">
        <v>38</v>
      </c>
      <c r="C59" s="45" t="s">
        <v>105</v>
      </c>
      <c r="D59" s="44">
        <v>6</v>
      </c>
      <c r="E59" s="43">
        <v>1.4999999999999999E-2</v>
      </c>
    </row>
    <row r="60" spans="2:5" ht="15" customHeight="1" x14ac:dyDescent="0.25">
      <c r="B60" s="82"/>
      <c r="C60" s="42" t="s">
        <v>20</v>
      </c>
      <c r="D60" s="41">
        <v>6</v>
      </c>
      <c r="E60" s="40">
        <v>1.4999999999999999E-2</v>
      </c>
    </row>
    <row r="61" spans="2:5" ht="15" customHeight="1" x14ac:dyDescent="0.25">
      <c r="B61" s="80" t="s">
        <v>45</v>
      </c>
      <c r="C61" s="45" t="s">
        <v>100</v>
      </c>
      <c r="D61" s="44">
        <v>1</v>
      </c>
      <c r="E61" s="43">
        <v>2.5000000000000001E-3</v>
      </c>
    </row>
    <row r="62" spans="2:5" ht="15" customHeight="1" x14ac:dyDescent="0.25">
      <c r="B62" s="81"/>
      <c r="C62" s="45" t="s">
        <v>103</v>
      </c>
      <c r="D62" s="44">
        <v>1</v>
      </c>
      <c r="E62" s="43">
        <v>2.5000000000000001E-3</v>
      </c>
    </row>
    <row r="63" spans="2:5" ht="15" customHeight="1" x14ac:dyDescent="0.25">
      <c r="B63" s="81"/>
      <c r="C63" s="45" t="s">
        <v>105</v>
      </c>
      <c r="D63" s="44">
        <v>5</v>
      </c>
      <c r="E63" s="43">
        <v>1.2500000000000001E-2</v>
      </c>
    </row>
    <row r="64" spans="2:5" ht="15" customHeight="1" x14ac:dyDescent="0.25">
      <c r="B64" s="82"/>
      <c r="C64" s="42" t="s">
        <v>20</v>
      </c>
      <c r="D64" s="41">
        <v>7</v>
      </c>
      <c r="E64" s="40">
        <v>1.7500000000000002E-2</v>
      </c>
    </row>
    <row r="65" spans="2:5" ht="15" customHeight="1" x14ac:dyDescent="0.25">
      <c r="B65" s="80" t="s">
        <v>22</v>
      </c>
      <c r="C65" s="45" t="s">
        <v>101</v>
      </c>
      <c r="D65" s="44">
        <v>1</v>
      </c>
      <c r="E65" s="43">
        <v>2.5000000000000001E-3</v>
      </c>
    </row>
    <row r="66" spans="2:5" ht="15" customHeight="1" x14ac:dyDescent="0.25">
      <c r="B66" s="82"/>
      <c r="C66" s="42" t="s">
        <v>20</v>
      </c>
      <c r="D66" s="41">
        <v>1</v>
      </c>
      <c r="E66" s="40">
        <v>2.5000000000000001E-3</v>
      </c>
    </row>
    <row r="67" spans="2:5" ht="15" customHeight="1" x14ac:dyDescent="0.25">
      <c r="B67" s="80" t="s">
        <v>31</v>
      </c>
      <c r="C67" s="45" t="s">
        <v>104</v>
      </c>
      <c r="D67" s="44">
        <v>2</v>
      </c>
      <c r="E67" s="43">
        <v>5.0000000000000001E-3</v>
      </c>
    </row>
    <row r="68" spans="2:5" ht="15" customHeight="1" x14ac:dyDescent="0.25">
      <c r="B68" s="81"/>
      <c r="C68" s="45" t="s">
        <v>105</v>
      </c>
      <c r="D68" s="44">
        <v>1</v>
      </c>
      <c r="E68" s="43">
        <v>2.5000000000000001E-3</v>
      </c>
    </row>
    <row r="69" spans="2:5" ht="15" customHeight="1" x14ac:dyDescent="0.25">
      <c r="B69" s="82"/>
      <c r="C69" s="42" t="s">
        <v>20</v>
      </c>
      <c r="D69" s="41">
        <v>3</v>
      </c>
      <c r="E69" s="40">
        <v>7.4999999999999997E-3</v>
      </c>
    </row>
    <row r="70" spans="2:5" ht="15" customHeight="1" x14ac:dyDescent="0.25">
      <c r="B70" s="80" t="s">
        <v>39</v>
      </c>
      <c r="C70" s="45" t="s">
        <v>104</v>
      </c>
      <c r="D70" s="44">
        <v>2</v>
      </c>
      <c r="E70" s="43">
        <v>5.0000000000000001E-3</v>
      </c>
    </row>
    <row r="71" spans="2:5" ht="15" customHeight="1" x14ac:dyDescent="0.25">
      <c r="B71" s="81"/>
      <c r="C71" s="45" t="s">
        <v>105</v>
      </c>
      <c r="D71" s="44">
        <v>2</v>
      </c>
      <c r="E71" s="43">
        <v>5.0000000000000001E-3</v>
      </c>
    </row>
    <row r="72" spans="2:5" ht="15" customHeight="1" x14ac:dyDescent="0.25">
      <c r="B72" s="82"/>
      <c r="C72" s="42" t="s">
        <v>20</v>
      </c>
      <c r="D72" s="41">
        <v>4</v>
      </c>
      <c r="E72" s="40">
        <v>0.01</v>
      </c>
    </row>
    <row r="73" spans="2:5" ht="15" customHeight="1" x14ac:dyDescent="0.25">
      <c r="B73" s="80" t="s">
        <v>24</v>
      </c>
      <c r="C73" s="45" t="s">
        <v>104</v>
      </c>
      <c r="D73" s="44">
        <v>2</v>
      </c>
      <c r="E73" s="43">
        <v>5.0000000000000001E-3</v>
      </c>
    </row>
    <row r="74" spans="2:5" ht="15" customHeight="1" x14ac:dyDescent="0.25">
      <c r="B74" s="81"/>
      <c r="C74" s="45" t="s">
        <v>105</v>
      </c>
      <c r="D74" s="44">
        <v>2</v>
      </c>
      <c r="E74" s="43">
        <v>5.0000000000000001E-3</v>
      </c>
    </row>
    <row r="75" spans="2:5" ht="15" customHeight="1" x14ac:dyDescent="0.25">
      <c r="B75" s="82"/>
      <c r="C75" s="42" t="s">
        <v>20</v>
      </c>
      <c r="D75" s="41">
        <v>4</v>
      </c>
      <c r="E75" s="40">
        <v>0.01</v>
      </c>
    </row>
    <row r="76" spans="2:5" ht="15" customHeight="1" x14ac:dyDescent="0.25">
      <c r="B76" s="80" t="s">
        <v>34</v>
      </c>
      <c r="C76" s="45" t="s">
        <v>104</v>
      </c>
      <c r="D76" s="44">
        <v>2</v>
      </c>
      <c r="E76" s="43">
        <v>5.0000000000000001E-3</v>
      </c>
    </row>
    <row r="77" spans="2:5" ht="15" customHeight="1" x14ac:dyDescent="0.25">
      <c r="B77" s="81"/>
      <c r="C77" s="45" t="s">
        <v>105</v>
      </c>
      <c r="D77" s="44">
        <v>4</v>
      </c>
      <c r="E77" s="43">
        <v>0.01</v>
      </c>
    </row>
    <row r="78" spans="2:5" ht="15" customHeight="1" x14ac:dyDescent="0.25">
      <c r="B78" s="82"/>
      <c r="C78" s="42" t="s">
        <v>20</v>
      </c>
      <c r="D78" s="41">
        <v>6</v>
      </c>
      <c r="E78" s="40">
        <v>1.4999999999999999E-2</v>
      </c>
    </row>
    <row r="79" spans="2:5" ht="15" customHeight="1" x14ac:dyDescent="0.25">
      <c r="B79" s="80" t="s">
        <v>46</v>
      </c>
      <c r="C79" s="45" t="s">
        <v>104</v>
      </c>
      <c r="D79" s="44">
        <v>2</v>
      </c>
      <c r="E79" s="43">
        <v>5.0000000000000001E-3</v>
      </c>
    </row>
    <row r="80" spans="2:5" ht="15" customHeight="1" x14ac:dyDescent="0.25">
      <c r="B80" s="81"/>
      <c r="C80" s="45" t="s">
        <v>101</v>
      </c>
      <c r="D80" s="44">
        <v>1</v>
      </c>
      <c r="E80" s="43">
        <v>2.5000000000000001E-3</v>
      </c>
    </row>
    <row r="81" spans="2:5" ht="15" customHeight="1" x14ac:dyDescent="0.25">
      <c r="B81" s="81"/>
      <c r="C81" s="45" t="s">
        <v>103</v>
      </c>
      <c r="D81" s="44">
        <v>1</v>
      </c>
      <c r="E81" s="43">
        <v>2.5000000000000001E-3</v>
      </c>
    </row>
    <row r="82" spans="2:5" ht="15" customHeight="1" x14ac:dyDescent="0.25">
      <c r="B82" s="81"/>
      <c r="C82" s="45" t="s">
        <v>105</v>
      </c>
      <c r="D82" s="44">
        <v>20</v>
      </c>
      <c r="E82" s="43">
        <v>0.05</v>
      </c>
    </row>
    <row r="83" spans="2:5" ht="15" customHeight="1" x14ac:dyDescent="0.25">
      <c r="B83" s="82"/>
      <c r="C83" s="42" t="s">
        <v>20</v>
      </c>
      <c r="D83" s="41">
        <v>24</v>
      </c>
      <c r="E83" s="40">
        <v>0.06</v>
      </c>
    </row>
    <row r="84" spans="2:5" ht="15" customHeight="1" x14ac:dyDescent="0.25">
      <c r="B84" s="80" t="s">
        <v>23</v>
      </c>
      <c r="C84" s="45" t="s">
        <v>104</v>
      </c>
      <c r="D84" s="44">
        <v>2</v>
      </c>
      <c r="E84" s="43">
        <v>5.0000000000000001E-3</v>
      </c>
    </row>
    <row r="85" spans="2:5" ht="15" customHeight="1" x14ac:dyDescent="0.25">
      <c r="B85" s="81"/>
      <c r="C85" s="45" t="s">
        <v>103</v>
      </c>
      <c r="D85" s="44">
        <v>1</v>
      </c>
      <c r="E85" s="43">
        <v>2.5000000000000001E-3</v>
      </c>
    </row>
    <row r="86" spans="2:5" ht="15" customHeight="1" x14ac:dyDescent="0.25">
      <c r="B86" s="81"/>
      <c r="C86" s="45" t="s">
        <v>105</v>
      </c>
      <c r="D86" s="44">
        <v>2</v>
      </c>
      <c r="E86" s="43">
        <v>5.0000000000000001E-3</v>
      </c>
    </row>
    <row r="87" spans="2:5" ht="15" customHeight="1" x14ac:dyDescent="0.25">
      <c r="B87" s="82"/>
      <c r="C87" s="42" t="s">
        <v>20</v>
      </c>
      <c r="D87" s="41">
        <v>5</v>
      </c>
      <c r="E87" s="40">
        <v>1.2500000000000001E-2</v>
      </c>
    </row>
    <row r="88" spans="2:5" ht="15" customHeight="1" x14ac:dyDescent="0.25">
      <c r="B88" s="80" t="s">
        <v>29</v>
      </c>
      <c r="C88" s="45" t="s">
        <v>104</v>
      </c>
      <c r="D88" s="44">
        <v>1</v>
      </c>
      <c r="E88" s="43">
        <v>2.5000000000000001E-3</v>
      </c>
    </row>
    <row r="89" spans="2:5" ht="15" customHeight="1" x14ac:dyDescent="0.25">
      <c r="B89" s="81"/>
      <c r="C89" s="45" t="s">
        <v>105</v>
      </c>
      <c r="D89" s="44">
        <v>9</v>
      </c>
      <c r="E89" s="43">
        <v>2.2499999999999999E-2</v>
      </c>
    </row>
    <row r="90" spans="2:5" ht="15" customHeight="1" x14ac:dyDescent="0.25">
      <c r="B90" s="82"/>
      <c r="C90" s="42" t="s">
        <v>20</v>
      </c>
      <c r="D90" s="41">
        <v>10</v>
      </c>
      <c r="E90" s="40">
        <v>2.5000000000000001E-2</v>
      </c>
    </row>
    <row r="91" spans="2:5" ht="15" customHeight="1" x14ac:dyDescent="0.25">
      <c r="B91" s="80" t="s">
        <v>44</v>
      </c>
      <c r="C91" s="45" t="s">
        <v>104</v>
      </c>
      <c r="D91" s="44">
        <v>2</v>
      </c>
      <c r="E91" s="43">
        <v>5.0000000000000001E-3</v>
      </c>
    </row>
    <row r="92" spans="2:5" ht="15" customHeight="1" x14ac:dyDescent="0.25">
      <c r="B92" s="81"/>
      <c r="C92" s="45" t="s">
        <v>105</v>
      </c>
      <c r="D92" s="44">
        <v>2</v>
      </c>
      <c r="E92" s="43">
        <v>5.0000000000000001E-3</v>
      </c>
    </row>
    <row r="93" spans="2:5" ht="15" customHeight="1" x14ac:dyDescent="0.25">
      <c r="B93" s="81"/>
      <c r="C93" s="45" t="s">
        <v>98</v>
      </c>
      <c r="D93" s="44">
        <v>1</v>
      </c>
      <c r="E93" s="43">
        <v>2.5000000000000001E-3</v>
      </c>
    </row>
    <row r="94" spans="2:5" ht="15" customHeight="1" x14ac:dyDescent="0.25">
      <c r="B94" s="82"/>
      <c r="C94" s="42" t="s">
        <v>20</v>
      </c>
      <c r="D94" s="41">
        <v>5</v>
      </c>
      <c r="E94" s="40">
        <v>1.2500000000000001E-2</v>
      </c>
    </row>
    <row r="95" spans="2:5" ht="15" customHeight="1" x14ac:dyDescent="0.25">
      <c r="B95" s="80" t="s">
        <v>37</v>
      </c>
      <c r="C95" s="45" t="s">
        <v>104</v>
      </c>
      <c r="D95" s="44">
        <v>1</v>
      </c>
      <c r="E95" s="43">
        <v>2.5000000000000001E-3</v>
      </c>
    </row>
    <row r="96" spans="2:5" ht="15" customHeight="1" x14ac:dyDescent="0.25">
      <c r="B96" s="81"/>
      <c r="C96" s="45" t="s">
        <v>105</v>
      </c>
      <c r="D96" s="44">
        <v>11</v>
      </c>
      <c r="E96" s="43">
        <v>2.75E-2</v>
      </c>
    </row>
    <row r="97" spans="2:5" ht="15" customHeight="1" x14ac:dyDescent="0.25">
      <c r="B97" s="82"/>
      <c r="C97" s="42" t="s">
        <v>20</v>
      </c>
      <c r="D97" s="41">
        <v>12</v>
      </c>
      <c r="E97" s="40">
        <v>0.03</v>
      </c>
    </row>
    <row r="98" spans="2:5" ht="15" customHeight="1" x14ac:dyDescent="0.25">
      <c r="B98" s="80" t="s">
        <v>42</v>
      </c>
      <c r="C98" s="45" t="s">
        <v>104</v>
      </c>
      <c r="D98" s="44">
        <v>3</v>
      </c>
      <c r="E98" s="43">
        <v>7.4999999999999997E-3</v>
      </c>
    </row>
    <row r="99" spans="2:5" ht="15" customHeight="1" x14ac:dyDescent="0.25">
      <c r="B99" s="81"/>
      <c r="C99" s="45" t="s">
        <v>105</v>
      </c>
      <c r="D99" s="44">
        <v>2</v>
      </c>
      <c r="E99" s="43">
        <v>5.0000000000000001E-3</v>
      </c>
    </row>
    <row r="100" spans="2:5" ht="15" customHeight="1" x14ac:dyDescent="0.25">
      <c r="B100" s="82"/>
      <c r="C100" s="42" t="s">
        <v>20</v>
      </c>
      <c r="D100" s="41">
        <v>5</v>
      </c>
      <c r="E100" s="40">
        <v>1.2500000000000001E-2</v>
      </c>
    </row>
    <row r="101" spans="2:5" ht="15" customHeight="1" x14ac:dyDescent="0.25">
      <c r="B101" s="80" t="s">
        <v>52</v>
      </c>
      <c r="C101" s="45" t="s">
        <v>104</v>
      </c>
      <c r="D101" s="44">
        <v>15</v>
      </c>
      <c r="E101" s="43">
        <v>3.7499999999999999E-2</v>
      </c>
    </row>
    <row r="102" spans="2:5" ht="15" customHeight="1" x14ac:dyDescent="0.25">
      <c r="B102" s="81"/>
      <c r="C102" s="45" t="s">
        <v>101</v>
      </c>
      <c r="D102" s="44">
        <v>1</v>
      </c>
      <c r="E102" s="43">
        <v>2.5000000000000001E-3</v>
      </c>
    </row>
    <row r="103" spans="2:5" ht="15" customHeight="1" x14ac:dyDescent="0.25">
      <c r="B103" s="81"/>
      <c r="C103" s="45" t="s">
        <v>102</v>
      </c>
      <c r="D103" s="44">
        <v>2</v>
      </c>
      <c r="E103" s="43">
        <v>5.0000000000000001E-3</v>
      </c>
    </row>
    <row r="104" spans="2:5" ht="15" customHeight="1" x14ac:dyDescent="0.25">
      <c r="B104" s="81"/>
      <c r="C104" s="45" t="s">
        <v>100</v>
      </c>
      <c r="D104" s="44">
        <v>1</v>
      </c>
      <c r="E104" s="43">
        <v>2.5000000000000001E-3</v>
      </c>
    </row>
    <row r="105" spans="2:5" ht="15" customHeight="1" x14ac:dyDescent="0.25">
      <c r="B105" s="81"/>
      <c r="C105" s="45" t="s">
        <v>103</v>
      </c>
      <c r="D105" s="44">
        <v>1</v>
      </c>
      <c r="E105" s="43">
        <v>2.5000000000000001E-3</v>
      </c>
    </row>
    <row r="106" spans="2:5" ht="15" customHeight="1" x14ac:dyDescent="0.25">
      <c r="B106" s="81"/>
      <c r="C106" s="45" t="s">
        <v>105</v>
      </c>
      <c r="D106" s="44">
        <v>48</v>
      </c>
      <c r="E106" s="43">
        <v>0.12</v>
      </c>
    </row>
    <row r="107" spans="2:5" ht="15" customHeight="1" x14ac:dyDescent="0.25">
      <c r="B107" s="81"/>
      <c r="C107" s="45" t="s">
        <v>98</v>
      </c>
      <c r="D107" s="44">
        <v>1</v>
      </c>
      <c r="E107" s="43">
        <v>2.5000000000000001E-3</v>
      </c>
    </row>
    <row r="108" spans="2:5" ht="15" customHeight="1" x14ac:dyDescent="0.25">
      <c r="B108" s="82"/>
      <c r="C108" s="42" t="s">
        <v>20</v>
      </c>
      <c r="D108" s="41">
        <v>69</v>
      </c>
      <c r="E108" s="40">
        <v>0.17249999999999999</v>
      </c>
    </row>
    <row r="109" spans="2:5" ht="15" customHeight="1" x14ac:dyDescent="0.25">
      <c r="B109" s="80" t="s">
        <v>36</v>
      </c>
      <c r="C109" s="45" t="s">
        <v>104</v>
      </c>
      <c r="D109" s="44">
        <v>1</v>
      </c>
      <c r="E109" s="43">
        <v>2.5000000000000001E-3</v>
      </c>
    </row>
    <row r="110" spans="2:5" ht="15" customHeight="1" x14ac:dyDescent="0.25">
      <c r="B110" s="81"/>
      <c r="C110" s="45" t="s">
        <v>100</v>
      </c>
      <c r="D110" s="44">
        <v>1</v>
      </c>
      <c r="E110" s="43">
        <v>2.5000000000000001E-3</v>
      </c>
    </row>
    <row r="111" spans="2:5" ht="15" customHeight="1" x14ac:dyDescent="0.25">
      <c r="B111" s="81"/>
      <c r="C111" s="45" t="s">
        <v>103</v>
      </c>
      <c r="D111" s="44">
        <v>1</v>
      </c>
      <c r="E111" s="43">
        <v>2.5000000000000001E-3</v>
      </c>
    </row>
    <row r="112" spans="2:5" ht="15" customHeight="1" x14ac:dyDescent="0.25">
      <c r="B112" s="81"/>
      <c r="C112" s="45" t="s">
        <v>105</v>
      </c>
      <c r="D112" s="44">
        <v>2</v>
      </c>
      <c r="E112" s="43">
        <v>5.0000000000000001E-3</v>
      </c>
    </row>
    <row r="113" spans="2:5" ht="15" customHeight="1" x14ac:dyDescent="0.25">
      <c r="B113" s="82"/>
      <c r="C113" s="42" t="s">
        <v>20</v>
      </c>
      <c r="D113" s="41">
        <v>5</v>
      </c>
      <c r="E113" s="40">
        <v>1.2500000000000001E-2</v>
      </c>
    </row>
    <row r="114" spans="2:5" ht="15" customHeight="1" x14ac:dyDescent="0.25">
      <c r="B114" s="80" t="s">
        <v>48</v>
      </c>
      <c r="C114" s="45" t="s">
        <v>104</v>
      </c>
      <c r="D114" s="44">
        <v>1</v>
      </c>
      <c r="E114" s="43">
        <v>2.5000000000000001E-3</v>
      </c>
    </row>
    <row r="115" spans="2:5" ht="15" customHeight="1" x14ac:dyDescent="0.25">
      <c r="B115" s="81"/>
      <c r="C115" s="45" t="s">
        <v>105</v>
      </c>
      <c r="D115" s="44">
        <v>6</v>
      </c>
      <c r="E115" s="43">
        <v>1.4999999999999999E-2</v>
      </c>
    </row>
    <row r="116" spans="2:5" ht="15" customHeight="1" x14ac:dyDescent="0.25">
      <c r="B116" s="82"/>
      <c r="C116" s="42" t="s">
        <v>20</v>
      </c>
      <c r="D116" s="41">
        <v>7</v>
      </c>
      <c r="E116" s="40">
        <v>1.7500000000000002E-2</v>
      </c>
    </row>
    <row r="117" spans="2:5" ht="15" customHeight="1" x14ac:dyDescent="0.25">
      <c r="B117" s="80" t="s">
        <v>35</v>
      </c>
      <c r="C117" s="45" t="s">
        <v>104</v>
      </c>
      <c r="D117" s="44">
        <v>2</v>
      </c>
      <c r="E117" s="43">
        <v>5.0000000000000001E-3</v>
      </c>
    </row>
    <row r="118" spans="2:5" ht="15" customHeight="1" x14ac:dyDescent="0.25">
      <c r="B118" s="81"/>
      <c r="C118" s="45" t="s">
        <v>103</v>
      </c>
      <c r="D118" s="44">
        <v>4</v>
      </c>
      <c r="E118" s="43">
        <v>0.01</v>
      </c>
    </row>
    <row r="119" spans="2:5" ht="15" customHeight="1" x14ac:dyDescent="0.25">
      <c r="B119" s="81"/>
      <c r="C119" s="45" t="s">
        <v>105</v>
      </c>
      <c r="D119" s="44">
        <v>1</v>
      </c>
      <c r="E119" s="43">
        <v>2.5000000000000001E-3</v>
      </c>
    </row>
    <row r="120" spans="2:5" ht="15" customHeight="1" x14ac:dyDescent="0.25">
      <c r="B120" s="82"/>
      <c r="C120" s="42" t="s">
        <v>20</v>
      </c>
      <c r="D120" s="41">
        <v>7</v>
      </c>
      <c r="E120" s="40">
        <v>1.7500000000000002E-2</v>
      </c>
    </row>
    <row r="121" spans="2:5" ht="15" customHeight="1" x14ac:dyDescent="0.25">
      <c r="B121" s="80" t="s">
        <v>21</v>
      </c>
      <c r="C121" s="45" t="s">
        <v>104</v>
      </c>
      <c r="D121" s="44">
        <v>1</v>
      </c>
      <c r="E121" s="43">
        <v>2.5000000000000001E-3</v>
      </c>
    </row>
    <row r="122" spans="2:5" ht="15" customHeight="1" x14ac:dyDescent="0.25">
      <c r="B122" s="82"/>
      <c r="C122" s="42" t="s">
        <v>20</v>
      </c>
      <c r="D122" s="41">
        <v>1</v>
      </c>
      <c r="E122" s="40">
        <v>2.5000000000000001E-3</v>
      </c>
    </row>
    <row r="123" spans="2:5" ht="15" customHeight="1" x14ac:dyDescent="0.25">
      <c r="B123" s="80" t="s">
        <v>40</v>
      </c>
      <c r="C123" s="45" t="s">
        <v>100</v>
      </c>
      <c r="D123" s="44">
        <v>1</v>
      </c>
      <c r="E123" s="43">
        <v>2.5000000000000001E-3</v>
      </c>
    </row>
    <row r="124" spans="2:5" ht="15" customHeight="1" x14ac:dyDescent="0.25">
      <c r="B124" s="81"/>
      <c r="C124" s="45" t="s">
        <v>105</v>
      </c>
      <c r="D124" s="44">
        <v>1</v>
      </c>
      <c r="E124" s="43">
        <v>2.5000000000000001E-3</v>
      </c>
    </row>
    <row r="125" spans="2:5" ht="15" customHeight="1" x14ac:dyDescent="0.25">
      <c r="B125" s="82"/>
      <c r="C125" s="42" t="s">
        <v>20</v>
      </c>
      <c r="D125" s="41">
        <v>2</v>
      </c>
      <c r="E125" s="40">
        <v>5.0000000000000001E-3</v>
      </c>
    </row>
    <row r="126" spans="2:5" ht="15" customHeight="1" x14ac:dyDescent="0.25">
      <c r="B126" s="83" t="s">
        <v>20</v>
      </c>
      <c r="C126" s="84"/>
      <c r="D126" s="39">
        <v>400</v>
      </c>
      <c r="E126" s="38">
        <v>1</v>
      </c>
    </row>
    <row r="128" spans="2:5" ht="15" customHeight="1" x14ac:dyDescent="0.25">
      <c r="B128" s="19" t="s">
        <v>170</v>
      </c>
    </row>
    <row r="129" spans="2:2" ht="15" customHeight="1" x14ac:dyDescent="0.25">
      <c r="B129" s="21" t="s">
        <v>19</v>
      </c>
    </row>
    <row r="130" spans="2:2" ht="15" customHeight="1" x14ac:dyDescent="0.25">
      <c r="B130" s="20" t="s">
        <v>18</v>
      </c>
    </row>
    <row r="131" spans="2:2" ht="15" customHeight="1" x14ac:dyDescent="0.25">
      <c r="B131" s="19" t="s">
        <v>17</v>
      </c>
    </row>
    <row r="132" spans="2:2" ht="15" customHeight="1" x14ac:dyDescent="0.25">
      <c r="B132" s="19" t="s">
        <v>171</v>
      </c>
    </row>
  </sheetData>
  <mergeCells count="35">
    <mergeCell ref="B10:B14"/>
    <mergeCell ref="B15:B18"/>
    <mergeCell ref="B19:B20"/>
    <mergeCell ref="B21:B26"/>
    <mergeCell ref="B27:B30"/>
    <mergeCell ref="B7:E8"/>
    <mergeCell ref="B46:B49"/>
    <mergeCell ref="B50:B52"/>
    <mergeCell ref="B53:B54"/>
    <mergeCell ref="B55:B58"/>
    <mergeCell ref="B59:B60"/>
    <mergeCell ref="B61:B64"/>
    <mergeCell ref="B65:B66"/>
    <mergeCell ref="B31:B32"/>
    <mergeCell ref="B33:B34"/>
    <mergeCell ref="B35:B38"/>
    <mergeCell ref="B39:B41"/>
    <mergeCell ref="B42:B45"/>
    <mergeCell ref="B76:B78"/>
    <mergeCell ref="B79:B83"/>
    <mergeCell ref="B84:B87"/>
    <mergeCell ref="B88:B90"/>
    <mergeCell ref="B67:B69"/>
    <mergeCell ref="B70:B72"/>
    <mergeCell ref="B73:B75"/>
    <mergeCell ref="B109:B113"/>
    <mergeCell ref="B114:B116"/>
    <mergeCell ref="B117:B120"/>
    <mergeCell ref="B121:B122"/>
    <mergeCell ref="B123:B125"/>
    <mergeCell ref="B126:C126"/>
    <mergeCell ref="B91:B94"/>
    <mergeCell ref="B95:B97"/>
    <mergeCell ref="B98:B100"/>
    <mergeCell ref="B101:B1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4"/>
  <sheetViews>
    <sheetView zoomScale="98" zoomScaleNormal="98" zoomScaleSheetLayoutView="85" workbookViewId="0">
      <selection activeCell="F22" sqref="F2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97</v>
      </c>
      <c r="C9" s="49" t="s">
        <v>107</v>
      </c>
      <c r="D9" s="48" t="s">
        <v>55</v>
      </c>
      <c r="E9" s="47" t="s">
        <v>54</v>
      </c>
    </row>
    <row r="10" spans="1:5" ht="15" customHeight="1" x14ac:dyDescent="0.25">
      <c r="B10" s="80" t="s">
        <v>60</v>
      </c>
      <c r="C10" s="45" t="s">
        <v>104</v>
      </c>
      <c r="D10" s="44">
        <v>2</v>
      </c>
      <c r="E10" s="43">
        <v>5.0000000000000001E-3</v>
      </c>
    </row>
    <row r="11" spans="1:5" ht="15" customHeight="1" x14ac:dyDescent="0.25">
      <c r="B11" s="81"/>
      <c r="C11" s="45" t="s">
        <v>105</v>
      </c>
      <c r="D11" s="44">
        <v>2</v>
      </c>
      <c r="E11" s="43">
        <v>5.0000000000000001E-3</v>
      </c>
    </row>
    <row r="12" spans="1:5" ht="15" customHeight="1" x14ac:dyDescent="0.25">
      <c r="B12" s="82"/>
      <c r="C12" s="42" t="s">
        <v>20</v>
      </c>
      <c r="D12" s="41">
        <v>4</v>
      </c>
      <c r="E12" s="40">
        <v>0.01</v>
      </c>
    </row>
    <row r="13" spans="1:5" ht="15" customHeight="1" x14ac:dyDescent="0.25">
      <c r="B13" s="80" t="s">
        <v>92</v>
      </c>
      <c r="C13" s="45" t="s">
        <v>104</v>
      </c>
      <c r="D13" s="44">
        <v>5</v>
      </c>
      <c r="E13" s="43">
        <v>1.2500000000000001E-2</v>
      </c>
    </row>
    <row r="14" spans="1:5" ht="15" customHeight="1" x14ac:dyDescent="0.25">
      <c r="B14" s="81"/>
      <c r="C14" s="45" t="s">
        <v>101</v>
      </c>
      <c r="D14" s="44">
        <v>1</v>
      </c>
      <c r="E14" s="43">
        <v>2.5000000000000001E-3</v>
      </c>
    </row>
    <row r="15" spans="1:5" ht="15" customHeight="1" x14ac:dyDescent="0.25">
      <c r="B15" s="81"/>
      <c r="C15" s="45" t="s">
        <v>100</v>
      </c>
      <c r="D15" s="44">
        <v>1</v>
      </c>
      <c r="E15" s="43">
        <v>2.5000000000000001E-3</v>
      </c>
    </row>
    <row r="16" spans="1:5" ht="15" customHeight="1" x14ac:dyDescent="0.25">
      <c r="B16" s="81"/>
      <c r="C16" s="45" t="s">
        <v>105</v>
      </c>
      <c r="D16" s="44">
        <v>24</v>
      </c>
      <c r="E16" s="43">
        <v>0.06</v>
      </c>
    </row>
    <row r="17" spans="2:5" ht="15" customHeight="1" x14ac:dyDescent="0.25">
      <c r="B17" s="82"/>
      <c r="C17" s="42" t="s">
        <v>20</v>
      </c>
      <c r="D17" s="41">
        <v>31</v>
      </c>
      <c r="E17" s="40">
        <v>7.7499999999999999E-2</v>
      </c>
    </row>
    <row r="18" spans="2:5" ht="15" customHeight="1" x14ac:dyDescent="0.25">
      <c r="B18" s="80" t="s">
        <v>82</v>
      </c>
      <c r="C18" s="45" t="s">
        <v>104</v>
      </c>
      <c r="D18" s="44">
        <v>2</v>
      </c>
      <c r="E18" s="43">
        <v>5.0000000000000001E-3</v>
      </c>
    </row>
    <row r="19" spans="2:5" ht="15" customHeight="1" x14ac:dyDescent="0.25">
      <c r="B19" s="81"/>
      <c r="C19" s="45" t="s">
        <v>102</v>
      </c>
      <c r="D19" s="44">
        <v>1</v>
      </c>
      <c r="E19" s="43">
        <v>2.5000000000000001E-3</v>
      </c>
    </row>
    <row r="20" spans="2:5" ht="15" customHeight="1" x14ac:dyDescent="0.25">
      <c r="B20" s="81"/>
      <c r="C20" s="45" t="s">
        <v>105</v>
      </c>
      <c r="D20" s="44">
        <v>3</v>
      </c>
      <c r="E20" s="43">
        <v>7.4999999999999997E-3</v>
      </c>
    </row>
    <row r="21" spans="2:5" ht="15" customHeight="1" x14ac:dyDescent="0.25">
      <c r="B21" s="82"/>
      <c r="C21" s="42" t="s">
        <v>20</v>
      </c>
      <c r="D21" s="41">
        <v>6</v>
      </c>
      <c r="E21" s="40">
        <v>1.4999999999999999E-2</v>
      </c>
    </row>
    <row r="22" spans="2:5" ht="15" customHeight="1" x14ac:dyDescent="0.25">
      <c r="B22" s="80" t="s">
        <v>59</v>
      </c>
      <c r="C22" s="45" t="s">
        <v>104</v>
      </c>
      <c r="D22" s="44">
        <v>1</v>
      </c>
      <c r="E22" s="43">
        <v>2.5000000000000001E-3</v>
      </c>
    </row>
    <row r="23" spans="2:5" ht="15" customHeight="1" x14ac:dyDescent="0.25">
      <c r="B23" s="81"/>
      <c r="C23" s="45" t="s">
        <v>105</v>
      </c>
      <c r="D23" s="44">
        <v>6</v>
      </c>
      <c r="E23" s="43">
        <v>1.4999999999999999E-2</v>
      </c>
    </row>
    <row r="24" spans="2:5" ht="15" customHeight="1" x14ac:dyDescent="0.25">
      <c r="B24" s="82"/>
      <c r="C24" s="42" t="s">
        <v>20</v>
      </c>
      <c r="D24" s="41">
        <v>7</v>
      </c>
      <c r="E24" s="40">
        <v>1.7500000000000002E-2</v>
      </c>
    </row>
    <row r="25" spans="2:5" ht="15" customHeight="1" x14ac:dyDescent="0.25">
      <c r="B25" s="80" t="s">
        <v>95</v>
      </c>
      <c r="C25" s="45" t="s">
        <v>104</v>
      </c>
      <c r="D25" s="44">
        <v>5</v>
      </c>
      <c r="E25" s="43">
        <v>1.2500000000000001E-2</v>
      </c>
    </row>
    <row r="26" spans="2:5" ht="15" customHeight="1" x14ac:dyDescent="0.25">
      <c r="B26" s="81"/>
      <c r="C26" s="45" t="s">
        <v>103</v>
      </c>
      <c r="D26" s="44">
        <v>1</v>
      </c>
      <c r="E26" s="43">
        <v>2.5000000000000001E-3</v>
      </c>
    </row>
    <row r="27" spans="2:5" ht="15" customHeight="1" x14ac:dyDescent="0.25">
      <c r="B27" s="81"/>
      <c r="C27" s="45" t="s">
        <v>105</v>
      </c>
      <c r="D27" s="44">
        <v>11</v>
      </c>
      <c r="E27" s="43">
        <v>2.75E-2</v>
      </c>
    </row>
    <row r="28" spans="2:5" ht="15" customHeight="1" x14ac:dyDescent="0.25">
      <c r="B28" s="82"/>
      <c r="C28" s="42" t="s">
        <v>20</v>
      </c>
      <c r="D28" s="41">
        <v>17</v>
      </c>
      <c r="E28" s="40">
        <v>4.2500000000000003E-2</v>
      </c>
    </row>
    <row r="29" spans="2:5" ht="15" customHeight="1" x14ac:dyDescent="0.25">
      <c r="B29" s="80" t="s">
        <v>93</v>
      </c>
      <c r="C29" s="45" t="s">
        <v>104</v>
      </c>
      <c r="D29" s="44">
        <v>5</v>
      </c>
      <c r="E29" s="43">
        <v>1.2500000000000001E-2</v>
      </c>
    </row>
    <row r="30" spans="2:5" ht="15" customHeight="1" x14ac:dyDescent="0.25">
      <c r="B30" s="81"/>
      <c r="C30" s="45" t="s">
        <v>105</v>
      </c>
      <c r="D30" s="44">
        <v>14</v>
      </c>
      <c r="E30" s="43">
        <v>3.5000000000000003E-2</v>
      </c>
    </row>
    <row r="31" spans="2:5" ht="15" customHeight="1" x14ac:dyDescent="0.25">
      <c r="B31" s="82"/>
      <c r="C31" s="42" t="s">
        <v>20</v>
      </c>
      <c r="D31" s="41">
        <v>19</v>
      </c>
      <c r="E31" s="40">
        <v>4.7500000000000001E-2</v>
      </c>
    </row>
    <row r="32" spans="2:5" ht="15" customHeight="1" x14ac:dyDescent="0.25">
      <c r="B32" s="80" t="s">
        <v>77</v>
      </c>
      <c r="C32" s="45" t="s">
        <v>104</v>
      </c>
      <c r="D32" s="44">
        <v>4</v>
      </c>
      <c r="E32" s="43">
        <v>0.01</v>
      </c>
    </row>
    <row r="33" spans="2:5" ht="15" customHeight="1" x14ac:dyDescent="0.25">
      <c r="B33" s="81"/>
      <c r="C33" s="45" t="s">
        <v>102</v>
      </c>
      <c r="D33" s="44">
        <v>1</v>
      </c>
      <c r="E33" s="43">
        <v>2.5000000000000001E-3</v>
      </c>
    </row>
    <row r="34" spans="2:5" ht="15" customHeight="1" x14ac:dyDescent="0.25">
      <c r="B34" s="81"/>
      <c r="C34" s="45" t="s">
        <v>105</v>
      </c>
      <c r="D34" s="44">
        <v>2</v>
      </c>
      <c r="E34" s="43">
        <v>5.0000000000000001E-3</v>
      </c>
    </row>
    <row r="35" spans="2:5" ht="15" customHeight="1" x14ac:dyDescent="0.25">
      <c r="B35" s="82"/>
      <c r="C35" s="42" t="s">
        <v>20</v>
      </c>
      <c r="D35" s="41">
        <v>7</v>
      </c>
      <c r="E35" s="40">
        <v>1.7500000000000002E-2</v>
      </c>
    </row>
    <row r="36" spans="2:5" ht="15" customHeight="1" x14ac:dyDescent="0.25">
      <c r="B36" s="80" t="s">
        <v>63</v>
      </c>
      <c r="C36" s="45" t="s">
        <v>105</v>
      </c>
      <c r="D36" s="44">
        <v>6</v>
      </c>
      <c r="E36" s="43">
        <v>1.4999999999999999E-2</v>
      </c>
    </row>
    <row r="37" spans="2:5" ht="15" customHeight="1" x14ac:dyDescent="0.25">
      <c r="B37" s="82"/>
      <c r="C37" s="42" t="s">
        <v>20</v>
      </c>
      <c r="D37" s="41">
        <v>6</v>
      </c>
      <c r="E37" s="40">
        <v>1.4999999999999999E-2</v>
      </c>
    </row>
    <row r="38" spans="2:5" ht="15" customHeight="1" x14ac:dyDescent="0.25">
      <c r="B38" s="80" t="s">
        <v>61</v>
      </c>
      <c r="C38" s="45" t="s">
        <v>105</v>
      </c>
      <c r="D38" s="44">
        <v>1</v>
      </c>
      <c r="E38" s="43">
        <v>2.5000000000000001E-3</v>
      </c>
    </row>
    <row r="39" spans="2:5" ht="15" customHeight="1" x14ac:dyDescent="0.25">
      <c r="B39" s="82"/>
      <c r="C39" s="42" t="s">
        <v>20</v>
      </c>
      <c r="D39" s="41">
        <v>1</v>
      </c>
      <c r="E39" s="40">
        <v>2.5000000000000001E-3</v>
      </c>
    </row>
    <row r="40" spans="2:5" ht="15" customHeight="1" x14ac:dyDescent="0.25">
      <c r="B40" s="80" t="s">
        <v>74</v>
      </c>
      <c r="C40" s="45" t="s">
        <v>104</v>
      </c>
      <c r="D40" s="44">
        <v>1</v>
      </c>
      <c r="E40" s="43">
        <v>2.5000000000000001E-3</v>
      </c>
    </row>
    <row r="41" spans="2:5" ht="15" customHeight="1" x14ac:dyDescent="0.25">
      <c r="B41" s="81"/>
      <c r="C41" s="45" t="s">
        <v>105</v>
      </c>
      <c r="D41" s="44">
        <v>2</v>
      </c>
      <c r="E41" s="43">
        <v>5.0000000000000001E-3</v>
      </c>
    </row>
    <row r="42" spans="2:5" ht="15" customHeight="1" x14ac:dyDescent="0.25">
      <c r="B42" s="82"/>
      <c r="C42" s="42" t="s">
        <v>20</v>
      </c>
      <c r="D42" s="41">
        <v>3</v>
      </c>
      <c r="E42" s="40">
        <v>7.4999999999999997E-3</v>
      </c>
    </row>
    <row r="43" spans="2:5" ht="15" customHeight="1" x14ac:dyDescent="0.25">
      <c r="B43" s="80" t="s">
        <v>90</v>
      </c>
      <c r="C43" s="45" t="s">
        <v>104</v>
      </c>
      <c r="D43" s="44">
        <v>1</v>
      </c>
      <c r="E43" s="43">
        <v>2.5000000000000001E-3</v>
      </c>
    </row>
    <row r="44" spans="2:5" ht="15" customHeight="1" x14ac:dyDescent="0.25">
      <c r="B44" s="81"/>
      <c r="C44" s="45" t="s">
        <v>105</v>
      </c>
      <c r="D44" s="44">
        <v>4</v>
      </c>
      <c r="E44" s="43">
        <v>0.01</v>
      </c>
    </row>
    <row r="45" spans="2:5" ht="15" customHeight="1" x14ac:dyDescent="0.25">
      <c r="B45" s="82"/>
      <c r="C45" s="42" t="s">
        <v>20</v>
      </c>
      <c r="D45" s="41">
        <v>5</v>
      </c>
      <c r="E45" s="40">
        <v>1.2500000000000001E-2</v>
      </c>
    </row>
    <row r="46" spans="2:5" ht="15" customHeight="1" x14ac:dyDescent="0.25">
      <c r="B46" s="80" t="s">
        <v>94</v>
      </c>
      <c r="C46" s="45" t="s">
        <v>104</v>
      </c>
      <c r="D46" s="44">
        <v>5</v>
      </c>
      <c r="E46" s="43">
        <v>1.2500000000000001E-2</v>
      </c>
    </row>
    <row r="47" spans="2:5" ht="15" customHeight="1" x14ac:dyDescent="0.25">
      <c r="B47" s="81"/>
      <c r="C47" s="45" t="s">
        <v>101</v>
      </c>
      <c r="D47" s="44">
        <v>1</v>
      </c>
      <c r="E47" s="43">
        <v>2.5000000000000001E-3</v>
      </c>
    </row>
    <row r="48" spans="2:5" ht="15" customHeight="1" x14ac:dyDescent="0.25">
      <c r="B48" s="81"/>
      <c r="C48" s="45" t="s">
        <v>102</v>
      </c>
      <c r="D48" s="44">
        <v>1</v>
      </c>
      <c r="E48" s="43">
        <v>2.5000000000000001E-3</v>
      </c>
    </row>
    <row r="49" spans="2:5" ht="15" customHeight="1" x14ac:dyDescent="0.25">
      <c r="B49" s="81"/>
      <c r="C49" s="45" t="s">
        <v>100</v>
      </c>
      <c r="D49" s="44">
        <v>1</v>
      </c>
      <c r="E49" s="43">
        <v>2.5000000000000001E-3</v>
      </c>
    </row>
    <row r="50" spans="2:5" ht="15" customHeight="1" x14ac:dyDescent="0.25">
      <c r="B50" s="81"/>
      <c r="C50" s="45" t="s">
        <v>105</v>
      </c>
      <c r="D50" s="44">
        <v>20</v>
      </c>
      <c r="E50" s="43">
        <v>0.05</v>
      </c>
    </row>
    <row r="51" spans="2:5" ht="15" customHeight="1" x14ac:dyDescent="0.25">
      <c r="B51" s="82"/>
      <c r="C51" s="42" t="s">
        <v>20</v>
      </c>
      <c r="D51" s="41">
        <v>28</v>
      </c>
      <c r="E51" s="40">
        <v>7.0000000000000007E-2</v>
      </c>
    </row>
    <row r="52" spans="2:5" ht="15" customHeight="1" x14ac:dyDescent="0.25">
      <c r="B52" s="80" t="s">
        <v>78</v>
      </c>
      <c r="C52" s="45" t="s">
        <v>104</v>
      </c>
      <c r="D52" s="44">
        <v>7</v>
      </c>
      <c r="E52" s="43">
        <v>1.7500000000000002E-2</v>
      </c>
    </row>
    <row r="53" spans="2:5" ht="15" customHeight="1" x14ac:dyDescent="0.25">
      <c r="B53" s="81"/>
      <c r="C53" s="45" t="s">
        <v>102</v>
      </c>
      <c r="D53" s="44">
        <v>1</v>
      </c>
      <c r="E53" s="43">
        <v>2.5000000000000001E-3</v>
      </c>
    </row>
    <row r="54" spans="2:5" ht="15" customHeight="1" x14ac:dyDescent="0.25">
      <c r="B54" s="81"/>
      <c r="C54" s="45" t="s">
        <v>103</v>
      </c>
      <c r="D54" s="44">
        <v>1</v>
      </c>
      <c r="E54" s="43">
        <v>2.5000000000000001E-3</v>
      </c>
    </row>
    <row r="55" spans="2:5" ht="15" customHeight="1" x14ac:dyDescent="0.25">
      <c r="B55" s="81"/>
      <c r="C55" s="45" t="s">
        <v>105</v>
      </c>
      <c r="D55" s="44">
        <v>5</v>
      </c>
      <c r="E55" s="43">
        <v>1.2500000000000001E-2</v>
      </c>
    </row>
    <row r="56" spans="2:5" ht="15" customHeight="1" x14ac:dyDescent="0.25">
      <c r="B56" s="82"/>
      <c r="C56" s="42" t="s">
        <v>20</v>
      </c>
      <c r="D56" s="41">
        <v>14</v>
      </c>
      <c r="E56" s="40">
        <v>3.5000000000000003E-2</v>
      </c>
    </row>
    <row r="57" spans="2:5" ht="15" customHeight="1" x14ac:dyDescent="0.25">
      <c r="B57" s="80" t="s">
        <v>73</v>
      </c>
      <c r="C57" s="45" t="s">
        <v>103</v>
      </c>
      <c r="D57" s="44">
        <v>1</v>
      </c>
      <c r="E57" s="43">
        <v>2.5000000000000001E-3</v>
      </c>
    </row>
    <row r="58" spans="2:5" ht="15" customHeight="1" x14ac:dyDescent="0.25">
      <c r="B58" s="81"/>
      <c r="C58" s="45" t="s">
        <v>105</v>
      </c>
      <c r="D58" s="44">
        <v>2</v>
      </c>
      <c r="E58" s="43">
        <v>5.0000000000000001E-3</v>
      </c>
    </row>
    <row r="59" spans="2:5" ht="15" customHeight="1" x14ac:dyDescent="0.25">
      <c r="B59" s="82"/>
      <c r="C59" s="42" t="s">
        <v>20</v>
      </c>
      <c r="D59" s="41">
        <v>3</v>
      </c>
      <c r="E59" s="40">
        <v>7.4999999999999997E-3</v>
      </c>
    </row>
    <row r="60" spans="2:5" ht="15" customHeight="1" x14ac:dyDescent="0.25">
      <c r="B60" s="80" t="s">
        <v>58</v>
      </c>
      <c r="C60" s="45" t="s">
        <v>103</v>
      </c>
      <c r="D60" s="44">
        <v>1</v>
      </c>
      <c r="E60" s="43">
        <v>2.5000000000000001E-3</v>
      </c>
    </row>
    <row r="61" spans="2:5" ht="15" customHeight="1" x14ac:dyDescent="0.25">
      <c r="B61" s="81"/>
      <c r="C61" s="45" t="s">
        <v>105</v>
      </c>
      <c r="D61" s="44">
        <v>1</v>
      </c>
      <c r="E61" s="43">
        <v>2.5000000000000001E-3</v>
      </c>
    </row>
    <row r="62" spans="2:5" ht="15" customHeight="1" x14ac:dyDescent="0.25">
      <c r="B62" s="82"/>
      <c r="C62" s="42" t="s">
        <v>20</v>
      </c>
      <c r="D62" s="41">
        <v>2</v>
      </c>
      <c r="E62" s="40">
        <v>5.0000000000000001E-3</v>
      </c>
    </row>
    <row r="63" spans="2:5" ht="15" customHeight="1" x14ac:dyDescent="0.25">
      <c r="B63" s="80" t="s">
        <v>80</v>
      </c>
      <c r="C63" s="45" t="s">
        <v>104</v>
      </c>
      <c r="D63" s="44">
        <v>2</v>
      </c>
      <c r="E63" s="43">
        <v>5.0000000000000001E-3</v>
      </c>
    </row>
    <row r="64" spans="2:5" ht="15" customHeight="1" x14ac:dyDescent="0.25">
      <c r="B64" s="81"/>
      <c r="C64" s="45" t="s">
        <v>105</v>
      </c>
      <c r="D64" s="44">
        <v>1</v>
      </c>
      <c r="E64" s="43">
        <v>2.5000000000000001E-3</v>
      </c>
    </row>
    <row r="65" spans="2:5" ht="15" customHeight="1" x14ac:dyDescent="0.25">
      <c r="B65" s="82"/>
      <c r="C65" s="42" t="s">
        <v>20</v>
      </c>
      <c r="D65" s="41">
        <v>3</v>
      </c>
      <c r="E65" s="40">
        <v>7.4999999999999997E-3</v>
      </c>
    </row>
    <row r="66" spans="2:5" ht="15" customHeight="1" x14ac:dyDescent="0.25">
      <c r="B66" s="80" t="s">
        <v>84</v>
      </c>
      <c r="C66" s="45" t="s">
        <v>104</v>
      </c>
      <c r="D66" s="44">
        <v>3</v>
      </c>
      <c r="E66" s="43">
        <v>7.4999999999999997E-3</v>
      </c>
    </row>
    <row r="67" spans="2:5" ht="15" customHeight="1" x14ac:dyDescent="0.25">
      <c r="B67" s="81"/>
      <c r="C67" s="45" t="s">
        <v>105</v>
      </c>
      <c r="D67" s="44">
        <v>14</v>
      </c>
      <c r="E67" s="43">
        <v>3.5000000000000003E-2</v>
      </c>
    </row>
    <row r="68" spans="2:5" ht="15" customHeight="1" x14ac:dyDescent="0.25">
      <c r="B68" s="82"/>
      <c r="C68" s="42" t="s">
        <v>20</v>
      </c>
      <c r="D68" s="41">
        <v>17</v>
      </c>
      <c r="E68" s="40">
        <v>4.2500000000000003E-2</v>
      </c>
    </row>
    <row r="69" spans="2:5" ht="15" customHeight="1" x14ac:dyDescent="0.25">
      <c r="B69" s="80" t="s">
        <v>96</v>
      </c>
      <c r="C69" s="45" t="s">
        <v>104</v>
      </c>
      <c r="D69" s="44">
        <v>6</v>
      </c>
      <c r="E69" s="43">
        <v>1.4999999999999999E-2</v>
      </c>
    </row>
    <row r="70" spans="2:5" ht="15" customHeight="1" x14ac:dyDescent="0.25">
      <c r="B70" s="81"/>
      <c r="C70" s="45" t="s">
        <v>102</v>
      </c>
      <c r="D70" s="44">
        <v>1</v>
      </c>
      <c r="E70" s="43">
        <v>2.5000000000000001E-3</v>
      </c>
    </row>
    <row r="71" spans="2:5" ht="15" customHeight="1" x14ac:dyDescent="0.25">
      <c r="B71" s="81"/>
      <c r="C71" s="45" t="s">
        <v>99</v>
      </c>
      <c r="D71" s="44">
        <v>1</v>
      </c>
      <c r="E71" s="43">
        <v>2.5000000000000001E-3</v>
      </c>
    </row>
    <row r="72" spans="2:5" ht="15" customHeight="1" x14ac:dyDescent="0.25">
      <c r="B72" s="81"/>
      <c r="C72" s="45" t="s">
        <v>105</v>
      </c>
      <c r="D72" s="44">
        <v>7</v>
      </c>
      <c r="E72" s="43">
        <v>1.7500000000000002E-2</v>
      </c>
    </row>
    <row r="73" spans="2:5" ht="15" customHeight="1" x14ac:dyDescent="0.25">
      <c r="B73" s="82"/>
      <c r="C73" s="42" t="s">
        <v>20</v>
      </c>
      <c r="D73" s="41">
        <v>15</v>
      </c>
      <c r="E73" s="40">
        <v>3.7499999999999999E-2</v>
      </c>
    </row>
    <row r="74" spans="2:5" ht="15" customHeight="1" x14ac:dyDescent="0.25">
      <c r="B74" s="80" t="s">
        <v>75</v>
      </c>
      <c r="C74" s="45" t="s">
        <v>104</v>
      </c>
      <c r="D74" s="44">
        <v>1</v>
      </c>
      <c r="E74" s="43">
        <v>2.5000000000000001E-3</v>
      </c>
    </row>
    <row r="75" spans="2:5" ht="15" customHeight="1" x14ac:dyDescent="0.25">
      <c r="B75" s="81"/>
      <c r="C75" s="45" t="s">
        <v>105</v>
      </c>
      <c r="D75" s="44">
        <v>3</v>
      </c>
      <c r="E75" s="43">
        <v>7.4999999999999997E-3</v>
      </c>
    </row>
    <row r="76" spans="2:5" ht="15" customHeight="1" x14ac:dyDescent="0.25">
      <c r="B76" s="81"/>
      <c r="C76" s="45" t="s">
        <v>98</v>
      </c>
      <c r="D76" s="44">
        <v>1</v>
      </c>
      <c r="E76" s="43">
        <v>2.5000000000000001E-3</v>
      </c>
    </row>
    <row r="77" spans="2:5" ht="15" customHeight="1" x14ac:dyDescent="0.25">
      <c r="B77" s="82"/>
      <c r="C77" s="42" t="s">
        <v>20</v>
      </c>
      <c r="D77" s="41">
        <v>5</v>
      </c>
      <c r="E77" s="40">
        <v>1.2500000000000001E-2</v>
      </c>
    </row>
    <row r="78" spans="2:5" ht="15" customHeight="1" x14ac:dyDescent="0.25">
      <c r="B78" s="80" t="s">
        <v>70</v>
      </c>
      <c r="C78" s="45" t="s">
        <v>104</v>
      </c>
      <c r="D78" s="44">
        <v>1</v>
      </c>
      <c r="E78" s="43">
        <v>2.5000000000000001E-3</v>
      </c>
    </row>
    <row r="79" spans="2:5" ht="15" customHeight="1" x14ac:dyDescent="0.25">
      <c r="B79" s="81"/>
      <c r="C79" s="45" t="s">
        <v>105</v>
      </c>
      <c r="D79" s="44">
        <v>7</v>
      </c>
      <c r="E79" s="43">
        <v>1.7500000000000002E-2</v>
      </c>
    </row>
    <row r="80" spans="2:5" ht="15" customHeight="1" x14ac:dyDescent="0.25">
      <c r="B80" s="82"/>
      <c r="C80" s="42" t="s">
        <v>20</v>
      </c>
      <c r="D80" s="41">
        <v>8</v>
      </c>
      <c r="E80" s="40">
        <v>0.02</v>
      </c>
    </row>
    <row r="81" spans="2:5" ht="15" customHeight="1" x14ac:dyDescent="0.25">
      <c r="B81" s="80" t="s">
        <v>69</v>
      </c>
      <c r="C81" s="45" t="s">
        <v>100</v>
      </c>
      <c r="D81" s="44">
        <v>1</v>
      </c>
      <c r="E81" s="43">
        <v>2.5000000000000001E-3</v>
      </c>
    </row>
    <row r="82" spans="2:5" ht="15" customHeight="1" x14ac:dyDescent="0.25">
      <c r="B82" s="81"/>
      <c r="C82" s="45" t="s">
        <v>105</v>
      </c>
      <c r="D82" s="44">
        <v>1</v>
      </c>
      <c r="E82" s="43">
        <v>2.5000000000000001E-3</v>
      </c>
    </row>
    <row r="83" spans="2:5" ht="15" customHeight="1" x14ac:dyDescent="0.25">
      <c r="B83" s="82"/>
      <c r="C83" s="42" t="s">
        <v>20</v>
      </c>
      <c r="D83" s="41">
        <v>2</v>
      </c>
      <c r="E83" s="40">
        <v>5.0000000000000001E-3</v>
      </c>
    </row>
    <row r="84" spans="2:5" ht="15" customHeight="1" x14ac:dyDescent="0.25">
      <c r="B84" s="80" t="s">
        <v>62</v>
      </c>
      <c r="C84" s="45" t="s">
        <v>104</v>
      </c>
      <c r="D84" s="44">
        <v>2</v>
      </c>
      <c r="E84" s="43">
        <v>5.0000000000000001E-3</v>
      </c>
    </row>
    <row r="85" spans="2:5" ht="15" customHeight="1" x14ac:dyDescent="0.25">
      <c r="B85" s="81"/>
      <c r="C85" s="45" t="s">
        <v>100</v>
      </c>
      <c r="D85" s="44">
        <v>1</v>
      </c>
      <c r="E85" s="43">
        <v>2.5000000000000001E-3</v>
      </c>
    </row>
    <row r="86" spans="2:5" ht="15" customHeight="1" x14ac:dyDescent="0.25">
      <c r="B86" s="81"/>
      <c r="C86" s="45" t="s">
        <v>105</v>
      </c>
      <c r="D86" s="44">
        <v>5</v>
      </c>
      <c r="E86" s="43">
        <v>1.2500000000000001E-2</v>
      </c>
    </row>
    <row r="87" spans="2:5" ht="15" customHeight="1" x14ac:dyDescent="0.25">
      <c r="B87" s="82"/>
      <c r="C87" s="42" t="s">
        <v>20</v>
      </c>
      <c r="D87" s="41">
        <v>8</v>
      </c>
      <c r="E87" s="40">
        <v>0.02</v>
      </c>
    </row>
    <row r="88" spans="2:5" ht="15" customHeight="1" x14ac:dyDescent="0.25">
      <c r="B88" s="80" t="s">
        <v>91</v>
      </c>
      <c r="C88" s="45" t="s">
        <v>104</v>
      </c>
      <c r="D88" s="44">
        <v>3</v>
      </c>
      <c r="E88" s="43">
        <v>7.4999999999999997E-3</v>
      </c>
    </row>
    <row r="89" spans="2:5" ht="15" customHeight="1" x14ac:dyDescent="0.25">
      <c r="B89" s="81"/>
      <c r="C89" s="45" t="s">
        <v>105</v>
      </c>
      <c r="D89" s="44">
        <v>5</v>
      </c>
      <c r="E89" s="43">
        <v>1.2500000000000001E-2</v>
      </c>
    </row>
    <row r="90" spans="2:5" ht="15" customHeight="1" x14ac:dyDescent="0.25">
      <c r="B90" s="82"/>
      <c r="C90" s="42" t="s">
        <v>20</v>
      </c>
      <c r="D90" s="41">
        <v>8</v>
      </c>
      <c r="E90" s="40">
        <v>0.02</v>
      </c>
    </row>
    <row r="91" spans="2:5" ht="15" customHeight="1" x14ac:dyDescent="0.25">
      <c r="B91" s="80" t="s">
        <v>64</v>
      </c>
      <c r="C91" s="45" t="s">
        <v>101</v>
      </c>
      <c r="D91" s="44">
        <v>1</v>
      </c>
      <c r="E91" s="43">
        <v>2.5000000000000001E-3</v>
      </c>
    </row>
    <row r="92" spans="2:5" ht="15" customHeight="1" x14ac:dyDescent="0.25">
      <c r="B92" s="82"/>
      <c r="C92" s="42" t="s">
        <v>20</v>
      </c>
      <c r="D92" s="41">
        <v>1</v>
      </c>
      <c r="E92" s="40">
        <v>2.5000000000000001E-3</v>
      </c>
    </row>
    <row r="93" spans="2:5" ht="15" customHeight="1" x14ac:dyDescent="0.25">
      <c r="B93" s="80" t="s">
        <v>83</v>
      </c>
      <c r="C93" s="45" t="s">
        <v>104</v>
      </c>
      <c r="D93" s="44">
        <v>1</v>
      </c>
      <c r="E93" s="43">
        <v>2.5000000000000001E-3</v>
      </c>
    </row>
    <row r="94" spans="2:5" ht="15" customHeight="1" x14ac:dyDescent="0.25">
      <c r="B94" s="81"/>
      <c r="C94" s="45" t="s">
        <v>103</v>
      </c>
      <c r="D94" s="44">
        <v>1</v>
      </c>
      <c r="E94" s="43">
        <v>2.5000000000000001E-3</v>
      </c>
    </row>
    <row r="95" spans="2:5" ht="15" customHeight="1" x14ac:dyDescent="0.25">
      <c r="B95" s="81"/>
      <c r="C95" s="45" t="s">
        <v>105</v>
      </c>
      <c r="D95" s="44">
        <v>14</v>
      </c>
      <c r="E95" s="43">
        <v>3.5000000000000003E-2</v>
      </c>
    </row>
    <row r="96" spans="2:5" ht="15" customHeight="1" x14ac:dyDescent="0.25">
      <c r="B96" s="82"/>
      <c r="C96" s="42" t="s">
        <v>20</v>
      </c>
      <c r="D96" s="41">
        <v>16</v>
      </c>
      <c r="E96" s="40">
        <v>0.04</v>
      </c>
    </row>
    <row r="97" spans="2:5" ht="15" customHeight="1" x14ac:dyDescent="0.25">
      <c r="B97" s="80" t="s">
        <v>79</v>
      </c>
      <c r="C97" s="45" t="s">
        <v>104</v>
      </c>
      <c r="D97" s="44">
        <v>1</v>
      </c>
      <c r="E97" s="43">
        <v>2.5000000000000001E-3</v>
      </c>
    </row>
    <row r="98" spans="2:5" ht="15" customHeight="1" x14ac:dyDescent="0.25">
      <c r="B98" s="81"/>
      <c r="C98" s="45" t="s">
        <v>105</v>
      </c>
      <c r="D98" s="44">
        <v>1</v>
      </c>
      <c r="E98" s="43">
        <v>2.5000000000000001E-3</v>
      </c>
    </row>
    <row r="99" spans="2:5" ht="15" customHeight="1" x14ac:dyDescent="0.25">
      <c r="B99" s="82"/>
      <c r="C99" s="42" t="s">
        <v>20</v>
      </c>
      <c r="D99" s="41">
        <v>2</v>
      </c>
      <c r="E99" s="40">
        <v>5.0000000000000001E-3</v>
      </c>
    </row>
    <row r="100" spans="2:5" ht="15" customHeight="1" x14ac:dyDescent="0.25">
      <c r="B100" s="80" t="s">
        <v>67</v>
      </c>
      <c r="C100" s="45" t="s">
        <v>104</v>
      </c>
      <c r="D100" s="44">
        <v>1</v>
      </c>
      <c r="E100" s="43">
        <v>2.5000000000000001E-3</v>
      </c>
    </row>
    <row r="101" spans="2:5" ht="15" customHeight="1" x14ac:dyDescent="0.25">
      <c r="B101" s="81"/>
      <c r="C101" s="45" t="s">
        <v>105</v>
      </c>
      <c r="D101" s="44">
        <v>2</v>
      </c>
      <c r="E101" s="43">
        <v>5.0000000000000001E-3</v>
      </c>
    </row>
    <row r="102" spans="2:5" ht="15" customHeight="1" x14ac:dyDescent="0.25">
      <c r="B102" s="81"/>
      <c r="C102" s="45" t="s">
        <v>98</v>
      </c>
      <c r="D102" s="44">
        <v>1</v>
      </c>
      <c r="E102" s="43">
        <v>2.5000000000000001E-3</v>
      </c>
    </row>
    <row r="103" spans="2:5" ht="15" customHeight="1" x14ac:dyDescent="0.25">
      <c r="B103" s="82"/>
      <c r="C103" s="42" t="s">
        <v>20</v>
      </c>
      <c r="D103" s="41">
        <v>4</v>
      </c>
      <c r="E103" s="40">
        <v>0.01</v>
      </c>
    </row>
    <row r="104" spans="2:5" ht="15" customHeight="1" x14ac:dyDescent="0.25">
      <c r="B104" s="80" t="s">
        <v>71</v>
      </c>
      <c r="C104" s="45" t="s">
        <v>104</v>
      </c>
      <c r="D104" s="44">
        <v>2</v>
      </c>
      <c r="E104" s="43">
        <v>5.0000000000000001E-3</v>
      </c>
    </row>
    <row r="105" spans="2:5" ht="15" customHeight="1" x14ac:dyDescent="0.25">
      <c r="B105" s="81"/>
      <c r="C105" s="45" t="s">
        <v>105</v>
      </c>
      <c r="D105" s="44">
        <v>2</v>
      </c>
      <c r="E105" s="43">
        <v>5.0000000000000001E-3</v>
      </c>
    </row>
    <row r="106" spans="2:5" ht="15" customHeight="1" x14ac:dyDescent="0.25">
      <c r="B106" s="81"/>
      <c r="C106" s="45" t="s">
        <v>98</v>
      </c>
      <c r="D106" s="44">
        <v>1</v>
      </c>
      <c r="E106" s="43">
        <v>2.5000000000000001E-3</v>
      </c>
    </row>
    <row r="107" spans="2:5" ht="15" customHeight="1" x14ac:dyDescent="0.25">
      <c r="B107" s="82"/>
      <c r="C107" s="42" t="s">
        <v>20</v>
      </c>
      <c r="D107" s="41">
        <v>5</v>
      </c>
      <c r="E107" s="40">
        <v>1.2500000000000001E-2</v>
      </c>
    </row>
    <row r="108" spans="2:5" ht="15" customHeight="1" x14ac:dyDescent="0.25">
      <c r="B108" s="80" t="s">
        <v>89</v>
      </c>
      <c r="C108" s="45" t="s">
        <v>104</v>
      </c>
      <c r="D108" s="44">
        <v>3</v>
      </c>
      <c r="E108" s="43">
        <v>7.4999999999999997E-3</v>
      </c>
    </row>
    <row r="109" spans="2:5" ht="15" customHeight="1" x14ac:dyDescent="0.25">
      <c r="B109" s="81"/>
      <c r="C109" s="45" t="s">
        <v>101</v>
      </c>
      <c r="D109" s="44">
        <v>1</v>
      </c>
      <c r="E109" s="43">
        <v>2.5000000000000001E-3</v>
      </c>
    </row>
    <row r="110" spans="2:5" ht="15" customHeight="1" x14ac:dyDescent="0.25">
      <c r="B110" s="81"/>
      <c r="C110" s="45" t="s">
        <v>103</v>
      </c>
      <c r="D110" s="44">
        <v>1</v>
      </c>
      <c r="E110" s="43">
        <v>2.5000000000000001E-3</v>
      </c>
    </row>
    <row r="111" spans="2:5" ht="15" customHeight="1" x14ac:dyDescent="0.25">
      <c r="B111" s="81"/>
      <c r="C111" s="45" t="s">
        <v>105</v>
      </c>
      <c r="D111" s="44">
        <v>31</v>
      </c>
      <c r="E111" s="43">
        <v>7.7499999999999999E-2</v>
      </c>
    </row>
    <row r="112" spans="2:5" ht="15" customHeight="1" x14ac:dyDescent="0.25">
      <c r="B112" s="82"/>
      <c r="C112" s="42" t="s">
        <v>20</v>
      </c>
      <c r="D112" s="41">
        <v>36</v>
      </c>
      <c r="E112" s="40">
        <v>0.09</v>
      </c>
    </row>
    <row r="113" spans="2:5" ht="15" customHeight="1" x14ac:dyDescent="0.25">
      <c r="B113" s="80" t="s">
        <v>81</v>
      </c>
      <c r="C113" s="45" t="s">
        <v>104</v>
      </c>
      <c r="D113" s="44">
        <v>1</v>
      </c>
      <c r="E113" s="43">
        <v>2.5000000000000001E-3</v>
      </c>
    </row>
    <row r="114" spans="2:5" ht="15" customHeight="1" x14ac:dyDescent="0.25">
      <c r="B114" s="81"/>
      <c r="C114" s="45" t="s">
        <v>102</v>
      </c>
      <c r="D114" s="44">
        <v>3</v>
      </c>
      <c r="E114" s="43">
        <v>7.4999999999999997E-3</v>
      </c>
    </row>
    <row r="115" spans="2:5" ht="15" customHeight="1" x14ac:dyDescent="0.25">
      <c r="B115" s="81"/>
      <c r="C115" s="45" t="s">
        <v>105</v>
      </c>
      <c r="D115" s="44">
        <v>3</v>
      </c>
      <c r="E115" s="43">
        <v>7.4999999999999997E-3</v>
      </c>
    </row>
    <row r="116" spans="2:5" ht="15" customHeight="1" x14ac:dyDescent="0.25">
      <c r="B116" s="82"/>
      <c r="C116" s="42" t="s">
        <v>20</v>
      </c>
      <c r="D116" s="41">
        <v>7</v>
      </c>
      <c r="E116" s="40">
        <v>1.7500000000000002E-2</v>
      </c>
    </row>
    <row r="117" spans="2:5" ht="15" customHeight="1" x14ac:dyDescent="0.25">
      <c r="B117" s="80" t="s">
        <v>66</v>
      </c>
      <c r="C117" s="45" t="s">
        <v>100</v>
      </c>
      <c r="D117" s="44">
        <v>1</v>
      </c>
      <c r="E117" s="43">
        <v>2.5000000000000001E-3</v>
      </c>
    </row>
    <row r="118" spans="2:5" ht="15" customHeight="1" x14ac:dyDescent="0.25">
      <c r="B118" s="81"/>
      <c r="C118" s="45" t="s">
        <v>103</v>
      </c>
      <c r="D118" s="44">
        <v>1</v>
      </c>
      <c r="E118" s="43">
        <v>2.5000000000000001E-3</v>
      </c>
    </row>
    <row r="119" spans="2:5" ht="15" customHeight="1" x14ac:dyDescent="0.25">
      <c r="B119" s="81"/>
      <c r="C119" s="45" t="s">
        <v>105</v>
      </c>
      <c r="D119" s="44">
        <v>5</v>
      </c>
      <c r="E119" s="43">
        <v>1.2500000000000001E-2</v>
      </c>
    </row>
    <row r="120" spans="2:5" ht="15" customHeight="1" x14ac:dyDescent="0.25">
      <c r="B120" s="82"/>
      <c r="C120" s="42" t="s">
        <v>20</v>
      </c>
      <c r="D120" s="41">
        <v>7</v>
      </c>
      <c r="E120" s="40">
        <v>1.7500000000000002E-2</v>
      </c>
    </row>
    <row r="121" spans="2:5" ht="15" customHeight="1" x14ac:dyDescent="0.25">
      <c r="B121" s="80" t="s">
        <v>68</v>
      </c>
      <c r="C121" s="45" t="s">
        <v>104</v>
      </c>
      <c r="D121" s="44">
        <v>1</v>
      </c>
      <c r="E121" s="43">
        <v>2.5000000000000001E-3</v>
      </c>
    </row>
    <row r="122" spans="2:5" ht="15" customHeight="1" x14ac:dyDescent="0.25">
      <c r="B122" s="81"/>
      <c r="C122" s="45" t="s">
        <v>100</v>
      </c>
      <c r="D122" s="44">
        <v>1</v>
      </c>
      <c r="E122" s="43">
        <v>2.5000000000000001E-3</v>
      </c>
    </row>
    <row r="123" spans="2:5" ht="15" customHeight="1" x14ac:dyDescent="0.25">
      <c r="B123" s="81"/>
      <c r="C123" s="45" t="s">
        <v>103</v>
      </c>
      <c r="D123" s="44">
        <v>1</v>
      </c>
      <c r="E123" s="43">
        <v>2.5000000000000001E-3</v>
      </c>
    </row>
    <row r="124" spans="2:5" ht="15" customHeight="1" x14ac:dyDescent="0.25">
      <c r="B124" s="81"/>
      <c r="C124" s="45" t="s">
        <v>105</v>
      </c>
      <c r="D124" s="44">
        <v>2</v>
      </c>
      <c r="E124" s="43">
        <v>5.0000000000000001E-3</v>
      </c>
    </row>
    <row r="125" spans="2:5" ht="15" customHeight="1" x14ac:dyDescent="0.25">
      <c r="B125" s="82"/>
      <c r="C125" s="42" t="s">
        <v>20</v>
      </c>
      <c r="D125" s="41">
        <v>5</v>
      </c>
      <c r="E125" s="40">
        <v>1.2500000000000001E-2</v>
      </c>
    </row>
    <row r="126" spans="2:5" ht="15" customHeight="1" x14ac:dyDescent="0.25">
      <c r="B126" s="80" t="s">
        <v>76</v>
      </c>
      <c r="C126" s="45" t="s">
        <v>104</v>
      </c>
      <c r="D126" s="44">
        <v>1</v>
      </c>
      <c r="E126" s="43">
        <v>2.5000000000000001E-3</v>
      </c>
    </row>
    <row r="127" spans="2:5" ht="15" customHeight="1" x14ac:dyDescent="0.25">
      <c r="B127" s="82"/>
      <c r="C127" s="42" t="s">
        <v>20</v>
      </c>
      <c r="D127" s="41">
        <v>1</v>
      </c>
      <c r="E127" s="40">
        <v>2.5000000000000001E-3</v>
      </c>
    </row>
    <row r="128" spans="2:5" ht="15" customHeight="1" x14ac:dyDescent="0.25">
      <c r="B128" s="80" t="s">
        <v>88</v>
      </c>
      <c r="C128" s="45" t="s">
        <v>104</v>
      </c>
      <c r="D128" s="44">
        <v>2</v>
      </c>
      <c r="E128" s="43">
        <v>5.0000000000000001E-3</v>
      </c>
    </row>
    <row r="129" spans="2:5" ht="15" customHeight="1" x14ac:dyDescent="0.25">
      <c r="B129" s="81"/>
      <c r="C129" s="45" t="s">
        <v>102</v>
      </c>
      <c r="D129" s="44">
        <v>1</v>
      </c>
      <c r="E129" s="43">
        <v>2.5000000000000001E-3</v>
      </c>
    </row>
    <row r="130" spans="2:5" ht="15" customHeight="1" x14ac:dyDescent="0.25">
      <c r="B130" s="81"/>
      <c r="C130" s="45" t="s">
        <v>105</v>
      </c>
      <c r="D130" s="44">
        <v>4</v>
      </c>
      <c r="E130" s="43">
        <v>0.01</v>
      </c>
    </row>
    <row r="131" spans="2:5" ht="15" customHeight="1" x14ac:dyDescent="0.25">
      <c r="B131" s="82"/>
      <c r="C131" s="42" t="s">
        <v>20</v>
      </c>
      <c r="D131" s="41">
        <v>7</v>
      </c>
      <c r="E131" s="40">
        <v>1.7500000000000002E-2</v>
      </c>
    </row>
    <row r="132" spans="2:5" ht="15" customHeight="1" x14ac:dyDescent="0.25">
      <c r="B132" s="80" t="s">
        <v>72</v>
      </c>
      <c r="C132" s="45" t="s">
        <v>104</v>
      </c>
      <c r="D132" s="44">
        <v>1</v>
      </c>
      <c r="E132" s="43">
        <v>2.5000000000000001E-3</v>
      </c>
    </row>
    <row r="133" spans="2:5" ht="15" customHeight="1" x14ac:dyDescent="0.25">
      <c r="B133" s="81"/>
      <c r="C133" s="45" t="s">
        <v>105</v>
      </c>
      <c r="D133" s="44">
        <v>1</v>
      </c>
      <c r="E133" s="43">
        <v>2.5000000000000001E-3</v>
      </c>
    </row>
    <row r="134" spans="2:5" ht="15" customHeight="1" x14ac:dyDescent="0.25">
      <c r="B134" s="82"/>
      <c r="C134" s="42" t="s">
        <v>20</v>
      </c>
      <c r="D134" s="41">
        <v>2</v>
      </c>
      <c r="E134" s="40">
        <v>5.0000000000000001E-3</v>
      </c>
    </row>
    <row r="135" spans="2:5" ht="15" customHeight="1" x14ac:dyDescent="0.25">
      <c r="B135" s="80" t="s">
        <v>85</v>
      </c>
      <c r="C135" s="45" t="s">
        <v>104</v>
      </c>
      <c r="D135" s="44">
        <v>4</v>
      </c>
      <c r="E135" s="43">
        <v>0.01</v>
      </c>
    </row>
    <row r="136" spans="2:5" ht="15" customHeight="1" x14ac:dyDescent="0.25">
      <c r="B136" s="81"/>
      <c r="C136" s="45" t="s">
        <v>102</v>
      </c>
      <c r="D136" s="44">
        <v>10</v>
      </c>
      <c r="E136" s="43">
        <v>2.5000000000000001E-2</v>
      </c>
    </row>
    <row r="137" spans="2:5" ht="15" customHeight="1" x14ac:dyDescent="0.25">
      <c r="B137" s="81"/>
      <c r="C137" s="45" t="s">
        <v>103</v>
      </c>
      <c r="D137" s="44">
        <v>21</v>
      </c>
      <c r="E137" s="43">
        <v>5.2499999999999998E-2</v>
      </c>
    </row>
    <row r="138" spans="2:5" ht="15" customHeight="1" x14ac:dyDescent="0.25">
      <c r="B138" s="81"/>
      <c r="C138" s="45" t="s">
        <v>99</v>
      </c>
      <c r="D138" s="44">
        <v>1</v>
      </c>
      <c r="E138" s="43">
        <v>2.5000000000000001E-3</v>
      </c>
    </row>
    <row r="139" spans="2:5" ht="15" customHeight="1" x14ac:dyDescent="0.25">
      <c r="B139" s="81"/>
      <c r="C139" s="45" t="s">
        <v>105</v>
      </c>
      <c r="D139" s="44">
        <v>12</v>
      </c>
      <c r="E139" s="43">
        <v>0.03</v>
      </c>
    </row>
    <row r="140" spans="2:5" ht="15" customHeight="1" x14ac:dyDescent="0.25">
      <c r="B140" s="82"/>
      <c r="C140" s="42" t="s">
        <v>20</v>
      </c>
      <c r="D140" s="41">
        <v>48</v>
      </c>
      <c r="E140" s="40">
        <v>0.12</v>
      </c>
    </row>
    <row r="141" spans="2:5" ht="15" customHeight="1" x14ac:dyDescent="0.25">
      <c r="B141" s="80" t="s">
        <v>86</v>
      </c>
      <c r="C141" s="45" t="s">
        <v>104</v>
      </c>
      <c r="D141" s="44">
        <v>1</v>
      </c>
      <c r="E141" s="43">
        <v>2.5000000000000001E-3</v>
      </c>
    </row>
    <row r="142" spans="2:5" ht="15" customHeight="1" x14ac:dyDescent="0.25">
      <c r="B142" s="81"/>
      <c r="C142" s="45" t="s">
        <v>102</v>
      </c>
      <c r="D142" s="44">
        <v>5</v>
      </c>
      <c r="E142" s="43">
        <v>1.2500000000000001E-2</v>
      </c>
    </row>
    <row r="143" spans="2:5" ht="15" customHeight="1" x14ac:dyDescent="0.25">
      <c r="B143" s="81"/>
      <c r="C143" s="45" t="s">
        <v>103</v>
      </c>
      <c r="D143" s="44">
        <v>7</v>
      </c>
      <c r="E143" s="43">
        <v>1.7500000000000002E-2</v>
      </c>
    </row>
    <row r="144" spans="2:5" ht="15" customHeight="1" x14ac:dyDescent="0.25">
      <c r="B144" s="81"/>
      <c r="C144" s="45" t="s">
        <v>99</v>
      </c>
      <c r="D144" s="44">
        <v>1</v>
      </c>
      <c r="E144" s="43">
        <v>2.5000000000000001E-3</v>
      </c>
    </row>
    <row r="145" spans="2:5" ht="15" customHeight="1" x14ac:dyDescent="0.25">
      <c r="B145" s="81"/>
      <c r="C145" s="45" t="s">
        <v>105</v>
      </c>
      <c r="D145" s="44">
        <v>2</v>
      </c>
      <c r="E145" s="43">
        <v>5.0000000000000001E-3</v>
      </c>
    </row>
    <row r="146" spans="2:5" ht="15" customHeight="1" x14ac:dyDescent="0.25">
      <c r="B146" s="82"/>
      <c r="C146" s="42" t="s">
        <v>20</v>
      </c>
      <c r="D146" s="41">
        <v>16</v>
      </c>
      <c r="E146" s="40">
        <v>0.04</v>
      </c>
    </row>
    <row r="147" spans="2:5" ht="15" customHeight="1" x14ac:dyDescent="0.25">
      <c r="B147" s="80" t="s">
        <v>87</v>
      </c>
      <c r="C147" s="45" t="s">
        <v>104</v>
      </c>
      <c r="D147" s="44">
        <v>5</v>
      </c>
      <c r="E147" s="43">
        <v>1.2500000000000001E-2</v>
      </c>
    </row>
    <row r="148" spans="2:5" ht="15" customHeight="1" x14ac:dyDescent="0.25">
      <c r="B148" s="81"/>
      <c r="C148" s="45" t="s">
        <v>103</v>
      </c>
      <c r="D148" s="44">
        <v>1</v>
      </c>
      <c r="E148" s="43">
        <v>2.5000000000000001E-3</v>
      </c>
    </row>
    <row r="149" spans="2:5" ht="15" customHeight="1" x14ac:dyDescent="0.25">
      <c r="B149" s="81"/>
      <c r="C149" s="45" t="s">
        <v>105</v>
      </c>
      <c r="D149" s="44">
        <v>2</v>
      </c>
      <c r="E149" s="43">
        <v>5.0000000000000001E-3</v>
      </c>
    </row>
    <row r="150" spans="2:5" ht="15" customHeight="1" x14ac:dyDescent="0.25">
      <c r="B150" s="82"/>
      <c r="C150" s="42" t="s">
        <v>20</v>
      </c>
      <c r="D150" s="41">
        <v>8</v>
      </c>
      <c r="E150" s="40">
        <v>0.02</v>
      </c>
    </row>
    <row r="151" spans="2:5" ht="15" customHeight="1" x14ac:dyDescent="0.25">
      <c r="B151" s="80" t="s">
        <v>65</v>
      </c>
      <c r="C151" s="45" t="s">
        <v>104</v>
      </c>
      <c r="D151" s="44">
        <v>2</v>
      </c>
      <c r="E151" s="43">
        <v>5.0000000000000001E-3</v>
      </c>
    </row>
    <row r="152" spans="2:5" ht="15" customHeight="1" x14ac:dyDescent="0.25">
      <c r="B152" s="81"/>
      <c r="C152" s="45" t="s">
        <v>103</v>
      </c>
      <c r="D152" s="44">
        <v>4</v>
      </c>
      <c r="E152" s="43">
        <v>0.01</v>
      </c>
    </row>
    <row r="153" spans="2:5" ht="15" customHeight="1" x14ac:dyDescent="0.25">
      <c r="B153" s="81"/>
      <c r="C153" s="45" t="s">
        <v>105</v>
      </c>
      <c r="D153" s="44">
        <v>1</v>
      </c>
      <c r="E153" s="43">
        <v>2.5000000000000001E-3</v>
      </c>
    </row>
    <row r="154" spans="2:5" ht="15" customHeight="1" x14ac:dyDescent="0.25">
      <c r="B154" s="82"/>
      <c r="C154" s="42" t="s">
        <v>20</v>
      </c>
      <c r="D154" s="41">
        <v>7</v>
      </c>
      <c r="E154" s="40">
        <v>1.7500000000000002E-2</v>
      </c>
    </row>
    <row r="155" spans="2:5" ht="15" customHeight="1" x14ac:dyDescent="0.25">
      <c r="B155" s="80" t="s">
        <v>35</v>
      </c>
      <c r="C155" s="45" t="s">
        <v>104</v>
      </c>
      <c r="D155" s="44">
        <v>2</v>
      </c>
      <c r="E155" s="43">
        <v>5.0000000000000001E-3</v>
      </c>
    </row>
    <row r="156" spans="2:5" ht="15" customHeight="1" x14ac:dyDescent="0.25">
      <c r="B156" s="81"/>
      <c r="C156" s="45" t="s">
        <v>105</v>
      </c>
      <c r="D156" s="44">
        <v>7</v>
      </c>
      <c r="E156" s="43">
        <v>1.7500000000000002E-2</v>
      </c>
    </row>
    <row r="157" spans="2:5" ht="15" customHeight="1" x14ac:dyDescent="0.25">
      <c r="B157" s="82"/>
      <c r="C157" s="42" t="s">
        <v>20</v>
      </c>
      <c r="D157" s="41">
        <v>9</v>
      </c>
      <c r="E157" s="40">
        <v>2.2499999999999999E-2</v>
      </c>
    </row>
    <row r="158" spans="2:5" ht="15" customHeight="1" x14ac:dyDescent="0.25">
      <c r="B158" s="83" t="s">
        <v>139</v>
      </c>
      <c r="C158" s="84"/>
      <c r="D158" s="39">
        <v>400</v>
      </c>
      <c r="E158" s="38">
        <v>1</v>
      </c>
    </row>
    <row r="160" spans="2:5" ht="15" customHeight="1" x14ac:dyDescent="0.25">
      <c r="B160" s="19" t="s">
        <v>170</v>
      </c>
    </row>
    <row r="161" spans="2:2" ht="15" customHeight="1" x14ac:dyDescent="0.25">
      <c r="B161" s="21" t="s">
        <v>19</v>
      </c>
    </row>
    <row r="162" spans="2:2" ht="15" customHeight="1" x14ac:dyDescent="0.25">
      <c r="B162" s="20" t="s">
        <v>18</v>
      </c>
    </row>
    <row r="163" spans="2:2" ht="15" customHeight="1" x14ac:dyDescent="0.25">
      <c r="B163" s="19" t="s">
        <v>17</v>
      </c>
    </row>
    <row r="164" spans="2:2" ht="15" customHeight="1" x14ac:dyDescent="0.25">
      <c r="B164" s="19" t="s">
        <v>171</v>
      </c>
    </row>
  </sheetData>
  <mergeCells count="42">
    <mergeCell ref="B147:B150"/>
    <mergeCell ref="B151:B154"/>
    <mergeCell ref="B155:B157"/>
    <mergeCell ref="B158:C158"/>
    <mergeCell ref="B117:B120"/>
    <mergeCell ref="B121:B125"/>
    <mergeCell ref="B126:B127"/>
    <mergeCell ref="B128:B131"/>
    <mergeCell ref="B132:B134"/>
    <mergeCell ref="B97:B99"/>
    <mergeCell ref="B100:B103"/>
    <mergeCell ref="B104:B107"/>
    <mergeCell ref="B108:B112"/>
    <mergeCell ref="B113:B116"/>
    <mergeCell ref="B10:B12"/>
    <mergeCell ref="B13:B17"/>
    <mergeCell ref="B18:B21"/>
    <mergeCell ref="B22:B24"/>
    <mergeCell ref="B25:B28"/>
    <mergeCell ref="B29:B31"/>
    <mergeCell ref="B32:B35"/>
    <mergeCell ref="B36:B37"/>
    <mergeCell ref="B38:B39"/>
    <mergeCell ref="B40:B42"/>
    <mergeCell ref="B43:B45"/>
    <mergeCell ref="B7:E8"/>
    <mergeCell ref="B66:B68"/>
    <mergeCell ref="B57:B59"/>
    <mergeCell ref="B60:B62"/>
    <mergeCell ref="B63:B65"/>
    <mergeCell ref="B69:B73"/>
    <mergeCell ref="B74:B77"/>
    <mergeCell ref="B78:B80"/>
    <mergeCell ref="B46:B51"/>
    <mergeCell ref="B52:B56"/>
    <mergeCell ref="B81:B83"/>
    <mergeCell ref="B84:B87"/>
    <mergeCell ref="B88:B90"/>
    <mergeCell ref="B91:B92"/>
    <mergeCell ref="B93:B96"/>
    <mergeCell ref="B135:B140"/>
    <mergeCell ref="B141:B1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0"/>
  <sheetViews>
    <sheetView showGridLines="0" topLeftCell="A19" zoomScaleNormal="100" zoomScaleSheetLayoutView="115" workbookViewId="0">
      <selection activeCell="I19" sqref="I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174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132</v>
      </c>
      <c r="C11" s="31" t="s">
        <v>131</v>
      </c>
      <c r="D11" s="30" t="s">
        <v>54</v>
      </c>
    </row>
    <row r="12" spans="1:5" x14ac:dyDescent="0.25">
      <c r="B12" s="27" t="s">
        <v>130</v>
      </c>
      <c r="C12" s="26">
        <v>3</v>
      </c>
      <c r="D12" s="25">
        <f t="shared" ref="D12:D34" si="0">C12/$C$34</f>
        <v>7.4999999999999997E-3</v>
      </c>
    </row>
    <row r="13" spans="1:5" x14ac:dyDescent="0.25">
      <c r="B13" s="27" t="s">
        <v>129</v>
      </c>
      <c r="C13" s="26">
        <v>2</v>
      </c>
      <c r="D13" s="25">
        <f t="shared" si="0"/>
        <v>5.0000000000000001E-3</v>
      </c>
    </row>
    <row r="14" spans="1:5" ht="15.75" x14ac:dyDescent="0.25">
      <c r="B14" s="27" t="s">
        <v>128</v>
      </c>
      <c r="C14" s="26">
        <v>2</v>
      </c>
      <c r="D14" s="25">
        <f t="shared" si="0"/>
        <v>5.0000000000000001E-3</v>
      </c>
      <c r="E14" s="28"/>
    </row>
    <row r="15" spans="1:5" ht="15.75" x14ac:dyDescent="0.25">
      <c r="B15" s="27" t="s">
        <v>127</v>
      </c>
      <c r="C15" s="26">
        <v>1</v>
      </c>
      <c r="D15" s="25">
        <f t="shared" si="0"/>
        <v>2.5000000000000001E-3</v>
      </c>
      <c r="E15" s="28"/>
    </row>
    <row r="16" spans="1:5" x14ac:dyDescent="0.25">
      <c r="B16" s="27" t="s">
        <v>126</v>
      </c>
      <c r="C16" s="26">
        <v>5</v>
      </c>
      <c r="D16" s="25">
        <f t="shared" si="0"/>
        <v>1.2500000000000001E-2</v>
      </c>
    </row>
    <row r="17" spans="2:4" x14ac:dyDescent="0.25">
      <c r="B17" s="27" t="s">
        <v>125</v>
      </c>
      <c r="C17" s="26">
        <v>6</v>
      </c>
      <c r="D17" s="25">
        <f t="shared" si="0"/>
        <v>1.4999999999999999E-2</v>
      </c>
    </row>
    <row r="18" spans="2:4" x14ac:dyDescent="0.25">
      <c r="B18" s="27" t="s">
        <v>124</v>
      </c>
      <c r="C18" s="26">
        <v>18</v>
      </c>
      <c r="D18" s="25">
        <f t="shared" si="0"/>
        <v>4.4999999999999998E-2</v>
      </c>
    </row>
    <row r="19" spans="2:4" ht="27" x14ac:dyDescent="0.25">
      <c r="B19" s="27" t="s">
        <v>123</v>
      </c>
      <c r="C19" s="26">
        <v>28</v>
      </c>
      <c r="D19" s="25">
        <f t="shared" si="0"/>
        <v>7.0000000000000007E-2</v>
      </c>
    </row>
    <row r="20" spans="2:4" x14ac:dyDescent="0.25">
      <c r="B20" s="27" t="s">
        <v>122</v>
      </c>
      <c r="C20" s="26">
        <v>7</v>
      </c>
      <c r="D20" s="25">
        <f t="shared" si="0"/>
        <v>1.7500000000000002E-2</v>
      </c>
    </row>
    <row r="21" spans="2:4" x14ac:dyDescent="0.25">
      <c r="B21" s="27" t="s">
        <v>121</v>
      </c>
      <c r="C21" s="26">
        <v>14</v>
      </c>
      <c r="D21" s="25">
        <f t="shared" si="0"/>
        <v>3.5000000000000003E-2</v>
      </c>
    </row>
    <row r="22" spans="2:4" x14ac:dyDescent="0.25">
      <c r="B22" s="27" t="s">
        <v>120</v>
      </c>
      <c r="C22" s="26">
        <v>12</v>
      </c>
      <c r="D22" s="25">
        <f t="shared" si="0"/>
        <v>0.03</v>
      </c>
    </row>
    <row r="23" spans="2:4" ht="27" x14ac:dyDescent="0.25">
      <c r="B23" s="27" t="s">
        <v>119</v>
      </c>
      <c r="C23" s="26">
        <v>133</v>
      </c>
      <c r="D23" s="25">
        <f t="shared" si="0"/>
        <v>0.33250000000000002</v>
      </c>
    </row>
    <row r="24" spans="2:4" x14ac:dyDescent="0.25">
      <c r="B24" s="27" t="s">
        <v>118</v>
      </c>
      <c r="C24" s="26">
        <v>3</v>
      </c>
      <c r="D24" s="25">
        <f t="shared" si="0"/>
        <v>7.4999999999999997E-3</v>
      </c>
    </row>
    <row r="25" spans="2:4" ht="27" x14ac:dyDescent="0.25">
      <c r="B25" s="27" t="s">
        <v>117</v>
      </c>
      <c r="C25" s="26">
        <v>41</v>
      </c>
      <c r="D25" s="25">
        <f t="shared" si="0"/>
        <v>0.10249999999999999</v>
      </c>
    </row>
    <row r="26" spans="2:4" ht="27" x14ac:dyDescent="0.25">
      <c r="B26" s="27" t="s">
        <v>116</v>
      </c>
      <c r="C26" s="26">
        <v>97</v>
      </c>
      <c r="D26" s="25">
        <f t="shared" si="0"/>
        <v>0.24249999999999999</v>
      </c>
    </row>
    <row r="27" spans="2:4" x14ac:dyDescent="0.25">
      <c r="B27" s="27" t="s">
        <v>115</v>
      </c>
      <c r="C27" s="26">
        <v>2</v>
      </c>
      <c r="D27" s="25">
        <f t="shared" si="0"/>
        <v>5.0000000000000001E-3</v>
      </c>
    </row>
    <row r="28" spans="2:4" x14ac:dyDescent="0.25">
      <c r="B28" s="27" t="s">
        <v>114</v>
      </c>
      <c r="C28" s="26">
        <v>2</v>
      </c>
      <c r="D28" s="25">
        <f t="shared" si="0"/>
        <v>5.0000000000000001E-3</v>
      </c>
    </row>
    <row r="29" spans="2:4" x14ac:dyDescent="0.25">
      <c r="B29" s="27" t="s">
        <v>113</v>
      </c>
      <c r="C29" s="26">
        <v>1</v>
      </c>
      <c r="D29" s="25">
        <f t="shared" si="0"/>
        <v>2.5000000000000001E-3</v>
      </c>
    </row>
    <row r="30" spans="2:4" x14ac:dyDescent="0.25">
      <c r="B30" s="27" t="s">
        <v>112</v>
      </c>
      <c r="C30" s="26">
        <v>10</v>
      </c>
      <c r="D30" s="25">
        <f t="shared" si="0"/>
        <v>2.5000000000000001E-2</v>
      </c>
    </row>
    <row r="31" spans="2:4" x14ac:dyDescent="0.25">
      <c r="B31" s="27" t="s">
        <v>111</v>
      </c>
      <c r="C31" s="26">
        <v>11</v>
      </c>
      <c r="D31" s="25">
        <f t="shared" si="0"/>
        <v>2.75E-2</v>
      </c>
    </row>
    <row r="32" spans="2:4" x14ac:dyDescent="0.25">
      <c r="B32" s="27" t="s">
        <v>110</v>
      </c>
      <c r="C32" s="26">
        <v>1</v>
      </c>
      <c r="D32" s="25">
        <f t="shared" si="0"/>
        <v>2.5000000000000001E-3</v>
      </c>
    </row>
    <row r="33" spans="1:4" x14ac:dyDescent="0.25">
      <c r="B33" s="27" t="s">
        <v>109</v>
      </c>
      <c r="C33" s="26">
        <v>1</v>
      </c>
      <c r="D33" s="25">
        <f t="shared" si="0"/>
        <v>2.5000000000000001E-3</v>
      </c>
    </row>
    <row r="34" spans="1:4" x14ac:dyDescent="0.25">
      <c r="B34" s="24" t="s">
        <v>20</v>
      </c>
      <c r="C34" s="23">
        <v>400</v>
      </c>
      <c r="D34" s="22">
        <f t="shared" si="0"/>
        <v>1</v>
      </c>
    </row>
    <row r="36" spans="1:4" x14ac:dyDescent="0.25">
      <c r="A36" s="58" t="s">
        <v>170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82"/>
  <sheetViews>
    <sheetView zoomScale="93" zoomScaleNormal="93" zoomScaleSheetLayoutView="85" workbookViewId="0">
      <selection activeCell="F18" sqref="F18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133</v>
      </c>
      <c r="C9" s="49" t="s">
        <v>108</v>
      </c>
      <c r="D9" s="48" t="s">
        <v>55</v>
      </c>
      <c r="E9" s="47" t="s">
        <v>54</v>
      </c>
    </row>
    <row r="10" spans="1:5" ht="15" customHeight="1" x14ac:dyDescent="0.25">
      <c r="B10" s="80" t="s">
        <v>130</v>
      </c>
      <c r="C10" s="45" t="s">
        <v>53</v>
      </c>
      <c r="D10" s="44">
        <v>2</v>
      </c>
      <c r="E10" s="43">
        <v>5.0000000000000001E-3</v>
      </c>
    </row>
    <row r="11" spans="1:5" ht="15" customHeight="1" x14ac:dyDescent="0.25">
      <c r="B11" s="81"/>
      <c r="C11" s="45" t="s">
        <v>37</v>
      </c>
      <c r="D11" s="44">
        <v>1</v>
      </c>
      <c r="E11" s="43">
        <v>2.5000000000000001E-3</v>
      </c>
    </row>
    <row r="12" spans="1:5" ht="15" customHeight="1" x14ac:dyDescent="0.25">
      <c r="B12" s="82"/>
      <c r="C12" s="42" t="s">
        <v>20</v>
      </c>
      <c r="D12" s="41">
        <v>3</v>
      </c>
      <c r="E12" s="40">
        <v>7.4999999999999997E-3</v>
      </c>
    </row>
    <row r="13" spans="1:5" ht="15" customHeight="1" x14ac:dyDescent="0.25">
      <c r="B13" s="80" t="s">
        <v>129</v>
      </c>
      <c r="C13" s="45" t="s">
        <v>53</v>
      </c>
      <c r="D13" s="44">
        <v>2</v>
      </c>
      <c r="E13" s="43">
        <v>5.0000000000000001E-3</v>
      </c>
    </row>
    <row r="14" spans="1:5" ht="15" customHeight="1" x14ac:dyDescent="0.25">
      <c r="B14" s="82"/>
      <c r="C14" s="42" t="s">
        <v>20</v>
      </c>
      <c r="D14" s="41">
        <v>2</v>
      </c>
      <c r="E14" s="40">
        <v>5.0000000000000001E-3</v>
      </c>
    </row>
    <row r="15" spans="1:5" ht="15" customHeight="1" x14ac:dyDescent="0.25">
      <c r="B15" s="80" t="s">
        <v>128</v>
      </c>
      <c r="C15" s="45" t="s">
        <v>53</v>
      </c>
      <c r="D15" s="44">
        <v>2</v>
      </c>
      <c r="E15" s="43">
        <v>5.0000000000000001E-3</v>
      </c>
    </row>
    <row r="16" spans="1:5" ht="15" customHeight="1" x14ac:dyDescent="0.25">
      <c r="B16" s="82"/>
      <c r="C16" s="42" t="s">
        <v>20</v>
      </c>
      <c r="D16" s="41">
        <v>2</v>
      </c>
      <c r="E16" s="40">
        <v>5.0000000000000001E-3</v>
      </c>
    </row>
    <row r="17" spans="2:5" ht="15" customHeight="1" x14ac:dyDescent="0.25">
      <c r="B17" s="80" t="s">
        <v>127</v>
      </c>
      <c r="C17" s="45" t="s">
        <v>53</v>
      </c>
      <c r="D17" s="44">
        <v>1</v>
      </c>
      <c r="E17" s="43">
        <v>2.5000000000000001E-3</v>
      </c>
    </row>
    <row r="18" spans="2:5" ht="15" customHeight="1" x14ac:dyDescent="0.25">
      <c r="B18" s="82"/>
      <c r="C18" s="42" t="s">
        <v>20</v>
      </c>
      <c r="D18" s="41">
        <v>1</v>
      </c>
      <c r="E18" s="40">
        <v>2.5000000000000001E-3</v>
      </c>
    </row>
    <row r="19" spans="2:5" ht="15" customHeight="1" x14ac:dyDescent="0.25">
      <c r="B19" s="80" t="s">
        <v>126</v>
      </c>
      <c r="C19" s="45" t="s">
        <v>53</v>
      </c>
      <c r="D19" s="44">
        <v>1</v>
      </c>
      <c r="E19" s="43">
        <v>2.5000000000000001E-3</v>
      </c>
    </row>
    <row r="20" spans="2:5" ht="15" customHeight="1" x14ac:dyDescent="0.25">
      <c r="B20" s="81"/>
      <c r="C20" s="45" t="s">
        <v>50</v>
      </c>
      <c r="D20" s="44">
        <v>3</v>
      </c>
      <c r="E20" s="43">
        <v>7.4999999999999997E-3</v>
      </c>
    </row>
    <row r="21" spans="2:5" ht="15" customHeight="1" x14ac:dyDescent="0.25">
      <c r="B21" s="81"/>
      <c r="C21" s="45" t="s">
        <v>52</v>
      </c>
      <c r="D21" s="44">
        <v>1</v>
      </c>
      <c r="E21" s="43">
        <v>2.5000000000000001E-3</v>
      </c>
    </row>
    <row r="22" spans="2:5" ht="15" customHeight="1" x14ac:dyDescent="0.25">
      <c r="B22" s="82"/>
      <c r="C22" s="42" t="s">
        <v>20</v>
      </c>
      <c r="D22" s="41">
        <v>5</v>
      </c>
      <c r="E22" s="40">
        <v>1.2500000000000001E-2</v>
      </c>
    </row>
    <row r="23" spans="2:5" ht="15" customHeight="1" x14ac:dyDescent="0.25">
      <c r="B23" s="80" t="s">
        <v>125</v>
      </c>
      <c r="C23" s="45" t="s">
        <v>41</v>
      </c>
      <c r="D23" s="44">
        <v>1</v>
      </c>
      <c r="E23" s="43">
        <v>2.5000000000000001E-3</v>
      </c>
    </row>
    <row r="24" spans="2:5" ht="15" customHeight="1" x14ac:dyDescent="0.25">
      <c r="B24" s="81"/>
      <c r="C24" s="45" t="s">
        <v>31</v>
      </c>
      <c r="D24" s="44">
        <v>1</v>
      </c>
      <c r="E24" s="43">
        <v>2.5000000000000001E-3</v>
      </c>
    </row>
    <row r="25" spans="2:5" ht="15" customHeight="1" x14ac:dyDescent="0.25">
      <c r="B25" s="81"/>
      <c r="C25" s="45" t="s">
        <v>46</v>
      </c>
      <c r="D25" s="44">
        <v>1</v>
      </c>
      <c r="E25" s="43">
        <v>2.5000000000000001E-3</v>
      </c>
    </row>
    <row r="26" spans="2:5" ht="15" customHeight="1" x14ac:dyDescent="0.25">
      <c r="B26" s="81"/>
      <c r="C26" s="45" t="s">
        <v>37</v>
      </c>
      <c r="D26" s="44">
        <v>1</v>
      </c>
      <c r="E26" s="43">
        <v>2.5000000000000001E-3</v>
      </c>
    </row>
    <row r="27" spans="2:5" ht="15" customHeight="1" x14ac:dyDescent="0.25">
      <c r="B27" s="81"/>
      <c r="C27" s="45" t="s">
        <v>52</v>
      </c>
      <c r="D27" s="44">
        <v>2</v>
      </c>
      <c r="E27" s="43">
        <v>5.0000000000000001E-3</v>
      </c>
    </row>
    <row r="28" spans="2:5" ht="15" customHeight="1" x14ac:dyDescent="0.25">
      <c r="B28" s="82"/>
      <c r="C28" s="42" t="s">
        <v>20</v>
      </c>
      <c r="D28" s="41">
        <v>6</v>
      </c>
      <c r="E28" s="40">
        <v>1.4999999999999999E-2</v>
      </c>
    </row>
    <row r="29" spans="2:5" ht="15" customHeight="1" x14ac:dyDescent="0.25">
      <c r="B29" s="80" t="s">
        <v>124</v>
      </c>
      <c r="C29" s="45" t="s">
        <v>51</v>
      </c>
      <c r="D29" s="44">
        <v>1</v>
      </c>
      <c r="E29" s="43">
        <v>2.5000000000000001E-3</v>
      </c>
    </row>
    <row r="30" spans="2:5" ht="15" customHeight="1" x14ac:dyDescent="0.25">
      <c r="B30" s="81"/>
      <c r="C30" s="45" t="s">
        <v>53</v>
      </c>
      <c r="D30" s="44">
        <v>11</v>
      </c>
      <c r="E30" s="43">
        <v>2.75E-2</v>
      </c>
    </row>
    <row r="31" spans="2:5" ht="15" customHeight="1" x14ac:dyDescent="0.25">
      <c r="B31" s="81"/>
      <c r="C31" s="45" t="s">
        <v>50</v>
      </c>
      <c r="D31" s="44">
        <v>1</v>
      </c>
      <c r="E31" s="43">
        <v>2.5000000000000001E-3</v>
      </c>
    </row>
    <row r="32" spans="2:5" ht="15" customHeight="1" x14ac:dyDescent="0.25">
      <c r="B32" s="81"/>
      <c r="C32" s="45" t="s">
        <v>46</v>
      </c>
      <c r="D32" s="44">
        <v>1</v>
      </c>
      <c r="E32" s="43">
        <v>2.5000000000000001E-3</v>
      </c>
    </row>
    <row r="33" spans="2:5" ht="15" customHeight="1" x14ac:dyDescent="0.25">
      <c r="B33" s="81"/>
      <c r="C33" s="45" t="s">
        <v>42</v>
      </c>
      <c r="D33" s="44">
        <v>1</v>
      </c>
      <c r="E33" s="43">
        <v>2.5000000000000001E-3</v>
      </c>
    </row>
    <row r="34" spans="2:5" ht="15" customHeight="1" x14ac:dyDescent="0.25">
      <c r="B34" s="81"/>
      <c r="C34" s="45" t="s">
        <v>52</v>
      </c>
      <c r="D34" s="44">
        <v>2</v>
      </c>
      <c r="E34" s="43">
        <v>5.0000000000000001E-3</v>
      </c>
    </row>
    <row r="35" spans="2:5" ht="15" customHeight="1" x14ac:dyDescent="0.25">
      <c r="B35" s="81"/>
      <c r="C35" s="45" t="s">
        <v>48</v>
      </c>
      <c r="D35" s="44">
        <v>1</v>
      </c>
      <c r="E35" s="43">
        <v>2.5000000000000001E-3</v>
      </c>
    </row>
    <row r="36" spans="2:5" ht="15" customHeight="1" x14ac:dyDescent="0.25">
      <c r="B36" s="82"/>
      <c r="C36" s="42" t="s">
        <v>20</v>
      </c>
      <c r="D36" s="41">
        <v>18</v>
      </c>
      <c r="E36" s="40">
        <v>4.4999999999999998E-2</v>
      </c>
    </row>
    <row r="37" spans="2:5" ht="15" customHeight="1" x14ac:dyDescent="0.25">
      <c r="B37" s="80" t="s">
        <v>123</v>
      </c>
      <c r="C37" s="45" t="s">
        <v>51</v>
      </c>
      <c r="D37" s="44">
        <v>2</v>
      </c>
      <c r="E37" s="43">
        <v>5.0000000000000001E-3</v>
      </c>
    </row>
    <row r="38" spans="2:5" ht="15" customHeight="1" x14ac:dyDescent="0.25">
      <c r="B38" s="81"/>
      <c r="C38" s="45" t="s">
        <v>53</v>
      </c>
      <c r="D38" s="44">
        <v>6</v>
      </c>
      <c r="E38" s="43">
        <v>1.4999999999999999E-2</v>
      </c>
    </row>
    <row r="39" spans="2:5" ht="15" customHeight="1" x14ac:dyDescent="0.25">
      <c r="B39" s="81"/>
      <c r="C39" s="45" t="s">
        <v>50</v>
      </c>
      <c r="D39" s="44">
        <v>2</v>
      </c>
      <c r="E39" s="43">
        <v>5.0000000000000001E-3</v>
      </c>
    </row>
    <row r="40" spans="2:5" ht="15" customHeight="1" x14ac:dyDescent="0.25">
      <c r="B40" s="81"/>
      <c r="C40" s="45" t="s">
        <v>47</v>
      </c>
      <c r="D40" s="44">
        <v>1</v>
      </c>
      <c r="E40" s="43">
        <v>2.5000000000000001E-3</v>
      </c>
    </row>
    <row r="41" spans="2:5" ht="15" customHeight="1" x14ac:dyDescent="0.25">
      <c r="B41" s="81"/>
      <c r="C41" s="45" t="s">
        <v>41</v>
      </c>
      <c r="D41" s="44">
        <v>1</v>
      </c>
      <c r="E41" s="43">
        <v>2.5000000000000001E-3</v>
      </c>
    </row>
    <row r="42" spans="2:5" ht="15" customHeight="1" x14ac:dyDescent="0.25">
      <c r="B42" s="81"/>
      <c r="C42" s="45" t="s">
        <v>32</v>
      </c>
      <c r="D42" s="44">
        <v>1</v>
      </c>
      <c r="E42" s="43">
        <v>2.5000000000000001E-3</v>
      </c>
    </row>
    <row r="43" spans="2:5" ht="15" customHeight="1" x14ac:dyDescent="0.25">
      <c r="B43" s="81"/>
      <c r="C43" s="45" t="s">
        <v>34</v>
      </c>
      <c r="D43" s="44">
        <v>2</v>
      </c>
      <c r="E43" s="43">
        <v>5.0000000000000001E-3</v>
      </c>
    </row>
    <row r="44" spans="2:5" ht="15" customHeight="1" x14ac:dyDescent="0.25">
      <c r="B44" s="81"/>
      <c r="C44" s="45" t="s">
        <v>46</v>
      </c>
      <c r="D44" s="44">
        <v>3</v>
      </c>
      <c r="E44" s="43">
        <v>7.4999999999999997E-3</v>
      </c>
    </row>
    <row r="45" spans="2:5" ht="15" customHeight="1" x14ac:dyDescent="0.25">
      <c r="B45" s="81"/>
      <c r="C45" s="45" t="s">
        <v>29</v>
      </c>
      <c r="D45" s="44">
        <v>1</v>
      </c>
      <c r="E45" s="43">
        <v>2.5000000000000001E-3</v>
      </c>
    </row>
    <row r="46" spans="2:5" ht="15" customHeight="1" x14ac:dyDescent="0.25">
      <c r="B46" s="81"/>
      <c r="C46" s="45" t="s">
        <v>44</v>
      </c>
      <c r="D46" s="44">
        <v>1</v>
      </c>
      <c r="E46" s="43">
        <v>2.5000000000000001E-3</v>
      </c>
    </row>
    <row r="47" spans="2:5" ht="15" customHeight="1" x14ac:dyDescent="0.25">
      <c r="B47" s="81"/>
      <c r="C47" s="45" t="s">
        <v>37</v>
      </c>
      <c r="D47" s="44">
        <v>2</v>
      </c>
      <c r="E47" s="43">
        <v>5.0000000000000001E-3</v>
      </c>
    </row>
    <row r="48" spans="2:5" ht="15" customHeight="1" x14ac:dyDescent="0.25">
      <c r="B48" s="81"/>
      <c r="C48" s="45" t="s">
        <v>42</v>
      </c>
      <c r="D48" s="44">
        <v>1</v>
      </c>
      <c r="E48" s="43">
        <v>2.5000000000000001E-3</v>
      </c>
    </row>
    <row r="49" spans="2:5" ht="15" customHeight="1" x14ac:dyDescent="0.25">
      <c r="B49" s="81"/>
      <c r="C49" s="45" t="s">
        <v>52</v>
      </c>
      <c r="D49" s="44">
        <v>5</v>
      </c>
      <c r="E49" s="43">
        <v>1.2500000000000001E-2</v>
      </c>
    </row>
    <row r="50" spans="2:5" ht="15" customHeight="1" x14ac:dyDescent="0.25">
      <c r="B50" s="82"/>
      <c r="C50" s="42" t="s">
        <v>20</v>
      </c>
      <c r="D50" s="41">
        <v>28</v>
      </c>
      <c r="E50" s="40">
        <v>7.0000000000000007E-2</v>
      </c>
    </row>
    <row r="51" spans="2:5" ht="15" customHeight="1" x14ac:dyDescent="0.25">
      <c r="B51" s="80" t="s">
        <v>122</v>
      </c>
      <c r="C51" s="45" t="s">
        <v>53</v>
      </c>
      <c r="D51" s="44">
        <v>1</v>
      </c>
      <c r="E51" s="43">
        <v>2.5000000000000001E-3</v>
      </c>
    </row>
    <row r="52" spans="2:5" ht="15" customHeight="1" x14ac:dyDescent="0.25">
      <c r="B52" s="81"/>
      <c r="C52" s="45" t="s">
        <v>50</v>
      </c>
      <c r="D52" s="44">
        <v>1</v>
      </c>
      <c r="E52" s="43">
        <v>2.5000000000000001E-3</v>
      </c>
    </row>
    <row r="53" spans="2:5" ht="15" customHeight="1" x14ac:dyDescent="0.25">
      <c r="B53" s="81"/>
      <c r="C53" s="45" t="s">
        <v>28</v>
      </c>
      <c r="D53" s="44">
        <v>1</v>
      </c>
      <c r="E53" s="43">
        <v>2.5000000000000001E-3</v>
      </c>
    </row>
    <row r="54" spans="2:5" ht="15" customHeight="1" x14ac:dyDescent="0.25">
      <c r="B54" s="81"/>
      <c r="C54" s="45" t="s">
        <v>46</v>
      </c>
      <c r="D54" s="44">
        <v>2</v>
      </c>
      <c r="E54" s="43">
        <v>5.0000000000000001E-3</v>
      </c>
    </row>
    <row r="55" spans="2:5" ht="15" customHeight="1" x14ac:dyDescent="0.25">
      <c r="B55" s="81"/>
      <c r="C55" s="45" t="s">
        <v>29</v>
      </c>
      <c r="D55" s="44">
        <v>1</v>
      </c>
      <c r="E55" s="43">
        <v>2.5000000000000001E-3</v>
      </c>
    </row>
    <row r="56" spans="2:5" ht="15" customHeight="1" x14ac:dyDescent="0.25">
      <c r="B56" s="81"/>
      <c r="C56" s="45" t="s">
        <v>37</v>
      </c>
      <c r="D56" s="44">
        <v>1</v>
      </c>
      <c r="E56" s="43">
        <v>2.5000000000000001E-3</v>
      </c>
    </row>
    <row r="57" spans="2:5" ht="15" customHeight="1" x14ac:dyDescent="0.25">
      <c r="B57" s="82"/>
      <c r="C57" s="42" t="s">
        <v>20</v>
      </c>
      <c r="D57" s="41">
        <v>7</v>
      </c>
      <c r="E57" s="40">
        <v>1.7500000000000002E-2</v>
      </c>
    </row>
    <row r="58" spans="2:5" ht="15" customHeight="1" x14ac:dyDescent="0.25">
      <c r="B58" s="80" t="s">
        <v>121</v>
      </c>
      <c r="C58" s="45" t="s">
        <v>53</v>
      </c>
      <c r="D58" s="44">
        <v>3</v>
      </c>
      <c r="E58" s="43">
        <v>7.4999999999999997E-3</v>
      </c>
    </row>
    <row r="59" spans="2:5" ht="15" customHeight="1" x14ac:dyDescent="0.25">
      <c r="B59" s="81"/>
      <c r="C59" s="45" t="s">
        <v>50</v>
      </c>
      <c r="D59" s="44">
        <v>1</v>
      </c>
      <c r="E59" s="43">
        <v>2.5000000000000001E-3</v>
      </c>
    </row>
    <row r="60" spans="2:5" ht="15" customHeight="1" x14ac:dyDescent="0.25">
      <c r="B60" s="81"/>
      <c r="C60" s="45" t="s">
        <v>49</v>
      </c>
      <c r="D60" s="44">
        <v>2</v>
      </c>
      <c r="E60" s="43">
        <v>5.0000000000000001E-3</v>
      </c>
    </row>
    <row r="61" spans="2:5" ht="15" customHeight="1" x14ac:dyDescent="0.25">
      <c r="B61" s="81"/>
      <c r="C61" s="45" t="s">
        <v>32</v>
      </c>
      <c r="D61" s="44">
        <v>1</v>
      </c>
      <c r="E61" s="43">
        <v>2.5000000000000001E-3</v>
      </c>
    </row>
    <row r="62" spans="2:5" ht="15" customHeight="1" x14ac:dyDescent="0.25">
      <c r="B62" s="81"/>
      <c r="C62" s="45" t="s">
        <v>39</v>
      </c>
      <c r="D62" s="44">
        <v>1</v>
      </c>
      <c r="E62" s="43">
        <v>2.5000000000000001E-3</v>
      </c>
    </row>
    <row r="63" spans="2:5" ht="15" customHeight="1" x14ac:dyDescent="0.25">
      <c r="B63" s="81"/>
      <c r="C63" s="45" t="s">
        <v>46</v>
      </c>
      <c r="D63" s="44">
        <v>1</v>
      </c>
      <c r="E63" s="43">
        <v>2.5000000000000001E-3</v>
      </c>
    </row>
    <row r="64" spans="2:5" ht="15" customHeight="1" x14ac:dyDescent="0.25">
      <c r="B64" s="81"/>
      <c r="C64" s="45" t="s">
        <v>29</v>
      </c>
      <c r="D64" s="44">
        <v>2</v>
      </c>
      <c r="E64" s="43">
        <v>5.0000000000000001E-3</v>
      </c>
    </row>
    <row r="65" spans="2:5" ht="15" customHeight="1" x14ac:dyDescent="0.25">
      <c r="B65" s="81"/>
      <c r="C65" s="45" t="s">
        <v>52</v>
      </c>
      <c r="D65" s="44">
        <v>3</v>
      </c>
      <c r="E65" s="43">
        <v>7.4999999999999997E-3</v>
      </c>
    </row>
    <row r="66" spans="2:5" ht="15" customHeight="1" x14ac:dyDescent="0.25">
      <c r="B66" s="82"/>
      <c r="C66" s="42" t="s">
        <v>20</v>
      </c>
      <c r="D66" s="41">
        <v>14</v>
      </c>
      <c r="E66" s="40">
        <v>3.5000000000000003E-2</v>
      </c>
    </row>
    <row r="67" spans="2:5" ht="15" customHeight="1" x14ac:dyDescent="0.25">
      <c r="B67" s="80" t="s">
        <v>120</v>
      </c>
      <c r="C67" s="45" t="s">
        <v>53</v>
      </c>
      <c r="D67" s="44">
        <v>6</v>
      </c>
      <c r="E67" s="43">
        <v>1.4999999999999999E-2</v>
      </c>
    </row>
    <row r="68" spans="2:5" ht="15" customHeight="1" x14ac:dyDescent="0.25">
      <c r="B68" s="81"/>
      <c r="C68" s="45" t="s">
        <v>50</v>
      </c>
      <c r="D68" s="44">
        <v>1</v>
      </c>
      <c r="E68" s="43">
        <v>2.5000000000000001E-3</v>
      </c>
    </row>
    <row r="69" spans="2:5" ht="15" customHeight="1" x14ac:dyDescent="0.25">
      <c r="B69" s="81"/>
      <c r="C69" s="45" t="s">
        <v>32</v>
      </c>
      <c r="D69" s="44">
        <v>1</v>
      </c>
      <c r="E69" s="43">
        <v>2.5000000000000001E-3</v>
      </c>
    </row>
    <row r="70" spans="2:5" ht="15" customHeight="1" x14ac:dyDescent="0.25">
      <c r="B70" s="81"/>
      <c r="C70" s="45" t="s">
        <v>38</v>
      </c>
      <c r="D70" s="44">
        <v>1</v>
      </c>
      <c r="E70" s="43">
        <v>2.5000000000000001E-3</v>
      </c>
    </row>
    <row r="71" spans="2:5" ht="15" customHeight="1" x14ac:dyDescent="0.25">
      <c r="B71" s="81"/>
      <c r="C71" s="45" t="s">
        <v>46</v>
      </c>
      <c r="D71" s="44">
        <v>1</v>
      </c>
      <c r="E71" s="43">
        <v>2.5000000000000001E-3</v>
      </c>
    </row>
    <row r="72" spans="2:5" ht="15" customHeight="1" x14ac:dyDescent="0.25">
      <c r="B72" s="81"/>
      <c r="C72" s="45" t="s">
        <v>52</v>
      </c>
      <c r="D72" s="44">
        <v>2</v>
      </c>
      <c r="E72" s="43">
        <v>5.0000000000000001E-3</v>
      </c>
    </row>
    <row r="73" spans="2:5" ht="15" customHeight="1" x14ac:dyDescent="0.25">
      <c r="B73" s="82"/>
      <c r="C73" s="42" t="s">
        <v>20</v>
      </c>
      <c r="D73" s="41">
        <v>12</v>
      </c>
      <c r="E73" s="40">
        <v>0.03</v>
      </c>
    </row>
    <row r="74" spans="2:5" ht="15" customHeight="1" x14ac:dyDescent="0.25">
      <c r="B74" s="80" t="s">
        <v>119</v>
      </c>
      <c r="C74" s="45" t="s">
        <v>51</v>
      </c>
      <c r="D74" s="44">
        <v>5</v>
      </c>
      <c r="E74" s="43">
        <v>1.2500000000000001E-2</v>
      </c>
    </row>
    <row r="75" spans="2:5" ht="15" customHeight="1" x14ac:dyDescent="0.25">
      <c r="B75" s="81"/>
      <c r="C75" s="45" t="s">
        <v>33</v>
      </c>
      <c r="D75" s="44">
        <v>2</v>
      </c>
      <c r="E75" s="43">
        <v>5.0000000000000001E-3</v>
      </c>
    </row>
    <row r="76" spans="2:5" ht="15" customHeight="1" x14ac:dyDescent="0.25">
      <c r="B76" s="81"/>
      <c r="C76" s="45" t="s">
        <v>30</v>
      </c>
      <c r="D76" s="44">
        <v>1</v>
      </c>
      <c r="E76" s="43">
        <v>2.5000000000000001E-3</v>
      </c>
    </row>
    <row r="77" spans="2:5" ht="15" customHeight="1" x14ac:dyDescent="0.25">
      <c r="B77" s="81"/>
      <c r="C77" s="45" t="s">
        <v>53</v>
      </c>
      <c r="D77" s="44">
        <v>36</v>
      </c>
      <c r="E77" s="43">
        <v>0.09</v>
      </c>
    </row>
    <row r="78" spans="2:5" ht="15" customHeight="1" x14ac:dyDescent="0.25">
      <c r="B78" s="81"/>
      <c r="C78" s="45" t="s">
        <v>27</v>
      </c>
      <c r="D78" s="44">
        <v>1</v>
      </c>
      <c r="E78" s="43">
        <v>2.5000000000000001E-3</v>
      </c>
    </row>
    <row r="79" spans="2:5" ht="15" customHeight="1" x14ac:dyDescent="0.25">
      <c r="B79" s="81"/>
      <c r="C79" s="45" t="s">
        <v>26</v>
      </c>
      <c r="D79" s="44">
        <v>1</v>
      </c>
      <c r="E79" s="43">
        <v>2.5000000000000001E-3</v>
      </c>
    </row>
    <row r="80" spans="2:5" ht="15" customHeight="1" x14ac:dyDescent="0.25">
      <c r="B80" s="81"/>
      <c r="C80" s="45" t="s">
        <v>50</v>
      </c>
      <c r="D80" s="44">
        <v>13</v>
      </c>
      <c r="E80" s="43">
        <v>3.2500000000000001E-2</v>
      </c>
    </row>
    <row r="81" spans="2:5" ht="15" customHeight="1" x14ac:dyDescent="0.25">
      <c r="B81" s="81"/>
      <c r="C81" s="45" t="s">
        <v>49</v>
      </c>
      <c r="D81" s="44">
        <v>6</v>
      </c>
      <c r="E81" s="43">
        <v>1.4999999999999999E-2</v>
      </c>
    </row>
    <row r="82" spans="2:5" ht="15" customHeight="1" x14ac:dyDescent="0.25">
      <c r="B82" s="81"/>
      <c r="C82" s="45" t="s">
        <v>47</v>
      </c>
      <c r="D82" s="44">
        <v>6</v>
      </c>
      <c r="E82" s="43">
        <v>1.4999999999999999E-2</v>
      </c>
    </row>
    <row r="83" spans="2:5" ht="15" customHeight="1" x14ac:dyDescent="0.25">
      <c r="B83" s="81"/>
      <c r="C83" s="45" t="s">
        <v>41</v>
      </c>
      <c r="D83" s="44">
        <v>1</v>
      </c>
      <c r="E83" s="43">
        <v>2.5000000000000001E-3</v>
      </c>
    </row>
    <row r="84" spans="2:5" ht="15" customHeight="1" x14ac:dyDescent="0.25">
      <c r="B84" s="81"/>
      <c r="C84" s="45" t="s">
        <v>28</v>
      </c>
      <c r="D84" s="44">
        <v>3</v>
      </c>
      <c r="E84" s="43">
        <v>7.4999999999999997E-3</v>
      </c>
    </row>
    <row r="85" spans="2:5" ht="15" customHeight="1" x14ac:dyDescent="0.25">
      <c r="B85" s="81"/>
      <c r="C85" s="45" t="s">
        <v>38</v>
      </c>
      <c r="D85" s="44">
        <v>1</v>
      </c>
      <c r="E85" s="43">
        <v>2.5000000000000001E-3</v>
      </c>
    </row>
    <row r="86" spans="2:5" ht="15" customHeight="1" x14ac:dyDescent="0.25">
      <c r="B86" s="81"/>
      <c r="C86" s="45" t="s">
        <v>45</v>
      </c>
      <c r="D86" s="44">
        <v>4</v>
      </c>
      <c r="E86" s="43">
        <v>0.01</v>
      </c>
    </row>
    <row r="87" spans="2:5" ht="15" customHeight="1" x14ac:dyDescent="0.25">
      <c r="B87" s="81"/>
      <c r="C87" s="45" t="s">
        <v>39</v>
      </c>
      <c r="D87" s="44">
        <v>1</v>
      </c>
      <c r="E87" s="43">
        <v>2.5000000000000001E-3</v>
      </c>
    </row>
    <row r="88" spans="2:5" ht="15" customHeight="1" x14ac:dyDescent="0.25">
      <c r="B88" s="81"/>
      <c r="C88" s="45" t="s">
        <v>24</v>
      </c>
      <c r="D88" s="44">
        <v>2</v>
      </c>
      <c r="E88" s="43">
        <v>5.0000000000000001E-3</v>
      </c>
    </row>
    <row r="89" spans="2:5" ht="15" customHeight="1" x14ac:dyDescent="0.25">
      <c r="B89" s="81"/>
      <c r="C89" s="45" t="s">
        <v>34</v>
      </c>
      <c r="D89" s="44">
        <v>1</v>
      </c>
      <c r="E89" s="43">
        <v>2.5000000000000001E-3</v>
      </c>
    </row>
    <row r="90" spans="2:5" ht="15" customHeight="1" x14ac:dyDescent="0.25">
      <c r="B90" s="81"/>
      <c r="C90" s="45" t="s">
        <v>46</v>
      </c>
      <c r="D90" s="44">
        <v>10</v>
      </c>
      <c r="E90" s="43">
        <v>2.5000000000000001E-2</v>
      </c>
    </row>
    <row r="91" spans="2:5" ht="15" customHeight="1" x14ac:dyDescent="0.25">
      <c r="B91" s="81"/>
      <c r="C91" s="45" t="s">
        <v>23</v>
      </c>
      <c r="D91" s="44">
        <v>3</v>
      </c>
      <c r="E91" s="43">
        <v>7.4999999999999997E-3</v>
      </c>
    </row>
    <row r="92" spans="2:5" ht="15" customHeight="1" x14ac:dyDescent="0.25">
      <c r="B92" s="81"/>
      <c r="C92" s="45" t="s">
        <v>29</v>
      </c>
      <c r="D92" s="44">
        <v>4</v>
      </c>
      <c r="E92" s="43">
        <v>0.01</v>
      </c>
    </row>
    <row r="93" spans="2:5" ht="15" customHeight="1" x14ac:dyDescent="0.25">
      <c r="B93" s="81"/>
      <c r="C93" s="45" t="s">
        <v>37</v>
      </c>
      <c r="D93" s="44">
        <v>7</v>
      </c>
      <c r="E93" s="43">
        <v>1.7500000000000002E-2</v>
      </c>
    </row>
    <row r="94" spans="2:5" ht="15" customHeight="1" x14ac:dyDescent="0.25">
      <c r="B94" s="81"/>
      <c r="C94" s="45" t="s">
        <v>42</v>
      </c>
      <c r="D94" s="44">
        <v>1</v>
      </c>
      <c r="E94" s="43">
        <v>2.5000000000000001E-3</v>
      </c>
    </row>
    <row r="95" spans="2:5" ht="15" customHeight="1" x14ac:dyDescent="0.25">
      <c r="B95" s="81"/>
      <c r="C95" s="45" t="s">
        <v>52</v>
      </c>
      <c r="D95" s="44">
        <v>19</v>
      </c>
      <c r="E95" s="43">
        <v>4.7500000000000001E-2</v>
      </c>
    </row>
    <row r="96" spans="2:5" ht="15" customHeight="1" x14ac:dyDescent="0.25">
      <c r="B96" s="81"/>
      <c r="C96" s="45" t="s">
        <v>36</v>
      </c>
      <c r="D96" s="44">
        <v>1</v>
      </c>
      <c r="E96" s="43">
        <v>2.5000000000000001E-3</v>
      </c>
    </row>
    <row r="97" spans="2:5" ht="15" customHeight="1" x14ac:dyDescent="0.25">
      <c r="B97" s="81"/>
      <c r="C97" s="45" t="s">
        <v>48</v>
      </c>
      <c r="D97" s="44">
        <v>1</v>
      </c>
      <c r="E97" s="43">
        <v>2.5000000000000001E-3</v>
      </c>
    </row>
    <row r="98" spans="2:5" ht="15" customHeight="1" x14ac:dyDescent="0.25">
      <c r="B98" s="81"/>
      <c r="C98" s="45" t="s">
        <v>35</v>
      </c>
      <c r="D98" s="44">
        <v>2</v>
      </c>
      <c r="E98" s="43">
        <v>5.0000000000000001E-3</v>
      </c>
    </row>
    <row r="99" spans="2:5" ht="15" customHeight="1" x14ac:dyDescent="0.25">
      <c r="B99" s="81"/>
      <c r="C99" s="45" t="s">
        <v>21</v>
      </c>
      <c r="D99" s="44">
        <v>1</v>
      </c>
      <c r="E99" s="43">
        <v>2.5000000000000001E-3</v>
      </c>
    </row>
    <row r="100" spans="2:5" ht="15" customHeight="1" x14ac:dyDescent="0.25">
      <c r="B100" s="82"/>
      <c r="C100" s="42" t="s">
        <v>20</v>
      </c>
      <c r="D100" s="41">
        <v>133</v>
      </c>
      <c r="E100" s="40">
        <v>0.33250000000000002</v>
      </c>
    </row>
    <row r="101" spans="2:5" ht="15" customHeight="1" x14ac:dyDescent="0.25">
      <c r="B101" s="80" t="s">
        <v>118</v>
      </c>
      <c r="C101" s="45" t="s">
        <v>51</v>
      </c>
      <c r="D101" s="44">
        <v>1</v>
      </c>
      <c r="E101" s="43">
        <v>2.5000000000000001E-3</v>
      </c>
    </row>
    <row r="102" spans="2:5" ht="15" customHeight="1" x14ac:dyDescent="0.25">
      <c r="B102" s="81"/>
      <c r="C102" s="45" t="s">
        <v>47</v>
      </c>
      <c r="D102" s="44">
        <v>1</v>
      </c>
      <c r="E102" s="43">
        <v>2.5000000000000001E-3</v>
      </c>
    </row>
    <row r="103" spans="2:5" ht="15" customHeight="1" x14ac:dyDescent="0.25">
      <c r="B103" s="81"/>
      <c r="C103" s="45" t="s">
        <v>52</v>
      </c>
      <c r="D103" s="44">
        <v>1</v>
      </c>
      <c r="E103" s="43">
        <v>2.5000000000000001E-3</v>
      </c>
    </row>
    <row r="104" spans="2:5" ht="15" customHeight="1" x14ac:dyDescent="0.25">
      <c r="B104" s="82"/>
      <c r="C104" s="42" t="s">
        <v>20</v>
      </c>
      <c r="D104" s="41">
        <v>3</v>
      </c>
      <c r="E104" s="40">
        <v>7.4999999999999997E-3</v>
      </c>
    </row>
    <row r="105" spans="2:5" ht="15" customHeight="1" x14ac:dyDescent="0.25">
      <c r="B105" s="80" t="s">
        <v>117</v>
      </c>
      <c r="C105" s="45" t="s">
        <v>33</v>
      </c>
      <c r="D105" s="44">
        <v>1</v>
      </c>
      <c r="E105" s="43">
        <v>2.5000000000000001E-3</v>
      </c>
    </row>
    <row r="106" spans="2:5" ht="15" customHeight="1" x14ac:dyDescent="0.25">
      <c r="B106" s="81"/>
      <c r="C106" s="45" t="s">
        <v>30</v>
      </c>
      <c r="D106" s="44">
        <v>1</v>
      </c>
      <c r="E106" s="43">
        <v>2.5000000000000001E-3</v>
      </c>
    </row>
    <row r="107" spans="2:5" ht="15" customHeight="1" x14ac:dyDescent="0.25">
      <c r="B107" s="81"/>
      <c r="C107" s="45" t="s">
        <v>53</v>
      </c>
      <c r="D107" s="44">
        <v>9</v>
      </c>
      <c r="E107" s="43">
        <v>2.2499999999999999E-2</v>
      </c>
    </row>
    <row r="108" spans="2:5" ht="15" customHeight="1" x14ac:dyDescent="0.25">
      <c r="B108" s="81"/>
      <c r="C108" s="45" t="s">
        <v>43</v>
      </c>
      <c r="D108" s="44">
        <v>2</v>
      </c>
      <c r="E108" s="43">
        <v>5.0000000000000001E-3</v>
      </c>
    </row>
    <row r="109" spans="2:5" ht="15" customHeight="1" x14ac:dyDescent="0.25">
      <c r="B109" s="81"/>
      <c r="C109" s="45" t="s">
        <v>49</v>
      </c>
      <c r="D109" s="44">
        <v>1</v>
      </c>
      <c r="E109" s="43">
        <v>2.5000000000000001E-3</v>
      </c>
    </row>
    <row r="110" spans="2:5" ht="15" customHeight="1" x14ac:dyDescent="0.25">
      <c r="B110" s="81"/>
      <c r="C110" s="45" t="s">
        <v>47</v>
      </c>
      <c r="D110" s="44">
        <v>1</v>
      </c>
      <c r="E110" s="43">
        <v>2.5000000000000001E-3</v>
      </c>
    </row>
    <row r="111" spans="2:5" ht="15" customHeight="1" x14ac:dyDescent="0.25">
      <c r="B111" s="81"/>
      <c r="C111" s="45" t="s">
        <v>41</v>
      </c>
      <c r="D111" s="44">
        <v>2</v>
      </c>
      <c r="E111" s="43">
        <v>5.0000000000000001E-3</v>
      </c>
    </row>
    <row r="112" spans="2:5" ht="15" customHeight="1" x14ac:dyDescent="0.25">
      <c r="B112" s="81"/>
      <c r="C112" s="45" t="s">
        <v>25</v>
      </c>
      <c r="D112" s="44">
        <v>1</v>
      </c>
      <c r="E112" s="43">
        <v>2.5000000000000001E-3</v>
      </c>
    </row>
    <row r="113" spans="2:5" ht="15" customHeight="1" x14ac:dyDescent="0.25">
      <c r="B113" s="81"/>
      <c r="C113" s="45" t="s">
        <v>38</v>
      </c>
      <c r="D113" s="44">
        <v>2</v>
      </c>
      <c r="E113" s="43">
        <v>5.0000000000000001E-3</v>
      </c>
    </row>
    <row r="114" spans="2:5" ht="15" customHeight="1" x14ac:dyDescent="0.25">
      <c r="B114" s="81"/>
      <c r="C114" s="45" t="s">
        <v>39</v>
      </c>
      <c r="D114" s="44">
        <v>1</v>
      </c>
      <c r="E114" s="43">
        <v>2.5000000000000001E-3</v>
      </c>
    </row>
    <row r="115" spans="2:5" ht="15" customHeight="1" x14ac:dyDescent="0.25">
      <c r="B115" s="81"/>
      <c r="C115" s="45" t="s">
        <v>34</v>
      </c>
      <c r="D115" s="44">
        <v>2</v>
      </c>
      <c r="E115" s="43">
        <v>5.0000000000000001E-3</v>
      </c>
    </row>
    <row r="116" spans="2:5" ht="15" customHeight="1" x14ac:dyDescent="0.25">
      <c r="B116" s="81"/>
      <c r="C116" s="45" t="s">
        <v>46</v>
      </c>
      <c r="D116" s="44">
        <v>2</v>
      </c>
      <c r="E116" s="43">
        <v>5.0000000000000001E-3</v>
      </c>
    </row>
    <row r="117" spans="2:5" ht="15" customHeight="1" x14ac:dyDescent="0.25">
      <c r="B117" s="81"/>
      <c r="C117" s="45" t="s">
        <v>23</v>
      </c>
      <c r="D117" s="44">
        <v>1</v>
      </c>
      <c r="E117" s="43">
        <v>2.5000000000000001E-3</v>
      </c>
    </row>
    <row r="118" spans="2:5" ht="15" customHeight="1" x14ac:dyDescent="0.25">
      <c r="B118" s="81"/>
      <c r="C118" s="45" t="s">
        <v>29</v>
      </c>
      <c r="D118" s="44">
        <v>1</v>
      </c>
      <c r="E118" s="43">
        <v>2.5000000000000001E-3</v>
      </c>
    </row>
    <row r="119" spans="2:5" ht="15" customHeight="1" x14ac:dyDescent="0.25">
      <c r="B119" s="81"/>
      <c r="C119" s="45" t="s">
        <v>44</v>
      </c>
      <c r="D119" s="44">
        <v>1</v>
      </c>
      <c r="E119" s="43">
        <v>2.5000000000000001E-3</v>
      </c>
    </row>
    <row r="120" spans="2:5" ht="15" customHeight="1" x14ac:dyDescent="0.25">
      <c r="B120" s="81"/>
      <c r="C120" s="45" t="s">
        <v>42</v>
      </c>
      <c r="D120" s="44">
        <v>2</v>
      </c>
      <c r="E120" s="43">
        <v>5.0000000000000001E-3</v>
      </c>
    </row>
    <row r="121" spans="2:5" ht="15" customHeight="1" x14ac:dyDescent="0.25">
      <c r="B121" s="81"/>
      <c r="C121" s="45" t="s">
        <v>52</v>
      </c>
      <c r="D121" s="44">
        <v>9</v>
      </c>
      <c r="E121" s="43">
        <v>2.2499999999999999E-2</v>
      </c>
    </row>
    <row r="122" spans="2:5" ht="15" customHeight="1" x14ac:dyDescent="0.25">
      <c r="B122" s="81"/>
      <c r="C122" s="45" t="s">
        <v>36</v>
      </c>
      <c r="D122" s="44">
        <v>2</v>
      </c>
      <c r="E122" s="43">
        <v>5.0000000000000001E-3</v>
      </c>
    </row>
    <row r="123" spans="2:5" ht="15" customHeight="1" x14ac:dyDescent="0.25">
      <c r="B123" s="82"/>
      <c r="C123" s="42" t="s">
        <v>20</v>
      </c>
      <c r="D123" s="41">
        <v>41</v>
      </c>
      <c r="E123" s="40">
        <v>0.10249999999999999</v>
      </c>
    </row>
    <row r="124" spans="2:5" ht="15" customHeight="1" x14ac:dyDescent="0.25">
      <c r="B124" s="80" t="s">
        <v>116</v>
      </c>
      <c r="C124" s="45" t="s">
        <v>51</v>
      </c>
      <c r="D124" s="44">
        <v>8</v>
      </c>
      <c r="E124" s="43">
        <v>0.02</v>
      </c>
    </row>
    <row r="125" spans="2:5" ht="15" customHeight="1" x14ac:dyDescent="0.25">
      <c r="B125" s="81"/>
      <c r="C125" s="45" t="s">
        <v>33</v>
      </c>
      <c r="D125" s="44">
        <v>1</v>
      </c>
      <c r="E125" s="43">
        <v>2.5000000000000001E-3</v>
      </c>
    </row>
    <row r="126" spans="2:5" ht="15" customHeight="1" x14ac:dyDescent="0.25">
      <c r="B126" s="81"/>
      <c r="C126" s="45" t="s">
        <v>53</v>
      </c>
      <c r="D126" s="44">
        <v>22</v>
      </c>
      <c r="E126" s="43">
        <v>5.5E-2</v>
      </c>
    </row>
    <row r="127" spans="2:5" ht="15" customHeight="1" x14ac:dyDescent="0.25">
      <c r="B127" s="81"/>
      <c r="C127" s="45" t="s">
        <v>43</v>
      </c>
      <c r="D127" s="44">
        <v>3</v>
      </c>
      <c r="E127" s="43">
        <v>7.4999999999999997E-3</v>
      </c>
    </row>
    <row r="128" spans="2:5" ht="15" customHeight="1" x14ac:dyDescent="0.25">
      <c r="B128" s="81"/>
      <c r="C128" s="45" t="s">
        <v>49</v>
      </c>
      <c r="D128" s="44">
        <v>4</v>
      </c>
      <c r="E128" s="43">
        <v>0.01</v>
      </c>
    </row>
    <row r="129" spans="2:5" ht="15" customHeight="1" x14ac:dyDescent="0.25">
      <c r="B129" s="81"/>
      <c r="C129" s="45" t="s">
        <v>47</v>
      </c>
      <c r="D129" s="44">
        <v>4</v>
      </c>
      <c r="E129" s="43">
        <v>0.01</v>
      </c>
    </row>
    <row r="130" spans="2:5" ht="15" customHeight="1" x14ac:dyDescent="0.25">
      <c r="B130" s="81"/>
      <c r="C130" s="45" t="s">
        <v>41</v>
      </c>
      <c r="D130" s="44">
        <v>5</v>
      </c>
      <c r="E130" s="43">
        <v>1.2500000000000001E-2</v>
      </c>
    </row>
    <row r="131" spans="2:5" ht="15" customHeight="1" x14ac:dyDescent="0.25">
      <c r="B131" s="81"/>
      <c r="C131" s="45" t="s">
        <v>28</v>
      </c>
      <c r="D131" s="44">
        <v>3</v>
      </c>
      <c r="E131" s="43">
        <v>7.4999999999999997E-3</v>
      </c>
    </row>
    <row r="132" spans="2:5" ht="15" customHeight="1" x14ac:dyDescent="0.25">
      <c r="B132" s="81"/>
      <c r="C132" s="45" t="s">
        <v>38</v>
      </c>
      <c r="D132" s="44">
        <v>2</v>
      </c>
      <c r="E132" s="43">
        <v>5.0000000000000001E-3</v>
      </c>
    </row>
    <row r="133" spans="2:5" ht="15" customHeight="1" x14ac:dyDescent="0.25">
      <c r="B133" s="81"/>
      <c r="C133" s="45" t="s">
        <v>45</v>
      </c>
      <c r="D133" s="44">
        <v>2</v>
      </c>
      <c r="E133" s="43">
        <v>5.0000000000000001E-3</v>
      </c>
    </row>
    <row r="134" spans="2:5" ht="15" customHeight="1" x14ac:dyDescent="0.25">
      <c r="B134" s="81"/>
      <c r="C134" s="45" t="s">
        <v>31</v>
      </c>
      <c r="D134" s="44">
        <v>2</v>
      </c>
      <c r="E134" s="43">
        <v>5.0000000000000001E-3</v>
      </c>
    </row>
    <row r="135" spans="2:5" ht="15" customHeight="1" x14ac:dyDescent="0.25">
      <c r="B135" s="81"/>
      <c r="C135" s="45" t="s">
        <v>39</v>
      </c>
      <c r="D135" s="44">
        <v>1</v>
      </c>
      <c r="E135" s="43">
        <v>2.5000000000000001E-3</v>
      </c>
    </row>
    <row r="136" spans="2:5" ht="15" customHeight="1" x14ac:dyDescent="0.25">
      <c r="B136" s="81"/>
      <c r="C136" s="45" t="s">
        <v>24</v>
      </c>
      <c r="D136" s="44">
        <v>1</v>
      </c>
      <c r="E136" s="43">
        <v>2.5000000000000001E-3</v>
      </c>
    </row>
    <row r="137" spans="2:5" ht="15" customHeight="1" x14ac:dyDescent="0.25">
      <c r="B137" s="81"/>
      <c r="C137" s="45" t="s">
        <v>34</v>
      </c>
      <c r="D137" s="44">
        <v>1</v>
      </c>
      <c r="E137" s="43">
        <v>2.5000000000000001E-3</v>
      </c>
    </row>
    <row r="138" spans="2:5" ht="15" customHeight="1" x14ac:dyDescent="0.25">
      <c r="B138" s="81"/>
      <c r="C138" s="45" t="s">
        <v>46</v>
      </c>
      <c r="D138" s="44">
        <v>3</v>
      </c>
      <c r="E138" s="43">
        <v>7.4999999999999997E-3</v>
      </c>
    </row>
    <row r="139" spans="2:5" ht="15" customHeight="1" x14ac:dyDescent="0.25">
      <c r="B139" s="81"/>
      <c r="C139" s="45" t="s">
        <v>23</v>
      </c>
      <c r="D139" s="44">
        <v>1</v>
      </c>
      <c r="E139" s="43">
        <v>2.5000000000000001E-3</v>
      </c>
    </row>
    <row r="140" spans="2:5" ht="15" customHeight="1" x14ac:dyDescent="0.25">
      <c r="B140" s="81"/>
      <c r="C140" s="45" t="s">
        <v>29</v>
      </c>
      <c r="D140" s="44">
        <v>1</v>
      </c>
      <c r="E140" s="43">
        <v>2.5000000000000001E-3</v>
      </c>
    </row>
    <row r="141" spans="2:5" ht="15" customHeight="1" x14ac:dyDescent="0.25">
      <c r="B141" s="81"/>
      <c r="C141" s="45" t="s">
        <v>44</v>
      </c>
      <c r="D141" s="44">
        <v>3</v>
      </c>
      <c r="E141" s="43">
        <v>7.4999999999999997E-3</v>
      </c>
    </row>
    <row r="142" spans="2:5" ht="15" customHeight="1" x14ac:dyDescent="0.25">
      <c r="B142" s="81"/>
      <c r="C142" s="45" t="s">
        <v>52</v>
      </c>
      <c r="D142" s="44">
        <v>20</v>
      </c>
      <c r="E142" s="43">
        <v>0.05</v>
      </c>
    </row>
    <row r="143" spans="2:5" ht="15" customHeight="1" x14ac:dyDescent="0.25">
      <c r="B143" s="81"/>
      <c r="C143" s="45" t="s">
        <v>36</v>
      </c>
      <c r="D143" s="44">
        <v>1</v>
      </c>
      <c r="E143" s="43">
        <v>2.5000000000000001E-3</v>
      </c>
    </row>
    <row r="144" spans="2:5" ht="15" customHeight="1" x14ac:dyDescent="0.25">
      <c r="B144" s="81"/>
      <c r="C144" s="45" t="s">
        <v>48</v>
      </c>
      <c r="D144" s="44">
        <v>5</v>
      </c>
      <c r="E144" s="43">
        <v>1.2500000000000001E-2</v>
      </c>
    </row>
    <row r="145" spans="2:5" ht="15" customHeight="1" x14ac:dyDescent="0.25">
      <c r="B145" s="81"/>
      <c r="C145" s="45" t="s">
        <v>35</v>
      </c>
      <c r="D145" s="44">
        <v>2</v>
      </c>
      <c r="E145" s="43">
        <v>5.0000000000000001E-3</v>
      </c>
    </row>
    <row r="146" spans="2:5" ht="15" customHeight="1" x14ac:dyDescent="0.25">
      <c r="B146" s="81"/>
      <c r="C146" s="45" t="s">
        <v>40</v>
      </c>
      <c r="D146" s="44">
        <v>2</v>
      </c>
      <c r="E146" s="43">
        <v>5.0000000000000001E-3</v>
      </c>
    </row>
    <row r="147" spans="2:5" ht="15" customHeight="1" x14ac:dyDescent="0.25">
      <c r="B147" s="82"/>
      <c r="C147" s="42" t="s">
        <v>20</v>
      </c>
      <c r="D147" s="41">
        <v>97</v>
      </c>
      <c r="E147" s="40">
        <v>0.24249999999999999</v>
      </c>
    </row>
    <row r="148" spans="2:5" ht="15" customHeight="1" x14ac:dyDescent="0.25">
      <c r="B148" s="80" t="s">
        <v>115</v>
      </c>
      <c r="C148" s="45" t="s">
        <v>43</v>
      </c>
      <c r="D148" s="44">
        <v>1</v>
      </c>
      <c r="E148" s="43">
        <v>2.5000000000000001E-3</v>
      </c>
    </row>
    <row r="149" spans="2:5" ht="15" customHeight="1" x14ac:dyDescent="0.25">
      <c r="B149" s="81"/>
      <c r="C149" s="45" t="s">
        <v>36</v>
      </c>
      <c r="D149" s="44">
        <v>1</v>
      </c>
      <c r="E149" s="43">
        <v>2.5000000000000001E-3</v>
      </c>
    </row>
    <row r="150" spans="2:5" ht="15" customHeight="1" x14ac:dyDescent="0.25">
      <c r="B150" s="82"/>
      <c r="C150" s="42" t="s">
        <v>20</v>
      </c>
      <c r="D150" s="41">
        <v>2</v>
      </c>
      <c r="E150" s="40">
        <v>5.0000000000000001E-3</v>
      </c>
    </row>
    <row r="151" spans="2:5" ht="15" customHeight="1" x14ac:dyDescent="0.25">
      <c r="B151" s="80" t="s">
        <v>114</v>
      </c>
      <c r="C151" s="45" t="s">
        <v>50</v>
      </c>
      <c r="D151" s="44">
        <v>1</v>
      </c>
      <c r="E151" s="43">
        <v>2.5000000000000001E-3</v>
      </c>
    </row>
    <row r="152" spans="2:5" ht="15" customHeight="1" x14ac:dyDescent="0.25">
      <c r="B152" s="81"/>
      <c r="C152" s="45" t="s">
        <v>22</v>
      </c>
      <c r="D152" s="44">
        <v>1</v>
      </c>
      <c r="E152" s="43">
        <v>2.5000000000000001E-3</v>
      </c>
    </row>
    <row r="153" spans="2:5" ht="15" customHeight="1" x14ac:dyDescent="0.25">
      <c r="B153" s="82"/>
      <c r="C153" s="42" t="s">
        <v>20</v>
      </c>
      <c r="D153" s="41">
        <v>2</v>
      </c>
      <c r="E153" s="40">
        <v>5.0000000000000001E-3</v>
      </c>
    </row>
    <row r="154" spans="2:5" ht="15" customHeight="1" x14ac:dyDescent="0.25">
      <c r="B154" s="80" t="s">
        <v>113</v>
      </c>
      <c r="C154" s="45" t="s">
        <v>53</v>
      </c>
      <c r="D154" s="44">
        <v>1</v>
      </c>
      <c r="E154" s="43">
        <v>2.5000000000000001E-3</v>
      </c>
    </row>
    <row r="155" spans="2:5" ht="15" customHeight="1" x14ac:dyDescent="0.25">
      <c r="B155" s="82"/>
      <c r="C155" s="42" t="s">
        <v>20</v>
      </c>
      <c r="D155" s="41">
        <v>1</v>
      </c>
      <c r="E155" s="40">
        <v>2.5000000000000001E-3</v>
      </c>
    </row>
    <row r="156" spans="2:5" ht="15" customHeight="1" x14ac:dyDescent="0.25">
      <c r="B156" s="80" t="s">
        <v>112</v>
      </c>
      <c r="C156" s="45" t="s">
        <v>30</v>
      </c>
      <c r="D156" s="44">
        <v>1</v>
      </c>
      <c r="E156" s="43">
        <v>2.5000000000000001E-3</v>
      </c>
    </row>
    <row r="157" spans="2:5" ht="15" customHeight="1" x14ac:dyDescent="0.25">
      <c r="B157" s="81"/>
      <c r="C157" s="45" t="s">
        <v>53</v>
      </c>
      <c r="D157" s="44">
        <v>2</v>
      </c>
      <c r="E157" s="43">
        <v>5.0000000000000001E-3</v>
      </c>
    </row>
    <row r="158" spans="2:5" ht="15" customHeight="1" x14ac:dyDescent="0.25">
      <c r="B158" s="81"/>
      <c r="C158" s="45" t="s">
        <v>50</v>
      </c>
      <c r="D158" s="44">
        <v>1</v>
      </c>
      <c r="E158" s="43">
        <v>2.5000000000000001E-3</v>
      </c>
    </row>
    <row r="159" spans="2:5" ht="15" customHeight="1" x14ac:dyDescent="0.25">
      <c r="B159" s="81"/>
      <c r="C159" s="45" t="s">
        <v>41</v>
      </c>
      <c r="D159" s="44">
        <v>1</v>
      </c>
      <c r="E159" s="43">
        <v>2.5000000000000001E-3</v>
      </c>
    </row>
    <row r="160" spans="2:5" ht="15" customHeight="1" x14ac:dyDescent="0.25">
      <c r="B160" s="81"/>
      <c r="C160" s="45" t="s">
        <v>24</v>
      </c>
      <c r="D160" s="44">
        <v>1</v>
      </c>
      <c r="E160" s="43">
        <v>2.5000000000000001E-3</v>
      </c>
    </row>
    <row r="161" spans="2:5" ht="15" customHeight="1" x14ac:dyDescent="0.25">
      <c r="B161" s="81"/>
      <c r="C161" s="45" t="s">
        <v>52</v>
      </c>
      <c r="D161" s="44">
        <v>3</v>
      </c>
      <c r="E161" s="43">
        <v>7.4999999999999997E-3</v>
      </c>
    </row>
    <row r="162" spans="2:5" ht="15" customHeight="1" x14ac:dyDescent="0.25">
      <c r="B162" s="81"/>
      <c r="C162" s="45" t="s">
        <v>35</v>
      </c>
      <c r="D162" s="44">
        <v>1</v>
      </c>
      <c r="E162" s="43">
        <v>2.5000000000000001E-3</v>
      </c>
    </row>
    <row r="163" spans="2:5" ht="15" customHeight="1" x14ac:dyDescent="0.25">
      <c r="B163" s="82"/>
      <c r="C163" s="42" t="s">
        <v>20</v>
      </c>
      <c r="D163" s="41">
        <v>10</v>
      </c>
      <c r="E163" s="40">
        <v>2.5000000000000001E-2</v>
      </c>
    </row>
    <row r="164" spans="2:5" ht="15" customHeight="1" x14ac:dyDescent="0.25">
      <c r="B164" s="80" t="s">
        <v>111</v>
      </c>
      <c r="C164" s="45" t="s">
        <v>53</v>
      </c>
      <c r="D164" s="44">
        <v>3</v>
      </c>
      <c r="E164" s="43">
        <v>7.4999999999999997E-3</v>
      </c>
    </row>
    <row r="165" spans="2:5" ht="15" customHeight="1" x14ac:dyDescent="0.25">
      <c r="B165" s="81"/>
      <c r="C165" s="45" t="s">
        <v>43</v>
      </c>
      <c r="D165" s="44">
        <v>1</v>
      </c>
      <c r="E165" s="43">
        <v>2.5000000000000001E-3</v>
      </c>
    </row>
    <row r="166" spans="2:5" ht="15" customHeight="1" x14ac:dyDescent="0.25">
      <c r="B166" s="81"/>
      <c r="C166" s="45" t="s">
        <v>41</v>
      </c>
      <c r="D166" s="44">
        <v>1</v>
      </c>
      <c r="E166" s="43">
        <v>2.5000000000000001E-3</v>
      </c>
    </row>
    <row r="167" spans="2:5" ht="15" customHeight="1" x14ac:dyDescent="0.25">
      <c r="B167" s="81"/>
      <c r="C167" s="45" t="s">
        <v>28</v>
      </c>
      <c r="D167" s="44">
        <v>1</v>
      </c>
      <c r="E167" s="43">
        <v>2.5000000000000001E-3</v>
      </c>
    </row>
    <row r="168" spans="2:5" ht="15" customHeight="1" x14ac:dyDescent="0.25">
      <c r="B168" s="81"/>
      <c r="C168" s="45" t="s">
        <v>45</v>
      </c>
      <c r="D168" s="44">
        <v>1</v>
      </c>
      <c r="E168" s="43">
        <v>2.5000000000000001E-3</v>
      </c>
    </row>
    <row r="169" spans="2:5" ht="15" customHeight="1" x14ac:dyDescent="0.25">
      <c r="B169" s="81"/>
      <c r="C169" s="45" t="s">
        <v>52</v>
      </c>
      <c r="D169" s="44">
        <v>2</v>
      </c>
      <c r="E169" s="43">
        <v>5.0000000000000001E-3</v>
      </c>
    </row>
    <row r="170" spans="2:5" ht="15" customHeight="1" x14ac:dyDescent="0.25">
      <c r="B170" s="81"/>
      <c r="C170" s="45" t="s">
        <v>35</v>
      </c>
      <c r="D170" s="44">
        <v>2</v>
      </c>
      <c r="E170" s="43">
        <v>5.0000000000000001E-3</v>
      </c>
    </row>
    <row r="171" spans="2:5" ht="15" customHeight="1" x14ac:dyDescent="0.25">
      <c r="B171" s="82"/>
      <c r="C171" s="42" t="s">
        <v>20</v>
      </c>
      <c r="D171" s="41">
        <v>11</v>
      </c>
      <c r="E171" s="40">
        <v>2.75E-2</v>
      </c>
    </row>
    <row r="172" spans="2:5" ht="15" customHeight="1" x14ac:dyDescent="0.25">
      <c r="B172" s="80" t="s">
        <v>110</v>
      </c>
      <c r="C172" s="45" t="s">
        <v>53</v>
      </c>
      <c r="D172" s="44">
        <v>1</v>
      </c>
      <c r="E172" s="43">
        <v>2.5000000000000001E-3</v>
      </c>
    </row>
    <row r="173" spans="2:5" ht="15" customHeight="1" x14ac:dyDescent="0.25">
      <c r="B173" s="82"/>
      <c r="C173" s="42" t="s">
        <v>20</v>
      </c>
      <c r="D173" s="41">
        <v>1</v>
      </c>
      <c r="E173" s="40">
        <v>2.5000000000000001E-3</v>
      </c>
    </row>
    <row r="174" spans="2:5" ht="15" customHeight="1" x14ac:dyDescent="0.25">
      <c r="B174" s="80" t="s">
        <v>109</v>
      </c>
      <c r="C174" s="45" t="s">
        <v>53</v>
      </c>
      <c r="D174" s="44">
        <v>1</v>
      </c>
      <c r="E174" s="43">
        <v>2.5000000000000001E-3</v>
      </c>
    </row>
    <row r="175" spans="2:5" ht="15" customHeight="1" x14ac:dyDescent="0.25">
      <c r="B175" s="82"/>
      <c r="C175" s="42" t="s">
        <v>20</v>
      </c>
      <c r="D175" s="41">
        <v>1</v>
      </c>
      <c r="E175" s="40">
        <v>2.5000000000000001E-3</v>
      </c>
    </row>
    <row r="176" spans="2:5" ht="15" customHeight="1" x14ac:dyDescent="0.25">
      <c r="B176" s="83" t="s">
        <v>20</v>
      </c>
      <c r="C176" s="84"/>
      <c r="D176" s="39">
        <v>400</v>
      </c>
      <c r="E176" s="38">
        <v>1</v>
      </c>
    </row>
    <row r="178" spans="2:2" ht="15" customHeight="1" x14ac:dyDescent="0.25">
      <c r="B178" s="19" t="s">
        <v>170</v>
      </c>
    </row>
    <row r="179" spans="2:2" ht="15" customHeight="1" x14ac:dyDescent="0.25">
      <c r="B179" s="21" t="s">
        <v>19</v>
      </c>
    </row>
    <row r="180" spans="2:2" ht="15" customHeight="1" x14ac:dyDescent="0.25">
      <c r="B180" s="20" t="s">
        <v>18</v>
      </c>
    </row>
    <row r="181" spans="2:2" ht="15" customHeight="1" x14ac:dyDescent="0.25">
      <c r="B181" s="19" t="s">
        <v>17</v>
      </c>
    </row>
    <row r="182" spans="2:2" ht="15" customHeight="1" x14ac:dyDescent="0.25">
      <c r="B182" s="19" t="s">
        <v>171</v>
      </c>
    </row>
  </sheetData>
  <mergeCells count="24">
    <mergeCell ref="B23:B28"/>
    <mergeCell ref="B29:B36"/>
    <mergeCell ref="B37:B50"/>
    <mergeCell ref="B51:B57"/>
    <mergeCell ref="B58:B66"/>
    <mergeCell ref="B10:B12"/>
    <mergeCell ref="B13:B14"/>
    <mergeCell ref="B15:B16"/>
    <mergeCell ref="B17:B18"/>
    <mergeCell ref="B19:B22"/>
    <mergeCell ref="B7:E8"/>
    <mergeCell ref="B74:B100"/>
    <mergeCell ref="B101:B104"/>
    <mergeCell ref="B105:B123"/>
    <mergeCell ref="B124:B147"/>
    <mergeCell ref="B148:B150"/>
    <mergeCell ref="B151:B153"/>
    <mergeCell ref="B154:B155"/>
    <mergeCell ref="B156:B163"/>
    <mergeCell ref="B164:B171"/>
    <mergeCell ref="B67:B73"/>
    <mergeCell ref="B172:B173"/>
    <mergeCell ref="B174:B175"/>
    <mergeCell ref="B176:C17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35"/>
  <sheetViews>
    <sheetView zoomScale="96" zoomScaleNormal="96" zoomScaleSheetLayoutView="85" workbookViewId="0">
      <selection activeCell="F20" sqref="F20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97</v>
      </c>
      <c r="C9" s="49" t="s">
        <v>132</v>
      </c>
      <c r="D9" s="48" t="s">
        <v>55</v>
      </c>
      <c r="E9" s="47" t="s">
        <v>54</v>
      </c>
    </row>
    <row r="10" spans="1:5" ht="15" customHeight="1" x14ac:dyDescent="0.25">
      <c r="B10" s="80" t="s">
        <v>60</v>
      </c>
      <c r="C10" s="45" t="s">
        <v>119</v>
      </c>
      <c r="D10" s="44">
        <v>2</v>
      </c>
      <c r="E10" s="43">
        <v>5.0505050505050509E-3</v>
      </c>
    </row>
    <row r="11" spans="1:5" ht="15" customHeight="1" x14ac:dyDescent="0.25">
      <c r="B11" s="81"/>
      <c r="C11" s="45" t="s">
        <v>116</v>
      </c>
      <c r="D11" s="44">
        <v>1</v>
      </c>
      <c r="E11" s="43">
        <v>2.5252525252525255E-3</v>
      </c>
    </row>
    <row r="12" spans="1:5" ht="15" customHeight="1" x14ac:dyDescent="0.25">
      <c r="B12" s="81"/>
      <c r="C12" s="45" t="s">
        <v>112</v>
      </c>
      <c r="D12" s="44">
        <v>1</v>
      </c>
      <c r="E12" s="43">
        <v>2.5252525252525255E-3</v>
      </c>
    </row>
    <row r="13" spans="1:5" ht="15" customHeight="1" x14ac:dyDescent="0.25">
      <c r="B13" s="82"/>
      <c r="C13" s="42" t="s">
        <v>20</v>
      </c>
      <c r="D13" s="41">
        <v>4</v>
      </c>
      <c r="E13" s="40">
        <v>1.0101010101010102E-2</v>
      </c>
    </row>
    <row r="14" spans="1:5" ht="15" customHeight="1" x14ac:dyDescent="0.25">
      <c r="B14" s="80" t="s">
        <v>92</v>
      </c>
      <c r="C14" s="45" t="s">
        <v>124</v>
      </c>
      <c r="D14" s="44">
        <v>1</v>
      </c>
      <c r="E14" s="43">
        <v>2.5252525252525255E-3</v>
      </c>
    </row>
    <row r="15" spans="1:5" ht="15" customHeight="1" x14ac:dyDescent="0.25">
      <c r="B15" s="81"/>
      <c r="C15" s="45" t="s">
        <v>123</v>
      </c>
      <c r="D15" s="44">
        <v>2</v>
      </c>
      <c r="E15" s="43">
        <v>5.0505050505050509E-3</v>
      </c>
    </row>
    <row r="16" spans="1:5" ht="15" customHeight="1" x14ac:dyDescent="0.25">
      <c r="B16" s="81"/>
      <c r="C16" s="45" t="s">
        <v>121</v>
      </c>
      <c r="D16" s="44">
        <v>2</v>
      </c>
      <c r="E16" s="43">
        <v>5.0505050505050509E-3</v>
      </c>
    </row>
    <row r="17" spans="2:5" ht="15" customHeight="1" x14ac:dyDescent="0.25">
      <c r="B17" s="81"/>
      <c r="C17" s="45" t="s">
        <v>119</v>
      </c>
      <c r="D17" s="44">
        <v>11</v>
      </c>
      <c r="E17" s="43">
        <v>2.7777777777777776E-2</v>
      </c>
    </row>
    <row r="18" spans="2:5" ht="15" customHeight="1" x14ac:dyDescent="0.25">
      <c r="B18" s="81"/>
      <c r="C18" s="45" t="s">
        <v>118</v>
      </c>
      <c r="D18" s="44">
        <v>1</v>
      </c>
      <c r="E18" s="43">
        <v>2.5252525252525255E-3</v>
      </c>
    </row>
    <row r="19" spans="2:5" ht="15" customHeight="1" x14ac:dyDescent="0.25">
      <c r="B19" s="81"/>
      <c r="C19" s="45" t="s">
        <v>117</v>
      </c>
      <c r="D19" s="44">
        <v>2</v>
      </c>
      <c r="E19" s="43">
        <v>5.0505050505050509E-3</v>
      </c>
    </row>
    <row r="20" spans="2:5" ht="15" customHeight="1" x14ac:dyDescent="0.25">
      <c r="B20" s="81"/>
      <c r="C20" s="45" t="s">
        <v>116</v>
      </c>
      <c r="D20" s="44">
        <v>12</v>
      </c>
      <c r="E20" s="43">
        <v>3.0303030303030304E-2</v>
      </c>
    </row>
    <row r="21" spans="2:5" ht="15" customHeight="1" x14ac:dyDescent="0.25">
      <c r="B21" s="82"/>
      <c r="C21" s="42" t="s">
        <v>20</v>
      </c>
      <c r="D21" s="41">
        <v>31</v>
      </c>
      <c r="E21" s="40">
        <v>7.8282828282828287E-2</v>
      </c>
    </row>
    <row r="22" spans="2:5" ht="15" customHeight="1" x14ac:dyDescent="0.25">
      <c r="B22" s="80" t="s">
        <v>82</v>
      </c>
      <c r="C22" s="45" t="s">
        <v>126</v>
      </c>
      <c r="D22" s="44">
        <v>1</v>
      </c>
      <c r="E22" s="43">
        <v>2.5252525252525255E-3</v>
      </c>
    </row>
    <row r="23" spans="2:5" ht="15" customHeight="1" x14ac:dyDescent="0.25">
      <c r="B23" s="81"/>
      <c r="C23" s="45" t="s">
        <v>123</v>
      </c>
      <c r="D23" s="44">
        <v>1</v>
      </c>
      <c r="E23" s="43">
        <v>2.5252525252525255E-3</v>
      </c>
    </row>
    <row r="24" spans="2:5" ht="15" customHeight="1" x14ac:dyDescent="0.25">
      <c r="B24" s="81"/>
      <c r="C24" s="45" t="s">
        <v>119</v>
      </c>
      <c r="D24" s="44">
        <v>1</v>
      </c>
      <c r="E24" s="43">
        <v>2.5252525252525255E-3</v>
      </c>
    </row>
    <row r="25" spans="2:5" ht="15" customHeight="1" x14ac:dyDescent="0.25">
      <c r="B25" s="81"/>
      <c r="C25" s="45" t="s">
        <v>117</v>
      </c>
      <c r="D25" s="44">
        <v>1</v>
      </c>
      <c r="E25" s="43">
        <v>2.5252525252525255E-3</v>
      </c>
    </row>
    <row r="26" spans="2:5" ht="15" customHeight="1" x14ac:dyDescent="0.25">
      <c r="B26" s="81"/>
      <c r="C26" s="45" t="s">
        <v>116</v>
      </c>
      <c r="D26" s="44">
        <v>2</v>
      </c>
      <c r="E26" s="43">
        <v>5.0505050505050509E-3</v>
      </c>
    </row>
    <row r="27" spans="2:5" ht="15" customHeight="1" x14ac:dyDescent="0.25">
      <c r="B27" s="82"/>
      <c r="C27" s="42" t="s">
        <v>20</v>
      </c>
      <c r="D27" s="41">
        <v>6</v>
      </c>
      <c r="E27" s="40">
        <v>1.5151515151515152E-2</v>
      </c>
    </row>
    <row r="28" spans="2:5" ht="15" customHeight="1" x14ac:dyDescent="0.25">
      <c r="B28" s="80" t="s">
        <v>59</v>
      </c>
      <c r="C28" s="45" t="s">
        <v>120</v>
      </c>
      <c r="D28" s="44">
        <v>1</v>
      </c>
      <c r="E28" s="43">
        <v>2.5252525252525255E-3</v>
      </c>
    </row>
    <row r="29" spans="2:5" ht="15" customHeight="1" x14ac:dyDescent="0.25">
      <c r="B29" s="81"/>
      <c r="C29" s="45" t="s">
        <v>119</v>
      </c>
      <c r="D29" s="44">
        <v>1</v>
      </c>
      <c r="E29" s="43">
        <v>2.5252525252525255E-3</v>
      </c>
    </row>
    <row r="30" spans="2:5" ht="15" customHeight="1" x14ac:dyDescent="0.25">
      <c r="B30" s="81"/>
      <c r="C30" s="45" t="s">
        <v>117</v>
      </c>
      <c r="D30" s="44">
        <v>2</v>
      </c>
      <c r="E30" s="43">
        <v>5.0505050505050509E-3</v>
      </c>
    </row>
    <row r="31" spans="2:5" ht="15" customHeight="1" x14ac:dyDescent="0.25">
      <c r="B31" s="81"/>
      <c r="C31" s="45" t="s">
        <v>116</v>
      </c>
      <c r="D31" s="44">
        <v>2</v>
      </c>
      <c r="E31" s="43">
        <v>5.0505050505050509E-3</v>
      </c>
    </row>
    <row r="32" spans="2:5" ht="15" customHeight="1" x14ac:dyDescent="0.25">
      <c r="B32" s="81"/>
      <c r="C32" s="45" t="s">
        <v>111</v>
      </c>
      <c r="D32" s="44">
        <v>1</v>
      </c>
      <c r="E32" s="43">
        <v>2.5252525252525255E-3</v>
      </c>
    </row>
    <row r="33" spans="2:5" ht="15" customHeight="1" x14ac:dyDescent="0.25">
      <c r="B33" s="82"/>
      <c r="C33" s="42" t="s">
        <v>20</v>
      </c>
      <c r="D33" s="41">
        <v>7</v>
      </c>
      <c r="E33" s="40">
        <v>1.7676767676767676E-2</v>
      </c>
    </row>
    <row r="34" spans="2:5" ht="15" customHeight="1" x14ac:dyDescent="0.25">
      <c r="B34" s="80" t="s">
        <v>95</v>
      </c>
      <c r="C34" s="45" t="s">
        <v>123</v>
      </c>
      <c r="D34" s="44">
        <v>1</v>
      </c>
      <c r="E34" s="43">
        <v>2.5252525252525255E-3</v>
      </c>
    </row>
    <row r="35" spans="2:5" ht="15" customHeight="1" x14ac:dyDescent="0.25">
      <c r="B35" s="81"/>
      <c r="C35" s="45" t="s">
        <v>119</v>
      </c>
      <c r="D35" s="44">
        <v>7</v>
      </c>
      <c r="E35" s="43">
        <v>1.7676767676767676E-2</v>
      </c>
    </row>
    <row r="36" spans="2:5" ht="15" customHeight="1" x14ac:dyDescent="0.25">
      <c r="B36" s="81"/>
      <c r="C36" s="45" t="s">
        <v>118</v>
      </c>
      <c r="D36" s="44">
        <v>1</v>
      </c>
      <c r="E36" s="43">
        <v>2.5252525252525255E-3</v>
      </c>
    </row>
    <row r="37" spans="2:5" ht="15" customHeight="1" x14ac:dyDescent="0.25">
      <c r="B37" s="81"/>
      <c r="C37" s="45" t="s">
        <v>117</v>
      </c>
      <c r="D37" s="44">
        <v>2</v>
      </c>
      <c r="E37" s="43">
        <v>5.0505050505050509E-3</v>
      </c>
    </row>
    <row r="38" spans="2:5" ht="15" customHeight="1" x14ac:dyDescent="0.25">
      <c r="B38" s="81"/>
      <c r="C38" s="45" t="s">
        <v>116</v>
      </c>
      <c r="D38" s="44">
        <v>6</v>
      </c>
      <c r="E38" s="43">
        <v>1.5151515151515152E-2</v>
      </c>
    </row>
    <row r="39" spans="2:5" ht="15" customHeight="1" x14ac:dyDescent="0.25">
      <c r="B39" s="82"/>
      <c r="C39" s="42" t="s">
        <v>20</v>
      </c>
      <c r="D39" s="41">
        <v>17</v>
      </c>
      <c r="E39" s="40">
        <v>4.2929292929292928E-2</v>
      </c>
    </row>
    <row r="40" spans="2:5" ht="15" customHeight="1" x14ac:dyDescent="0.25">
      <c r="B40" s="80" t="s">
        <v>93</v>
      </c>
      <c r="C40" s="45" t="s">
        <v>124</v>
      </c>
      <c r="D40" s="44">
        <v>1</v>
      </c>
      <c r="E40" s="43">
        <v>2.5252525252525255E-3</v>
      </c>
    </row>
    <row r="41" spans="2:5" ht="15" customHeight="1" x14ac:dyDescent="0.25">
      <c r="B41" s="81"/>
      <c r="C41" s="45" t="s">
        <v>123</v>
      </c>
      <c r="D41" s="44">
        <v>1</v>
      </c>
      <c r="E41" s="43">
        <v>2.5252525252525255E-3</v>
      </c>
    </row>
    <row r="42" spans="2:5" ht="15" customHeight="1" x14ac:dyDescent="0.25">
      <c r="B42" s="81"/>
      <c r="C42" s="45" t="s">
        <v>119</v>
      </c>
      <c r="D42" s="44">
        <v>7</v>
      </c>
      <c r="E42" s="43">
        <v>1.7676767676767676E-2</v>
      </c>
    </row>
    <row r="43" spans="2:5" ht="15" customHeight="1" x14ac:dyDescent="0.25">
      <c r="B43" s="81"/>
      <c r="C43" s="45" t="s">
        <v>118</v>
      </c>
      <c r="D43" s="44">
        <v>1</v>
      </c>
      <c r="E43" s="43">
        <v>2.5252525252525255E-3</v>
      </c>
    </row>
    <row r="44" spans="2:5" ht="15" customHeight="1" x14ac:dyDescent="0.25">
      <c r="B44" s="81"/>
      <c r="C44" s="45" t="s">
        <v>117</v>
      </c>
      <c r="D44" s="44">
        <v>2</v>
      </c>
      <c r="E44" s="43">
        <v>5.0505050505050509E-3</v>
      </c>
    </row>
    <row r="45" spans="2:5" ht="15" customHeight="1" x14ac:dyDescent="0.25">
      <c r="B45" s="81"/>
      <c r="C45" s="45" t="s">
        <v>116</v>
      </c>
      <c r="D45" s="44">
        <v>6</v>
      </c>
      <c r="E45" s="43">
        <v>1.5151515151515152E-2</v>
      </c>
    </row>
    <row r="46" spans="2:5" ht="15" customHeight="1" x14ac:dyDescent="0.25">
      <c r="B46" s="81"/>
      <c r="C46" s="45" t="s">
        <v>112</v>
      </c>
      <c r="D46" s="44">
        <v>1</v>
      </c>
      <c r="E46" s="43">
        <v>2.5252525252525255E-3</v>
      </c>
    </row>
    <row r="47" spans="2:5" ht="15" customHeight="1" x14ac:dyDescent="0.25">
      <c r="B47" s="82"/>
      <c r="C47" s="42" t="s">
        <v>20</v>
      </c>
      <c r="D47" s="41">
        <v>19</v>
      </c>
      <c r="E47" s="40">
        <v>4.7979797979797977E-2</v>
      </c>
    </row>
    <row r="48" spans="2:5" ht="15" customHeight="1" x14ac:dyDescent="0.25">
      <c r="B48" s="80" t="s">
        <v>77</v>
      </c>
      <c r="C48" s="45" t="s">
        <v>117</v>
      </c>
      <c r="D48" s="44">
        <v>2</v>
      </c>
      <c r="E48" s="43">
        <v>5.0505050505050509E-3</v>
      </c>
    </row>
    <row r="49" spans="2:5" ht="15" customHeight="1" x14ac:dyDescent="0.25">
      <c r="B49" s="81"/>
      <c r="C49" s="45" t="s">
        <v>116</v>
      </c>
      <c r="D49" s="44">
        <v>3</v>
      </c>
      <c r="E49" s="43">
        <v>7.575757575757576E-3</v>
      </c>
    </row>
    <row r="50" spans="2:5" ht="15" customHeight="1" x14ac:dyDescent="0.25">
      <c r="B50" s="81"/>
      <c r="C50" s="45" t="s">
        <v>115</v>
      </c>
      <c r="D50" s="44">
        <v>1</v>
      </c>
      <c r="E50" s="43">
        <v>2.5252525252525255E-3</v>
      </c>
    </row>
    <row r="51" spans="2:5" ht="15" customHeight="1" x14ac:dyDescent="0.25">
      <c r="B51" s="81"/>
      <c r="C51" s="45" t="s">
        <v>111</v>
      </c>
      <c r="D51" s="44">
        <v>1</v>
      </c>
      <c r="E51" s="43">
        <v>2.5252525252525255E-3</v>
      </c>
    </row>
    <row r="52" spans="2:5" ht="15" customHeight="1" x14ac:dyDescent="0.25">
      <c r="B52" s="82"/>
      <c r="C52" s="42" t="s">
        <v>20</v>
      </c>
      <c r="D52" s="41">
        <v>7</v>
      </c>
      <c r="E52" s="40">
        <v>1.7676767676767676E-2</v>
      </c>
    </row>
    <row r="53" spans="2:5" ht="15" customHeight="1" x14ac:dyDescent="0.25">
      <c r="B53" s="80" t="s">
        <v>63</v>
      </c>
      <c r="C53" s="45" t="s">
        <v>120</v>
      </c>
      <c r="D53" s="44">
        <v>1</v>
      </c>
      <c r="E53" s="43">
        <v>2.5252525252525255E-3</v>
      </c>
    </row>
    <row r="54" spans="2:5" ht="15" customHeight="1" x14ac:dyDescent="0.25">
      <c r="B54" s="81"/>
      <c r="C54" s="45" t="s">
        <v>119</v>
      </c>
      <c r="D54" s="44">
        <v>1</v>
      </c>
      <c r="E54" s="43">
        <v>2.5252525252525255E-3</v>
      </c>
    </row>
    <row r="55" spans="2:5" ht="15" customHeight="1" x14ac:dyDescent="0.25">
      <c r="B55" s="81"/>
      <c r="C55" s="45" t="s">
        <v>117</v>
      </c>
      <c r="D55" s="44">
        <v>2</v>
      </c>
      <c r="E55" s="43">
        <v>5.0505050505050509E-3</v>
      </c>
    </row>
    <row r="56" spans="2:5" ht="15" customHeight="1" x14ac:dyDescent="0.25">
      <c r="B56" s="81"/>
      <c r="C56" s="45" t="s">
        <v>116</v>
      </c>
      <c r="D56" s="44">
        <v>2</v>
      </c>
      <c r="E56" s="43">
        <v>5.0505050505050509E-3</v>
      </c>
    </row>
    <row r="57" spans="2:5" ht="15" customHeight="1" x14ac:dyDescent="0.25">
      <c r="B57" s="82"/>
      <c r="C57" s="42" t="s">
        <v>20</v>
      </c>
      <c r="D57" s="41">
        <v>6</v>
      </c>
      <c r="E57" s="40">
        <v>1.5151515151515152E-2</v>
      </c>
    </row>
    <row r="58" spans="2:5" ht="15" customHeight="1" x14ac:dyDescent="0.25">
      <c r="B58" s="80" t="s">
        <v>61</v>
      </c>
      <c r="C58" s="45" t="s">
        <v>121</v>
      </c>
      <c r="D58" s="44">
        <v>1</v>
      </c>
      <c r="E58" s="43">
        <v>2.5252525252525255E-3</v>
      </c>
    </row>
    <row r="59" spans="2:5" ht="15" customHeight="1" x14ac:dyDescent="0.25">
      <c r="B59" s="82"/>
      <c r="C59" s="42" t="s">
        <v>20</v>
      </c>
      <c r="D59" s="41">
        <v>1</v>
      </c>
      <c r="E59" s="40">
        <v>2.5252525252525255E-3</v>
      </c>
    </row>
    <row r="60" spans="2:5" ht="15" customHeight="1" x14ac:dyDescent="0.25">
      <c r="B60" s="80" t="s">
        <v>74</v>
      </c>
      <c r="C60" s="45" t="s">
        <v>121</v>
      </c>
      <c r="D60" s="44">
        <v>1</v>
      </c>
      <c r="E60" s="43">
        <v>2.5252525252525255E-3</v>
      </c>
    </row>
    <row r="61" spans="2:5" ht="15" customHeight="1" x14ac:dyDescent="0.25">
      <c r="B61" s="81"/>
      <c r="C61" s="45" t="s">
        <v>119</v>
      </c>
      <c r="D61" s="44">
        <v>1</v>
      </c>
      <c r="E61" s="43">
        <v>2.5252525252525255E-3</v>
      </c>
    </row>
    <row r="62" spans="2:5" ht="15" customHeight="1" x14ac:dyDescent="0.25">
      <c r="B62" s="81"/>
      <c r="C62" s="45" t="s">
        <v>116</v>
      </c>
      <c r="D62" s="44">
        <v>1</v>
      </c>
      <c r="E62" s="43">
        <v>2.5252525252525255E-3</v>
      </c>
    </row>
    <row r="63" spans="2:5" ht="15" customHeight="1" x14ac:dyDescent="0.25">
      <c r="B63" s="82"/>
      <c r="C63" s="42" t="s">
        <v>20</v>
      </c>
      <c r="D63" s="41">
        <v>3</v>
      </c>
      <c r="E63" s="40">
        <v>7.575757575757576E-3</v>
      </c>
    </row>
    <row r="64" spans="2:5" ht="15" customHeight="1" x14ac:dyDescent="0.25">
      <c r="B64" s="80" t="s">
        <v>90</v>
      </c>
      <c r="C64" s="45" t="s">
        <v>124</v>
      </c>
      <c r="D64" s="44">
        <v>1</v>
      </c>
      <c r="E64" s="43">
        <v>2.5252525252525255E-3</v>
      </c>
    </row>
    <row r="65" spans="2:5" ht="15" customHeight="1" x14ac:dyDescent="0.25">
      <c r="B65" s="81"/>
      <c r="C65" s="45" t="s">
        <v>117</v>
      </c>
      <c r="D65" s="44">
        <v>2</v>
      </c>
      <c r="E65" s="43">
        <v>5.0505050505050509E-3</v>
      </c>
    </row>
    <row r="66" spans="2:5" ht="15" customHeight="1" x14ac:dyDescent="0.25">
      <c r="B66" s="81"/>
      <c r="C66" s="45" t="s">
        <v>116</v>
      </c>
      <c r="D66" s="44">
        <v>2</v>
      </c>
      <c r="E66" s="43">
        <v>5.0505050505050509E-3</v>
      </c>
    </row>
    <row r="67" spans="2:5" ht="15" customHeight="1" x14ac:dyDescent="0.25">
      <c r="B67" s="82"/>
      <c r="C67" s="42" t="s">
        <v>20</v>
      </c>
      <c r="D67" s="41">
        <v>5</v>
      </c>
      <c r="E67" s="40">
        <v>1.2626262626262626E-2</v>
      </c>
    </row>
    <row r="68" spans="2:5" ht="15" customHeight="1" x14ac:dyDescent="0.25">
      <c r="B68" s="80" t="s">
        <v>94</v>
      </c>
      <c r="C68" s="45" t="s">
        <v>125</v>
      </c>
      <c r="D68" s="44">
        <v>2</v>
      </c>
      <c r="E68" s="43">
        <v>5.0505050505050509E-3</v>
      </c>
    </row>
    <row r="69" spans="2:5" ht="15" customHeight="1" x14ac:dyDescent="0.25">
      <c r="B69" s="81"/>
      <c r="C69" s="45" t="s">
        <v>124</v>
      </c>
      <c r="D69" s="44">
        <v>1</v>
      </c>
      <c r="E69" s="43">
        <v>2.5252525252525255E-3</v>
      </c>
    </row>
    <row r="70" spans="2:5" ht="15" customHeight="1" x14ac:dyDescent="0.25">
      <c r="B70" s="81"/>
      <c r="C70" s="45" t="s">
        <v>123</v>
      </c>
      <c r="D70" s="44">
        <v>3</v>
      </c>
      <c r="E70" s="43">
        <v>7.575757575757576E-3</v>
      </c>
    </row>
    <row r="71" spans="2:5" ht="15" customHeight="1" x14ac:dyDescent="0.25">
      <c r="B71" s="81"/>
      <c r="C71" s="45" t="s">
        <v>121</v>
      </c>
      <c r="D71" s="44">
        <v>1</v>
      </c>
      <c r="E71" s="43">
        <v>2.5252525252525255E-3</v>
      </c>
    </row>
    <row r="72" spans="2:5" ht="15" customHeight="1" x14ac:dyDescent="0.25">
      <c r="B72" s="81"/>
      <c r="C72" s="45" t="s">
        <v>120</v>
      </c>
      <c r="D72" s="44">
        <v>1</v>
      </c>
      <c r="E72" s="43">
        <v>2.5252525252525255E-3</v>
      </c>
    </row>
    <row r="73" spans="2:5" ht="15" customHeight="1" x14ac:dyDescent="0.25">
      <c r="B73" s="81"/>
      <c r="C73" s="45" t="s">
        <v>119</v>
      </c>
      <c r="D73" s="44">
        <v>8</v>
      </c>
      <c r="E73" s="43">
        <v>2.0202020202020204E-2</v>
      </c>
    </row>
    <row r="74" spans="2:5" ht="15" customHeight="1" x14ac:dyDescent="0.25">
      <c r="B74" s="81"/>
      <c r="C74" s="45" t="s">
        <v>117</v>
      </c>
      <c r="D74" s="44">
        <v>4</v>
      </c>
      <c r="E74" s="43">
        <v>1.0101010101010102E-2</v>
      </c>
    </row>
    <row r="75" spans="2:5" ht="15" customHeight="1" x14ac:dyDescent="0.25">
      <c r="B75" s="81"/>
      <c r="C75" s="45" t="s">
        <v>116</v>
      </c>
      <c r="D75" s="44">
        <v>6</v>
      </c>
      <c r="E75" s="43">
        <v>1.5151515151515152E-2</v>
      </c>
    </row>
    <row r="76" spans="2:5" ht="15" customHeight="1" x14ac:dyDescent="0.25">
      <c r="B76" s="81"/>
      <c r="C76" s="45" t="s">
        <v>112</v>
      </c>
      <c r="D76" s="44">
        <v>1</v>
      </c>
      <c r="E76" s="43">
        <v>2.5252525252525255E-3</v>
      </c>
    </row>
    <row r="77" spans="2:5" ht="15" customHeight="1" x14ac:dyDescent="0.25">
      <c r="B77" s="81"/>
      <c r="C77" s="45" t="s">
        <v>111</v>
      </c>
      <c r="D77" s="44">
        <v>1</v>
      </c>
      <c r="E77" s="43">
        <v>2.5252525252525255E-3</v>
      </c>
    </row>
    <row r="78" spans="2:5" ht="15" customHeight="1" x14ac:dyDescent="0.25">
      <c r="B78" s="82"/>
      <c r="C78" s="42" t="s">
        <v>20</v>
      </c>
      <c r="D78" s="41">
        <v>28</v>
      </c>
      <c r="E78" s="40">
        <v>7.0707070707070704E-2</v>
      </c>
    </row>
    <row r="79" spans="2:5" ht="15" customHeight="1" x14ac:dyDescent="0.25">
      <c r="B79" s="80" t="s">
        <v>137</v>
      </c>
      <c r="C79" s="45" t="s">
        <v>125</v>
      </c>
      <c r="D79" s="44">
        <v>1</v>
      </c>
      <c r="E79" s="43">
        <v>2.5252525252525255E-3</v>
      </c>
    </row>
    <row r="80" spans="2:5" ht="15" customHeight="1" x14ac:dyDescent="0.25">
      <c r="B80" s="81"/>
      <c r="C80" s="45" t="s">
        <v>123</v>
      </c>
      <c r="D80" s="44">
        <v>1</v>
      </c>
      <c r="E80" s="43">
        <v>2.5252525252525255E-3</v>
      </c>
    </row>
    <row r="81" spans="2:5" ht="15" customHeight="1" x14ac:dyDescent="0.25">
      <c r="B81" s="81"/>
      <c r="C81" s="45" t="s">
        <v>119</v>
      </c>
      <c r="D81" s="44">
        <v>3</v>
      </c>
      <c r="E81" s="43">
        <v>7.575757575757576E-3</v>
      </c>
    </row>
    <row r="82" spans="2:5" ht="15" customHeight="1" x14ac:dyDescent="0.25">
      <c r="B82" s="81"/>
      <c r="C82" s="45" t="s">
        <v>117</v>
      </c>
      <c r="D82" s="44">
        <v>3</v>
      </c>
      <c r="E82" s="43">
        <v>7.575757575757576E-3</v>
      </c>
    </row>
    <row r="83" spans="2:5" ht="15" customHeight="1" x14ac:dyDescent="0.25">
      <c r="B83" s="81"/>
      <c r="C83" s="45" t="s">
        <v>116</v>
      </c>
      <c r="D83" s="44">
        <v>4</v>
      </c>
      <c r="E83" s="43">
        <v>1.0101010101010102E-2</v>
      </c>
    </row>
    <row r="84" spans="2:5" ht="15" customHeight="1" x14ac:dyDescent="0.25">
      <c r="B84" s="81"/>
      <c r="C84" s="45" t="s">
        <v>112</v>
      </c>
      <c r="D84" s="44">
        <v>1</v>
      </c>
      <c r="E84" s="43">
        <v>2.5252525252525255E-3</v>
      </c>
    </row>
    <row r="85" spans="2:5" ht="15" customHeight="1" x14ac:dyDescent="0.25">
      <c r="B85" s="81"/>
      <c r="C85" s="45" t="s">
        <v>111</v>
      </c>
      <c r="D85" s="44">
        <v>1</v>
      </c>
      <c r="E85" s="43">
        <v>2.5252525252525255E-3</v>
      </c>
    </row>
    <row r="86" spans="2:5" ht="15" customHeight="1" x14ac:dyDescent="0.25">
      <c r="B86" s="82"/>
      <c r="C86" s="42" t="s">
        <v>20</v>
      </c>
      <c r="D86" s="41">
        <v>14</v>
      </c>
      <c r="E86" s="40">
        <v>3.5353535353535352E-2</v>
      </c>
    </row>
    <row r="87" spans="2:5" ht="15" customHeight="1" x14ac:dyDescent="0.25">
      <c r="B87" s="80" t="s">
        <v>73</v>
      </c>
      <c r="C87" s="45" t="s">
        <v>123</v>
      </c>
      <c r="D87" s="44">
        <v>1</v>
      </c>
      <c r="E87" s="43">
        <v>2.5252525252525255E-3</v>
      </c>
    </row>
    <row r="88" spans="2:5" ht="15" customHeight="1" x14ac:dyDescent="0.25">
      <c r="B88" s="81"/>
      <c r="C88" s="45" t="s">
        <v>121</v>
      </c>
      <c r="D88" s="44">
        <v>1</v>
      </c>
      <c r="E88" s="43">
        <v>2.5252525252525255E-3</v>
      </c>
    </row>
    <row r="89" spans="2:5" ht="15" customHeight="1" x14ac:dyDescent="0.25">
      <c r="B89" s="81"/>
      <c r="C89" s="45" t="s">
        <v>120</v>
      </c>
      <c r="D89" s="44">
        <v>1</v>
      </c>
      <c r="E89" s="43">
        <v>2.5252525252525255E-3</v>
      </c>
    </row>
    <row r="90" spans="2:5" ht="15" customHeight="1" x14ac:dyDescent="0.25">
      <c r="B90" s="82"/>
      <c r="C90" s="42" t="s">
        <v>20</v>
      </c>
      <c r="D90" s="41">
        <v>3</v>
      </c>
      <c r="E90" s="40">
        <v>7.575757575757576E-3</v>
      </c>
    </row>
    <row r="91" spans="2:5" ht="15" customHeight="1" x14ac:dyDescent="0.25">
      <c r="B91" s="80" t="s">
        <v>58</v>
      </c>
      <c r="C91" s="45" t="s">
        <v>116</v>
      </c>
      <c r="D91" s="44">
        <v>1</v>
      </c>
      <c r="E91" s="43">
        <v>2.5252525252525255E-3</v>
      </c>
    </row>
    <row r="92" spans="2:5" ht="15" customHeight="1" x14ac:dyDescent="0.25">
      <c r="B92" s="81"/>
      <c r="C92" s="45" t="s">
        <v>112</v>
      </c>
      <c r="D92" s="44">
        <v>1</v>
      </c>
      <c r="E92" s="43">
        <v>2.5252525252525255E-3</v>
      </c>
    </row>
    <row r="93" spans="2:5" ht="15" customHeight="1" x14ac:dyDescent="0.25">
      <c r="B93" s="82"/>
      <c r="C93" s="42" t="s">
        <v>20</v>
      </c>
      <c r="D93" s="41">
        <v>2</v>
      </c>
      <c r="E93" s="40">
        <v>5.0505050505050509E-3</v>
      </c>
    </row>
    <row r="94" spans="2:5" ht="15" customHeight="1" x14ac:dyDescent="0.25">
      <c r="B94" s="80" t="s">
        <v>80</v>
      </c>
      <c r="C94" s="45" t="s">
        <v>125</v>
      </c>
      <c r="D94" s="44">
        <v>1</v>
      </c>
      <c r="E94" s="43">
        <v>2.5252525252525255E-3</v>
      </c>
    </row>
    <row r="95" spans="2:5" ht="15" customHeight="1" x14ac:dyDescent="0.25">
      <c r="B95" s="81"/>
      <c r="C95" s="45" t="s">
        <v>116</v>
      </c>
      <c r="D95" s="44">
        <v>2</v>
      </c>
      <c r="E95" s="43">
        <v>5.0505050505050509E-3</v>
      </c>
    </row>
    <row r="96" spans="2:5" ht="15" customHeight="1" x14ac:dyDescent="0.25">
      <c r="B96" s="82"/>
      <c r="C96" s="42" t="s">
        <v>20</v>
      </c>
      <c r="D96" s="41">
        <v>3</v>
      </c>
      <c r="E96" s="40">
        <v>7.575757575757576E-3</v>
      </c>
    </row>
    <row r="97" spans="2:5" ht="15" customHeight="1" x14ac:dyDescent="0.25">
      <c r="B97" s="80" t="s">
        <v>84</v>
      </c>
      <c r="C97" s="45" t="s">
        <v>124</v>
      </c>
      <c r="D97" s="44">
        <v>1</v>
      </c>
      <c r="E97" s="43">
        <v>2.5252525252525255E-3</v>
      </c>
    </row>
    <row r="98" spans="2:5" ht="15" customHeight="1" x14ac:dyDescent="0.25">
      <c r="B98" s="81"/>
      <c r="C98" s="45" t="s">
        <v>123</v>
      </c>
      <c r="D98" s="44">
        <v>2</v>
      </c>
      <c r="E98" s="43">
        <v>5.0505050505050509E-3</v>
      </c>
    </row>
    <row r="99" spans="2:5" ht="15" customHeight="1" x14ac:dyDescent="0.25">
      <c r="B99" s="81"/>
      <c r="C99" s="45" t="s">
        <v>122</v>
      </c>
      <c r="D99" s="44">
        <v>1</v>
      </c>
      <c r="E99" s="43">
        <v>2.5252525252525255E-3</v>
      </c>
    </row>
    <row r="100" spans="2:5" ht="15" customHeight="1" x14ac:dyDescent="0.25">
      <c r="B100" s="81"/>
      <c r="C100" s="45" t="s">
        <v>121</v>
      </c>
      <c r="D100" s="44">
        <v>2</v>
      </c>
      <c r="E100" s="43">
        <v>5.0505050505050509E-3</v>
      </c>
    </row>
    <row r="101" spans="2:5" ht="15" customHeight="1" x14ac:dyDescent="0.25">
      <c r="B101" s="81"/>
      <c r="C101" s="45" t="s">
        <v>119</v>
      </c>
      <c r="D101" s="44">
        <v>6</v>
      </c>
      <c r="E101" s="43">
        <v>1.5151515151515152E-2</v>
      </c>
    </row>
    <row r="102" spans="2:5" ht="15" customHeight="1" x14ac:dyDescent="0.25">
      <c r="B102" s="81"/>
      <c r="C102" s="45" t="s">
        <v>117</v>
      </c>
      <c r="D102" s="44">
        <v>3</v>
      </c>
      <c r="E102" s="43">
        <v>7.575757575757576E-3</v>
      </c>
    </row>
    <row r="103" spans="2:5" ht="15" customHeight="1" x14ac:dyDescent="0.25">
      <c r="B103" s="81"/>
      <c r="C103" s="45" t="s">
        <v>116</v>
      </c>
      <c r="D103" s="44">
        <v>1</v>
      </c>
      <c r="E103" s="43">
        <v>2.5252525252525255E-3</v>
      </c>
    </row>
    <row r="104" spans="2:5" ht="15" customHeight="1" x14ac:dyDescent="0.25">
      <c r="B104" s="81"/>
      <c r="C104" s="45" t="s">
        <v>112</v>
      </c>
      <c r="D104" s="44">
        <v>1</v>
      </c>
      <c r="E104" s="43">
        <v>2.5252525252525255E-3</v>
      </c>
    </row>
    <row r="105" spans="2:5" ht="15" customHeight="1" x14ac:dyDescent="0.25">
      <c r="B105" s="82"/>
      <c r="C105" s="42" t="s">
        <v>20</v>
      </c>
      <c r="D105" s="41">
        <v>17</v>
      </c>
      <c r="E105" s="40">
        <v>4.2929292929292928E-2</v>
      </c>
    </row>
    <row r="106" spans="2:5" ht="15" customHeight="1" x14ac:dyDescent="0.25">
      <c r="B106" s="80" t="s">
        <v>136</v>
      </c>
      <c r="C106" s="45" t="s">
        <v>124</v>
      </c>
      <c r="D106" s="44">
        <v>1</v>
      </c>
      <c r="E106" s="43">
        <v>2.5252525252525255E-3</v>
      </c>
    </row>
    <row r="107" spans="2:5" ht="15" customHeight="1" x14ac:dyDescent="0.25">
      <c r="B107" s="81"/>
      <c r="C107" s="45" t="s">
        <v>123</v>
      </c>
      <c r="D107" s="44">
        <v>2</v>
      </c>
      <c r="E107" s="43">
        <v>5.0505050505050509E-3</v>
      </c>
    </row>
    <row r="108" spans="2:5" ht="15" customHeight="1" x14ac:dyDescent="0.25">
      <c r="B108" s="81"/>
      <c r="C108" s="45" t="s">
        <v>120</v>
      </c>
      <c r="D108" s="44">
        <v>1</v>
      </c>
      <c r="E108" s="43">
        <v>2.5252525252525255E-3</v>
      </c>
    </row>
    <row r="109" spans="2:5" ht="15" customHeight="1" x14ac:dyDescent="0.25">
      <c r="B109" s="81"/>
      <c r="C109" s="45" t="s">
        <v>119</v>
      </c>
      <c r="D109" s="44">
        <v>3</v>
      </c>
      <c r="E109" s="43">
        <v>7.575757575757576E-3</v>
      </c>
    </row>
    <row r="110" spans="2:5" ht="15" customHeight="1" x14ac:dyDescent="0.25">
      <c r="B110" s="81"/>
      <c r="C110" s="45" t="s">
        <v>117</v>
      </c>
      <c r="D110" s="44">
        <v>1</v>
      </c>
      <c r="E110" s="43">
        <v>2.5252525252525255E-3</v>
      </c>
    </row>
    <row r="111" spans="2:5" ht="15" customHeight="1" x14ac:dyDescent="0.25">
      <c r="B111" s="81"/>
      <c r="C111" s="45" t="s">
        <v>116</v>
      </c>
      <c r="D111" s="44">
        <v>5</v>
      </c>
      <c r="E111" s="43">
        <v>1.2626262626262626E-2</v>
      </c>
    </row>
    <row r="112" spans="2:5" ht="15" customHeight="1" x14ac:dyDescent="0.25">
      <c r="B112" s="81"/>
      <c r="C112" s="45" t="s">
        <v>113</v>
      </c>
      <c r="D112" s="44">
        <v>1</v>
      </c>
      <c r="E112" s="43">
        <v>2.5252525252525255E-3</v>
      </c>
    </row>
    <row r="113" spans="2:5" ht="15" customHeight="1" x14ac:dyDescent="0.25">
      <c r="B113" s="81"/>
      <c r="C113" s="45" t="s">
        <v>111</v>
      </c>
      <c r="D113" s="44">
        <v>1</v>
      </c>
      <c r="E113" s="43">
        <v>2.5252525252525255E-3</v>
      </c>
    </row>
    <row r="114" spans="2:5" ht="15" customHeight="1" x14ac:dyDescent="0.25">
      <c r="B114" s="82"/>
      <c r="C114" s="42" t="s">
        <v>20</v>
      </c>
      <c r="D114" s="41">
        <v>15</v>
      </c>
      <c r="E114" s="40">
        <v>3.787878787878788E-2</v>
      </c>
    </row>
    <row r="115" spans="2:5" ht="15" customHeight="1" x14ac:dyDescent="0.25">
      <c r="B115" s="80" t="s">
        <v>135</v>
      </c>
      <c r="C115" s="45" t="s">
        <v>119</v>
      </c>
      <c r="D115" s="44">
        <v>2</v>
      </c>
      <c r="E115" s="43">
        <v>5.0505050505050509E-3</v>
      </c>
    </row>
    <row r="116" spans="2:5" ht="15" customHeight="1" x14ac:dyDescent="0.25">
      <c r="B116" s="81"/>
      <c r="C116" s="45" t="s">
        <v>116</v>
      </c>
      <c r="D116" s="44">
        <v>3</v>
      </c>
      <c r="E116" s="43">
        <v>7.575757575757576E-3</v>
      </c>
    </row>
    <row r="117" spans="2:5" ht="15" customHeight="1" x14ac:dyDescent="0.25">
      <c r="B117" s="82"/>
      <c r="C117" s="42" t="s">
        <v>20</v>
      </c>
      <c r="D117" s="41">
        <v>5</v>
      </c>
      <c r="E117" s="40">
        <v>1.2626262626262626E-2</v>
      </c>
    </row>
    <row r="118" spans="2:5" ht="15" customHeight="1" x14ac:dyDescent="0.25">
      <c r="B118" s="80" t="s">
        <v>70</v>
      </c>
      <c r="C118" s="45" t="s">
        <v>126</v>
      </c>
      <c r="D118" s="44">
        <v>1</v>
      </c>
      <c r="E118" s="43">
        <v>2.5252525252525255E-3</v>
      </c>
    </row>
    <row r="119" spans="2:5" ht="15" customHeight="1" x14ac:dyDescent="0.25">
      <c r="B119" s="81"/>
      <c r="C119" s="45" t="s">
        <v>123</v>
      </c>
      <c r="D119" s="44">
        <v>1</v>
      </c>
      <c r="E119" s="43">
        <v>2.5252525252525255E-3</v>
      </c>
    </row>
    <row r="120" spans="2:5" ht="15" customHeight="1" x14ac:dyDescent="0.25">
      <c r="B120" s="81"/>
      <c r="C120" s="45" t="s">
        <v>119</v>
      </c>
      <c r="D120" s="44">
        <v>5</v>
      </c>
      <c r="E120" s="43">
        <v>1.2626262626262626E-2</v>
      </c>
    </row>
    <row r="121" spans="2:5" ht="15" customHeight="1" x14ac:dyDescent="0.25">
      <c r="B121" s="81"/>
      <c r="C121" s="45" t="s">
        <v>114</v>
      </c>
      <c r="D121" s="44">
        <v>1</v>
      </c>
      <c r="E121" s="43">
        <v>2.5252525252525255E-3</v>
      </c>
    </row>
    <row r="122" spans="2:5" ht="15" customHeight="1" x14ac:dyDescent="0.25">
      <c r="B122" s="82"/>
      <c r="C122" s="42" t="s">
        <v>20</v>
      </c>
      <c r="D122" s="41">
        <v>8</v>
      </c>
      <c r="E122" s="40">
        <v>2.0202020202020204E-2</v>
      </c>
    </row>
    <row r="123" spans="2:5" ht="15" customHeight="1" x14ac:dyDescent="0.25">
      <c r="B123" s="80" t="s">
        <v>69</v>
      </c>
      <c r="C123" s="45" t="s">
        <v>116</v>
      </c>
      <c r="D123" s="44">
        <v>2</v>
      </c>
      <c r="E123" s="43">
        <v>5.0505050505050509E-3</v>
      </c>
    </row>
    <row r="124" spans="2:5" ht="15" customHeight="1" x14ac:dyDescent="0.25">
      <c r="B124" s="82"/>
      <c r="C124" s="42" t="s">
        <v>20</v>
      </c>
      <c r="D124" s="41">
        <v>2</v>
      </c>
      <c r="E124" s="40">
        <v>5.0505050505050509E-3</v>
      </c>
    </row>
    <row r="125" spans="2:5" ht="15" customHeight="1" x14ac:dyDescent="0.25">
      <c r="B125" s="80" t="s">
        <v>62</v>
      </c>
      <c r="C125" s="45" t="s">
        <v>122</v>
      </c>
      <c r="D125" s="44">
        <v>1</v>
      </c>
      <c r="E125" s="43">
        <v>2.5252525252525255E-3</v>
      </c>
    </row>
    <row r="126" spans="2:5" ht="15" customHeight="1" x14ac:dyDescent="0.25">
      <c r="B126" s="81"/>
      <c r="C126" s="45" t="s">
        <v>119</v>
      </c>
      <c r="D126" s="44">
        <v>3</v>
      </c>
      <c r="E126" s="43">
        <v>7.575757575757576E-3</v>
      </c>
    </row>
    <row r="127" spans="2:5" ht="15" customHeight="1" x14ac:dyDescent="0.25">
      <c r="B127" s="81"/>
      <c r="C127" s="45" t="s">
        <v>116</v>
      </c>
      <c r="D127" s="44">
        <v>3</v>
      </c>
      <c r="E127" s="43">
        <v>7.575757575757576E-3</v>
      </c>
    </row>
    <row r="128" spans="2:5" ht="15" customHeight="1" x14ac:dyDescent="0.25">
      <c r="B128" s="81"/>
      <c r="C128" s="45" t="s">
        <v>111</v>
      </c>
      <c r="D128" s="44">
        <v>1</v>
      </c>
      <c r="E128" s="43">
        <v>2.5252525252525255E-3</v>
      </c>
    </row>
    <row r="129" spans="2:5" ht="15" customHeight="1" x14ac:dyDescent="0.25">
      <c r="B129" s="82"/>
      <c r="C129" s="42" t="s">
        <v>20</v>
      </c>
      <c r="D129" s="41">
        <v>8</v>
      </c>
      <c r="E129" s="40">
        <v>2.0202020202020204E-2</v>
      </c>
    </row>
    <row r="130" spans="2:5" ht="15" customHeight="1" x14ac:dyDescent="0.25">
      <c r="B130" s="80" t="s">
        <v>91</v>
      </c>
      <c r="C130" s="45" t="s">
        <v>123</v>
      </c>
      <c r="D130" s="44">
        <v>2</v>
      </c>
      <c r="E130" s="43">
        <v>5.0505050505050509E-3</v>
      </c>
    </row>
    <row r="131" spans="2:5" ht="15" customHeight="1" x14ac:dyDescent="0.25">
      <c r="B131" s="81"/>
      <c r="C131" s="45" t="s">
        <v>119</v>
      </c>
      <c r="D131" s="44">
        <v>2</v>
      </c>
      <c r="E131" s="43">
        <v>5.0505050505050509E-3</v>
      </c>
    </row>
    <row r="132" spans="2:5" ht="15" customHeight="1" x14ac:dyDescent="0.25">
      <c r="B132" s="81"/>
      <c r="C132" s="45" t="s">
        <v>117</v>
      </c>
      <c r="D132" s="44">
        <v>3</v>
      </c>
      <c r="E132" s="43">
        <v>7.575757575757576E-3</v>
      </c>
    </row>
    <row r="133" spans="2:5" ht="15" customHeight="1" x14ac:dyDescent="0.25">
      <c r="B133" s="81"/>
      <c r="C133" s="45" t="s">
        <v>116</v>
      </c>
      <c r="D133" s="44">
        <v>1</v>
      </c>
      <c r="E133" s="43">
        <v>2.5252525252525255E-3</v>
      </c>
    </row>
    <row r="134" spans="2:5" ht="15" customHeight="1" x14ac:dyDescent="0.25">
      <c r="B134" s="82"/>
      <c r="C134" s="42" t="s">
        <v>20</v>
      </c>
      <c r="D134" s="41">
        <v>8</v>
      </c>
      <c r="E134" s="40">
        <v>2.0202020202020204E-2</v>
      </c>
    </row>
    <row r="135" spans="2:5" ht="15" customHeight="1" x14ac:dyDescent="0.25">
      <c r="B135" s="80" t="s">
        <v>64</v>
      </c>
      <c r="C135" s="45" t="s">
        <v>114</v>
      </c>
      <c r="D135" s="44">
        <v>1</v>
      </c>
      <c r="E135" s="43">
        <v>2.5252525252525255E-3</v>
      </c>
    </row>
    <row r="136" spans="2:5" ht="15" customHeight="1" x14ac:dyDescent="0.25">
      <c r="B136" s="82"/>
      <c r="C136" s="42" t="s">
        <v>20</v>
      </c>
      <c r="D136" s="41">
        <v>1</v>
      </c>
      <c r="E136" s="40">
        <v>2.5252525252525255E-3</v>
      </c>
    </row>
    <row r="137" spans="2:5" ht="15" customHeight="1" x14ac:dyDescent="0.25">
      <c r="B137" s="80" t="s">
        <v>83</v>
      </c>
      <c r="C137" s="45" t="s">
        <v>126</v>
      </c>
      <c r="D137" s="44">
        <v>2</v>
      </c>
      <c r="E137" s="43">
        <v>5.0505050505050509E-3</v>
      </c>
    </row>
    <row r="138" spans="2:5" ht="15" customHeight="1" x14ac:dyDescent="0.25">
      <c r="B138" s="81"/>
      <c r="C138" s="45" t="s">
        <v>124</v>
      </c>
      <c r="D138" s="44">
        <v>1</v>
      </c>
      <c r="E138" s="43">
        <v>2.5252525252525255E-3</v>
      </c>
    </row>
    <row r="139" spans="2:5" ht="15" customHeight="1" x14ac:dyDescent="0.25">
      <c r="B139" s="81"/>
      <c r="C139" s="45" t="s">
        <v>123</v>
      </c>
      <c r="D139" s="44">
        <v>1</v>
      </c>
      <c r="E139" s="43">
        <v>2.5252525252525255E-3</v>
      </c>
    </row>
    <row r="140" spans="2:5" ht="15" customHeight="1" x14ac:dyDescent="0.25">
      <c r="B140" s="81"/>
      <c r="C140" s="45" t="s">
        <v>122</v>
      </c>
      <c r="D140" s="44">
        <v>1</v>
      </c>
      <c r="E140" s="43">
        <v>2.5252525252525255E-3</v>
      </c>
    </row>
    <row r="141" spans="2:5" ht="15" customHeight="1" x14ac:dyDescent="0.25">
      <c r="B141" s="81"/>
      <c r="C141" s="45" t="s">
        <v>121</v>
      </c>
      <c r="D141" s="44">
        <v>1</v>
      </c>
      <c r="E141" s="43">
        <v>2.5252525252525255E-3</v>
      </c>
    </row>
    <row r="142" spans="2:5" ht="15" customHeight="1" x14ac:dyDescent="0.25">
      <c r="B142" s="81"/>
      <c r="C142" s="45" t="s">
        <v>120</v>
      </c>
      <c r="D142" s="44">
        <v>1</v>
      </c>
      <c r="E142" s="43">
        <v>2.5252525252525255E-3</v>
      </c>
    </row>
    <row r="143" spans="2:5" ht="15" customHeight="1" x14ac:dyDescent="0.25">
      <c r="B143" s="81"/>
      <c r="C143" s="45" t="s">
        <v>119</v>
      </c>
      <c r="D143" s="44">
        <v>8</v>
      </c>
      <c r="E143" s="43">
        <v>2.0202020202020204E-2</v>
      </c>
    </row>
    <row r="144" spans="2:5" ht="15" customHeight="1" x14ac:dyDescent="0.25">
      <c r="B144" s="81"/>
      <c r="C144" s="45" t="s">
        <v>112</v>
      </c>
      <c r="D144" s="44">
        <v>1</v>
      </c>
      <c r="E144" s="43">
        <v>2.5252525252525255E-3</v>
      </c>
    </row>
    <row r="145" spans="2:5" ht="15" customHeight="1" x14ac:dyDescent="0.25">
      <c r="B145" s="82"/>
      <c r="C145" s="42" t="s">
        <v>20</v>
      </c>
      <c r="D145" s="41">
        <v>16</v>
      </c>
      <c r="E145" s="40">
        <v>4.0404040404040407E-2</v>
      </c>
    </row>
    <row r="146" spans="2:5" ht="15" customHeight="1" x14ac:dyDescent="0.25">
      <c r="B146" s="80" t="s">
        <v>79</v>
      </c>
      <c r="C146" s="45" t="s">
        <v>116</v>
      </c>
      <c r="D146" s="44">
        <v>2</v>
      </c>
      <c r="E146" s="43">
        <v>5.0505050505050509E-3</v>
      </c>
    </row>
    <row r="147" spans="2:5" ht="15" customHeight="1" x14ac:dyDescent="0.25">
      <c r="B147" s="82"/>
      <c r="C147" s="42" t="s">
        <v>20</v>
      </c>
      <c r="D147" s="41">
        <v>2</v>
      </c>
      <c r="E147" s="40">
        <v>5.0505050505050509E-3</v>
      </c>
    </row>
    <row r="148" spans="2:5" ht="15" customHeight="1" x14ac:dyDescent="0.25">
      <c r="B148" s="80" t="s">
        <v>67</v>
      </c>
      <c r="C148" s="45" t="s">
        <v>119</v>
      </c>
      <c r="D148" s="44">
        <v>2</v>
      </c>
      <c r="E148" s="43">
        <v>5.0505050505050509E-3</v>
      </c>
    </row>
    <row r="149" spans="2:5" ht="15" customHeight="1" x14ac:dyDescent="0.25">
      <c r="B149" s="81"/>
      <c r="C149" s="45" t="s">
        <v>117</v>
      </c>
      <c r="D149" s="44">
        <v>1</v>
      </c>
      <c r="E149" s="43">
        <v>2.5252525252525255E-3</v>
      </c>
    </row>
    <row r="150" spans="2:5" ht="15" customHeight="1" x14ac:dyDescent="0.25">
      <c r="B150" s="81"/>
      <c r="C150" s="45" t="s">
        <v>116</v>
      </c>
      <c r="D150" s="44">
        <v>1</v>
      </c>
      <c r="E150" s="43">
        <v>2.5252525252525255E-3</v>
      </c>
    </row>
    <row r="151" spans="2:5" ht="15" customHeight="1" x14ac:dyDescent="0.25">
      <c r="B151" s="82"/>
      <c r="C151" s="42" t="s">
        <v>20</v>
      </c>
      <c r="D151" s="41">
        <v>4</v>
      </c>
      <c r="E151" s="40">
        <v>1.0101010101010102E-2</v>
      </c>
    </row>
    <row r="152" spans="2:5" ht="15" customHeight="1" x14ac:dyDescent="0.25">
      <c r="B152" s="80" t="s">
        <v>71</v>
      </c>
      <c r="C152" s="45" t="s">
        <v>123</v>
      </c>
      <c r="D152" s="44">
        <v>1</v>
      </c>
      <c r="E152" s="43">
        <v>2.5252525252525255E-3</v>
      </c>
    </row>
    <row r="153" spans="2:5" ht="15" customHeight="1" x14ac:dyDescent="0.25">
      <c r="B153" s="81"/>
      <c r="C153" s="45" t="s">
        <v>117</v>
      </c>
      <c r="D153" s="44">
        <v>1</v>
      </c>
      <c r="E153" s="43">
        <v>2.5252525252525255E-3</v>
      </c>
    </row>
    <row r="154" spans="2:5" ht="15" customHeight="1" x14ac:dyDescent="0.25">
      <c r="B154" s="81"/>
      <c r="C154" s="45" t="s">
        <v>116</v>
      </c>
      <c r="D154" s="44">
        <v>3</v>
      </c>
      <c r="E154" s="43">
        <v>7.575757575757576E-3</v>
      </c>
    </row>
    <row r="155" spans="2:5" ht="15" customHeight="1" x14ac:dyDescent="0.25">
      <c r="B155" s="82"/>
      <c r="C155" s="42" t="s">
        <v>20</v>
      </c>
      <c r="D155" s="41">
        <v>5</v>
      </c>
      <c r="E155" s="40">
        <v>1.2626262626262626E-2</v>
      </c>
    </row>
    <row r="156" spans="2:5" ht="15" customHeight="1" x14ac:dyDescent="0.25">
      <c r="B156" s="80" t="s">
        <v>89</v>
      </c>
      <c r="C156" s="45" t="s">
        <v>130</v>
      </c>
      <c r="D156" s="44">
        <v>1</v>
      </c>
      <c r="E156" s="43">
        <v>2.5252525252525255E-3</v>
      </c>
    </row>
    <row r="157" spans="2:5" ht="15" customHeight="1" x14ac:dyDescent="0.25">
      <c r="B157" s="81"/>
      <c r="C157" s="45" t="s">
        <v>125</v>
      </c>
      <c r="D157" s="44">
        <v>2</v>
      </c>
      <c r="E157" s="43">
        <v>5.0505050505050509E-3</v>
      </c>
    </row>
    <row r="158" spans="2:5" ht="15" customHeight="1" x14ac:dyDescent="0.25">
      <c r="B158" s="81"/>
      <c r="C158" s="45" t="s">
        <v>124</v>
      </c>
      <c r="D158" s="44">
        <v>1</v>
      </c>
      <c r="E158" s="43">
        <v>2.5252525252525255E-3</v>
      </c>
    </row>
    <row r="159" spans="2:5" ht="15" customHeight="1" x14ac:dyDescent="0.25">
      <c r="B159" s="81"/>
      <c r="C159" s="45" t="s">
        <v>123</v>
      </c>
      <c r="D159" s="44">
        <v>5</v>
      </c>
      <c r="E159" s="43">
        <v>1.2626262626262626E-2</v>
      </c>
    </row>
    <row r="160" spans="2:5" ht="15" customHeight="1" x14ac:dyDescent="0.25">
      <c r="B160" s="81"/>
      <c r="C160" s="45" t="s">
        <v>122</v>
      </c>
      <c r="D160" s="44">
        <v>3</v>
      </c>
      <c r="E160" s="43">
        <v>7.575757575757576E-3</v>
      </c>
    </row>
    <row r="161" spans="2:5" ht="15" customHeight="1" x14ac:dyDescent="0.25">
      <c r="B161" s="81"/>
      <c r="C161" s="45" t="s">
        <v>121</v>
      </c>
      <c r="D161" s="44">
        <v>1</v>
      </c>
      <c r="E161" s="43">
        <v>2.5252525252525255E-3</v>
      </c>
    </row>
    <row r="162" spans="2:5" ht="15" customHeight="1" x14ac:dyDescent="0.25">
      <c r="B162" s="81"/>
      <c r="C162" s="45" t="s">
        <v>120</v>
      </c>
      <c r="D162" s="44">
        <v>1</v>
      </c>
      <c r="E162" s="43">
        <v>2.5252525252525255E-3</v>
      </c>
    </row>
    <row r="163" spans="2:5" ht="15" customHeight="1" x14ac:dyDescent="0.25">
      <c r="B163" s="81"/>
      <c r="C163" s="45" t="s">
        <v>119</v>
      </c>
      <c r="D163" s="44">
        <v>17</v>
      </c>
      <c r="E163" s="43">
        <v>4.2929292929292928E-2</v>
      </c>
    </row>
    <row r="164" spans="2:5" ht="15" customHeight="1" x14ac:dyDescent="0.25">
      <c r="B164" s="81"/>
      <c r="C164" s="45" t="s">
        <v>117</v>
      </c>
      <c r="D164" s="44">
        <v>2</v>
      </c>
      <c r="E164" s="43">
        <v>5.0505050505050509E-3</v>
      </c>
    </row>
    <row r="165" spans="2:5" ht="15" customHeight="1" x14ac:dyDescent="0.25">
      <c r="B165" s="81"/>
      <c r="C165" s="45" t="s">
        <v>116</v>
      </c>
      <c r="D165" s="44">
        <v>3</v>
      </c>
      <c r="E165" s="43">
        <v>7.575757575757576E-3</v>
      </c>
    </row>
    <row r="166" spans="2:5" ht="15" customHeight="1" x14ac:dyDescent="0.25">
      <c r="B166" s="82"/>
      <c r="C166" s="42" t="s">
        <v>20</v>
      </c>
      <c r="D166" s="41">
        <v>36</v>
      </c>
      <c r="E166" s="40">
        <v>9.0909090909090912E-2</v>
      </c>
    </row>
    <row r="167" spans="2:5" ht="15" customHeight="1" x14ac:dyDescent="0.25">
      <c r="B167" s="80" t="s">
        <v>81</v>
      </c>
      <c r="C167" s="45" t="s">
        <v>124</v>
      </c>
      <c r="D167" s="44">
        <v>1</v>
      </c>
      <c r="E167" s="43">
        <v>2.5252525252525255E-3</v>
      </c>
    </row>
    <row r="168" spans="2:5" ht="15" customHeight="1" x14ac:dyDescent="0.25">
      <c r="B168" s="81"/>
      <c r="C168" s="45" t="s">
        <v>119</v>
      </c>
      <c r="D168" s="44">
        <v>5</v>
      </c>
      <c r="E168" s="43">
        <v>1.2626262626262626E-2</v>
      </c>
    </row>
    <row r="169" spans="2:5" ht="15" customHeight="1" x14ac:dyDescent="0.25">
      <c r="B169" s="81"/>
      <c r="C169" s="45" t="s">
        <v>117</v>
      </c>
      <c r="D169" s="44">
        <v>1</v>
      </c>
      <c r="E169" s="43">
        <v>2.5252525252525255E-3</v>
      </c>
    </row>
    <row r="170" spans="2:5" ht="15" customHeight="1" x14ac:dyDescent="0.25">
      <c r="B170" s="82"/>
      <c r="C170" s="42" t="s">
        <v>20</v>
      </c>
      <c r="D170" s="41">
        <v>7</v>
      </c>
      <c r="E170" s="40">
        <v>1.7676767676767676E-2</v>
      </c>
    </row>
    <row r="171" spans="2:5" ht="15" customHeight="1" x14ac:dyDescent="0.25">
      <c r="B171" s="80" t="s">
        <v>66</v>
      </c>
      <c r="C171" s="45" t="s">
        <v>119</v>
      </c>
      <c r="D171" s="44">
        <v>4</v>
      </c>
      <c r="E171" s="43">
        <v>1.0101010101010102E-2</v>
      </c>
    </row>
    <row r="172" spans="2:5" ht="15" customHeight="1" x14ac:dyDescent="0.25">
      <c r="B172" s="81"/>
      <c r="C172" s="45" t="s">
        <v>116</v>
      </c>
      <c r="D172" s="44">
        <v>2</v>
      </c>
      <c r="E172" s="43">
        <v>5.0505050505050509E-3</v>
      </c>
    </row>
    <row r="173" spans="2:5" ht="15" customHeight="1" x14ac:dyDescent="0.25">
      <c r="B173" s="81"/>
      <c r="C173" s="45" t="s">
        <v>111</v>
      </c>
      <c r="D173" s="44">
        <v>1</v>
      </c>
      <c r="E173" s="43">
        <v>2.5252525252525255E-3</v>
      </c>
    </row>
    <row r="174" spans="2:5" ht="15" customHeight="1" x14ac:dyDescent="0.25">
      <c r="B174" s="82"/>
      <c r="C174" s="42" t="s">
        <v>20</v>
      </c>
      <c r="D174" s="41">
        <v>7</v>
      </c>
      <c r="E174" s="40">
        <v>1.7676767676767676E-2</v>
      </c>
    </row>
    <row r="175" spans="2:5" ht="15" customHeight="1" x14ac:dyDescent="0.25">
      <c r="B175" s="80" t="s">
        <v>68</v>
      </c>
      <c r="C175" s="45" t="s">
        <v>119</v>
      </c>
      <c r="D175" s="44">
        <v>1</v>
      </c>
      <c r="E175" s="43">
        <v>2.5252525252525255E-3</v>
      </c>
    </row>
    <row r="176" spans="2:5" ht="15" customHeight="1" x14ac:dyDescent="0.25">
      <c r="B176" s="81"/>
      <c r="C176" s="45" t="s">
        <v>117</v>
      </c>
      <c r="D176" s="44">
        <v>2</v>
      </c>
      <c r="E176" s="43">
        <v>5.0505050505050509E-3</v>
      </c>
    </row>
    <row r="177" spans="2:5" ht="15" customHeight="1" x14ac:dyDescent="0.25">
      <c r="B177" s="81"/>
      <c r="C177" s="45" t="s">
        <v>116</v>
      </c>
      <c r="D177" s="44">
        <v>1</v>
      </c>
      <c r="E177" s="43">
        <v>2.5252525252525255E-3</v>
      </c>
    </row>
    <row r="178" spans="2:5" ht="15" customHeight="1" x14ac:dyDescent="0.25">
      <c r="B178" s="81"/>
      <c r="C178" s="45" t="s">
        <v>115</v>
      </c>
      <c r="D178" s="44">
        <v>1</v>
      </c>
      <c r="E178" s="43">
        <v>2.5252525252525255E-3</v>
      </c>
    </row>
    <row r="179" spans="2:5" ht="15" customHeight="1" x14ac:dyDescent="0.25">
      <c r="B179" s="82"/>
      <c r="C179" s="42" t="s">
        <v>20</v>
      </c>
      <c r="D179" s="41">
        <v>5</v>
      </c>
      <c r="E179" s="40">
        <v>1.2626262626262626E-2</v>
      </c>
    </row>
    <row r="180" spans="2:5" ht="15" customHeight="1" x14ac:dyDescent="0.25">
      <c r="B180" s="80" t="s">
        <v>76</v>
      </c>
      <c r="C180" s="45" t="s">
        <v>121</v>
      </c>
      <c r="D180" s="44">
        <v>1</v>
      </c>
      <c r="E180" s="43">
        <v>2.5252525252525255E-3</v>
      </c>
    </row>
    <row r="181" spans="2:5" ht="15" customHeight="1" x14ac:dyDescent="0.25">
      <c r="B181" s="82"/>
      <c r="C181" s="42" t="s">
        <v>20</v>
      </c>
      <c r="D181" s="41">
        <v>1</v>
      </c>
      <c r="E181" s="40">
        <v>2.5252525252525255E-3</v>
      </c>
    </row>
    <row r="182" spans="2:5" ht="15" customHeight="1" x14ac:dyDescent="0.25">
      <c r="B182" s="80" t="s">
        <v>88</v>
      </c>
      <c r="C182" s="45" t="s">
        <v>124</v>
      </c>
      <c r="D182" s="44">
        <v>1</v>
      </c>
      <c r="E182" s="43">
        <v>2.5252525252525255E-3</v>
      </c>
    </row>
    <row r="183" spans="2:5" ht="15" customHeight="1" x14ac:dyDescent="0.25">
      <c r="B183" s="81"/>
      <c r="C183" s="45" t="s">
        <v>121</v>
      </c>
      <c r="D183" s="44">
        <v>1</v>
      </c>
      <c r="E183" s="43">
        <v>2.5252525252525255E-3</v>
      </c>
    </row>
    <row r="184" spans="2:5" ht="15" customHeight="1" x14ac:dyDescent="0.25">
      <c r="B184" s="81"/>
      <c r="C184" s="45" t="s">
        <v>119</v>
      </c>
      <c r="D184" s="44">
        <v>3</v>
      </c>
      <c r="E184" s="43">
        <v>7.575757575757576E-3</v>
      </c>
    </row>
    <row r="185" spans="2:5" ht="15" customHeight="1" x14ac:dyDescent="0.25">
      <c r="B185" s="81"/>
      <c r="C185" s="45" t="s">
        <v>116</v>
      </c>
      <c r="D185" s="44">
        <v>2</v>
      </c>
      <c r="E185" s="43">
        <v>5.0505050505050509E-3</v>
      </c>
    </row>
    <row r="186" spans="2:5" ht="15" customHeight="1" x14ac:dyDescent="0.25">
      <c r="B186" s="82"/>
      <c r="C186" s="42" t="s">
        <v>20</v>
      </c>
      <c r="D186" s="41">
        <v>7</v>
      </c>
      <c r="E186" s="40">
        <v>1.7676767676767676E-2</v>
      </c>
    </row>
    <row r="187" spans="2:5" ht="15" customHeight="1" x14ac:dyDescent="0.25">
      <c r="B187" s="80" t="s">
        <v>72</v>
      </c>
      <c r="C187" s="45" t="s">
        <v>119</v>
      </c>
      <c r="D187" s="44">
        <v>1</v>
      </c>
      <c r="E187" s="43">
        <v>2.5252525252525255E-3</v>
      </c>
    </row>
    <row r="188" spans="2:5" ht="15" customHeight="1" x14ac:dyDescent="0.25">
      <c r="B188" s="81"/>
      <c r="C188" s="45" t="s">
        <v>109</v>
      </c>
      <c r="D188" s="44">
        <v>1</v>
      </c>
      <c r="E188" s="43">
        <v>2.5252525252525255E-3</v>
      </c>
    </row>
    <row r="189" spans="2:5" ht="15" customHeight="1" x14ac:dyDescent="0.25">
      <c r="B189" s="82"/>
      <c r="C189" s="42" t="s">
        <v>20</v>
      </c>
      <c r="D189" s="41">
        <v>2</v>
      </c>
      <c r="E189" s="40">
        <v>5.0505050505050509E-3</v>
      </c>
    </row>
    <row r="190" spans="2:5" ht="15" customHeight="1" x14ac:dyDescent="0.25">
      <c r="B190" s="80" t="s">
        <v>85</v>
      </c>
      <c r="C190" s="45" t="s">
        <v>130</v>
      </c>
      <c r="D190" s="44">
        <v>1</v>
      </c>
      <c r="E190" s="43">
        <v>2.5252525252525255E-3</v>
      </c>
    </row>
    <row r="191" spans="2:5" ht="15" customHeight="1" x14ac:dyDescent="0.25">
      <c r="B191" s="81"/>
      <c r="C191" s="45" t="s">
        <v>129</v>
      </c>
      <c r="D191" s="44">
        <v>1</v>
      </c>
      <c r="E191" s="43">
        <v>2.5252525252525255E-3</v>
      </c>
    </row>
    <row r="192" spans="2:5" ht="15" customHeight="1" x14ac:dyDescent="0.25">
      <c r="B192" s="81"/>
      <c r="C192" s="45" t="s">
        <v>128</v>
      </c>
      <c r="D192" s="44">
        <v>2</v>
      </c>
      <c r="E192" s="43">
        <v>5.0505050505050509E-3</v>
      </c>
    </row>
    <row r="193" spans="2:5" ht="15" customHeight="1" x14ac:dyDescent="0.25">
      <c r="B193" s="81"/>
      <c r="C193" s="45" t="s">
        <v>126</v>
      </c>
      <c r="D193" s="44">
        <v>1</v>
      </c>
      <c r="E193" s="43">
        <v>2.5252525252525255E-3</v>
      </c>
    </row>
    <row r="194" spans="2:5" ht="15" customHeight="1" x14ac:dyDescent="0.25">
      <c r="B194" s="81"/>
      <c r="C194" s="45" t="s">
        <v>124</v>
      </c>
      <c r="D194" s="44">
        <v>6</v>
      </c>
      <c r="E194" s="43">
        <v>1.5151515151515152E-2</v>
      </c>
    </row>
    <row r="195" spans="2:5" ht="15" customHeight="1" x14ac:dyDescent="0.25">
      <c r="B195" s="81"/>
      <c r="C195" s="45" t="s">
        <v>123</v>
      </c>
      <c r="D195" s="44">
        <v>3</v>
      </c>
      <c r="E195" s="43">
        <v>7.575757575757576E-3</v>
      </c>
    </row>
    <row r="196" spans="2:5" ht="15" customHeight="1" x14ac:dyDescent="0.25">
      <c r="B196" s="81"/>
      <c r="C196" s="45" t="s">
        <v>122</v>
      </c>
      <c r="D196" s="44">
        <v>1</v>
      </c>
      <c r="E196" s="43">
        <v>2.5252525252525255E-3</v>
      </c>
    </row>
    <row r="197" spans="2:5" ht="15" customHeight="1" x14ac:dyDescent="0.25">
      <c r="B197" s="81"/>
      <c r="C197" s="45" t="s">
        <v>121</v>
      </c>
      <c r="D197" s="44">
        <v>2</v>
      </c>
      <c r="E197" s="43">
        <v>5.0505050505050509E-3</v>
      </c>
    </row>
    <row r="198" spans="2:5" ht="15" customHeight="1" x14ac:dyDescent="0.25">
      <c r="B198" s="81"/>
      <c r="C198" s="45" t="s">
        <v>120</v>
      </c>
      <c r="D198" s="44">
        <v>2</v>
      </c>
      <c r="E198" s="43">
        <v>5.0505050505050509E-3</v>
      </c>
    </row>
    <row r="199" spans="2:5" ht="15" customHeight="1" x14ac:dyDescent="0.25">
      <c r="B199" s="81"/>
      <c r="C199" s="45" t="s">
        <v>119</v>
      </c>
      <c r="D199" s="44">
        <v>16</v>
      </c>
      <c r="E199" s="43">
        <v>4.0404040404040407E-2</v>
      </c>
    </row>
    <row r="200" spans="2:5" ht="15" customHeight="1" x14ac:dyDescent="0.25">
      <c r="B200" s="81"/>
      <c r="C200" s="45" t="s">
        <v>117</v>
      </c>
      <c r="D200" s="44">
        <v>2</v>
      </c>
      <c r="E200" s="43">
        <v>5.0505050505050509E-3</v>
      </c>
    </row>
    <row r="201" spans="2:5" ht="15" customHeight="1" x14ac:dyDescent="0.25">
      <c r="B201" s="81"/>
      <c r="C201" s="45" t="s">
        <v>116</v>
      </c>
      <c r="D201" s="44">
        <v>6</v>
      </c>
      <c r="E201" s="43">
        <v>1.5151515151515152E-2</v>
      </c>
    </row>
    <row r="202" spans="2:5" ht="15" customHeight="1" x14ac:dyDescent="0.25">
      <c r="B202" s="81"/>
      <c r="C202" s="45" t="s">
        <v>112</v>
      </c>
      <c r="D202" s="44">
        <v>2</v>
      </c>
      <c r="E202" s="43">
        <v>5.0505050505050509E-3</v>
      </c>
    </row>
    <row r="203" spans="2:5" ht="15" customHeight="1" x14ac:dyDescent="0.25">
      <c r="B203" s="81"/>
      <c r="C203" s="45" t="s">
        <v>111</v>
      </c>
      <c r="D203" s="44">
        <v>2</v>
      </c>
      <c r="E203" s="43">
        <v>5.0505050505050509E-3</v>
      </c>
    </row>
    <row r="204" spans="2:5" ht="15" customHeight="1" x14ac:dyDescent="0.25">
      <c r="B204" s="81"/>
      <c r="C204" s="45" t="s">
        <v>138</v>
      </c>
      <c r="D204" s="44">
        <v>1</v>
      </c>
      <c r="E204" s="43">
        <v>2.5252525252525255E-3</v>
      </c>
    </row>
    <row r="205" spans="2:5" ht="15" customHeight="1" x14ac:dyDescent="0.25">
      <c r="B205" s="82"/>
      <c r="C205" s="42" t="s">
        <v>20</v>
      </c>
      <c r="D205" s="41">
        <v>48</v>
      </c>
      <c r="E205" s="40">
        <v>0.12121212121212122</v>
      </c>
    </row>
    <row r="206" spans="2:5" ht="15" customHeight="1" x14ac:dyDescent="0.25">
      <c r="B206" s="80" t="s">
        <v>134</v>
      </c>
      <c r="C206" s="45" t="s">
        <v>130</v>
      </c>
      <c r="D206" s="44">
        <v>1</v>
      </c>
      <c r="E206" s="43">
        <v>2.5252525252525255E-3</v>
      </c>
    </row>
    <row r="207" spans="2:5" ht="15" customHeight="1" x14ac:dyDescent="0.25">
      <c r="B207" s="81"/>
      <c r="C207" s="45" t="s">
        <v>129</v>
      </c>
      <c r="D207" s="44">
        <v>1</v>
      </c>
      <c r="E207" s="43">
        <v>2.5252525252525255E-3</v>
      </c>
    </row>
    <row r="208" spans="2:5" ht="15" customHeight="1" x14ac:dyDescent="0.25">
      <c r="B208" s="81"/>
      <c r="C208" s="45" t="s">
        <v>127</v>
      </c>
      <c r="D208" s="44">
        <v>1</v>
      </c>
      <c r="E208" s="43">
        <v>2.5252525252525255E-3</v>
      </c>
    </row>
    <row r="209" spans="2:5" ht="15" customHeight="1" x14ac:dyDescent="0.25">
      <c r="B209" s="81"/>
      <c r="C209" s="45" t="s">
        <v>120</v>
      </c>
      <c r="D209" s="44">
        <v>3</v>
      </c>
      <c r="E209" s="43">
        <v>7.575757575757576E-3</v>
      </c>
    </row>
    <row r="210" spans="2:5" ht="15" customHeight="1" x14ac:dyDescent="0.25">
      <c r="B210" s="81"/>
      <c r="C210" s="45" t="s">
        <v>119</v>
      </c>
      <c r="D210" s="44">
        <v>6</v>
      </c>
      <c r="E210" s="43">
        <v>1.5151515151515152E-2</v>
      </c>
    </row>
    <row r="211" spans="2:5" ht="15" customHeight="1" x14ac:dyDescent="0.25">
      <c r="B211" s="81"/>
      <c r="C211" s="45" t="s">
        <v>117</v>
      </c>
      <c r="D211" s="44">
        <v>2</v>
      </c>
      <c r="E211" s="43">
        <v>5.0505050505050509E-3</v>
      </c>
    </row>
    <row r="212" spans="2:5" ht="15" customHeight="1" x14ac:dyDescent="0.25">
      <c r="B212" s="81"/>
      <c r="C212" s="45" t="s">
        <v>116</v>
      </c>
      <c r="D212" s="44">
        <v>2</v>
      </c>
      <c r="E212" s="43">
        <v>5.0505050505050509E-3</v>
      </c>
    </row>
    <row r="213" spans="2:5" ht="15" customHeight="1" x14ac:dyDescent="0.25">
      <c r="B213" s="82"/>
      <c r="C213" s="42" t="s">
        <v>20</v>
      </c>
      <c r="D213" s="41">
        <v>16</v>
      </c>
      <c r="E213" s="40">
        <v>4.0404040404040407E-2</v>
      </c>
    </row>
    <row r="214" spans="2:5" ht="15" customHeight="1" x14ac:dyDescent="0.25">
      <c r="B214" s="80" t="s">
        <v>87</v>
      </c>
      <c r="C214" s="45" t="s">
        <v>124</v>
      </c>
      <c r="D214" s="44">
        <v>1</v>
      </c>
      <c r="E214" s="43">
        <v>2.5252525252525255E-3</v>
      </c>
    </row>
    <row r="215" spans="2:5" ht="15" customHeight="1" x14ac:dyDescent="0.25">
      <c r="B215" s="81"/>
      <c r="C215" s="45" t="s">
        <v>123</v>
      </c>
      <c r="D215" s="44">
        <v>1</v>
      </c>
      <c r="E215" s="43">
        <v>2.5252525252525255E-3</v>
      </c>
    </row>
    <row r="216" spans="2:5" ht="15" customHeight="1" x14ac:dyDescent="0.25">
      <c r="B216" s="81"/>
      <c r="C216" s="45" t="s">
        <v>119</v>
      </c>
      <c r="D216" s="44">
        <v>2</v>
      </c>
      <c r="E216" s="43">
        <v>5.0505050505050509E-3</v>
      </c>
    </row>
    <row r="217" spans="2:5" ht="15" customHeight="1" x14ac:dyDescent="0.25">
      <c r="B217" s="81"/>
      <c r="C217" s="45" t="s">
        <v>117</v>
      </c>
      <c r="D217" s="44">
        <v>1</v>
      </c>
      <c r="E217" s="43">
        <v>2.5252525252525255E-3</v>
      </c>
    </row>
    <row r="218" spans="2:5" ht="15" customHeight="1" x14ac:dyDescent="0.25">
      <c r="B218" s="81"/>
      <c r="C218" s="45" t="s">
        <v>116</v>
      </c>
      <c r="D218" s="44">
        <v>3</v>
      </c>
      <c r="E218" s="43">
        <v>7.575757575757576E-3</v>
      </c>
    </row>
    <row r="219" spans="2:5" ht="15" customHeight="1" x14ac:dyDescent="0.25">
      <c r="B219" s="82"/>
      <c r="C219" s="42" t="s">
        <v>20</v>
      </c>
      <c r="D219" s="41">
        <v>8</v>
      </c>
      <c r="E219" s="40">
        <v>2.0202020202020204E-2</v>
      </c>
    </row>
    <row r="220" spans="2:5" ht="15" customHeight="1" x14ac:dyDescent="0.25">
      <c r="B220" s="80" t="s">
        <v>65</v>
      </c>
      <c r="C220" s="45" t="s">
        <v>119</v>
      </c>
      <c r="D220" s="44">
        <v>2</v>
      </c>
      <c r="E220" s="43">
        <v>5.0505050505050509E-3</v>
      </c>
    </row>
    <row r="221" spans="2:5" ht="15" customHeight="1" x14ac:dyDescent="0.25">
      <c r="B221" s="81"/>
      <c r="C221" s="45" t="s">
        <v>116</v>
      </c>
      <c r="D221" s="44">
        <v>2</v>
      </c>
      <c r="E221" s="43">
        <v>5.0505050505050509E-3</v>
      </c>
    </row>
    <row r="222" spans="2:5" ht="15" customHeight="1" x14ac:dyDescent="0.25">
      <c r="B222" s="81"/>
      <c r="C222" s="45" t="s">
        <v>112</v>
      </c>
      <c r="D222" s="44">
        <v>1</v>
      </c>
      <c r="E222" s="43">
        <v>2.5252525252525255E-3</v>
      </c>
    </row>
    <row r="223" spans="2:5" ht="15" customHeight="1" x14ac:dyDescent="0.25">
      <c r="B223" s="81"/>
      <c r="C223" s="45" t="s">
        <v>111</v>
      </c>
      <c r="D223" s="44">
        <v>2</v>
      </c>
      <c r="E223" s="43">
        <v>5.0505050505050509E-3</v>
      </c>
    </row>
    <row r="224" spans="2:5" ht="15" customHeight="1" x14ac:dyDescent="0.25">
      <c r="B224" s="82"/>
      <c r="C224" s="42" t="s">
        <v>20</v>
      </c>
      <c r="D224" s="41">
        <v>7</v>
      </c>
      <c r="E224" s="40">
        <v>1.7676767676767676E-2</v>
      </c>
    </row>
    <row r="225" spans="2:5" ht="15" customHeight="1" x14ac:dyDescent="0.25">
      <c r="B225" s="80" t="s">
        <v>35</v>
      </c>
      <c r="C225" s="45" t="s">
        <v>124</v>
      </c>
      <c r="D225" s="44">
        <v>1</v>
      </c>
      <c r="E225" s="43">
        <v>2.5252525252525255E-3</v>
      </c>
    </row>
    <row r="226" spans="2:5" ht="15" customHeight="1" x14ac:dyDescent="0.25">
      <c r="B226" s="81"/>
      <c r="C226" s="45" t="s">
        <v>119</v>
      </c>
      <c r="D226" s="44">
        <v>3</v>
      </c>
      <c r="E226" s="43">
        <v>7.575757575757576E-3</v>
      </c>
    </row>
    <row r="227" spans="2:5" ht="15" customHeight="1" x14ac:dyDescent="0.25">
      <c r="B227" s="81"/>
      <c r="C227" s="45" t="s">
        <v>116</v>
      </c>
      <c r="D227" s="44">
        <v>5</v>
      </c>
      <c r="E227" s="43">
        <v>1.2626262626262626E-2</v>
      </c>
    </row>
    <row r="228" spans="2:5" ht="15" customHeight="1" x14ac:dyDescent="0.25">
      <c r="B228" s="82"/>
      <c r="C228" s="42" t="s">
        <v>20</v>
      </c>
      <c r="D228" s="41">
        <v>9</v>
      </c>
      <c r="E228" s="40">
        <v>2.2727272727272728E-2</v>
      </c>
    </row>
    <row r="229" spans="2:5" ht="15" customHeight="1" x14ac:dyDescent="0.25">
      <c r="B229" s="83" t="s">
        <v>20</v>
      </c>
      <c r="C229" s="84"/>
      <c r="D229" s="39">
        <v>396</v>
      </c>
      <c r="E229" s="38">
        <v>1</v>
      </c>
    </row>
    <row r="231" spans="2:5" ht="15" customHeight="1" x14ac:dyDescent="0.25">
      <c r="B231" s="19" t="s">
        <v>170</v>
      </c>
    </row>
    <row r="232" spans="2:5" ht="15" customHeight="1" x14ac:dyDescent="0.25">
      <c r="B232" s="21" t="s">
        <v>19</v>
      </c>
    </row>
    <row r="233" spans="2:5" ht="15" customHeight="1" x14ac:dyDescent="0.25">
      <c r="B233" s="20" t="s">
        <v>18</v>
      </c>
    </row>
    <row r="234" spans="2:5" ht="15" customHeight="1" x14ac:dyDescent="0.25">
      <c r="B234" s="19" t="s">
        <v>17</v>
      </c>
    </row>
    <row r="235" spans="2:5" ht="15" customHeight="1" x14ac:dyDescent="0.25">
      <c r="B235" s="19" t="s">
        <v>171</v>
      </c>
    </row>
  </sheetData>
  <mergeCells count="42">
    <mergeCell ref="B225:B228"/>
    <mergeCell ref="B229:C229"/>
    <mergeCell ref="B180:B181"/>
    <mergeCell ref="B182:B186"/>
    <mergeCell ref="B187:B189"/>
    <mergeCell ref="B190:B205"/>
    <mergeCell ref="B206:B213"/>
    <mergeCell ref="B152:B155"/>
    <mergeCell ref="B156:B166"/>
    <mergeCell ref="B167:B170"/>
    <mergeCell ref="B171:B174"/>
    <mergeCell ref="B175:B179"/>
    <mergeCell ref="B10:B13"/>
    <mergeCell ref="B14:B21"/>
    <mergeCell ref="B22:B27"/>
    <mergeCell ref="B28:B33"/>
    <mergeCell ref="B34:B39"/>
    <mergeCell ref="B40:B47"/>
    <mergeCell ref="B48:B52"/>
    <mergeCell ref="B53:B57"/>
    <mergeCell ref="B58:B59"/>
    <mergeCell ref="B60:B63"/>
    <mergeCell ref="B7:E8"/>
    <mergeCell ref="B91:B93"/>
    <mergeCell ref="B94:B96"/>
    <mergeCell ref="B97:B105"/>
    <mergeCell ref="B106:B114"/>
    <mergeCell ref="B115:B117"/>
    <mergeCell ref="B118:B122"/>
    <mergeCell ref="B123:B124"/>
    <mergeCell ref="B125:B129"/>
    <mergeCell ref="B64:B67"/>
    <mergeCell ref="B68:B78"/>
    <mergeCell ref="B79:B86"/>
    <mergeCell ref="B87:B90"/>
    <mergeCell ref="B130:B134"/>
    <mergeCell ref="B135:B136"/>
    <mergeCell ref="B137:B145"/>
    <mergeCell ref="B146:B147"/>
    <mergeCell ref="B148:B151"/>
    <mergeCell ref="B214:B219"/>
    <mergeCell ref="B220:B2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J22" sqref="J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175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142</v>
      </c>
      <c r="C11" s="31" t="s">
        <v>55</v>
      </c>
      <c r="D11" s="30" t="s">
        <v>54</v>
      </c>
    </row>
    <row r="12" spans="1:5" x14ac:dyDescent="0.25">
      <c r="B12" s="27" t="s">
        <v>141</v>
      </c>
      <c r="C12" s="26">
        <v>278</v>
      </c>
      <c r="D12" s="25">
        <v>0.69499999999999995</v>
      </c>
    </row>
    <row r="13" spans="1:5" x14ac:dyDescent="0.25">
      <c r="B13" s="27" t="s">
        <v>140</v>
      </c>
      <c r="C13" s="26">
        <v>122</v>
      </c>
      <c r="D13" s="25">
        <v>0.30499999999999999</v>
      </c>
    </row>
    <row r="14" spans="1:5" x14ac:dyDescent="0.25">
      <c r="B14" s="24" t="s">
        <v>139</v>
      </c>
      <c r="C14" s="23">
        <v>400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170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28"/>
  <sheetViews>
    <sheetView showGridLines="0" topLeftCell="A7" zoomScale="96" zoomScaleNormal="96" zoomScaleSheetLayoutView="100" workbookViewId="0">
      <selection activeCell="I24" sqref="I24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176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97</v>
      </c>
      <c r="C11" s="65" t="s">
        <v>142</v>
      </c>
      <c r="D11" s="65" t="s">
        <v>55</v>
      </c>
      <c r="E11" s="65" t="s">
        <v>54</v>
      </c>
    </row>
    <row r="12" spans="1:6" ht="13.5" x14ac:dyDescent="0.2">
      <c r="B12" s="87" t="s">
        <v>60</v>
      </c>
      <c r="C12" s="63" t="s">
        <v>144</v>
      </c>
      <c r="D12" s="26">
        <v>4</v>
      </c>
      <c r="E12" s="25">
        <v>0.01</v>
      </c>
    </row>
    <row r="13" spans="1:6" ht="13.5" x14ac:dyDescent="0.2">
      <c r="B13" s="89"/>
      <c r="C13" s="92" t="s">
        <v>20</v>
      </c>
      <c r="D13" s="93">
        <v>4</v>
      </c>
      <c r="E13" s="94">
        <v>0.01</v>
      </c>
    </row>
    <row r="14" spans="1:6" ht="13.5" x14ac:dyDescent="0.2">
      <c r="B14" s="87" t="s">
        <v>92</v>
      </c>
      <c r="C14" s="63" t="s">
        <v>144</v>
      </c>
      <c r="D14" s="26">
        <v>23</v>
      </c>
      <c r="E14" s="25">
        <v>5.7500000000000002E-2</v>
      </c>
    </row>
    <row r="15" spans="1:6" ht="13.5" x14ac:dyDescent="0.2">
      <c r="B15" s="88"/>
      <c r="C15" s="63" t="s">
        <v>143</v>
      </c>
      <c r="D15" s="26">
        <v>8</v>
      </c>
      <c r="E15" s="25">
        <v>0.02</v>
      </c>
    </row>
    <row r="16" spans="1:6" ht="13.5" x14ac:dyDescent="0.2">
      <c r="B16" s="89"/>
      <c r="C16" s="92" t="s">
        <v>20</v>
      </c>
      <c r="D16" s="93">
        <v>31</v>
      </c>
      <c r="E16" s="94">
        <v>7.7499999999999999E-2</v>
      </c>
    </row>
    <row r="17" spans="2:5" ht="13.5" x14ac:dyDescent="0.2">
      <c r="B17" s="87" t="s">
        <v>82</v>
      </c>
      <c r="C17" s="63" t="s">
        <v>144</v>
      </c>
      <c r="D17" s="26">
        <v>3</v>
      </c>
      <c r="E17" s="25">
        <v>7.4999999999999997E-3</v>
      </c>
    </row>
    <row r="18" spans="2:5" ht="13.5" x14ac:dyDescent="0.2">
      <c r="B18" s="88"/>
      <c r="C18" s="63" t="s">
        <v>143</v>
      </c>
      <c r="D18" s="26">
        <v>3</v>
      </c>
      <c r="E18" s="25">
        <v>7.4999999999999997E-3</v>
      </c>
    </row>
    <row r="19" spans="2:5" ht="13.5" x14ac:dyDescent="0.2">
      <c r="B19" s="89"/>
      <c r="C19" s="92" t="s">
        <v>20</v>
      </c>
      <c r="D19" s="93">
        <v>6</v>
      </c>
      <c r="E19" s="94">
        <v>1.4999999999999999E-2</v>
      </c>
    </row>
    <row r="20" spans="2:5" ht="13.5" x14ac:dyDescent="0.2">
      <c r="B20" s="87" t="s">
        <v>59</v>
      </c>
      <c r="C20" s="63" t="s">
        <v>144</v>
      </c>
      <c r="D20" s="26">
        <v>4</v>
      </c>
      <c r="E20" s="25">
        <v>0.01</v>
      </c>
    </row>
    <row r="21" spans="2:5" ht="13.5" x14ac:dyDescent="0.2">
      <c r="B21" s="88"/>
      <c r="C21" s="63" t="s">
        <v>143</v>
      </c>
      <c r="D21" s="26">
        <v>3</v>
      </c>
      <c r="E21" s="25">
        <v>7.4999999999999997E-3</v>
      </c>
    </row>
    <row r="22" spans="2:5" ht="13.5" x14ac:dyDescent="0.2">
      <c r="B22" s="89"/>
      <c r="C22" s="92" t="s">
        <v>20</v>
      </c>
      <c r="D22" s="93">
        <v>7</v>
      </c>
      <c r="E22" s="94">
        <v>1.7500000000000002E-2</v>
      </c>
    </row>
    <row r="23" spans="2:5" ht="13.5" x14ac:dyDescent="0.2">
      <c r="B23" s="87" t="s">
        <v>95</v>
      </c>
      <c r="C23" s="63" t="s">
        <v>144</v>
      </c>
      <c r="D23" s="26">
        <v>10</v>
      </c>
      <c r="E23" s="25">
        <v>2.5000000000000001E-2</v>
      </c>
    </row>
    <row r="24" spans="2:5" ht="13.5" x14ac:dyDescent="0.2">
      <c r="B24" s="88"/>
      <c r="C24" s="63" t="s">
        <v>143</v>
      </c>
      <c r="D24" s="26">
        <v>7</v>
      </c>
      <c r="E24" s="25">
        <v>1.7500000000000002E-2</v>
      </c>
    </row>
    <row r="25" spans="2:5" ht="13.5" x14ac:dyDescent="0.2">
      <c r="B25" s="89"/>
      <c r="C25" s="92" t="s">
        <v>20</v>
      </c>
      <c r="D25" s="93">
        <v>17</v>
      </c>
      <c r="E25" s="94">
        <v>4.2500000000000003E-2</v>
      </c>
    </row>
    <row r="26" spans="2:5" ht="13.5" x14ac:dyDescent="0.2">
      <c r="B26" s="87" t="s">
        <v>93</v>
      </c>
      <c r="C26" s="63" t="s">
        <v>144</v>
      </c>
      <c r="D26" s="26">
        <v>13</v>
      </c>
      <c r="E26" s="25">
        <v>3.2500000000000001E-2</v>
      </c>
    </row>
    <row r="27" spans="2:5" ht="13.5" x14ac:dyDescent="0.2">
      <c r="B27" s="88"/>
      <c r="C27" s="63" t="s">
        <v>143</v>
      </c>
      <c r="D27" s="26">
        <v>6</v>
      </c>
      <c r="E27" s="25">
        <v>1.4999999999999999E-2</v>
      </c>
    </row>
    <row r="28" spans="2:5" ht="13.5" x14ac:dyDescent="0.2">
      <c r="B28" s="89"/>
      <c r="C28" s="92" t="s">
        <v>20</v>
      </c>
      <c r="D28" s="93">
        <v>19</v>
      </c>
      <c r="E28" s="94">
        <v>4.7500000000000001E-2</v>
      </c>
    </row>
    <row r="29" spans="2:5" ht="13.5" x14ac:dyDescent="0.2">
      <c r="B29" s="87" t="s">
        <v>77</v>
      </c>
      <c r="C29" s="63" t="s">
        <v>144</v>
      </c>
      <c r="D29" s="26">
        <v>6</v>
      </c>
      <c r="E29" s="25">
        <v>1.4999999999999999E-2</v>
      </c>
    </row>
    <row r="30" spans="2:5" ht="13.5" x14ac:dyDescent="0.2">
      <c r="B30" s="88"/>
      <c r="C30" s="63" t="s">
        <v>143</v>
      </c>
      <c r="D30" s="26">
        <v>1</v>
      </c>
      <c r="E30" s="25">
        <v>2.5000000000000001E-3</v>
      </c>
    </row>
    <row r="31" spans="2:5" ht="13.5" x14ac:dyDescent="0.2">
      <c r="B31" s="89"/>
      <c r="C31" s="92" t="s">
        <v>20</v>
      </c>
      <c r="D31" s="93">
        <v>7</v>
      </c>
      <c r="E31" s="94">
        <v>1.7500000000000002E-2</v>
      </c>
    </row>
    <row r="32" spans="2:5" ht="13.5" x14ac:dyDescent="0.2">
      <c r="B32" s="87" t="s">
        <v>63</v>
      </c>
      <c r="C32" s="63" t="s">
        <v>144</v>
      </c>
      <c r="D32" s="26">
        <v>3</v>
      </c>
      <c r="E32" s="25">
        <v>7.4999999999999997E-3</v>
      </c>
    </row>
    <row r="33" spans="2:5" ht="13.5" x14ac:dyDescent="0.2">
      <c r="B33" s="88"/>
      <c r="C33" s="63" t="s">
        <v>143</v>
      </c>
      <c r="D33" s="26">
        <v>3</v>
      </c>
      <c r="E33" s="25">
        <v>7.4999999999999997E-3</v>
      </c>
    </row>
    <row r="34" spans="2:5" ht="13.5" x14ac:dyDescent="0.2">
      <c r="B34" s="89"/>
      <c r="C34" s="92" t="s">
        <v>20</v>
      </c>
      <c r="D34" s="93">
        <v>6</v>
      </c>
      <c r="E34" s="94">
        <v>1.4999999999999999E-2</v>
      </c>
    </row>
    <row r="35" spans="2:5" ht="13.5" x14ac:dyDescent="0.2">
      <c r="B35" s="87" t="s">
        <v>61</v>
      </c>
      <c r="C35" s="63" t="s">
        <v>144</v>
      </c>
      <c r="D35" s="26">
        <v>1</v>
      </c>
      <c r="E35" s="25">
        <v>2.5000000000000001E-3</v>
      </c>
    </row>
    <row r="36" spans="2:5" ht="13.5" x14ac:dyDescent="0.2">
      <c r="B36" s="89"/>
      <c r="C36" s="92" t="s">
        <v>20</v>
      </c>
      <c r="D36" s="93">
        <v>1</v>
      </c>
      <c r="E36" s="94">
        <v>2.5000000000000001E-3</v>
      </c>
    </row>
    <row r="37" spans="2:5" ht="13.5" x14ac:dyDescent="0.2">
      <c r="B37" s="87" t="s">
        <v>74</v>
      </c>
      <c r="C37" s="63" t="s">
        <v>144</v>
      </c>
      <c r="D37" s="26">
        <v>2</v>
      </c>
      <c r="E37" s="25">
        <v>5.0000000000000001E-3</v>
      </c>
    </row>
    <row r="38" spans="2:5" ht="13.5" x14ac:dyDescent="0.2">
      <c r="B38" s="88"/>
      <c r="C38" s="63" t="s">
        <v>143</v>
      </c>
      <c r="D38" s="26">
        <v>1</v>
      </c>
      <c r="E38" s="25">
        <v>2.5000000000000001E-3</v>
      </c>
    </row>
    <row r="39" spans="2:5" ht="13.5" x14ac:dyDescent="0.2">
      <c r="B39" s="89"/>
      <c r="C39" s="92" t="s">
        <v>20</v>
      </c>
      <c r="D39" s="93">
        <v>3</v>
      </c>
      <c r="E39" s="94">
        <v>7.4999999999999997E-3</v>
      </c>
    </row>
    <row r="40" spans="2:5" ht="13.5" x14ac:dyDescent="0.2">
      <c r="B40" s="87" t="s">
        <v>90</v>
      </c>
      <c r="C40" s="63" t="s">
        <v>144</v>
      </c>
      <c r="D40" s="26">
        <v>4</v>
      </c>
      <c r="E40" s="25">
        <v>0.01</v>
      </c>
    </row>
    <row r="41" spans="2:5" ht="13.5" x14ac:dyDescent="0.2">
      <c r="B41" s="88"/>
      <c r="C41" s="63" t="s">
        <v>143</v>
      </c>
      <c r="D41" s="26">
        <v>1</v>
      </c>
      <c r="E41" s="25">
        <v>2.5000000000000001E-3</v>
      </c>
    </row>
    <row r="42" spans="2:5" ht="13.5" x14ac:dyDescent="0.2">
      <c r="B42" s="89"/>
      <c r="C42" s="92" t="s">
        <v>20</v>
      </c>
      <c r="D42" s="93">
        <v>5</v>
      </c>
      <c r="E42" s="94">
        <v>1.2500000000000001E-2</v>
      </c>
    </row>
    <row r="43" spans="2:5" ht="13.5" x14ac:dyDescent="0.2">
      <c r="B43" s="87" t="s">
        <v>94</v>
      </c>
      <c r="C43" s="63" t="s">
        <v>144</v>
      </c>
      <c r="D43" s="26">
        <v>19</v>
      </c>
      <c r="E43" s="25">
        <v>4.7500000000000001E-2</v>
      </c>
    </row>
    <row r="44" spans="2:5" ht="13.5" x14ac:dyDescent="0.2">
      <c r="B44" s="88"/>
      <c r="C44" s="63" t="s">
        <v>143</v>
      </c>
      <c r="D44" s="26">
        <v>9</v>
      </c>
      <c r="E44" s="25">
        <v>2.2499999999999999E-2</v>
      </c>
    </row>
    <row r="45" spans="2:5" ht="13.5" x14ac:dyDescent="0.2">
      <c r="B45" s="89"/>
      <c r="C45" s="92" t="s">
        <v>20</v>
      </c>
      <c r="D45" s="93">
        <v>28</v>
      </c>
      <c r="E45" s="94">
        <v>7.0000000000000007E-2</v>
      </c>
    </row>
    <row r="46" spans="2:5" ht="13.5" x14ac:dyDescent="0.2">
      <c r="B46" s="87" t="s">
        <v>137</v>
      </c>
      <c r="C46" s="63" t="s">
        <v>144</v>
      </c>
      <c r="D46" s="26">
        <v>10</v>
      </c>
      <c r="E46" s="25">
        <v>2.5000000000000001E-2</v>
      </c>
    </row>
    <row r="47" spans="2:5" ht="13.5" x14ac:dyDescent="0.2">
      <c r="B47" s="88"/>
      <c r="C47" s="63" t="s">
        <v>143</v>
      </c>
      <c r="D47" s="26">
        <v>4</v>
      </c>
      <c r="E47" s="25">
        <v>0.01</v>
      </c>
    </row>
    <row r="48" spans="2:5" ht="13.5" x14ac:dyDescent="0.2">
      <c r="B48" s="89"/>
      <c r="C48" s="92" t="s">
        <v>20</v>
      </c>
      <c r="D48" s="93">
        <v>14</v>
      </c>
      <c r="E48" s="94">
        <v>3.5000000000000003E-2</v>
      </c>
    </row>
    <row r="49" spans="2:5" ht="13.5" x14ac:dyDescent="0.2">
      <c r="B49" s="87" t="s">
        <v>73</v>
      </c>
      <c r="C49" s="63" t="s">
        <v>144</v>
      </c>
      <c r="D49" s="26">
        <v>3</v>
      </c>
      <c r="E49" s="25">
        <v>7.4999999999999997E-3</v>
      </c>
    </row>
    <row r="50" spans="2:5" ht="13.5" x14ac:dyDescent="0.2">
      <c r="B50" s="89"/>
      <c r="C50" s="92" t="s">
        <v>20</v>
      </c>
      <c r="D50" s="93">
        <v>3</v>
      </c>
      <c r="E50" s="94">
        <v>7.4999999999999997E-3</v>
      </c>
    </row>
    <row r="51" spans="2:5" ht="13.5" x14ac:dyDescent="0.2">
      <c r="B51" s="87" t="s">
        <v>58</v>
      </c>
      <c r="C51" s="63" t="s">
        <v>143</v>
      </c>
      <c r="D51" s="26">
        <v>2</v>
      </c>
      <c r="E51" s="25">
        <v>5.0000000000000001E-3</v>
      </c>
    </row>
    <row r="52" spans="2:5" ht="13.5" x14ac:dyDescent="0.2">
      <c r="B52" s="89"/>
      <c r="C52" s="92" t="s">
        <v>20</v>
      </c>
      <c r="D52" s="93">
        <v>2</v>
      </c>
      <c r="E52" s="94">
        <v>5.0000000000000001E-3</v>
      </c>
    </row>
    <row r="53" spans="2:5" ht="13.5" x14ac:dyDescent="0.2">
      <c r="B53" s="87" t="s">
        <v>80</v>
      </c>
      <c r="C53" s="63" t="s">
        <v>144</v>
      </c>
      <c r="D53" s="26">
        <v>2</v>
      </c>
      <c r="E53" s="25">
        <v>5.0000000000000001E-3</v>
      </c>
    </row>
    <row r="54" spans="2:5" ht="13.5" x14ac:dyDescent="0.2">
      <c r="B54" s="88"/>
      <c r="C54" s="63" t="s">
        <v>143</v>
      </c>
      <c r="D54" s="26">
        <v>1</v>
      </c>
      <c r="E54" s="25">
        <v>2.5000000000000001E-3</v>
      </c>
    </row>
    <row r="55" spans="2:5" ht="13.5" x14ac:dyDescent="0.2">
      <c r="B55" s="89"/>
      <c r="C55" s="92" t="s">
        <v>20</v>
      </c>
      <c r="D55" s="93">
        <v>3</v>
      </c>
      <c r="E55" s="94">
        <v>7.4999999999999997E-3</v>
      </c>
    </row>
    <row r="56" spans="2:5" ht="13.5" x14ac:dyDescent="0.2">
      <c r="B56" s="87" t="s">
        <v>84</v>
      </c>
      <c r="C56" s="63" t="s">
        <v>144</v>
      </c>
      <c r="D56" s="26">
        <v>11</v>
      </c>
      <c r="E56" s="25">
        <v>2.75E-2</v>
      </c>
    </row>
    <row r="57" spans="2:5" ht="13.5" x14ac:dyDescent="0.2">
      <c r="B57" s="88"/>
      <c r="C57" s="63" t="s">
        <v>143</v>
      </c>
      <c r="D57" s="26">
        <v>6</v>
      </c>
      <c r="E57" s="25">
        <v>1.4999999999999999E-2</v>
      </c>
    </row>
    <row r="58" spans="2:5" ht="13.5" x14ac:dyDescent="0.2">
      <c r="B58" s="89"/>
      <c r="C58" s="92" t="s">
        <v>20</v>
      </c>
      <c r="D58" s="93">
        <v>17</v>
      </c>
      <c r="E58" s="94">
        <v>4.2500000000000003E-2</v>
      </c>
    </row>
    <row r="59" spans="2:5" ht="13.5" x14ac:dyDescent="0.2">
      <c r="B59" s="87" t="s">
        <v>136</v>
      </c>
      <c r="C59" s="63" t="s">
        <v>144</v>
      </c>
      <c r="D59" s="26">
        <v>10</v>
      </c>
      <c r="E59" s="25">
        <v>2.5000000000000001E-2</v>
      </c>
    </row>
    <row r="60" spans="2:5" ht="13.5" x14ac:dyDescent="0.2">
      <c r="B60" s="88"/>
      <c r="C60" s="63" t="s">
        <v>143</v>
      </c>
      <c r="D60" s="26">
        <v>5</v>
      </c>
      <c r="E60" s="25">
        <v>1.2500000000000001E-2</v>
      </c>
    </row>
    <row r="61" spans="2:5" ht="13.5" x14ac:dyDescent="0.2">
      <c r="B61" s="89"/>
      <c r="C61" s="92" t="s">
        <v>20</v>
      </c>
      <c r="D61" s="93">
        <v>15</v>
      </c>
      <c r="E61" s="94">
        <v>3.7499999999999999E-2</v>
      </c>
    </row>
    <row r="62" spans="2:5" ht="13.5" x14ac:dyDescent="0.2">
      <c r="B62" s="87" t="s">
        <v>135</v>
      </c>
      <c r="C62" s="63" t="s">
        <v>144</v>
      </c>
      <c r="D62" s="26">
        <v>3</v>
      </c>
      <c r="E62" s="25">
        <v>7.4999999999999997E-3</v>
      </c>
    </row>
    <row r="63" spans="2:5" ht="13.5" x14ac:dyDescent="0.2">
      <c r="B63" s="88"/>
      <c r="C63" s="63" t="s">
        <v>143</v>
      </c>
      <c r="D63" s="26">
        <v>2</v>
      </c>
      <c r="E63" s="25">
        <v>5.0000000000000001E-3</v>
      </c>
    </row>
    <row r="64" spans="2:5" ht="13.5" x14ac:dyDescent="0.2">
      <c r="B64" s="89"/>
      <c r="C64" s="92" t="s">
        <v>20</v>
      </c>
      <c r="D64" s="93">
        <v>5</v>
      </c>
      <c r="E64" s="94">
        <v>1.2500000000000001E-2</v>
      </c>
    </row>
    <row r="65" spans="2:5" ht="13.5" x14ac:dyDescent="0.2">
      <c r="B65" s="87" t="s">
        <v>70</v>
      </c>
      <c r="C65" s="63" t="s">
        <v>144</v>
      </c>
      <c r="D65" s="26">
        <v>7</v>
      </c>
      <c r="E65" s="25">
        <v>1.7500000000000002E-2</v>
      </c>
    </row>
    <row r="66" spans="2:5" ht="13.5" x14ac:dyDescent="0.2">
      <c r="B66" s="88"/>
      <c r="C66" s="63" t="s">
        <v>143</v>
      </c>
      <c r="D66" s="26">
        <v>1</v>
      </c>
      <c r="E66" s="25">
        <v>2.5000000000000001E-3</v>
      </c>
    </row>
    <row r="67" spans="2:5" ht="13.5" x14ac:dyDescent="0.2">
      <c r="B67" s="89"/>
      <c r="C67" s="92" t="s">
        <v>20</v>
      </c>
      <c r="D67" s="93">
        <v>8</v>
      </c>
      <c r="E67" s="94">
        <v>0.02</v>
      </c>
    </row>
    <row r="68" spans="2:5" ht="13.5" x14ac:dyDescent="0.2">
      <c r="B68" s="87" t="s">
        <v>69</v>
      </c>
      <c r="C68" s="63" t="s">
        <v>144</v>
      </c>
      <c r="D68" s="26">
        <v>1</v>
      </c>
      <c r="E68" s="25">
        <v>2.5000000000000001E-3</v>
      </c>
    </row>
    <row r="69" spans="2:5" ht="13.5" x14ac:dyDescent="0.2">
      <c r="B69" s="88"/>
      <c r="C69" s="63" t="s">
        <v>143</v>
      </c>
      <c r="D69" s="26">
        <v>1</v>
      </c>
      <c r="E69" s="25">
        <v>2.5000000000000001E-3</v>
      </c>
    </row>
    <row r="70" spans="2:5" ht="13.5" x14ac:dyDescent="0.2">
      <c r="B70" s="89"/>
      <c r="C70" s="92" t="s">
        <v>20</v>
      </c>
      <c r="D70" s="93">
        <v>2</v>
      </c>
      <c r="E70" s="94">
        <v>5.0000000000000001E-3</v>
      </c>
    </row>
    <row r="71" spans="2:5" ht="13.5" x14ac:dyDescent="0.2">
      <c r="B71" s="87" t="s">
        <v>62</v>
      </c>
      <c r="C71" s="63" t="s">
        <v>144</v>
      </c>
      <c r="D71" s="26">
        <v>7</v>
      </c>
      <c r="E71" s="25">
        <v>1.7500000000000002E-2</v>
      </c>
    </row>
    <row r="72" spans="2:5" ht="13.5" x14ac:dyDescent="0.2">
      <c r="B72" s="88"/>
      <c r="C72" s="63" t="s">
        <v>143</v>
      </c>
      <c r="D72" s="26">
        <v>1</v>
      </c>
      <c r="E72" s="25">
        <v>2.5000000000000001E-3</v>
      </c>
    </row>
    <row r="73" spans="2:5" ht="13.5" x14ac:dyDescent="0.2">
      <c r="B73" s="89"/>
      <c r="C73" s="92" t="s">
        <v>20</v>
      </c>
      <c r="D73" s="93">
        <v>8</v>
      </c>
      <c r="E73" s="94">
        <v>0.02</v>
      </c>
    </row>
    <row r="74" spans="2:5" ht="13.5" x14ac:dyDescent="0.2">
      <c r="B74" s="87" t="s">
        <v>91</v>
      </c>
      <c r="C74" s="63" t="s">
        <v>144</v>
      </c>
      <c r="D74" s="26">
        <v>5</v>
      </c>
      <c r="E74" s="25">
        <v>1.2500000000000001E-2</v>
      </c>
    </row>
    <row r="75" spans="2:5" ht="13.5" x14ac:dyDescent="0.2">
      <c r="B75" s="88"/>
      <c r="C75" s="63" t="s">
        <v>143</v>
      </c>
      <c r="D75" s="26">
        <v>3</v>
      </c>
      <c r="E75" s="25">
        <v>7.4999999999999997E-3</v>
      </c>
    </row>
    <row r="76" spans="2:5" ht="13.5" x14ac:dyDescent="0.2">
      <c r="B76" s="89"/>
      <c r="C76" s="92" t="s">
        <v>20</v>
      </c>
      <c r="D76" s="93">
        <v>8</v>
      </c>
      <c r="E76" s="94">
        <v>0.02</v>
      </c>
    </row>
    <row r="77" spans="2:5" ht="13.5" x14ac:dyDescent="0.2">
      <c r="B77" s="87" t="s">
        <v>64</v>
      </c>
      <c r="C77" s="63" t="s">
        <v>143</v>
      </c>
      <c r="D77" s="26">
        <v>1</v>
      </c>
      <c r="E77" s="25">
        <v>2.5000000000000001E-3</v>
      </c>
    </row>
    <row r="78" spans="2:5" ht="13.5" x14ac:dyDescent="0.2">
      <c r="B78" s="89"/>
      <c r="C78" s="92" t="s">
        <v>20</v>
      </c>
      <c r="D78" s="93">
        <v>1</v>
      </c>
      <c r="E78" s="94">
        <v>2.5000000000000001E-3</v>
      </c>
    </row>
    <row r="79" spans="2:5" ht="13.5" x14ac:dyDescent="0.2">
      <c r="B79" s="87" t="s">
        <v>83</v>
      </c>
      <c r="C79" s="63" t="s">
        <v>144</v>
      </c>
      <c r="D79" s="26">
        <v>10</v>
      </c>
      <c r="E79" s="25">
        <v>2.5000000000000001E-2</v>
      </c>
    </row>
    <row r="80" spans="2:5" ht="13.5" x14ac:dyDescent="0.2">
      <c r="B80" s="88"/>
      <c r="C80" s="63" t="s">
        <v>143</v>
      </c>
      <c r="D80" s="26">
        <v>6</v>
      </c>
      <c r="E80" s="25">
        <v>1.4999999999999999E-2</v>
      </c>
    </row>
    <row r="81" spans="2:5" ht="13.5" x14ac:dyDescent="0.2">
      <c r="B81" s="89"/>
      <c r="C81" s="92" t="s">
        <v>20</v>
      </c>
      <c r="D81" s="93">
        <v>16</v>
      </c>
      <c r="E81" s="94">
        <v>0.04</v>
      </c>
    </row>
    <row r="82" spans="2:5" ht="13.5" x14ac:dyDescent="0.2">
      <c r="B82" s="87" t="s">
        <v>79</v>
      </c>
      <c r="C82" s="63" t="s">
        <v>144</v>
      </c>
      <c r="D82" s="26">
        <v>2</v>
      </c>
      <c r="E82" s="25">
        <v>5.0000000000000001E-3</v>
      </c>
    </row>
    <row r="83" spans="2:5" ht="13.5" x14ac:dyDescent="0.2">
      <c r="B83" s="89"/>
      <c r="C83" s="92" t="s">
        <v>20</v>
      </c>
      <c r="D83" s="93">
        <v>2</v>
      </c>
      <c r="E83" s="94">
        <v>5.0000000000000001E-3</v>
      </c>
    </row>
    <row r="84" spans="2:5" ht="13.5" x14ac:dyDescent="0.2">
      <c r="B84" s="87" t="s">
        <v>67</v>
      </c>
      <c r="C84" s="63" t="s">
        <v>144</v>
      </c>
      <c r="D84" s="26">
        <v>4</v>
      </c>
      <c r="E84" s="25">
        <v>0.01</v>
      </c>
    </row>
    <row r="85" spans="2:5" ht="13.5" x14ac:dyDescent="0.2">
      <c r="B85" s="89"/>
      <c r="C85" s="92" t="s">
        <v>20</v>
      </c>
      <c r="D85" s="93">
        <v>4</v>
      </c>
      <c r="E85" s="94">
        <v>0.01</v>
      </c>
    </row>
    <row r="86" spans="2:5" ht="13.5" x14ac:dyDescent="0.2">
      <c r="B86" s="87" t="s">
        <v>71</v>
      </c>
      <c r="C86" s="63" t="s">
        <v>144</v>
      </c>
      <c r="D86" s="26">
        <v>2</v>
      </c>
      <c r="E86" s="25">
        <v>5.0000000000000001E-3</v>
      </c>
    </row>
    <row r="87" spans="2:5" ht="13.5" x14ac:dyDescent="0.2">
      <c r="B87" s="88"/>
      <c r="C87" s="63" t="s">
        <v>143</v>
      </c>
      <c r="D87" s="26">
        <v>3</v>
      </c>
      <c r="E87" s="25">
        <v>7.4999999999999997E-3</v>
      </c>
    </row>
    <row r="88" spans="2:5" ht="13.5" x14ac:dyDescent="0.2">
      <c r="B88" s="89"/>
      <c r="C88" s="92" t="s">
        <v>20</v>
      </c>
      <c r="D88" s="93">
        <v>5</v>
      </c>
      <c r="E88" s="94">
        <v>1.2500000000000001E-2</v>
      </c>
    </row>
    <row r="89" spans="2:5" ht="13.5" x14ac:dyDescent="0.2">
      <c r="B89" s="87" t="s">
        <v>89</v>
      </c>
      <c r="C89" s="63" t="s">
        <v>144</v>
      </c>
      <c r="D89" s="26">
        <v>21</v>
      </c>
      <c r="E89" s="25">
        <v>5.2499999999999998E-2</v>
      </c>
    </row>
    <row r="90" spans="2:5" ht="13.5" x14ac:dyDescent="0.2">
      <c r="B90" s="88"/>
      <c r="C90" s="63" t="s">
        <v>143</v>
      </c>
      <c r="D90" s="26">
        <v>15</v>
      </c>
      <c r="E90" s="25">
        <v>3.7499999999999999E-2</v>
      </c>
    </row>
    <row r="91" spans="2:5" ht="13.5" x14ac:dyDescent="0.2">
      <c r="B91" s="89"/>
      <c r="C91" s="92" t="s">
        <v>20</v>
      </c>
      <c r="D91" s="93">
        <v>36</v>
      </c>
      <c r="E91" s="94">
        <v>0.09</v>
      </c>
    </row>
    <row r="92" spans="2:5" ht="13.5" x14ac:dyDescent="0.2">
      <c r="B92" s="87" t="s">
        <v>81</v>
      </c>
      <c r="C92" s="63" t="s">
        <v>144</v>
      </c>
      <c r="D92" s="26">
        <v>5</v>
      </c>
      <c r="E92" s="25">
        <v>1.2500000000000001E-2</v>
      </c>
    </row>
    <row r="93" spans="2:5" ht="13.5" x14ac:dyDescent="0.2">
      <c r="B93" s="88"/>
      <c r="C93" s="63" t="s">
        <v>143</v>
      </c>
      <c r="D93" s="26">
        <v>2</v>
      </c>
      <c r="E93" s="25">
        <v>5.0000000000000001E-3</v>
      </c>
    </row>
    <row r="94" spans="2:5" ht="13.5" x14ac:dyDescent="0.2">
      <c r="B94" s="89"/>
      <c r="C94" s="92" t="s">
        <v>20</v>
      </c>
      <c r="D94" s="93">
        <v>7</v>
      </c>
      <c r="E94" s="94">
        <v>1.7500000000000002E-2</v>
      </c>
    </row>
    <row r="95" spans="2:5" ht="13.5" x14ac:dyDescent="0.2">
      <c r="B95" s="87" t="s">
        <v>66</v>
      </c>
      <c r="C95" s="63" t="s">
        <v>144</v>
      </c>
      <c r="D95" s="26">
        <v>7</v>
      </c>
      <c r="E95" s="25">
        <v>1.7500000000000002E-2</v>
      </c>
    </row>
    <row r="96" spans="2:5" ht="13.5" x14ac:dyDescent="0.2">
      <c r="B96" s="89"/>
      <c r="C96" s="92" t="s">
        <v>20</v>
      </c>
      <c r="D96" s="93">
        <v>7</v>
      </c>
      <c r="E96" s="94">
        <v>1.7500000000000002E-2</v>
      </c>
    </row>
    <row r="97" spans="2:5" ht="13.5" x14ac:dyDescent="0.2">
      <c r="B97" s="87" t="s">
        <v>68</v>
      </c>
      <c r="C97" s="63" t="s">
        <v>144</v>
      </c>
      <c r="D97" s="26">
        <v>3</v>
      </c>
      <c r="E97" s="25">
        <v>7.4999999999999997E-3</v>
      </c>
    </row>
    <row r="98" spans="2:5" ht="13.5" x14ac:dyDescent="0.2">
      <c r="B98" s="88"/>
      <c r="C98" s="63" t="s">
        <v>143</v>
      </c>
      <c r="D98" s="26">
        <v>2</v>
      </c>
      <c r="E98" s="25">
        <v>5.0000000000000001E-3</v>
      </c>
    </row>
    <row r="99" spans="2:5" ht="13.5" x14ac:dyDescent="0.2">
      <c r="B99" s="89"/>
      <c r="C99" s="92" t="s">
        <v>20</v>
      </c>
      <c r="D99" s="93">
        <v>5</v>
      </c>
      <c r="E99" s="94">
        <v>1.2500000000000001E-2</v>
      </c>
    </row>
    <row r="100" spans="2:5" ht="13.5" x14ac:dyDescent="0.2">
      <c r="B100" s="87" t="s">
        <v>76</v>
      </c>
      <c r="C100" s="63" t="s">
        <v>144</v>
      </c>
      <c r="D100" s="26">
        <v>1</v>
      </c>
      <c r="E100" s="25">
        <v>2.5000000000000001E-3</v>
      </c>
    </row>
    <row r="101" spans="2:5" ht="13.5" x14ac:dyDescent="0.2">
      <c r="B101" s="89"/>
      <c r="C101" s="92" t="s">
        <v>20</v>
      </c>
      <c r="D101" s="93">
        <v>1</v>
      </c>
      <c r="E101" s="94">
        <v>2.5000000000000001E-3</v>
      </c>
    </row>
    <row r="102" spans="2:5" ht="13.5" x14ac:dyDescent="0.2">
      <c r="B102" s="87" t="s">
        <v>88</v>
      </c>
      <c r="C102" s="63" t="s">
        <v>144</v>
      </c>
      <c r="D102" s="26">
        <v>5</v>
      </c>
      <c r="E102" s="25">
        <v>1.2500000000000001E-2</v>
      </c>
    </row>
    <row r="103" spans="2:5" ht="13.5" x14ac:dyDescent="0.2">
      <c r="B103" s="88"/>
      <c r="C103" s="63" t="s">
        <v>143</v>
      </c>
      <c r="D103" s="26">
        <v>2</v>
      </c>
      <c r="E103" s="25">
        <v>5.0000000000000001E-3</v>
      </c>
    </row>
    <row r="104" spans="2:5" ht="13.5" x14ac:dyDescent="0.2">
      <c r="B104" s="89"/>
      <c r="C104" s="92" t="s">
        <v>20</v>
      </c>
      <c r="D104" s="93">
        <v>7</v>
      </c>
      <c r="E104" s="94">
        <v>1.7500000000000002E-2</v>
      </c>
    </row>
    <row r="105" spans="2:5" ht="13.5" x14ac:dyDescent="0.2">
      <c r="B105" s="87" t="s">
        <v>72</v>
      </c>
      <c r="C105" s="63" t="s">
        <v>143</v>
      </c>
      <c r="D105" s="26">
        <v>2</v>
      </c>
      <c r="E105" s="25">
        <v>5.0000000000000001E-3</v>
      </c>
    </row>
    <row r="106" spans="2:5" ht="13.5" x14ac:dyDescent="0.2">
      <c r="B106" s="89"/>
      <c r="C106" s="92" t="s">
        <v>20</v>
      </c>
      <c r="D106" s="93">
        <v>2</v>
      </c>
      <c r="E106" s="94">
        <v>5.0000000000000001E-3</v>
      </c>
    </row>
    <row r="107" spans="2:5" ht="13.5" x14ac:dyDescent="0.2">
      <c r="B107" s="87" t="s">
        <v>85</v>
      </c>
      <c r="C107" s="63" t="s">
        <v>144</v>
      </c>
      <c r="D107" s="26">
        <v>38</v>
      </c>
      <c r="E107" s="25">
        <v>9.5000000000000001E-2</v>
      </c>
    </row>
    <row r="108" spans="2:5" ht="13.5" x14ac:dyDescent="0.2">
      <c r="B108" s="88"/>
      <c r="C108" s="63" t="s">
        <v>143</v>
      </c>
      <c r="D108" s="26">
        <v>10</v>
      </c>
      <c r="E108" s="25">
        <v>2.5000000000000001E-2</v>
      </c>
    </row>
    <row r="109" spans="2:5" ht="13.5" x14ac:dyDescent="0.2">
      <c r="B109" s="89"/>
      <c r="C109" s="92" t="s">
        <v>20</v>
      </c>
      <c r="D109" s="93">
        <v>48</v>
      </c>
      <c r="E109" s="94">
        <v>0.12</v>
      </c>
    </row>
    <row r="110" spans="2:5" ht="13.5" x14ac:dyDescent="0.2">
      <c r="B110" s="87" t="s">
        <v>134</v>
      </c>
      <c r="C110" s="63" t="s">
        <v>144</v>
      </c>
      <c r="D110" s="26">
        <v>14</v>
      </c>
      <c r="E110" s="25">
        <v>3.5000000000000003E-2</v>
      </c>
    </row>
    <row r="111" spans="2:5" ht="13.5" x14ac:dyDescent="0.2">
      <c r="B111" s="88"/>
      <c r="C111" s="63" t="s">
        <v>143</v>
      </c>
      <c r="D111" s="26">
        <v>2</v>
      </c>
      <c r="E111" s="25">
        <v>5.0000000000000001E-3</v>
      </c>
    </row>
    <row r="112" spans="2:5" ht="13.5" x14ac:dyDescent="0.2">
      <c r="B112" s="89"/>
      <c r="C112" s="92" t="s">
        <v>20</v>
      </c>
      <c r="D112" s="93">
        <v>16</v>
      </c>
      <c r="E112" s="94">
        <v>0.04</v>
      </c>
    </row>
    <row r="113" spans="2:5" ht="13.5" x14ac:dyDescent="0.2">
      <c r="B113" s="87" t="s">
        <v>87</v>
      </c>
      <c r="C113" s="63" t="s">
        <v>144</v>
      </c>
      <c r="D113" s="26">
        <v>3</v>
      </c>
      <c r="E113" s="25">
        <v>7.4999999999999997E-3</v>
      </c>
    </row>
    <row r="114" spans="2:5" ht="13.5" x14ac:dyDescent="0.2">
      <c r="B114" s="88"/>
      <c r="C114" s="63" t="s">
        <v>143</v>
      </c>
      <c r="D114" s="26">
        <v>5</v>
      </c>
      <c r="E114" s="25">
        <v>1.2500000000000001E-2</v>
      </c>
    </row>
    <row r="115" spans="2:5" ht="13.5" x14ac:dyDescent="0.2">
      <c r="B115" s="89"/>
      <c r="C115" s="92" t="s">
        <v>20</v>
      </c>
      <c r="D115" s="93">
        <v>8</v>
      </c>
      <c r="E115" s="94">
        <v>0.02</v>
      </c>
    </row>
    <row r="116" spans="2:5" ht="13.5" x14ac:dyDescent="0.2">
      <c r="B116" s="87" t="s">
        <v>65</v>
      </c>
      <c r="C116" s="63" t="s">
        <v>144</v>
      </c>
      <c r="D116" s="26">
        <v>6</v>
      </c>
      <c r="E116" s="25">
        <v>1.4999999999999999E-2</v>
      </c>
    </row>
    <row r="117" spans="2:5" ht="13.5" x14ac:dyDescent="0.2">
      <c r="B117" s="88"/>
      <c r="C117" s="63" t="s">
        <v>143</v>
      </c>
      <c r="D117" s="26">
        <v>1</v>
      </c>
      <c r="E117" s="25">
        <v>2.5000000000000001E-3</v>
      </c>
    </row>
    <row r="118" spans="2:5" ht="13.5" x14ac:dyDescent="0.2">
      <c r="B118" s="89"/>
      <c r="C118" s="92" t="s">
        <v>20</v>
      </c>
      <c r="D118" s="93">
        <v>7</v>
      </c>
      <c r="E118" s="94">
        <v>1.7500000000000002E-2</v>
      </c>
    </row>
    <row r="119" spans="2:5" ht="13.5" x14ac:dyDescent="0.2">
      <c r="B119" s="87" t="s">
        <v>35</v>
      </c>
      <c r="C119" s="63" t="s">
        <v>144</v>
      </c>
      <c r="D119" s="26">
        <v>6</v>
      </c>
      <c r="E119" s="25">
        <v>1.4999999999999999E-2</v>
      </c>
    </row>
    <row r="120" spans="2:5" ht="13.5" x14ac:dyDescent="0.2">
      <c r="B120" s="88"/>
      <c r="C120" s="63" t="s">
        <v>143</v>
      </c>
      <c r="D120" s="26">
        <v>3</v>
      </c>
      <c r="E120" s="25">
        <v>7.4999999999999997E-3</v>
      </c>
    </row>
    <row r="121" spans="2:5" ht="13.5" x14ac:dyDescent="0.2">
      <c r="B121" s="89"/>
      <c r="C121" s="92" t="s">
        <v>20</v>
      </c>
      <c r="D121" s="93">
        <v>9</v>
      </c>
      <c r="E121" s="94">
        <v>2.2499999999999999E-2</v>
      </c>
    </row>
    <row r="122" spans="2:5" ht="13.5" x14ac:dyDescent="0.2">
      <c r="B122" s="83" t="s">
        <v>139</v>
      </c>
      <c r="C122" s="84"/>
      <c r="D122" s="95">
        <v>400</v>
      </c>
      <c r="E122" s="96">
        <v>1</v>
      </c>
    </row>
    <row r="124" spans="2:5" x14ac:dyDescent="0.2">
      <c r="B124" s="19" t="s">
        <v>170</v>
      </c>
    </row>
    <row r="125" spans="2:5" x14ac:dyDescent="0.2">
      <c r="B125" s="21" t="s">
        <v>19</v>
      </c>
    </row>
    <row r="126" spans="2:5" x14ac:dyDescent="0.2">
      <c r="B126" s="20" t="s">
        <v>18</v>
      </c>
    </row>
    <row r="127" spans="2:5" x14ac:dyDescent="0.2">
      <c r="B127" s="19" t="s">
        <v>17</v>
      </c>
    </row>
    <row r="128" spans="2:5" x14ac:dyDescent="0.2">
      <c r="B128" s="19" t="s">
        <v>171</v>
      </c>
    </row>
  </sheetData>
  <mergeCells count="42">
    <mergeCell ref="B82:B83"/>
    <mergeCell ref="B84:B85"/>
    <mergeCell ref="B86:B88"/>
    <mergeCell ref="B89:B91"/>
    <mergeCell ref="B92:B94"/>
    <mergeCell ref="B12:B13"/>
    <mergeCell ref="B14:B16"/>
    <mergeCell ref="B17:B19"/>
    <mergeCell ref="B20:B22"/>
    <mergeCell ref="B23:B25"/>
    <mergeCell ref="B29:B31"/>
    <mergeCell ref="B32:B34"/>
    <mergeCell ref="B26:B28"/>
    <mergeCell ref="B8:E10"/>
    <mergeCell ref="B49:B50"/>
    <mergeCell ref="B51:B52"/>
    <mergeCell ref="B53:B55"/>
    <mergeCell ref="B56:B58"/>
    <mergeCell ref="B59:B61"/>
    <mergeCell ref="B62:B64"/>
    <mergeCell ref="B43:B45"/>
    <mergeCell ref="B46:B48"/>
    <mergeCell ref="B35:B36"/>
    <mergeCell ref="B37:B39"/>
    <mergeCell ref="B40:B42"/>
    <mergeCell ref="B107:B109"/>
    <mergeCell ref="B79:B81"/>
    <mergeCell ref="B65:B67"/>
    <mergeCell ref="B68:B70"/>
    <mergeCell ref="B71:B73"/>
    <mergeCell ref="B74:B76"/>
    <mergeCell ref="B77:B78"/>
    <mergeCell ref="B95:B96"/>
    <mergeCell ref="B97:B99"/>
    <mergeCell ref="B100:B101"/>
    <mergeCell ref="B102:B104"/>
    <mergeCell ref="B105:B106"/>
    <mergeCell ref="B110:B112"/>
    <mergeCell ref="B113:B115"/>
    <mergeCell ref="B116:B118"/>
    <mergeCell ref="B119:B121"/>
    <mergeCell ref="B122:C12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29"/>
  <sheetViews>
    <sheetView showGridLines="0" zoomScale="89" zoomScaleNormal="89" zoomScaleSheetLayoutView="100" workbookViewId="0">
      <selection activeCell="A12" sqref="A12:F29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154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142</v>
      </c>
      <c r="C11" s="65" t="s">
        <v>153</v>
      </c>
      <c r="D11" s="65" t="s">
        <v>55</v>
      </c>
      <c r="E11" s="65" t="s">
        <v>152</v>
      </c>
      <c r="F11" s="65" t="s">
        <v>151</v>
      </c>
    </row>
    <row r="12" spans="1:7" ht="13.5" x14ac:dyDescent="0.2">
      <c r="B12" s="87" t="s">
        <v>144</v>
      </c>
      <c r="C12" s="63" t="s">
        <v>150</v>
      </c>
      <c r="D12" s="26">
        <v>4</v>
      </c>
      <c r="E12" s="97">
        <v>1.4388489208633094E-2</v>
      </c>
      <c r="F12" s="25">
        <f t="shared" ref="F12:F23" si="0">D12/$D$23</f>
        <v>0.01</v>
      </c>
    </row>
    <row r="13" spans="1:7" ht="13.5" x14ac:dyDescent="0.2">
      <c r="B13" s="88"/>
      <c r="C13" s="63" t="s">
        <v>149</v>
      </c>
      <c r="D13" s="26">
        <v>85</v>
      </c>
      <c r="E13" s="97">
        <v>0.30575539568345322</v>
      </c>
      <c r="F13" s="25">
        <f t="shared" si="0"/>
        <v>0.21249999999999999</v>
      </c>
    </row>
    <row r="14" spans="1:7" ht="13.5" x14ac:dyDescent="0.2">
      <c r="B14" s="88"/>
      <c r="C14" s="63" t="s">
        <v>148</v>
      </c>
      <c r="D14" s="26">
        <v>142</v>
      </c>
      <c r="E14" s="97">
        <v>0.51079136690647486</v>
      </c>
      <c r="F14" s="25">
        <f t="shared" si="0"/>
        <v>0.35499999999999998</v>
      </c>
    </row>
    <row r="15" spans="1:7" ht="27" x14ac:dyDescent="0.2">
      <c r="B15" s="88"/>
      <c r="C15" s="63" t="s">
        <v>147</v>
      </c>
      <c r="D15" s="26">
        <v>39</v>
      </c>
      <c r="E15" s="97">
        <v>0.14028776978417265</v>
      </c>
      <c r="F15" s="25">
        <f t="shared" si="0"/>
        <v>9.7500000000000003E-2</v>
      </c>
    </row>
    <row r="16" spans="1:7" ht="13.5" x14ac:dyDescent="0.2">
      <c r="B16" s="88"/>
      <c r="C16" s="63" t="s">
        <v>146</v>
      </c>
      <c r="D16" s="26">
        <v>7</v>
      </c>
      <c r="E16" s="97">
        <v>2.5179856115107913E-2</v>
      </c>
      <c r="F16" s="25">
        <f t="shared" si="0"/>
        <v>1.7500000000000002E-2</v>
      </c>
    </row>
    <row r="17" spans="2:6" ht="13.5" x14ac:dyDescent="0.2">
      <c r="B17" s="89"/>
      <c r="C17" s="63" t="s">
        <v>145</v>
      </c>
      <c r="D17" s="26">
        <v>1</v>
      </c>
      <c r="E17" s="97">
        <v>3.5971223021582736E-3</v>
      </c>
      <c r="F17" s="25">
        <f t="shared" si="0"/>
        <v>2.5000000000000001E-3</v>
      </c>
    </row>
    <row r="18" spans="2:6" ht="13.5" x14ac:dyDescent="0.2">
      <c r="B18" s="87" t="s">
        <v>143</v>
      </c>
      <c r="C18" s="63" t="s">
        <v>150</v>
      </c>
      <c r="D18" s="26">
        <v>1</v>
      </c>
      <c r="E18" s="98">
        <v>8.1967213114754103E-3</v>
      </c>
      <c r="F18" s="25">
        <f t="shared" si="0"/>
        <v>2.5000000000000001E-3</v>
      </c>
    </row>
    <row r="19" spans="2:6" ht="13.5" x14ac:dyDescent="0.2">
      <c r="B19" s="88"/>
      <c r="C19" s="63" t="s">
        <v>149</v>
      </c>
      <c r="D19" s="26">
        <v>31</v>
      </c>
      <c r="E19" s="98">
        <v>0.25409836065573771</v>
      </c>
      <c r="F19" s="25">
        <f t="shared" si="0"/>
        <v>7.7499999999999999E-2</v>
      </c>
    </row>
    <row r="20" spans="2:6" ht="13.5" x14ac:dyDescent="0.2">
      <c r="B20" s="88"/>
      <c r="C20" s="63" t="s">
        <v>148</v>
      </c>
      <c r="D20" s="26">
        <v>66</v>
      </c>
      <c r="E20" s="98">
        <v>0.54098360655737709</v>
      </c>
      <c r="F20" s="25">
        <f t="shared" si="0"/>
        <v>0.16500000000000001</v>
      </c>
    </row>
    <row r="21" spans="2:6" ht="27" x14ac:dyDescent="0.2">
      <c r="B21" s="88"/>
      <c r="C21" s="63" t="s">
        <v>147</v>
      </c>
      <c r="D21" s="26">
        <v>23</v>
      </c>
      <c r="E21" s="98">
        <v>0.18852459016393441</v>
      </c>
      <c r="F21" s="25">
        <f t="shared" si="0"/>
        <v>5.7500000000000002E-2</v>
      </c>
    </row>
    <row r="22" spans="2:6" ht="13.5" x14ac:dyDescent="0.2">
      <c r="B22" s="89"/>
      <c r="C22" s="63" t="s">
        <v>146</v>
      </c>
      <c r="D22" s="26">
        <v>1</v>
      </c>
      <c r="E22" s="98">
        <v>8.1967213114754103E-3</v>
      </c>
      <c r="F22" s="25">
        <f t="shared" si="0"/>
        <v>2.5000000000000001E-3</v>
      </c>
    </row>
    <row r="23" spans="2:6" ht="13.5" x14ac:dyDescent="0.2">
      <c r="B23" s="99" t="s">
        <v>20</v>
      </c>
      <c r="C23" s="99"/>
      <c r="D23" s="95">
        <v>400</v>
      </c>
      <c r="E23" s="96"/>
      <c r="F23" s="96">
        <f t="shared" si="0"/>
        <v>1</v>
      </c>
    </row>
    <row r="25" spans="2:6" x14ac:dyDescent="0.2">
      <c r="B25" s="19" t="s">
        <v>170</v>
      </c>
    </row>
    <row r="26" spans="2:6" x14ac:dyDescent="0.2">
      <c r="B26" s="21" t="s">
        <v>19</v>
      </c>
    </row>
    <row r="27" spans="2:6" x14ac:dyDescent="0.2">
      <c r="B27" s="20" t="s">
        <v>18</v>
      </c>
    </row>
    <row r="28" spans="2:6" x14ac:dyDescent="0.2">
      <c r="B28" s="19" t="s">
        <v>17</v>
      </c>
    </row>
    <row r="29" spans="2:6" x14ac:dyDescent="0.2">
      <c r="B29" s="19" t="s">
        <v>171</v>
      </c>
    </row>
  </sheetData>
  <mergeCells count="3">
    <mergeCell ref="B8:F10"/>
    <mergeCell ref="B12:B17"/>
    <mergeCell ref="B18:B2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4"/>
  <sheetViews>
    <sheetView showGridLines="0" tabSelected="1" topLeftCell="A7" zoomScaleNormal="100" zoomScaleSheetLayoutView="115" workbookViewId="0">
      <selection activeCell="G25" sqref="G2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57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177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167</v>
      </c>
      <c r="C11" s="31" t="s">
        <v>55</v>
      </c>
      <c r="D11" s="30" t="s">
        <v>54</v>
      </c>
    </row>
    <row r="12" spans="1:5" x14ac:dyDescent="0.25">
      <c r="B12" s="27" t="s">
        <v>166</v>
      </c>
      <c r="C12" s="26">
        <v>234</v>
      </c>
      <c r="D12" s="25">
        <f t="shared" ref="D12:D28" si="0">C12/$C$28</f>
        <v>0.58499999999999996</v>
      </c>
    </row>
    <row r="13" spans="1:5" x14ac:dyDescent="0.25">
      <c r="B13" s="27" t="s">
        <v>165</v>
      </c>
      <c r="C13" s="26">
        <v>54</v>
      </c>
      <c r="D13" s="25">
        <f t="shared" si="0"/>
        <v>0.13500000000000001</v>
      </c>
    </row>
    <row r="14" spans="1:5" ht="15.75" x14ac:dyDescent="0.25">
      <c r="B14" s="27" t="s">
        <v>164</v>
      </c>
      <c r="C14" s="26">
        <v>39</v>
      </c>
      <c r="D14" s="25">
        <f t="shared" si="0"/>
        <v>9.7500000000000003E-2</v>
      </c>
      <c r="E14" s="28"/>
    </row>
    <row r="15" spans="1:5" ht="15.75" x14ac:dyDescent="0.25">
      <c r="B15" s="27" t="s">
        <v>162</v>
      </c>
      <c r="C15" s="26">
        <v>20</v>
      </c>
      <c r="D15" s="25">
        <f t="shared" si="0"/>
        <v>0.05</v>
      </c>
      <c r="E15" s="28"/>
    </row>
    <row r="16" spans="1:5" x14ac:dyDescent="0.25">
      <c r="B16" s="27" t="s">
        <v>163</v>
      </c>
      <c r="C16" s="26">
        <v>15</v>
      </c>
      <c r="D16" s="25">
        <f t="shared" si="0"/>
        <v>3.7499999999999999E-2</v>
      </c>
    </row>
    <row r="17" spans="1:4" x14ac:dyDescent="0.25">
      <c r="B17" s="27" t="s">
        <v>161</v>
      </c>
      <c r="C17" s="26">
        <v>11</v>
      </c>
      <c r="D17" s="25">
        <f t="shared" si="0"/>
        <v>2.75E-2</v>
      </c>
    </row>
    <row r="18" spans="1:4" x14ac:dyDescent="0.25">
      <c r="B18" s="27" t="s">
        <v>158</v>
      </c>
      <c r="C18" s="26">
        <v>6</v>
      </c>
      <c r="D18" s="25">
        <f t="shared" si="0"/>
        <v>1.4999999999999999E-2</v>
      </c>
    </row>
    <row r="19" spans="1:4" x14ac:dyDescent="0.25">
      <c r="B19" s="27" t="s">
        <v>157</v>
      </c>
      <c r="C19" s="26">
        <v>6</v>
      </c>
      <c r="D19" s="25">
        <f t="shared" si="0"/>
        <v>1.4999999999999999E-2</v>
      </c>
    </row>
    <row r="20" spans="1:4" x14ac:dyDescent="0.25">
      <c r="B20" s="27" t="s">
        <v>178</v>
      </c>
      <c r="C20" s="26">
        <v>3</v>
      </c>
      <c r="D20" s="25">
        <f t="shared" si="0"/>
        <v>7.4999999999999997E-3</v>
      </c>
    </row>
    <row r="21" spans="1:4" x14ac:dyDescent="0.25">
      <c r="B21" s="27" t="s">
        <v>159</v>
      </c>
      <c r="C21" s="26">
        <v>3</v>
      </c>
      <c r="D21" s="25">
        <f t="shared" si="0"/>
        <v>7.4999999999999997E-3</v>
      </c>
    </row>
    <row r="22" spans="1:4" x14ac:dyDescent="0.25">
      <c r="B22" s="27" t="s">
        <v>179</v>
      </c>
      <c r="C22" s="26">
        <v>2</v>
      </c>
      <c r="D22" s="25">
        <f t="shared" si="0"/>
        <v>5.0000000000000001E-3</v>
      </c>
    </row>
    <row r="23" spans="1:4" x14ac:dyDescent="0.25">
      <c r="B23" s="27" t="s">
        <v>160</v>
      </c>
      <c r="C23" s="26">
        <v>2</v>
      </c>
      <c r="D23" s="25">
        <f t="shared" si="0"/>
        <v>5.0000000000000001E-3</v>
      </c>
    </row>
    <row r="24" spans="1:4" x14ac:dyDescent="0.25">
      <c r="B24" s="27" t="s">
        <v>180</v>
      </c>
      <c r="C24" s="26">
        <v>2</v>
      </c>
      <c r="D24" s="25">
        <f t="shared" si="0"/>
        <v>5.0000000000000001E-3</v>
      </c>
    </row>
    <row r="25" spans="1:4" x14ac:dyDescent="0.25">
      <c r="B25" s="27" t="s">
        <v>181</v>
      </c>
      <c r="C25" s="26">
        <v>1</v>
      </c>
      <c r="D25" s="25">
        <f t="shared" si="0"/>
        <v>2.5000000000000001E-3</v>
      </c>
    </row>
    <row r="26" spans="1:4" x14ac:dyDescent="0.25">
      <c r="B26" s="27" t="s">
        <v>156</v>
      </c>
      <c r="C26" s="26">
        <v>1</v>
      </c>
      <c r="D26" s="25">
        <f t="shared" si="0"/>
        <v>2.5000000000000001E-3</v>
      </c>
    </row>
    <row r="27" spans="1:4" x14ac:dyDescent="0.25">
      <c r="B27" s="27" t="s">
        <v>155</v>
      </c>
      <c r="C27" s="26">
        <v>1</v>
      </c>
      <c r="D27" s="25">
        <f t="shared" si="0"/>
        <v>2.5000000000000001E-3</v>
      </c>
    </row>
    <row r="28" spans="1:4" x14ac:dyDescent="0.25">
      <c r="B28" s="24" t="s">
        <v>20</v>
      </c>
      <c r="C28" s="23">
        <v>400</v>
      </c>
      <c r="D28" s="22">
        <f t="shared" si="0"/>
        <v>1</v>
      </c>
    </row>
    <row r="30" spans="1:4" x14ac:dyDescent="0.25">
      <c r="A30" s="58" t="s">
        <v>170</v>
      </c>
    </row>
    <row r="31" spans="1:4" x14ac:dyDescent="0.25">
      <c r="A31" s="58" t="s">
        <v>19</v>
      </c>
    </row>
    <row r="32" spans="1:4" x14ac:dyDescent="0.25">
      <c r="A32" s="58" t="s">
        <v>18</v>
      </c>
    </row>
    <row r="33" spans="1:1" x14ac:dyDescent="0.25">
      <c r="A33" s="58" t="s">
        <v>17</v>
      </c>
    </row>
    <row r="34" spans="1:1" x14ac:dyDescent="0.25">
      <c r="A34" s="58" t="s">
        <v>171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2020-06-03T23:03:53Z</dcterms:created>
  <dcterms:modified xsi:type="dcterms:W3CDTF">2021-11-05T19:04:16Z</dcterms:modified>
</cp:coreProperties>
</file>