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11190" windowHeight="7095" tabRatio="797" firstSheet="1" activeTab="3"/>
  </bookViews>
  <sheets>
    <sheet name="Índice" sheetId="1" r:id="rId1"/>
    <sheet name="Campeche_EdoUsa" sheetId="2" r:id="rId2"/>
    <sheet name="Campeche_Cons" sheetId="15" r:id="rId3"/>
    <sheet name="CampecheXCons" sheetId="16" r:id="rId4"/>
    <sheet name="Campeche_EdoMun" sheetId="5" r:id="rId5"/>
    <sheet name="Campeche_USAMuni" sheetId="6" r:id="rId6"/>
    <sheet name="Campeche_MUNICIPIO" sheetId="7" r:id="rId7"/>
    <sheet name="Campeche_educ_gral" sheetId="8" r:id="rId8"/>
    <sheet name="Campeche_NivelE_Cons" sheetId="9" r:id="rId9"/>
    <sheet name="Campeche_EducCons" sheetId="10" r:id="rId10"/>
    <sheet name="Campeche_GenGral" sheetId="11" r:id="rId11"/>
    <sheet name="Campeche_GENERO" sheetId="12" r:id="rId12"/>
    <sheet name="Campeche_Gen_Edad" sheetId="13" r:id="rId13"/>
    <sheet name="Campeche_ocup_gral" sheetId="14" r:id="rId14"/>
  </sheets>
  <definedNames>
    <definedName name="_xlnm._FilterDatabase" localSheetId="2" hidden="1">Campeche_Cons!$B$11:$D$11</definedName>
    <definedName name="_xlnm._FilterDatabase" localSheetId="4" hidden="1">Campeche_EdoMun!$B$11:$D$11</definedName>
    <definedName name="_xlnm._FilterDatabase" localSheetId="1" hidden="1">Campeche_EdoUsa!$B$11:$D$11</definedName>
    <definedName name="_xlnm._FilterDatabase" localSheetId="7" hidden="1">Campeche_educ_gral!$B$11:$D$11</definedName>
    <definedName name="_xlnm._FilterDatabase" localSheetId="9" hidden="1">Campeche_EducCons!$B$9:$E$9</definedName>
    <definedName name="_xlnm._FilterDatabase" localSheetId="11" hidden="1">Campeche_GENERO!$C$11:$E$11</definedName>
    <definedName name="_xlnm._FilterDatabase" localSheetId="10" hidden="1">Campeche_GenGral!$B$11:$D$11</definedName>
    <definedName name="_xlnm._FilterDatabase" localSheetId="6" hidden="1">Campeche_MUNICIPIO!$B$9:$E$9</definedName>
    <definedName name="_xlnm._FilterDatabase" localSheetId="8" hidden="1">Campeche_NivelE_Cons!$B$9:$E$9</definedName>
    <definedName name="_xlnm._FilterDatabase" localSheetId="13" hidden="1">Campeche_ocup_gral!$B$11:$D$11</definedName>
    <definedName name="_xlnm._FilterDatabase" localSheetId="5" hidden="1">Campeche_USAMuni!$B$9:$E$9</definedName>
    <definedName name="_xlnm._FilterDatabase" localSheetId="3" hidden="1">CampecheXCons!$B$11:$D$11</definedName>
    <definedName name="_xlnm.Print_Area" localSheetId="9">Campeche_EducCons!$A$1:$E$9</definedName>
    <definedName name="_xlnm.Print_Area" localSheetId="6">Campeche_MUNICIPIO!$A$1:$E$9</definedName>
    <definedName name="_xlnm.Print_Area" localSheetId="8">Campeche_NivelE_Cons!$A$1:$E$9</definedName>
    <definedName name="_xlnm.Print_Area" localSheetId="5">Campeche_USAMuni!$A$1:$E$9</definedName>
    <definedName name="_xlnm.Print_Titles" localSheetId="2">Campeche_Cons!$1:$11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2">Campeche_Gen_Edad!$1:$11</definedName>
    <definedName name="_xlnm.Print_Titles" localSheetId="11">Campeche_GENERO!$1:$11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3">Campeche_ocup_gral!$1:$11</definedName>
    <definedName name="_xlnm.Print_Titles" localSheetId="5">Campeche_USAMuni!$1:$9</definedName>
    <definedName name="_xlnm.Print_Titles" localSheetId="3">CampecheXCons!$1:$11</definedName>
  </definedNames>
  <calcPr calcId="152511"/>
</workbook>
</file>

<file path=xl/calcChain.xml><?xml version="1.0" encoding="utf-8"?>
<calcChain xmlns="http://schemas.openxmlformats.org/spreadsheetml/2006/main">
  <c r="C22" i="16" l="1"/>
  <c r="D20" i="16" s="1"/>
  <c r="D21" i="16"/>
  <c r="D18" i="16"/>
  <c r="D17" i="16"/>
  <c r="D14" i="16"/>
  <c r="D13" i="16"/>
  <c r="D15" i="16" l="1"/>
  <c r="D19" i="16"/>
  <c r="D22" i="16"/>
  <c r="D12" i="16"/>
  <c r="D16" i="16"/>
  <c r="D35" i="8" l="1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0" i="14" l="1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5" i="13" l="1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</calcChain>
</file>

<file path=xl/sharedStrings.xml><?xml version="1.0" encoding="utf-8"?>
<sst xmlns="http://schemas.openxmlformats.org/spreadsheetml/2006/main" count="1707" uniqueCount="197">
  <si>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</si>
  <si>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</si>
  <si>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</si>
  <si>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</si>
  <si>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</si>
  <si>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</si>
  <si>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</si>
  <si>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</si>
  <si>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</si>
  <si>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</si>
  <si>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</si>
  <si>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</si>
  <si>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</si>
  <si>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</si>
  <si>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</si>
  <si>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</si>
  <si>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</si>
  <si>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</si>
  <si>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</si>
  <si>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</si>
  <si>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</si>
  <si>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</si>
  <si>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Pennsylvania</t>
  </si>
  <si>
    <t>District of Columbia</t>
  </si>
  <si>
    <t>Utah</t>
  </si>
  <si>
    <t>Kentucky</t>
  </si>
  <si>
    <t>Oregon</t>
  </si>
  <si>
    <t>Maryland</t>
  </si>
  <si>
    <t>New Mexico</t>
  </si>
  <si>
    <t>Arizona</t>
  </si>
  <si>
    <t>Ohio</t>
  </si>
  <si>
    <t>New York</t>
  </si>
  <si>
    <t>Michigan</t>
  </si>
  <si>
    <t>New Jersey</t>
  </si>
  <si>
    <t>Idaho</t>
  </si>
  <si>
    <t>Mississippi</t>
  </si>
  <si>
    <t>Wisconsin</t>
  </si>
  <si>
    <t>Minnesota</t>
  </si>
  <si>
    <t>Washington</t>
  </si>
  <si>
    <t>Virginia</t>
  </si>
  <si>
    <t>South Carolina</t>
  </si>
  <si>
    <t>Missouri</t>
  </si>
  <si>
    <t>Louisiana</t>
  </si>
  <si>
    <t>Kansas</t>
  </si>
  <si>
    <t>Nevada</t>
  </si>
  <si>
    <t>Indiana</t>
  </si>
  <si>
    <t>Arkansas</t>
  </si>
  <si>
    <t>Iowa</t>
  </si>
  <si>
    <t>Tennessee</t>
  </si>
  <si>
    <t>Illinois</t>
  </si>
  <si>
    <t>Oklahoma</t>
  </si>
  <si>
    <t>Colorado</t>
  </si>
  <si>
    <t>North Carolina</t>
  </si>
  <si>
    <t>Alabama</t>
  </si>
  <si>
    <t>Georgia</t>
  </si>
  <si>
    <t>Nebraska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</si>
  <si>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</si>
  <si>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</si>
  <si>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</si>
  <si>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</si>
  <si>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</si>
  <si>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</si>
  <si>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</si>
  <si>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Boston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</si>
  <si>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</si>
  <si>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</si>
  <si>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</si>
  <si>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</si>
  <si>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</si>
  <si>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</si>
  <si>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</si>
  <si>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</si>
  <si>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</si>
  <si>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</si>
  <si>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</si>
  <si>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</si>
  <si>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</si>
  <si>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</si>
  <si>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</si>
  <si>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</si>
  <si>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</si>
  <si>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</si>
  <si>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</si>
  <si>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</si>
  <si>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</si>
  <si>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</si>
  <si>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</si>
  <si>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</si>
  <si>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</si>
  <si>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</si>
  <si>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</si>
  <si>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</si>
  <si>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</si>
  <si>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</si>
  <si>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</si>
  <si>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</si>
  <si>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</si>
  <si>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</si>
  <si>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</si>
  <si>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</si>
  <si>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</si>
  <si>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</si>
  <si>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</si>
  <si>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</si>
  <si>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</si>
  <si>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</si>
  <si>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Tenabo</t>
  </si>
  <si>
    <t>Palizada</t>
  </si>
  <si>
    <t>Calkiní</t>
  </si>
  <si>
    <t>Hecelchakán</t>
  </si>
  <si>
    <t>Candelaria</t>
  </si>
  <si>
    <t>Hopelchén</t>
  </si>
  <si>
    <t>Escárcega</t>
  </si>
  <si>
    <t>Campeche</t>
  </si>
  <si>
    <t>Champotón</t>
  </si>
  <si>
    <t>Carmen</t>
  </si>
  <si>
    <t>Municipio de origen</t>
  </si>
  <si>
    <t>Municipio de Origen</t>
  </si>
  <si>
    <t>Estado</t>
  </si>
  <si>
    <t>Menores De Edad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</si>
  <si>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</si>
  <si>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</si>
  <si>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</si>
  <si>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</si>
  <si>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</si>
  <si>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</si>
  <si>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</si>
  <si>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</si>
  <si>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</si>
  <si>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</si>
  <si>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</si>
  <si>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</si>
  <si>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</si>
  <si>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</si>
  <si>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</si>
  <si>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</si>
  <si>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</si>
  <si>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</si>
  <si>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</si>
  <si>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</si>
  <si>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</si>
  <si>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</si>
  <si>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</si>
  <si>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</si>
  <si>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</si>
  <si>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</si>
  <si>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</si>
  <si>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</si>
  <si>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</si>
  <si>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</si>
  <si>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</si>
  <si>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</si>
  <si>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</si>
  <si>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</si>
  <si>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</si>
  <si>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</si>
  <si>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</si>
  <si>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</si>
  <si>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</si>
  <si>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</si>
  <si>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</si>
  <si>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</si>
  <si>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</si>
  <si>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</si>
  <si>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CAMPECHE POR GÉNERO Y EDAD EN EE.UU.</t>
  </si>
  <si>
    <t>Jubilado(a)</t>
  </si>
  <si>
    <t>Chofer</t>
  </si>
  <si>
    <t>Cajero(a)</t>
  </si>
  <si>
    <t>Profesionista</t>
  </si>
  <si>
    <t>Mesero(a)</t>
  </si>
  <si>
    <t>Comerciante</t>
  </si>
  <si>
    <t>Operario(a)</t>
  </si>
  <si>
    <t>Pintor(a)</t>
  </si>
  <si>
    <t>Campesino(a)</t>
  </si>
  <si>
    <t>Albañil</t>
  </si>
  <si>
    <t>Jardinero(a)</t>
  </si>
  <si>
    <t>Cocinero(a)</t>
  </si>
  <si>
    <t>Otro</t>
  </si>
  <si>
    <t>Estudiante</t>
  </si>
  <si>
    <t>Obrero(a)</t>
  </si>
  <si>
    <t>Hogar</t>
  </si>
  <si>
    <t>Empleado(a)</t>
  </si>
  <si>
    <t>Ocupación</t>
  </si>
  <si>
    <t>Matrículas consulares expedidas a originarios de Campeche en el 2020.</t>
  </si>
  <si>
    <t>MATRÍCULAS CONSULARES DE ALTA SEGURIDAD EXPEDIDAS A ORIGINARIOS DE CAMPECHE POR ESTADO DE LA UNIÓN AMERICANA. DURANTE EL 2020</t>
  </si>
  <si>
    <t>South Dakota</t>
  </si>
  <si>
    <t>Tamaño de la muestra: 497,795</t>
  </si>
  <si>
    <t>Octubre de 2021</t>
  </si>
  <si>
    <t>MATRÍCULAS CONSULARES DE ALTA SEGURIDAD EXPEDIDAS DURANTE EL 2020 A ORIGINARIOS DE CAMPECHE EN LOS CONSULADOS DE MÉXICO EN EE.UU.</t>
  </si>
  <si>
    <t>MATRÍCULAS CONSULARES DE ALTA SEGURIDAD EXPEDIDAS POR MUNICIPIO A ORIGINARIOS DEL ESTADO DE CAMPECHE EN LOS CONSULADOS DE MÉXICO EN EE.UU. 2020</t>
  </si>
  <si>
    <t>Posgrado [Maestría]</t>
  </si>
  <si>
    <t>Posgrado [Doctorado]</t>
  </si>
  <si>
    <t>MATRÍCULAS CONSULARES EXPEDIDAS A ORIGINARIOS DE CAMPECHE POR GÉNERO Y CONSULADO DE MÉXICO 2020.</t>
  </si>
  <si>
    <t>MATRÍCULAS CONSULARES EXPEDIDAS EN EE.UU. A ORIGINARIOS DE CAMPECHE POR PERFIL OCUPACIONAL, 2020.</t>
  </si>
  <si>
    <t>Ministro(a)</t>
  </si>
  <si>
    <t>MATRÍCULAS CONSULARES EXPEDIDAS EN EE.UU. A ORIGINARIOS DE CAMPECHE POR NIVEL DE EDUCACIÓN, 2020.</t>
  </si>
  <si>
    <t>MATRÍCULAS CONSULARES EXPEDIDAS A ORIGINARIOS DE CAMPECHE POR GÉNERO EN EE.UU DURANTE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</si>
</sst>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76200</xdr:rowOff>
    </xdr:from>
    <xdr:to>
      <xdr:col>5</xdr:col>
      <xdr:colOff>16797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180975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524000"/>
          <a:ext cx="67627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85725</xdr:rowOff>
    </xdr:from>
    <xdr:to>
      <xdr:col>5</xdr:col>
      <xdr:colOff>169197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CAMPECHE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892968</xdr:colOff>
      <xdr:row>6</xdr:row>
      <xdr:rowOff>297656</xdr:rowOff>
    </xdr:from>
    <xdr:to>
      <xdr:col>5</xdr:col>
      <xdr:colOff>283894</xdr:colOff>
      <xdr:row>7</xdr:row>
      <xdr:rowOff>148827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227468" y="1335881"/>
          <a:ext cx="1724551" cy="1464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CAMPECHE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1066800</xdr:colOff>
      <xdr:row>6</xdr:row>
      <xdr:rowOff>228600</xdr:rowOff>
    </xdr:from>
    <xdr:to>
      <xdr:col>5</xdr:col>
      <xdr:colOff>454947</xdr:colOff>
      <xdr:row>7</xdr:row>
      <xdr:rowOff>85725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401300" y="1333500"/>
          <a:ext cx="1721772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8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CAMPECHE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CAMPECHE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557122</xdr:colOff>
      <xdr:row>7</xdr:row>
      <xdr:rowOff>152758</xdr:rowOff>
    </xdr:from>
    <xdr:to>
      <xdr:col>4</xdr:col>
      <xdr:colOff>1069219</xdr:colOff>
      <xdr:row>7</xdr:row>
      <xdr:rowOff>341461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1622" y="1486258"/>
          <a:ext cx="512097" cy="363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152400</xdr:rowOff>
    </xdr:from>
    <xdr:to>
      <xdr:col>5</xdr:col>
      <xdr:colOff>26322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6957" y="1495246"/>
          <a:ext cx="896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71693</xdr:colOff>
      <xdr:row>8</xdr:row>
      <xdr:rowOff>10242</xdr:rowOff>
    </xdr:from>
    <xdr:to>
      <xdr:col>7</xdr:col>
      <xdr:colOff>204838</xdr:colOff>
      <xdr:row>9</xdr:row>
      <xdr:rowOff>10242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3693" y="1534242"/>
          <a:ext cx="89514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Normal="100" zoomScaleSheetLayoutView="100" workbookViewId="0">
      <selection activeCell="B9" sqref="B9:D9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183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ampeche_USAMuni!A1" display="3.2 Por Estado de USA"/>
    <hyperlink ref="A8:D8" location="Campeche_Cons!A1" display="2. Por Circunscripción Consular"/>
    <hyperlink ref="B9:D9" location="CampecheXCons!A1" display="2.1 Top ten por circunscripción consular"/>
    <hyperlink ref="A6:D6" location="Campeche_EdoUsa!A1" display="1. Por Estados de USA"/>
    <hyperlink ref="B12:D12" location="Campeche_EdoMun!A1" display="3.1 Municipio general"/>
    <hyperlink ref="B14:D14" location="Campeche_MUNICIPIO!A1" display="3.3 Por Circunscripción Consular"/>
    <hyperlink ref="B17:D17" location="Campeche_educ_gral!A1" display="4.1 Educación general"/>
    <hyperlink ref="B18:D18" location="Campeche_NivelE_Cons!A1" display="4.2 Por Estado de USA"/>
    <hyperlink ref="B19:D19" location="Campeche_EducCons!A1" display="4.3 Por Circunscripción Consular"/>
    <hyperlink ref="B22:D22" location="Campeche_GenGral!A1" display="5.1 Género General"/>
    <hyperlink ref="B23:D23" location="Campeche_GENERO!A1" display="5.2 Por Circunscripción Consular"/>
    <hyperlink ref="A25:D25" location="Campeche_Gen_Edad!A1" display="6. Por estructura de Edad"/>
    <hyperlink ref="A27:D27" location="Campeche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</sheetPr>
  <dimension ref="A1:D57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184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61</v>
      </c>
      <c r="C11" s="31" t="s">
        <v>60</v>
      </c>
      <c r="D11" s="30" t="s">
        <v>59</v>
      </c>
    </row>
    <row r="12" spans="1:4" x14ac:dyDescent="0.25">
      <c r="B12" s="27" t="s">
        <v>58</v>
      </c>
      <c r="C12" s="26">
        <v>198</v>
      </c>
      <c r="D12" s="25">
        <v>0.2185430463576159</v>
      </c>
    </row>
    <row r="13" spans="1:4" x14ac:dyDescent="0.25">
      <c r="B13" s="27" t="s">
        <v>57</v>
      </c>
      <c r="C13" s="26">
        <v>177</v>
      </c>
      <c r="D13" s="25">
        <v>0.19536423841059603</v>
      </c>
    </row>
    <row r="14" spans="1:4" x14ac:dyDescent="0.25">
      <c r="B14" s="27" t="s">
        <v>56</v>
      </c>
      <c r="C14" s="26">
        <v>64</v>
      </c>
      <c r="D14" s="25">
        <v>7.0640176600441501E-2</v>
      </c>
    </row>
    <row r="15" spans="1:4" x14ac:dyDescent="0.25">
      <c r="B15" s="27" t="s">
        <v>55</v>
      </c>
      <c r="C15" s="26">
        <v>62</v>
      </c>
      <c r="D15" s="25">
        <v>6.8432671081677707E-2</v>
      </c>
    </row>
    <row r="16" spans="1:4" x14ac:dyDescent="0.25">
      <c r="B16" s="27" t="s">
        <v>52</v>
      </c>
      <c r="C16" s="26">
        <v>58</v>
      </c>
      <c r="D16" s="25">
        <v>6.4017660044150104E-2</v>
      </c>
    </row>
    <row r="17" spans="2:4" x14ac:dyDescent="0.25">
      <c r="B17" s="27" t="s">
        <v>51</v>
      </c>
      <c r="C17" s="26">
        <v>28</v>
      </c>
      <c r="D17" s="25">
        <v>3.0905077262693158E-2</v>
      </c>
    </row>
    <row r="18" spans="2:4" x14ac:dyDescent="0.25">
      <c r="B18" s="27" t="s">
        <v>54</v>
      </c>
      <c r="C18" s="26">
        <v>28</v>
      </c>
      <c r="D18" s="25">
        <v>3.0905077262693158E-2</v>
      </c>
    </row>
    <row r="19" spans="2:4" x14ac:dyDescent="0.25">
      <c r="B19" s="27" t="s">
        <v>53</v>
      </c>
      <c r="C19" s="26">
        <v>25</v>
      </c>
      <c r="D19" s="25">
        <v>2.759381898454746E-2</v>
      </c>
    </row>
    <row r="20" spans="2:4" x14ac:dyDescent="0.25">
      <c r="B20" s="27" t="s">
        <v>49</v>
      </c>
      <c r="C20" s="26">
        <v>24</v>
      </c>
      <c r="D20" s="25">
        <v>2.6490066225165563E-2</v>
      </c>
    </row>
    <row r="21" spans="2:4" x14ac:dyDescent="0.25">
      <c r="B21" s="27" t="s">
        <v>37</v>
      </c>
      <c r="C21" s="26">
        <v>20</v>
      </c>
      <c r="D21" s="25">
        <v>2.2075055187637971E-2</v>
      </c>
    </row>
    <row r="22" spans="2:4" x14ac:dyDescent="0.25">
      <c r="B22" s="27" t="s">
        <v>45</v>
      </c>
      <c r="C22" s="26">
        <v>18</v>
      </c>
      <c r="D22" s="25">
        <v>1.9867549668874173E-2</v>
      </c>
    </row>
    <row r="23" spans="2:4" x14ac:dyDescent="0.25">
      <c r="B23" s="27" t="s">
        <v>44</v>
      </c>
      <c r="C23" s="26">
        <v>16</v>
      </c>
      <c r="D23" s="25">
        <v>1.7660044150110375E-2</v>
      </c>
    </row>
    <row r="24" spans="2:4" x14ac:dyDescent="0.25">
      <c r="B24" s="27" t="s">
        <v>48</v>
      </c>
      <c r="C24" s="26">
        <v>16</v>
      </c>
      <c r="D24" s="25">
        <v>1.7660044150110375E-2</v>
      </c>
    </row>
    <row r="25" spans="2:4" x14ac:dyDescent="0.25">
      <c r="B25" s="27" t="s">
        <v>40</v>
      </c>
      <c r="C25" s="26">
        <v>15</v>
      </c>
      <c r="D25" s="25">
        <v>1.6556291390728478E-2</v>
      </c>
    </row>
    <row r="26" spans="2:4" x14ac:dyDescent="0.25">
      <c r="B26" s="27" t="s">
        <v>36</v>
      </c>
      <c r="C26" s="26">
        <v>13</v>
      </c>
      <c r="D26" s="25">
        <v>1.434878587196468E-2</v>
      </c>
    </row>
    <row r="27" spans="2:4" x14ac:dyDescent="0.25">
      <c r="B27" s="27" t="s">
        <v>43</v>
      </c>
      <c r="C27" s="26">
        <v>12</v>
      </c>
      <c r="D27" s="25">
        <v>1.3245033112582781E-2</v>
      </c>
    </row>
    <row r="28" spans="2:4" x14ac:dyDescent="0.25">
      <c r="B28" s="27" t="s">
        <v>50</v>
      </c>
      <c r="C28" s="26">
        <v>12</v>
      </c>
      <c r="D28" s="25">
        <v>1.3245033112582781E-2</v>
      </c>
    </row>
    <row r="29" spans="2:4" x14ac:dyDescent="0.25">
      <c r="B29" s="27" t="s">
        <v>42</v>
      </c>
      <c r="C29" s="26">
        <v>11</v>
      </c>
      <c r="D29" s="25">
        <v>1.2141280353200883E-2</v>
      </c>
    </row>
    <row r="30" spans="2:4" x14ac:dyDescent="0.25">
      <c r="B30" s="27" t="s">
        <v>47</v>
      </c>
      <c r="C30" s="26">
        <v>9</v>
      </c>
      <c r="D30" s="25">
        <v>9.9337748344370865E-3</v>
      </c>
    </row>
    <row r="31" spans="2:4" x14ac:dyDescent="0.25">
      <c r="B31" s="27" t="s">
        <v>30</v>
      </c>
      <c r="C31" s="26">
        <v>9</v>
      </c>
      <c r="D31" s="25">
        <v>9.9337748344370865E-3</v>
      </c>
    </row>
    <row r="32" spans="2:4" x14ac:dyDescent="0.25">
      <c r="B32" s="27" t="s">
        <v>39</v>
      </c>
      <c r="C32" s="26">
        <v>8</v>
      </c>
      <c r="D32" s="25">
        <v>8.8300220750551876E-3</v>
      </c>
    </row>
    <row r="33" spans="2:4" x14ac:dyDescent="0.25">
      <c r="B33" s="27" t="s">
        <v>29</v>
      </c>
      <c r="C33" s="26">
        <v>7</v>
      </c>
      <c r="D33" s="25">
        <v>7.7262693156732896E-3</v>
      </c>
    </row>
    <row r="34" spans="2:4" x14ac:dyDescent="0.25">
      <c r="B34" s="27" t="s">
        <v>32</v>
      </c>
      <c r="C34" s="26">
        <v>7</v>
      </c>
      <c r="D34" s="25">
        <v>7.7262693156732896E-3</v>
      </c>
    </row>
    <row r="35" spans="2:4" x14ac:dyDescent="0.25">
      <c r="B35" s="27" t="s">
        <v>41</v>
      </c>
      <c r="C35" s="26">
        <v>7</v>
      </c>
      <c r="D35" s="25">
        <v>7.7262693156732896E-3</v>
      </c>
    </row>
    <row r="36" spans="2:4" x14ac:dyDescent="0.25">
      <c r="B36" s="27" t="s">
        <v>26</v>
      </c>
      <c r="C36" s="26">
        <v>7</v>
      </c>
      <c r="D36" s="25">
        <v>7.7262693156732896E-3</v>
      </c>
    </row>
    <row r="37" spans="2:4" x14ac:dyDescent="0.25">
      <c r="B37" s="27" t="s">
        <v>38</v>
      </c>
      <c r="C37" s="26">
        <v>7</v>
      </c>
      <c r="D37" s="25">
        <v>7.7262693156732896E-3</v>
      </c>
    </row>
    <row r="38" spans="2:4" x14ac:dyDescent="0.25">
      <c r="B38" s="27" t="s">
        <v>34</v>
      </c>
      <c r="C38" s="26">
        <v>6</v>
      </c>
      <c r="D38" s="25">
        <v>6.6225165562913907E-3</v>
      </c>
    </row>
    <row r="39" spans="2:4" x14ac:dyDescent="0.25">
      <c r="B39" s="27" t="s">
        <v>25</v>
      </c>
      <c r="C39" s="26">
        <v>6</v>
      </c>
      <c r="D39" s="25">
        <v>6.6225165562913907E-3</v>
      </c>
    </row>
    <row r="40" spans="2:4" x14ac:dyDescent="0.25">
      <c r="B40" s="27" t="s">
        <v>24</v>
      </c>
      <c r="C40" s="26">
        <v>6</v>
      </c>
      <c r="D40" s="25">
        <v>6.6225165562913907E-3</v>
      </c>
    </row>
    <row r="41" spans="2:4" x14ac:dyDescent="0.25">
      <c r="B41" s="27" t="s">
        <v>46</v>
      </c>
      <c r="C41" s="26">
        <v>5</v>
      </c>
      <c r="D41" s="25">
        <v>5.5187637969094927E-3</v>
      </c>
    </row>
    <row r="42" spans="2:4" x14ac:dyDescent="0.25">
      <c r="B42" s="27" t="s">
        <v>35</v>
      </c>
      <c r="C42" s="26">
        <v>5</v>
      </c>
      <c r="D42" s="25">
        <v>5.5187637969094927E-3</v>
      </c>
    </row>
    <row r="43" spans="2:4" x14ac:dyDescent="0.25">
      <c r="B43" s="27" t="s">
        <v>33</v>
      </c>
      <c r="C43" s="26">
        <v>5</v>
      </c>
      <c r="D43" s="25">
        <v>5.5187637969094927E-3</v>
      </c>
    </row>
    <row r="44" spans="2:4" x14ac:dyDescent="0.25">
      <c r="B44" s="27" t="s">
        <v>31</v>
      </c>
      <c r="C44" s="26">
        <v>4</v>
      </c>
      <c r="D44" s="25">
        <v>4.4150110375275938E-3</v>
      </c>
    </row>
    <row r="45" spans="2:4" x14ac:dyDescent="0.25">
      <c r="B45" s="27" t="s">
        <v>22</v>
      </c>
      <c r="C45" s="26">
        <v>4</v>
      </c>
      <c r="D45" s="25">
        <v>4.4150110375275938E-3</v>
      </c>
    </row>
    <row r="46" spans="2:4" x14ac:dyDescent="0.25">
      <c r="B46" s="27" t="s">
        <v>27</v>
      </c>
      <c r="C46" s="26">
        <v>2</v>
      </c>
      <c r="D46" s="25">
        <v>2.2075055187637969E-3</v>
      </c>
    </row>
    <row r="47" spans="2:4" x14ac:dyDescent="0.25">
      <c r="B47" s="27" t="s">
        <v>28</v>
      </c>
      <c r="C47" s="26">
        <v>2</v>
      </c>
      <c r="D47" s="25">
        <v>2.2075055187637969E-3</v>
      </c>
    </row>
    <row r="48" spans="2:4" x14ac:dyDescent="0.25">
      <c r="B48" s="27" t="s">
        <v>23</v>
      </c>
      <c r="C48" s="26">
        <v>1</v>
      </c>
      <c r="D48" s="25">
        <v>1.1037527593818985E-3</v>
      </c>
    </row>
    <row r="49" spans="2:4" x14ac:dyDescent="0.25">
      <c r="B49" s="27" t="s">
        <v>21</v>
      </c>
      <c r="C49" s="26">
        <v>1</v>
      </c>
      <c r="D49" s="25">
        <v>1.1037527593818985E-3</v>
      </c>
    </row>
    <row r="50" spans="2:4" x14ac:dyDescent="0.25">
      <c r="B50" s="27" t="s">
        <v>185</v>
      </c>
      <c r="C50" s="26">
        <v>1</v>
      </c>
      <c r="D50" s="25">
        <v>1.1037527593818985E-3</v>
      </c>
    </row>
    <row r="51" spans="2:4" x14ac:dyDescent="0.25">
      <c r="B51" s="24" t="s">
        <v>20</v>
      </c>
      <c r="C51" s="23">
        <v>906</v>
      </c>
      <c r="D51" s="22">
        <v>1</v>
      </c>
    </row>
    <row r="53" spans="2:4" x14ac:dyDescent="0.25">
      <c r="B53" s="19" t="s">
        <v>186</v>
      </c>
    </row>
    <row r="54" spans="2:4" x14ac:dyDescent="0.25">
      <c r="B54" s="21" t="s">
        <v>19</v>
      </c>
    </row>
    <row r="55" spans="2:4" x14ac:dyDescent="0.25">
      <c r="B55" s="20" t="s">
        <v>18</v>
      </c>
    </row>
    <row r="56" spans="2:4" x14ac:dyDescent="0.25">
      <c r="B56" s="19" t="s">
        <v>17</v>
      </c>
    </row>
    <row r="57" spans="2:4" x14ac:dyDescent="0.25">
      <c r="B57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1"/>
  <sheetViews>
    <sheetView showGridLines="0" zoomScaleNormal="100" zoomScaleSheetLayoutView="115" workbookViewId="0">
      <selection activeCell="F12" sqref="F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188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105</v>
      </c>
      <c r="C11" s="31" t="s">
        <v>60</v>
      </c>
      <c r="D11" s="30" t="s">
        <v>59</v>
      </c>
    </row>
    <row r="12" spans="1:4" x14ac:dyDescent="0.25">
      <c r="B12" s="27" t="s">
        <v>97</v>
      </c>
      <c r="C12" s="26">
        <v>72</v>
      </c>
      <c r="D12" s="25">
        <v>7.9470198675496692E-2</v>
      </c>
    </row>
    <row r="13" spans="1:4" x14ac:dyDescent="0.25">
      <c r="B13" s="27" t="s">
        <v>72</v>
      </c>
      <c r="C13" s="26">
        <v>71</v>
      </c>
      <c r="D13" s="25">
        <v>7.8366445916114788E-2</v>
      </c>
    </row>
    <row r="14" spans="1:4" x14ac:dyDescent="0.25">
      <c r="B14" s="27" t="s">
        <v>100</v>
      </c>
      <c r="C14" s="26">
        <v>68</v>
      </c>
      <c r="D14" s="25">
        <v>7.505518763796909E-2</v>
      </c>
    </row>
    <row r="15" spans="1:4" x14ac:dyDescent="0.25">
      <c r="B15" s="27" t="s">
        <v>143</v>
      </c>
      <c r="C15" s="26">
        <v>49</v>
      </c>
      <c r="D15" s="25">
        <v>5.4083885209713023E-2</v>
      </c>
    </row>
    <row r="16" spans="1:4" x14ac:dyDescent="0.25">
      <c r="B16" s="27" t="s">
        <v>91</v>
      </c>
      <c r="C16" s="26">
        <v>47</v>
      </c>
      <c r="D16" s="25">
        <v>5.1876379690949229E-2</v>
      </c>
    </row>
    <row r="17" spans="2:4" x14ac:dyDescent="0.25">
      <c r="B17" s="27" t="s">
        <v>101</v>
      </c>
      <c r="C17" s="26">
        <v>43</v>
      </c>
      <c r="D17" s="25">
        <v>4.7461368653421633E-2</v>
      </c>
    </row>
    <row r="18" spans="2:4" x14ac:dyDescent="0.25">
      <c r="B18" s="27" t="s">
        <v>102</v>
      </c>
      <c r="C18" s="26">
        <v>41</v>
      </c>
      <c r="D18" s="25">
        <v>4.5253863134657839E-2</v>
      </c>
    </row>
    <row r="19" spans="2:4" x14ac:dyDescent="0.25">
      <c r="B19" s="27" t="s">
        <v>84</v>
      </c>
      <c r="C19" s="26">
        <v>38</v>
      </c>
      <c r="D19" s="25">
        <v>4.194260485651214E-2</v>
      </c>
    </row>
    <row r="20" spans="2:4" x14ac:dyDescent="0.25">
      <c r="B20" s="27" t="s">
        <v>146</v>
      </c>
      <c r="C20" s="26">
        <v>33</v>
      </c>
      <c r="D20" s="25">
        <v>3.6423841059602648E-2</v>
      </c>
    </row>
    <row r="21" spans="2:4" x14ac:dyDescent="0.25">
      <c r="B21" s="27" t="s">
        <v>103</v>
      </c>
      <c r="C21" s="26">
        <v>30</v>
      </c>
      <c r="D21" s="25">
        <v>3.3112582781456956E-2</v>
      </c>
    </row>
    <row r="22" spans="2:4" x14ac:dyDescent="0.25">
      <c r="B22" s="27" t="s">
        <v>85</v>
      </c>
      <c r="C22" s="26">
        <v>28</v>
      </c>
      <c r="D22" s="25">
        <v>3.0905077262693158E-2</v>
      </c>
    </row>
    <row r="23" spans="2:4" x14ac:dyDescent="0.25">
      <c r="B23" s="27" t="s">
        <v>147</v>
      </c>
      <c r="C23" s="26">
        <v>26</v>
      </c>
      <c r="D23" s="25">
        <v>2.8697571743929361E-2</v>
      </c>
    </row>
    <row r="24" spans="2:4" x14ac:dyDescent="0.25">
      <c r="B24" s="27" t="s">
        <v>93</v>
      </c>
      <c r="C24" s="26">
        <v>26</v>
      </c>
      <c r="D24" s="25">
        <v>2.8697571743929361E-2</v>
      </c>
    </row>
    <row r="25" spans="2:4" x14ac:dyDescent="0.25">
      <c r="B25" s="27" t="s">
        <v>89</v>
      </c>
      <c r="C25" s="26">
        <v>24</v>
      </c>
      <c r="D25" s="25">
        <v>2.6490066225165563E-2</v>
      </c>
    </row>
    <row r="26" spans="2:4" x14ac:dyDescent="0.25">
      <c r="B26" s="27" t="s">
        <v>145</v>
      </c>
      <c r="C26" s="26">
        <v>23</v>
      </c>
      <c r="D26" s="25">
        <v>2.5386313465783666E-2</v>
      </c>
    </row>
    <row r="27" spans="2:4" x14ac:dyDescent="0.25">
      <c r="B27" s="27" t="s">
        <v>74</v>
      </c>
      <c r="C27" s="26">
        <v>21</v>
      </c>
      <c r="D27" s="25">
        <v>2.3178807947019868E-2</v>
      </c>
    </row>
    <row r="28" spans="2:4" x14ac:dyDescent="0.25">
      <c r="B28" s="27" t="s">
        <v>81</v>
      </c>
      <c r="C28" s="26">
        <v>19</v>
      </c>
      <c r="D28" s="25">
        <v>2.097130242825607E-2</v>
      </c>
    </row>
    <row r="29" spans="2:4" x14ac:dyDescent="0.25">
      <c r="B29" s="27" t="s">
        <v>92</v>
      </c>
      <c r="C29" s="26">
        <v>18</v>
      </c>
      <c r="D29" s="25">
        <v>1.9867549668874173E-2</v>
      </c>
    </row>
    <row r="30" spans="2:4" x14ac:dyDescent="0.25">
      <c r="B30" s="27" t="s">
        <v>78</v>
      </c>
      <c r="C30" s="26">
        <v>17</v>
      </c>
      <c r="D30" s="25">
        <v>1.8763796909492272E-2</v>
      </c>
    </row>
    <row r="31" spans="2:4" x14ac:dyDescent="0.25">
      <c r="B31" s="27" t="s">
        <v>90</v>
      </c>
      <c r="C31" s="26">
        <v>16</v>
      </c>
      <c r="D31" s="25">
        <v>1.7660044150110375E-2</v>
      </c>
    </row>
    <row r="32" spans="2:4" x14ac:dyDescent="0.25">
      <c r="B32" s="27" t="s">
        <v>88</v>
      </c>
      <c r="C32" s="26">
        <v>16</v>
      </c>
      <c r="D32" s="25">
        <v>1.7660044150110375E-2</v>
      </c>
    </row>
    <row r="33" spans="2:4" x14ac:dyDescent="0.25">
      <c r="B33" s="27" t="s">
        <v>70</v>
      </c>
      <c r="C33" s="26">
        <v>16</v>
      </c>
      <c r="D33" s="25">
        <v>1.7660044150110375E-2</v>
      </c>
    </row>
    <row r="34" spans="2:4" x14ac:dyDescent="0.25">
      <c r="B34" s="27" t="s">
        <v>87</v>
      </c>
      <c r="C34" s="26">
        <v>16</v>
      </c>
      <c r="D34" s="25">
        <v>1.7660044150110375E-2</v>
      </c>
    </row>
    <row r="35" spans="2:4" x14ac:dyDescent="0.25">
      <c r="B35" s="27" t="s">
        <v>95</v>
      </c>
      <c r="C35" s="26">
        <v>16</v>
      </c>
      <c r="D35" s="25">
        <v>1.7660044150110375E-2</v>
      </c>
    </row>
    <row r="36" spans="2:4" x14ac:dyDescent="0.25">
      <c r="B36" s="27" t="s">
        <v>98</v>
      </c>
      <c r="C36" s="26">
        <v>13</v>
      </c>
      <c r="D36" s="25">
        <v>1.434878587196468E-2</v>
      </c>
    </row>
    <row r="37" spans="2:4" x14ac:dyDescent="0.25">
      <c r="B37" s="27" t="s">
        <v>77</v>
      </c>
      <c r="C37" s="26">
        <v>13</v>
      </c>
      <c r="D37" s="25">
        <v>1.434878587196468E-2</v>
      </c>
    </row>
    <row r="38" spans="2:4" x14ac:dyDescent="0.25">
      <c r="B38" s="27" t="s">
        <v>38</v>
      </c>
      <c r="C38" s="26">
        <v>12</v>
      </c>
      <c r="D38" s="25">
        <v>1.3245033112582781E-2</v>
      </c>
    </row>
    <row r="39" spans="2:4" x14ac:dyDescent="0.25">
      <c r="B39" s="27" t="s">
        <v>96</v>
      </c>
      <c r="C39" s="26">
        <v>11</v>
      </c>
      <c r="D39" s="25">
        <v>1.2141280353200883E-2</v>
      </c>
    </row>
    <row r="40" spans="2:4" x14ac:dyDescent="0.25">
      <c r="B40" s="27" t="s">
        <v>79</v>
      </c>
      <c r="C40" s="26">
        <v>10</v>
      </c>
      <c r="D40" s="25">
        <v>1.1037527593818985E-2</v>
      </c>
    </row>
    <row r="41" spans="2:4" x14ac:dyDescent="0.25">
      <c r="B41" s="27" t="s">
        <v>80</v>
      </c>
      <c r="C41" s="26">
        <v>10</v>
      </c>
      <c r="D41" s="25">
        <v>1.1037527593818985E-2</v>
      </c>
    </row>
    <row r="42" spans="2:4" x14ac:dyDescent="0.25">
      <c r="B42" s="27" t="s">
        <v>67</v>
      </c>
      <c r="C42" s="26">
        <v>8</v>
      </c>
      <c r="D42" s="25">
        <v>8.8300220750551876E-3</v>
      </c>
    </row>
    <row r="43" spans="2:4" x14ac:dyDescent="0.25">
      <c r="B43" s="27" t="s">
        <v>71</v>
      </c>
      <c r="C43" s="26">
        <v>8</v>
      </c>
      <c r="D43" s="25">
        <v>8.8300220750551876E-3</v>
      </c>
    </row>
    <row r="44" spans="2:4" x14ac:dyDescent="0.25">
      <c r="B44" s="27" t="s">
        <v>99</v>
      </c>
      <c r="C44" s="26">
        <v>7</v>
      </c>
      <c r="D44" s="25">
        <v>7.7262693156732896E-3</v>
      </c>
    </row>
    <row r="45" spans="2:4" x14ac:dyDescent="0.25">
      <c r="B45" s="27" t="s">
        <v>66</v>
      </c>
      <c r="C45" s="26">
        <v>6</v>
      </c>
      <c r="D45" s="25">
        <v>6.6225165562913907E-3</v>
      </c>
    </row>
    <row r="46" spans="2:4" x14ac:dyDescent="0.25">
      <c r="B46" s="27" t="s">
        <v>82</v>
      </c>
      <c r="C46" s="26">
        <v>6</v>
      </c>
      <c r="D46" s="25">
        <v>6.6225165562913907E-3</v>
      </c>
    </row>
    <row r="47" spans="2:4" x14ac:dyDescent="0.25">
      <c r="B47" s="27" t="s">
        <v>65</v>
      </c>
      <c r="C47" s="26">
        <v>6</v>
      </c>
      <c r="D47" s="25">
        <v>6.6225165562913907E-3</v>
      </c>
    </row>
    <row r="48" spans="2:4" x14ac:dyDescent="0.25">
      <c r="B48" s="27" t="s">
        <v>75</v>
      </c>
      <c r="C48" s="26">
        <v>6</v>
      </c>
      <c r="D48" s="25">
        <v>6.6225165562913907E-3</v>
      </c>
    </row>
    <row r="49" spans="2:4" x14ac:dyDescent="0.25">
      <c r="B49" s="27" t="s">
        <v>76</v>
      </c>
      <c r="C49" s="26">
        <v>6</v>
      </c>
      <c r="D49" s="25">
        <v>6.6225165562913907E-3</v>
      </c>
    </row>
    <row r="50" spans="2:4" x14ac:dyDescent="0.25">
      <c r="B50" s="27" t="s">
        <v>73</v>
      </c>
      <c r="C50" s="26">
        <v>4</v>
      </c>
      <c r="D50" s="25">
        <v>4.4150110375275938E-3</v>
      </c>
    </row>
    <row r="51" spans="2:4" x14ac:dyDescent="0.25">
      <c r="B51" s="27" t="s">
        <v>68</v>
      </c>
      <c r="C51" s="26">
        <v>2</v>
      </c>
      <c r="D51" s="25">
        <v>2.2075055187637969E-3</v>
      </c>
    </row>
    <row r="52" spans="2:4" x14ac:dyDescent="0.25">
      <c r="B52" s="27" t="s">
        <v>69</v>
      </c>
      <c r="C52" s="26">
        <v>2</v>
      </c>
      <c r="D52" s="25">
        <v>2.2075055187637969E-3</v>
      </c>
    </row>
    <row r="53" spans="2:4" x14ac:dyDescent="0.25">
      <c r="B53" s="27" t="s">
        <v>63</v>
      </c>
      <c r="C53" s="26">
        <v>1</v>
      </c>
      <c r="D53" s="25">
        <v>1.1037527593818985E-3</v>
      </c>
    </row>
    <row r="54" spans="2:4" x14ac:dyDescent="0.25">
      <c r="B54" s="27" t="s">
        <v>64</v>
      </c>
      <c r="C54" s="26">
        <v>1</v>
      </c>
      <c r="D54" s="25">
        <v>1.1037527593818985E-3</v>
      </c>
    </row>
    <row r="55" spans="2:4" x14ac:dyDescent="0.25">
      <c r="B55" s="24" t="s">
        <v>20</v>
      </c>
      <c r="C55" s="23">
        <v>906</v>
      </c>
      <c r="D55" s="22">
        <v>1</v>
      </c>
    </row>
    <row r="57" spans="2:4" x14ac:dyDescent="0.25">
      <c r="B57" s="19" t="s">
        <v>186</v>
      </c>
    </row>
    <row r="58" spans="2:4" x14ac:dyDescent="0.25">
      <c r="B58" s="21" t="s">
        <v>19</v>
      </c>
    </row>
    <row r="59" spans="2:4" x14ac:dyDescent="0.25">
      <c r="B59" s="20" t="s">
        <v>18</v>
      </c>
    </row>
    <row r="60" spans="2:4" x14ac:dyDescent="0.25">
      <c r="B60" s="19" t="s">
        <v>17</v>
      </c>
    </row>
    <row r="61" spans="2:4" x14ac:dyDescent="0.25">
      <c r="B61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abSelected="1" zoomScaleNormal="100" zoomScaleSheetLayoutView="115" workbookViewId="0">
      <selection activeCell="G6" sqref="G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188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105</v>
      </c>
      <c r="C11" s="31" t="s">
        <v>60</v>
      </c>
      <c r="D11" s="30" t="s">
        <v>59</v>
      </c>
    </row>
    <row r="12" spans="1:4" x14ac:dyDescent="0.25">
      <c r="B12" s="27" t="s">
        <v>97</v>
      </c>
      <c r="C12" s="26">
        <v>72</v>
      </c>
      <c r="D12" s="25">
        <f t="shared" ref="D12:D22" si="0">C12/$C$22</f>
        <v>0.14634146341463414</v>
      </c>
    </row>
    <row r="13" spans="1:4" x14ac:dyDescent="0.25">
      <c r="B13" s="27" t="s">
        <v>72</v>
      </c>
      <c r="C13" s="26">
        <v>71</v>
      </c>
      <c r="D13" s="25">
        <f t="shared" si="0"/>
        <v>0.1443089430894309</v>
      </c>
    </row>
    <row r="14" spans="1:4" x14ac:dyDescent="0.25">
      <c r="B14" s="27" t="s">
        <v>100</v>
      </c>
      <c r="C14" s="26">
        <v>68</v>
      </c>
      <c r="D14" s="25">
        <f t="shared" si="0"/>
        <v>0.13821138211382114</v>
      </c>
    </row>
    <row r="15" spans="1:4" x14ac:dyDescent="0.25">
      <c r="B15" s="27" t="s">
        <v>94</v>
      </c>
      <c r="C15" s="26">
        <v>49</v>
      </c>
      <c r="D15" s="25">
        <f t="shared" si="0"/>
        <v>9.959349593495935E-2</v>
      </c>
    </row>
    <row r="16" spans="1:4" x14ac:dyDescent="0.25">
      <c r="B16" s="27" t="s">
        <v>91</v>
      </c>
      <c r="C16" s="26">
        <v>47</v>
      </c>
      <c r="D16" s="25">
        <f t="shared" si="0"/>
        <v>9.5528455284552852E-2</v>
      </c>
    </row>
    <row r="17" spans="2:4" x14ac:dyDescent="0.25">
      <c r="B17" s="27" t="s">
        <v>101</v>
      </c>
      <c r="C17" s="26">
        <v>43</v>
      </c>
      <c r="D17" s="25">
        <f t="shared" si="0"/>
        <v>8.7398373983739841E-2</v>
      </c>
    </row>
    <row r="18" spans="2:4" x14ac:dyDescent="0.25">
      <c r="B18" s="27" t="s">
        <v>102</v>
      </c>
      <c r="C18" s="26">
        <v>41</v>
      </c>
      <c r="D18" s="25">
        <f t="shared" si="0"/>
        <v>8.3333333333333329E-2</v>
      </c>
    </row>
    <row r="19" spans="2:4" x14ac:dyDescent="0.25">
      <c r="B19" s="27" t="s">
        <v>84</v>
      </c>
      <c r="C19" s="26">
        <v>38</v>
      </c>
      <c r="D19" s="25">
        <f t="shared" si="0"/>
        <v>7.7235772357723581E-2</v>
      </c>
    </row>
    <row r="20" spans="2:4" x14ac:dyDescent="0.25">
      <c r="B20" s="27" t="s">
        <v>104</v>
      </c>
      <c r="C20" s="26">
        <v>33</v>
      </c>
      <c r="D20" s="25">
        <f t="shared" si="0"/>
        <v>6.7073170731707321E-2</v>
      </c>
    </row>
    <row r="21" spans="2:4" x14ac:dyDescent="0.25">
      <c r="B21" s="27" t="s">
        <v>103</v>
      </c>
      <c r="C21" s="26">
        <v>30</v>
      </c>
      <c r="D21" s="25">
        <f t="shared" si="0"/>
        <v>6.097560975609756E-2</v>
      </c>
    </row>
    <row r="22" spans="2:4" x14ac:dyDescent="0.25">
      <c r="B22" s="24" t="s">
        <v>148</v>
      </c>
      <c r="C22" s="23">
        <f>SUM(C12:C21)</f>
        <v>492</v>
      </c>
      <c r="D22" s="22">
        <f t="shared" si="0"/>
        <v>1</v>
      </c>
    </row>
    <row r="24" spans="2:4" x14ac:dyDescent="0.25">
      <c r="B24" s="19" t="s">
        <v>186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28"/>
  <sheetViews>
    <sheetView showGridLines="0" zoomScaleNormal="100" zoomScaleSheetLayoutView="115" workbookViewId="0">
      <selection activeCell="B15" sqref="B1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189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116</v>
      </c>
      <c r="C11" s="31" t="s">
        <v>60</v>
      </c>
      <c r="D11" s="30" t="s">
        <v>59</v>
      </c>
    </row>
    <row r="12" spans="1:4" x14ac:dyDescent="0.25">
      <c r="B12" s="27" t="s">
        <v>115</v>
      </c>
      <c r="C12" s="26">
        <v>298</v>
      </c>
      <c r="D12" s="25">
        <v>0.32891832229580575</v>
      </c>
    </row>
    <row r="13" spans="1:4" x14ac:dyDescent="0.25">
      <c r="B13" s="27" t="s">
        <v>113</v>
      </c>
      <c r="C13" s="26">
        <v>211</v>
      </c>
      <c r="D13" s="25">
        <v>0.23289183222958057</v>
      </c>
    </row>
    <row r="14" spans="1:4" x14ac:dyDescent="0.25">
      <c r="B14" s="27" t="s">
        <v>114</v>
      </c>
      <c r="C14" s="26">
        <v>188</v>
      </c>
      <c r="D14" s="25">
        <v>0.20750551876379691</v>
      </c>
    </row>
    <row r="15" spans="1:4" x14ac:dyDescent="0.25">
      <c r="B15" s="27" t="s">
        <v>112</v>
      </c>
      <c r="C15" s="26">
        <v>109</v>
      </c>
      <c r="D15" s="25">
        <v>0.12030905077262694</v>
      </c>
    </row>
    <row r="16" spans="1:4" x14ac:dyDescent="0.25">
      <c r="B16" s="27" t="s">
        <v>111</v>
      </c>
      <c r="C16" s="26">
        <v>35</v>
      </c>
      <c r="D16" s="25">
        <v>3.8631346578366449E-2</v>
      </c>
    </row>
    <row r="17" spans="2:4" x14ac:dyDescent="0.25">
      <c r="B17" s="27" t="s">
        <v>110</v>
      </c>
      <c r="C17" s="26">
        <v>31</v>
      </c>
      <c r="D17" s="25">
        <v>3.4216335540838853E-2</v>
      </c>
    </row>
    <row r="18" spans="2:4" x14ac:dyDescent="0.25">
      <c r="B18" s="27" t="s">
        <v>108</v>
      </c>
      <c r="C18" s="26">
        <v>14</v>
      </c>
      <c r="D18" s="25">
        <v>1.5452538631346579E-2</v>
      </c>
    </row>
    <row r="19" spans="2:4" x14ac:dyDescent="0.25">
      <c r="B19" s="27" t="s">
        <v>109</v>
      </c>
      <c r="C19" s="26">
        <v>14</v>
      </c>
      <c r="D19" s="25">
        <v>1.5452538631346579E-2</v>
      </c>
    </row>
    <row r="20" spans="2:4" x14ac:dyDescent="0.25">
      <c r="B20" s="27" t="s">
        <v>107</v>
      </c>
      <c r="C20" s="26">
        <v>3</v>
      </c>
      <c r="D20" s="25">
        <v>3.3112582781456954E-3</v>
      </c>
    </row>
    <row r="21" spans="2:4" x14ac:dyDescent="0.25">
      <c r="B21" s="27" t="s">
        <v>106</v>
      </c>
      <c r="C21" s="26">
        <v>3</v>
      </c>
      <c r="D21" s="25">
        <v>3.3112582781456954E-3</v>
      </c>
    </row>
    <row r="22" spans="2:4" x14ac:dyDescent="0.25">
      <c r="B22" s="24" t="s">
        <v>20</v>
      </c>
      <c r="C22" s="23">
        <v>906</v>
      </c>
      <c r="D22" s="22">
        <v>1</v>
      </c>
    </row>
    <row r="24" spans="2:4" x14ac:dyDescent="0.25">
      <c r="B24" s="19" t="s">
        <v>186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222"/>
  <sheetViews>
    <sheetView zoomScale="80" zoomScaleNormal="8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118</v>
      </c>
      <c r="C9" s="49" t="s">
        <v>117</v>
      </c>
      <c r="D9" s="48" t="s">
        <v>60</v>
      </c>
      <c r="E9" s="47" t="s">
        <v>59</v>
      </c>
    </row>
    <row r="10" spans="1:5" ht="15" customHeight="1" x14ac:dyDescent="0.25">
      <c r="B10" s="81" t="s">
        <v>53</v>
      </c>
      <c r="C10" s="45" t="s">
        <v>108</v>
      </c>
      <c r="D10" s="44">
        <v>1</v>
      </c>
      <c r="E10" s="43">
        <v>1.1037527593818985E-3</v>
      </c>
    </row>
    <row r="11" spans="1:5" ht="15" customHeight="1" x14ac:dyDescent="0.25">
      <c r="B11" s="82"/>
      <c r="C11" s="45" t="s">
        <v>113</v>
      </c>
      <c r="D11" s="44">
        <v>3</v>
      </c>
      <c r="E11" s="43">
        <v>3.3112582781456954E-3</v>
      </c>
    </row>
    <row r="12" spans="1:5" ht="15" customHeight="1" x14ac:dyDescent="0.25">
      <c r="B12" s="82"/>
      <c r="C12" s="45" t="s">
        <v>115</v>
      </c>
      <c r="D12" s="44">
        <v>9</v>
      </c>
      <c r="E12" s="43">
        <v>9.9337748344370865E-3</v>
      </c>
    </row>
    <row r="13" spans="1:5" ht="15" customHeight="1" x14ac:dyDescent="0.25">
      <c r="B13" s="82"/>
      <c r="C13" s="45" t="s">
        <v>114</v>
      </c>
      <c r="D13" s="44">
        <v>2</v>
      </c>
      <c r="E13" s="43">
        <v>2.2075055187637969E-3</v>
      </c>
    </row>
    <row r="14" spans="1:5" ht="15" customHeight="1" x14ac:dyDescent="0.25">
      <c r="B14" s="82"/>
      <c r="C14" s="45" t="s">
        <v>112</v>
      </c>
      <c r="D14" s="44">
        <v>1</v>
      </c>
      <c r="E14" s="43">
        <v>1.1037527593818985E-3</v>
      </c>
    </row>
    <row r="15" spans="1:5" ht="15" customHeight="1" x14ac:dyDescent="0.25">
      <c r="B15" s="82"/>
      <c r="C15" s="45" t="s">
        <v>109</v>
      </c>
      <c r="D15" s="44">
        <v>1</v>
      </c>
      <c r="E15" s="43">
        <v>1.1037527593818985E-3</v>
      </c>
    </row>
    <row r="16" spans="1:5" ht="15" customHeight="1" x14ac:dyDescent="0.25">
      <c r="B16" s="82"/>
      <c r="C16" s="45" t="s">
        <v>111</v>
      </c>
      <c r="D16" s="44">
        <v>8</v>
      </c>
      <c r="E16" s="43">
        <v>8.8300220750551876E-3</v>
      </c>
    </row>
    <row r="17" spans="2:5" ht="15" customHeight="1" x14ac:dyDescent="0.25">
      <c r="B17" s="83"/>
      <c r="C17" s="42" t="s">
        <v>20</v>
      </c>
      <c r="D17" s="41">
        <v>25</v>
      </c>
      <c r="E17" s="40">
        <v>2.759381898454746E-2</v>
      </c>
    </row>
    <row r="18" spans="2:5" ht="15" customHeight="1" x14ac:dyDescent="0.25">
      <c r="B18" s="81" t="s">
        <v>29</v>
      </c>
      <c r="C18" s="45" t="s">
        <v>113</v>
      </c>
      <c r="D18" s="44">
        <v>1</v>
      </c>
      <c r="E18" s="43">
        <v>1.1037527593818985E-3</v>
      </c>
    </row>
    <row r="19" spans="2:5" ht="15" customHeight="1" x14ac:dyDescent="0.25">
      <c r="B19" s="82"/>
      <c r="C19" s="45" t="s">
        <v>115</v>
      </c>
      <c r="D19" s="44">
        <v>5</v>
      </c>
      <c r="E19" s="43">
        <v>5.5187637969094927E-3</v>
      </c>
    </row>
    <row r="20" spans="2:5" ht="15" customHeight="1" x14ac:dyDescent="0.25">
      <c r="B20" s="82"/>
      <c r="C20" s="45" t="s">
        <v>114</v>
      </c>
      <c r="D20" s="44">
        <v>1</v>
      </c>
      <c r="E20" s="43">
        <v>1.1037527593818985E-3</v>
      </c>
    </row>
    <row r="21" spans="2:5" ht="15" customHeight="1" x14ac:dyDescent="0.25">
      <c r="B21" s="83"/>
      <c r="C21" s="42" t="s">
        <v>20</v>
      </c>
      <c r="D21" s="41">
        <v>7</v>
      </c>
      <c r="E21" s="40">
        <v>7.7262693156732896E-3</v>
      </c>
    </row>
    <row r="22" spans="2:5" ht="15" customHeight="1" x14ac:dyDescent="0.25">
      <c r="B22" s="81" t="s">
        <v>46</v>
      </c>
      <c r="C22" s="45" t="s">
        <v>115</v>
      </c>
      <c r="D22" s="44">
        <v>2</v>
      </c>
      <c r="E22" s="43">
        <v>2.2075055187637969E-3</v>
      </c>
    </row>
    <row r="23" spans="2:5" ht="15" customHeight="1" x14ac:dyDescent="0.25">
      <c r="B23" s="82"/>
      <c r="C23" s="45" t="s">
        <v>114</v>
      </c>
      <c r="D23" s="44">
        <v>2</v>
      </c>
      <c r="E23" s="43">
        <v>2.2075055187637969E-3</v>
      </c>
    </row>
    <row r="24" spans="2:5" ht="15" customHeight="1" x14ac:dyDescent="0.25">
      <c r="B24" s="82"/>
      <c r="C24" s="45" t="s">
        <v>112</v>
      </c>
      <c r="D24" s="44">
        <v>1</v>
      </c>
      <c r="E24" s="43">
        <v>1.1037527593818985E-3</v>
      </c>
    </row>
    <row r="25" spans="2:5" ht="15" customHeight="1" x14ac:dyDescent="0.25">
      <c r="B25" s="83"/>
      <c r="C25" s="42" t="s">
        <v>20</v>
      </c>
      <c r="D25" s="41">
        <v>5</v>
      </c>
      <c r="E25" s="40">
        <v>5.5187637969094927E-3</v>
      </c>
    </row>
    <row r="26" spans="2:5" ht="15" customHeight="1" x14ac:dyDescent="0.25">
      <c r="B26" s="81" t="s">
        <v>58</v>
      </c>
      <c r="C26" s="45" t="s">
        <v>108</v>
      </c>
      <c r="D26" s="44">
        <v>6</v>
      </c>
      <c r="E26" s="43">
        <v>6.6225165562913907E-3</v>
      </c>
    </row>
    <row r="27" spans="2:5" ht="15" customHeight="1" x14ac:dyDescent="0.25">
      <c r="B27" s="82"/>
      <c r="C27" s="45" t="s">
        <v>113</v>
      </c>
      <c r="D27" s="44">
        <v>49</v>
      </c>
      <c r="E27" s="43">
        <v>5.4083885209713023E-2</v>
      </c>
    </row>
    <row r="28" spans="2:5" ht="15" customHeight="1" x14ac:dyDescent="0.25">
      <c r="B28" s="82"/>
      <c r="C28" s="45" t="s">
        <v>110</v>
      </c>
      <c r="D28" s="44">
        <v>5</v>
      </c>
      <c r="E28" s="43">
        <v>5.5187637969094927E-3</v>
      </c>
    </row>
    <row r="29" spans="2:5" ht="15" customHeight="1" x14ac:dyDescent="0.25">
      <c r="B29" s="82"/>
      <c r="C29" s="45" t="s">
        <v>115</v>
      </c>
      <c r="D29" s="44">
        <v>66</v>
      </c>
      <c r="E29" s="43">
        <v>7.2847682119205295E-2</v>
      </c>
    </row>
    <row r="30" spans="2:5" ht="15" customHeight="1" x14ac:dyDescent="0.25">
      <c r="B30" s="82"/>
      <c r="C30" s="45" t="s">
        <v>114</v>
      </c>
      <c r="D30" s="44">
        <v>34</v>
      </c>
      <c r="E30" s="43">
        <v>3.7527593818984545E-2</v>
      </c>
    </row>
    <row r="31" spans="2:5" ht="15" customHeight="1" x14ac:dyDescent="0.25">
      <c r="B31" s="82"/>
      <c r="C31" s="45" t="s">
        <v>112</v>
      </c>
      <c r="D31" s="44">
        <v>26</v>
      </c>
      <c r="E31" s="43">
        <v>2.8697571743929361E-2</v>
      </c>
    </row>
    <row r="32" spans="2:5" ht="15" customHeight="1" x14ac:dyDescent="0.25">
      <c r="B32" s="82"/>
      <c r="C32" s="45" t="s">
        <v>109</v>
      </c>
      <c r="D32" s="44">
        <v>4</v>
      </c>
      <c r="E32" s="43">
        <v>4.4150110375275938E-3</v>
      </c>
    </row>
    <row r="33" spans="2:5" ht="15" customHeight="1" x14ac:dyDescent="0.25">
      <c r="B33" s="82"/>
      <c r="C33" s="45" t="s">
        <v>111</v>
      </c>
      <c r="D33" s="44">
        <v>7</v>
      </c>
      <c r="E33" s="43">
        <v>7.7262693156732896E-3</v>
      </c>
    </row>
    <row r="34" spans="2:5" ht="15" customHeight="1" x14ac:dyDescent="0.25">
      <c r="B34" s="82"/>
      <c r="C34" s="45" t="s">
        <v>107</v>
      </c>
      <c r="D34" s="44">
        <v>1</v>
      </c>
      <c r="E34" s="43">
        <v>1.1037527593818985E-3</v>
      </c>
    </row>
    <row r="35" spans="2:5" ht="15" customHeight="1" x14ac:dyDescent="0.25">
      <c r="B35" s="83"/>
      <c r="C35" s="42" t="s">
        <v>20</v>
      </c>
      <c r="D35" s="41">
        <v>198</v>
      </c>
      <c r="E35" s="40">
        <v>0.2185430463576159</v>
      </c>
    </row>
    <row r="36" spans="2:5" ht="15" customHeight="1" x14ac:dyDescent="0.25">
      <c r="B36" s="81" t="s">
        <v>51</v>
      </c>
      <c r="C36" s="45" t="s">
        <v>113</v>
      </c>
      <c r="D36" s="44">
        <v>1</v>
      </c>
      <c r="E36" s="43">
        <v>1.1037527593818985E-3</v>
      </c>
    </row>
    <row r="37" spans="2:5" ht="15" customHeight="1" x14ac:dyDescent="0.25">
      <c r="B37" s="82"/>
      <c r="C37" s="45" t="s">
        <v>110</v>
      </c>
      <c r="D37" s="44">
        <v>6</v>
      </c>
      <c r="E37" s="43">
        <v>6.6225165562913907E-3</v>
      </c>
    </row>
    <row r="38" spans="2:5" ht="15" customHeight="1" x14ac:dyDescent="0.25">
      <c r="B38" s="82"/>
      <c r="C38" s="45" t="s">
        <v>115</v>
      </c>
      <c r="D38" s="44">
        <v>16</v>
      </c>
      <c r="E38" s="43">
        <v>1.7660044150110375E-2</v>
      </c>
    </row>
    <row r="39" spans="2:5" ht="15" customHeight="1" x14ac:dyDescent="0.25">
      <c r="B39" s="82"/>
      <c r="C39" s="45" t="s">
        <v>114</v>
      </c>
      <c r="D39" s="44">
        <v>2</v>
      </c>
      <c r="E39" s="43">
        <v>2.2075055187637969E-3</v>
      </c>
    </row>
    <row r="40" spans="2:5" ht="15" customHeight="1" x14ac:dyDescent="0.25">
      <c r="B40" s="82"/>
      <c r="C40" s="45" t="s">
        <v>112</v>
      </c>
      <c r="D40" s="44">
        <v>2</v>
      </c>
      <c r="E40" s="43">
        <v>2.2075055187637969E-3</v>
      </c>
    </row>
    <row r="41" spans="2:5" ht="15" customHeight="1" x14ac:dyDescent="0.25">
      <c r="B41" s="82"/>
      <c r="C41" s="45" t="s">
        <v>111</v>
      </c>
      <c r="D41" s="44">
        <v>1</v>
      </c>
      <c r="E41" s="43">
        <v>1.1037527593818985E-3</v>
      </c>
    </row>
    <row r="42" spans="2:5" ht="15" customHeight="1" x14ac:dyDescent="0.25">
      <c r="B42" s="83"/>
      <c r="C42" s="42" t="s">
        <v>20</v>
      </c>
      <c r="D42" s="41">
        <v>28</v>
      </c>
      <c r="E42" s="40">
        <v>3.0905077262693158E-2</v>
      </c>
    </row>
    <row r="43" spans="2:5" ht="15" customHeight="1" x14ac:dyDescent="0.25">
      <c r="B43" s="81" t="s">
        <v>23</v>
      </c>
      <c r="C43" s="45" t="s">
        <v>113</v>
      </c>
      <c r="D43" s="44">
        <v>1</v>
      </c>
      <c r="E43" s="43">
        <v>1.1037527593818985E-3</v>
      </c>
    </row>
    <row r="44" spans="2:5" ht="15" customHeight="1" x14ac:dyDescent="0.25">
      <c r="B44" s="83"/>
      <c r="C44" s="42" t="s">
        <v>20</v>
      </c>
      <c r="D44" s="41">
        <v>1</v>
      </c>
      <c r="E44" s="40">
        <v>1.1037527593818985E-3</v>
      </c>
    </row>
    <row r="45" spans="2:5" ht="15" customHeight="1" x14ac:dyDescent="0.25">
      <c r="B45" s="81" t="s">
        <v>56</v>
      </c>
      <c r="C45" s="45" t="s">
        <v>113</v>
      </c>
      <c r="D45" s="44">
        <v>13</v>
      </c>
      <c r="E45" s="43">
        <v>1.434878587196468E-2</v>
      </c>
    </row>
    <row r="46" spans="2:5" ht="15" customHeight="1" x14ac:dyDescent="0.25">
      <c r="B46" s="82"/>
      <c r="C46" s="45" t="s">
        <v>115</v>
      </c>
      <c r="D46" s="44">
        <v>26</v>
      </c>
      <c r="E46" s="43">
        <v>2.8697571743929361E-2</v>
      </c>
    </row>
    <row r="47" spans="2:5" ht="15" customHeight="1" x14ac:dyDescent="0.25">
      <c r="B47" s="82"/>
      <c r="C47" s="45" t="s">
        <v>114</v>
      </c>
      <c r="D47" s="44">
        <v>16</v>
      </c>
      <c r="E47" s="43">
        <v>1.7660044150110375E-2</v>
      </c>
    </row>
    <row r="48" spans="2:5" ht="15" customHeight="1" x14ac:dyDescent="0.25">
      <c r="B48" s="82"/>
      <c r="C48" s="45" t="s">
        <v>112</v>
      </c>
      <c r="D48" s="44">
        <v>6</v>
      </c>
      <c r="E48" s="43">
        <v>6.6225165562913907E-3</v>
      </c>
    </row>
    <row r="49" spans="2:5" ht="15" customHeight="1" x14ac:dyDescent="0.25">
      <c r="B49" s="82"/>
      <c r="C49" s="45" t="s">
        <v>109</v>
      </c>
      <c r="D49" s="44">
        <v>1</v>
      </c>
      <c r="E49" s="43">
        <v>1.1037527593818985E-3</v>
      </c>
    </row>
    <row r="50" spans="2:5" ht="15" customHeight="1" x14ac:dyDescent="0.25">
      <c r="B50" s="82"/>
      <c r="C50" s="45" t="s">
        <v>111</v>
      </c>
      <c r="D50" s="44">
        <v>1</v>
      </c>
      <c r="E50" s="43">
        <v>1.1037527593818985E-3</v>
      </c>
    </row>
    <row r="51" spans="2:5" ht="15" customHeight="1" x14ac:dyDescent="0.25">
      <c r="B51" s="82"/>
      <c r="C51" s="45" t="s">
        <v>106</v>
      </c>
      <c r="D51" s="44">
        <v>1</v>
      </c>
      <c r="E51" s="43">
        <v>1.1037527593818985E-3</v>
      </c>
    </row>
    <row r="52" spans="2:5" ht="15" customHeight="1" x14ac:dyDescent="0.25">
      <c r="B52" s="83"/>
      <c r="C52" s="42" t="s">
        <v>20</v>
      </c>
      <c r="D52" s="41">
        <v>64</v>
      </c>
      <c r="E52" s="40">
        <v>7.0640176600441501E-2</v>
      </c>
    </row>
    <row r="53" spans="2:5" ht="15" customHeight="1" x14ac:dyDescent="0.25">
      <c r="B53" s="81" t="s">
        <v>54</v>
      </c>
      <c r="C53" s="45" t="s">
        <v>108</v>
      </c>
      <c r="D53" s="44">
        <v>1</v>
      </c>
      <c r="E53" s="43">
        <v>1.1037527593818985E-3</v>
      </c>
    </row>
    <row r="54" spans="2:5" ht="15" customHeight="1" x14ac:dyDescent="0.25">
      <c r="B54" s="82"/>
      <c r="C54" s="45" t="s">
        <v>113</v>
      </c>
      <c r="D54" s="44">
        <v>3</v>
      </c>
      <c r="E54" s="43">
        <v>3.3112582781456954E-3</v>
      </c>
    </row>
    <row r="55" spans="2:5" ht="15" customHeight="1" x14ac:dyDescent="0.25">
      <c r="B55" s="82"/>
      <c r="C55" s="45" t="s">
        <v>110</v>
      </c>
      <c r="D55" s="44">
        <v>1</v>
      </c>
      <c r="E55" s="43">
        <v>1.1037527593818985E-3</v>
      </c>
    </row>
    <row r="56" spans="2:5" ht="15" customHeight="1" x14ac:dyDescent="0.25">
      <c r="B56" s="82"/>
      <c r="C56" s="45" t="s">
        <v>115</v>
      </c>
      <c r="D56" s="44">
        <v>11</v>
      </c>
      <c r="E56" s="43">
        <v>1.2141280353200883E-2</v>
      </c>
    </row>
    <row r="57" spans="2:5" ht="15" customHeight="1" x14ac:dyDescent="0.25">
      <c r="B57" s="82"/>
      <c r="C57" s="45" t="s">
        <v>114</v>
      </c>
      <c r="D57" s="44">
        <v>11</v>
      </c>
      <c r="E57" s="43">
        <v>1.2141280353200883E-2</v>
      </c>
    </row>
    <row r="58" spans="2:5" ht="15" customHeight="1" x14ac:dyDescent="0.25">
      <c r="B58" s="82"/>
      <c r="C58" s="45" t="s">
        <v>111</v>
      </c>
      <c r="D58" s="44">
        <v>1</v>
      </c>
      <c r="E58" s="43">
        <v>1.1037527593818985E-3</v>
      </c>
    </row>
    <row r="59" spans="2:5" ht="15" customHeight="1" x14ac:dyDescent="0.25">
      <c r="B59" s="83"/>
      <c r="C59" s="42" t="s">
        <v>20</v>
      </c>
      <c r="D59" s="41">
        <v>28</v>
      </c>
      <c r="E59" s="40">
        <v>3.0905077262693158E-2</v>
      </c>
    </row>
    <row r="60" spans="2:5" ht="15" customHeight="1" x14ac:dyDescent="0.25">
      <c r="B60" s="81" t="s">
        <v>34</v>
      </c>
      <c r="C60" s="45" t="s">
        <v>113</v>
      </c>
      <c r="D60" s="44">
        <v>1</v>
      </c>
      <c r="E60" s="43">
        <v>1.1037527593818985E-3</v>
      </c>
    </row>
    <row r="61" spans="2:5" ht="15" customHeight="1" x14ac:dyDescent="0.25">
      <c r="B61" s="82"/>
      <c r="C61" s="45" t="s">
        <v>110</v>
      </c>
      <c r="D61" s="44">
        <v>1</v>
      </c>
      <c r="E61" s="43">
        <v>1.1037527593818985E-3</v>
      </c>
    </row>
    <row r="62" spans="2:5" ht="15" customHeight="1" x14ac:dyDescent="0.25">
      <c r="B62" s="82"/>
      <c r="C62" s="45" t="s">
        <v>115</v>
      </c>
      <c r="D62" s="44">
        <v>2</v>
      </c>
      <c r="E62" s="43">
        <v>2.2075055187637969E-3</v>
      </c>
    </row>
    <row r="63" spans="2:5" ht="15" customHeight="1" x14ac:dyDescent="0.25">
      <c r="B63" s="82"/>
      <c r="C63" s="45" t="s">
        <v>112</v>
      </c>
      <c r="D63" s="44">
        <v>2</v>
      </c>
      <c r="E63" s="43">
        <v>2.2075055187637969E-3</v>
      </c>
    </row>
    <row r="64" spans="2:5" ht="15" customHeight="1" x14ac:dyDescent="0.25">
      <c r="B64" s="83"/>
      <c r="C64" s="42" t="s">
        <v>20</v>
      </c>
      <c r="D64" s="41">
        <v>6</v>
      </c>
      <c r="E64" s="40">
        <v>6.6225165562913907E-3</v>
      </c>
    </row>
    <row r="65" spans="2:5" ht="15" customHeight="1" x14ac:dyDescent="0.25">
      <c r="B65" s="81" t="s">
        <v>49</v>
      </c>
      <c r="C65" s="45" t="s">
        <v>113</v>
      </c>
      <c r="D65" s="44">
        <v>8</v>
      </c>
      <c r="E65" s="43">
        <v>8.8300220750551876E-3</v>
      </c>
    </row>
    <row r="66" spans="2:5" ht="15" customHeight="1" x14ac:dyDescent="0.25">
      <c r="B66" s="82"/>
      <c r="C66" s="45" t="s">
        <v>115</v>
      </c>
      <c r="D66" s="44">
        <v>8</v>
      </c>
      <c r="E66" s="43">
        <v>8.8300220750551876E-3</v>
      </c>
    </row>
    <row r="67" spans="2:5" ht="15" customHeight="1" x14ac:dyDescent="0.25">
      <c r="B67" s="82"/>
      <c r="C67" s="45" t="s">
        <v>114</v>
      </c>
      <c r="D67" s="44">
        <v>4</v>
      </c>
      <c r="E67" s="43">
        <v>4.4150110375275938E-3</v>
      </c>
    </row>
    <row r="68" spans="2:5" ht="15" customHeight="1" x14ac:dyDescent="0.25">
      <c r="B68" s="82"/>
      <c r="C68" s="45" t="s">
        <v>112</v>
      </c>
      <c r="D68" s="44">
        <v>2</v>
      </c>
      <c r="E68" s="43">
        <v>2.2075055187637969E-3</v>
      </c>
    </row>
    <row r="69" spans="2:5" ht="15" customHeight="1" x14ac:dyDescent="0.25">
      <c r="B69" s="82"/>
      <c r="C69" s="45" t="s">
        <v>111</v>
      </c>
      <c r="D69" s="44">
        <v>2</v>
      </c>
      <c r="E69" s="43">
        <v>2.2075055187637969E-3</v>
      </c>
    </row>
    <row r="70" spans="2:5" ht="15" customHeight="1" x14ac:dyDescent="0.25">
      <c r="B70" s="83"/>
      <c r="C70" s="42" t="s">
        <v>20</v>
      </c>
      <c r="D70" s="41">
        <v>24</v>
      </c>
      <c r="E70" s="40">
        <v>2.6490066225165563E-2</v>
      </c>
    </row>
    <row r="71" spans="2:5" ht="15" customHeight="1" x14ac:dyDescent="0.25">
      <c r="B71" s="81" t="s">
        <v>45</v>
      </c>
      <c r="C71" s="45" t="s">
        <v>113</v>
      </c>
      <c r="D71" s="44">
        <v>6</v>
      </c>
      <c r="E71" s="43">
        <v>6.6225165562913907E-3</v>
      </c>
    </row>
    <row r="72" spans="2:5" ht="15" customHeight="1" x14ac:dyDescent="0.25">
      <c r="B72" s="82"/>
      <c r="C72" s="45" t="s">
        <v>115</v>
      </c>
      <c r="D72" s="44">
        <v>4</v>
      </c>
      <c r="E72" s="43">
        <v>4.4150110375275938E-3</v>
      </c>
    </row>
    <row r="73" spans="2:5" ht="15" customHeight="1" x14ac:dyDescent="0.25">
      <c r="B73" s="82"/>
      <c r="C73" s="45" t="s">
        <v>114</v>
      </c>
      <c r="D73" s="44">
        <v>3</v>
      </c>
      <c r="E73" s="43">
        <v>3.3112582781456954E-3</v>
      </c>
    </row>
    <row r="74" spans="2:5" ht="15" customHeight="1" x14ac:dyDescent="0.25">
      <c r="B74" s="82"/>
      <c r="C74" s="45" t="s">
        <v>112</v>
      </c>
      <c r="D74" s="44">
        <v>2</v>
      </c>
      <c r="E74" s="43">
        <v>2.2075055187637969E-3</v>
      </c>
    </row>
    <row r="75" spans="2:5" ht="15" customHeight="1" x14ac:dyDescent="0.25">
      <c r="B75" s="82"/>
      <c r="C75" s="45" t="s">
        <v>109</v>
      </c>
      <c r="D75" s="44">
        <v>1</v>
      </c>
      <c r="E75" s="43">
        <v>1.1037527593818985E-3</v>
      </c>
    </row>
    <row r="76" spans="2:5" ht="15" customHeight="1" x14ac:dyDescent="0.25">
      <c r="B76" s="82"/>
      <c r="C76" s="45" t="s">
        <v>111</v>
      </c>
      <c r="D76" s="44">
        <v>2</v>
      </c>
      <c r="E76" s="43">
        <v>2.2075055187637969E-3</v>
      </c>
    </row>
    <row r="77" spans="2:5" ht="15" customHeight="1" x14ac:dyDescent="0.25">
      <c r="B77" s="83"/>
      <c r="C77" s="42" t="s">
        <v>20</v>
      </c>
      <c r="D77" s="41">
        <v>18</v>
      </c>
      <c r="E77" s="40">
        <v>1.9867549668874173E-2</v>
      </c>
    </row>
    <row r="78" spans="2:5" ht="15" customHeight="1" x14ac:dyDescent="0.25">
      <c r="B78" s="81" t="s">
        <v>47</v>
      </c>
      <c r="C78" s="45" t="s">
        <v>113</v>
      </c>
      <c r="D78" s="44">
        <v>3</v>
      </c>
      <c r="E78" s="43">
        <v>3.3112582781456954E-3</v>
      </c>
    </row>
    <row r="79" spans="2:5" ht="15" customHeight="1" x14ac:dyDescent="0.25">
      <c r="B79" s="82"/>
      <c r="C79" s="45" t="s">
        <v>115</v>
      </c>
      <c r="D79" s="44">
        <v>1</v>
      </c>
      <c r="E79" s="43">
        <v>1.1037527593818985E-3</v>
      </c>
    </row>
    <row r="80" spans="2:5" ht="15" customHeight="1" x14ac:dyDescent="0.25">
      <c r="B80" s="82"/>
      <c r="C80" s="45" t="s">
        <v>114</v>
      </c>
      <c r="D80" s="44">
        <v>2</v>
      </c>
      <c r="E80" s="43">
        <v>2.2075055187637969E-3</v>
      </c>
    </row>
    <row r="81" spans="2:5" ht="15" customHeight="1" x14ac:dyDescent="0.25">
      <c r="B81" s="82"/>
      <c r="C81" s="45" t="s">
        <v>112</v>
      </c>
      <c r="D81" s="44">
        <v>3</v>
      </c>
      <c r="E81" s="43">
        <v>3.3112582781456954E-3</v>
      </c>
    </row>
    <row r="82" spans="2:5" ht="15" customHeight="1" x14ac:dyDescent="0.25">
      <c r="B82" s="83"/>
      <c r="C82" s="42" t="s">
        <v>20</v>
      </c>
      <c r="D82" s="41">
        <v>9</v>
      </c>
      <c r="E82" s="40">
        <v>9.9337748344370865E-3</v>
      </c>
    </row>
    <row r="83" spans="2:5" ht="15" customHeight="1" x14ac:dyDescent="0.25">
      <c r="B83" s="81" t="s">
        <v>43</v>
      </c>
      <c r="C83" s="45" t="s">
        <v>113</v>
      </c>
      <c r="D83" s="44">
        <v>1</v>
      </c>
      <c r="E83" s="43">
        <v>1.1037527593818985E-3</v>
      </c>
    </row>
    <row r="84" spans="2:5" ht="15" customHeight="1" x14ac:dyDescent="0.25">
      <c r="B84" s="82"/>
      <c r="C84" s="45" t="s">
        <v>110</v>
      </c>
      <c r="D84" s="44">
        <v>2</v>
      </c>
      <c r="E84" s="43">
        <v>2.2075055187637969E-3</v>
      </c>
    </row>
    <row r="85" spans="2:5" ht="15" customHeight="1" x14ac:dyDescent="0.25">
      <c r="B85" s="82"/>
      <c r="C85" s="45" t="s">
        <v>115</v>
      </c>
      <c r="D85" s="44">
        <v>6</v>
      </c>
      <c r="E85" s="43">
        <v>6.6225165562913907E-3</v>
      </c>
    </row>
    <row r="86" spans="2:5" ht="15" customHeight="1" x14ac:dyDescent="0.25">
      <c r="B86" s="82"/>
      <c r="C86" s="45" t="s">
        <v>114</v>
      </c>
      <c r="D86" s="44">
        <v>1</v>
      </c>
      <c r="E86" s="43">
        <v>1.1037527593818985E-3</v>
      </c>
    </row>
    <row r="87" spans="2:5" ht="15" customHeight="1" x14ac:dyDescent="0.25">
      <c r="B87" s="82"/>
      <c r="C87" s="45" t="s">
        <v>112</v>
      </c>
      <c r="D87" s="44">
        <v>1</v>
      </c>
      <c r="E87" s="43">
        <v>1.1037527593818985E-3</v>
      </c>
    </row>
    <row r="88" spans="2:5" ht="15" customHeight="1" x14ac:dyDescent="0.25">
      <c r="B88" s="82"/>
      <c r="C88" s="45" t="s">
        <v>109</v>
      </c>
      <c r="D88" s="44">
        <v>1</v>
      </c>
      <c r="E88" s="43">
        <v>1.1037527593818985E-3</v>
      </c>
    </row>
    <row r="89" spans="2:5" ht="15" customHeight="1" x14ac:dyDescent="0.25">
      <c r="B89" s="83"/>
      <c r="C89" s="42" t="s">
        <v>20</v>
      </c>
      <c r="D89" s="41">
        <v>12</v>
      </c>
      <c r="E89" s="40">
        <v>1.3245033112582781E-2</v>
      </c>
    </row>
    <row r="90" spans="2:5" ht="15" customHeight="1" x14ac:dyDescent="0.25">
      <c r="B90" s="81" t="s">
        <v>25</v>
      </c>
      <c r="C90" s="45" t="s">
        <v>113</v>
      </c>
      <c r="D90" s="44">
        <v>1</v>
      </c>
      <c r="E90" s="43">
        <v>1.1037527593818985E-3</v>
      </c>
    </row>
    <row r="91" spans="2:5" ht="15" customHeight="1" x14ac:dyDescent="0.25">
      <c r="B91" s="82"/>
      <c r="C91" s="45" t="s">
        <v>115</v>
      </c>
      <c r="D91" s="44">
        <v>2</v>
      </c>
      <c r="E91" s="43">
        <v>2.2075055187637969E-3</v>
      </c>
    </row>
    <row r="92" spans="2:5" ht="15" customHeight="1" x14ac:dyDescent="0.25">
      <c r="B92" s="82"/>
      <c r="C92" s="45" t="s">
        <v>114</v>
      </c>
      <c r="D92" s="44">
        <v>3</v>
      </c>
      <c r="E92" s="43">
        <v>3.3112582781456954E-3</v>
      </c>
    </row>
    <row r="93" spans="2:5" ht="15" customHeight="1" x14ac:dyDescent="0.25">
      <c r="B93" s="83"/>
      <c r="C93" s="42" t="s">
        <v>20</v>
      </c>
      <c r="D93" s="41">
        <v>6</v>
      </c>
      <c r="E93" s="40">
        <v>6.6225165562913907E-3</v>
      </c>
    </row>
    <row r="94" spans="2:5" ht="15" customHeight="1" x14ac:dyDescent="0.25">
      <c r="B94" s="81" t="s">
        <v>42</v>
      </c>
      <c r="C94" s="45" t="s">
        <v>113</v>
      </c>
      <c r="D94" s="44">
        <v>1</v>
      </c>
      <c r="E94" s="43">
        <v>1.1037527593818985E-3</v>
      </c>
    </row>
    <row r="95" spans="2:5" ht="15" customHeight="1" x14ac:dyDescent="0.25">
      <c r="B95" s="82"/>
      <c r="C95" s="45" t="s">
        <v>110</v>
      </c>
      <c r="D95" s="44">
        <v>1</v>
      </c>
      <c r="E95" s="43">
        <v>1.1037527593818985E-3</v>
      </c>
    </row>
    <row r="96" spans="2:5" ht="15" customHeight="1" x14ac:dyDescent="0.25">
      <c r="B96" s="82"/>
      <c r="C96" s="45" t="s">
        <v>115</v>
      </c>
      <c r="D96" s="44">
        <v>6</v>
      </c>
      <c r="E96" s="43">
        <v>6.6225165562913907E-3</v>
      </c>
    </row>
    <row r="97" spans="2:5" ht="15" customHeight="1" x14ac:dyDescent="0.25">
      <c r="B97" s="82"/>
      <c r="C97" s="45" t="s">
        <v>114</v>
      </c>
      <c r="D97" s="44">
        <v>2</v>
      </c>
      <c r="E97" s="43">
        <v>2.2075055187637969E-3</v>
      </c>
    </row>
    <row r="98" spans="2:5" ht="15" customHeight="1" x14ac:dyDescent="0.25">
      <c r="B98" s="82"/>
      <c r="C98" s="45" t="s">
        <v>109</v>
      </c>
      <c r="D98" s="44">
        <v>1</v>
      </c>
      <c r="E98" s="43">
        <v>1.1037527593818985E-3</v>
      </c>
    </row>
    <row r="99" spans="2:5" ht="15" customHeight="1" x14ac:dyDescent="0.25">
      <c r="B99" s="83"/>
      <c r="C99" s="42" t="s">
        <v>20</v>
      </c>
      <c r="D99" s="41">
        <v>11</v>
      </c>
      <c r="E99" s="40">
        <v>1.2141280353200883E-2</v>
      </c>
    </row>
    <row r="100" spans="2:5" ht="15" customHeight="1" x14ac:dyDescent="0.25">
      <c r="B100" s="81" t="s">
        <v>27</v>
      </c>
      <c r="C100" s="45" t="s">
        <v>115</v>
      </c>
      <c r="D100" s="44">
        <v>2</v>
      </c>
      <c r="E100" s="43">
        <v>2.2075055187637969E-3</v>
      </c>
    </row>
    <row r="101" spans="2:5" ht="15" customHeight="1" x14ac:dyDescent="0.25">
      <c r="B101" s="83"/>
      <c r="C101" s="42" t="s">
        <v>20</v>
      </c>
      <c r="D101" s="41">
        <v>2</v>
      </c>
      <c r="E101" s="40">
        <v>2.2075055187637969E-3</v>
      </c>
    </row>
    <row r="102" spans="2:5" ht="15" customHeight="1" x14ac:dyDescent="0.25">
      <c r="B102" s="81" t="s">
        <v>21</v>
      </c>
      <c r="C102" s="45" t="s">
        <v>115</v>
      </c>
      <c r="D102" s="44">
        <v>1</v>
      </c>
      <c r="E102" s="43">
        <v>1.1037527593818985E-3</v>
      </c>
    </row>
    <row r="103" spans="2:5" ht="15" customHeight="1" x14ac:dyDescent="0.25">
      <c r="B103" s="83"/>
      <c r="C103" s="42" t="s">
        <v>20</v>
      </c>
      <c r="D103" s="41">
        <v>1</v>
      </c>
      <c r="E103" s="40">
        <v>1.1037527593818985E-3</v>
      </c>
    </row>
    <row r="104" spans="2:5" ht="15" customHeight="1" x14ac:dyDescent="0.25">
      <c r="B104" s="81" t="s">
        <v>32</v>
      </c>
      <c r="C104" s="45" t="s">
        <v>108</v>
      </c>
      <c r="D104" s="44">
        <v>1</v>
      </c>
      <c r="E104" s="43">
        <v>1.1037527593818985E-3</v>
      </c>
    </row>
    <row r="105" spans="2:5" ht="15" customHeight="1" x14ac:dyDescent="0.25">
      <c r="B105" s="82"/>
      <c r="C105" s="45" t="s">
        <v>113</v>
      </c>
      <c r="D105" s="44">
        <v>1</v>
      </c>
      <c r="E105" s="43">
        <v>1.1037527593818985E-3</v>
      </c>
    </row>
    <row r="106" spans="2:5" ht="15" customHeight="1" x14ac:dyDescent="0.25">
      <c r="B106" s="82"/>
      <c r="C106" s="45" t="s">
        <v>110</v>
      </c>
      <c r="D106" s="44">
        <v>1</v>
      </c>
      <c r="E106" s="43">
        <v>1.1037527593818985E-3</v>
      </c>
    </row>
    <row r="107" spans="2:5" ht="15" customHeight="1" x14ac:dyDescent="0.25">
      <c r="B107" s="82"/>
      <c r="C107" s="45" t="s">
        <v>115</v>
      </c>
      <c r="D107" s="44">
        <v>1</v>
      </c>
      <c r="E107" s="43">
        <v>1.1037527593818985E-3</v>
      </c>
    </row>
    <row r="108" spans="2:5" ht="15" customHeight="1" x14ac:dyDescent="0.25">
      <c r="B108" s="82"/>
      <c r="C108" s="45" t="s">
        <v>114</v>
      </c>
      <c r="D108" s="44">
        <v>1</v>
      </c>
      <c r="E108" s="43">
        <v>1.1037527593818985E-3</v>
      </c>
    </row>
    <row r="109" spans="2:5" ht="15" customHeight="1" x14ac:dyDescent="0.25">
      <c r="B109" s="82"/>
      <c r="C109" s="45" t="s">
        <v>112</v>
      </c>
      <c r="D109" s="44">
        <v>2</v>
      </c>
      <c r="E109" s="43">
        <v>2.2075055187637969E-3</v>
      </c>
    </row>
    <row r="110" spans="2:5" ht="15" customHeight="1" x14ac:dyDescent="0.25">
      <c r="B110" s="83"/>
      <c r="C110" s="42" t="s">
        <v>20</v>
      </c>
      <c r="D110" s="41">
        <v>7</v>
      </c>
      <c r="E110" s="40">
        <v>7.7262693156732896E-3</v>
      </c>
    </row>
    <row r="111" spans="2:5" ht="15" customHeight="1" x14ac:dyDescent="0.25">
      <c r="B111" s="81" t="s">
        <v>37</v>
      </c>
      <c r="C111" s="45" t="s">
        <v>113</v>
      </c>
      <c r="D111" s="44">
        <v>9</v>
      </c>
      <c r="E111" s="43">
        <v>9.9337748344370865E-3</v>
      </c>
    </row>
    <row r="112" spans="2:5" ht="15" customHeight="1" x14ac:dyDescent="0.25">
      <c r="B112" s="82"/>
      <c r="C112" s="45" t="s">
        <v>115</v>
      </c>
      <c r="D112" s="44">
        <v>7</v>
      </c>
      <c r="E112" s="43">
        <v>7.7262693156732896E-3</v>
      </c>
    </row>
    <row r="113" spans="2:5" ht="15" customHeight="1" x14ac:dyDescent="0.25">
      <c r="B113" s="82"/>
      <c r="C113" s="45" t="s">
        <v>114</v>
      </c>
      <c r="D113" s="44">
        <v>3</v>
      </c>
      <c r="E113" s="43">
        <v>3.3112582781456954E-3</v>
      </c>
    </row>
    <row r="114" spans="2:5" ht="15" customHeight="1" x14ac:dyDescent="0.25">
      <c r="B114" s="82"/>
      <c r="C114" s="45" t="s">
        <v>112</v>
      </c>
      <c r="D114" s="44">
        <v>1</v>
      </c>
      <c r="E114" s="43">
        <v>1.1037527593818985E-3</v>
      </c>
    </row>
    <row r="115" spans="2:5" ht="15" customHeight="1" x14ac:dyDescent="0.25">
      <c r="B115" s="83"/>
      <c r="C115" s="42" t="s">
        <v>20</v>
      </c>
      <c r="D115" s="41">
        <v>20</v>
      </c>
      <c r="E115" s="40">
        <v>2.2075055187637971E-2</v>
      </c>
    </row>
    <row r="116" spans="2:5" ht="15" customHeight="1" x14ac:dyDescent="0.25">
      <c r="B116" s="81" t="s">
        <v>35</v>
      </c>
      <c r="C116" s="45" t="s">
        <v>113</v>
      </c>
      <c r="D116" s="44">
        <v>1</v>
      </c>
      <c r="E116" s="43">
        <v>1.1037527593818985E-3</v>
      </c>
    </row>
    <row r="117" spans="2:5" ht="15" customHeight="1" x14ac:dyDescent="0.25">
      <c r="B117" s="82"/>
      <c r="C117" s="45" t="s">
        <v>115</v>
      </c>
      <c r="D117" s="44">
        <v>1</v>
      </c>
      <c r="E117" s="43">
        <v>1.1037527593818985E-3</v>
      </c>
    </row>
    <row r="118" spans="2:5" ht="15" customHeight="1" x14ac:dyDescent="0.25">
      <c r="B118" s="82"/>
      <c r="C118" s="45" t="s">
        <v>114</v>
      </c>
      <c r="D118" s="44">
        <v>1</v>
      </c>
      <c r="E118" s="43">
        <v>1.1037527593818985E-3</v>
      </c>
    </row>
    <row r="119" spans="2:5" ht="15" customHeight="1" x14ac:dyDescent="0.25">
      <c r="B119" s="82"/>
      <c r="C119" s="45" t="s">
        <v>112</v>
      </c>
      <c r="D119" s="44">
        <v>1</v>
      </c>
      <c r="E119" s="43">
        <v>1.1037527593818985E-3</v>
      </c>
    </row>
    <row r="120" spans="2:5" ht="15" customHeight="1" x14ac:dyDescent="0.25">
      <c r="B120" s="82"/>
      <c r="C120" s="45" t="s">
        <v>111</v>
      </c>
      <c r="D120" s="44">
        <v>1</v>
      </c>
      <c r="E120" s="43">
        <v>1.1037527593818985E-3</v>
      </c>
    </row>
    <row r="121" spans="2:5" ht="15" customHeight="1" x14ac:dyDescent="0.25">
      <c r="B121" s="83"/>
      <c r="C121" s="42" t="s">
        <v>20</v>
      </c>
      <c r="D121" s="41">
        <v>5</v>
      </c>
      <c r="E121" s="40">
        <v>5.5187637969094927E-3</v>
      </c>
    </row>
    <row r="122" spans="2:5" ht="15" customHeight="1" x14ac:dyDescent="0.25">
      <c r="B122" s="81" t="s">
        <v>41</v>
      </c>
      <c r="C122" s="45" t="s">
        <v>113</v>
      </c>
      <c r="D122" s="44">
        <v>4</v>
      </c>
      <c r="E122" s="43">
        <v>4.4150110375275938E-3</v>
      </c>
    </row>
    <row r="123" spans="2:5" ht="15" customHeight="1" x14ac:dyDescent="0.25">
      <c r="B123" s="82"/>
      <c r="C123" s="45" t="s">
        <v>112</v>
      </c>
      <c r="D123" s="44">
        <v>3</v>
      </c>
      <c r="E123" s="43">
        <v>3.3112582781456954E-3</v>
      </c>
    </row>
    <row r="124" spans="2:5" ht="15" customHeight="1" x14ac:dyDescent="0.25">
      <c r="B124" s="83"/>
      <c r="C124" s="42" t="s">
        <v>20</v>
      </c>
      <c r="D124" s="41">
        <v>7</v>
      </c>
      <c r="E124" s="40">
        <v>7.7262693156732896E-3</v>
      </c>
    </row>
    <row r="125" spans="2:5" ht="15" customHeight="1" x14ac:dyDescent="0.25">
      <c r="B125" s="81" t="s">
        <v>55</v>
      </c>
      <c r="C125" s="45" t="s">
        <v>113</v>
      </c>
      <c r="D125" s="44">
        <v>5</v>
      </c>
      <c r="E125" s="43">
        <v>5.5187637969094927E-3</v>
      </c>
    </row>
    <row r="126" spans="2:5" ht="15" customHeight="1" x14ac:dyDescent="0.25">
      <c r="B126" s="82"/>
      <c r="C126" s="45" t="s">
        <v>115</v>
      </c>
      <c r="D126" s="44">
        <v>18</v>
      </c>
      <c r="E126" s="43">
        <v>1.9867549668874173E-2</v>
      </c>
    </row>
    <row r="127" spans="2:5" ht="15" customHeight="1" x14ac:dyDescent="0.25">
      <c r="B127" s="82"/>
      <c r="C127" s="45" t="s">
        <v>114</v>
      </c>
      <c r="D127" s="44">
        <v>12</v>
      </c>
      <c r="E127" s="43">
        <v>1.3245033112582781E-2</v>
      </c>
    </row>
    <row r="128" spans="2:5" ht="15" customHeight="1" x14ac:dyDescent="0.25">
      <c r="B128" s="82"/>
      <c r="C128" s="45" t="s">
        <v>112</v>
      </c>
      <c r="D128" s="44">
        <v>27</v>
      </c>
      <c r="E128" s="43">
        <v>2.9801324503311258E-2</v>
      </c>
    </row>
    <row r="129" spans="2:5" ht="15" customHeight="1" x14ac:dyDescent="0.25">
      <c r="B129" s="83"/>
      <c r="C129" s="42" t="s">
        <v>20</v>
      </c>
      <c r="D129" s="41">
        <v>62</v>
      </c>
      <c r="E129" s="40">
        <v>6.8432671081677707E-2</v>
      </c>
    </row>
    <row r="130" spans="2:5" ht="15" customHeight="1" x14ac:dyDescent="0.25">
      <c r="B130" s="81" t="s">
        <v>44</v>
      </c>
      <c r="C130" s="45" t="s">
        <v>113</v>
      </c>
      <c r="D130" s="44">
        <v>9</v>
      </c>
      <c r="E130" s="43">
        <v>9.9337748344370865E-3</v>
      </c>
    </row>
    <row r="131" spans="2:5" ht="15" customHeight="1" x14ac:dyDescent="0.25">
      <c r="B131" s="82"/>
      <c r="C131" s="45" t="s">
        <v>115</v>
      </c>
      <c r="D131" s="44">
        <v>3</v>
      </c>
      <c r="E131" s="43">
        <v>3.3112582781456954E-3</v>
      </c>
    </row>
    <row r="132" spans="2:5" ht="15" customHeight="1" x14ac:dyDescent="0.25">
      <c r="B132" s="82"/>
      <c r="C132" s="45" t="s">
        <v>114</v>
      </c>
      <c r="D132" s="44">
        <v>2</v>
      </c>
      <c r="E132" s="43">
        <v>2.2075055187637969E-3</v>
      </c>
    </row>
    <row r="133" spans="2:5" ht="15" customHeight="1" x14ac:dyDescent="0.25">
      <c r="B133" s="82"/>
      <c r="C133" s="45" t="s">
        <v>112</v>
      </c>
      <c r="D133" s="44">
        <v>1</v>
      </c>
      <c r="E133" s="43">
        <v>1.1037527593818985E-3</v>
      </c>
    </row>
    <row r="134" spans="2:5" ht="15" customHeight="1" x14ac:dyDescent="0.25">
      <c r="B134" s="82"/>
      <c r="C134" s="45" t="s">
        <v>111</v>
      </c>
      <c r="D134" s="44">
        <v>1</v>
      </c>
      <c r="E134" s="43">
        <v>1.1037527593818985E-3</v>
      </c>
    </row>
    <row r="135" spans="2:5" ht="15" customHeight="1" x14ac:dyDescent="0.25">
      <c r="B135" s="83"/>
      <c r="C135" s="42" t="s">
        <v>20</v>
      </c>
      <c r="D135" s="41">
        <v>16</v>
      </c>
      <c r="E135" s="40">
        <v>1.7660044150110375E-2</v>
      </c>
    </row>
    <row r="136" spans="2:5" ht="15" customHeight="1" x14ac:dyDescent="0.25">
      <c r="B136" s="81" t="s">
        <v>33</v>
      </c>
      <c r="C136" s="45" t="s">
        <v>113</v>
      </c>
      <c r="D136" s="44">
        <v>2</v>
      </c>
      <c r="E136" s="43">
        <v>2.2075055187637969E-3</v>
      </c>
    </row>
    <row r="137" spans="2:5" ht="15" customHeight="1" x14ac:dyDescent="0.25">
      <c r="B137" s="82"/>
      <c r="C137" s="45" t="s">
        <v>110</v>
      </c>
      <c r="D137" s="44">
        <v>1</v>
      </c>
      <c r="E137" s="43">
        <v>1.1037527593818985E-3</v>
      </c>
    </row>
    <row r="138" spans="2:5" ht="15" customHeight="1" x14ac:dyDescent="0.25">
      <c r="B138" s="82"/>
      <c r="C138" s="45" t="s">
        <v>115</v>
      </c>
      <c r="D138" s="44">
        <v>1</v>
      </c>
      <c r="E138" s="43">
        <v>1.1037527593818985E-3</v>
      </c>
    </row>
    <row r="139" spans="2:5" ht="15" customHeight="1" x14ac:dyDescent="0.25">
      <c r="B139" s="82"/>
      <c r="C139" s="45" t="s">
        <v>112</v>
      </c>
      <c r="D139" s="44">
        <v>1</v>
      </c>
      <c r="E139" s="43">
        <v>1.1037527593818985E-3</v>
      </c>
    </row>
    <row r="140" spans="2:5" ht="15" customHeight="1" x14ac:dyDescent="0.25">
      <c r="B140" s="83"/>
      <c r="C140" s="42" t="s">
        <v>20</v>
      </c>
      <c r="D140" s="41">
        <v>5</v>
      </c>
      <c r="E140" s="40">
        <v>5.5187637969094927E-3</v>
      </c>
    </row>
    <row r="141" spans="2:5" ht="15" customHeight="1" x14ac:dyDescent="0.25">
      <c r="B141" s="81" t="s">
        <v>28</v>
      </c>
      <c r="C141" s="45" t="s">
        <v>115</v>
      </c>
      <c r="D141" s="44">
        <v>2</v>
      </c>
      <c r="E141" s="43">
        <v>2.2075055187637969E-3</v>
      </c>
    </row>
    <row r="142" spans="2:5" ht="15" customHeight="1" x14ac:dyDescent="0.25">
      <c r="B142" s="83"/>
      <c r="C142" s="42" t="s">
        <v>20</v>
      </c>
      <c r="D142" s="41">
        <v>2</v>
      </c>
      <c r="E142" s="40">
        <v>2.2075055187637969E-3</v>
      </c>
    </row>
    <row r="143" spans="2:5" ht="15" customHeight="1" x14ac:dyDescent="0.25">
      <c r="B143" s="81" t="s">
        <v>31</v>
      </c>
      <c r="C143" s="45" t="s">
        <v>113</v>
      </c>
      <c r="D143" s="44">
        <v>3</v>
      </c>
      <c r="E143" s="43">
        <v>3.3112582781456954E-3</v>
      </c>
    </row>
    <row r="144" spans="2:5" ht="15" customHeight="1" x14ac:dyDescent="0.25">
      <c r="B144" s="82"/>
      <c r="C144" s="45" t="s">
        <v>114</v>
      </c>
      <c r="D144" s="44">
        <v>1</v>
      </c>
      <c r="E144" s="43">
        <v>1.1037527593818985E-3</v>
      </c>
    </row>
    <row r="145" spans="2:5" ht="15" customHeight="1" x14ac:dyDescent="0.25">
      <c r="B145" s="83"/>
      <c r="C145" s="42" t="s">
        <v>20</v>
      </c>
      <c r="D145" s="41">
        <v>4</v>
      </c>
      <c r="E145" s="40">
        <v>4.4150110375275938E-3</v>
      </c>
    </row>
    <row r="146" spans="2:5" ht="15" customHeight="1" x14ac:dyDescent="0.25">
      <c r="B146" s="81" t="s">
        <v>52</v>
      </c>
      <c r="C146" s="45" t="s">
        <v>113</v>
      </c>
      <c r="D146" s="44">
        <v>9</v>
      </c>
      <c r="E146" s="43">
        <v>9.9337748344370865E-3</v>
      </c>
    </row>
    <row r="147" spans="2:5" ht="15" customHeight="1" x14ac:dyDescent="0.25">
      <c r="B147" s="82"/>
      <c r="C147" s="45" t="s">
        <v>110</v>
      </c>
      <c r="D147" s="44">
        <v>3</v>
      </c>
      <c r="E147" s="43">
        <v>3.3112582781456954E-3</v>
      </c>
    </row>
    <row r="148" spans="2:5" ht="15" customHeight="1" x14ac:dyDescent="0.25">
      <c r="B148" s="82"/>
      <c r="C148" s="45" t="s">
        <v>115</v>
      </c>
      <c r="D148" s="44">
        <v>16</v>
      </c>
      <c r="E148" s="43">
        <v>1.7660044150110375E-2</v>
      </c>
    </row>
    <row r="149" spans="2:5" ht="15" customHeight="1" x14ac:dyDescent="0.25">
      <c r="B149" s="82"/>
      <c r="C149" s="45" t="s">
        <v>114</v>
      </c>
      <c r="D149" s="44">
        <v>26</v>
      </c>
      <c r="E149" s="43">
        <v>2.8697571743929361E-2</v>
      </c>
    </row>
    <row r="150" spans="2:5" ht="15" customHeight="1" x14ac:dyDescent="0.25">
      <c r="B150" s="82"/>
      <c r="C150" s="45" t="s">
        <v>112</v>
      </c>
      <c r="D150" s="44">
        <v>4</v>
      </c>
      <c r="E150" s="43">
        <v>4.4150110375275938E-3</v>
      </c>
    </row>
    <row r="151" spans="2:5" ht="15" customHeight="1" x14ac:dyDescent="0.25">
      <c r="B151" s="83"/>
      <c r="C151" s="42" t="s">
        <v>20</v>
      </c>
      <c r="D151" s="41">
        <v>58</v>
      </c>
      <c r="E151" s="40">
        <v>6.4017660044150104E-2</v>
      </c>
    </row>
    <row r="152" spans="2:5" ht="15" customHeight="1" x14ac:dyDescent="0.25">
      <c r="B152" s="81" t="s">
        <v>30</v>
      </c>
      <c r="C152" s="45" t="s">
        <v>113</v>
      </c>
      <c r="D152" s="44">
        <v>3</v>
      </c>
      <c r="E152" s="43">
        <v>3.3112582781456954E-3</v>
      </c>
    </row>
    <row r="153" spans="2:5" ht="15" customHeight="1" x14ac:dyDescent="0.25">
      <c r="B153" s="82"/>
      <c r="C153" s="45" t="s">
        <v>110</v>
      </c>
      <c r="D153" s="44">
        <v>1</v>
      </c>
      <c r="E153" s="43">
        <v>1.1037527593818985E-3</v>
      </c>
    </row>
    <row r="154" spans="2:5" ht="15" customHeight="1" x14ac:dyDescent="0.25">
      <c r="B154" s="82"/>
      <c r="C154" s="45" t="s">
        <v>115</v>
      </c>
      <c r="D154" s="44">
        <v>1</v>
      </c>
      <c r="E154" s="43">
        <v>1.1037527593818985E-3</v>
      </c>
    </row>
    <row r="155" spans="2:5" ht="15" customHeight="1" x14ac:dyDescent="0.25">
      <c r="B155" s="82"/>
      <c r="C155" s="45" t="s">
        <v>114</v>
      </c>
      <c r="D155" s="44">
        <v>4</v>
      </c>
      <c r="E155" s="43">
        <v>4.4150110375275938E-3</v>
      </c>
    </row>
    <row r="156" spans="2:5" ht="15" customHeight="1" x14ac:dyDescent="0.25">
      <c r="B156" s="83"/>
      <c r="C156" s="42" t="s">
        <v>20</v>
      </c>
      <c r="D156" s="41">
        <v>9</v>
      </c>
      <c r="E156" s="40">
        <v>9.9337748344370865E-3</v>
      </c>
    </row>
    <row r="157" spans="2:5" ht="15" customHeight="1" x14ac:dyDescent="0.25">
      <c r="B157" s="81" t="s">
        <v>50</v>
      </c>
      <c r="C157" s="45" t="s">
        <v>113</v>
      </c>
      <c r="D157" s="44">
        <v>1</v>
      </c>
      <c r="E157" s="43">
        <v>1.1037527593818985E-3</v>
      </c>
    </row>
    <row r="158" spans="2:5" ht="15" customHeight="1" x14ac:dyDescent="0.25">
      <c r="B158" s="82"/>
      <c r="C158" s="45" t="s">
        <v>115</v>
      </c>
      <c r="D158" s="44">
        <v>4</v>
      </c>
      <c r="E158" s="43">
        <v>4.4150110375275938E-3</v>
      </c>
    </row>
    <row r="159" spans="2:5" ht="15" customHeight="1" x14ac:dyDescent="0.25">
      <c r="B159" s="82"/>
      <c r="C159" s="45" t="s">
        <v>114</v>
      </c>
      <c r="D159" s="44">
        <v>2</v>
      </c>
      <c r="E159" s="43">
        <v>2.2075055187637969E-3</v>
      </c>
    </row>
    <row r="160" spans="2:5" ht="15" customHeight="1" x14ac:dyDescent="0.25">
      <c r="B160" s="82"/>
      <c r="C160" s="45" t="s">
        <v>112</v>
      </c>
      <c r="D160" s="44">
        <v>4</v>
      </c>
      <c r="E160" s="43">
        <v>4.4150110375275938E-3</v>
      </c>
    </row>
    <row r="161" spans="2:5" ht="15" customHeight="1" x14ac:dyDescent="0.25">
      <c r="B161" s="82"/>
      <c r="C161" s="45" t="s">
        <v>111</v>
      </c>
      <c r="D161" s="44">
        <v>1</v>
      </c>
      <c r="E161" s="43">
        <v>1.1037527593818985E-3</v>
      </c>
    </row>
    <row r="162" spans="2:5" ht="15" customHeight="1" x14ac:dyDescent="0.25">
      <c r="B162" s="83"/>
      <c r="C162" s="42" t="s">
        <v>20</v>
      </c>
      <c r="D162" s="41">
        <v>12</v>
      </c>
      <c r="E162" s="40">
        <v>1.3245033112582781E-2</v>
      </c>
    </row>
    <row r="163" spans="2:5" ht="15" customHeight="1" x14ac:dyDescent="0.25">
      <c r="B163" s="81" t="s">
        <v>26</v>
      </c>
      <c r="C163" s="45" t="s">
        <v>108</v>
      </c>
      <c r="D163" s="44">
        <v>1</v>
      </c>
      <c r="E163" s="43">
        <v>1.1037527593818985E-3</v>
      </c>
    </row>
    <row r="164" spans="2:5" ht="15" customHeight="1" x14ac:dyDescent="0.25">
      <c r="B164" s="82"/>
      <c r="C164" s="45" t="s">
        <v>113</v>
      </c>
      <c r="D164" s="44">
        <v>1</v>
      </c>
      <c r="E164" s="43">
        <v>1.1037527593818985E-3</v>
      </c>
    </row>
    <row r="165" spans="2:5" ht="15" customHeight="1" x14ac:dyDescent="0.25">
      <c r="B165" s="82"/>
      <c r="C165" s="45" t="s">
        <v>115</v>
      </c>
      <c r="D165" s="44">
        <v>1</v>
      </c>
      <c r="E165" s="43">
        <v>1.1037527593818985E-3</v>
      </c>
    </row>
    <row r="166" spans="2:5" ht="15" customHeight="1" x14ac:dyDescent="0.25">
      <c r="B166" s="82"/>
      <c r="C166" s="45" t="s">
        <v>114</v>
      </c>
      <c r="D166" s="44">
        <v>3</v>
      </c>
      <c r="E166" s="43">
        <v>3.3112582781456954E-3</v>
      </c>
    </row>
    <row r="167" spans="2:5" ht="15" customHeight="1" x14ac:dyDescent="0.25">
      <c r="B167" s="82"/>
      <c r="C167" s="45" t="s">
        <v>112</v>
      </c>
      <c r="D167" s="44">
        <v>1</v>
      </c>
      <c r="E167" s="43">
        <v>1.1037527593818985E-3</v>
      </c>
    </row>
    <row r="168" spans="2:5" ht="15" customHeight="1" x14ac:dyDescent="0.25">
      <c r="B168" s="83"/>
      <c r="C168" s="42" t="s">
        <v>20</v>
      </c>
      <c r="D168" s="41">
        <v>7</v>
      </c>
      <c r="E168" s="40">
        <v>7.7262693156732896E-3</v>
      </c>
    </row>
    <row r="169" spans="2:5" ht="15" customHeight="1" x14ac:dyDescent="0.25">
      <c r="B169" s="81" t="s">
        <v>22</v>
      </c>
      <c r="C169" s="45" t="s">
        <v>113</v>
      </c>
      <c r="D169" s="44">
        <v>2</v>
      </c>
      <c r="E169" s="43">
        <v>2.2075055187637969E-3</v>
      </c>
    </row>
    <row r="170" spans="2:5" ht="15" customHeight="1" x14ac:dyDescent="0.25">
      <c r="B170" s="82"/>
      <c r="C170" s="45" t="s">
        <v>114</v>
      </c>
      <c r="D170" s="44">
        <v>1</v>
      </c>
      <c r="E170" s="43">
        <v>1.1037527593818985E-3</v>
      </c>
    </row>
    <row r="171" spans="2:5" ht="15" customHeight="1" x14ac:dyDescent="0.25">
      <c r="B171" s="82"/>
      <c r="C171" s="45" t="s">
        <v>109</v>
      </c>
      <c r="D171" s="44">
        <v>1</v>
      </c>
      <c r="E171" s="43">
        <v>1.1037527593818985E-3</v>
      </c>
    </row>
    <row r="172" spans="2:5" ht="15" customHeight="1" x14ac:dyDescent="0.25">
      <c r="B172" s="83"/>
      <c r="C172" s="42" t="s">
        <v>20</v>
      </c>
      <c r="D172" s="41">
        <v>4</v>
      </c>
      <c r="E172" s="40">
        <v>4.4150110375275938E-3</v>
      </c>
    </row>
    <row r="173" spans="2:5" ht="15" customHeight="1" x14ac:dyDescent="0.25">
      <c r="B173" s="81" t="s">
        <v>40</v>
      </c>
      <c r="C173" s="45" t="s">
        <v>113</v>
      </c>
      <c r="D173" s="44">
        <v>2</v>
      </c>
      <c r="E173" s="43">
        <v>2.2075055187637969E-3</v>
      </c>
    </row>
    <row r="174" spans="2:5" ht="15" customHeight="1" x14ac:dyDescent="0.25">
      <c r="B174" s="82"/>
      <c r="C174" s="45" t="s">
        <v>115</v>
      </c>
      <c r="D174" s="44">
        <v>5</v>
      </c>
      <c r="E174" s="43">
        <v>5.5187637969094927E-3</v>
      </c>
    </row>
    <row r="175" spans="2:5" ht="15" customHeight="1" x14ac:dyDescent="0.25">
      <c r="B175" s="82"/>
      <c r="C175" s="45" t="s">
        <v>114</v>
      </c>
      <c r="D175" s="44">
        <v>6</v>
      </c>
      <c r="E175" s="43">
        <v>6.6225165562913907E-3</v>
      </c>
    </row>
    <row r="176" spans="2:5" ht="15" customHeight="1" x14ac:dyDescent="0.25">
      <c r="B176" s="82"/>
      <c r="C176" s="45" t="s">
        <v>112</v>
      </c>
      <c r="D176" s="44">
        <v>2</v>
      </c>
      <c r="E176" s="43">
        <v>2.2075055187637969E-3</v>
      </c>
    </row>
    <row r="177" spans="2:5" ht="15" customHeight="1" x14ac:dyDescent="0.25">
      <c r="B177" s="83"/>
      <c r="C177" s="42" t="s">
        <v>20</v>
      </c>
      <c r="D177" s="41">
        <v>15</v>
      </c>
      <c r="E177" s="40">
        <v>1.6556291390728478E-2</v>
      </c>
    </row>
    <row r="178" spans="2:5" ht="15" customHeight="1" x14ac:dyDescent="0.25">
      <c r="B178" s="81" t="s">
        <v>185</v>
      </c>
      <c r="C178" s="45" t="s">
        <v>114</v>
      </c>
      <c r="D178" s="44">
        <v>1</v>
      </c>
      <c r="E178" s="43">
        <v>1.1037527593818985E-3</v>
      </c>
    </row>
    <row r="179" spans="2:5" ht="15" customHeight="1" x14ac:dyDescent="0.25">
      <c r="B179" s="83"/>
      <c r="C179" s="42" t="s">
        <v>20</v>
      </c>
      <c r="D179" s="41">
        <v>1</v>
      </c>
      <c r="E179" s="40">
        <v>1.1037527593818985E-3</v>
      </c>
    </row>
    <row r="180" spans="2:5" ht="15" customHeight="1" x14ac:dyDescent="0.25">
      <c r="B180" s="81" t="s">
        <v>48</v>
      </c>
      <c r="C180" s="45" t="s">
        <v>113</v>
      </c>
      <c r="D180" s="44">
        <v>1</v>
      </c>
      <c r="E180" s="43">
        <v>1.1037527593818985E-3</v>
      </c>
    </row>
    <row r="181" spans="2:5" ht="15" customHeight="1" x14ac:dyDescent="0.25">
      <c r="B181" s="82"/>
      <c r="C181" s="45" t="s">
        <v>115</v>
      </c>
      <c r="D181" s="44">
        <v>4</v>
      </c>
      <c r="E181" s="43">
        <v>4.4150110375275938E-3</v>
      </c>
    </row>
    <row r="182" spans="2:5" ht="15" customHeight="1" x14ac:dyDescent="0.25">
      <c r="B182" s="82"/>
      <c r="C182" s="45" t="s">
        <v>114</v>
      </c>
      <c r="D182" s="44">
        <v>4</v>
      </c>
      <c r="E182" s="43">
        <v>4.4150110375275938E-3</v>
      </c>
    </row>
    <row r="183" spans="2:5" ht="15" customHeight="1" x14ac:dyDescent="0.25">
      <c r="B183" s="82"/>
      <c r="C183" s="45" t="s">
        <v>112</v>
      </c>
      <c r="D183" s="44">
        <v>4</v>
      </c>
      <c r="E183" s="43">
        <v>4.4150110375275938E-3</v>
      </c>
    </row>
    <row r="184" spans="2:5" ht="15" customHeight="1" x14ac:dyDescent="0.25">
      <c r="B184" s="82"/>
      <c r="C184" s="45" t="s">
        <v>111</v>
      </c>
      <c r="D184" s="44">
        <v>2</v>
      </c>
      <c r="E184" s="43">
        <v>2.2075055187637969E-3</v>
      </c>
    </row>
    <row r="185" spans="2:5" ht="15" customHeight="1" x14ac:dyDescent="0.25">
      <c r="B185" s="82"/>
      <c r="C185" s="45" t="s">
        <v>107</v>
      </c>
      <c r="D185" s="44">
        <v>1</v>
      </c>
      <c r="E185" s="43">
        <v>1.1037527593818985E-3</v>
      </c>
    </row>
    <row r="186" spans="2:5" ht="15" customHeight="1" x14ac:dyDescent="0.25">
      <c r="B186" s="83"/>
      <c r="C186" s="42" t="s">
        <v>20</v>
      </c>
      <c r="D186" s="41">
        <v>16</v>
      </c>
      <c r="E186" s="40">
        <v>1.7660044150110375E-2</v>
      </c>
    </row>
    <row r="187" spans="2:5" ht="15" customHeight="1" x14ac:dyDescent="0.25">
      <c r="B187" s="81" t="s">
        <v>57</v>
      </c>
      <c r="C187" s="45" t="s">
        <v>108</v>
      </c>
      <c r="D187" s="44">
        <v>4</v>
      </c>
      <c r="E187" s="43">
        <v>4.4150110375275938E-3</v>
      </c>
    </row>
    <row r="188" spans="2:5" ht="15" customHeight="1" x14ac:dyDescent="0.25">
      <c r="B188" s="82"/>
      <c r="C188" s="45" t="s">
        <v>113</v>
      </c>
      <c r="D188" s="44">
        <v>60</v>
      </c>
      <c r="E188" s="43">
        <v>6.6225165562913912E-2</v>
      </c>
    </row>
    <row r="189" spans="2:5" ht="15" customHeight="1" x14ac:dyDescent="0.25">
      <c r="B189" s="82"/>
      <c r="C189" s="45" t="s">
        <v>110</v>
      </c>
      <c r="D189" s="44">
        <v>9</v>
      </c>
      <c r="E189" s="43">
        <v>9.9337748344370865E-3</v>
      </c>
    </row>
    <row r="190" spans="2:5" ht="15" customHeight="1" x14ac:dyDescent="0.25">
      <c r="B190" s="82"/>
      <c r="C190" s="45" t="s">
        <v>115</v>
      </c>
      <c r="D190" s="44">
        <v>57</v>
      </c>
      <c r="E190" s="43">
        <v>6.2913907284768214E-2</v>
      </c>
    </row>
    <row r="191" spans="2:5" ht="15" customHeight="1" x14ac:dyDescent="0.25">
      <c r="B191" s="82"/>
      <c r="C191" s="45" t="s">
        <v>114</v>
      </c>
      <c r="D191" s="44">
        <v>27</v>
      </c>
      <c r="E191" s="43">
        <v>2.9801324503311258E-2</v>
      </c>
    </row>
    <row r="192" spans="2:5" ht="15" customHeight="1" x14ac:dyDescent="0.25">
      <c r="B192" s="82"/>
      <c r="C192" s="45" t="s">
        <v>112</v>
      </c>
      <c r="D192" s="44">
        <v>10</v>
      </c>
      <c r="E192" s="43">
        <v>1.1037527593818985E-2</v>
      </c>
    </row>
    <row r="193" spans="2:5" ht="15" customHeight="1" x14ac:dyDescent="0.25">
      <c r="B193" s="82"/>
      <c r="C193" s="45" t="s">
        <v>109</v>
      </c>
      <c r="D193" s="44">
        <v>1</v>
      </c>
      <c r="E193" s="43">
        <v>1.1037527593818985E-3</v>
      </c>
    </row>
    <row r="194" spans="2:5" ht="15" customHeight="1" x14ac:dyDescent="0.25">
      <c r="B194" s="82"/>
      <c r="C194" s="45" t="s">
        <v>111</v>
      </c>
      <c r="D194" s="44">
        <v>6</v>
      </c>
      <c r="E194" s="43">
        <v>6.6225165562913907E-3</v>
      </c>
    </row>
    <row r="195" spans="2:5" ht="15" customHeight="1" x14ac:dyDescent="0.25">
      <c r="B195" s="82"/>
      <c r="C195" s="45" t="s">
        <v>107</v>
      </c>
      <c r="D195" s="44">
        <v>1</v>
      </c>
      <c r="E195" s="43">
        <v>1.1037527593818985E-3</v>
      </c>
    </row>
    <row r="196" spans="2:5" ht="15" customHeight="1" x14ac:dyDescent="0.25">
      <c r="B196" s="82"/>
      <c r="C196" s="45" t="s">
        <v>106</v>
      </c>
      <c r="D196" s="44">
        <v>2</v>
      </c>
      <c r="E196" s="43">
        <v>2.2075055187637969E-3</v>
      </c>
    </row>
    <row r="197" spans="2:5" ht="15" customHeight="1" x14ac:dyDescent="0.25">
      <c r="B197" s="83"/>
      <c r="C197" s="42" t="s">
        <v>20</v>
      </c>
      <c r="D197" s="41">
        <v>177</v>
      </c>
      <c r="E197" s="40">
        <v>0.19536423841059603</v>
      </c>
    </row>
    <row r="198" spans="2:5" ht="15" customHeight="1" x14ac:dyDescent="0.25">
      <c r="B198" s="81" t="s">
        <v>24</v>
      </c>
      <c r="C198" s="45" t="s">
        <v>113</v>
      </c>
      <c r="D198" s="44">
        <v>1</v>
      </c>
      <c r="E198" s="43">
        <v>1.1037527593818985E-3</v>
      </c>
    </row>
    <row r="199" spans="2:5" ht="15" customHeight="1" x14ac:dyDescent="0.25">
      <c r="B199" s="82"/>
      <c r="C199" s="45" t="s">
        <v>114</v>
      </c>
      <c r="D199" s="44">
        <v>2</v>
      </c>
      <c r="E199" s="43">
        <v>2.2075055187637969E-3</v>
      </c>
    </row>
    <row r="200" spans="2:5" ht="15" customHeight="1" x14ac:dyDescent="0.25">
      <c r="B200" s="82"/>
      <c r="C200" s="45" t="s">
        <v>112</v>
      </c>
      <c r="D200" s="44">
        <v>1</v>
      </c>
      <c r="E200" s="43">
        <v>1.1037527593818985E-3</v>
      </c>
    </row>
    <row r="201" spans="2:5" ht="15" customHeight="1" x14ac:dyDescent="0.25">
      <c r="B201" s="82"/>
      <c r="C201" s="45" t="s">
        <v>111</v>
      </c>
      <c r="D201" s="44">
        <v>2</v>
      </c>
      <c r="E201" s="43">
        <v>2.2075055187637969E-3</v>
      </c>
    </row>
    <row r="202" spans="2:5" ht="15" customHeight="1" x14ac:dyDescent="0.25">
      <c r="B202" s="83"/>
      <c r="C202" s="42" t="s">
        <v>20</v>
      </c>
      <c r="D202" s="41">
        <v>6</v>
      </c>
      <c r="E202" s="40">
        <v>6.6225165562913907E-3</v>
      </c>
    </row>
    <row r="203" spans="2:5" ht="15" customHeight="1" x14ac:dyDescent="0.25">
      <c r="B203" s="81" t="s">
        <v>39</v>
      </c>
      <c r="C203" s="45" t="s">
        <v>113</v>
      </c>
      <c r="D203" s="44">
        <v>2</v>
      </c>
      <c r="E203" s="43">
        <v>2.2075055187637969E-3</v>
      </c>
    </row>
    <row r="204" spans="2:5" ht="15" customHeight="1" x14ac:dyDescent="0.25">
      <c r="B204" s="82"/>
      <c r="C204" s="45" t="s">
        <v>115</v>
      </c>
      <c r="D204" s="44">
        <v>4</v>
      </c>
      <c r="E204" s="43">
        <v>4.4150110375275938E-3</v>
      </c>
    </row>
    <row r="205" spans="2:5" ht="15" customHeight="1" x14ac:dyDescent="0.25">
      <c r="B205" s="82"/>
      <c r="C205" s="45" t="s">
        <v>114</v>
      </c>
      <c r="D205" s="44">
        <v>1</v>
      </c>
      <c r="E205" s="43">
        <v>1.1037527593818985E-3</v>
      </c>
    </row>
    <row r="206" spans="2:5" ht="15" customHeight="1" x14ac:dyDescent="0.25">
      <c r="B206" s="82"/>
      <c r="C206" s="45" t="s">
        <v>112</v>
      </c>
      <c r="D206" s="44">
        <v>1</v>
      </c>
      <c r="E206" s="43">
        <v>1.1037527593818985E-3</v>
      </c>
    </row>
    <row r="207" spans="2:5" ht="15" customHeight="1" x14ac:dyDescent="0.25">
      <c r="B207" s="83"/>
      <c r="C207" s="42" t="s">
        <v>20</v>
      </c>
      <c r="D207" s="41">
        <v>8</v>
      </c>
      <c r="E207" s="40">
        <v>8.8300220750551876E-3</v>
      </c>
    </row>
    <row r="208" spans="2:5" ht="15" customHeight="1" x14ac:dyDescent="0.25">
      <c r="B208" s="81" t="s">
        <v>38</v>
      </c>
      <c r="C208" s="45" t="s">
        <v>115</v>
      </c>
      <c r="D208" s="44">
        <v>1</v>
      </c>
      <c r="E208" s="43">
        <v>1.1037527593818985E-3</v>
      </c>
    </row>
    <row r="209" spans="2:5" ht="15" customHeight="1" x14ac:dyDescent="0.25">
      <c r="B209" s="82"/>
      <c r="C209" s="45" t="s">
        <v>114</v>
      </c>
      <c r="D209" s="44">
        <v>3</v>
      </c>
      <c r="E209" s="43">
        <v>3.3112582781456954E-3</v>
      </c>
    </row>
    <row r="210" spans="2:5" ht="15" customHeight="1" x14ac:dyDescent="0.25">
      <c r="B210" s="82"/>
      <c r="C210" s="45" t="s">
        <v>109</v>
      </c>
      <c r="D210" s="44">
        <v>3</v>
      </c>
      <c r="E210" s="43">
        <v>3.3112582781456954E-3</v>
      </c>
    </row>
    <row r="211" spans="2:5" ht="15" customHeight="1" x14ac:dyDescent="0.25">
      <c r="B211" s="83"/>
      <c r="C211" s="42" t="s">
        <v>20</v>
      </c>
      <c r="D211" s="41">
        <v>7</v>
      </c>
      <c r="E211" s="40">
        <v>7.7262693156732896E-3</v>
      </c>
    </row>
    <row r="212" spans="2:5" ht="15" customHeight="1" x14ac:dyDescent="0.25">
      <c r="B212" s="81" t="s">
        <v>36</v>
      </c>
      <c r="C212" s="45" t="s">
        <v>113</v>
      </c>
      <c r="D212" s="44">
        <v>3</v>
      </c>
      <c r="E212" s="43">
        <v>3.3112582781456954E-3</v>
      </c>
    </row>
    <row r="213" spans="2:5" ht="15" customHeight="1" x14ac:dyDescent="0.25">
      <c r="B213" s="82"/>
      <c r="C213" s="45" t="s">
        <v>115</v>
      </c>
      <c r="D213" s="44">
        <v>5</v>
      </c>
      <c r="E213" s="43">
        <v>5.5187637969094927E-3</v>
      </c>
    </row>
    <row r="214" spans="2:5" ht="15" customHeight="1" x14ac:dyDescent="0.25">
      <c r="B214" s="82"/>
      <c r="C214" s="45" t="s">
        <v>114</v>
      </c>
      <c r="D214" s="44">
        <v>5</v>
      </c>
      <c r="E214" s="43">
        <v>5.5187637969094927E-3</v>
      </c>
    </row>
    <row r="215" spans="2:5" ht="15" customHeight="1" x14ac:dyDescent="0.25">
      <c r="B215" s="83"/>
      <c r="C215" s="42" t="s">
        <v>20</v>
      </c>
      <c r="D215" s="41">
        <v>13</v>
      </c>
      <c r="E215" s="40">
        <v>1.434878587196468E-2</v>
      </c>
    </row>
    <row r="216" spans="2:5" ht="15" customHeight="1" x14ac:dyDescent="0.25">
      <c r="B216" s="84" t="s">
        <v>20</v>
      </c>
      <c r="C216" s="85"/>
      <c r="D216" s="39">
        <v>906</v>
      </c>
      <c r="E216" s="38">
        <v>1</v>
      </c>
    </row>
    <row r="218" spans="2:5" ht="15" customHeight="1" x14ac:dyDescent="0.25">
      <c r="B218" s="19" t="s">
        <v>186</v>
      </c>
    </row>
    <row r="219" spans="2:5" ht="15" customHeight="1" x14ac:dyDescent="0.25">
      <c r="B219" s="21" t="s">
        <v>19</v>
      </c>
    </row>
    <row r="220" spans="2:5" ht="15" customHeight="1" x14ac:dyDescent="0.25">
      <c r="B220" s="20" t="s">
        <v>18</v>
      </c>
    </row>
    <row r="221" spans="2:5" ht="15" customHeight="1" x14ac:dyDescent="0.25">
      <c r="B221" s="19" t="s">
        <v>17</v>
      </c>
    </row>
    <row r="222" spans="2:5" ht="15" customHeight="1" x14ac:dyDescent="0.25">
      <c r="B222" s="19" t="s">
        <v>187</v>
      </c>
    </row>
  </sheetData>
  <mergeCells count="41">
    <mergeCell ref="B10:B17"/>
    <mergeCell ref="B18:B21"/>
    <mergeCell ref="B22:B25"/>
    <mergeCell ref="B26:B35"/>
    <mergeCell ref="B36:B42"/>
    <mergeCell ref="B187:B197"/>
    <mergeCell ref="B198:B202"/>
    <mergeCell ref="B203:B207"/>
    <mergeCell ref="B208:B211"/>
    <mergeCell ref="B212:B215"/>
    <mergeCell ref="B216:C216"/>
    <mergeCell ref="B152:B156"/>
    <mergeCell ref="B157:B162"/>
    <mergeCell ref="B141:B142"/>
    <mergeCell ref="B143:B145"/>
    <mergeCell ref="B146:B151"/>
    <mergeCell ref="B163:B168"/>
    <mergeCell ref="B169:B172"/>
    <mergeCell ref="B173:B177"/>
    <mergeCell ref="B178:B179"/>
    <mergeCell ref="B180:B186"/>
    <mergeCell ref="B90:B93"/>
    <mergeCell ref="B94:B99"/>
    <mergeCell ref="B100:B101"/>
    <mergeCell ref="B102:B103"/>
    <mergeCell ref="B104:B110"/>
    <mergeCell ref="B111:B115"/>
    <mergeCell ref="B130:B135"/>
    <mergeCell ref="B116:B121"/>
    <mergeCell ref="B122:B124"/>
    <mergeCell ref="B125:B129"/>
    <mergeCell ref="B136:B140"/>
    <mergeCell ref="B43:B44"/>
    <mergeCell ref="B45:B52"/>
    <mergeCell ref="B53:B59"/>
    <mergeCell ref="B60:B64"/>
    <mergeCell ref="B65:B70"/>
    <mergeCell ref="B71:B77"/>
    <mergeCell ref="B78:B82"/>
    <mergeCell ref="B83:B89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0"/>
  <sheetViews>
    <sheetView zoomScaleNormal="100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105</v>
      </c>
      <c r="C9" s="49" t="s">
        <v>117</v>
      </c>
      <c r="D9" s="48" t="s">
        <v>60</v>
      </c>
      <c r="E9" s="47" t="s">
        <v>59</v>
      </c>
    </row>
    <row r="10" spans="1:5" ht="15" customHeight="1" x14ac:dyDescent="0.25">
      <c r="B10" s="81" t="s">
        <v>68</v>
      </c>
      <c r="C10" s="45" t="s">
        <v>115</v>
      </c>
      <c r="D10" s="44">
        <v>2</v>
      </c>
      <c r="E10" s="43">
        <v>2.2075055187637969E-3</v>
      </c>
    </row>
    <row r="11" spans="1:5" ht="15" customHeight="1" x14ac:dyDescent="0.25">
      <c r="B11" s="83"/>
      <c r="C11" s="42" t="s">
        <v>20</v>
      </c>
      <c r="D11" s="41">
        <v>2</v>
      </c>
      <c r="E11" s="40">
        <v>2.2075055187637969E-3</v>
      </c>
    </row>
    <row r="12" spans="1:5" ht="15" customHeight="1" x14ac:dyDescent="0.25">
      <c r="B12" s="81" t="s">
        <v>100</v>
      </c>
      <c r="C12" s="45" t="s">
        <v>108</v>
      </c>
      <c r="D12" s="44">
        <v>2</v>
      </c>
      <c r="E12" s="43">
        <v>2.2075055187637969E-3</v>
      </c>
    </row>
    <row r="13" spans="1:5" ht="15" customHeight="1" x14ac:dyDescent="0.25">
      <c r="B13" s="82"/>
      <c r="C13" s="45" t="s">
        <v>113</v>
      </c>
      <c r="D13" s="44">
        <v>6</v>
      </c>
      <c r="E13" s="43">
        <v>6.6225165562913907E-3</v>
      </c>
    </row>
    <row r="14" spans="1:5" ht="15" customHeight="1" x14ac:dyDescent="0.25">
      <c r="B14" s="82"/>
      <c r="C14" s="45" t="s">
        <v>110</v>
      </c>
      <c r="D14" s="44">
        <v>1</v>
      </c>
      <c r="E14" s="43">
        <v>1.1037527593818985E-3</v>
      </c>
    </row>
    <row r="15" spans="1:5" ht="15" customHeight="1" x14ac:dyDescent="0.25">
      <c r="B15" s="82"/>
      <c r="C15" s="45" t="s">
        <v>115</v>
      </c>
      <c r="D15" s="44">
        <v>24</v>
      </c>
      <c r="E15" s="43">
        <v>2.6490066225165563E-2</v>
      </c>
    </row>
    <row r="16" spans="1:5" ht="15" customHeight="1" x14ac:dyDescent="0.25">
      <c r="B16" s="82"/>
      <c r="C16" s="45" t="s">
        <v>114</v>
      </c>
      <c r="D16" s="44">
        <v>17</v>
      </c>
      <c r="E16" s="43">
        <v>1.8763796909492272E-2</v>
      </c>
    </row>
    <row r="17" spans="2:5" ht="15" customHeight="1" x14ac:dyDescent="0.25">
      <c r="B17" s="82"/>
      <c r="C17" s="45" t="s">
        <v>112</v>
      </c>
      <c r="D17" s="44">
        <v>5</v>
      </c>
      <c r="E17" s="43">
        <v>5.5187637969094927E-3</v>
      </c>
    </row>
    <row r="18" spans="2:5" ht="15" customHeight="1" x14ac:dyDescent="0.25">
      <c r="B18" s="82"/>
      <c r="C18" s="45" t="s">
        <v>109</v>
      </c>
      <c r="D18" s="44">
        <v>1</v>
      </c>
      <c r="E18" s="43">
        <v>1.1037527593818985E-3</v>
      </c>
    </row>
    <row r="19" spans="2:5" ht="15" customHeight="1" x14ac:dyDescent="0.25">
      <c r="B19" s="82"/>
      <c r="C19" s="45" t="s">
        <v>111</v>
      </c>
      <c r="D19" s="44">
        <v>11</v>
      </c>
      <c r="E19" s="43">
        <v>1.2141280353200883E-2</v>
      </c>
    </row>
    <row r="20" spans="2:5" ht="15" customHeight="1" x14ac:dyDescent="0.25">
      <c r="B20" s="82"/>
      <c r="C20" s="45" t="s">
        <v>107</v>
      </c>
      <c r="D20" s="44">
        <v>1</v>
      </c>
      <c r="E20" s="43">
        <v>1.1037527593818985E-3</v>
      </c>
    </row>
    <row r="21" spans="2:5" ht="15" customHeight="1" x14ac:dyDescent="0.25">
      <c r="B21" s="83"/>
      <c r="C21" s="42" t="s">
        <v>20</v>
      </c>
      <c r="D21" s="41">
        <v>68</v>
      </c>
      <c r="E21" s="40">
        <v>7.505518763796909E-2</v>
      </c>
    </row>
    <row r="22" spans="2:5" ht="15" customHeight="1" x14ac:dyDescent="0.25">
      <c r="B22" s="81" t="s">
        <v>90</v>
      </c>
      <c r="C22" s="45" t="s">
        <v>108</v>
      </c>
      <c r="D22" s="44">
        <v>1</v>
      </c>
      <c r="E22" s="43">
        <v>1.1037527593818985E-3</v>
      </c>
    </row>
    <row r="23" spans="2:5" ht="15" customHeight="1" x14ac:dyDescent="0.25">
      <c r="B23" s="82"/>
      <c r="C23" s="45" t="s">
        <v>113</v>
      </c>
      <c r="D23" s="44">
        <v>3</v>
      </c>
      <c r="E23" s="43">
        <v>3.3112582781456954E-3</v>
      </c>
    </row>
    <row r="24" spans="2:5" ht="15" customHeight="1" x14ac:dyDescent="0.25">
      <c r="B24" s="82"/>
      <c r="C24" s="45" t="s">
        <v>115</v>
      </c>
      <c r="D24" s="44">
        <v>9</v>
      </c>
      <c r="E24" s="43">
        <v>9.9337748344370865E-3</v>
      </c>
    </row>
    <row r="25" spans="2:5" ht="15" customHeight="1" x14ac:dyDescent="0.25">
      <c r="B25" s="82"/>
      <c r="C25" s="45" t="s">
        <v>114</v>
      </c>
      <c r="D25" s="44">
        <v>2</v>
      </c>
      <c r="E25" s="43">
        <v>2.2075055187637969E-3</v>
      </c>
    </row>
    <row r="26" spans="2:5" ht="15" customHeight="1" x14ac:dyDescent="0.25">
      <c r="B26" s="82"/>
      <c r="C26" s="45" t="s">
        <v>107</v>
      </c>
      <c r="D26" s="44">
        <v>1</v>
      </c>
      <c r="E26" s="43">
        <v>1.1037527593818985E-3</v>
      </c>
    </row>
    <row r="27" spans="2:5" ht="15" customHeight="1" x14ac:dyDescent="0.25">
      <c r="B27" s="83"/>
      <c r="C27" s="42" t="s">
        <v>20</v>
      </c>
      <c r="D27" s="41">
        <v>16</v>
      </c>
      <c r="E27" s="40">
        <v>1.7660044150110375E-2</v>
      </c>
    </row>
    <row r="28" spans="2:5" ht="15" customHeight="1" x14ac:dyDescent="0.25">
      <c r="B28" s="81" t="s">
        <v>66</v>
      </c>
      <c r="C28" s="45" t="s">
        <v>113</v>
      </c>
      <c r="D28" s="44">
        <v>1</v>
      </c>
      <c r="E28" s="43">
        <v>1.1037527593818985E-3</v>
      </c>
    </row>
    <row r="29" spans="2:5" ht="15" customHeight="1" x14ac:dyDescent="0.25">
      <c r="B29" s="82"/>
      <c r="C29" s="45" t="s">
        <v>110</v>
      </c>
      <c r="D29" s="44">
        <v>1</v>
      </c>
      <c r="E29" s="43">
        <v>1.1037527593818985E-3</v>
      </c>
    </row>
    <row r="30" spans="2:5" ht="15" customHeight="1" x14ac:dyDescent="0.25">
      <c r="B30" s="82"/>
      <c r="C30" s="45" t="s">
        <v>115</v>
      </c>
      <c r="D30" s="44">
        <v>2</v>
      </c>
      <c r="E30" s="43">
        <v>2.2075055187637969E-3</v>
      </c>
    </row>
    <row r="31" spans="2:5" ht="15" customHeight="1" x14ac:dyDescent="0.25">
      <c r="B31" s="82"/>
      <c r="C31" s="45" t="s">
        <v>112</v>
      </c>
      <c r="D31" s="44">
        <v>2</v>
      </c>
      <c r="E31" s="43">
        <v>2.2075055187637969E-3</v>
      </c>
    </row>
    <row r="32" spans="2:5" ht="15" customHeight="1" x14ac:dyDescent="0.25">
      <c r="B32" s="83"/>
      <c r="C32" s="42" t="s">
        <v>20</v>
      </c>
      <c r="D32" s="41">
        <v>6</v>
      </c>
      <c r="E32" s="40">
        <v>6.6225165562913907E-3</v>
      </c>
    </row>
    <row r="33" spans="2:5" ht="15" customHeight="1" x14ac:dyDescent="0.25">
      <c r="B33" s="81" t="s">
        <v>63</v>
      </c>
      <c r="C33" s="45" t="s">
        <v>115</v>
      </c>
      <c r="D33" s="44">
        <v>1</v>
      </c>
      <c r="E33" s="43">
        <v>1.1037527593818985E-3</v>
      </c>
    </row>
    <row r="34" spans="2:5" ht="15" customHeight="1" x14ac:dyDescent="0.25">
      <c r="B34" s="83"/>
      <c r="C34" s="42" t="s">
        <v>20</v>
      </c>
      <c r="D34" s="41">
        <v>1</v>
      </c>
      <c r="E34" s="40">
        <v>1.1037527593818985E-3</v>
      </c>
    </row>
    <row r="35" spans="2:5" ht="15" customHeight="1" x14ac:dyDescent="0.25">
      <c r="B35" s="81" t="s">
        <v>67</v>
      </c>
      <c r="C35" s="45" t="s">
        <v>108</v>
      </c>
      <c r="D35" s="44">
        <v>1</v>
      </c>
      <c r="E35" s="43">
        <v>1.1037527593818985E-3</v>
      </c>
    </row>
    <row r="36" spans="2:5" ht="15" customHeight="1" x14ac:dyDescent="0.25">
      <c r="B36" s="82"/>
      <c r="C36" s="45" t="s">
        <v>113</v>
      </c>
      <c r="D36" s="44">
        <v>1</v>
      </c>
      <c r="E36" s="43">
        <v>1.1037527593818985E-3</v>
      </c>
    </row>
    <row r="37" spans="2:5" ht="15" customHeight="1" x14ac:dyDescent="0.25">
      <c r="B37" s="82"/>
      <c r="C37" s="45" t="s">
        <v>110</v>
      </c>
      <c r="D37" s="44">
        <v>2</v>
      </c>
      <c r="E37" s="43">
        <v>2.2075055187637969E-3</v>
      </c>
    </row>
    <row r="38" spans="2:5" ht="15" customHeight="1" x14ac:dyDescent="0.25">
      <c r="B38" s="82"/>
      <c r="C38" s="45" t="s">
        <v>115</v>
      </c>
      <c r="D38" s="44">
        <v>3</v>
      </c>
      <c r="E38" s="43">
        <v>3.3112582781456954E-3</v>
      </c>
    </row>
    <row r="39" spans="2:5" ht="15" customHeight="1" x14ac:dyDescent="0.25">
      <c r="B39" s="82"/>
      <c r="C39" s="45" t="s">
        <v>109</v>
      </c>
      <c r="D39" s="44">
        <v>1</v>
      </c>
      <c r="E39" s="43">
        <v>1.1037527593818985E-3</v>
      </c>
    </row>
    <row r="40" spans="2:5" ht="15" customHeight="1" x14ac:dyDescent="0.25">
      <c r="B40" s="83"/>
      <c r="C40" s="42" t="s">
        <v>20</v>
      </c>
      <c r="D40" s="41">
        <v>8</v>
      </c>
      <c r="E40" s="40">
        <v>8.8300220750551876E-3</v>
      </c>
    </row>
    <row r="41" spans="2:5" ht="15" customHeight="1" x14ac:dyDescent="0.25">
      <c r="B41" s="81" t="s">
        <v>103</v>
      </c>
      <c r="C41" s="45" t="s">
        <v>113</v>
      </c>
      <c r="D41" s="44">
        <v>13</v>
      </c>
      <c r="E41" s="43">
        <v>1.434878587196468E-2</v>
      </c>
    </row>
    <row r="42" spans="2:5" ht="15" customHeight="1" x14ac:dyDescent="0.25">
      <c r="B42" s="82"/>
      <c r="C42" s="45" t="s">
        <v>115</v>
      </c>
      <c r="D42" s="44">
        <v>8</v>
      </c>
      <c r="E42" s="43">
        <v>8.8300220750551876E-3</v>
      </c>
    </row>
    <row r="43" spans="2:5" ht="15" customHeight="1" x14ac:dyDescent="0.25">
      <c r="B43" s="82"/>
      <c r="C43" s="45" t="s">
        <v>114</v>
      </c>
      <c r="D43" s="44">
        <v>4</v>
      </c>
      <c r="E43" s="43">
        <v>4.4150110375275938E-3</v>
      </c>
    </row>
    <row r="44" spans="2:5" ht="15" customHeight="1" x14ac:dyDescent="0.25">
      <c r="B44" s="82"/>
      <c r="C44" s="45" t="s">
        <v>112</v>
      </c>
      <c r="D44" s="44">
        <v>2</v>
      </c>
      <c r="E44" s="43">
        <v>2.2075055187637969E-3</v>
      </c>
    </row>
    <row r="45" spans="2:5" ht="15" customHeight="1" x14ac:dyDescent="0.25">
      <c r="B45" s="82"/>
      <c r="C45" s="45" t="s">
        <v>109</v>
      </c>
      <c r="D45" s="44">
        <v>1</v>
      </c>
      <c r="E45" s="43">
        <v>1.1037527593818985E-3</v>
      </c>
    </row>
    <row r="46" spans="2:5" ht="15" customHeight="1" x14ac:dyDescent="0.25">
      <c r="B46" s="82"/>
      <c r="C46" s="45" t="s">
        <v>111</v>
      </c>
      <c r="D46" s="44">
        <v>2</v>
      </c>
      <c r="E46" s="43">
        <v>2.2075055187637969E-3</v>
      </c>
    </row>
    <row r="47" spans="2:5" ht="15" customHeight="1" x14ac:dyDescent="0.25">
      <c r="B47" s="83"/>
      <c r="C47" s="42" t="s">
        <v>20</v>
      </c>
      <c r="D47" s="41">
        <v>30</v>
      </c>
      <c r="E47" s="40">
        <v>3.3112582781456956E-2</v>
      </c>
    </row>
    <row r="48" spans="2:5" ht="15" customHeight="1" x14ac:dyDescent="0.25">
      <c r="B48" s="81" t="s">
        <v>101</v>
      </c>
      <c r="C48" s="45" t="s">
        <v>108</v>
      </c>
      <c r="D48" s="44">
        <v>1</v>
      </c>
      <c r="E48" s="43">
        <v>1.1037527593818985E-3</v>
      </c>
    </row>
    <row r="49" spans="2:5" ht="15" customHeight="1" x14ac:dyDescent="0.25">
      <c r="B49" s="82"/>
      <c r="C49" s="45" t="s">
        <v>113</v>
      </c>
      <c r="D49" s="44">
        <v>11</v>
      </c>
      <c r="E49" s="43">
        <v>1.2141280353200883E-2</v>
      </c>
    </row>
    <row r="50" spans="2:5" ht="15" customHeight="1" x14ac:dyDescent="0.25">
      <c r="B50" s="82"/>
      <c r="C50" s="45" t="s">
        <v>110</v>
      </c>
      <c r="D50" s="44">
        <v>4</v>
      </c>
      <c r="E50" s="43">
        <v>4.4150110375275938E-3</v>
      </c>
    </row>
    <row r="51" spans="2:5" ht="15" customHeight="1" x14ac:dyDescent="0.25">
      <c r="B51" s="82"/>
      <c r="C51" s="45" t="s">
        <v>115</v>
      </c>
      <c r="D51" s="44">
        <v>18</v>
      </c>
      <c r="E51" s="43">
        <v>1.9867549668874173E-2</v>
      </c>
    </row>
    <row r="52" spans="2:5" ht="15" customHeight="1" x14ac:dyDescent="0.25">
      <c r="B52" s="82"/>
      <c r="C52" s="45" t="s">
        <v>114</v>
      </c>
      <c r="D52" s="44">
        <v>2</v>
      </c>
      <c r="E52" s="43">
        <v>2.2075055187637969E-3</v>
      </c>
    </row>
    <row r="53" spans="2:5" ht="15" customHeight="1" x14ac:dyDescent="0.25">
      <c r="B53" s="82"/>
      <c r="C53" s="45" t="s">
        <v>112</v>
      </c>
      <c r="D53" s="44">
        <v>3</v>
      </c>
      <c r="E53" s="43">
        <v>3.3112582781456954E-3</v>
      </c>
    </row>
    <row r="54" spans="2:5" ht="15" customHeight="1" x14ac:dyDescent="0.25">
      <c r="B54" s="82"/>
      <c r="C54" s="45" t="s">
        <v>111</v>
      </c>
      <c r="D54" s="44">
        <v>3</v>
      </c>
      <c r="E54" s="43">
        <v>3.3112582781456954E-3</v>
      </c>
    </row>
    <row r="55" spans="2:5" ht="15" customHeight="1" x14ac:dyDescent="0.25">
      <c r="B55" s="82"/>
      <c r="C55" s="45" t="s">
        <v>106</v>
      </c>
      <c r="D55" s="44">
        <v>1</v>
      </c>
      <c r="E55" s="43">
        <v>1.1037527593818985E-3</v>
      </c>
    </row>
    <row r="56" spans="2:5" ht="15" customHeight="1" x14ac:dyDescent="0.25">
      <c r="B56" s="83"/>
      <c r="C56" s="42" t="s">
        <v>20</v>
      </c>
      <c r="D56" s="41">
        <v>43</v>
      </c>
      <c r="E56" s="40">
        <v>4.7461368653421633E-2</v>
      </c>
    </row>
    <row r="57" spans="2:5" ht="15" customHeight="1" x14ac:dyDescent="0.25">
      <c r="B57" s="81" t="s">
        <v>85</v>
      </c>
      <c r="C57" s="45" t="s">
        <v>113</v>
      </c>
      <c r="D57" s="44">
        <v>1</v>
      </c>
      <c r="E57" s="43">
        <v>1.1037527593818985E-3</v>
      </c>
    </row>
    <row r="58" spans="2:5" ht="15" customHeight="1" x14ac:dyDescent="0.25">
      <c r="B58" s="82"/>
      <c r="C58" s="45" t="s">
        <v>110</v>
      </c>
      <c r="D58" s="44">
        <v>6</v>
      </c>
      <c r="E58" s="43">
        <v>6.6225165562913907E-3</v>
      </c>
    </row>
    <row r="59" spans="2:5" ht="15" customHeight="1" x14ac:dyDescent="0.25">
      <c r="B59" s="82"/>
      <c r="C59" s="45" t="s">
        <v>115</v>
      </c>
      <c r="D59" s="44">
        <v>16</v>
      </c>
      <c r="E59" s="43">
        <v>1.7660044150110375E-2</v>
      </c>
    </row>
    <row r="60" spans="2:5" ht="15" customHeight="1" x14ac:dyDescent="0.25">
      <c r="B60" s="82"/>
      <c r="C60" s="45" t="s">
        <v>114</v>
      </c>
      <c r="D60" s="44">
        <v>2</v>
      </c>
      <c r="E60" s="43">
        <v>2.2075055187637969E-3</v>
      </c>
    </row>
    <row r="61" spans="2:5" ht="15" customHeight="1" x14ac:dyDescent="0.25">
      <c r="B61" s="82"/>
      <c r="C61" s="45" t="s">
        <v>112</v>
      </c>
      <c r="D61" s="44">
        <v>2</v>
      </c>
      <c r="E61" s="43">
        <v>2.2075055187637969E-3</v>
      </c>
    </row>
    <row r="62" spans="2:5" ht="15" customHeight="1" x14ac:dyDescent="0.25">
      <c r="B62" s="82"/>
      <c r="C62" s="45" t="s">
        <v>111</v>
      </c>
      <c r="D62" s="44">
        <v>1</v>
      </c>
      <c r="E62" s="43">
        <v>1.1037527593818985E-3</v>
      </c>
    </row>
    <row r="63" spans="2:5" ht="15" customHeight="1" x14ac:dyDescent="0.25">
      <c r="B63" s="83"/>
      <c r="C63" s="42" t="s">
        <v>20</v>
      </c>
      <c r="D63" s="41">
        <v>28</v>
      </c>
      <c r="E63" s="40">
        <v>3.0905077262693158E-2</v>
      </c>
    </row>
    <row r="64" spans="2:5" ht="15" customHeight="1" x14ac:dyDescent="0.25">
      <c r="B64" s="81" t="s">
        <v>71</v>
      </c>
      <c r="C64" s="45" t="s">
        <v>108</v>
      </c>
      <c r="D64" s="44">
        <v>1</v>
      </c>
      <c r="E64" s="43">
        <v>1.1037527593818985E-3</v>
      </c>
    </row>
    <row r="65" spans="2:5" ht="15" customHeight="1" x14ac:dyDescent="0.25">
      <c r="B65" s="82"/>
      <c r="C65" s="45" t="s">
        <v>113</v>
      </c>
      <c r="D65" s="44">
        <v>1</v>
      </c>
      <c r="E65" s="43">
        <v>1.1037527593818985E-3</v>
      </c>
    </row>
    <row r="66" spans="2:5" ht="15" customHeight="1" x14ac:dyDescent="0.25">
      <c r="B66" s="82"/>
      <c r="C66" s="45" t="s">
        <v>110</v>
      </c>
      <c r="D66" s="44">
        <v>2</v>
      </c>
      <c r="E66" s="43">
        <v>2.2075055187637969E-3</v>
      </c>
    </row>
    <row r="67" spans="2:5" ht="15" customHeight="1" x14ac:dyDescent="0.25">
      <c r="B67" s="82"/>
      <c r="C67" s="45" t="s">
        <v>115</v>
      </c>
      <c r="D67" s="44">
        <v>1</v>
      </c>
      <c r="E67" s="43">
        <v>1.1037527593818985E-3</v>
      </c>
    </row>
    <row r="68" spans="2:5" ht="15" customHeight="1" x14ac:dyDescent="0.25">
      <c r="B68" s="82"/>
      <c r="C68" s="45" t="s">
        <v>114</v>
      </c>
      <c r="D68" s="44">
        <v>1</v>
      </c>
      <c r="E68" s="43">
        <v>1.1037527593818985E-3</v>
      </c>
    </row>
    <row r="69" spans="2:5" ht="15" customHeight="1" x14ac:dyDescent="0.25">
      <c r="B69" s="82"/>
      <c r="C69" s="45" t="s">
        <v>112</v>
      </c>
      <c r="D69" s="44">
        <v>2</v>
      </c>
      <c r="E69" s="43">
        <v>2.2075055187637969E-3</v>
      </c>
    </row>
    <row r="70" spans="2:5" ht="15" customHeight="1" x14ac:dyDescent="0.25">
      <c r="B70" s="83"/>
      <c r="C70" s="42" t="s">
        <v>20</v>
      </c>
      <c r="D70" s="41">
        <v>8</v>
      </c>
      <c r="E70" s="40">
        <v>8.8300220750551876E-3</v>
      </c>
    </row>
    <row r="71" spans="2:5" ht="15" customHeight="1" x14ac:dyDescent="0.25">
      <c r="B71" s="81" t="s">
        <v>69</v>
      </c>
      <c r="C71" s="45" t="s">
        <v>111</v>
      </c>
      <c r="D71" s="44">
        <v>2</v>
      </c>
      <c r="E71" s="43">
        <v>2.2075055187637969E-3</v>
      </c>
    </row>
    <row r="72" spans="2:5" ht="15" customHeight="1" x14ac:dyDescent="0.25">
      <c r="B72" s="83"/>
      <c r="C72" s="42" t="s">
        <v>20</v>
      </c>
      <c r="D72" s="41">
        <v>2</v>
      </c>
      <c r="E72" s="40">
        <v>2.2075055187637969E-3</v>
      </c>
    </row>
    <row r="73" spans="2:5" ht="15" customHeight="1" x14ac:dyDescent="0.25">
      <c r="B73" s="81" t="s">
        <v>82</v>
      </c>
      <c r="C73" s="45" t="s">
        <v>113</v>
      </c>
      <c r="D73" s="44">
        <v>3</v>
      </c>
      <c r="E73" s="43">
        <v>3.3112582781456954E-3</v>
      </c>
    </row>
    <row r="74" spans="2:5" ht="15" customHeight="1" x14ac:dyDescent="0.25">
      <c r="B74" s="82"/>
      <c r="C74" s="45" t="s">
        <v>110</v>
      </c>
      <c r="D74" s="44">
        <v>1</v>
      </c>
      <c r="E74" s="43">
        <v>1.1037527593818985E-3</v>
      </c>
    </row>
    <row r="75" spans="2:5" ht="15" customHeight="1" x14ac:dyDescent="0.25">
      <c r="B75" s="82"/>
      <c r="C75" s="45" t="s">
        <v>114</v>
      </c>
      <c r="D75" s="44">
        <v>1</v>
      </c>
      <c r="E75" s="43">
        <v>1.1037527593818985E-3</v>
      </c>
    </row>
    <row r="76" spans="2:5" ht="15" customHeight="1" x14ac:dyDescent="0.25">
      <c r="B76" s="82"/>
      <c r="C76" s="45" t="s">
        <v>109</v>
      </c>
      <c r="D76" s="44">
        <v>1</v>
      </c>
      <c r="E76" s="43">
        <v>1.1037527593818985E-3</v>
      </c>
    </row>
    <row r="77" spans="2:5" ht="15" customHeight="1" x14ac:dyDescent="0.25">
      <c r="B77" s="83"/>
      <c r="C77" s="42" t="s">
        <v>20</v>
      </c>
      <c r="D77" s="41">
        <v>6</v>
      </c>
      <c r="E77" s="40">
        <v>6.6225165562913907E-3</v>
      </c>
    </row>
    <row r="78" spans="2:5" ht="15" customHeight="1" x14ac:dyDescent="0.25">
      <c r="B78" s="81" t="s">
        <v>98</v>
      </c>
      <c r="C78" s="45" t="s">
        <v>108</v>
      </c>
      <c r="D78" s="44">
        <v>1</v>
      </c>
      <c r="E78" s="43">
        <v>1.1037527593818985E-3</v>
      </c>
    </row>
    <row r="79" spans="2:5" ht="15" customHeight="1" x14ac:dyDescent="0.25">
      <c r="B79" s="82"/>
      <c r="C79" s="45" t="s">
        <v>113</v>
      </c>
      <c r="D79" s="44">
        <v>1</v>
      </c>
      <c r="E79" s="43">
        <v>1.1037527593818985E-3</v>
      </c>
    </row>
    <row r="80" spans="2:5" ht="15" customHeight="1" x14ac:dyDescent="0.25">
      <c r="B80" s="82"/>
      <c r="C80" s="45" t="s">
        <v>115</v>
      </c>
      <c r="D80" s="44">
        <v>6</v>
      </c>
      <c r="E80" s="43">
        <v>6.6225165562913907E-3</v>
      </c>
    </row>
    <row r="81" spans="2:5" ht="15" customHeight="1" x14ac:dyDescent="0.25">
      <c r="B81" s="82"/>
      <c r="C81" s="45" t="s">
        <v>114</v>
      </c>
      <c r="D81" s="44">
        <v>2</v>
      </c>
      <c r="E81" s="43">
        <v>2.2075055187637969E-3</v>
      </c>
    </row>
    <row r="82" spans="2:5" ht="15" customHeight="1" x14ac:dyDescent="0.25">
      <c r="B82" s="82"/>
      <c r="C82" s="45" t="s">
        <v>112</v>
      </c>
      <c r="D82" s="44">
        <v>2</v>
      </c>
      <c r="E82" s="43">
        <v>2.2075055187637969E-3</v>
      </c>
    </row>
    <row r="83" spans="2:5" ht="15" customHeight="1" x14ac:dyDescent="0.25">
      <c r="B83" s="82"/>
      <c r="C83" s="45" t="s">
        <v>111</v>
      </c>
      <c r="D83" s="44">
        <v>1</v>
      </c>
      <c r="E83" s="43">
        <v>1.1037527593818985E-3</v>
      </c>
    </row>
    <row r="84" spans="2:5" ht="15" customHeight="1" x14ac:dyDescent="0.25">
      <c r="B84" s="83"/>
      <c r="C84" s="42" t="s">
        <v>20</v>
      </c>
      <c r="D84" s="41">
        <v>13</v>
      </c>
      <c r="E84" s="40">
        <v>1.434878587196468E-2</v>
      </c>
    </row>
    <row r="85" spans="2:5" ht="15" customHeight="1" x14ac:dyDescent="0.25">
      <c r="B85" s="81" t="s">
        <v>102</v>
      </c>
      <c r="C85" s="45" t="s">
        <v>113</v>
      </c>
      <c r="D85" s="44">
        <v>11</v>
      </c>
      <c r="E85" s="43">
        <v>1.2141280353200883E-2</v>
      </c>
    </row>
    <row r="86" spans="2:5" ht="15" customHeight="1" x14ac:dyDescent="0.25">
      <c r="B86" s="82"/>
      <c r="C86" s="45" t="s">
        <v>115</v>
      </c>
      <c r="D86" s="44">
        <v>9</v>
      </c>
      <c r="E86" s="43">
        <v>9.9337748344370865E-3</v>
      </c>
    </row>
    <row r="87" spans="2:5" ht="15" customHeight="1" x14ac:dyDescent="0.25">
      <c r="B87" s="82"/>
      <c r="C87" s="45" t="s">
        <v>114</v>
      </c>
      <c r="D87" s="44">
        <v>17</v>
      </c>
      <c r="E87" s="43">
        <v>1.8763796909492272E-2</v>
      </c>
    </row>
    <row r="88" spans="2:5" ht="15" customHeight="1" x14ac:dyDescent="0.25">
      <c r="B88" s="82"/>
      <c r="C88" s="45" t="s">
        <v>112</v>
      </c>
      <c r="D88" s="44">
        <v>4</v>
      </c>
      <c r="E88" s="43">
        <v>4.4150110375275938E-3</v>
      </c>
    </row>
    <row r="89" spans="2:5" ht="15" customHeight="1" x14ac:dyDescent="0.25">
      <c r="B89" s="83"/>
      <c r="C89" s="42" t="s">
        <v>20</v>
      </c>
      <c r="D89" s="41">
        <v>41</v>
      </c>
      <c r="E89" s="40">
        <v>4.5253863134657839E-2</v>
      </c>
    </row>
    <row r="90" spans="2:5" ht="15" customHeight="1" x14ac:dyDescent="0.25">
      <c r="B90" s="81" t="s">
        <v>86</v>
      </c>
      <c r="C90" s="45" t="s">
        <v>113</v>
      </c>
      <c r="D90" s="44">
        <v>5</v>
      </c>
      <c r="E90" s="43">
        <v>5.5187637969094927E-3</v>
      </c>
    </row>
    <row r="91" spans="2:5" ht="15" customHeight="1" x14ac:dyDescent="0.25">
      <c r="B91" s="82"/>
      <c r="C91" s="45" t="s">
        <v>115</v>
      </c>
      <c r="D91" s="44">
        <v>7</v>
      </c>
      <c r="E91" s="43">
        <v>7.7262693156732896E-3</v>
      </c>
    </row>
    <row r="92" spans="2:5" ht="15" customHeight="1" x14ac:dyDescent="0.25">
      <c r="B92" s="82"/>
      <c r="C92" s="45" t="s">
        <v>114</v>
      </c>
      <c r="D92" s="44">
        <v>10</v>
      </c>
      <c r="E92" s="43">
        <v>1.1037527593818985E-2</v>
      </c>
    </row>
    <row r="93" spans="2:5" ht="15" customHeight="1" x14ac:dyDescent="0.25">
      <c r="B93" s="82"/>
      <c r="C93" s="45" t="s">
        <v>112</v>
      </c>
      <c r="D93" s="44">
        <v>2</v>
      </c>
      <c r="E93" s="43">
        <v>2.2075055187637969E-3</v>
      </c>
    </row>
    <row r="94" spans="2:5" ht="15" customHeight="1" x14ac:dyDescent="0.25">
      <c r="B94" s="82"/>
      <c r="C94" s="45" t="s">
        <v>111</v>
      </c>
      <c r="D94" s="44">
        <v>2</v>
      </c>
      <c r="E94" s="43">
        <v>2.2075055187637969E-3</v>
      </c>
    </row>
    <row r="95" spans="2:5" ht="15" customHeight="1" x14ac:dyDescent="0.25">
      <c r="B95" s="83"/>
      <c r="C95" s="42" t="s">
        <v>20</v>
      </c>
      <c r="D95" s="41">
        <v>26</v>
      </c>
      <c r="E95" s="40">
        <v>2.8697571743929361E-2</v>
      </c>
    </row>
    <row r="96" spans="2:5" ht="15" customHeight="1" x14ac:dyDescent="0.25">
      <c r="B96" s="81" t="s">
        <v>81</v>
      </c>
      <c r="C96" s="45" t="s">
        <v>113</v>
      </c>
      <c r="D96" s="44">
        <v>5</v>
      </c>
      <c r="E96" s="43">
        <v>5.5187637969094927E-3</v>
      </c>
    </row>
    <row r="97" spans="2:5" ht="15" customHeight="1" x14ac:dyDescent="0.25">
      <c r="B97" s="82"/>
      <c r="C97" s="45" t="s">
        <v>110</v>
      </c>
      <c r="D97" s="44">
        <v>2</v>
      </c>
      <c r="E97" s="43">
        <v>2.2075055187637969E-3</v>
      </c>
    </row>
    <row r="98" spans="2:5" ht="15" customHeight="1" x14ac:dyDescent="0.25">
      <c r="B98" s="82"/>
      <c r="C98" s="45" t="s">
        <v>115</v>
      </c>
      <c r="D98" s="44">
        <v>6</v>
      </c>
      <c r="E98" s="43">
        <v>6.6225165562913907E-3</v>
      </c>
    </row>
    <row r="99" spans="2:5" ht="15" customHeight="1" x14ac:dyDescent="0.25">
      <c r="B99" s="82"/>
      <c r="C99" s="45" t="s">
        <v>114</v>
      </c>
      <c r="D99" s="44">
        <v>1</v>
      </c>
      <c r="E99" s="43">
        <v>1.1037527593818985E-3</v>
      </c>
    </row>
    <row r="100" spans="2:5" ht="15" customHeight="1" x14ac:dyDescent="0.25">
      <c r="B100" s="82"/>
      <c r="C100" s="45" t="s">
        <v>112</v>
      </c>
      <c r="D100" s="44">
        <v>4</v>
      </c>
      <c r="E100" s="43">
        <v>4.4150110375275938E-3</v>
      </c>
    </row>
    <row r="101" spans="2:5" ht="15" customHeight="1" x14ac:dyDescent="0.25">
      <c r="B101" s="82"/>
      <c r="C101" s="45" t="s">
        <v>109</v>
      </c>
      <c r="D101" s="44">
        <v>1</v>
      </c>
      <c r="E101" s="43">
        <v>1.1037527593818985E-3</v>
      </c>
    </row>
    <row r="102" spans="2:5" ht="15" customHeight="1" x14ac:dyDescent="0.25">
      <c r="B102" s="83"/>
      <c r="C102" s="42" t="s">
        <v>20</v>
      </c>
      <c r="D102" s="41">
        <v>19</v>
      </c>
      <c r="E102" s="40">
        <v>2.097130242825607E-2</v>
      </c>
    </row>
    <row r="103" spans="2:5" ht="15" customHeight="1" x14ac:dyDescent="0.25">
      <c r="B103" s="81" t="s">
        <v>65</v>
      </c>
      <c r="C103" s="45" t="s">
        <v>113</v>
      </c>
      <c r="D103" s="44">
        <v>2</v>
      </c>
      <c r="E103" s="43">
        <v>2.2075055187637969E-3</v>
      </c>
    </row>
    <row r="104" spans="2:5" ht="15" customHeight="1" x14ac:dyDescent="0.25">
      <c r="B104" s="82"/>
      <c r="C104" s="45" t="s">
        <v>110</v>
      </c>
      <c r="D104" s="44">
        <v>1</v>
      </c>
      <c r="E104" s="43">
        <v>1.1037527593818985E-3</v>
      </c>
    </row>
    <row r="105" spans="2:5" ht="15" customHeight="1" x14ac:dyDescent="0.25">
      <c r="B105" s="82"/>
      <c r="C105" s="45" t="s">
        <v>115</v>
      </c>
      <c r="D105" s="44">
        <v>3</v>
      </c>
      <c r="E105" s="43">
        <v>3.3112582781456954E-3</v>
      </c>
    </row>
    <row r="106" spans="2:5" ht="15" customHeight="1" x14ac:dyDescent="0.25">
      <c r="B106" s="83"/>
      <c r="C106" s="42" t="s">
        <v>20</v>
      </c>
      <c r="D106" s="41">
        <v>6</v>
      </c>
      <c r="E106" s="40">
        <v>6.6225165562913907E-3</v>
      </c>
    </row>
    <row r="107" spans="2:5" ht="15" customHeight="1" x14ac:dyDescent="0.25">
      <c r="B107" s="81" t="s">
        <v>88</v>
      </c>
      <c r="C107" s="45" t="s">
        <v>113</v>
      </c>
      <c r="D107" s="44">
        <v>9</v>
      </c>
      <c r="E107" s="43">
        <v>9.9337748344370865E-3</v>
      </c>
    </row>
    <row r="108" spans="2:5" ht="15" customHeight="1" x14ac:dyDescent="0.25">
      <c r="B108" s="82"/>
      <c r="C108" s="45" t="s">
        <v>115</v>
      </c>
      <c r="D108" s="44">
        <v>3</v>
      </c>
      <c r="E108" s="43">
        <v>3.3112582781456954E-3</v>
      </c>
    </row>
    <row r="109" spans="2:5" ht="15" customHeight="1" x14ac:dyDescent="0.25">
      <c r="B109" s="82"/>
      <c r="C109" s="45" t="s">
        <v>114</v>
      </c>
      <c r="D109" s="44">
        <v>2</v>
      </c>
      <c r="E109" s="43">
        <v>2.2075055187637969E-3</v>
      </c>
    </row>
    <row r="110" spans="2:5" ht="15" customHeight="1" x14ac:dyDescent="0.25">
      <c r="B110" s="82"/>
      <c r="C110" s="45" t="s">
        <v>112</v>
      </c>
      <c r="D110" s="44">
        <v>1</v>
      </c>
      <c r="E110" s="43">
        <v>1.1037527593818985E-3</v>
      </c>
    </row>
    <row r="111" spans="2:5" ht="15" customHeight="1" x14ac:dyDescent="0.25">
      <c r="B111" s="82"/>
      <c r="C111" s="45" t="s">
        <v>111</v>
      </c>
      <c r="D111" s="44">
        <v>1</v>
      </c>
      <c r="E111" s="43">
        <v>1.1037527593818985E-3</v>
      </c>
    </row>
    <row r="112" spans="2:5" ht="15" customHeight="1" x14ac:dyDescent="0.25">
      <c r="B112" s="83"/>
      <c r="C112" s="42" t="s">
        <v>20</v>
      </c>
      <c r="D112" s="41">
        <v>16</v>
      </c>
      <c r="E112" s="40">
        <v>1.7660044150110375E-2</v>
      </c>
    </row>
    <row r="113" spans="2:5" ht="15" customHeight="1" x14ac:dyDescent="0.25">
      <c r="B113" s="81" t="s">
        <v>92</v>
      </c>
      <c r="C113" s="45" t="s">
        <v>113</v>
      </c>
      <c r="D113" s="44">
        <v>2</v>
      </c>
      <c r="E113" s="43">
        <v>2.2075055187637969E-3</v>
      </c>
    </row>
    <row r="114" spans="2:5" ht="15" customHeight="1" x14ac:dyDescent="0.25">
      <c r="B114" s="82"/>
      <c r="C114" s="45" t="s">
        <v>115</v>
      </c>
      <c r="D114" s="44">
        <v>6</v>
      </c>
      <c r="E114" s="43">
        <v>6.6225165562913907E-3</v>
      </c>
    </row>
    <row r="115" spans="2:5" ht="15" customHeight="1" x14ac:dyDescent="0.25">
      <c r="B115" s="82"/>
      <c r="C115" s="45" t="s">
        <v>114</v>
      </c>
      <c r="D115" s="44">
        <v>4</v>
      </c>
      <c r="E115" s="43">
        <v>4.4150110375275938E-3</v>
      </c>
    </row>
    <row r="116" spans="2:5" ht="15" customHeight="1" x14ac:dyDescent="0.25">
      <c r="B116" s="82"/>
      <c r="C116" s="45" t="s">
        <v>112</v>
      </c>
      <c r="D116" s="44">
        <v>5</v>
      </c>
      <c r="E116" s="43">
        <v>5.5187637969094927E-3</v>
      </c>
    </row>
    <row r="117" spans="2:5" ht="15" customHeight="1" x14ac:dyDescent="0.25">
      <c r="B117" s="82"/>
      <c r="C117" s="45" t="s">
        <v>111</v>
      </c>
      <c r="D117" s="44">
        <v>1</v>
      </c>
      <c r="E117" s="43">
        <v>1.1037527593818985E-3</v>
      </c>
    </row>
    <row r="118" spans="2:5" ht="15" customHeight="1" x14ac:dyDescent="0.25">
      <c r="B118" s="83"/>
      <c r="C118" s="42" t="s">
        <v>20</v>
      </c>
      <c r="D118" s="41">
        <v>18</v>
      </c>
      <c r="E118" s="40">
        <v>1.9867549668874173E-2</v>
      </c>
    </row>
    <row r="119" spans="2:5" ht="15" customHeight="1" x14ac:dyDescent="0.25">
      <c r="B119" s="81" t="s">
        <v>104</v>
      </c>
      <c r="C119" s="45" t="s">
        <v>108</v>
      </c>
      <c r="D119" s="44">
        <v>1</v>
      </c>
      <c r="E119" s="43">
        <v>1.1037527593818985E-3</v>
      </c>
    </row>
    <row r="120" spans="2:5" ht="15" customHeight="1" x14ac:dyDescent="0.25">
      <c r="B120" s="82"/>
      <c r="C120" s="45" t="s">
        <v>113</v>
      </c>
      <c r="D120" s="44">
        <v>15</v>
      </c>
      <c r="E120" s="43">
        <v>1.6556291390728478E-2</v>
      </c>
    </row>
    <row r="121" spans="2:5" ht="15" customHeight="1" x14ac:dyDescent="0.25">
      <c r="B121" s="82"/>
      <c r="C121" s="45" t="s">
        <v>110</v>
      </c>
      <c r="D121" s="44">
        <v>1</v>
      </c>
      <c r="E121" s="43">
        <v>1.1037527593818985E-3</v>
      </c>
    </row>
    <row r="122" spans="2:5" ht="15" customHeight="1" x14ac:dyDescent="0.25">
      <c r="B122" s="82"/>
      <c r="C122" s="45" t="s">
        <v>115</v>
      </c>
      <c r="D122" s="44">
        <v>12</v>
      </c>
      <c r="E122" s="43">
        <v>1.3245033112582781E-2</v>
      </c>
    </row>
    <row r="123" spans="2:5" ht="15" customHeight="1" x14ac:dyDescent="0.25">
      <c r="B123" s="82"/>
      <c r="C123" s="45" t="s">
        <v>114</v>
      </c>
      <c r="D123" s="44">
        <v>4</v>
      </c>
      <c r="E123" s="43">
        <v>4.4150110375275938E-3</v>
      </c>
    </row>
    <row r="124" spans="2:5" ht="15" customHeight="1" x14ac:dyDescent="0.25">
      <c r="B124" s="83"/>
      <c r="C124" s="42" t="s">
        <v>20</v>
      </c>
      <c r="D124" s="41">
        <v>33</v>
      </c>
      <c r="E124" s="40">
        <v>3.6423841059602648E-2</v>
      </c>
    </row>
    <row r="125" spans="2:5" ht="15" customHeight="1" x14ac:dyDescent="0.25">
      <c r="B125" s="81" t="s">
        <v>83</v>
      </c>
      <c r="C125" s="45" t="s">
        <v>113</v>
      </c>
      <c r="D125" s="44">
        <v>3</v>
      </c>
      <c r="E125" s="43">
        <v>3.3112582781456954E-3</v>
      </c>
    </row>
    <row r="126" spans="2:5" ht="15" customHeight="1" x14ac:dyDescent="0.25">
      <c r="B126" s="82"/>
      <c r="C126" s="45" t="s">
        <v>110</v>
      </c>
      <c r="D126" s="44">
        <v>2</v>
      </c>
      <c r="E126" s="43">
        <v>2.2075055187637969E-3</v>
      </c>
    </row>
    <row r="127" spans="2:5" ht="15" customHeight="1" x14ac:dyDescent="0.25">
      <c r="B127" s="82"/>
      <c r="C127" s="45" t="s">
        <v>115</v>
      </c>
      <c r="D127" s="44">
        <v>11</v>
      </c>
      <c r="E127" s="43">
        <v>1.2141280353200883E-2</v>
      </c>
    </row>
    <row r="128" spans="2:5" ht="15" customHeight="1" x14ac:dyDescent="0.25">
      <c r="B128" s="82"/>
      <c r="C128" s="45" t="s">
        <v>114</v>
      </c>
      <c r="D128" s="44">
        <v>4</v>
      </c>
      <c r="E128" s="43">
        <v>4.4150110375275938E-3</v>
      </c>
    </row>
    <row r="129" spans="2:5" ht="15" customHeight="1" x14ac:dyDescent="0.25">
      <c r="B129" s="82"/>
      <c r="C129" s="45" t="s">
        <v>112</v>
      </c>
      <c r="D129" s="44">
        <v>2</v>
      </c>
      <c r="E129" s="43">
        <v>2.2075055187637969E-3</v>
      </c>
    </row>
    <row r="130" spans="2:5" ht="15" customHeight="1" x14ac:dyDescent="0.25">
      <c r="B130" s="82"/>
      <c r="C130" s="45" t="s">
        <v>111</v>
      </c>
      <c r="D130" s="44">
        <v>1</v>
      </c>
      <c r="E130" s="43">
        <v>1.1037527593818985E-3</v>
      </c>
    </row>
    <row r="131" spans="2:5" ht="15" customHeight="1" x14ac:dyDescent="0.25">
      <c r="B131" s="83"/>
      <c r="C131" s="42" t="s">
        <v>20</v>
      </c>
      <c r="D131" s="41">
        <v>23</v>
      </c>
      <c r="E131" s="40">
        <v>2.5386313465783666E-2</v>
      </c>
    </row>
    <row r="132" spans="2:5" ht="15" customHeight="1" x14ac:dyDescent="0.25">
      <c r="B132" s="81" t="s">
        <v>78</v>
      </c>
      <c r="C132" s="45" t="s">
        <v>113</v>
      </c>
      <c r="D132" s="44">
        <v>5</v>
      </c>
      <c r="E132" s="43">
        <v>5.5187637969094927E-3</v>
      </c>
    </row>
    <row r="133" spans="2:5" ht="15" customHeight="1" x14ac:dyDescent="0.25">
      <c r="B133" s="82"/>
      <c r="C133" s="45" t="s">
        <v>115</v>
      </c>
      <c r="D133" s="44">
        <v>4</v>
      </c>
      <c r="E133" s="43">
        <v>4.4150110375275938E-3</v>
      </c>
    </row>
    <row r="134" spans="2:5" ht="15" customHeight="1" x14ac:dyDescent="0.25">
      <c r="B134" s="82"/>
      <c r="C134" s="45" t="s">
        <v>114</v>
      </c>
      <c r="D134" s="44">
        <v>8</v>
      </c>
      <c r="E134" s="43">
        <v>8.8300220750551876E-3</v>
      </c>
    </row>
    <row r="135" spans="2:5" ht="15" customHeight="1" x14ac:dyDescent="0.25">
      <c r="B135" s="83"/>
      <c r="C135" s="42" t="s">
        <v>20</v>
      </c>
      <c r="D135" s="41">
        <v>17</v>
      </c>
      <c r="E135" s="40">
        <v>1.8763796909492272E-2</v>
      </c>
    </row>
    <row r="136" spans="2:5" ht="15" customHeight="1" x14ac:dyDescent="0.25">
      <c r="B136" s="81" t="s">
        <v>77</v>
      </c>
      <c r="C136" s="45" t="s">
        <v>113</v>
      </c>
      <c r="D136" s="44">
        <v>3</v>
      </c>
      <c r="E136" s="43">
        <v>3.3112582781456954E-3</v>
      </c>
    </row>
    <row r="137" spans="2:5" ht="15" customHeight="1" x14ac:dyDescent="0.25">
      <c r="B137" s="82"/>
      <c r="C137" s="45" t="s">
        <v>115</v>
      </c>
      <c r="D137" s="44">
        <v>5</v>
      </c>
      <c r="E137" s="43">
        <v>5.5187637969094927E-3</v>
      </c>
    </row>
    <row r="138" spans="2:5" ht="15" customHeight="1" x14ac:dyDescent="0.25">
      <c r="B138" s="82"/>
      <c r="C138" s="45" t="s">
        <v>114</v>
      </c>
      <c r="D138" s="44">
        <v>5</v>
      </c>
      <c r="E138" s="43">
        <v>5.5187637969094927E-3</v>
      </c>
    </row>
    <row r="139" spans="2:5" ht="15" customHeight="1" x14ac:dyDescent="0.25">
      <c r="B139" s="83"/>
      <c r="C139" s="42" t="s">
        <v>20</v>
      </c>
      <c r="D139" s="41">
        <v>13</v>
      </c>
      <c r="E139" s="40">
        <v>1.434878587196468E-2</v>
      </c>
    </row>
    <row r="140" spans="2:5" ht="15" customHeight="1" x14ac:dyDescent="0.25">
      <c r="B140" s="81" t="s">
        <v>70</v>
      </c>
      <c r="C140" s="45" t="s">
        <v>113</v>
      </c>
      <c r="D140" s="44">
        <v>2</v>
      </c>
      <c r="E140" s="43">
        <v>2.2075055187637969E-3</v>
      </c>
    </row>
    <row r="141" spans="2:5" ht="15" customHeight="1" x14ac:dyDescent="0.25">
      <c r="B141" s="82"/>
      <c r="C141" s="45" t="s">
        <v>110</v>
      </c>
      <c r="D141" s="44">
        <v>1</v>
      </c>
      <c r="E141" s="43">
        <v>1.1037527593818985E-3</v>
      </c>
    </row>
    <row r="142" spans="2:5" ht="15" customHeight="1" x14ac:dyDescent="0.25">
      <c r="B142" s="82"/>
      <c r="C142" s="45" t="s">
        <v>115</v>
      </c>
      <c r="D142" s="44">
        <v>7</v>
      </c>
      <c r="E142" s="43">
        <v>7.7262693156732896E-3</v>
      </c>
    </row>
    <row r="143" spans="2:5" ht="15" customHeight="1" x14ac:dyDescent="0.25">
      <c r="B143" s="82"/>
      <c r="C143" s="45" t="s">
        <v>114</v>
      </c>
      <c r="D143" s="44">
        <v>3</v>
      </c>
      <c r="E143" s="43">
        <v>3.3112582781456954E-3</v>
      </c>
    </row>
    <row r="144" spans="2:5" ht="15" customHeight="1" x14ac:dyDescent="0.25">
      <c r="B144" s="82"/>
      <c r="C144" s="45" t="s">
        <v>112</v>
      </c>
      <c r="D144" s="44">
        <v>1</v>
      </c>
      <c r="E144" s="43">
        <v>1.1037527593818985E-3</v>
      </c>
    </row>
    <row r="145" spans="2:5" ht="15" customHeight="1" x14ac:dyDescent="0.25">
      <c r="B145" s="82"/>
      <c r="C145" s="45" t="s">
        <v>109</v>
      </c>
      <c r="D145" s="44">
        <v>1</v>
      </c>
      <c r="E145" s="43">
        <v>1.1037527593818985E-3</v>
      </c>
    </row>
    <row r="146" spans="2:5" ht="15" customHeight="1" x14ac:dyDescent="0.25">
      <c r="B146" s="82"/>
      <c r="C146" s="45" t="s">
        <v>111</v>
      </c>
      <c r="D146" s="44">
        <v>1</v>
      </c>
      <c r="E146" s="43">
        <v>1.1037527593818985E-3</v>
      </c>
    </row>
    <row r="147" spans="2:5" ht="15" customHeight="1" x14ac:dyDescent="0.25">
      <c r="B147" s="83"/>
      <c r="C147" s="42" t="s">
        <v>20</v>
      </c>
      <c r="D147" s="41">
        <v>16</v>
      </c>
      <c r="E147" s="40">
        <v>1.7660044150110375E-2</v>
      </c>
    </row>
    <row r="148" spans="2:5" ht="15" customHeight="1" x14ac:dyDescent="0.25">
      <c r="B148" s="81" t="s">
        <v>99</v>
      </c>
      <c r="C148" s="45" t="s">
        <v>113</v>
      </c>
      <c r="D148" s="44">
        <v>4</v>
      </c>
      <c r="E148" s="43">
        <v>4.4150110375275938E-3</v>
      </c>
    </row>
    <row r="149" spans="2:5" ht="15" customHeight="1" x14ac:dyDescent="0.25">
      <c r="B149" s="82"/>
      <c r="C149" s="45" t="s">
        <v>115</v>
      </c>
      <c r="D149" s="44">
        <v>1</v>
      </c>
      <c r="E149" s="43">
        <v>1.1037527593818985E-3</v>
      </c>
    </row>
    <row r="150" spans="2:5" ht="15" customHeight="1" x14ac:dyDescent="0.25">
      <c r="B150" s="82"/>
      <c r="C150" s="45" t="s">
        <v>114</v>
      </c>
      <c r="D150" s="44">
        <v>1</v>
      </c>
      <c r="E150" s="43">
        <v>1.1037527593818985E-3</v>
      </c>
    </row>
    <row r="151" spans="2:5" ht="15" customHeight="1" x14ac:dyDescent="0.25">
      <c r="B151" s="82"/>
      <c r="C151" s="45" t="s">
        <v>112</v>
      </c>
      <c r="D151" s="44">
        <v>1</v>
      </c>
      <c r="E151" s="43">
        <v>1.1037527593818985E-3</v>
      </c>
    </row>
    <row r="152" spans="2:5" ht="15" customHeight="1" x14ac:dyDescent="0.25">
      <c r="B152" s="83"/>
      <c r="C152" s="42" t="s">
        <v>20</v>
      </c>
      <c r="D152" s="41">
        <v>7</v>
      </c>
      <c r="E152" s="40">
        <v>7.7262693156732896E-3</v>
      </c>
    </row>
    <row r="153" spans="2:5" ht="15" customHeight="1" x14ac:dyDescent="0.25">
      <c r="B153" s="81" t="s">
        <v>72</v>
      </c>
      <c r="C153" s="45" t="s">
        <v>113</v>
      </c>
      <c r="D153" s="44">
        <v>8</v>
      </c>
      <c r="E153" s="43">
        <v>8.8300220750551876E-3</v>
      </c>
    </row>
    <row r="154" spans="2:5" ht="15" customHeight="1" x14ac:dyDescent="0.25">
      <c r="B154" s="82"/>
      <c r="C154" s="45" t="s">
        <v>115</v>
      </c>
      <c r="D154" s="44">
        <v>19</v>
      </c>
      <c r="E154" s="43">
        <v>2.097130242825607E-2</v>
      </c>
    </row>
    <row r="155" spans="2:5" ht="15" customHeight="1" x14ac:dyDescent="0.25">
      <c r="B155" s="82"/>
      <c r="C155" s="45" t="s">
        <v>114</v>
      </c>
      <c r="D155" s="44">
        <v>14</v>
      </c>
      <c r="E155" s="43">
        <v>1.5452538631346579E-2</v>
      </c>
    </row>
    <row r="156" spans="2:5" ht="15" customHeight="1" x14ac:dyDescent="0.25">
      <c r="B156" s="82"/>
      <c r="C156" s="45" t="s">
        <v>112</v>
      </c>
      <c r="D156" s="44">
        <v>30</v>
      </c>
      <c r="E156" s="43">
        <v>3.3112582781456956E-2</v>
      </c>
    </row>
    <row r="157" spans="2:5" ht="15" customHeight="1" x14ac:dyDescent="0.25">
      <c r="B157" s="83"/>
      <c r="C157" s="42" t="s">
        <v>20</v>
      </c>
      <c r="D157" s="41">
        <v>71</v>
      </c>
      <c r="E157" s="40">
        <v>7.8366445916114788E-2</v>
      </c>
    </row>
    <row r="158" spans="2:5" ht="15" customHeight="1" x14ac:dyDescent="0.25">
      <c r="B158" s="81" t="s">
        <v>91</v>
      </c>
      <c r="C158" s="45" t="s">
        <v>113</v>
      </c>
      <c r="D158" s="44">
        <v>8</v>
      </c>
      <c r="E158" s="43">
        <v>8.8300220750551876E-3</v>
      </c>
    </row>
    <row r="159" spans="2:5" ht="15" customHeight="1" x14ac:dyDescent="0.25">
      <c r="B159" s="82"/>
      <c r="C159" s="45" t="s">
        <v>115</v>
      </c>
      <c r="D159" s="44">
        <v>22</v>
      </c>
      <c r="E159" s="43">
        <v>2.4282560706401765E-2</v>
      </c>
    </row>
    <row r="160" spans="2:5" ht="15" customHeight="1" x14ac:dyDescent="0.25">
      <c r="B160" s="82"/>
      <c r="C160" s="45" t="s">
        <v>114</v>
      </c>
      <c r="D160" s="44">
        <v>8</v>
      </c>
      <c r="E160" s="43">
        <v>8.8300220750551876E-3</v>
      </c>
    </row>
    <row r="161" spans="2:5" ht="15" customHeight="1" x14ac:dyDescent="0.25">
      <c r="B161" s="82"/>
      <c r="C161" s="45" t="s">
        <v>112</v>
      </c>
      <c r="D161" s="44">
        <v>6</v>
      </c>
      <c r="E161" s="43">
        <v>6.6225165562913907E-3</v>
      </c>
    </row>
    <row r="162" spans="2:5" ht="15" customHeight="1" x14ac:dyDescent="0.25">
      <c r="B162" s="82"/>
      <c r="C162" s="45" t="s">
        <v>109</v>
      </c>
      <c r="D162" s="44">
        <v>1</v>
      </c>
      <c r="E162" s="43">
        <v>1.1037527593818985E-3</v>
      </c>
    </row>
    <row r="163" spans="2:5" ht="15" customHeight="1" x14ac:dyDescent="0.25">
      <c r="B163" s="82"/>
      <c r="C163" s="45" t="s">
        <v>111</v>
      </c>
      <c r="D163" s="44">
        <v>1</v>
      </c>
      <c r="E163" s="43">
        <v>1.1037527593818985E-3</v>
      </c>
    </row>
    <row r="164" spans="2:5" ht="15" customHeight="1" x14ac:dyDescent="0.25">
      <c r="B164" s="82"/>
      <c r="C164" s="45" t="s">
        <v>106</v>
      </c>
      <c r="D164" s="44">
        <v>1</v>
      </c>
      <c r="E164" s="43">
        <v>1.1037527593818985E-3</v>
      </c>
    </row>
    <row r="165" spans="2:5" ht="15" customHeight="1" x14ac:dyDescent="0.25">
      <c r="B165" s="83"/>
      <c r="C165" s="42" t="s">
        <v>20</v>
      </c>
      <c r="D165" s="41">
        <v>47</v>
      </c>
      <c r="E165" s="40">
        <v>5.1876379690949229E-2</v>
      </c>
    </row>
    <row r="166" spans="2:5" ht="15" customHeight="1" x14ac:dyDescent="0.25">
      <c r="B166" s="81" t="s">
        <v>87</v>
      </c>
      <c r="C166" s="45" t="s">
        <v>113</v>
      </c>
      <c r="D166" s="44">
        <v>1</v>
      </c>
      <c r="E166" s="43">
        <v>1.1037527593818985E-3</v>
      </c>
    </row>
    <row r="167" spans="2:5" ht="15" customHeight="1" x14ac:dyDescent="0.25">
      <c r="B167" s="82"/>
      <c r="C167" s="45" t="s">
        <v>110</v>
      </c>
      <c r="D167" s="44">
        <v>1</v>
      </c>
      <c r="E167" s="43">
        <v>1.1037527593818985E-3</v>
      </c>
    </row>
    <row r="168" spans="2:5" ht="15" customHeight="1" x14ac:dyDescent="0.25">
      <c r="B168" s="82"/>
      <c r="C168" s="45" t="s">
        <v>115</v>
      </c>
      <c r="D168" s="44">
        <v>8</v>
      </c>
      <c r="E168" s="43">
        <v>8.8300220750551876E-3</v>
      </c>
    </row>
    <row r="169" spans="2:5" ht="15" customHeight="1" x14ac:dyDescent="0.25">
      <c r="B169" s="82"/>
      <c r="C169" s="45" t="s">
        <v>114</v>
      </c>
      <c r="D169" s="44">
        <v>4</v>
      </c>
      <c r="E169" s="43">
        <v>4.4150110375275938E-3</v>
      </c>
    </row>
    <row r="170" spans="2:5" ht="15" customHeight="1" x14ac:dyDescent="0.25">
      <c r="B170" s="82"/>
      <c r="C170" s="45" t="s">
        <v>112</v>
      </c>
      <c r="D170" s="44">
        <v>2</v>
      </c>
      <c r="E170" s="43">
        <v>2.2075055187637969E-3</v>
      </c>
    </row>
    <row r="171" spans="2:5" ht="15" customHeight="1" x14ac:dyDescent="0.25">
      <c r="B171" s="83"/>
      <c r="C171" s="42" t="s">
        <v>20</v>
      </c>
      <c r="D171" s="41">
        <v>16</v>
      </c>
      <c r="E171" s="40">
        <v>1.7660044150110375E-2</v>
      </c>
    </row>
    <row r="172" spans="2:5" ht="15" customHeight="1" x14ac:dyDescent="0.25">
      <c r="B172" s="81" t="s">
        <v>75</v>
      </c>
      <c r="C172" s="45" t="s">
        <v>113</v>
      </c>
      <c r="D172" s="44">
        <v>1</v>
      </c>
      <c r="E172" s="43">
        <v>1.1037527593818985E-3</v>
      </c>
    </row>
    <row r="173" spans="2:5" ht="15" customHeight="1" x14ac:dyDescent="0.25">
      <c r="B173" s="82"/>
      <c r="C173" s="45" t="s">
        <v>115</v>
      </c>
      <c r="D173" s="44">
        <v>4</v>
      </c>
      <c r="E173" s="43">
        <v>4.4150110375275938E-3</v>
      </c>
    </row>
    <row r="174" spans="2:5" ht="15" customHeight="1" x14ac:dyDescent="0.25">
      <c r="B174" s="82"/>
      <c r="C174" s="45" t="s">
        <v>114</v>
      </c>
      <c r="D174" s="44">
        <v>1</v>
      </c>
      <c r="E174" s="43">
        <v>1.1037527593818985E-3</v>
      </c>
    </row>
    <row r="175" spans="2:5" ht="15" customHeight="1" x14ac:dyDescent="0.25">
      <c r="B175" s="83"/>
      <c r="C175" s="42" t="s">
        <v>20</v>
      </c>
      <c r="D175" s="41">
        <v>6</v>
      </c>
      <c r="E175" s="40">
        <v>6.6225165562913907E-3</v>
      </c>
    </row>
    <row r="176" spans="2:5" ht="15" customHeight="1" x14ac:dyDescent="0.25">
      <c r="B176" s="81" t="s">
        <v>79</v>
      </c>
      <c r="C176" s="45" t="s">
        <v>108</v>
      </c>
      <c r="D176" s="44">
        <v>1</v>
      </c>
      <c r="E176" s="43">
        <v>1.1037527593818985E-3</v>
      </c>
    </row>
    <row r="177" spans="2:5" ht="15" customHeight="1" x14ac:dyDescent="0.25">
      <c r="B177" s="82"/>
      <c r="C177" s="45" t="s">
        <v>113</v>
      </c>
      <c r="D177" s="44">
        <v>1</v>
      </c>
      <c r="E177" s="43">
        <v>1.1037527593818985E-3</v>
      </c>
    </row>
    <row r="178" spans="2:5" ht="15" customHeight="1" x14ac:dyDescent="0.25">
      <c r="B178" s="82"/>
      <c r="C178" s="45" t="s">
        <v>115</v>
      </c>
      <c r="D178" s="44">
        <v>1</v>
      </c>
      <c r="E178" s="43">
        <v>1.1037527593818985E-3</v>
      </c>
    </row>
    <row r="179" spans="2:5" ht="15" customHeight="1" x14ac:dyDescent="0.25">
      <c r="B179" s="82"/>
      <c r="C179" s="45" t="s">
        <v>114</v>
      </c>
      <c r="D179" s="44">
        <v>3</v>
      </c>
      <c r="E179" s="43">
        <v>3.3112582781456954E-3</v>
      </c>
    </row>
    <row r="180" spans="2:5" ht="15" customHeight="1" x14ac:dyDescent="0.25">
      <c r="B180" s="82"/>
      <c r="C180" s="45" t="s">
        <v>112</v>
      </c>
      <c r="D180" s="44">
        <v>1</v>
      </c>
      <c r="E180" s="43">
        <v>1.1037527593818985E-3</v>
      </c>
    </row>
    <row r="181" spans="2:5" ht="15" customHeight="1" x14ac:dyDescent="0.25">
      <c r="B181" s="82"/>
      <c r="C181" s="45" t="s">
        <v>109</v>
      </c>
      <c r="D181" s="44">
        <v>3</v>
      </c>
      <c r="E181" s="43">
        <v>3.3112582781456954E-3</v>
      </c>
    </row>
    <row r="182" spans="2:5" ht="15" customHeight="1" x14ac:dyDescent="0.25">
      <c r="B182" s="83"/>
      <c r="C182" s="42" t="s">
        <v>20</v>
      </c>
      <c r="D182" s="41">
        <v>10</v>
      </c>
      <c r="E182" s="40">
        <v>1.1037527593818985E-2</v>
      </c>
    </row>
    <row r="183" spans="2:5" ht="15" customHeight="1" x14ac:dyDescent="0.25">
      <c r="B183" s="81" t="s">
        <v>97</v>
      </c>
      <c r="C183" s="45" t="s">
        <v>113</v>
      </c>
      <c r="D183" s="44">
        <v>11</v>
      </c>
      <c r="E183" s="43">
        <v>1.2141280353200883E-2</v>
      </c>
    </row>
    <row r="184" spans="2:5" ht="15" customHeight="1" x14ac:dyDescent="0.25">
      <c r="B184" s="82"/>
      <c r="C184" s="45" t="s">
        <v>110</v>
      </c>
      <c r="D184" s="44">
        <v>2</v>
      </c>
      <c r="E184" s="43">
        <v>2.2075055187637969E-3</v>
      </c>
    </row>
    <row r="185" spans="2:5" ht="15" customHeight="1" x14ac:dyDescent="0.25">
      <c r="B185" s="82"/>
      <c r="C185" s="45" t="s">
        <v>115</v>
      </c>
      <c r="D185" s="44">
        <v>21</v>
      </c>
      <c r="E185" s="43">
        <v>2.3178807947019868E-2</v>
      </c>
    </row>
    <row r="186" spans="2:5" ht="15" customHeight="1" x14ac:dyDescent="0.25">
      <c r="B186" s="82"/>
      <c r="C186" s="45" t="s">
        <v>114</v>
      </c>
      <c r="D186" s="44">
        <v>32</v>
      </c>
      <c r="E186" s="43">
        <v>3.5320088300220751E-2</v>
      </c>
    </row>
    <row r="187" spans="2:5" ht="15" customHeight="1" x14ac:dyDescent="0.25">
      <c r="B187" s="82"/>
      <c r="C187" s="45" t="s">
        <v>112</v>
      </c>
      <c r="D187" s="44">
        <v>6</v>
      </c>
      <c r="E187" s="43">
        <v>6.6225165562913907E-3</v>
      </c>
    </row>
    <row r="188" spans="2:5" ht="15" customHeight="1" x14ac:dyDescent="0.25">
      <c r="B188" s="83"/>
      <c r="C188" s="42" t="s">
        <v>20</v>
      </c>
      <c r="D188" s="41">
        <v>72</v>
      </c>
      <c r="E188" s="40">
        <v>7.9470198675496692E-2</v>
      </c>
    </row>
    <row r="189" spans="2:5" ht="15" customHeight="1" x14ac:dyDescent="0.25">
      <c r="B189" s="81" t="s">
        <v>89</v>
      </c>
      <c r="C189" s="45" t="s">
        <v>113</v>
      </c>
      <c r="D189" s="44">
        <v>10</v>
      </c>
      <c r="E189" s="43">
        <v>1.1037527593818985E-2</v>
      </c>
    </row>
    <row r="190" spans="2:5" ht="15" customHeight="1" x14ac:dyDescent="0.25">
      <c r="B190" s="82"/>
      <c r="C190" s="45" t="s">
        <v>115</v>
      </c>
      <c r="D190" s="44">
        <v>5</v>
      </c>
      <c r="E190" s="43">
        <v>5.5187637969094927E-3</v>
      </c>
    </row>
    <row r="191" spans="2:5" ht="15" customHeight="1" x14ac:dyDescent="0.25">
      <c r="B191" s="82"/>
      <c r="C191" s="45" t="s">
        <v>114</v>
      </c>
      <c r="D191" s="44">
        <v>5</v>
      </c>
      <c r="E191" s="43">
        <v>5.5187637969094927E-3</v>
      </c>
    </row>
    <row r="192" spans="2:5" ht="15" customHeight="1" x14ac:dyDescent="0.25">
      <c r="B192" s="82"/>
      <c r="C192" s="45" t="s">
        <v>112</v>
      </c>
      <c r="D192" s="44">
        <v>2</v>
      </c>
      <c r="E192" s="43">
        <v>2.2075055187637969E-3</v>
      </c>
    </row>
    <row r="193" spans="2:5" ht="15" customHeight="1" x14ac:dyDescent="0.25">
      <c r="B193" s="82"/>
      <c r="C193" s="45" t="s">
        <v>109</v>
      </c>
      <c r="D193" s="44">
        <v>1</v>
      </c>
      <c r="E193" s="43">
        <v>1.1037527593818985E-3</v>
      </c>
    </row>
    <row r="194" spans="2:5" ht="15" customHeight="1" x14ac:dyDescent="0.25">
      <c r="B194" s="82"/>
      <c r="C194" s="45" t="s">
        <v>107</v>
      </c>
      <c r="D194" s="44">
        <v>1</v>
      </c>
      <c r="E194" s="43">
        <v>1.1037527593818985E-3</v>
      </c>
    </row>
    <row r="195" spans="2:5" ht="15" customHeight="1" x14ac:dyDescent="0.25">
      <c r="B195" s="83"/>
      <c r="C195" s="42" t="s">
        <v>20</v>
      </c>
      <c r="D195" s="41">
        <v>24</v>
      </c>
      <c r="E195" s="40">
        <v>2.6490066225165563E-2</v>
      </c>
    </row>
    <row r="196" spans="2:5" ht="15" customHeight="1" x14ac:dyDescent="0.25">
      <c r="B196" s="81" t="s">
        <v>74</v>
      </c>
      <c r="C196" s="45" t="s">
        <v>113</v>
      </c>
      <c r="D196" s="44">
        <v>9</v>
      </c>
      <c r="E196" s="43">
        <v>9.9337748344370865E-3</v>
      </c>
    </row>
    <row r="197" spans="2:5" ht="15" customHeight="1" x14ac:dyDescent="0.25">
      <c r="B197" s="82"/>
      <c r="C197" s="45" t="s">
        <v>115</v>
      </c>
      <c r="D197" s="44">
        <v>7</v>
      </c>
      <c r="E197" s="43">
        <v>7.7262693156732896E-3</v>
      </c>
    </row>
    <row r="198" spans="2:5" ht="15" customHeight="1" x14ac:dyDescent="0.25">
      <c r="B198" s="82"/>
      <c r="C198" s="45" t="s">
        <v>114</v>
      </c>
      <c r="D198" s="44">
        <v>4</v>
      </c>
      <c r="E198" s="43">
        <v>4.4150110375275938E-3</v>
      </c>
    </row>
    <row r="199" spans="2:5" ht="15" customHeight="1" x14ac:dyDescent="0.25">
      <c r="B199" s="82"/>
      <c r="C199" s="45" t="s">
        <v>112</v>
      </c>
      <c r="D199" s="44">
        <v>1</v>
      </c>
      <c r="E199" s="43">
        <v>1.1037527593818985E-3</v>
      </c>
    </row>
    <row r="200" spans="2:5" ht="15" customHeight="1" x14ac:dyDescent="0.25">
      <c r="B200" s="83"/>
      <c r="C200" s="42" t="s">
        <v>20</v>
      </c>
      <c r="D200" s="41">
        <v>21</v>
      </c>
      <c r="E200" s="40">
        <v>2.3178807947019868E-2</v>
      </c>
    </row>
    <row r="201" spans="2:5" ht="15" customHeight="1" x14ac:dyDescent="0.25">
      <c r="B201" s="81" t="s">
        <v>76</v>
      </c>
      <c r="C201" s="45" t="s">
        <v>113</v>
      </c>
      <c r="D201" s="44">
        <v>1</v>
      </c>
      <c r="E201" s="43">
        <v>1.1037527593818985E-3</v>
      </c>
    </row>
    <row r="202" spans="2:5" ht="15" customHeight="1" x14ac:dyDescent="0.25">
      <c r="B202" s="82"/>
      <c r="C202" s="45" t="s">
        <v>114</v>
      </c>
      <c r="D202" s="44">
        <v>2</v>
      </c>
      <c r="E202" s="43">
        <v>2.2075055187637969E-3</v>
      </c>
    </row>
    <row r="203" spans="2:5" ht="15" customHeight="1" x14ac:dyDescent="0.25">
      <c r="B203" s="82"/>
      <c r="C203" s="45" t="s">
        <v>112</v>
      </c>
      <c r="D203" s="44">
        <v>1</v>
      </c>
      <c r="E203" s="43">
        <v>1.1037527593818985E-3</v>
      </c>
    </row>
    <row r="204" spans="2:5" ht="15" customHeight="1" x14ac:dyDescent="0.25">
      <c r="B204" s="82"/>
      <c r="C204" s="45" t="s">
        <v>111</v>
      </c>
      <c r="D204" s="44">
        <v>2</v>
      </c>
      <c r="E204" s="43">
        <v>2.2075055187637969E-3</v>
      </c>
    </row>
    <row r="205" spans="2:5" ht="15" customHeight="1" x14ac:dyDescent="0.25">
      <c r="B205" s="83"/>
      <c r="C205" s="42" t="s">
        <v>20</v>
      </c>
      <c r="D205" s="41">
        <v>6</v>
      </c>
      <c r="E205" s="40">
        <v>6.6225165562913907E-3</v>
      </c>
    </row>
    <row r="206" spans="2:5" ht="15" customHeight="1" x14ac:dyDescent="0.25">
      <c r="B206" s="81" t="s">
        <v>84</v>
      </c>
      <c r="C206" s="45" t="s">
        <v>108</v>
      </c>
      <c r="D206" s="44">
        <v>1</v>
      </c>
      <c r="E206" s="43">
        <v>1.1037527593818985E-3</v>
      </c>
    </row>
    <row r="207" spans="2:5" ht="15" customHeight="1" x14ac:dyDescent="0.25">
      <c r="B207" s="82"/>
      <c r="C207" s="45" t="s">
        <v>113</v>
      </c>
      <c r="D207" s="44">
        <v>29</v>
      </c>
      <c r="E207" s="43">
        <v>3.2008830022075052E-2</v>
      </c>
    </row>
    <row r="208" spans="2:5" ht="15" customHeight="1" x14ac:dyDescent="0.25">
      <c r="B208" s="82"/>
      <c r="C208" s="45" t="s">
        <v>115</v>
      </c>
      <c r="D208" s="44">
        <v>4</v>
      </c>
      <c r="E208" s="43">
        <v>4.4150110375275938E-3</v>
      </c>
    </row>
    <row r="209" spans="2:5" ht="15" customHeight="1" x14ac:dyDescent="0.25">
      <c r="B209" s="82"/>
      <c r="C209" s="45" t="s">
        <v>114</v>
      </c>
      <c r="D209" s="44">
        <v>2</v>
      </c>
      <c r="E209" s="43">
        <v>2.2075055187637969E-3</v>
      </c>
    </row>
    <row r="210" spans="2:5" ht="15" customHeight="1" x14ac:dyDescent="0.25">
      <c r="B210" s="82"/>
      <c r="C210" s="45" t="s">
        <v>112</v>
      </c>
      <c r="D210" s="44">
        <v>1</v>
      </c>
      <c r="E210" s="43">
        <v>1.1037527593818985E-3</v>
      </c>
    </row>
    <row r="211" spans="2:5" ht="15" customHeight="1" x14ac:dyDescent="0.25">
      <c r="B211" s="82"/>
      <c r="C211" s="45" t="s">
        <v>106</v>
      </c>
      <c r="D211" s="44">
        <v>1</v>
      </c>
      <c r="E211" s="43">
        <v>1.1037527593818985E-3</v>
      </c>
    </row>
    <row r="212" spans="2:5" ht="15" customHeight="1" x14ac:dyDescent="0.25">
      <c r="B212" s="83"/>
      <c r="C212" s="42" t="s">
        <v>20</v>
      </c>
      <c r="D212" s="41">
        <v>38</v>
      </c>
      <c r="E212" s="40">
        <v>4.194260485651214E-2</v>
      </c>
    </row>
    <row r="213" spans="2:5" ht="15" customHeight="1" x14ac:dyDescent="0.25">
      <c r="B213" s="81" t="s">
        <v>96</v>
      </c>
      <c r="C213" s="45" t="s">
        <v>113</v>
      </c>
      <c r="D213" s="44">
        <v>5</v>
      </c>
      <c r="E213" s="43">
        <v>5.5187637969094927E-3</v>
      </c>
    </row>
    <row r="214" spans="2:5" ht="15" customHeight="1" x14ac:dyDescent="0.25">
      <c r="B214" s="82"/>
      <c r="C214" s="45" t="s">
        <v>115</v>
      </c>
      <c r="D214" s="44">
        <v>2</v>
      </c>
      <c r="E214" s="43">
        <v>2.2075055187637969E-3</v>
      </c>
    </row>
    <row r="215" spans="2:5" ht="15" customHeight="1" x14ac:dyDescent="0.25">
      <c r="B215" s="82"/>
      <c r="C215" s="45" t="s">
        <v>114</v>
      </c>
      <c r="D215" s="44">
        <v>2</v>
      </c>
      <c r="E215" s="43">
        <v>2.2075055187637969E-3</v>
      </c>
    </row>
    <row r="216" spans="2:5" ht="15" customHeight="1" x14ac:dyDescent="0.25">
      <c r="B216" s="82"/>
      <c r="C216" s="45" t="s">
        <v>112</v>
      </c>
      <c r="D216" s="44">
        <v>2</v>
      </c>
      <c r="E216" s="43">
        <v>2.2075055187637969E-3</v>
      </c>
    </row>
    <row r="217" spans="2:5" ht="15" customHeight="1" x14ac:dyDescent="0.25">
      <c r="B217" s="83"/>
      <c r="C217" s="42" t="s">
        <v>20</v>
      </c>
      <c r="D217" s="41">
        <v>11</v>
      </c>
      <c r="E217" s="40">
        <v>1.2141280353200883E-2</v>
      </c>
    </row>
    <row r="218" spans="2:5" ht="15" customHeight="1" x14ac:dyDescent="0.25">
      <c r="B218" s="81" t="s">
        <v>80</v>
      </c>
      <c r="C218" s="45" t="s">
        <v>108</v>
      </c>
      <c r="D218" s="44">
        <v>1</v>
      </c>
      <c r="E218" s="43">
        <v>1.1037527593818985E-3</v>
      </c>
    </row>
    <row r="219" spans="2:5" ht="15" customHeight="1" x14ac:dyDescent="0.25">
      <c r="B219" s="82"/>
      <c r="C219" s="45" t="s">
        <v>113</v>
      </c>
      <c r="D219" s="44">
        <v>3</v>
      </c>
      <c r="E219" s="43">
        <v>3.3112582781456954E-3</v>
      </c>
    </row>
    <row r="220" spans="2:5" ht="15" customHeight="1" x14ac:dyDescent="0.25">
      <c r="B220" s="82"/>
      <c r="C220" s="45" t="s">
        <v>115</v>
      </c>
      <c r="D220" s="44">
        <v>4</v>
      </c>
      <c r="E220" s="43">
        <v>4.4150110375275938E-3</v>
      </c>
    </row>
    <row r="221" spans="2:5" ht="15" customHeight="1" x14ac:dyDescent="0.25">
      <c r="B221" s="82"/>
      <c r="C221" s="45" t="s">
        <v>114</v>
      </c>
      <c r="D221" s="44">
        <v>2</v>
      </c>
      <c r="E221" s="43">
        <v>2.2075055187637969E-3</v>
      </c>
    </row>
    <row r="222" spans="2:5" ht="15" customHeight="1" x14ac:dyDescent="0.25">
      <c r="B222" s="83"/>
      <c r="C222" s="42" t="s">
        <v>20</v>
      </c>
      <c r="D222" s="41">
        <v>10</v>
      </c>
      <c r="E222" s="40">
        <v>1.1037527593818985E-2</v>
      </c>
    </row>
    <row r="223" spans="2:5" ht="15" customHeight="1" x14ac:dyDescent="0.25">
      <c r="B223" s="81" t="s">
        <v>93</v>
      </c>
      <c r="C223" s="45" t="s">
        <v>108</v>
      </c>
      <c r="D223" s="44">
        <v>3</v>
      </c>
      <c r="E223" s="43">
        <v>3.3112582781456954E-3</v>
      </c>
    </row>
    <row r="224" spans="2:5" ht="15" customHeight="1" x14ac:dyDescent="0.25">
      <c r="B224" s="82"/>
      <c r="C224" s="45" t="s">
        <v>113</v>
      </c>
      <c r="D224" s="44">
        <v>9</v>
      </c>
      <c r="E224" s="43">
        <v>9.9337748344370865E-3</v>
      </c>
    </row>
    <row r="225" spans="2:5" ht="15" customHeight="1" x14ac:dyDescent="0.25">
      <c r="B225" s="82"/>
      <c r="C225" s="45" t="s">
        <v>110</v>
      </c>
      <c r="D225" s="44">
        <v>1</v>
      </c>
      <c r="E225" s="43">
        <v>1.1037527593818985E-3</v>
      </c>
    </row>
    <row r="226" spans="2:5" ht="15" customHeight="1" x14ac:dyDescent="0.25">
      <c r="B226" s="82"/>
      <c r="C226" s="45" t="s">
        <v>115</v>
      </c>
      <c r="D226" s="44">
        <v>3</v>
      </c>
      <c r="E226" s="43">
        <v>3.3112582781456954E-3</v>
      </c>
    </row>
    <row r="227" spans="2:5" ht="15" customHeight="1" x14ac:dyDescent="0.25">
      <c r="B227" s="82"/>
      <c r="C227" s="45" t="s">
        <v>114</v>
      </c>
      <c r="D227" s="44">
        <v>3</v>
      </c>
      <c r="E227" s="43">
        <v>3.3112582781456954E-3</v>
      </c>
    </row>
    <row r="228" spans="2:5" ht="15" customHeight="1" x14ac:dyDescent="0.25">
      <c r="B228" s="82"/>
      <c r="C228" s="45" t="s">
        <v>109</v>
      </c>
      <c r="D228" s="44">
        <v>3</v>
      </c>
      <c r="E228" s="43">
        <v>3.3112582781456954E-3</v>
      </c>
    </row>
    <row r="229" spans="2:5" ht="15" customHeight="1" x14ac:dyDescent="0.25">
      <c r="B229" s="82"/>
      <c r="C229" s="45" t="s">
        <v>111</v>
      </c>
      <c r="D229" s="44">
        <v>4</v>
      </c>
      <c r="E229" s="43">
        <v>4.4150110375275938E-3</v>
      </c>
    </row>
    <row r="230" spans="2:5" ht="15" customHeight="1" x14ac:dyDescent="0.25">
      <c r="B230" s="83"/>
      <c r="C230" s="42" t="s">
        <v>20</v>
      </c>
      <c r="D230" s="41">
        <v>26</v>
      </c>
      <c r="E230" s="40">
        <v>2.8697571743929361E-2</v>
      </c>
    </row>
    <row r="231" spans="2:5" ht="15" customHeight="1" x14ac:dyDescent="0.25">
      <c r="B231" s="81" t="s">
        <v>94</v>
      </c>
      <c r="C231" s="45" t="s">
        <v>113</v>
      </c>
      <c r="D231" s="44">
        <v>4</v>
      </c>
      <c r="E231" s="43">
        <v>4.4150110375275938E-3</v>
      </c>
    </row>
    <row r="232" spans="2:5" ht="15" customHeight="1" x14ac:dyDescent="0.25">
      <c r="B232" s="82"/>
      <c r="C232" s="45" t="s">
        <v>115</v>
      </c>
      <c r="D232" s="44">
        <v>17</v>
      </c>
      <c r="E232" s="43">
        <v>1.8763796909492272E-2</v>
      </c>
    </row>
    <row r="233" spans="2:5" ht="15" customHeight="1" x14ac:dyDescent="0.25">
      <c r="B233" s="82"/>
      <c r="C233" s="45" t="s">
        <v>114</v>
      </c>
      <c r="D233" s="44">
        <v>10</v>
      </c>
      <c r="E233" s="43">
        <v>1.1037527593818985E-2</v>
      </c>
    </row>
    <row r="234" spans="2:5" ht="15" customHeight="1" x14ac:dyDescent="0.25">
      <c r="B234" s="82"/>
      <c r="C234" s="45" t="s">
        <v>112</v>
      </c>
      <c r="D234" s="44">
        <v>16</v>
      </c>
      <c r="E234" s="43">
        <v>1.7660044150110375E-2</v>
      </c>
    </row>
    <row r="235" spans="2:5" ht="15" customHeight="1" x14ac:dyDescent="0.25">
      <c r="B235" s="82"/>
      <c r="C235" s="45" t="s">
        <v>111</v>
      </c>
      <c r="D235" s="44">
        <v>2</v>
      </c>
      <c r="E235" s="43">
        <v>2.2075055187637969E-3</v>
      </c>
    </row>
    <row r="236" spans="2:5" ht="15" customHeight="1" x14ac:dyDescent="0.25">
      <c r="B236" s="83"/>
      <c r="C236" s="42" t="s">
        <v>20</v>
      </c>
      <c r="D236" s="41">
        <v>49</v>
      </c>
      <c r="E236" s="40">
        <v>5.4083885209713023E-2</v>
      </c>
    </row>
    <row r="237" spans="2:5" ht="15" customHeight="1" x14ac:dyDescent="0.25">
      <c r="B237" s="81" t="s">
        <v>95</v>
      </c>
      <c r="C237" s="45" t="s">
        <v>113</v>
      </c>
      <c r="D237" s="44">
        <v>1</v>
      </c>
      <c r="E237" s="43">
        <v>1.1037527593818985E-3</v>
      </c>
    </row>
    <row r="238" spans="2:5" ht="15" customHeight="1" x14ac:dyDescent="0.25">
      <c r="B238" s="82"/>
      <c r="C238" s="45" t="s">
        <v>110</v>
      </c>
      <c r="D238" s="44">
        <v>2</v>
      </c>
      <c r="E238" s="43">
        <v>2.2075055187637969E-3</v>
      </c>
    </row>
    <row r="239" spans="2:5" ht="15" customHeight="1" x14ac:dyDescent="0.25">
      <c r="B239" s="82"/>
      <c r="C239" s="45" t="s">
        <v>115</v>
      </c>
      <c r="D239" s="44">
        <v>9</v>
      </c>
      <c r="E239" s="43">
        <v>9.9337748344370865E-3</v>
      </c>
    </row>
    <row r="240" spans="2:5" ht="15" customHeight="1" x14ac:dyDescent="0.25">
      <c r="B240" s="82"/>
      <c r="C240" s="45" t="s">
        <v>114</v>
      </c>
      <c r="D240" s="44">
        <v>2</v>
      </c>
      <c r="E240" s="43">
        <v>2.2075055187637969E-3</v>
      </c>
    </row>
    <row r="241" spans="2:5" ht="15" customHeight="1" x14ac:dyDescent="0.25">
      <c r="B241" s="82"/>
      <c r="C241" s="45" t="s">
        <v>112</v>
      </c>
      <c r="D241" s="44">
        <v>2</v>
      </c>
      <c r="E241" s="43">
        <v>2.2075055187637969E-3</v>
      </c>
    </row>
    <row r="242" spans="2:5" ht="15" customHeight="1" x14ac:dyDescent="0.25">
      <c r="B242" s="83"/>
      <c r="C242" s="42" t="s">
        <v>20</v>
      </c>
      <c r="D242" s="41">
        <v>16</v>
      </c>
      <c r="E242" s="40">
        <v>1.7660044150110375E-2</v>
      </c>
    </row>
    <row r="243" spans="2:5" ht="15" customHeight="1" x14ac:dyDescent="0.25">
      <c r="B243" s="81" t="s">
        <v>73</v>
      </c>
      <c r="C243" s="45" t="s">
        <v>115</v>
      </c>
      <c r="D243" s="44">
        <v>1</v>
      </c>
      <c r="E243" s="43">
        <v>1.1037527593818985E-3</v>
      </c>
    </row>
    <row r="244" spans="2:5" ht="15" customHeight="1" x14ac:dyDescent="0.25">
      <c r="B244" s="82"/>
      <c r="C244" s="45" t="s">
        <v>114</v>
      </c>
      <c r="D244" s="44">
        <v>3</v>
      </c>
      <c r="E244" s="43">
        <v>3.3112582781456954E-3</v>
      </c>
    </row>
    <row r="245" spans="2:5" ht="15" customHeight="1" x14ac:dyDescent="0.25">
      <c r="B245" s="83"/>
      <c r="C245" s="42" t="s">
        <v>20</v>
      </c>
      <c r="D245" s="41">
        <v>4</v>
      </c>
      <c r="E245" s="40">
        <v>4.4150110375275938E-3</v>
      </c>
    </row>
    <row r="246" spans="2:5" ht="15" customHeight="1" x14ac:dyDescent="0.25">
      <c r="B246" s="81" t="s">
        <v>64</v>
      </c>
      <c r="C246" s="45" t="s">
        <v>115</v>
      </c>
      <c r="D246" s="44">
        <v>1</v>
      </c>
      <c r="E246" s="43">
        <v>1.1037527593818985E-3</v>
      </c>
    </row>
    <row r="247" spans="2:5" ht="15" customHeight="1" x14ac:dyDescent="0.25">
      <c r="B247" s="83"/>
      <c r="C247" s="42" t="s">
        <v>20</v>
      </c>
      <c r="D247" s="41">
        <v>1</v>
      </c>
      <c r="E247" s="40">
        <v>1.1037527593818985E-3</v>
      </c>
    </row>
    <row r="248" spans="2:5" ht="15" customHeight="1" x14ac:dyDescent="0.25">
      <c r="B248" s="81" t="s">
        <v>38</v>
      </c>
      <c r="C248" s="45" t="s">
        <v>113</v>
      </c>
      <c r="D248" s="44">
        <v>3</v>
      </c>
      <c r="E248" s="43">
        <v>3.3112582781456954E-3</v>
      </c>
    </row>
    <row r="249" spans="2:5" ht="15" customHeight="1" x14ac:dyDescent="0.25">
      <c r="B249" s="82"/>
      <c r="C249" s="45" t="s">
        <v>110</v>
      </c>
      <c r="D249" s="44">
        <v>1</v>
      </c>
      <c r="E249" s="43">
        <v>1.1037527593818985E-3</v>
      </c>
    </row>
    <row r="250" spans="2:5" ht="15" customHeight="1" x14ac:dyDescent="0.25">
      <c r="B250" s="82"/>
      <c r="C250" s="45" t="s">
        <v>115</v>
      </c>
      <c r="D250" s="44">
        <v>6</v>
      </c>
      <c r="E250" s="43">
        <v>6.6225165562913907E-3</v>
      </c>
    </row>
    <row r="251" spans="2:5" ht="15" customHeight="1" x14ac:dyDescent="0.25">
      <c r="B251" s="82"/>
      <c r="C251" s="45" t="s">
        <v>114</v>
      </c>
      <c r="D251" s="44">
        <v>1</v>
      </c>
      <c r="E251" s="43">
        <v>1.1037527593818985E-3</v>
      </c>
    </row>
    <row r="252" spans="2:5" ht="15" customHeight="1" x14ac:dyDescent="0.25">
      <c r="B252" s="82"/>
      <c r="C252" s="45" t="s">
        <v>112</v>
      </c>
      <c r="D252" s="44">
        <v>1</v>
      </c>
      <c r="E252" s="43">
        <v>1.1037527593818985E-3</v>
      </c>
    </row>
    <row r="253" spans="2:5" ht="15" customHeight="1" x14ac:dyDescent="0.25">
      <c r="B253" s="83"/>
      <c r="C253" s="42" t="s">
        <v>20</v>
      </c>
      <c r="D253" s="41">
        <v>12</v>
      </c>
      <c r="E253" s="40">
        <v>1.3245033112582781E-2</v>
      </c>
    </row>
    <row r="254" spans="2:5" ht="15" customHeight="1" x14ac:dyDescent="0.25">
      <c r="B254" s="84" t="s">
        <v>148</v>
      </c>
      <c r="C254" s="85"/>
      <c r="D254" s="39">
        <v>906</v>
      </c>
      <c r="E254" s="38">
        <v>1</v>
      </c>
    </row>
    <row r="256" spans="2:5" ht="15" customHeight="1" x14ac:dyDescent="0.25">
      <c r="B256" s="19" t="s">
        <v>186</v>
      </c>
    </row>
    <row r="257" spans="2:2" ht="15" customHeight="1" x14ac:dyDescent="0.25">
      <c r="B257" s="21" t="s">
        <v>19</v>
      </c>
    </row>
    <row r="258" spans="2:2" ht="15" customHeight="1" x14ac:dyDescent="0.25">
      <c r="B258" s="20" t="s">
        <v>18</v>
      </c>
    </row>
    <row r="259" spans="2:2" ht="15" customHeight="1" x14ac:dyDescent="0.25">
      <c r="B259" s="19" t="s">
        <v>17</v>
      </c>
    </row>
    <row r="260" spans="2:2" ht="15" customHeight="1" x14ac:dyDescent="0.25">
      <c r="B260" s="19" t="s">
        <v>187</v>
      </c>
    </row>
  </sheetData>
  <mergeCells count="45">
    <mergeCell ref="B246:B247"/>
    <mergeCell ref="B248:B253"/>
    <mergeCell ref="B254:C254"/>
    <mergeCell ref="B183:B188"/>
    <mergeCell ref="B189:B195"/>
    <mergeCell ref="B196:B200"/>
    <mergeCell ref="B201:B205"/>
    <mergeCell ref="B206:B212"/>
    <mergeCell ref="B153:B157"/>
    <mergeCell ref="B158:B165"/>
    <mergeCell ref="B166:B171"/>
    <mergeCell ref="B172:B175"/>
    <mergeCell ref="B176:B182"/>
    <mergeCell ref="B125:B131"/>
    <mergeCell ref="B132:B135"/>
    <mergeCell ref="B136:B139"/>
    <mergeCell ref="B140:B147"/>
    <mergeCell ref="B148:B152"/>
    <mergeCell ref="B10:B11"/>
    <mergeCell ref="B12:B21"/>
    <mergeCell ref="B22:B27"/>
    <mergeCell ref="B28:B32"/>
    <mergeCell ref="B33:B34"/>
    <mergeCell ref="B213:B217"/>
    <mergeCell ref="B218:B222"/>
    <mergeCell ref="B223:B230"/>
    <mergeCell ref="B231:B236"/>
    <mergeCell ref="B237:B242"/>
    <mergeCell ref="B243:B245"/>
    <mergeCell ref="B64:B70"/>
    <mergeCell ref="B71:B72"/>
    <mergeCell ref="B73:B77"/>
    <mergeCell ref="B78:B84"/>
    <mergeCell ref="B85:B89"/>
    <mergeCell ref="B90:B95"/>
    <mergeCell ref="B96:B102"/>
    <mergeCell ref="B103:B106"/>
    <mergeCell ref="B107:B112"/>
    <mergeCell ref="B113:B118"/>
    <mergeCell ref="B119:B124"/>
    <mergeCell ref="B7:E8"/>
    <mergeCell ref="B41:B47"/>
    <mergeCell ref="B48:B56"/>
    <mergeCell ref="B57:B63"/>
    <mergeCell ref="B35:B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1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141</v>
      </c>
      <c r="C11" s="31" t="s">
        <v>140</v>
      </c>
      <c r="D11" s="30" t="s">
        <v>59</v>
      </c>
    </row>
    <row r="12" spans="1:4" x14ac:dyDescent="0.25">
      <c r="B12" s="27" t="s">
        <v>139</v>
      </c>
      <c r="C12" s="26">
        <v>11</v>
      </c>
      <c r="D12" s="25">
        <f t="shared" ref="D12:D35" si="0">C12/$C$35</f>
        <v>1.2141280353200883E-2</v>
      </c>
    </row>
    <row r="13" spans="1:4" x14ac:dyDescent="0.25">
      <c r="B13" s="27" t="s">
        <v>138</v>
      </c>
      <c r="C13" s="26">
        <v>9</v>
      </c>
      <c r="D13" s="25">
        <f t="shared" si="0"/>
        <v>9.9337748344370865E-3</v>
      </c>
    </row>
    <row r="14" spans="1:4" x14ac:dyDescent="0.25">
      <c r="B14" s="27" t="s">
        <v>137</v>
      </c>
      <c r="C14" s="26">
        <v>10</v>
      </c>
      <c r="D14" s="25">
        <f t="shared" si="0"/>
        <v>1.1037527593818985E-2</v>
      </c>
    </row>
    <row r="15" spans="1:4" x14ac:dyDescent="0.25">
      <c r="B15" s="27" t="s">
        <v>136</v>
      </c>
      <c r="C15" s="26">
        <v>19</v>
      </c>
      <c r="D15" s="25">
        <f t="shared" si="0"/>
        <v>2.097130242825607E-2</v>
      </c>
    </row>
    <row r="16" spans="1:4" x14ac:dyDescent="0.25">
      <c r="B16" s="27" t="s">
        <v>135</v>
      </c>
      <c r="C16" s="26">
        <v>12</v>
      </c>
      <c r="D16" s="25">
        <f t="shared" si="0"/>
        <v>1.3245033112582781E-2</v>
      </c>
    </row>
    <row r="17" spans="2:4" x14ac:dyDescent="0.25">
      <c r="B17" s="27" t="s">
        <v>134</v>
      </c>
      <c r="C17" s="26">
        <v>10</v>
      </c>
      <c r="D17" s="25">
        <f t="shared" si="0"/>
        <v>1.1037527593818985E-2</v>
      </c>
    </row>
    <row r="18" spans="2:4" x14ac:dyDescent="0.25">
      <c r="B18" s="27" t="s">
        <v>133</v>
      </c>
      <c r="C18" s="26">
        <v>65</v>
      </c>
      <c r="D18" s="25">
        <f t="shared" si="0"/>
        <v>7.1743929359823405E-2</v>
      </c>
    </row>
    <row r="19" spans="2:4" ht="27" x14ac:dyDescent="0.25">
      <c r="B19" s="27" t="s">
        <v>132</v>
      </c>
      <c r="C19" s="26">
        <v>119</v>
      </c>
      <c r="D19" s="25">
        <f t="shared" si="0"/>
        <v>0.13134657836644592</v>
      </c>
    </row>
    <row r="20" spans="2:4" x14ac:dyDescent="0.25">
      <c r="B20" s="27" t="s">
        <v>131</v>
      </c>
      <c r="C20" s="26">
        <v>10</v>
      </c>
      <c r="D20" s="25">
        <f t="shared" si="0"/>
        <v>1.1037527593818985E-2</v>
      </c>
    </row>
    <row r="21" spans="2:4" x14ac:dyDescent="0.25">
      <c r="B21" s="27" t="s">
        <v>130</v>
      </c>
      <c r="C21" s="26">
        <v>24</v>
      </c>
      <c r="D21" s="25">
        <f t="shared" si="0"/>
        <v>2.6490066225165563E-2</v>
      </c>
    </row>
    <row r="22" spans="2:4" x14ac:dyDescent="0.25">
      <c r="B22" s="27" t="s">
        <v>129</v>
      </c>
      <c r="C22" s="26">
        <v>32</v>
      </c>
      <c r="D22" s="25">
        <f t="shared" si="0"/>
        <v>3.5320088300220751E-2</v>
      </c>
    </row>
    <row r="23" spans="2:4" ht="27" x14ac:dyDescent="0.25">
      <c r="B23" s="27" t="s">
        <v>128</v>
      </c>
      <c r="C23" s="26">
        <v>304</v>
      </c>
      <c r="D23" s="25">
        <f t="shared" si="0"/>
        <v>0.33554083885209712</v>
      </c>
    </row>
    <row r="24" spans="2:4" x14ac:dyDescent="0.25">
      <c r="B24" s="27" t="s">
        <v>127</v>
      </c>
      <c r="C24" s="26">
        <v>14</v>
      </c>
      <c r="D24" s="25">
        <f t="shared" si="0"/>
        <v>1.5452538631346579E-2</v>
      </c>
    </row>
    <row r="25" spans="2:4" ht="27" x14ac:dyDescent="0.25">
      <c r="B25" s="27" t="s">
        <v>126</v>
      </c>
      <c r="C25" s="26">
        <v>57</v>
      </c>
      <c r="D25" s="25">
        <f t="shared" si="0"/>
        <v>6.2913907284768214E-2</v>
      </c>
    </row>
    <row r="26" spans="2:4" ht="27" x14ac:dyDescent="0.25">
      <c r="B26" s="27" t="s">
        <v>125</v>
      </c>
      <c r="C26" s="26">
        <v>156</v>
      </c>
      <c r="D26" s="25">
        <f t="shared" si="0"/>
        <v>0.17218543046357615</v>
      </c>
    </row>
    <row r="27" spans="2:4" x14ac:dyDescent="0.25">
      <c r="B27" s="27" t="s">
        <v>124</v>
      </c>
      <c r="C27" s="26">
        <v>2</v>
      </c>
      <c r="D27" s="25">
        <f t="shared" si="0"/>
        <v>2.2075055187637969E-3</v>
      </c>
    </row>
    <row r="28" spans="2:4" x14ac:dyDescent="0.25">
      <c r="B28" s="27" t="s">
        <v>123</v>
      </c>
      <c r="C28" s="26">
        <v>4</v>
      </c>
      <c r="D28" s="25">
        <f t="shared" si="0"/>
        <v>4.4150110375275938E-3</v>
      </c>
    </row>
    <row r="29" spans="2:4" x14ac:dyDescent="0.25">
      <c r="B29" s="27" t="s">
        <v>122</v>
      </c>
      <c r="C29" s="26">
        <v>1</v>
      </c>
      <c r="D29" s="25">
        <f t="shared" si="0"/>
        <v>1.1037527593818985E-3</v>
      </c>
    </row>
    <row r="30" spans="2:4" x14ac:dyDescent="0.25">
      <c r="B30" s="27" t="s">
        <v>121</v>
      </c>
      <c r="C30" s="26">
        <v>6</v>
      </c>
      <c r="D30" s="25">
        <f t="shared" si="0"/>
        <v>6.6225165562913907E-3</v>
      </c>
    </row>
    <row r="31" spans="2:4" x14ac:dyDescent="0.25">
      <c r="B31" s="27" t="s">
        <v>120</v>
      </c>
      <c r="C31" s="26">
        <v>36</v>
      </c>
      <c r="D31" s="25">
        <f t="shared" si="0"/>
        <v>3.9735099337748346E-2</v>
      </c>
    </row>
    <row r="32" spans="2:4" x14ac:dyDescent="0.25">
      <c r="B32" s="27" t="s">
        <v>119</v>
      </c>
      <c r="C32" s="26">
        <v>2</v>
      </c>
      <c r="D32" s="25">
        <f t="shared" si="0"/>
        <v>2.2075055187637969E-3</v>
      </c>
    </row>
    <row r="33" spans="1:4" x14ac:dyDescent="0.25">
      <c r="B33" s="27" t="s">
        <v>190</v>
      </c>
      <c r="C33" s="26">
        <v>2</v>
      </c>
      <c r="D33" s="25">
        <f t="shared" si="0"/>
        <v>2.2075055187637969E-3</v>
      </c>
    </row>
    <row r="34" spans="1:4" x14ac:dyDescent="0.25">
      <c r="B34" s="27" t="s">
        <v>191</v>
      </c>
      <c r="C34" s="26">
        <v>1</v>
      </c>
      <c r="D34" s="25">
        <f t="shared" si="0"/>
        <v>1.1037527593818985E-3</v>
      </c>
    </row>
    <row r="35" spans="1:4" x14ac:dyDescent="0.25">
      <c r="B35" s="24" t="s">
        <v>20</v>
      </c>
      <c r="C35" s="23">
        <v>906</v>
      </c>
      <c r="D35" s="22">
        <f t="shared" si="0"/>
        <v>1</v>
      </c>
    </row>
    <row r="37" spans="1:4" x14ac:dyDescent="0.25">
      <c r="A37" s="58" t="s">
        <v>186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17</v>
      </c>
    </row>
    <row r="41" spans="1:4" x14ac:dyDescent="0.25">
      <c r="A41" s="58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81"/>
  <sheetViews>
    <sheetView zoomScaleNormal="100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142</v>
      </c>
      <c r="C9" s="49" t="s">
        <v>118</v>
      </c>
      <c r="D9" s="48" t="s">
        <v>60</v>
      </c>
      <c r="E9" s="47" t="s">
        <v>59</v>
      </c>
    </row>
    <row r="10" spans="1:5" ht="15" customHeight="1" x14ac:dyDescent="0.25">
      <c r="B10" s="81" t="s">
        <v>139</v>
      </c>
      <c r="C10" s="45" t="s">
        <v>58</v>
      </c>
      <c r="D10" s="44">
        <v>3</v>
      </c>
      <c r="E10" s="43">
        <v>3.3112582781456954E-3</v>
      </c>
    </row>
    <row r="11" spans="1:5" ht="15" customHeight="1" x14ac:dyDescent="0.25">
      <c r="B11" s="82"/>
      <c r="C11" s="45" t="s">
        <v>56</v>
      </c>
      <c r="D11" s="44">
        <v>1</v>
      </c>
      <c r="E11" s="43">
        <v>1.1037527593818985E-3</v>
      </c>
    </row>
    <row r="12" spans="1:5" ht="15" customHeight="1" x14ac:dyDescent="0.25">
      <c r="B12" s="82"/>
      <c r="C12" s="45" t="s">
        <v>54</v>
      </c>
      <c r="D12" s="44">
        <v>1</v>
      </c>
      <c r="E12" s="43">
        <v>1.1037527593818985E-3</v>
      </c>
    </row>
    <row r="13" spans="1:5" ht="15" customHeight="1" x14ac:dyDescent="0.25">
      <c r="B13" s="82"/>
      <c r="C13" s="45" t="s">
        <v>32</v>
      </c>
      <c r="D13" s="44">
        <v>1</v>
      </c>
      <c r="E13" s="43">
        <v>1.1037527593818985E-3</v>
      </c>
    </row>
    <row r="14" spans="1:5" ht="15" customHeight="1" x14ac:dyDescent="0.25">
      <c r="B14" s="82"/>
      <c r="C14" s="45" t="s">
        <v>41</v>
      </c>
      <c r="D14" s="44">
        <v>1</v>
      </c>
      <c r="E14" s="43">
        <v>1.1037527593818985E-3</v>
      </c>
    </row>
    <row r="15" spans="1:5" ht="15" customHeight="1" x14ac:dyDescent="0.25">
      <c r="B15" s="82"/>
      <c r="C15" s="45" t="s">
        <v>57</v>
      </c>
      <c r="D15" s="44">
        <v>2</v>
      </c>
      <c r="E15" s="43">
        <v>2.2075055187637969E-3</v>
      </c>
    </row>
    <row r="16" spans="1:5" ht="15" customHeight="1" x14ac:dyDescent="0.25">
      <c r="B16" s="82"/>
      <c r="C16" s="45" t="s">
        <v>39</v>
      </c>
      <c r="D16" s="44">
        <v>2</v>
      </c>
      <c r="E16" s="43">
        <v>2.2075055187637969E-3</v>
      </c>
    </row>
    <row r="17" spans="2:5" ht="15" customHeight="1" x14ac:dyDescent="0.25">
      <c r="B17" s="83"/>
      <c r="C17" s="42" t="s">
        <v>20</v>
      </c>
      <c r="D17" s="41">
        <v>11</v>
      </c>
      <c r="E17" s="40">
        <v>1.2141280353200883E-2</v>
      </c>
    </row>
    <row r="18" spans="2:5" ht="15" customHeight="1" x14ac:dyDescent="0.25">
      <c r="B18" s="81" t="s">
        <v>138</v>
      </c>
      <c r="C18" s="45" t="s">
        <v>29</v>
      </c>
      <c r="D18" s="44">
        <v>1</v>
      </c>
      <c r="E18" s="43">
        <v>1.1037527593818985E-3</v>
      </c>
    </row>
    <row r="19" spans="2:5" ht="15" customHeight="1" x14ac:dyDescent="0.25">
      <c r="B19" s="82"/>
      <c r="C19" s="45" t="s">
        <v>58</v>
      </c>
      <c r="D19" s="44">
        <v>2</v>
      </c>
      <c r="E19" s="43">
        <v>2.2075055187637969E-3</v>
      </c>
    </row>
    <row r="20" spans="2:5" ht="15" customHeight="1" x14ac:dyDescent="0.25">
      <c r="B20" s="82"/>
      <c r="C20" s="45" t="s">
        <v>56</v>
      </c>
      <c r="D20" s="44">
        <v>2</v>
      </c>
      <c r="E20" s="43">
        <v>2.2075055187637969E-3</v>
      </c>
    </row>
    <row r="21" spans="2:5" ht="15" customHeight="1" x14ac:dyDescent="0.25">
      <c r="B21" s="82"/>
      <c r="C21" s="45" t="s">
        <v>44</v>
      </c>
      <c r="D21" s="44">
        <v>1</v>
      </c>
      <c r="E21" s="43">
        <v>1.1037527593818985E-3</v>
      </c>
    </row>
    <row r="22" spans="2:5" ht="15" customHeight="1" x14ac:dyDescent="0.25">
      <c r="B22" s="82"/>
      <c r="C22" s="45" t="s">
        <v>40</v>
      </c>
      <c r="D22" s="44">
        <v>2</v>
      </c>
      <c r="E22" s="43">
        <v>2.2075055187637969E-3</v>
      </c>
    </row>
    <row r="23" spans="2:5" ht="15" customHeight="1" x14ac:dyDescent="0.25">
      <c r="B23" s="82"/>
      <c r="C23" s="45" t="s">
        <v>57</v>
      </c>
      <c r="D23" s="44">
        <v>1</v>
      </c>
      <c r="E23" s="43">
        <v>1.1037527593818985E-3</v>
      </c>
    </row>
    <row r="24" spans="2:5" ht="15" customHeight="1" x14ac:dyDescent="0.25">
      <c r="B24" s="83"/>
      <c r="C24" s="42" t="s">
        <v>20</v>
      </c>
      <c r="D24" s="41">
        <v>9</v>
      </c>
      <c r="E24" s="40">
        <v>9.9337748344370865E-3</v>
      </c>
    </row>
    <row r="25" spans="2:5" ht="15" customHeight="1" x14ac:dyDescent="0.25">
      <c r="B25" s="81" t="s">
        <v>137</v>
      </c>
      <c r="C25" s="45" t="s">
        <v>58</v>
      </c>
      <c r="D25" s="44">
        <v>1</v>
      </c>
      <c r="E25" s="43">
        <v>1.1037527593818985E-3</v>
      </c>
    </row>
    <row r="26" spans="2:5" ht="15" customHeight="1" x14ac:dyDescent="0.25">
      <c r="B26" s="82"/>
      <c r="C26" s="45" t="s">
        <v>56</v>
      </c>
      <c r="D26" s="44">
        <v>1</v>
      </c>
      <c r="E26" s="43">
        <v>1.1037527593818985E-3</v>
      </c>
    </row>
    <row r="27" spans="2:5" ht="15" customHeight="1" x14ac:dyDescent="0.25">
      <c r="B27" s="82"/>
      <c r="C27" s="45" t="s">
        <v>54</v>
      </c>
      <c r="D27" s="44">
        <v>2</v>
      </c>
      <c r="E27" s="43">
        <v>2.2075055187637969E-3</v>
      </c>
    </row>
    <row r="28" spans="2:5" ht="15" customHeight="1" x14ac:dyDescent="0.25">
      <c r="B28" s="82"/>
      <c r="C28" s="45" t="s">
        <v>34</v>
      </c>
      <c r="D28" s="44">
        <v>1</v>
      </c>
      <c r="E28" s="43">
        <v>1.1037527593818985E-3</v>
      </c>
    </row>
    <row r="29" spans="2:5" ht="15" customHeight="1" x14ac:dyDescent="0.25">
      <c r="B29" s="82"/>
      <c r="C29" s="45" t="s">
        <v>45</v>
      </c>
      <c r="D29" s="44">
        <v>1</v>
      </c>
      <c r="E29" s="43">
        <v>1.1037527593818985E-3</v>
      </c>
    </row>
    <row r="30" spans="2:5" ht="15" customHeight="1" x14ac:dyDescent="0.25">
      <c r="B30" s="82"/>
      <c r="C30" s="45" t="s">
        <v>52</v>
      </c>
      <c r="D30" s="44">
        <v>1</v>
      </c>
      <c r="E30" s="43">
        <v>1.1037527593818985E-3</v>
      </c>
    </row>
    <row r="31" spans="2:5" ht="15" customHeight="1" x14ac:dyDescent="0.25">
      <c r="B31" s="82"/>
      <c r="C31" s="45" t="s">
        <v>22</v>
      </c>
      <c r="D31" s="44">
        <v>1</v>
      </c>
      <c r="E31" s="43">
        <v>1.1037527593818985E-3</v>
      </c>
    </row>
    <row r="32" spans="2:5" ht="15" customHeight="1" x14ac:dyDescent="0.25">
      <c r="B32" s="82"/>
      <c r="C32" s="45" t="s">
        <v>57</v>
      </c>
      <c r="D32" s="44">
        <v>2</v>
      </c>
      <c r="E32" s="43">
        <v>2.2075055187637969E-3</v>
      </c>
    </row>
    <row r="33" spans="2:5" ht="15" customHeight="1" x14ac:dyDescent="0.25">
      <c r="B33" s="83"/>
      <c r="C33" s="42" t="s">
        <v>20</v>
      </c>
      <c r="D33" s="41">
        <v>10</v>
      </c>
      <c r="E33" s="40">
        <v>1.1037527593818985E-2</v>
      </c>
    </row>
    <row r="34" spans="2:5" ht="15" customHeight="1" x14ac:dyDescent="0.25">
      <c r="B34" s="81" t="s">
        <v>136</v>
      </c>
      <c r="C34" s="45" t="s">
        <v>58</v>
      </c>
      <c r="D34" s="44">
        <v>7</v>
      </c>
      <c r="E34" s="43">
        <v>7.7262693156732896E-3</v>
      </c>
    </row>
    <row r="35" spans="2:5" ht="15" customHeight="1" x14ac:dyDescent="0.25">
      <c r="B35" s="82"/>
      <c r="C35" s="45" t="s">
        <v>51</v>
      </c>
      <c r="D35" s="44">
        <v>1</v>
      </c>
      <c r="E35" s="43">
        <v>1.1037527593818985E-3</v>
      </c>
    </row>
    <row r="36" spans="2:5" ht="15" customHeight="1" x14ac:dyDescent="0.25">
      <c r="B36" s="82"/>
      <c r="C36" s="45" t="s">
        <v>56</v>
      </c>
      <c r="D36" s="44">
        <v>1</v>
      </c>
      <c r="E36" s="43">
        <v>1.1037527593818985E-3</v>
      </c>
    </row>
    <row r="37" spans="2:5" ht="15" customHeight="1" x14ac:dyDescent="0.25">
      <c r="B37" s="82"/>
      <c r="C37" s="45" t="s">
        <v>47</v>
      </c>
      <c r="D37" s="44">
        <v>1</v>
      </c>
      <c r="E37" s="43">
        <v>1.1037527593818985E-3</v>
      </c>
    </row>
    <row r="38" spans="2:5" ht="15" customHeight="1" x14ac:dyDescent="0.25">
      <c r="B38" s="82"/>
      <c r="C38" s="45" t="s">
        <v>43</v>
      </c>
      <c r="D38" s="44">
        <v>1</v>
      </c>
      <c r="E38" s="43">
        <v>1.1037527593818985E-3</v>
      </c>
    </row>
    <row r="39" spans="2:5" ht="15" customHeight="1" x14ac:dyDescent="0.25">
      <c r="B39" s="82"/>
      <c r="C39" s="45" t="s">
        <v>28</v>
      </c>
      <c r="D39" s="44">
        <v>1</v>
      </c>
      <c r="E39" s="43">
        <v>1.1037527593818985E-3</v>
      </c>
    </row>
    <row r="40" spans="2:5" ht="15" customHeight="1" x14ac:dyDescent="0.25">
      <c r="B40" s="82"/>
      <c r="C40" s="45" t="s">
        <v>52</v>
      </c>
      <c r="D40" s="44">
        <v>1</v>
      </c>
      <c r="E40" s="43">
        <v>1.1037527593818985E-3</v>
      </c>
    </row>
    <row r="41" spans="2:5" ht="15" customHeight="1" x14ac:dyDescent="0.25">
      <c r="B41" s="82"/>
      <c r="C41" s="45" t="s">
        <v>48</v>
      </c>
      <c r="D41" s="44">
        <v>1</v>
      </c>
      <c r="E41" s="43">
        <v>1.1037527593818985E-3</v>
      </c>
    </row>
    <row r="42" spans="2:5" ht="15" customHeight="1" x14ac:dyDescent="0.25">
      <c r="B42" s="82"/>
      <c r="C42" s="45" t="s">
        <v>57</v>
      </c>
      <c r="D42" s="44">
        <v>4</v>
      </c>
      <c r="E42" s="43">
        <v>4.4150110375275938E-3</v>
      </c>
    </row>
    <row r="43" spans="2:5" ht="15" customHeight="1" x14ac:dyDescent="0.25">
      <c r="B43" s="82"/>
      <c r="C43" s="45" t="s">
        <v>38</v>
      </c>
      <c r="D43" s="44">
        <v>1</v>
      </c>
      <c r="E43" s="43">
        <v>1.1037527593818985E-3</v>
      </c>
    </row>
    <row r="44" spans="2:5" ht="15" customHeight="1" x14ac:dyDescent="0.25">
      <c r="B44" s="83"/>
      <c r="C44" s="42" t="s">
        <v>20</v>
      </c>
      <c r="D44" s="41">
        <v>19</v>
      </c>
      <c r="E44" s="40">
        <v>2.097130242825607E-2</v>
      </c>
    </row>
    <row r="45" spans="2:5" ht="15" customHeight="1" x14ac:dyDescent="0.25">
      <c r="B45" s="81" t="s">
        <v>135</v>
      </c>
      <c r="C45" s="45" t="s">
        <v>53</v>
      </c>
      <c r="D45" s="44">
        <v>1</v>
      </c>
      <c r="E45" s="43">
        <v>1.1037527593818985E-3</v>
      </c>
    </row>
    <row r="46" spans="2:5" ht="15" customHeight="1" x14ac:dyDescent="0.25">
      <c r="B46" s="82"/>
      <c r="C46" s="45" t="s">
        <v>58</v>
      </c>
      <c r="D46" s="44">
        <v>3</v>
      </c>
      <c r="E46" s="43">
        <v>3.3112582781456954E-3</v>
      </c>
    </row>
    <row r="47" spans="2:5" ht="15" customHeight="1" x14ac:dyDescent="0.25">
      <c r="B47" s="82"/>
      <c r="C47" s="45" t="s">
        <v>49</v>
      </c>
      <c r="D47" s="44">
        <v>1</v>
      </c>
      <c r="E47" s="43">
        <v>1.1037527593818985E-3</v>
      </c>
    </row>
    <row r="48" spans="2:5" ht="15" customHeight="1" x14ac:dyDescent="0.25">
      <c r="B48" s="82"/>
      <c r="C48" s="45" t="s">
        <v>27</v>
      </c>
      <c r="D48" s="44">
        <v>1</v>
      </c>
      <c r="E48" s="43">
        <v>1.1037527593818985E-3</v>
      </c>
    </row>
    <row r="49" spans="2:5" ht="15" customHeight="1" x14ac:dyDescent="0.25">
      <c r="B49" s="82"/>
      <c r="C49" s="45" t="s">
        <v>55</v>
      </c>
      <c r="D49" s="44">
        <v>1</v>
      </c>
      <c r="E49" s="43">
        <v>1.1037527593818985E-3</v>
      </c>
    </row>
    <row r="50" spans="2:5" ht="15" customHeight="1" x14ac:dyDescent="0.25">
      <c r="B50" s="82"/>
      <c r="C50" s="45" t="s">
        <v>44</v>
      </c>
      <c r="D50" s="44">
        <v>1</v>
      </c>
      <c r="E50" s="43">
        <v>1.1037527593818985E-3</v>
      </c>
    </row>
    <row r="51" spans="2:5" ht="15" customHeight="1" x14ac:dyDescent="0.25">
      <c r="B51" s="82"/>
      <c r="C51" s="45" t="s">
        <v>52</v>
      </c>
      <c r="D51" s="44">
        <v>1</v>
      </c>
      <c r="E51" s="43">
        <v>1.1037527593818985E-3</v>
      </c>
    </row>
    <row r="52" spans="2:5" ht="15" customHeight="1" x14ac:dyDescent="0.25">
      <c r="B52" s="82"/>
      <c r="C52" s="45" t="s">
        <v>26</v>
      </c>
      <c r="D52" s="44">
        <v>1</v>
      </c>
      <c r="E52" s="43">
        <v>1.1037527593818985E-3</v>
      </c>
    </row>
    <row r="53" spans="2:5" ht="15" customHeight="1" x14ac:dyDescent="0.25">
      <c r="B53" s="82"/>
      <c r="C53" s="45" t="s">
        <v>22</v>
      </c>
      <c r="D53" s="44">
        <v>1</v>
      </c>
      <c r="E53" s="43">
        <v>1.1037527593818985E-3</v>
      </c>
    </row>
    <row r="54" spans="2:5" ht="15" customHeight="1" x14ac:dyDescent="0.25">
      <c r="B54" s="82"/>
      <c r="C54" s="45" t="s">
        <v>24</v>
      </c>
      <c r="D54" s="44">
        <v>1</v>
      </c>
      <c r="E54" s="43">
        <v>1.1037527593818985E-3</v>
      </c>
    </row>
    <row r="55" spans="2:5" ht="15" customHeight="1" x14ac:dyDescent="0.25">
      <c r="B55" s="83"/>
      <c r="C55" s="42" t="s">
        <v>20</v>
      </c>
      <c r="D55" s="41">
        <v>12</v>
      </c>
      <c r="E55" s="40">
        <v>1.3245033112582781E-2</v>
      </c>
    </row>
    <row r="56" spans="2:5" ht="15" customHeight="1" x14ac:dyDescent="0.25">
      <c r="B56" s="81" t="s">
        <v>134</v>
      </c>
      <c r="C56" s="45" t="s">
        <v>58</v>
      </c>
      <c r="D56" s="44">
        <v>4</v>
      </c>
      <c r="E56" s="43">
        <v>4.4150110375275938E-3</v>
      </c>
    </row>
    <row r="57" spans="2:5" ht="15" customHeight="1" x14ac:dyDescent="0.25">
      <c r="B57" s="82"/>
      <c r="C57" s="45" t="s">
        <v>54</v>
      </c>
      <c r="D57" s="44">
        <v>1</v>
      </c>
      <c r="E57" s="43">
        <v>1.1037527593818985E-3</v>
      </c>
    </row>
    <row r="58" spans="2:5" ht="15" customHeight="1" x14ac:dyDescent="0.25">
      <c r="B58" s="82"/>
      <c r="C58" s="45" t="s">
        <v>45</v>
      </c>
      <c r="D58" s="44">
        <v>1</v>
      </c>
      <c r="E58" s="43">
        <v>1.1037527593818985E-3</v>
      </c>
    </row>
    <row r="59" spans="2:5" ht="15" customHeight="1" x14ac:dyDescent="0.25">
      <c r="B59" s="82"/>
      <c r="C59" s="45" t="s">
        <v>52</v>
      </c>
      <c r="D59" s="44">
        <v>1</v>
      </c>
      <c r="E59" s="43">
        <v>1.1037527593818985E-3</v>
      </c>
    </row>
    <row r="60" spans="2:5" ht="15" customHeight="1" x14ac:dyDescent="0.25">
      <c r="B60" s="82"/>
      <c r="C60" s="45" t="s">
        <v>40</v>
      </c>
      <c r="D60" s="44">
        <v>1</v>
      </c>
      <c r="E60" s="43">
        <v>1.1037527593818985E-3</v>
      </c>
    </row>
    <row r="61" spans="2:5" ht="15" customHeight="1" x14ac:dyDescent="0.25">
      <c r="B61" s="82"/>
      <c r="C61" s="45" t="s">
        <v>57</v>
      </c>
      <c r="D61" s="44">
        <v>1</v>
      </c>
      <c r="E61" s="43">
        <v>1.1037527593818985E-3</v>
      </c>
    </row>
    <row r="62" spans="2:5" ht="15" customHeight="1" x14ac:dyDescent="0.25">
      <c r="B62" s="82"/>
      <c r="C62" s="45" t="s">
        <v>39</v>
      </c>
      <c r="D62" s="44">
        <v>1</v>
      </c>
      <c r="E62" s="43">
        <v>1.1037527593818985E-3</v>
      </c>
    </row>
    <row r="63" spans="2:5" ht="15" customHeight="1" x14ac:dyDescent="0.25">
      <c r="B63" s="83"/>
      <c r="C63" s="42" t="s">
        <v>20</v>
      </c>
      <c r="D63" s="41">
        <v>10</v>
      </c>
      <c r="E63" s="40">
        <v>1.1037527593818985E-2</v>
      </c>
    </row>
    <row r="64" spans="2:5" ht="15" customHeight="1" x14ac:dyDescent="0.25">
      <c r="B64" s="81" t="s">
        <v>133</v>
      </c>
      <c r="C64" s="45" t="s">
        <v>53</v>
      </c>
      <c r="D64" s="44">
        <v>1</v>
      </c>
      <c r="E64" s="43">
        <v>1.1037527593818985E-3</v>
      </c>
    </row>
    <row r="65" spans="2:5" ht="15" customHeight="1" x14ac:dyDescent="0.25">
      <c r="B65" s="82"/>
      <c r="C65" s="45" t="s">
        <v>58</v>
      </c>
      <c r="D65" s="44">
        <v>12</v>
      </c>
      <c r="E65" s="43">
        <v>1.3245033112582781E-2</v>
      </c>
    </row>
    <row r="66" spans="2:5" ht="15" customHeight="1" x14ac:dyDescent="0.25">
      <c r="B66" s="82"/>
      <c r="C66" s="45" t="s">
        <v>51</v>
      </c>
      <c r="D66" s="44">
        <v>1</v>
      </c>
      <c r="E66" s="43">
        <v>1.1037527593818985E-3</v>
      </c>
    </row>
    <row r="67" spans="2:5" ht="15" customHeight="1" x14ac:dyDescent="0.25">
      <c r="B67" s="82"/>
      <c r="C67" s="45" t="s">
        <v>56</v>
      </c>
      <c r="D67" s="44">
        <v>5</v>
      </c>
      <c r="E67" s="43">
        <v>5.5187637969094927E-3</v>
      </c>
    </row>
    <row r="68" spans="2:5" ht="15" customHeight="1" x14ac:dyDescent="0.25">
      <c r="B68" s="82"/>
      <c r="C68" s="45" t="s">
        <v>49</v>
      </c>
      <c r="D68" s="44">
        <v>1</v>
      </c>
      <c r="E68" s="43">
        <v>1.1037527593818985E-3</v>
      </c>
    </row>
    <row r="69" spans="2:5" ht="15" customHeight="1" x14ac:dyDescent="0.25">
      <c r="B69" s="82"/>
      <c r="C69" s="45" t="s">
        <v>47</v>
      </c>
      <c r="D69" s="44">
        <v>1</v>
      </c>
      <c r="E69" s="43">
        <v>1.1037527593818985E-3</v>
      </c>
    </row>
    <row r="70" spans="2:5" ht="15" customHeight="1" x14ac:dyDescent="0.25">
      <c r="B70" s="82"/>
      <c r="C70" s="45" t="s">
        <v>43</v>
      </c>
      <c r="D70" s="44">
        <v>2</v>
      </c>
      <c r="E70" s="43">
        <v>2.2075055187637969E-3</v>
      </c>
    </row>
    <row r="71" spans="2:5" ht="15" customHeight="1" x14ac:dyDescent="0.25">
      <c r="B71" s="82"/>
      <c r="C71" s="45" t="s">
        <v>27</v>
      </c>
      <c r="D71" s="44">
        <v>1</v>
      </c>
      <c r="E71" s="43">
        <v>1.1037527593818985E-3</v>
      </c>
    </row>
    <row r="72" spans="2:5" ht="15" customHeight="1" x14ac:dyDescent="0.25">
      <c r="B72" s="82"/>
      <c r="C72" s="45" t="s">
        <v>37</v>
      </c>
      <c r="D72" s="44">
        <v>1</v>
      </c>
      <c r="E72" s="43">
        <v>1.1037527593818985E-3</v>
      </c>
    </row>
    <row r="73" spans="2:5" ht="15" customHeight="1" x14ac:dyDescent="0.25">
      <c r="B73" s="82"/>
      <c r="C73" s="45" t="s">
        <v>35</v>
      </c>
      <c r="D73" s="44">
        <v>1</v>
      </c>
      <c r="E73" s="43">
        <v>1.1037527593818985E-3</v>
      </c>
    </row>
    <row r="74" spans="2:5" ht="15" customHeight="1" x14ac:dyDescent="0.25">
      <c r="B74" s="82"/>
      <c r="C74" s="45" t="s">
        <v>55</v>
      </c>
      <c r="D74" s="44">
        <v>8</v>
      </c>
      <c r="E74" s="43">
        <v>8.8300220750551876E-3</v>
      </c>
    </row>
    <row r="75" spans="2:5" ht="15" customHeight="1" x14ac:dyDescent="0.25">
      <c r="B75" s="82"/>
      <c r="C75" s="45" t="s">
        <v>52</v>
      </c>
      <c r="D75" s="44">
        <v>7</v>
      </c>
      <c r="E75" s="43">
        <v>7.7262693156732896E-3</v>
      </c>
    </row>
    <row r="76" spans="2:5" ht="15" customHeight="1" x14ac:dyDescent="0.25">
      <c r="B76" s="82"/>
      <c r="C76" s="45" t="s">
        <v>30</v>
      </c>
      <c r="D76" s="44">
        <v>1</v>
      </c>
      <c r="E76" s="43">
        <v>1.1037527593818985E-3</v>
      </c>
    </row>
    <row r="77" spans="2:5" ht="15" customHeight="1" x14ac:dyDescent="0.25">
      <c r="B77" s="82"/>
      <c r="C77" s="45" t="s">
        <v>50</v>
      </c>
      <c r="D77" s="44">
        <v>1</v>
      </c>
      <c r="E77" s="43">
        <v>1.1037527593818985E-3</v>
      </c>
    </row>
    <row r="78" spans="2:5" ht="15" customHeight="1" x14ac:dyDescent="0.25">
      <c r="B78" s="82"/>
      <c r="C78" s="45" t="s">
        <v>40</v>
      </c>
      <c r="D78" s="44">
        <v>1</v>
      </c>
      <c r="E78" s="43">
        <v>1.1037527593818985E-3</v>
      </c>
    </row>
    <row r="79" spans="2:5" ht="15" customHeight="1" x14ac:dyDescent="0.25">
      <c r="B79" s="82"/>
      <c r="C79" s="45" t="s">
        <v>57</v>
      </c>
      <c r="D79" s="44">
        <v>19</v>
      </c>
      <c r="E79" s="43">
        <v>2.097130242825607E-2</v>
      </c>
    </row>
    <row r="80" spans="2:5" ht="15" customHeight="1" x14ac:dyDescent="0.25">
      <c r="B80" s="82"/>
      <c r="C80" s="45" t="s">
        <v>39</v>
      </c>
      <c r="D80" s="44">
        <v>1</v>
      </c>
      <c r="E80" s="43">
        <v>1.1037527593818985E-3</v>
      </c>
    </row>
    <row r="81" spans="2:5" ht="15" customHeight="1" x14ac:dyDescent="0.25">
      <c r="B81" s="82"/>
      <c r="C81" s="45" t="s">
        <v>38</v>
      </c>
      <c r="D81" s="44">
        <v>1</v>
      </c>
      <c r="E81" s="43">
        <v>1.1037527593818985E-3</v>
      </c>
    </row>
    <row r="82" spans="2:5" ht="15" customHeight="1" x14ac:dyDescent="0.25">
      <c r="B82" s="83"/>
      <c r="C82" s="42" t="s">
        <v>20</v>
      </c>
      <c r="D82" s="41">
        <v>65</v>
      </c>
      <c r="E82" s="40">
        <v>7.1743929359823405E-2</v>
      </c>
    </row>
    <row r="83" spans="2:5" ht="15" customHeight="1" x14ac:dyDescent="0.25">
      <c r="B83" s="81" t="s">
        <v>132</v>
      </c>
      <c r="C83" s="45" t="s">
        <v>53</v>
      </c>
      <c r="D83" s="44">
        <v>4</v>
      </c>
      <c r="E83" s="43">
        <v>4.4150110375275938E-3</v>
      </c>
    </row>
    <row r="84" spans="2:5" ht="15" customHeight="1" x14ac:dyDescent="0.25">
      <c r="B84" s="82"/>
      <c r="C84" s="45" t="s">
        <v>29</v>
      </c>
      <c r="D84" s="44">
        <v>1</v>
      </c>
      <c r="E84" s="43">
        <v>1.1037527593818985E-3</v>
      </c>
    </row>
    <row r="85" spans="2:5" ht="15" customHeight="1" x14ac:dyDescent="0.25">
      <c r="B85" s="82"/>
      <c r="C85" s="45" t="s">
        <v>46</v>
      </c>
      <c r="D85" s="44">
        <v>1</v>
      </c>
      <c r="E85" s="43">
        <v>1.1037527593818985E-3</v>
      </c>
    </row>
    <row r="86" spans="2:5" ht="15" customHeight="1" x14ac:dyDescent="0.25">
      <c r="B86" s="82"/>
      <c r="C86" s="45" t="s">
        <v>58</v>
      </c>
      <c r="D86" s="44">
        <v>24</v>
      </c>
      <c r="E86" s="43">
        <v>2.6490066225165563E-2</v>
      </c>
    </row>
    <row r="87" spans="2:5" ht="15" customHeight="1" x14ac:dyDescent="0.25">
      <c r="B87" s="82"/>
      <c r="C87" s="45" t="s">
        <v>51</v>
      </c>
      <c r="D87" s="44">
        <v>3</v>
      </c>
      <c r="E87" s="43">
        <v>3.3112582781456954E-3</v>
      </c>
    </row>
    <row r="88" spans="2:5" ht="15" customHeight="1" x14ac:dyDescent="0.25">
      <c r="B88" s="82"/>
      <c r="C88" s="45" t="s">
        <v>23</v>
      </c>
      <c r="D88" s="44">
        <v>1</v>
      </c>
      <c r="E88" s="43">
        <v>1.1037527593818985E-3</v>
      </c>
    </row>
    <row r="89" spans="2:5" ht="15" customHeight="1" x14ac:dyDescent="0.25">
      <c r="B89" s="82"/>
      <c r="C89" s="45" t="s">
        <v>56</v>
      </c>
      <c r="D89" s="44">
        <v>13</v>
      </c>
      <c r="E89" s="43">
        <v>1.434878587196468E-2</v>
      </c>
    </row>
    <row r="90" spans="2:5" ht="15" customHeight="1" x14ac:dyDescent="0.25">
      <c r="B90" s="82"/>
      <c r="C90" s="45" t="s">
        <v>54</v>
      </c>
      <c r="D90" s="44">
        <v>4</v>
      </c>
      <c r="E90" s="43">
        <v>4.4150110375275938E-3</v>
      </c>
    </row>
    <row r="91" spans="2:5" ht="15" customHeight="1" x14ac:dyDescent="0.25">
      <c r="B91" s="82"/>
      <c r="C91" s="45" t="s">
        <v>34</v>
      </c>
      <c r="D91" s="44">
        <v>1</v>
      </c>
      <c r="E91" s="43">
        <v>1.1037527593818985E-3</v>
      </c>
    </row>
    <row r="92" spans="2:5" ht="15" customHeight="1" x14ac:dyDescent="0.25">
      <c r="B92" s="82"/>
      <c r="C92" s="45" t="s">
        <v>49</v>
      </c>
      <c r="D92" s="44">
        <v>6</v>
      </c>
      <c r="E92" s="43">
        <v>6.6225165562913907E-3</v>
      </c>
    </row>
    <row r="93" spans="2:5" ht="15" customHeight="1" x14ac:dyDescent="0.25">
      <c r="B93" s="82"/>
      <c r="C93" s="45" t="s">
        <v>45</v>
      </c>
      <c r="D93" s="44">
        <v>1</v>
      </c>
      <c r="E93" s="43">
        <v>1.1037527593818985E-3</v>
      </c>
    </row>
    <row r="94" spans="2:5" ht="15" customHeight="1" x14ac:dyDescent="0.25">
      <c r="B94" s="82"/>
      <c r="C94" s="45" t="s">
        <v>47</v>
      </c>
      <c r="D94" s="44">
        <v>1</v>
      </c>
      <c r="E94" s="43">
        <v>1.1037527593818985E-3</v>
      </c>
    </row>
    <row r="95" spans="2:5" ht="15" customHeight="1" x14ac:dyDescent="0.25">
      <c r="B95" s="82"/>
      <c r="C95" s="45" t="s">
        <v>42</v>
      </c>
      <c r="D95" s="44">
        <v>3</v>
      </c>
      <c r="E95" s="43">
        <v>3.3112582781456954E-3</v>
      </c>
    </row>
    <row r="96" spans="2:5" ht="15" customHeight="1" x14ac:dyDescent="0.25">
      <c r="B96" s="82"/>
      <c r="C96" s="45" t="s">
        <v>32</v>
      </c>
      <c r="D96" s="44">
        <v>1</v>
      </c>
      <c r="E96" s="43">
        <v>1.1037527593818985E-3</v>
      </c>
    </row>
    <row r="97" spans="2:5" ht="15" customHeight="1" x14ac:dyDescent="0.25">
      <c r="B97" s="82"/>
      <c r="C97" s="45" t="s">
        <v>37</v>
      </c>
      <c r="D97" s="44">
        <v>1</v>
      </c>
      <c r="E97" s="43">
        <v>1.1037527593818985E-3</v>
      </c>
    </row>
    <row r="98" spans="2:5" ht="15" customHeight="1" x14ac:dyDescent="0.25">
      <c r="B98" s="82"/>
      <c r="C98" s="45" t="s">
        <v>35</v>
      </c>
      <c r="D98" s="44">
        <v>1</v>
      </c>
      <c r="E98" s="43">
        <v>1.1037527593818985E-3</v>
      </c>
    </row>
    <row r="99" spans="2:5" ht="15" customHeight="1" x14ac:dyDescent="0.25">
      <c r="B99" s="82"/>
      <c r="C99" s="45" t="s">
        <v>41</v>
      </c>
      <c r="D99" s="44">
        <v>1</v>
      </c>
      <c r="E99" s="43">
        <v>1.1037527593818985E-3</v>
      </c>
    </row>
    <row r="100" spans="2:5" ht="15" customHeight="1" x14ac:dyDescent="0.25">
      <c r="B100" s="82"/>
      <c r="C100" s="45" t="s">
        <v>55</v>
      </c>
      <c r="D100" s="44">
        <v>9</v>
      </c>
      <c r="E100" s="43">
        <v>9.9337748344370865E-3</v>
      </c>
    </row>
    <row r="101" spans="2:5" ht="15" customHeight="1" x14ac:dyDescent="0.25">
      <c r="B101" s="82"/>
      <c r="C101" s="45" t="s">
        <v>44</v>
      </c>
      <c r="D101" s="44">
        <v>1</v>
      </c>
      <c r="E101" s="43">
        <v>1.1037527593818985E-3</v>
      </c>
    </row>
    <row r="102" spans="2:5" ht="15" customHeight="1" x14ac:dyDescent="0.25">
      <c r="B102" s="82"/>
      <c r="C102" s="45" t="s">
        <v>52</v>
      </c>
      <c r="D102" s="44">
        <v>8</v>
      </c>
      <c r="E102" s="43">
        <v>8.8300220750551876E-3</v>
      </c>
    </row>
    <row r="103" spans="2:5" ht="15" customHeight="1" x14ac:dyDescent="0.25">
      <c r="B103" s="82"/>
      <c r="C103" s="45" t="s">
        <v>30</v>
      </c>
      <c r="D103" s="44">
        <v>1</v>
      </c>
      <c r="E103" s="43">
        <v>1.1037527593818985E-3</v>
      </c>
    </row>
    <row r="104" spans="2:5" ht="15" customHeight="1" x14ac:dyDescent="0.25">
      <c r="B104" s="82"/>
      <c r="C104" s="45" t="s">
        <v>50</v>
      </c>
      <c r="D104" s="44">
        <v>2</v>
      </c>
      <c r="E104" s="43">
        <v>2.2075055187637969E-3</v>
      </c>
    </row>
    <row r="105" spans="2:5" ht="15" customHeight="1" x14ac:dyDescent="0.25">
      <c r="B105" s="82"/>
      <c r="C105" s="45" t="s">
        <v>26</v>
      </c>
      <c r="D105" s="44">
        <v>1</v>
      </c>
      <c r="E105" s="43">
        <v>1.1037527593818985E-3</v>
      </c>
    </row>
    <row r="106" spans="2:5" ht="15" customHeight="1" x14ac:dyDescent="0.25">
      <c r="B106" s="82"/>
      <c r="C106" s="45" t="s">
        <v>40</v>
      </c>
      <c r="D106" s="44">
        <v>1</v>
      </c>
      <c r="E106" s="43">
        <v>1.1037527593818985E-3</v>
      </c>
    </row>
    <row r="107" spans="2:5" ht="15" customHeight="1" x14ac:dyDescent="0.25">
      <c r="B107" s="82"/>
      <c r="C107" s="45" t="s">
        <v>48</v>
      </c>
      <c r="D107" s="44">
        <v>2</v>
      </c>
      <c r="E107" s="43">
        <v>2.2075055187637969E-3</v>
      </c>
    </row>
    <row r="108" spans="2:5" ht="15" customHeight="1" x14ac:dyDescent="0.25">
      <c r="B108" s="82"/>
      <c r="C108" s="45" t="s">
        <v>57</v>
      </c>
      <c r="D108" s="44">
        <v>24</v>
      </c>
      <c r="E108" s="43">
        <v>2.6490066225165563E-2</v>
      </c>
    </row>
    <row r="109" spans="2:5" ht="15" customHeight="1" x14ac:dyDescent="0.25">
      <c r="B109" s="82"/>
      <c r="C109" s="45" t="s">
        <v>24</v>
      </c>
      <c r="D109" s="44">
        <v>1</v>
      </c>
      <c r="E109" s="43">
        <v>1.1037527593818985E-3</v>
      </c>
    </row>
    <row r="110" spans="2:5" ht="15" customHeight="1" x14ac:dyDescent="0.25">
      <c r="B110" s="82"/>
      <c r="C110" s="45" t="s">
        <v>38</v>
      </c>
      <c r="D110" s="44">
        <v>2</v>
      </c>
      <c r="E110" s="43">
        <v>2.2075055187637969E-3</v>
      </c>
    </row>
    <row r="111" spans="2:5" ht="15" customHeight="1" x14ac:dyDescent="0.25">
      <c r="B111" s="83"/>
      <c r="C111" s="42" t="s">
        <v>20</v>
      </c>
      <c r="D111" s="41">
        <v>119</v>
      </c>
      <c r="E111" s="40">
        <v>0.13134657836644592</v>
      </c>
    </row>
    <row r="112" spans="2:5" ht="15" customHeight="1" x14ac:dyDescent="0.25">
      <c r="B112" s="81" t="s">
        <v>131</v>
      </c>
      <c r="C112" s="45" t="s">
        <v>46</v>
      </c>
      <c r="D112" s="44">
        <v>1</v>
      </c>
      <c r="E112" s="43">
        <v>1.1037527593818985E-3</v>
      </c>
    </row>
    <row r="113" spans="2:5" ht="15" customHeight="1" x14ac:dyDescent="0.25">
      <c r="B113" s="82"/>
      <c r="C113" s="45" t="s">
        <v>58</v>
      </c>
      <c r="D113" s="44">
        <v>5</v>
      </c>
      <c r="E113" s="43">
        <v>5.5187637969094927E-3</v>
      </c>
    </row>
    <row r="114" spans="2:5" ht="15" customHeight="1" x14ac:dyDescent="0.25">
      <c r="B114" s="82"/>
      <c r="C114" s="45" t="s">
        <v>56</v>
      </c>
      <c r="D114" s="44">
        <v>1</v>
      </c>
      <c r="E114" s="43">
        <v>1.1037527593818985E-3</v>
      </c>
    </row>
    <row r="115" spans="2:5" ht="15" customHeight="1" x14ac:dyDescent="0.25">
      <c r="B115" s="82"/>
      <c r="C115" s="45" t="s">
        <v>55</v>
      </c>
      <c r="D115" s="44">
        <v>1</v>
      </c>
      <c r="E115" s="43">
        <v>1.1037527593818985E-3</v>
      </c>
    </row>
    <row r="116" spans="2:5" ht="15" customHeight="1" x14ac:dyDescent="0.25">
      <c r="B116" s="82"/>
      <c r="C116" s="45" t="s">
        <v>48</v>
      </c>
      <c r="D116" s="44">
        <v>1</v>
      </c>
      <c r="E116" s="43">
        <v>1.1037527593818985E-3</v>
      </c>
    </row>
    <row r="117" spans="2:5" ht="15" customHeight="1" x14ac:dyDescent="0.25">
      <c r="B117" s="82"/>
      <c r="C117" s="45" t="s">
        <v>57</v>
      </c>
      <c r="D117" s="44">
        <v>1</v>
      </c>
      <c r="E117" s="43">
        <v>1.1037527593818985E-3</v>
      </c>
    </row>
    <row r="118" spans="2:5" ht="15" customHeight="1" x14ac:dyDescent="0.25">
      <c r="B118" s="83"/>
      <c r="C118" s="42" t="s">
        <v>20</v>
      </c>
      <c r="D118" s="41">
        <v>10</v>
      </c>
      <c r="E118" s="40">
        <v>1.1037527593818985E-2</v>
      </c>
    </row>
    <row r="119" spans="2:5" ht="15" customHeight="1" x14ac:dyDescent="0.25">
      <c r="B119" s="81" t="s">
        <v>130</v>
      </c>
      <c r="C119" s="45" t="s">
        <v>53</v>
      </c>
      <c r="D119" s="44">
        <v>1</v>
      </c>
      <c r="E119" s="43">
        <v>1.1037527593818985E-3</v>
      </c>
    </row>
    <row r="120" spans="2:5" ht="15" customHeight="1" x14ac:dyDescent="0.25">
      <c r="B120" s="82"/>
      <c r="C120" s="45" t="s">
        <v>46</v>
      </c>
      <c r="D120" s="44">
        <v>1</v>
      </c>
      <c r="E120" s="43">
        <v>1.1037527593818985E-3</v>
      </c>
    </row>
    <row r="121" spans="2:5" ht="15" customHeight="1" x14ac:dyDescent="0.25">
      <c r="B121" s="82"/>
      <c r="C121" s="45" t="s">
        <v>58</v>
      </c>
      <c r="D121" s="44">
        <v>6</v>
      </c>
      <c r="E121" s="43">
        <v>6.6225165562913907E-3</v>
      </c>
    </row>
    <row r="122" spans="2:5" ht="15" customHeight="1" x14ac:dyDescent="0.25">
      <c r="B122" s="82"/>
      <c r="C122" s="45" t="s">
        <v>56</v>
      </c>
      <c r="D122" s="44">
        <v>2</v>
      </c>
      <c r="E122" s="43">
        <v>2.2075055187637969E-3</v>
      </c>
    </row>
    <row r="123" spans="2:5" ht="15" customHeight="1" x14ac:dyDescent="0.25">
      <c r="B123" s="82"/>
      <c r="C123" s="45" t="s">
        <v>54</v>
      </c>
      <c r="D123" s="44">
        <v>2</v>
      </c>
      <c r="E123" s="43">
        <v>2.2075055187637969E-3</v>
      </c>
    </row>
    <row r="124" spans="2:5" ht="15" customHeight="1" x14ac:dyDescent="0.25">
      <c r="B124" s="82"/>
      <c r="C124" s="45" t="s">
        <v>43</v>
      </c>
      <c r="D124" s="44">
        <v>1</v>
      </c>
      <c r="E124" s="43">
        <v>1.1037527593818985E-3</v>
      </c>
    </row>
    <row r="125" spans="2:5" ht="15" customHeight="1" x14ac:dyDescent="0.25">
      <c r="B125" s="82"/>
      <c r="C125" s="45" t="s">
        <v>32</v>
      </c>
      <c r="D125" s="44">
        <v>1</v>
      </c>
      <c r="E125" s="43">
        <v>1.1037527593818985E-3</v>
      </c>
    </row>
    <row r="126" spans="2:5" ht="15" customHeight="1" x14ac:dyDescent="0.25">
      <c r="B126" s="82"/>
      <c r="C126" s="45" t="s">
        <v>55</v>
      </c>
      <c r="D126" s="44">
        <v>2</v>
      </c>
      <c r="E126" s="43">
        <v>2.2075055187637969E-3</v>
      </c>
    </row>
    <row r="127" spans="2:5" ht="15" customHeight="1" x14ac:dyDescent="0.25">
      <c r="B127" s="82"/>
      <c r="C127" s="45" t="s">
        <v>44</v>
      </c>
      <c r="D127" s="44">
        <v>1</v>
      </c>
      <c r="E127" s="43">
        <v>1.1037527593818985E-3</v>
      </c>
    </row>
    <row r="128" spans="2:5" ht="15" customHeight="1" x14ac:dyDescent="0.25">
      <c r="B128" s="82"/>
      <c r="C128" s="45" t="s">
        <v>52</v>
      </c>
      <c r="D128" s="44">
        <v>1</v>
      </c>
      <c r="E128" s="43">
        <v>1.1037527593818985E-3</v>
      </c>
    </row>
    <row r="129" spans="2:5" ht="15" customHeight="1" x14ac:dyDescent="0.25">
      <c r="B129" s="82"/>
      <c r="C129" s="45" t="s">
        <v>30</v>
      </c>
      <c r="D129" s="44">
        <v>1</v>
      </c>
      <c r="E129" s="43">
        <v>1.1037527593818985E-3</v>
      </c>
    </row>
    <row r="130" spans="2:5" ht="15" customHeight="1" x14ac:dyDescent="0.25">
      <c r="B130" s="82"/>
      <c r="C130" s="45" t="s">
        <v>57</v>
      </c>
      <c r="D130" s="44">
        <v>5</v>
      </c>
      <c r="E130" s="43">
        <v>5.5187637969094927E-3</v>
      </c>
    </row>
    <row r="131" spans="2:5" ht="15" customHeight="1" x14ac:dyDescent="0.25">
      <c r="B131" s="83"/>
      <c r="C131" s="42" t="s">
        <v>20</v>
      </c>
      <c r="D131" s="41">
        <v>24</v>
      </c>
      <c r="E131" s="40">
        <v>2.6490066225165563E-2</v>
      </c>
    </row>
    <row r="132" spans="2:5" ht="15" customHeight="1" x14ac:dyDescent="0.25">
      <c r="B132" s="81" t="s">
        <v>129</v>
      </c>
      <c r="C132" s="45" t="s">
        <v>53</v>
      </c>
      <c r="D132" s="44">
        <v>1</v>
      </c>
      <c r="E132" s="43">
        <v>1.1037527593818985E-3</v>
      </c>
    </row>
    <row r="133" spans="2:5" ht="15" customHeight="1" x14ac:dyDescent="0.25">
      <c r="B133" s="82"/>
      <c r="C133" s="45" t="s">
        <v>58</v>
      </c>
      <c r="D133" s="44">
        <v>4</v>
      </c>
      <c r="E133" s="43">
        <v>4.4150110375275938E-3</v>
      </c>
    </row>
    <row r="134" spans="2:5" ht="15" customHeight="1" x14ac:dyDescent="0.25">
      <c r="B134" s="82"/>
      <c r="C134" s="45" t="s">
        <v>51</v>
      </c>
      <c r="D134" s="44">
        <v>1</v>
      </c>
      <c r="E134" s="43">
        <v>1.1037527593818985E-3</v>
      </c>
    </row>
    <row r="135" spans="2:5" ht="15" customHeight="1" x14ac:dyDescent="0.25">
      <c r="B135" s="82"/>
      <c r="C135" s="45" t="s">
        <v>56</v>
      </c>
      <c r="D135" s="44">
        <v>3</v>
      </c>
      <c r="E135" s="43">
        <v>3.3112582781456954E-3</v>
      </c>
    </row>
    <row r="136" spans="2:5" ht="15" customHeight="1" x14ac:dyDescent="0.25">
      <c r="B136" s="82"/>
      <c r="C136" s="45" t="s">
        <v>42</v>
      </c>
      <c r="D136" s="44">
        <v>1</v>
      </c>
      <c r="E136" s="43">
        <v>1.1037527593818985E-3</v>
      </c>
    </row>
    <row r="137" spans="2:5" ht="15" customHeight="1" x14ac:dyDescent="0.25">
      <c r="B137" s="82"/>
      <c r="C137" s="45" t="s">
        <v>37</v>
      </c>
      <c r="D137" s="44">
        <v>1</v>
      </c>
      <c r="E137" s="43">
        <v>1.1037527593818985E-3</v>
      </c>
    </row>
    <row r="138" spans="2:5" ht="15" customHeight="1" x14ac:dyDescent="0.25">
      <c r="B138" s="82"/>
      <c r="C138" s="45" t="s">
        <v>55</v>
      </c>
      <c r="D138" s="44">
        <v>4</v>
      </c>
      <c r="E138" s="43">
        <v>4.4150110375275938E-3</v>
      </c>
    </row>
    <row r="139" spans="2:5" ht="15" customHeight="1" x14ac:dyDescent="0.25">
      <c r="B139" s="82"/>
      <c r="C139" s="45" t="s">
        <v>44</v>
      </c>
      <c r="D139" s="44">
        <v>1</v>
      </c>
      <c r="E139" s="43">
        <v>1.1037527593818985E-3</v>
      </c>
    </row>
    <row r="140" spans="2:5" ht="15" customHeight="1" x14ac:dyDescent="0.25">
      <c r="B140" s="82"/>
      <c r="C140" s="45" t="s">
        <v>52</v>
      </c>
      <c r="D140" s="44">
        <v>2</v>
      </c>
      <c r="E140" s="43">
        <v>2.2075055187637969E-3</v>
      </c>
    </row>
    <row r="141" spans="2:5" ht="15" customHeight="1" x14ac:dyDescent="0.25">
      <c r="B141" s="82"/>
      <c r="C141" s="45" t="s">
        <v>50</v>
      </c>
      <c r="D141" s="44">
        <v>1</v>
      </c>
      <c r="E141" s="43">
        <v>1.1037527593818985E-3</v>
      </c>
    </row>
    <row r="142" spans="2:5" ht="15" customHeight="1" x14ac:dyDescent="0.25">
      <c r="B142" s="82"/>
      <c r="C142" s="45" t="s">
        <v>26</v>
      </c>
      <c r="D142" s="44">
        <v>1</v>
      </c>
      <c r="E142" s="43">
        <v>1.1037527593818985E-3</v>
      </c>
    </row>
    <row r="143" spans="2:5" ht="15" customHeight="1" x14ac:dyDescent="0.25">
      <c r="B143" s="82"/>
      <c r="C143" s="45" t="s">
        <v>57</v>
      </c>
      <c r="D143" s="44">
        <v>8</v>
      </c>
      <c r="E143" s="43">
        <v>8.8300220750551876E-3</v>
      </c>
    </row>
    <row r="144" spans="2:5" ht="15" customHeight="1" x14ac:dyDescent="0.25">
      <c r="B144" s="82"/>
      <c r="C144" s="45" t="s">
        <v>39</v>
      </c>
      <c r="D144" s="44">
        <v>1</v>
      </c>
      <c r="E144" s="43">
        <v>1.1037527593818985E-3</v>
      </c>
    </row>
    <row r="145" spans="2:5" ht="15" customHeight="1" x14ac:dyDescent="0.25">
      <c r="B145" s="82"/>
      <c r="C145" s="45" t="s">
        <v>36</v>
      </c>
      <c r="D145" s="44">
        <v>3</v>
      </c>
      <c r="E145" s="43">
        <v>3.3112582781456954E-3</v>
      </c>
    </row>
    <row r="146" spans="2:5" ht="15" customHeight="1" x14ac:dyDescent="0.25">
      <c r="B146" s="83"/>
      <c r="C146" s="42" t="s">
        <v>20</v>
      </c>
      <c r="D146" s="41">
        <v>32</v>
      </c>
      <c r="E146" s="40">
        <v>3.5320088300220751E-2</v>
      </c>
    </row>
    <row r="147" spans="2:5" ht="15" customHeight="1" x14ac:dyDescent="0.25">
      <c r="B147" s="81" t="s">
        <v>128</v>
      </c>
      <c r="C147" s="45" t="s">
        <v>53</v>
      </c>
      <c r="D147" s="44">
        <v>8</v>
      </c>
      <c r="E147" s="43">
        <v>8.8300220750551876E-3</v>
      </c>
    </row>
    <row r="148" spans="2:5" ht="15" customHeight="1" x14ac:dyDescent="0.25">
      <c r="B148" s="82"/>
      <c r="C148" s="45" t="s">
        <v>29</v>
      </c>
      <c r="D148" s="44">
        <v>4</v>
      </c>
      <c r="E148" s="43">
        <v>4.4150110375275938E-3</v>
      </c>
    </row>
    <row r="149" spans="2:5" ht="15" customHeight="1" x14ac:dyDescent="0.25">
      <c r="B149" s="82"/>
      <c r="C149" s="45" t="s">
        <v>46</v>
      </c>
      <c r="D149" s="44">
        <v>1</v>
      </c>
      <c r="E149" s="43">
        <v>1.1037527593818985E-3</v>
      </c>
    </row>
    <row r="150" spans="2:5" ht="15" customHeight="1" x14ac:dyDescent="0.25">
      <c r="B150" s="82"/>
      <c r="C150" s="45" t="s">
        <v>58</v>
      </c>
      <c r="D150" s="44">
        <v>64</v>
      </c>
      <c r="E150" s="43">
        <v>7.0640176600441501E-2</v>
      </c>
    </row>
    <row r="151" spans="2:5" ht="15" customHeight="1" x14ac:dyDescent="0.25">
      <c r="B151" s="82"/>
      <c r="C151" s="45" t="s">
        <v>51</v>
      </c>
      <c r="D151" s="44">
        <v>12</v>
      </c>
      <c r="E151" s="43">
        <v>1.3245033112582781E-2</v>
      </c>
    </row>
    <row r="152" spans="2:5" ht="15" customHeight="1" x14ac:dyDescent="0.25">
      <c r="B152" s="82"/>
      <c r="C152" s="45" t="s">
        <v>56</v>
      </c>
      <c r="D152" s="44">
        <v>19</v>
      </c>
      <c r="E152" s="43">
        <v>2.097130242825607E-2</v>
      </c>
    </row>
    <row r="153" spans="2:5" ht="15" customHeight="1" x14ac:dyDescent="0.25">
      <c r="B153" s="82"/>
      <c r="C153" s="45" t="s">
        <v>54</v>
      </c>
      <c r="D153" s="44">
        <v>12</v>
      </c>
      <c r="E153" s="43">
        <v>1.3245033112582781E-2</v>
      </c>
    </row>
    <row r="154" spans="2:5" ht="15" customHeight="1" x14ac:dyDescent="0.25">
      <c r="B154" s="82"/>
      <c r="C154" s="45" t="s">
        <v>34</v>
      </c>
      <c r="D154" s="44">
        <v>2</v>
      </c>
      <c r="E154" s="43">
        <v>2.2075055187637969E-3</v>
      </c>
    </row>
    <row r="155" spans="2:5" ht="15" customHeight="1" x14ac:dyDescent="0.25">
      <c r="B155" s="82"/>
      <c r="C155" s="45" t="s">
        <v>49</v>
      </c>
      <c r="D155" s="44">
        <v>8</v>
      </c>
      <c r="E155" s="43">
        <v>8.8300220750551876E-3</v>
      </c>
    </row>
    <row r="156" spans="2:5" ht="15" customHeight="1" x14ac:dyDescent="0.25">
      <c r="B156" s="82"/>
      <c r="C156" s="45" t="s">
        <v>45</v>
      </c>
      <c r="D156" s="44">
        <v>5</v>
      </c>
      <c r="E156" s="43">
        <v>5.5187637969094927E-3</v>
      </c>
    </row>
    <row r="157" spans="2:5" ht="15" customHeight="1" x14ac:dyDescent="0.25">
      <c r="B157" s="82"/>
      <c r="C157" s="45" t="s">
        <v>47</v>
      </c>
      <c r="D157" s="44">
        <v>2</v>
      </c>
      <c r="E157" s="43">
        <v>2.2075055187637969E-3</v>
      </c>
    </row>
    <row r="158" spans="2:5" ht="15" customHeight="1" x14ac:dyDescent="0.25">
      <c r="B158" s="82"/>
      <c r="C158" s="45" t="s">
        <v>43</v>
      </c>
      <c r="D158" s="44">
        <v>6</v>
      </c>
      <c r="E158" s="43">
        <v>6.6225165562913907E-3</v>
      </c>
    </row>
    <row r="159" spans="2:5" ht="15" customHeight="1" x14ac:dyDescent="0.25">
      <c r="B159" s="82"/>
      <c r="C159" s="45" t="s">
        <v>25</v>
      </c>
      <c r="D159" s="44">
        <v>4</v>
      </c>
      <c r="E159" s="43">
        <v>4.4150110375275938E-3</v>
      </c>
    </row>
    <row r="160" spans="2:5" ht="15" customHeight="1" x14ac:dyDescent="0.25">
      <c r="B160" s="82"/>
      <c r="C160" s="45" t="s">
        <v>42</v>
      </c>
      <c r="D160" s="44">
        <v>6</v>
      </c>
      <c r="E160" s="43">
        <v>6.6225165562913907E-3</v>
      </c>
    </row>
    <row r="161" spans="2:5" ht="15" customHeight="1" x14ac:dyDescent="0.25">
      <c r="B161" s="82"/>
      <c r="C161" s="45" t="s">
        <v>21</v>
      </c>
      <c r="D161" s="44">
        <v>1</v>
      </c>
      <c r="E161" s="43">
        <v>1.1037527593818985E-3</v>
      </c>
    </row>
    <row r="162" spans="2:5" ht="15" customHeight="1" x14ac:dyDescent="0.25">
      <c r="B162" s="82"/>
      <c r="C162" s="45" t="s">
        <v>32</v>
      </c>
      <c r="D162" s="44">
        <v>1</v>
      </c>
      <c r="E162" s="43">
        <v>1.1037527593818985E-3</v>
      </c>
    </row>
    <row r="163" spans="2:5" ht="15" customHeight="1" x14ac:dyDescent="0.25">
      <c r="B163" s="82"/>
      <c r="C163" s="45" t="s">
        <v>37</v>
      </c>
      <c r="D163" s="44">
        <v>5</v>
      </c>
      <c r="E163" s="43">
        <v>5.5187637969094927E-3</v>
      </c>
    </row>
    <row r="164" spans="2:5" ht="15" customHeight="1" x14ac:dyDescent="0.25">
      <c r="B164" s="82"/>
      <c r="C164" s="45" t="s">
        <v>35</v>
      </c>
      <c r="D164" s="44">
        <v>3</v>
      </c>
      <c r="E164" s="43">
        <v>3.3112582781456954E-3</v>
      </c>
    </row>
    <row r="165" spans="2:5" ht="15" customHeight="1" x14ac:dyDescent="0.25">
      <c r="B165" s="82"/>
      <c r="C165" s="45" t="s">
        <v>41</v>
      </c>
      <c r="D165" s="44">
        <v>2</v>
      </c>
      <c r="E165" s="43">
        <v>2.2075055187637969E-3</v>
      </c>
    </row>
    <row r="166" spans="2:5" ht="15" customHeight="1" x14ac:dyDescent="0.25">
      <c r="B166" s="82"/>
      <c r="C166" s="45" t="s">
        <v>55</v>
      </c>
      <c r="D166" s="44">
        <v>18</v>
      </c>
      <c r="E166" s="43">
        <v>1.9867549668874173E-2</v>
      </c>
    </row>
    <row r="167" spans="2:5" ht="15" customHeight="1" x14ac:dyDescent="0.25">
      <c r="B167" s="82"/>
      <c r="C167" s="45" t="s">
        <v>44</v>
      </c>
      <c r="D167" s="44">
        <v>7</v>
      </c>
      <c r="E167" s="43">
        <v>7.7262693156732896E-3</v>
      </c>
    </row>
    <row r="168" spans="2:5" ht="15" customHeight="1" x14ac:dyDescent="0.25">
      <c r="B168" s="82"/>
      <c r="C168" s="45" t="s">
        <v>33</v>
      </c>
      <c r="D168" s="44">
        <v>4</v>
      </c>
      <c r="E168" s="43">
        <v>4.4150110375275938E-3</v>
      </c>
    </row>
    <row r="169" spans="2:5" ht="15" customHeight="1" x14ac:dyDescent="0.25">
      <c r="B169" s="82"/>
      <c r="C169" s="45" t="s">
        <v>31</v>
      </c>
      <c r="D169" s="44">
        <v>2</v>
      </c>
      <c r="E169" s="43">
        <v>2.2075055187637969E-3</v>
      </c>
    </row>
    <row r="170" spans="2:5" ht="15" customHeight="1" x14ac:dyDescent="0.25">
      <c r="B170" s="82"/>
      <c r="C170" s="45" t="s">
        <v>52</v>
      </c>
      <c r="D170" s="44">
        <v>22</v>
      </c>
      <c r="E170" s="43">
        <v>2.4282560706401765E-2</v>
      </c>
    </row>
    <row r="171" spans="2:5" ht="15" customHeight="1" x14ac:dyDescent="0.25">
      <c r="B171" s="82"/>
      <c r="C171" s="45" t="s">
        <v>30</v>
      </c>
      <c r="D171" s="44">
        <v>5</v>
      </c>
      <c r="E171" s="43">
        <v>5.5187637969094927E-3</v>
      </c>
    </row>
    <row r="172" spans="2:5" ht="15" customHeight="1" x14ac:dyDescent="0.25">
      <c r="B172" s="82"/>
      <c r="C172" s="45" t="s">
        <v>50</v>
      </c>
      <c r="D172" s="44">
        <v>3</v>
      </c>
      <c r="E172" s="43">
        <v>3.3112582781456954E-3</v>
      </c>
    </row>
    <row r="173" spans="2:5" ht="15" customHeight="1" x14ac:dyDescent="0.25">
      <c r="B173" s="82"/>
      <c r="C173" s="45" t="s">
        <v>26</v>
      </c>
      <c r="D173" s="44">
        <v>1</v>
      </c>
      <c r="E173" s="43">
        <v>1.1037527593818985E-3</v>
      </c>
    </row>
    <row r="174" spans="2:5" ht="15" customHeight="1" x14ac:dyDescent="0.25">
      <c r="B174" s="82"/>
      <c r="C174" s="45" t="s">
        <v>40</v>
      </c>
      <c r="D174" s="44">
        <v>6</v>
      </c>
      <c r="E174" s="43">
        <v>6.6225165562913907E-3</v>
      </c>
    </row>
    <row r="175" spans="2:5" ht="15" customHeight="1" x14ac:dyDescent="0.25">
      <c r="B175" s="82"/>
      <c r="C175" s="45" t="s">
        <v>48</v>
      </c>
      <c r="D175" s="44">
        <v>8</v>
      </c>
      <c r="E175" s="43">
        <v>8.8300220750551876E-3</v>
      </c>
    </row>
    <row r="176" spans="2:5" ht="15" customHeight="1" x14ac:dyDescent="0.25">
      <c r="B176" s="82"/>
      <c r="C176" s="45" t="s">
        <v>57</v>
      </c>
      <c r="D176" s="44">
        <v>55</v>
      </c>
      <c r="E176" s="43">
        <v>6.0706401766004413E-2</v>
      </c>
    </row>
    <row r="177" spans="2:5" ht="15" customHeight="1" x14ac:dyDescent="0.25">
      <c r="B177" s="82"/>
      <c r="C177" s="45" t="s">
        <v>24</v>
      </c>
      <c r="D177" s="44">
        <v>1</v>
      </c>
      <c r="E177" s="43">
        <v>1.1037527593818985E-3</v>
      </c>
    </row>
    <row r="178" spans="2:5" ht="15" customHeight="1" x14ac:dyDescent="0.25">
      <c r="B178" s="82"/>
      <c r="C178" s="45" t="s">
        <v>39</v>
      </c>
      <c r="D178" s="44">
        <v>2</v>
      </c>
      <c r="E178" s="43">
        <v>2.2075055187637969E-3</v>
      </c>
    </row>
    <row r="179" spans="2:5" ht="15" customHeight="1" x14ac:dyDescent="0.25">
      <c r="B179" s="82"/>
      <c r="C179" s="45" t="s">
        <v>38</v>
      </c>
      <c r="D179" s="44">
        <v>1</v>
      </c>
      <c r="E179" s="43">
        <v>1.1037527593818985E-3</v>
      </c>
    </row>
    <row r="180" spans="2:5" ht="15" customHeight="1" x14ac:dyDescent="0.25">
      <c r="B180" s="82"/>
      <c r="C180" s="45" t="s">
        <v>36</v>
      </c>
      <c r="D180" s="44">
        <v>4</v>
      </c>
      <c r="E180" s="43">
        <v>4.4150110375275938E-3</v>
      </c>
    </row>
    <row r="181" spans="2:5" ht="15" customHeight="1" x14ac:dyDescent="0.25">
      <c r="B181" s="83"/>
      <c r="C181" s="42" t="s">
        <v>20</v>
      </c>
      <c r="D181" s="41">
        <v>304</v>
      </c>
      <c r="E181" s="40">
        <v>0.33554083885209712</v>
      </c>
    </row>
    <row r="182" spans="2:5" ht="15" customHeight="1" x14ac:dyDescent="0.25">
      <c r="B182" s="81" t="s">
        <v>127</v>
      </c>
      <c r="C182" s="45" t="s">
        <v>53</v>
      </c>
      <c r="D182" s="44">
        <v>1</v>
      </c>
      <c r="E182" s="43">
        <v>1.1037527593818985E-3</v>
      </c>
    </row>
    <row r="183" spans="2:5" ht="15" customHeight="1" x14ac:dyDescent="0.25">
      <c r="B183" s="82"/>
      <c r="C183" s="45" t="s">
        <v>58</v>
      </c>
      <c r="D183" s="44">
        <v>5</v>
      </c>
      <c r="E183" s="43">
        <v>5.5187637969094927E-3</v>
      </c>
    </row>
    <row r="184" spans="2:5" ht="15" customHeight="1" x14ac:dyDescent="0.25">
      <c r="B184" s="82"/>
      <c r="C184" s="45" t="s">
        <v>56</v>
      </c>
      <c r="D184" s="44">
        <v>1</v>
      </c>
      <c r="E184" s="43">
        <v>1.1037527593818985E-3</v>
      </c>
    </row>
    <row r="185" spans="2:5" ht="15" customHeight="1" x14ac:dyDescent="0.25">
      <c r="B185" s="82"/>
      <c r="C185" s="45" t="s">
        <v>45</v>
      </c>
      <c r="D185" s="44">
        <v>1</v>
      </c>
      <c r="E185" s="43">
        <v>1.1037527593818985E-3</v>
      </c>
    </row>
    <row r="186" spans="2:5" ht="15" customHeight="1" x14ac:dyDescent="0.25">
      <c r="B186" s="82"/>
      <c r="C186" s="45" t="s">
        <v>55</v>
      </c>
      <c r="D186" s="44">
        <v>2</v>
      </c>
      <c r="E186" s="43">
        <v>2.2075055187637969E-3</v>
      </c>
    </row>
    <row r="187" spans="2:5" ht="15" customHeight="1" x14ac:dyDescent="0.25">
      <c r="B187" s="82"/>
      <c r="C187" s="45" t="s">
        <v>52</v>
      </c>
      <c r="D187" s="44">
        <v>1</v>
      </c>
      <c r="E187" s="43">
        <v>1.1037527593818985E-3</v>
      </c>
    </row>
    <row r="188" spans="2:5" ht="15" customHeight="1" x14ac:dyDescent="0.25">
      <c r="B188" s="82"/>
      <c r="C188" s="45" t="s">
        <v>57</v>
      </c>
      <c r="D188" s="44">
        <v>3</v>
      </c>
      <c r="E188" s="43">
        <v>3.3112582781456954E-3</v>
      </c>
    </row>
    <row r="189" spans="2:5" ht="15" customHeight="1" x14ac:dyDescent="0.25">
      <c r="B189" s="83"/>
      <c r="C189" s="42" t="s">
        <v>20</v>
      </c>
      <c r="D189" s="41">
        <v>14</v>
      </c>
      <c r="E189" s="40">
        <v>1.5452538631346579E-2</v>
      </c>
    </row>
    <row r="190" spans="2:5" ht="15" customHeight="1" x14ac:dyDescent="0.25">
      <c r="B190" s="81" t="s">
        <v>126</v>
      </c>
      <c r="C190" s="45" t="s">
        <v>53</v>
      </c>
      <c r="D190" s="44">
        <v>2</v>
      </c>
      <c r="E190" s="43">
        <v>2.2075055187637969E-3</v>
      </c>
    </row>
    <row r="191" spans="2:5" ht="15" customHeight="1" x14ac:dyDescent="0.25">
      <c r="B191" s="82"/>
      <c r="C191" s="45" t="s">
        <v>58</v>
      </c>
      <c r="D191" s="44">
        <v>12</v>
      </c>
      <c r="E191" s="43">
        <v>1.3245033112582781E-2</v>
      </c>
    </row>
    <row r="192" spans="2:5" ht="15" customHeight="1" x14ac:dyDescent="0.25">
      <c r="B192" s="82"/>
      <c r="C192" s="45" t="s">
        <v>56</v>
      </c>
      <c r="D192" s="44">
        <v>2</v>
      </c>
      <c r="E192" s="43">
        <v>2.2075055187637969E-3</v>
      </c>
    </row>
    <row r="193" spans="2:5" ht="15" customHeight="1" x14ac:dyDescent="0.25">
      <c r="B193" s="82"/>
      <c r="C193" s="45" t="s">
        <v>54</v>
      </c>
      <c r="D193" s="44">
        <v>4</v>
      </c>
      <c r="E193" s="43">
        <v>4.4150110375275938E-3</v>
      </c>
    </row>
    <row r="194" spans="2:5" ht="15" customHeight="1" x14ac:dyDescent="0.25">
      <c r="B194" s="82"/>
      <c r="C194" s="45" t="s">
        <v>49</v>
      </c>
      <c r="D194" s="44">
        <v>2</v>
      </c>
      <c r="E194" s="43">
        <v>2.2075055187637969E-3</v>
      </c>
    </row>
    <row r="195" spans="2:5" ht="15" customHeight="1" x14ac:dyDescent="0.25">
      <c r="B195" s="82"/>
      <c r="C195" s="45" t="s">
        <v>45</v>
      </c>
      <c r="D195" s="44">
        <v>3</v>
      </c>
      <c r="E195" s="43">
        <v>3.3112582781456954E-3</v>
      </c>
    </row>
    <row r="196" spans="2:5" ht="15" customHeight="1" x14ac:dyDescent="0.25">
      <c r="B196" s="82"/>
      <c r="C196" s="45" t="s">
        <v>42</v>
      </c>
      <c r="D196" s="44">
        <v>1</v>
      </c>
      <c r="E196" s="43">
        <v>1.1037527593818985E-3</v>
      </c>
    </row>
    <row r="197" spans="2:5" ht="15" customHeight="1" x14ac:dyDescent="0.25">
      <c r="B197" s="82"/>
      <c r="C197" s="45" t="s">
        <v>41</v>
      </c>
      <c r="D197" s="44">
        <v>3</v>
      </c>
      <c r="E197" s="43">
        <v>3.3112582781456954E-3</v>
      </c>
    </row>
    <row r="198" spans="2:5" ht="15" customHeight="1" x14ac:dyDescent="0.25">
      <c r="B198" s="82"/>
      <c r="C198" s="45" t="s">
        <v>55</v>
      </c>
      <c r="D198" s="44">
        <v>8</v>
      </c>
      <c r="E198" s="43">
        <v>8.8300220750551876E-3</v>
      </c>
    </row>
    <row r="199" spans="2:5" ht="15" customHeight="1" x14ac:dyDescent="0.25">
      <c r="B199" s="82"/>
      <c r="C199" s="45" t="s">
        <v>33</v>
      </c>
      <c r="D199" s="44">
        <v>1</v>
      </c>
      <c r="E199" s="43">
        <v>1.1037527593818985E-3</v>
      </c>
    </row>
    <row r="200" spans="2:5" ht="15" customHeight="1" x14ac:dyDescent="0.25">
      <c r="B200" s="82"/>
      <c r="C200" s="45" t="s">
        <v>52</v>
      </c>
      <c r="D200" s="44">
        <v>3</v>
      </c>
      <c r="E200" s="43">
        <v>3.3112582781456954E-3</v>
      </c>
    </row>
    <row r="201" spans="2:5" ht="15" customHeight="1" x14ac:dyDescent="0.25">
      <c r="B201" s="82"/>
      <c r="C201" s="45" t="s">
        <v>30</v>
      </c>
      <c r="D201" s="44">
        <v>1</v>
      </c>
      <c r="E201" s="43">
        <v>1.1037527593818985E-3</v>
      </c>
    </row>
    <row r="202" spans="2:5" ht="15" customHeight="1" x14ac:dyDescent="0.25">
      <c r="B202" s="82"/>
      <c r="C202" s="45" t="s">
        <v>50</v>
      </c>
      <c r="D202" s="44">
        <v>3</v>
      </c>
      <c r="E202" s="43">
        <v>3.3112582781456954E-3</v>
      </c>
    </row>
    <row r="203" spans="2:5" ht="15" customHeight="1" x14ac:dyDescent="0.25">
      <c r="B203" s="82"/>
      <c r="C203" s="45" t="s">
        <v>40</v>
      </c>
      <c r="D203" s="44">
        <v>2</v>
      </c>
      <c r="E203" s="43">
        <v>2.2075055187637969E-3</v>
      </c>
    </row>
    <row r="204" spans="2:5" ht="15" customHeight="1" x14ac:dyDescent="0.25">
      <c r="B204" s="82"/>
      <c r="C204" s="45" t="s">
        <v>48</v>
      </c>
      <c r="D204" s="44">
        <v>2</v>
      </c>
      <c r="E204" s="43">
        <v>2.2075055187637969E-3</v>
      </c>
    </row>
    <row r="205" spans="2:5" ht="15" customHeight="1" x14ac:dyDescent="0.25">
      <c r="B205" s="82"/>
      <c r="C205" s="45" t="s">
        <v>57</v>
      </c>
      <c r="D205" s="44">
        <v>8</v>
      </c>
      <c r="E205" s="43">
        <v>8.8300220750551876E-3</v>
      </c>
    </row>
    <row r="206" spans="2:5" ht="15" customHeight="1" x14ac:dyDescent="0.25">
      <c r="B206" s="83"/>
      <c r="C206" s="42" t="s">
        <v>20</v>
      </c>
      <c r="D206" s="41">
        <v>57</v>
      </c>
      <c r="E206" s="40">
        <v>6.2913907284768214E-2</v>
      </c>
    </row>
    <row r="207" spans="2:5" ht="15" customHeight="1" x14ac:dyDescent="0.25">
      <c r="B207" s="81" t="s">
        <v>125</v>
      </c>
      <c r="C207" s="45" t="s">
        <v>53</v>
      </c>
      <c r="D207" s="44">
        <v>6</v>
      </c>
      <c r="E207" s="43">
        <v>6.6225165562913907E-3</v>
      </c>
    </row>
    <row r="208" spans="2:5" ht="15" customHeight="1" x14ac:dyDescent="0.25">
      <c r="B208" s="82"/>
      <c r="C208" s="45" t="s">
        <v>29</v>
      </c>
      <c r="D208" s="44">
        <v>1</v>
      </c>
      <c r="E208" s="43">
        <v>1.1037527593818985E-3</v>
      </c>
    </row>
    <row r="209" spans="2:5" ht="15" customHeight="1" x14ac:dyDescent="0.25">
      <c r="B209" s="82"/>
      <c r="C209" s="45" t="s">
        <v>46</v>
      </c>
      <c r="D209" s="44">
        <v>1</v>
      </c>
      <c r="E209" s="43">
        <v>1.1037527593818985E-3</v>
      </c>
    </row>
    <row r="210" spans="2:5" ht="15" customHeight="1" x14ac:dyDescent="0.25">
      <c r="B210" s="82"/>
      <c r="C210" s="45" t="s">
        <v>58</v>
      </c>
      <c r="D210" s="44">
        <v>30</v>
      </c>
      <c r="E210" s="43">
        <v>3.3112582781456956E-2</v>
      </c>
    </row>
    <row r="211" spans="2:5" ht="15" customHeight="1" x14ac:dyDescent="0.25">
      <c r="B211" s="82"/>
      <c r="C211" s="45" t="s">
        <v>51</v>
      </c>
      <c r="D211" s="44">
        <v>9</v>
      </c>
      <c r="E211" s="43">
        <v>9.9337748344370865E-3</v>
      </c>
    </row>
    <row r="212" spans="2:5" ht="15" customHeight="1" x14ac:dyDescent="0.25">
      <c r="B212" s="82"/>
      <c r="C212" s="45" t="s">
        <v>56</v>
      </c>
      <c r="D212" s="44">
        <v>10</v>
      </c>
      <c r="E212" s="43">
        <v>1.1037527593818985E-2</v>
      </c>
    </row>
    <row r="213" spans="2:5" ht="15" customHeight="1" x14ac:dyDescent="0.25">
      <c r="B213" s="82"/>
      <c r="C213" s="45" t="s">
        <v>54</v>
      </c>
      <c r="D213" s="44">
        <v>2</v>
      </c>
      <c r="E213" s="43">
        <v>2.2075055187637969E-3</v>
      </c>
    </row>
    <row r="214" spans="2:5" ht="15" customHeight="1" x14ac:dyDescent="0.25">
      <c r="B214" s="82"/>
      <c r="C214" s="45" t="s">
        <v>34</v>
      </c>
      <c r="D214" s="44">
        <v>1</v>
      </c>
      <c r="E214" s="43">
        <v>1.1037527593818985E-3</v>
      </c>
    </row>
    <row r="215" spans="2:5" ht="15" customHeight="1" x14ac:dyDescent="0.25">
      <c r="B215" s="82"/>
      <c r="C215" s="45" t="s">
        <v>49</v>
      </c>
      <c r="D215" s="44">
        <v>5</v>
      </c>
      <c r="E215" s="43">
        <v>5.5187637969094927E-3</v>
      </c>
    </row>
    <row r="216" spans="2:5" ht="15" customHeight="1" x14ac:dyDescent="0.25">
      <c r="B216" s="82"/>
      <c r="C216" s="45" t="s">
        <v>45</v>
      </c>
      <c r="D216" s="44">
        <v>5</v>
      </c>
      <c r="E216" s="43">
        <v>5.5187637969094927E-3</v>
      </c>
    </row>
    <row r="217" spans="2:5" ht="15" customHeight="1" x14ac:dyDescent="0.25">
      <c r="B217" s="82"/>
      <c r="C217" s="45" t="s">
        <v>47</v>
      </c>
      <c r="D217" s="44">
        <v>3</v>
      </c>
      <c r="E217" s="43">
        <v>3.3112582781456954E-3</v>
      </c>
    </row>
    <row r="218" spans="2:5" ht="15" customHeight="1" x14ac:dyDescent="0.25">
      <c r="B218" s="82"/>
      <c r="C218" s="45" t="s">
        <v>43</v>
      </c>
      <c r="D218" s="44">
        <v>1</v>
      </c>
      <c r="E218" s="43">
        <v>1.1037527593818985E-3</v>
      </c>
    </row>
    <row r="219" spans="2:5" ht="15" customHeight="1" x14ac:dyDescent="0.25">
      <c r="B219" s="82"/>
      <c r="C219" s="45" t="s">
        <v>25</v>
      </c>
      <c r="D219" s="44">
        <v>2</v>
      </c>
      <c r="E219" s="43">
        <v>2.2075055187637969E-3</v>
      </c>
    </row>
    <row r="220" spans="2:5" ht="15" customHeight="1" x14ac:dyDescent="0.25">
      <c r="B220" s="82"/>
      <c r="C220" s="45" t="s">
        <v>32</v>
      </c>
      <c r="D220" s="44">
        <v>3</v>
      </c>
      <c r="E220" s="43">
        <v>3.3112582781456954E-3</v>
      </c>
    </row>
    <row r="221" spans="2:5" ht="15" customHeight="1" x14ac:dyDescent="0.25">
      <c r="B221" s="82"/>
      <c r="C221" s="45" t="s">
        <v>37</v>
      </c>
      <c r="D221" s="44">
        <v>11</v>
      </c>
      <c r="E221" s="43">
        <v>1.2141280353200883E-2</v>
      </c>
    </row>
    <row r="222" spans="2:5" ht="15" customHeight="1" x14ac:dyDescent="0.25">
      <c r="B222" s="82"/>
      <c r="C222" s="45" t="s">
        <v>55</v>
      </c>
      <c r="D222" s="44">
        <v>5</v>
      </c>
      <c r="E222" s="43">
        <v>5.5187637969094927E-3</v>
      </c>
    </row>
    <row r="223" spans="2:5" ht="15" customHeight="1" x14ac:dyDescent="0.25">
      <c r="B223" s="82"/>
      <c r="C223" s="45" t="s">
        <v>44</v>
      </c>
      <c r="D223" s="44">
        <v>4</v>
      </c>
      <c r="E223" s="43">
        <v>4.4150110375275938E-3</v>
      </c>
    </row>
    <row r="224" spans="2:5" ht="15" customHeight="1" x14ac:dyDescent="0.25">
      <c r="B224" s="82"/>
      <c r="C224" s="45" t="s">
        <v>28</v>
      </c>
      <c r="D224" s="44">
        <v>1</v>
      </c>
      <c r="E224" s="43">
        <v>1.1037527593818985E-3</v>
      </c>
    </row>
    <row r="225" spans="2:5" ht="15" customHeight="1" x14ac:dyDescent="0.25">
      <c r="B225" s="82"/>
      <c r="C225" s="45" t="s">
        <v>31</v>
      </c>
      <c r="D225" s="44">
        <v>2</v>
      </c>
      <c r="E225" s="43">
        <v>2.2075055187637969E-3</v>
      </c>
    </row>
    <row r="226" spans="2:5" ht="15" customHeight="1" x14ac:dyDescent="0.25">
      <c r="B226" s="82"/>
      <c r="C226" s="45" t="s">
        <v>52</v>
      </c>
      <c r="D226" s="44">
        <v>8</v>
      </c>
      <c r="E226" s="43">
        <v>8.8300220750551876E-3</v>
      </c>
    </row>
    <row r="227" spans="2:5" ht="15" customHeight="1" x14ac:dyDescent="0.25">
      <c r="B227" s="82"/>
      <c r="C227" s="45" t="s">
        <v>50</v>
      </c>
      <c r="D227" s="44">
        <v>2</v>
      </c>
      <c r="E227" s="43">
        <v>2.2075055187637969E-3</v>
      </c>
    </row>
    <row r="228" spans="2:5" ht="15" customHeight="1" x14ac:dyDescent="0.25">
      <c r="B228" s="82"/>
      <c r="C228" s="45" t="s">
        <v>26</v>
      </c>
      <c r="D228" s="44">
        <v>2</v>
      </c>
      <c r="E228" s="43">
        <v>2.2075055187637969E-3</v>
      </c>
    </row>
    <row r="229" spans="2:5" ht="15" customHeight="1" x14ac:dyDescent="0.25">
      <c r="B229" s="82"/>
      <c r="C229" s="45" t="s">
        <v>22</v>
      </c>
      <c r="D229" s="44">
        <v>1</v>
      </c>
      <c r="E229" s="43">
        <v>1.1037527593818985E-3</v>
      </c>
    </row>
    <row r="230" spans="2:5" ht="15" customHeight="1" x14ac:dyDescent="0.25">
      <c r="B230" s="82"/>
      <c r="C230" s="45" t="s">
        <v>40</v>
      </c>
      <c r="D230" s="44">
        <v>2</v>
      </c>
      <c r="E230" s="43">
        <v>2.2075055187637969E-3</v>
      </c>
    </row>
    <row r="231" spans="2:5" ht="15" customHeight="1" x14ac:dyDescent="0.25">
      <c r="B231" s="82"/>
      <c r="C231" s="45" t="s">
        <v>48</v>
      </c>
      <c r="D231" s="44">
        <v>2</v>
      </c>
      <c r="E231" s="43">
        <v>2.2075055187637969E-3</v>
      </c>
    </row>
    <row r="232" spans="2:5" ht="15" customHeight="1" x14ac:dyDescent="0.25">
      <c r="B232" s="82"/>
      <c r="C232" s="45" t="s">
        <v>57</v>
      </c>
      <c r="D232" s="44">
        <v>31</v>
      </c>
      <c r="E232" s="43">
        <v>3.4216335540838853E-2</v>
      </c>
    </row>
    <row r="233" spans="2:5" ht="15" customHeight="1" x14ac:dyDescent="0.25">
      <c r="B233" s="82"/>
      <c r="C233" s="45" t="s">
        <v>24</v>
      </c>
      <c r="D233" s="44">
        <v>3</v>
      </c>
      <c r="E233" s="43">
        <v>3.3112582781456954E-3</v>
      </c>
    </row>
    <row r="234" spans="2:5" ht="15" customHeight="1" x14ac:dyDescent="0.25">
      <c r="B234" s="82"/>
      <c r="C234" s="45" t="s">
        <v>39</v>
      </c>
      <c r="D234" s="44">
        <v>1</v>
      </c>
      <c r="E234" s="43">
        <v>1.1037527593818985E-3</v>
      </c>
    </row>
    <row r="235" spans="2:5" ht="15" customHeight="1" x14ac:dyDescent="0.25">
      <c r="B235" s="82"/>
      <c r="C235" s="45" t="s">
        <v>38</v>
      </c>
      <c r="D235" s="44">
        <v>1</v>
      </c>
      <c r="E235" s="43">
        <v>1.1037527593818985E-3</v>
      </c>
    </row>
    <row r="236" spans="2:5" ht="15" customHeight="1" x14ac:dyDescent="0.25">
      <c r="B236" s="82"/>
      <c r="C236" s="45" t="s">
        <v>36</v>
      </c>
      <c r="D236" s="44">
        <v>1</v>
      </c>
      <c r="E236" s="43">
        <v>1.1037527593818985E-3</v>
      </c>
    </row>
    <row r="237" spans="2:5" ht="15" customHeight="1" x14ac:dyDescent="0.25">
      <c r="B237" s="83"/>
      <c r="C237" s="42" t="s">
        <v>20</v>
      </c>
      <c r="D237" s="41">
        <v>156</v>
      </c>
      <c r="E237" s="40">
        <v>0.17218543046357615</v>
      </c>
    </row>
    <row r="238" spans="2:5" ht="15" customHeight="1" x14ac:dyDescent="0.25">
      <c r="B238" s="81" t="s">
        <v>124</v>
      </c>
      <c r="C238" s="45" t="s">
        <v>58</v>
      </c>
      <c r="D238" s="44">
        <v>1</v>
      </c>
      <c r="E238" s="43">
        <v>1.1037527593818985E-3</v>
      </c>
    </row>
    <row r="239" spans="2:5" ht="15" customHeight="1" x14ac:dyDescent="0.25">
      <c r="B239" s="82"/>
      <c r="C239" s="45" t="s">
        <v>43</v>
      </c>
      <c r="D239" s="44">
        <v>1</v>
      </c>
      <c r="E239" s="43">
        <v>1.1037527593818985E-3</v>
      </c>
    </row>
    <row r="240" spans="2:5" ht="15" customHeight="1" x14ac:dyDescent="0.25">
      <c r="B240" s="83"/>
      <c r="C240" s="42" t="s">
        <v>20</v>
      </c>
      <c r="D240" s="41">
        <v>2</v>
      </c>
      <c r="E240" s="40">
        <v>2.2075055187637969E-3</v>
      </c>
    </row>
    <row r="241" spans="2:5" ht="15" customHeight="1" x14ac:dyDescent="0.25">
      <c r="B241" s="81" t="s">
        <v>123</v>
      </c>
      <c r="C241" s="45" t="s">
        <v>56</v>
      </c>
      <c r="D241" s="44">
        <v>1</v>
      </c>
      <c r="E241" s="43">
        <v>1.1037527593818985E-3</v>
      </c>
    </row>
    <row r="242" spans="2:5" ht="15" customHeight="1" x14ac:dyDescent="0.25">
      <c r="B242" s="82"/>
      <c r="C242" s="45" t="s">
        <v>45</v>
      </c>
      <c r="D242" s="44">
        <v>1</v>
      </c>
      <c r="E242" s="43">
        <v>1.1037527593818985E-3</v>
      </c>
    </row>
    <row r="243" spans="2:5" ht="15" customHeight="1" x14ac:dyDescent="0.25">
      <c r="B243" s="82"/>
      <c r="C243" s="45" t="s">
        <v>47</v>
      </c>
      <c r="D243" s="44">
        <v>1</v>
      </c>
      <c r="E243" s="43">
        <v>1.1037527593818985E-3</v>
      </c>
    </row>
    <row r="244" spans="2:5" ht="15" customHeight="1" x14ac:dyDescent="0.25">
      <c r="B244" s="82"/>
      <c r="C244" s="45" t="s">
        <v>55</v>
      </c>
      <c r="D244" s="44">
        <v>1</v>
      </c>
      <c r="E244" s="43">
        <v>1.1037527593818985E-3</v>
      </c>
    </row>
    <row r="245" spans="2:5" ht="15" customHeight="1" x14ac:dyDescent="0.25">
      <c r="B245" s="83"/>
      <c r="C245" s="42" t="s">
        <v>20</v>
      </c>
      <c r="D245" s="41">
        <v>4</v>
      </c>
      <c r="E245" s="40">
        <v>4.4150110375275938E-3</v>
      </c>
    </row>
    <row r="246" spans="2:5" ht="15" customHeight="1" x14ac:dyDescent="0.25">
      <c r="B246" s="81" t="s">
        <v>122</v>
      </c>
      <c r="C246" s="45" t="s">
        <v>56</v>
      </c>
      <c r="D246" s="44">
        <v>1</v>
      </c>
      <c r="E246" s="43">
        <v>1.1037527593818985E-3</v>
      </c>
    </row>
    <row r="247" spans="2:5" ht="15" customHeight="1" x14ac:dyDescent="0.25">
      <c r="B247" s="83"/>
      <c r="C247" s="42" t="s">
        <v>20</v>
      </c>
      <c r="D247" s="41">
        <v>1</v>
      </c>
      <c r="E247" s="40">
        <v>1.1037527593818985E-3</v>
      </c>
    </row>
    <row r="248" spans="2:5" ht="15" customHeight="1" x14ac:dyDescent="0.25">
      <c r="B248" s="81" t="s">
        <v>121</v>
      </c>
      <c r="C248" s="45" t="s">
        <v>58</v>
      </c>
      <c r="D248" s="44">
        <v>2</v>
      </c>
      <c r="E248" s="43">
        <v>2.2075055187637969E-3</v>
      </c>
    </row>
    <row r="249" spans="2:5" ht="15" customHeight="1" x14ac:dyDescent="0.25">
      <c r="B249" s="82"/>
      <c r="C249" s="45" t="s">
        <v>56</v>
      </c>
      <c r="D249" s="44">
        <v>1</v>
      </c>
      <c r="E249" s="43">
        <v>1.1037527593818985E-3</v>
      </c>
    </row>
    <row r="250" spans="2:5" ht="15" customHeight="1" x14ac:dyDescent="0.25">
      <c r="B250" s="82"/>
      <c r="C250" s="45" t="s">
        <v>55</v>
      </c>
      <c r="D250" s="44">
        <v>1</v>
      </c>
      <c r="E250" s="43">
        <v>1.1037527593818985E-3</v>
      </c>
    </row>
    <row r="251" spans="2:5" ht="15" customHeight="1" x14ac:dyDescent="0.25">
      <c r="B251" s="82"/>
      <c r="C251" s="45" t="s">
        <v>52</v>
      </c>
      <c r="D251" s="44">
        <v>1</v>
      </c>
      <c r="E251" s="43">
        <v>1.1037527593818985E-3</v>
      </c>
    </row>
    <row r="252" spans="2:5" ht="15" customHeight="1" x14ac:dyDescent="0.25">
      <c r="B252" s="82"/>
      <c r="C252" s="45" t="s">
        <v>57</v>
      </c>
      <c r="D252" s="44">
        <v>1</v>
      </c>
      <c r="E252" s="43">
        <v>1.1037527593818985E-3</v>
      </c>
    </row>
    <row r="253" spans="2:5" ht="15" customHeight="1" x14ac:dyDescent="0.25">
      <c r="B253" s="83"/>
      <c r="C253" s="42" t="s">
        <v>20</v>
      </c>
      <c r="D253" s="41">
        <v>6</v>
      </c>
      <c r="E253" s="40">
        <v>6.6225165562913907E-3</v>
      </c>
    </row>
    <row r="254" spans="2:5" ht="15" customHeight="1" x14ac:dyDescent="0.25">
      <c r="B254" s="81" t="s">
        <v>120</v>
      </c>
      <c r="C254" s="45" t="s">
        <v>58</v>
      </c>
      <c r="D254" s="44">
        <v>12</v>
      </c>
      <c r="E254" s="43">
        <v>1.3245033112582781E-2</v>
      </c>
    </row>
    <row r="255" spans="2:5" ht="15" customHeight="1" x14ac:dyDescent="0.25">
      <c r="B255" s="82"/>
      <c r="C255" s="45" t="s">
        <v>51</v>
      </c>
      <c r="D255" s="44">
        <v>1</v>
      </c>
      <c r="E255" s="43">
        <v>1.1037527593818985E-3</v>
      </c>
    </row>
    <row r="256" spans="2:5" ht="15" customHeight="1" x14ac:dyDescent="0.25">
      <c r="B256" s="82"/>
      <c r="C256" s="45" t="s">
        <v>34</v>
      </c>
      <c r="D256" s="44">
        <v>1</v>
      </c>
      <c r="E256" s="43">
        <v>1.1037527593818985E-3</v>
      </c>
    </row>
    <row r="257" spans="2:5" ht="15" customHeight="1" x14ac:dyDescent="0.25">
      <c r="B257" s="82"/>
      <c r="C257" s="45" t="s">
        <v>49</v>
      </c>
      <c r="D257" s="44">
        <v>1</v>
      </c>
      <c r="E257" s="43">
        <v>1.1037527593818985E-3</v>
      </c>
    </row>
    <row r="258" spans="2:5" ht="15" customHeight="1" x14ac:dyDescent="0.25">
      <c r="B258" s="82"/>
      <c r="C258" s="45" t="s">
        <v>37</v>
      </c>
      <c r="D258" s="44">
        <v>1</v>
      </c>
      <c r="E258" s="43">
        <v>1.1037527593818985E-3</v>
      </c>
    </row>
    <row r="259" spans="2:5" ht="15" customHeight="1" x14ac:dyDescent="0.25">
      <c r="B259" s="82"/>
      <c r="C259" s="45" t="s">
        <v>55</v>
      </c>
      <c r="D259" s="44">
        <v>2</v>
      </c>
      <c r="E259" s="43">
        <v>2.2075055187637969E-3</v>
      </c>
    </row>
    <row r="260" spans="2:5" ht="15" customHeight="1" x14ac:dyDescent="0.25">
      <c r="B260" s="82"/>
      <c r="C260" s="45" t="s">
        <v>52</v>
      </c>
      <c r="D260" s="44">
        <v>1</v>
      </c>
      <c r="E260" s="43">
        <v>1.1037527593818985E-3</v>
      </c>
    </row>
    <row r="261" spans="2:5" ht="15" customHeight="1" x14ac:dyDescent="0.25">
      <c r="B261" s="82"/>
      <c r="C261" s="45" t="s">
        <v>26</v>
      </c>
      <c r="D261" s="44">
        <v>1</v>
      </c>
      <c r="E261" s="43">
        <v>1.1037527593818985E-3</v>
      </c>
    </row>
    <row r="262" spans="2:5" ht="15" customHeight="1" x14ac:dyDescent="0.25">
      <c r="B262" s="82"/>
      <c r="C262" s="45" t="s">
        <v>22</v>
      </c>
      <c r="D262" s="44">
        <v>1</v>
      </c>
      <c r="E262" s="43">
        <v>1.1037527593818985E-3</v>
      </c>
    </row>
    <row r="263" spans="2:5" ht="15" customHeight="1" x14ac:dyDescent="0.25">
      <c r="B263" s="82"/>
      <c r="C263" s="45" t="s">
        <v>57</v>
      </c>
      <c r="D263" s="44">
        <v>11</v>
      </c>
      <c r="E263" s="43">
        <v>1.2141280353200883E-2</v>
      </c>
    </row>
    <row r="264" spans="2:5" ht="15" customHeight="1" x14ac:dyDescent="0.25">
      <c r="B264" s="82"/>
      <c r="C264" s="45" t="s">
        <v>38</v>
      </c>
      <c r="D264" s="44">
        <v>1</v>
      </c>
      <c r="E264" s="43">
        <v>1.1037527593818985E-3</v>
      </c>
    </row>
    <row r="265" spans="2:5" ht="15" customHeight="1" x14ac:dyDescent="0.25">
      <c r="B265" s="82"/>
      <c r="C265" s="45" t="s">
        <v>36</v>
      </c>
      <c r="D265" s="44">
        <v>3</v>
      </c>
      <c r="E265" s="43">
        <v>3.3112582781456954E-3</v>
      </c>
    </row>
    <row r="266" spans="2:5" ht="15" customHeight="1" x14ac:dyDescent="0.25">
      <c r="B266" s="83"/>
      <c r="C266" s="42" t="s">
        <v>20</v>
      </c>
      <c r="D266" s="41">
        <v>36</v>
      </c>
      <c r="E266" s="40">
        <v>3.9735099337748346E-2</v>
      </c>
    </row>
    <row r="267" spans="2:5" ht="15" customHeight="1" x14ac:dyDescent="0.25">
      <c r="B267" s="81" t="s">
        <v>119</v>
      </c>
      <c r="C267" s="45" t="s">
        <v>185</v>
      </c>
      <c r="D267" s="44">
        <v>1</v>
      </c>
      <c r="E267" s="43">
        <v>1.1037527593818985E-3</v>
      </c>
    </row>
    <row r="268" spans="2:5" ht="15" customHeight="1" x14ac:dyDescent="0.25">
      <c r="B268" s="82"/>
      <c r="C268" s="45" t="s">
        <v>36</v>
      </c>
      <c r="D268" s="44">
        <v>1</v>
      </c>
      <c r="E268" s="43">
        <v>1.1037527593818985E-3</v>
      </c>
    </row>
    <row r="269" spans="2:5" ht="15" customHeight="1" x14ac:dyDescent="0.25">
      <c r="B269" s="83"/>
      <c r="C269" s="42" t="s">
        <v>20</v>
      </c>
      <c r="D269" s="41">
        <v>2</v>
      </c>
      <c r="E269" s="40">
        <v>2.2075055187637969E-3</v>
      </c>
    </row>
    <row r="270" spans="2:5" ht="15" customHeight="1" x14ac:dyDescent="0.25">
      <c r="B270" s="81" t="s">
        <v>190</v>
      </c>
      <c r="C270" s="45" t="s">
        <v>58</v>
      </c>
      <c r="D270" s="44">
        <v>1</v>
      </c>
      <c r="E270" s="43">
        <v>1.1037527593818985E-3</v>
      </c>
    </row>
    <row r="271" spans="2:5" ht="15" customHeight="1" x14ac:dyDescent="0.25">
      <c r="B271" s="82"/>
      <c r="C271" s="45" t="s">
        <v>36</v>
      </c>
      <c r="D271" s="44">
        <v>1</v>
      </c>
      <c r="E271" s="43">
        <v>1.1037527593818985E-3</v>
      </c>
    </row>
    <row r="272" spans="2:5" ht="15" customHeight="1" x14ac:dyDescent="0.25">
      <c r="B272" s="83"/>
      <c r="C272" s="42" t="s">
        <v>20</v>
      </c>
      <c r="D272" s="41">
        <v>2</v>
      </c>
      <c r="E272" s="40">
        <v>2.2075055187637969E-3</v>
      </c>
    </row>
    <row r="273" spans="2:5" ht="15" customHeight="1" x14ac:dyDescent="0.25">
      <c r="B273" s="81" t="s">
        <v>191</v>
      </c>
      <c r="C273" s="45" t="s">
        <v>57</v>
      </c>
      <c r="D273" s="44">
        <v>1</v>
      </c>
      <c r="E273" s="43">
        <v>1.1037527593818985E-3</v>
      </c>
    </row>
    <row r="274" spans="2:5" ht="15" customHeight="1" x14ac:dyDescent="0.25">
      <c r="B274" s="83"/>
      <c r="C274" s="42" t="s">
        <v>20</v>
      </c>
      <c r="D274" s="41">
        <v>1</v>
      </c>
      <c r="E274" s="40">
        <v>1.1037527593818985E-3</v>
      </c>
    </row>
    <row r="275" spans="2:5" ht="15" customHeight="1" x14ac:dyDescent="0.25">
      <c r="B275" s="84" t="s">
        <v>20</v>
      </c>
      <c r="C275" s="85"/>
      <c r="D275" s="39">
        <v>906</v>
      </c>
      <c r="E275" s="38">
        <v>1</v>
      </c>
    </row>
    <row r="277" spans="2:5" ht="15" customHeight="1" x14ac:dyDescent="0.25">
      <c r="B277" s="19" t="s">
        <v>186</v>
      </c>
    </row>
    <row r="278" spans="2:5" ht="15" customHeight="1" x14ac:dyDescent="0.25">
      <c r="B278" s="21" t="s">
        <v>19</v>
      </c>
    </row>
    <row r="279" spans="2:5" ht="15" customHeight="1" x14ac:dyDescent="0.25">
      <c r="B279" s="20" t="s">
        <v>18</v>
      </c>
    </row>
    <row r="280" spans="2:5" ht="15" customHeight="1" x14ac:dyDescent="0.25">
      <c r="B280" s="19" t="s">
        <v>17</v>
      </c>
    </row>
    <row r="281" spans="2:5" ht="15" customHeight="1" x14ac:dyDescent="0.25">
      <c r="B281" s="19" t="s">
        <v>187</v>
      </c>
    </row>
  </sheetData>
  <mergeCells count="25">
    <mergeCell ref="B10:B17"/>
    <mergeCell ref="B18:B24"/>
    <mergeCell ref="B25:B33"/>
    <mergeCell ref="B34:B44"/>
    <mergeCell ref="B45:B55"/>
    <mergeCell ref="B248:B253"/>
    <mergeCell ref="B254:B266"/>
    <mergeCell ref="B267:B269"/>
    <mergeCell ref="B270:B272"/>
    <mergeCell ref="B273:B274"/>
    <mergeCell ref="B275:C275"/>
    <mergeCell ref="B56:B63"/>
    <mergeCell ref="B64:B82"/>
    <mergeCell ref="B83:B111"/>
    <mergeCell ref="B112:B118"/>
    <mergeCell ref="B119:B131"/>
    <mergeCell ref="B132:B146"/>
    <mergeCell ref="B147:B181"/>
    <mergeCell ref="B182:B189"/>
    <mergeCell ref="B190:B206"/>
    <mergeCell ref="B207:B237"/>
    <mergeCell ref="B238:B240"/>
    <mergeCell ref="B241:B245"/>
    <mergeCell ref="B246:B247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73"/>
  <sheetViews>
    <sheetView zoomScale="90" zoomScaleNormal="90" zoomScaleSheetLayoutView="85" workbookViewId="0">
      <selection activeCell="C9" sqref="C9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105</v>
      </c>
      <c r="C9" s="49" t="s">
        <v>141</v>
      </c>
      <c r="D9" s="48" t="s">
        <v>60</v>
      </c>
      <c r="E9" s="47" t="s">
        <v>59</v>
      </c>
    </row>
    <row r="10" spans="1:5" ht="15" customHeight="1" x14ac:dyDescent="0.25">
      <c r="B10" s="81" t="s">
        <v>68</v>
      </c>
      <c r="C10" s="45" t="s">
        <v>136</v>
      </c>
      <c r="D10" s="44">
        <v>1</v>
      </c>
      <c r="E10" s="43">
        <v>1.1061946902654867E-3</v>
      </c>
    </row>
    <row r="11" spans="1:5" ht="15" customHeight="1" x14ac:dyDescent="0.25">
      <c r="B11" s="82"/>
      <c r="C11" s="45" t="s">
        <v>125</v>
      </c>
      <c r="D11" s="44">
        <v>1</v>
      </c>
      <c r="E11" s="43">
        <v>1.1061946902654867E-3</v>
      </c>
    </row>
    <row r="12" spans="1:5" ht="15" customHeight="1" x14ac:dyDescent="0.25">
      <c r="B12" s="83"/>
      <c r="C12" s="42" t="s">
        <v>20</v>
      </c>
      <c r="D12" s="41">
        <v>2</v>
      </c>
      <c r="E12" s="40">
        <v>2.2123893805309734E-3</v>
      </c>
    </row>
    <row r="13" spans="1:5" ht="15" customHeight="1" x14ac:dyDescent="0.25">
      <c r="B13" s="81" t="s">
        <v>100</v>
      </c>
      <c r="C13" s="45" t="s">
        <v>139</v>
      </c>
      <c r="D13" s="44">
        <v>1</v>
      </c>
      <c r="E13" s="43">
        <v>1.1061946902654867E-3</v>
      </c>
    </row>
    <row r="14" spans="1:5" ht="15" customHeight="1" x14ac:dyDescent="0.25">
      <c r="B14" s="82"/>
      <c r="C14" s="45" t="s">
        <v>137</v>
      </c>
      <c r="D14" s="44">
        <v>2</v>
      </c>
      <c r="E14" s="43">
        <v>2.2123893805309734E-3</v>
      </c>
    </row>
    <row r="15" spans="1:5" ht="15" customHeight="1" x14ac:dyDescent="0.25">
      <c r="B15" s="82"/>
      <c r="C15" s="45" t="s">
        <v>136</v>
      </c>
      <c r="D15" s="44">
        <v>1</v>
      </c>
      <c r="E15" s="43">
        <v>1.1061946902654867E-3</v>
      </c>
    </row>
    <row r="16" spans="1:5" ht="15" customHeight="1" x14ac:dyDescent="0.25">
      <c r="B16" s="82"/>
      <c r="C16" s="45" t="s">
        <v>135</v>
      </c>
      <c r="D16" s="44">
        <v>1</v>
      </c>
      <c r="E16" s="43">
        <v>1.1061946902654867E-3</v>
      </c>
    </row>
    <row r="17" spans="2:5" ht="15" customHeight="1" x14ac:dyDescent="0.25">
      <c r="B17" s="82"/>
      <c r="C17" s="45" t="s">
        <v>134</v>
      </c>
      <c r="D17" s="44">
        <v>1</v>
      </c>
      <c r="E17" s="43">
        <v>1.1061946902654867E-3</v>
      </c>
    </row>
    <row r="18" spans="2:5" ht="15" customHeight="1" x14ac:dyDescent="0.25">
      <c r="B18" s="82"/>
      <c r="C18" s="45" t="s">
        <v>133</v>
      </c>
      <c r="D18" s="44">
        <v>1</v>
      </c>
      <c r="E18" s="43">
        <v>1.1061946902654867E-3</v>
      </c>
    </row>
    <row r="19" spans="2:5" ht="15" customHeight="1" x14ac:dyDescent="0.25">
      <c r="B19" s="82"/>
      <c r="C19" s="45" t="s">
        <v>132</v>
      </c>
      <c r="D19" s="44">
        <v>10</v>
      </c>
      <c r="E19" s="43">
        <v>1.1061946902654867E-2</v>
      </c>
    </row>
    <row r="20" spans="2:5" ht="15" customHeight="1" x14ac:dyDescent="0.25">
      <c r="B20" s="82"/>
      <c r="C20" s="45" t="s">
        <v>131</v>
      </c>
      <c r="D20" s="44">
        <v>1</v>
      </c>
      <c r="E20" s="43">
        <v>1.1061946902654867E-3</v>
      </c>
    </row>
    <row r="21" spans="2:5" ht="15" customHeight="1" x14ac:dyDescent="0.25">
      <c r="B21" s="82"/>
      <c r="C21" s="45" t="s">
        <v>130</v>
      </c>
      <c r="D21" s="44">
        <v>3</v>
      </c>
      <c r="E21" s="43">
        <v>3.3185840707964601E-3</v>
      </c>
    </row>
    <row r="22" spans="2:5" ht="15" customHeight="1" x14ac:dyDescent="0.25">
      <c r="B22" s="82"/>
      <c r="C22" s="45" t="s">
        <v>129</v>
      </c>
      <c r="D22" s="44">
        <v>1</v>
      </c>
      <c r="E22" s="43">
        <v>1.1061946902654867E-3</v>
      </c>
    </row>
    <row r="23" spans="2:5" ht="15" customHeight="1" x14ac:dyDescent="0.25">
      <c r="B23" s="82"/>
      <c r="C23" s="45" t="s">
        <v>128</v>
      </c>
      <c r="D23" s="44">
        <v>27</v>
      </c>
      <c r="E23" s="43">
        <v>2.9867256637168143E-2</v>
      </c>
    </row>
    <row r="24" spans="2:5" ht="15" customHeight="1" x14ac:dyDescent="0.25">
      <c r="B24" s="82"/>
      <c r="C24" s="45" t="s">
        <v>127</v>
      </c>
      <c r="D24" s="44">
        <v>1</v>
      </c>
      <c r="E24" s="43">
        <v>1.1061946902654867E-3</v>
      </c>
    </row>
    <row r="25" spans="2:5" ht="15" customHeight="1" x14ac:dyDescent="0.25">
      <c r="B25" s="82"/>
      <c r="C25" s="45" t="s">
        <v>126</v>
      </c>
      <c r="D25" s="44">
        <v>8</v>
      </c>
      <c r="E25" s="43">
        <v>8.8495575221238937E-3</v>
      </c>
    </row>
    <row r="26" spans="2:5" ht="15" customHeight="1" x14ac:dyDescent="0.25">
      <c r="B26" s="82"/>
      <c r="C26" s="45" t="s">
        <v>125</v>
      </c>
      <c r="D26" s="44">
        <v>10</v>
      </c>
      <c r="E26" s="43">
        <v>1.1061946902654867E-2</v>
      </c>
    </row>
    <row r="27" spans="2:5" ht="15" customHeight="1" x14ac:dyDescent="0.25">
      <c r="B27" s="83"/>
      <c r="C27" s="42" t="s">
        <v>20</v>
      </c>
      <c r="D27" s="41">
        <v>68</v>
      </c>
      <c r="E27" s="40">
        <v>7.5221238938053103E-2</v>
      </c>
    </row>
    <row r="28" spans="2:5" ht="15" customHeight="1" x14ac:dyDescent="0.25">
      <c r="B28" s="81" t="s">
        <v>90</v>
      </c>
      <c r="C28" s="45" t="s">
        <v>133</v>
      </c>
      <c r="D28" s="44">
        <v>2</v>
      </c>
      <c r="E28" s="43">
        <v>2.2123893805309734E-3</v>
      </c>
    </row>
    <row r="29" spans="2:5" ht="15" customHeight="1" x14ac:dyDescent="0.25">
      <c r="B29" s="82"/>
      <c r="C29" s="45" t="s">
        <v>132</v>
      </c>
      <c r="D29" s="44">
        <v>7</v>
      </c>
      <c r="E29" s="43">
        <v>7.743362831858407E-3</v>
      </c>
    </row>
    <row r="30" spans="2:5" ht="15" customHeight="1" x14ac:dyDescent="0.25">
      <c r="B30" s="82"/>
      <c r="C30" s="45" t="s">
        <v>128</v>
      </c>
      <c r="D30" s="44">
        <v>3</v>
      </c>
      <c r="E30" s="43">
        <v>3.3185840707964601E-3</v>
      </c>
    </row>
    <row r="31" spans="2:5" ht="15" customHeight="1" x14ac:dyDescent="0.25">
      <c r="B31" s="82"/>
      <c r="C31" s="45" t="s">
        <v>127</v>
      </c>
      <c r="D31" s="44">
        <v>1</v>
      </c>
      <c r="E31" s="43">
        <v>1.1061946902654867E-3</v>
      </c>
    </row>
    <row r="32" spans="2:5" ht="15" customHeight="1" x14ac:dyDescent="0.25">
      <c r="B32" s="82"/>
      <c r="C32" s="45" t="s">
        <v>126</v>
      </c>
      <c r="D32" s="44">
        <v>1</v>
      </c>
      <c r="E32" s="43">
        <v>1.1061946902654867E-3</v>
      </c>
    </row>
    <row r="33" spans="2:5" ht="15" customHeight="1" x14ac:dyDescent="0.25">
      <c r="B33" s="82"/>
      <c r="C33" s="45" t="s">
        <v>120</v>
      </c>
      <c r="D33" s="44">
        <v>2</v>
      </c>
      <c r="E33" s="43">
        <v>2.2123893805309734E-3</v>
      </c>
    </row>
    <row r="34" spans="2:5" ht="15" customHeight="1" x14ac:dyDescent="0.25">
      <c r="B34" s="83"/>
      <c r="C34" s="42" t="s">
        <v>20</v>
      </c>
      <c r="D34" s="41">
        <v>16</v>
      </c>
      <c r="E34" s="40">
        <v>1.7699115044247787E-2</v>
      </c>
    </row>
    <row r="35" spans="2:5" ht="15" customHeight="1" x14ac:dyDescent="0.25">
      <c r="B35" s="81" t="s">
        <v>66</v>
      </c>
      <c r="C35" s="45" t="s">
        <v>137</v>
      </c>
      <c r="D35" s="44">
        <v>1</v>
      </c>
      <c r="E35" s="43">
        <v>1.1061946902654867E-3</v>
      </c>
    </row>
    <row r="36" spans="2:5" ht="15" customHeight="1" x14ac:dyDescent="0.25">
      <c r="B36" s="82"/>
      <c r="C36" s="45" t="s">
        <v>132</v>
      </c>
      <c r="D36" s="44">
        <v>1</v>
      </c>
      <c r="E36" s="43">
        <v>1.1061946902654867E-3</v>
      </c>
    </row>
    <row r="37" spans="2:5" ht="15" customHeight="1" x14ac:dyDescent="0.25">
      <c r="B37" s="82"/>
      <c r="C37" s="45" t="s">
        <v>128</v>
      </c>
      <c r="D37" s="44">
        <v>2</v>
      </c>
      <c r="E37" s="43">
        <v>2.2123893805309734E-3</v>
      </c>
    </row>
    <row r="38" spans="2:5" ht="15" customHeight="1" x14ac:dyDescent="0.25">
      <c r="B38" s="82"/>
      <c r="C38" s="45" t="s">
        <v>125</v>
      </c>
      <c r="D38" s="44">
        <v>1</v>
      </c>
      <c r="E38" s="43">
        <v>1.1061946902654867E-3</v>
      </c>
    </row>
    <row r="39" spans="2:5" ht="15" customHeight="1" x14ac:dyDescent="0.25">
      <c r="B39" s="82"/>
      <c r="C39" s="45" t="s">
        <v>120</v>
      </c>
      <c r="D39" s="44">
        <v>1</v>
      </c>
      <c r="E39" s="43">
        <v>1.1061946902654867E-3</v>
      </c>
    </row>
    <row r="40" spans="2:5" ht="15" customHeight="1" x14ac:dyDescent="0.25">
      <c r="B40" s="83"/>
      <c r="C40" s="42" t="s">
        <v>20</v>
      </c>
      <c r="D40" s="41">
        <v>6</v>
      </c>
      <c r="E40" s="40">
        <v>6.6371681415929203E-3</v>
      </c>
    </row>
    <row r="41" spans="2:5" ht="15" customHeight="1" x14ac:dyDescent="0.25">
      <c r="B41" s="81" t="s">
        <v>63</v>
      </c>
      <c r="C41" s="45" t="s">
        <v>128</v>
      </c>
      <c r="D41" s="44">
        <v>1</v>
      </c>
      <c r="E41" s="43">
        <v>1.1061946902654867E-3</v>
      </c>
    </row>
    <row r="42" spans="2:5" ht="15" customHeight="1" x14ac:dyDescent="0.25">
      <c r="B42" s="83"/>
      <c r="C42" s="42" t="s">
        <v>20</v>
      </c>
      <c r="D42" s="41">
        <v>1</v>
      </c>
      <c r="E42" s="40">
        <v>1.1061946902654867E-3</v>
      </c>
    </row>
    <row r="43" spans="2:5" ht="15" customHeight="1" x14ac:dyDescent="0.25">
      <c r="B43" s="81" t="s">
        <v>67</v>
      </c>
      <c r="C43" s="45" t="s">
        <v>137</v>
      </c>
      <c r="D43" s="44">
        <v>1</v>
      </c>
      <c r="E43" s="43">
        <v>1.1061946902654867E-3</v>
      </c>
    </row>
    <row r="44" spans="2:5" ht="15" customHeight="1" x14ac:dyDescent="0.25">
      <c r="B44" s="82"/>
      <c r="C44" s="45" t="s">
        <v>129</v>
      </c>
      <c r="D44" s="44">
        <v>1</v>
      </c>
      <c r="E44" s="43">
        <v>1.1061946902654867E-3</v>
      </c>
    </row>
    <row r="45" spans="2:5" ht="15" customHeight="1" x14ac:dyDescent="0.25">
      <c r="B45" s="82"/>
      <c r="C45" s="45" t="s">
        <v>126</v>
      </c>
      <c r="D45" s="44">
        <v>1</v>
      </c>
      <c r="E45" s="43">
        <v>1.1061946902654867E-3</v>
      </c>
    </row>
    <row r="46" spans="2:5" ht="15" customHeight="1" x14ac:dyDescent="0.25">
      <c r="B46" s="82"/>
      <c r="C46" s="45" t="s">
        <v>125</v>
      </c>
      <c r="D46" s="44">
        <v>5</v>
      </c>
      <c r="E46" s="43">
        <v>5.5309734513274336E-3</v>
      </c>
    </row>
    <row r="47" spans="2:5" ht="15" customHeight="1" x14ac:dyDescent="0.25">
      <c r="B47" s="83"/>
      <c r="C47" s="42" t="s">
        <v>20</v>
      </c>
      <c r="D47" s="41">
        <v>8</v>
      </c>
      <c r="E47" s="40">
        <v>8.8495575221238937E-3</v>
      </c>
    </row>
    <row r="48" spans="2:5" ht="15" customHeight="1" x14ac:dyDescent="0.25">
      <c r="B48" s="81" t="s">
        <v>103</v>
      </c>
      <c r="C48" s="45" t="s">
        <v>137</v>
      </c>
      <c r="D48" s="44">
        <v>1</v>
      </c>
      <c r="E48" s="43">
        <v>1.1061946902654867E-3</v>
      </c>
    </row>
    <row r="49" spans="2:5" ht="15" customHeight="1" x14ac:dyDescent="0.25">
      <c r="B49" s="82"/>
      <c r="C49" s="45" t="s">
        <v>135</v>
      </c>
      <c r="D49" s="44">
        <v>1</v>
      </c>
      <c r="E49" s="43">
        <v>1.1061946902654867E-3</v>
      </c>
    </row>
    <row r="50" spans="2:5" ht="15" customHeight="1" x14ac:dyDescent="0.25">
      <c r="B50" s="82"/>
      <c r="C50" s="45" t="s">
        <v>133</v>
      </c>
      <c r="D50" s="44">
        <v>1</v>
      </c>
      <c r="E50" s="43">
        <v>1.1061946902654867E-3</v>
      </c>
    </row>
    <row r="51" spans="2:5" ht="15" customHeight="1" x14ac:dyDescent="0.25">
      <c r="B51" s="82"/>
      <c r="C51" s="45" t="s">
        <v>132</v>
      </c>
      <c r="D51" s="44">
        <v>6</v>
      </c>
      <c r="E51" s="43">
        <v>6.6371681415929203E-3</v>
      </c>
    </row>
    <row r="52" spans="2:5" ht="15" customHeight="1" x14ac:dyDescent="0.25">
      <c r="B52" s="82"/>
      <c r="C52" s="45" t="s">
        <v>128</v>
      </c>
      <c r="D52" s="44">
        <v>8</v>
      </c>
      <c r="E52" s="43">
        <v>8.8495575221238937E-3</v>
      </c>
    </row>
    <row r="53" spans="2:5" ht="15" customHeight="1" x14ac:dyDescent="0.25">
      <c r="B53" s="82"/>
      <c r="C53" s="45" t="s">
        <v>126</v>
      </c>
      <c r="D53" s="44">
        <v>3</v>
      </c>
      <c r="E53" s="43">
        <v>3.3185840707964601E-3</v>
      </c>
    </row>
    <row r="54" spans="2:5" ht="15" customHeight="1" x14ac:dyDescent="0.25">
      <c r="B54" s="82"/>
      <c r="C54" s="45" t="s">
        <v>125</v>
      </c>
      <c r="D54" s="44">
        <v>9</v>
      </c>
      <c r="E54" s="43">
        <v>9.9557522123893804E-3</v>
      </c>
    </row>
    <row r="55" spans="2:5" ht="15" customHeight="1" x14ac:dyDescent="0.25">
      <c r="B55" s="82"/>
      <c r="C55" s="45" t="s">
        <v>120</v>
      </c>
      <c r="D55" s="44">
        <v>1</v>
      </c>
      <c r="E55" s="43">
        <v>1.1061946902654867E-3</v>
      </c>
    </row>
    <row r="56" spans="2:5" ht="15" customHeight="1" x14ac:dyDescent="0.25">
      <c r="B56" s="83"/>
      <c r="C56" s="42" t="s">
        <v>20</v>
      </c>
      <c r="D56" s="41">
        <v>30</v>
      </c>
      <c r="E56" s="40">
        <v>3.3185840707964605E-2</v>
      </c>
    </row>
    <row r="57" spans="2:5" ht="15" customHeight="1" x14ac:dyDescent="0.25">
      <c r="B57" s="81" t="s">
        <v>101</v>
      </c>
      <c r="C57" s="45" t="s">
        <v>138</v>
      </c>
      <c r="D57" s="44">
        <v>1</v>
      </c>
      <c r="E57" s="43">
        <v>1.1061946902654867E-3</v>
      </c>
    </row>
    <row r="58" spans="2:5" ht="15" customHeight="1" x14ac:dyDescent="0.25">
      <c r="B58" s="82"/>
      <c r="C58" s="45" t="s">
        <v>137</v>
      </c>
      <c r="D58" s="44">
        <v>1</v>
      </c>
      <c r="E58" s="43">
        <v>1.1061946902654867E-3</v>
      </c>
    </row>
    <row r="59" spans="2:5" ht="15" customHeight="1" x14ac:dyDescent="0.25">
      <c r="B59" s="82"/>
      <c r="C59" s="45" t="s">
        <v>136</v>
      </c>
      <c r="D59" s="44">
        <v>1</v>
      </c>
      <c r="E59" s="43">
        <v>1.1061946902654867E-3</v>
      </c>
    </row>
    <row r="60" spans="2:5" ht="15" customHeight="1" x14ac:dyDescent="0.25">
      <c r="B60" s="82"/>
      <c r="C60" s="45" t="s">
        <v>133</v>
      </c>
      <c r="D60" s="44">
        <v>3</v>
      </c>
      <c r="E60" s="43">
        <v>3.3185840707964601E-3</v>
      </c>
    </row>
    <row r="61" spans="2:5" ht="15" customHeight="1" x14ac:dyDescent="0.25">
      <c r="B61" s="82"/>
      <c r="C61" s="45" t="s">
        <v>132</v>
      </c>
      <c r="D61" s="44">
        <v>6</v>
      </c>
      <c r="E61" s="43">
        <v>6.6371681415929203E-3</v>
      </c>
    </row>
    <row r="62" spans="2:5" ht="15" customHeight="1" x14ac:dyDescent="0.25">
      <c r="B62" s="82"/>
      <c r="C62" s="45" t="s">
        <v>131</v>
      </c>
      <c r="D62" s="44">
        <v>1</v>
      </c>
      <c r="E62" s="43">
        <v>1.1061946902654867E-3</v>
      </c>
    </row>
    <row r="63" spans="2:5" ht="15" customHeight="1" x14ac:dyDescent="0.25">
      <c r="B63" s="82"/>
      <c r="C63" s="45" t="s">
        <v>129</v>
      </c>
      <c r="D63" s="44">
        <v>2</v>
      </c>
      <c r="E63" s="43">
        <v>2.2123893805309734E-3</v>
      </c>
    </row>
    <row r="64" spans="2:5" ht="15" customHeight="1" x14ac:dyDescent="0.25">
      <c r="B64" s="82"/>
      <c r="C64" s="45" t="s">
        <v>128</v>
      </c>
      <c r="D64" s="44">
        <v>15</v>
      </c>
      <c r="E64" s="43">
        <v>1.6592920353982302E-2</v>
      </c>
    </row>
    <row r="65" spans="2:5" ht="15" customHeight="1" x14ac:dyDescent="0.25">
      <c r="B65" s="82"/>
      <c r="C65" s="45" t="s">
        <v>125</v>
      </c>
      <c r="D65" s="44">
        <v>8</v>
      </c>
      <c r="E65" s="43">
        <v>8.8495575221238937E-3</v>
      </c>
    </row>
    <row r="66" spans="2:5" ht="15" customHeight="1" x14ac:dyDescent="0.25">
      <c r="B66" s="82"/>
      <c r="C66" s="45" t="s">
        <v>120</v>
      </c>
      <c r="D66" s="44">
        <v>4</v>
      </c>
      <c r="E66" s="43">
        <v>4.4247787610619468E-3</v>
      </c>
    </row>
    <row r="67" spans="2:5" ht="15" customHeight="1" x14ac:dyDescent="0.25">
      <c r="B67" s="82"/>
      <c r="C67" s="45" t="s">
        <v>191</v>
      </c>
      <c r="D67" s="44">
        <v>1</v>
      </c>
      <c r="E67" s="43">
        <v>1.1061946902654867E-3</v>
      </c>
    </row>
    <row r="68" spans="2:5" ht="15" customHeight="1" x14ac:dyDescent="0.25">
      <c r="B68" s="83"/>
      <c r="C68" s="42" t="s">
        <v>20</v>
      </c>
      <c r="D68" s="41">
        <v>43</v>
      </c>
      <c r="E68" s="40">
        <v>4.7566371681415927E-2</v>
      </c>
    </row>
    <row r="69" spans="2:5" ht="15" customHeight="1" x14ac:dyDescent="0.25">
      <c r="B69" s="81" t="s">
        <v>85</v>
      </c>
      <c r="C69" s="45" t="s">
        <v>136</v>
      </c>
      <c r="D69" s="44">
        <v>1</v>
      </c>
      <c r="E69" s="43">
        <v>1.1061946902654867E-3</v>
      </c>
    </row>
    <row r="70" spans="2:5" ht="15" customHeight="1" x14ac:dyDescent="0.25">
      <c r="B70" s="82"/>
      <c r="C70" s="45" t="s">
        <v>133</v>
      </c>
      <c r="D70" s="44">
        <v>1</v>
      </c>
      <c r="E70" s="43">
        <v>1.1061946902654867E-3</v>
      </c>
    </row>
    <row r="71" spans="2:5" ht="15" customHeight="1" x14ac:dyDescent="0.25">
      <c r="B71" s="82"/>
      <c r="C71" s="45" t="s">
        <v>132</v>
      </c>
      <c r="D71" s="44">
        <v>3</v>
      </c>
      <c r="E71" s="43">
        <v>3.3185840707964601E-3</v>
      </c>
    </row>
    <row r="72" spans="2:5" ht="15" customHeight="1" x14ac:dyDescent="0.25">
      <c r="B72" s="82"/>
      <c r="C72" s="45" t="s">
        <v>129</v>
      </c>
      <c r="D72" s="44">
        <v>1</v>
      </c>
      <c r="E72" s="43">
        <v>1.1061946902654867E-3</v>
      </c>
    </row>
    <row r="73" spans="2:5" ht="15" customHeight="1" x14ac:dyDescent="0.25">
      <c r="B73" s="82"/>
      <c r="C73" s="45" t="s">
        <v>128</v>
      </c>
      <c r="D73" s="44">
        <v>12</v>
      </c>
      <c r="E73" s="43">
        <v>1.3274336283185841E-2</v>
      </c>
    </row>
    <row r="74" spans="2:5" ht="15" customHeight="1" x14ac:dyDescent="0.25">
      <c r="B74" s="82"/>
      <c r="C74" s="45" t="s">
        <v>125</v>
      </c>
      <c r="D74" s="44">
        <v>9</v>
      </c>
      <c r="E74" s="43">
        <v>9.9557522123893804E-3</v>
      </c>
    </row>
    <row r="75" spans="2:5" ht="15" customHeight="1" x14ac:dyDescent="0.25">
      <c r="B75" s="82"/>
      <c r="C75" s="45" t="s">
        <v>120</v>
      </c>
      <c r="D75" s="44">
        <v>1</v>
      </c>
      <c r="E75" s="43">
        <v>1.1061946902654867E-3</v>
      </c>
    </row>
    <row r="76" spans="2:5" ht="15" customHeight="1" x14ac:dyDescent="0.25">
      <c r="B76" s="83"/>
      <c r="C76" s="42" t="s">
        <v>20</v>
      </c>
      <c r="D76" s="41">
        <v>28</v>
      </c>
      <c r="E76" s="40">
        <v>3.0973451327433628E-2</v>
      </c>
    </row>
    <row r="77" spans="2:5" ht="15" customHeight="1" x14ac:dyDescent="0.25">
      <c r="B77" s="81" t="s">
        <v>71</v>
      </c>
      <c r="C77" s="45" t="s">
        <v>139</v>
      </c>
      <c r="D77" s="44">
        <v>1</v>
      </c>
      <c r="E77" s="43">
        <v>1.1061946902654867E-3</v>
      </c>
    </row>
    <row r="78" spans="2:5" ht="15" customHeight="1" x14ac:dyDescent="0.25">
      <c r="B78" s="82"/>
      <c r="C78" s="45" t="s">
        <v>132</v>
      </c>
      <c r="D78" s="44">
        <v>1</v>
      </c>
      <c r="E78" s="43">
        <v>1.1061946902654867E-3</v>
      </c>
    </row>
    <row r="79" spans="2:5" ht="15" customHeight="1" x14ac:dyDescent="0.25">
      <c r="B79" s="82"/>
      <c r="C79" s="45" t="s">
        <v>130</v>
      </c>
      <c r="D79" s="44">
        <v>1</v>
      </c>
      <c r="E79" s="43">
        <v>1.1061946902654867E-3</v>
      </c>
    </row>
    <row r="80" spans="2:5" ht="15" customHeight="1" x14ac:dyDescent="0.25">
      <c r="B80" s="82"/>
      <c r="C80" s="45" t="s">
        <v>128</v>
      </c>
      <c r="D80" s="44">
        <v>2</v>
      </c>
      <c r="E80" s="43">
        <v>2.2123893805309734E-3</v>
      </c>
    </row>
    <row r="81" spans="2:5" ht="15" customHeight="1" x14ac:dyDescent="0.25">
      <c r="B81" s="82"/>
      <c r="C81" s="45" t="s">
        <v>125</v>
      </c>
      <c r="D81" s="44">
        <v>3</v>
      </c>
      <c r="E81" s="43">
        <v>3.3185840707964601E-3</v>
      </c>
    </row>
    <row r="82" spans="2:5" ht="15" customHeight="1" x14ac:dyDescent="0.25">
      <c r="B82" s="83"/>
      <c r="C82" s="42" t="s">
        <v>20</v>
      </c>
      <c r="D82" s="41">
        <v>8</v>
      </c>
      <c r="E82" s="40">
        <v>8.8495575221238937E-3</v>
      </c>
    </row>
    <row r="83" spans="2:5" ht="15" customHeight="1" x14ac:dyDescent="0.25">
      <c r="B83" s="81" t="s">
        <v>69</v>
      </c>
      <c r="C83" s="45" t="s">
        <v>133</v>
      </c>
      <c r="D83" s="44">
        <v>1</v>
      </c>
      <c r="E83" s="43">
        <v>1.1061946902654867E-3</v>
      </c>
    </row>
    <row r="84" spans="2:5" ht="15" customHeight="1" x14ac:dyDescent="0.25">
      <c r="B84" s="82"/>
      <c r="C84" s="45" t="s">
        <v>132</v>
      </c>
      <c r="D84" s="44">
        <v>1</v>
      </c>
      <c r="E84" s="43">
        <v>1.1061946902654867E-3</v>
      </c>
    </row>
    <row r="85" spans="2:5" ht="15" customHeight="1" x14ac:dyDescent="0.25">
      <c r="B85" s="83"/>
      <c r="C85" s="42" t="s">
        <v>20</v>
      </c>
      <c r="D85" s="41">
        <v>2</v>
      </c>
      <c r="E85" s="40">
        <v>2.2123893805309734E-3</v>
      </c>
    </row>
    <row r="86" spans="2:5" ht="15" customHeight="1" x14ac:dyDescent="0.25">
      <c r="B86" s="81" t="s">
        <v>82</v>
      </c>
      <c r="C86" s="45" t="s">
        <v>137</v>
      </c>
      <c r="D86" s="44">
        <v>1</v>
      </c>
      <c r="E86" s="43">
        <v>1.1061946902654867E-3</v>
      </c>
    </row>
    <row r="87" spans="2:5" ht="15" customHeight="1" x14ac:dyDescent="0.25">
      <c r="B87" s="82"/>
      <c r="C87" s="45" t="s">
        <v>135</v>
      </c>
      <c r="D87" s="44">
        <v>1</v>
      </c>
      <c r="E87" s="43">
        <v>1.1061946902654867E-3</v>
      </c>
    </row>
    <row r="88" spans="2:5" ht="15" customHeight="1" x14ac:dyDescent="0.25">
      <c r="B88" s="82"/>
      <c r="C88" s="45" t="s">
        <v>128</v>
      </c>
      <c r="D88" s="44">
        <v>2</v>
      </c>
      <c r="E88" s="43">
        <v>2.2123893805309734E-3</v>
      </c>
    </row>
    <row r="89" spans="2:5" ht="15" customHeight="1" x14ac:dyDescent="0.25">
      <c r="B89" s="82"/>
      <c r="C89" s="45" t="s">
        <v>125</v>
      </c>
      <c r="D89" s="44">
        <v>1</v>
      </c>
      <c r="E89" s="43">
        <v>1.1061946902654867E-3</v>
      </c>
    </row>
    <row r="90" spans="2:5" ht="15" customHeight="1" x14ac:dyDescent="0.25">
      <c r="B90" s="82"/>
      <c r="C90" s="45" t="s">
        <v>120</v>
      </c>
      <c r="D90" s="44">
        <v>1</v>
      </c>
      <c r="E90" s="43">
        <v>1.1061946902654867E-3</v>
      </c>
    </row>
    <row r="91" spans="2:5" ht="15" customHeight="1" x14ac:dyDescent="0.25">
      <c r="B91" s="83"/>
      <c r="C91" s="42" t="s">
        <v>20</v>
      </c>
      <c r="D91" s="41">
        <v>6</v>
      </c>
      <c r="E91" s="40">
        <v>6.6371681415929203E-3</v>
      </c>
    </row>
    <row r="92" spans="2:5" ht="15" customHeight="1" x14ac:dyDescent="0.25">
      <c r="B92" s="81" t="s">
        <v>98</v>
      </c>
      <c r="C92" s="45" t="s">
        <v>139</v>
      </c>
      <c r="D92" s="44">
        <v>1</v>
      </c>
      <c r="E92" s="43">
        <v>1.1061946902654867E-3</v>
      </c>
    </row>
    <row r="93" spans="2:5" ht="15" customHeight="1" x14ac:dyDescent="0.25">
      <c r="B93" s="82"/>
      <c r="C93" s="45" t="s">
        <v>137</v>
      </c>
      <c r="D93" s="44">
        <v>1</v>
      </c>
      <c r="E93" s="43">
        <v>1.1061946902654867E-3</v>
      </c>
    </row>
    <row r="94" spans="2:5" ht="15" customHeight="1" x14ac:dyDescent="0.25">
      <c r="B94" s="82"/>
      <c r="C94" s="45" t="s">
        <v>135</v>
      </c>
      <c r="D94" s="44">
        <v>1</v>
      </c>
      <c r="E94" s="43">
        <v>1.1061946902654867E-3</v>
      </c>
    </row>
    <row r="95" spans="2:5" ht="15" customHeight="1" x14ac:dyDescent="0.25">
      <c r="B95" s="82"/>
      <c r="C95" s="45" t="s">
        <v>132</v>
      </c>
      <c r="D95" s="44">
        <v>2</v>
      </c>
      <c r="E95" s="43">
        <v>2.2123893805309734E-3</v>
      </c>
    </row>
    <row r="96" spans="2:5" ht="15" customHeight="1" x14ac:dyDescent="0.25">
      <c r="B96" s="82"/>
      <c r="C96" s="45" t="s">
        <v>129</v>
      </c>
      <c r="D96" s="44">
        <v>1</v>
      </c>
      <c r="E96" s="43">
        <v>1.1061946902654867E-3</v>
      </c>
    </row>
    <row r="97" spans="2:5" ht="15" customHeight="1" x14ac:dyDescent="0.25">
      <c r="B97" s="82"/>
      <c r="C97" s="45" t="s">
        <v>128</v>
      </c>
      <c r="D97" s="44">
        <v>3</v>
      </c>
      <c r="E97" s="43">
        <v>3.3185840707964601E-3</v>
      </c>
    </row>
    <row r="98" spans="2:5" ht="15" customHeight="1" x14ac:dyDescent="0.25">
      <c r="B98" s="82"/>
      <c r="C98" s="45" t="s">
        <v>126</v>
      </c>
      <c r="D98" s="44">
        <v>1</v>
      </c>
      <c r="E98" s="43">
        <v>1.1061946902654867E-3</v>
      </c>
    </row>
    <row r="99" spans="2:5" ht="15" customHeight="1" x14ac:dyDescent="0.25">
      <c r="B99" s="82"/>
      <c r="C99" s="45" t="s">
        <v>125</v>
      </c>
      <c r="D99" s="44">
        <v>3</v>
      </c>
      <c r="E99" s="43">
        <v>3.3185840707964601E-3</v>
      </c>
    </row>
    <row r="100" spans="2:5" ht="15" customHeight="1" x14ac:dyDescent="0.25">
      <c r="B100" s="83"/>
      <c r="C100" s="42" t="s">
        <v>20</v>
      </c>
      <c r="D100" s="41">
        <v>13</v>
      </c>
      <c r="E100" s="40">
        <v>1.4380530973451327E-2</v>
      </c>
    </row>
    <row r="101" spans="2:5" ht="15" customHeight="1" x14ac:dyDescent="0.25">
      <c r="B101" s="81" t="s">
        <v>102</v>
      </c>
      <c r="C101" s="45" t="s">
        <v>139</v>
      </c>
      <c r="D101" s="44">
        <v>1</v>
      </c>
      <c r="E101" s="43">
        <v>1.1061946902654867E-3</v>
      </c>
    </row>
    <row r="102" spans="2:5" ht="15" customHeight="1" x14ac:dyDescent="0.25">
      <c r="B102" s="82"/>
      <c r="C102" s="45" t="s">
        <v>136</v>
      </c>
      <c r="D102" s="44">
        <v>2</v>
      </c>
      <c r="E102" s="43">
        <v>2.2123893805309734E-3</v>
      </c>
    </row>
    <row r="103" spans="2:5" ht="15" customHeight="1" x14ac:dyDescent="0.25">
      <c r="B103" s="82"/>
      <c r="C103" s="45" t="s">
        <v>133</v>
      </c>
      <c r="D103" s="44">
        <v>5</v>
      </c>
      <c r="E103" s="43">
        <v>5.5309734513274336E-3</v>
      </c>
    </row>
    <row r="104" spans="2:5" ht="15" customHeight="1" x14ac:dyDescent="0.25">
      <c r="B104" s="82"/>
      <c r="C104" s="45" t="s">
        <v>132</v>
      </c>
      <c r="D104" s="44">
        <v>5</v>
      </c>
      <c r="E104" s="43">
        <v>5.5309734513274336E-3</v>
      </c>
    </row>
    <row r="105" spans="2:5" ht="15" customHeight="1" x14ac:dyDescent="0.25">
      <c r="B105" s="82"/>
      <c r="C105" s="45" t="s">
        <v>130</v>
      </c>
      <c r="D105" s="44">
        <v>2</v>
      </c>
      <c r="E105" s="43">
        <v>2.2123893805309734E-3</v>
      </c>
    </row>
    <row r="106" spans="2:5" ht="15" customHeight="1" x14ac:dyDescent="0.25">
      <c r="B106" s="82"/>
      <c r="C106" s="45" t="s">
        <v>128</v>
      </c>
      <c r="D106" s="44">
        <v>14</v>
      </c>
      <c r="E106" s="43">
        <v>1.5486725663716814E-2</v>
      </c>
    </row>
    <row r="107" spans="2:5" ht="15" customHeight="1" x14ac:dyDescent="0.25">
      <c r="B107" s="82"/>
      <c r="C107" s="45" t="s">
        <v>127</v>
      </c>
      <c r="D107" s="44">
        <v>1</v>
      </c>
      <c r="E107" s="43">
        <v>1.1061946902654867E-3</v>
      </c>
    </row>
    <row r="108" spans="2:5" ht="15" customHeight="1" x14ac:dyDescent="0.25">
      <c r="B108" s="82"/>
      <c r="C108" s="45" t="s">
        <v>126</v>
      </c>
      <c r="D108" s="44">
        <v>1</v>
      </c>
      <c r="E108" s="43">
        <v>1.1061946902654867E-3</v>
      </c>
    </row>
    <row r="109" spans="2:5" ht="15" customHeight="1" x14ac:dyDescent="0.25">
      <c r="B109" s="82"/>
      <c r="C109" s="45" t="s">
        <v>125</v>
      </c>
      <c r="D109" s="44">
        <v>7</v>
      </c>
      <c r="E109" s="43">
        <v>7.743362831858407E-3</v>
      </c>
    </row>
    <row r="110" spans="2:5" ht="15" customHeight="1" x14ac:dyDescent="0.25">
      <c r="B110" s="82"/>
      <c r="C110" s="45" t="s">
        <v>121</v>
      </c>
      <c r="D110" s="44">
        <v>1</v>
      </c>
      <c r="E110" s="43">
        <v>1.1061946902654867E-3</v>
      </c>
    </row>
    <row r="111" spans="2:5" ht="15" customHeight="1" x14ac:dyDescent="0.25">
      <c r="B111" s="82"/>
      <c r="C111" s="45" t="s">
        <v>120</v>
      </c>
      <c r="D111" s="44">
        <v>2</v>
      </c>
      <c r="E111" s="43">
        <v>2.2123893805309734E-3</v>
      </c>
    </row>
    <row r="112" spans="2:5" ht="15" customHeight="1" x14ac:dyDescent="0.25">
      <c r="B112" s="83"/>
      <c r="C112" s="42" t="s">
        <v>20</v>
      </c>
      <c r="D112" s="41">
        <v>41</v>
      </c>
      <c r="E112" s="40">
        <v>4.5353982300884957E-2</v>
      </c>
    </row>
    <row r="113" spans="2:5" ht="15" customHeight="1" x14ac:dyDescent="0.25">
      <c r="B113" s="81" t="s">
        <v>147</v>
      </c>
      <c r="C113" s="45" t="s">
        <v>134</v>
      </c>
      <c r="D113" s="44">
        <v>1</v>
      </c>
      <c r="E113" s="43">
        <v>1.1061946902654867E-3</v>
      </c>
    </row>
    <row r="114" spans="2:5" ht="15" customHeight="1" x14ac:dyDescent="0.25">
      <c r="B114" s="82"/>
      <c r="C114" s="45" t="s">
        <v>133</v>
      </c>
      <c r="D114" s="44">
        <v>1</v>
      </c>
      <c r="E114" s="43">
        <v>1.1061946902654867E-3</v>
      </c>
    </row>
    <row r="115" spans="2:5" ht="15" customHeight="1" x14ac:dyDescent="0.25">
      <c r="B115" s="82"/>
      <c r="C115" s="45" t="s">
        <v>132</v>
      </c>
      <c r="D115" s="44">
        <v>2</v>
      </c>
      <c r="E115" s="43">
        <v>2.2123893805309734E-3</v>
      </c>
    </row>
    <row r="116" spans="2:5" ht="15" customHeight="1" x14ac:dyDescent="0.25">
      <c r="B116" s="82"/>
      <c r="C116" s="45" t="s">
        <v>130</v>
      </c>
      <c r="D116" s="44">
        <v>1</v>
      </c>
      <c r="E116" s="43">
        <v>1.1061946902654867E-3</v>
      </c>
    </row>
    <row r="117" spans="2:5" ht="15" customHeight="1" x14ac:dyDescent="0.25">
      <c r="B117" s="82"/>
      <c r="C117" s="45" t="s">
        <v>128</v>
      </c>
      <c r="D117" s="44">
        <v>13</v>
      </c>
      <c r="E117" s="43">
        <v>1.4380530973451327E-2</v>
      </c>
    </row>
    <row r="118" spans="2:5" ht="15" customHeight="1" x14ac:dyDescent="0.25">
      <c r="B118" s="82"/>
      <c r="C118" s="45" t="s">
        <v>127</v>
      </c>
      <c r="D118" s="44">
        <v>1</v>
      </c>
      <c r="E118" s="43">
        <v>1.1061946902654867E-3</v>
      </c>
    </row>
    <row r="119" spans="2:5" ht="15" customHeight="1" x14ac:dyDescent="0.25">
      <c r="B119" s="82"/>
      <c r="C119" s="45" t="s">
        <v>126</v>
      </c>
      <c r="D119" s="44">
        <v>3</v>
      </c>
      <c r="E119" s="43">
        <v>3.3185840707964601E-3</v>
      </c>
    </row>
    <row r="120" spans="2:5" ht="15" customHeight="1" x14ac:dyDescent="0.25">
      <c r="B120" s="82"/>
      <c r="C120" s="45" t="s">
        <v>125</v>
      </c>
      <c r="D120" s="44">
        <v>3</v>
      </c>
      <c r="E120" s="43">
        <v>3.3185840707964601E-3</v>
      </c>
    </row>
    <row r="121" spans="2:5" ht="15" customHeight="1" x14ac:dyDescent="0.25">
      <c r="B121" s="82"/>
      <c r="C121" s="45" t="s">
        <v>123</v>
      </c>
      <c r="D121" s="44">
        <v>1</v>
      </c>
      <c r="E121" s="43">
        <v>1.1061946902654867E-3</v>
      </c>
    </row>
    <row r="122" spans="2:5" ht="15" customHeight="1" x14ac:dyDescent="0.25">
      <c r="B122" s="83"/>
      <c r="C122" s="42" t="s">
        <v>20</v>
      </c>
      <c r="D122" s="41">
        <v>26</v>
      </c>
      <c r="E122" s="40">
        <v>2.8761061946902654E-2</v>
      </c>
    </row>
    <row r="123" spans="2:5" ht="15" customHeight="1" x14ac:dyDescent="0.25">
      <c r="B123" s="81" t="s">
        <v>81</v>
      </c>
      <c r="C123" s="45" t="s">
        <v>139</v>
      </c>
      <c r="D123" s="44">
        <v>1</v>
      </c>
      <c r="E123" s="43">
        <v>1.1061946902654867E-3</v>
      </c>
    </row>
    <row r="124" spans="2:5" ht="15" customHeight="1" x14ac:dyDescent="0.25">
      <c r="B124" s="82"/>
      <c r="C124" s="45" t="s">
        <v>136</v>
      </c>
      <c r="D124" s="44">
        <v>1</v>
      </c>
      <c r="E124" s="43">
        <v>1.1061946902654867E-3</v>
      </c>
    </row>
    <row r="125" spans="2:5" ht="15" customHeight="1" x14ac:dyDescent="0.25">
      <c r="B125" s="82"/>
      <c r="C125" s="45" t="s">
        <v>133</v>
      </c>
      <c r="D125" s="44">
        <v>2</v>
      </c>
      <c r="E125" s="43">
        <v>2.2123893805309734E-3</v>
      </c>
    </row>
    <row r="126" spans="2:5" ht="15" customHeight="1" x14ac:dyDescent="0.25">
      <c r="B126" s="82"/>
      <c r="C126" s="45" t="s">
        <v>132</v>
      </c>
      <c r="D126" s="44">
        <v>1</v>
      </c>
      <c r="E126" s="43">
        <v>1.1061946902654867E-3</v>
      </c>
    </row>
    <row r="127" spans="2:5" ht="15" customHeight="1" x14ac:dyDescent="0.25">
      <c r="B127" s="82"/>
      <c r="C127" s="45" t="s">
        <v>130</v>
      </c>
      <c r="D127" s="44">
        <v>1</v>
      </c>
      <c r="E127" s="43">
        <v>1.1061946902654867E-3</v>
      </c>
    </row>
    <row r="128" spans="2:5" ht="15" customHeight="1" x14ac:dyDescent="0.25">
      <c r="B128" s="82"/>
      <c r="C128" s="45" t="s">
        <v>128</v>
      </c>
      <c r="D128" s="44">
        <v>8</v>
      </c>
      <c r="E128" s="43">
        <v>8.8495575221238937E-3</v>
      </c>
    </row>
    <row r="129" spans="2:5" ht="15" customHeight="1" x14ac:dyDescent="0.25">
      <c r="B129" s="82"/>
      <c r="C129" s="45" t="s">
        <v>126</v>
      </c>
      <c r="D129" s="44">
        <v>3</v>
      </c>
      <c r="E129" s="43">
        <v>3.3185840707964601E-3</v>
      </c>
    </row>
    <row r="130" spans="2:5" ht="15" customHeight="1" x14ac:dyDescent="0.25">
      <c r="B130" s="82"/>
      <c r="C130" s="45" t="s">
        <v>125</v>
      </c>
      <c r="D130" s="44">
        <v>1</v>
      </c>
      <c r="E130" s="43">
        <v>1.1061946902654867E-3</v>
      </c>
    </row>
    <row r="131" spans="2:5" ht="15" customHeight="1" x14ac:dyDescent="0.25">
      <c r="B131" s="82"/>
      <c r="C131" s="45" t="s">
        <v>124</v>
      </c>
      <c r="D131" s="44">
        <v>1</v>
      </c>
      <c r="E131" s="43">
        <v>1.1061946902654867E-3</v>
      </c>
    </row>
    <row r="132" spans="2:5" ht="15" customHeight="1" x14ac:dyDescent="0.25">
      <c r="B132" s="83"/>
      <c r="C132" s="42" t="s">
        <v>20</v>
      </c>
      <c r="D132" s="41">
        <v>19</v>
      </c>
      <c r="E132" s="40">
        <v>2.1017699115044249E-2</v>
      </c>
    </row>
    <row r="133" spans="2:5" ht="15" customHeight="1" x14ac:dyDescent="0.25">
      <c r="B133" s="81" t="s">
        <v>65</v>
      </c>
      <c r="C133" s="45" t="s">
        <v>136</v>
      </c>
      <c r="D133" s="44">
        <v>1</v>
      </c>
      <c r="E133" s="43">
        <v>1.1061946902654867E-3</v>
      </c>
    </row>
    <row r="134" spans="2:5" ht="15" customHeight="1" x14ac:dyDescent="0.25">
      <c r="B134" s="82"/>
      <c r="C134" s="45" t="s">
        <v>129</v>
      </c>
      <c r="D134" s="44">
        <v>2</v>
      </c>
      <c r="E134" s="43">
        <v>2.2123893805309734E-3</v>
      </c>
    </row>
    <row r="135" spans="2:5" ht="15" customHeight="1" x14ac:dyDescent="0.25">
      <c r="B135" s="82"/>
      <c r="C135" s="45" t="s">
        <v>128</v>
      </c>
      <c r="D135" s="44">
        <v>2</v>
      </c>
      <c r="E135" s="43">
        <v>2.2123893805309734E-3</v>
      </c>
    </row>
    <row r="136" spans="2:5" ht="15" customHeight="1" x14ac:dyDescent="0.25">
      <c r="B136" s="82"/>
      <c r="C136" s="45" t="s">
        <v>127</v>
      </c>
      <c r="D136" s="44">
        <v>1</v>
      </c>
      <c r="E136" s="43">
        <v>1.1061946902654867E-3</v>
      </c>
    </row>
    <row r="137" spans="2:5" ht="15" customHeight="1" x14ac:dyDescent="0.25">
      <c r="B137" s="83"/>
      <c r="C137" s="42" t="s">
        <v>20</v>
      </c>
      <c r="D137" s="41">
        <v>6</v>
      </c>
      <c r="E137" s="40">
        <v>6.6371681415929203E-3</v>
      </c>
    </row>
    <row r="138" spans="2:5" ht="15" customHeight="1" x14ac:dyDescent="0.25">
      <c r="B138" s="81" t="s">
        <v>88</v>
      </c>
      <c r="C138" s="45" t="s">
        <v>138</v>
      </c>
      <c r="D138" s="44">
        <v>1</v>
      </c>
      <c r="E138" s="43">
        <v>1.1061946902654867E-3</v>
      </c>
    </row>
    <row r="139" spans="2:5" ht="15" customHeight="1" x14ac:dyDescent="0.25">
      <c r="B139" s="82"/>
      <c r="C139" s="45" t="s">
        <v>135</v>
      </c>
      <c r="D139" s="44">
        <v>1</v>
      </c>
      <c r="E139" s="43">
        <v>1.1061946902654867E-3</v>
      </c>
    </row>
    <row r="140" spans="2:5" ht="15" customHeight="1" x14ac:dyDescent="0.25">
      <c r="B140" s="82"/>
      <c r="C140" s="45" t="s">
        <v>132</v>
      </c>
      <c r="D140" s="44">
        <v>1</v>
      </c>
      <c r="E140" s="43">
        <v>1.1061946902654867E-3</v>
      </c>
    </row>
    <row r="141" spans="2:5" ht="15" customHeight="1" x14ac:dyDescent="0.25">
      <c r="B141" s="82"/>
      <c r="C141" s="45" t="s">
        <v>130</v>
      </c>
      <c r="D141" s="44">
        <v>1</v>
      </c>
      <c r="E141" s="43">
        <v>1.1061946902654867E-3</v>
      </c>
    </row>
    <row r="142" spans="2:5" ht="15" customHeight="1" x14ac:dyDescent="0.25">
      <c r="B142" s="82"/>
      <c r="C142" s="45" t="s">
        <v>129</v>
      </c>
      <c r="D142" s="44">
        <v>1</v>
      </c>
      <c r="E142" s="43">
        <v>1.1061946902654867E-3</v>
      </c>
    </row>
    <row r="143" spans="2:5" ht="15" customHeight="1" x14ac:dyDescent="0.25">
      <c r="B143" s="82"/>
      <c r="C143" s="45" t="s">
        <v>128</v>
      </c>
      <c r="D143" s="44">
        <v>7</v>
      </c>
      <c r="E143" s="43">
        <v>7.743362831858407E-3</v>
      </c>
    </row>
    <row r="144" spans="2:5" ht="15" customHeight="1" x14ac:dyDescent="0.25">
      <c r="B144" s="82"/>
      <c r="C144" s="45" t="s">
        <v>125</v>
      </c>
      <c r="D144" s="44">
        <v>4</v>
      </c>
      <c r="E144" s="43">
        <v>4.4247787610619468E-3</v>
      </c>
    </row>
    <row r="145" spans="2:5" ht="15" customHeight="1" x14ac:dyDescent="0.25">
      <c r="B145" s="83"/>
      <c r="C145" s="42" t="s">
        <v>20</v>
      </c>
      <c r="D145" s="41">
        <v>16</v>
      </c>
      <c r="E145" s="40">
        <v>1.7699115044247787E-2</v>
      </c>
    </row>
    <row r="146" spans="2:5" ht="15" customHeight="1" x14ac:dyDescent="0.25">
      <c r="B146" s="81" t="s">
        <v>92</v>
      </c>
      <c r="C146" s="45" t="s">
        <v>133</v>
      </c>
      <c r="D146" s="44">
        <v>1</v>
      </c>
      <c r="E146" s="43">
        <v>1.1061946902654867E-3</v>
      </c>
    </row>
    <row r="147" spans="2:5" ht="15" customHeight="1" x14ac:dyDescent="0.25">
      <c r="B147" s="82"/>
      <c r="C147" s="45" t="s">
        <v>132</v>
      </c>
      <c r="D147" s="44">
        <v>3</v>
      </c>
      <c r="E147" s="43">
        <v>3.3185840707964601E-3</v>
      </c>
    </row>
    <row r="148" spans="2:5" ht="15" customHeight="1" x14ac:dyDescent="0.25">
      <c r="B148" s="82"/>
      <c r="C148" s="45" t="s">
        <v>131</v>
      </c>
      <c r="D148" s="44">
        <v>1</v>
      </c>
      <c r="E148" s="43">
        <v>1.1061946902654867E-3</v>
      </c>
    </row>
    <row r="149" spans="2:5" ht="15" customHeight="1" x14ac:dyDescent="0.25">
      <c r="B149" s="82"/>
      <c r="C149" s="45" t="s">
        <v>130</v>
      </c>
      <c r="D149" s="44">
        <v>1</v>
      </c>
      <c r="E149" s="43">
        <v>1.1061946902654867E-3</v>
      </c>
    </row>
    <row r="150" spans="2:5" ht="15" customHeight="1" x14ac:dyDescent="0.25">
      <c r="B150" s="82"/>
      <c r="C150" s="45" t="s">
        <v>129</v>
      </c>
      <c r="D150" s="44">
        <v>1</v>
      </c>
      <c r="E150" s="43">
        <v>1.1061946902654867E-3</v>
      </c>
    </row>
    <row r="151" spans="2:5" ht="15" customHeight="1" x14ac:dyDescent="0.25">
      <c r="B151" s="82"/>
      <c r="C151" s="45" t="s">
        <v>128</v>
      </c>
      <c r="D151" s="44">
        <v>5</v>
      </c>
      <c r="E151" s="43">
        <v>5.5309734513274336E-3</v>
      </c>
    </row>
    <row r="152" spans="2:5" ht="15" customHeight="1" x14ac:dyDescent="0.25">
      <c r="B152" s="82"/>
      <c r="C152" s="45" t="s">
        <v>126</v>
      </c>
      <c r="D152" s="44">
        <v>3</v>
      </c>
      <c r="E152" s="43">
        <v>3.3185840707964601E-3</v>
      </c>
    </row>
    <row r="153" spans="2:5" ht="15" customHeight="1" x14ac:dyDescent="0.25">
      <c r="B153" s="82"/>
      <c r="C153" s="45" t="s">
        <v>125</v>
      </c>
      <c r="D153" s="44">
        <v>3</v>
      </c>
      <c r="E153" s="43">
        <v>3.3185840707964601E-3</v>
      </c>
    </row>
    <row r="154" spans="2:5" ht="15" customHeight="1" x14ac:dyDescent="0.25">
      <c r="B154" s="83"/>
      <c r="C154" s="42" t="s">
        <v>20</v>
      </c>
      <c r="D154" s="41">
        <v>18</v>
      </c>
      <c r="E154" s="40">
        <v>1.9911504424778761E-2</v>
      </c>
    </row>
    <row r="155" spans="2:5" ht="15" customHeight="1" x14ac:dyDescent="0.25">
      <c r="B155" s="81" t="s">
        <v>146</v>
      </c>
      <c r="C155" s="45" t="s">
        <v>136</v>
      </c>
      <c r="D155" s="44">
        <v>1</v>
      </c>
      <c r="E155" s="43">
        <v>1.1061946902654867E-3</v>
      </c>
    </row>
    <row r="156" spans="2:5" ht="15" customHeight="1" x14ac:dyDescent="0.25">
      <c r="B156" s="82"/>
      <c r="C156" s="45" t="s">
        <v>135</v>
      </c>
      <c r="D156" s="44">
        <v>1</v>
      </c>
      <c r="E156" s="43">
        <v>1.1061946902654867E-3</v>
      </c>
    </row>
    <row r="157" spans="2:5" ht="15" customHeight="1" x14ac:dyDescent="0.25">
      <c r="B157" s="82"/>
      <c r="C157" s="45" t="s">
        <v>134</v>
      </c>
      <c r="D157" s="44">
        <v>2</v>
      </c>
      <c r="E157" s="43">
        <v>2.2123893805309734E-3</v>
      </c>
    </row>
    <row r="158" spans="2:5" ht="15" customHeight="1" x14ac:dyDescent="0.25">
      <c r="B158" s="82"/>
      <c r="C158" s="45" t="s">
        <v>133</v>
      </c>
      <c r="D158" s="44">
        <v>3</v>
      </c>
      <c r="E158" s="43">
        <v>3.3185840707964601E-3</v>
      </c>
    </row>
    <row r="159" spans="2:5" ht="15" customHeight="1" x14ac:dyDescent="0.25">
      <c r="B159" s="82"/>
      <c r="C159" s="45" t="s">
        <v>132</v>
      </c>
      <c r="D159" s="44">
        <v>5</v>
      </c>
      <c r="E159" s="43">
        <v>5.5309734513274336E-3</v>
      </c>
    </row>
    <row r="160" spans="2:5" ht="15" customHeight="1" x14ac:dyDescent="0.25">
      <c r="B160" s="82"/>
      <c r="C160" s="45" t="s">
        <v>131</v>
      </c>
      <c r="D160" s="44">
        <v>2</v>
      </c>
      <c r="E160" s="43">
        <v>2.2123893805309734E-3</v>
      </c>
    </row>
    <row r="161" spans="2:5" ht="15" customHeight="1" x14ac:dyDescent="0.25">
      <c r="B161" s="82"/>
      <c r="C161" s="45" t="s">
        <v>129</v>
      </c>
      <c r="D161" s="44">
        <v>1</v>
      </c>
      <c r="E161" s="43">
        <v>1.1061946902654867E-3</v>
      </c>
    </row>
    <row r="162" spans="2:5" ht="15" customHeight="1" x14ac:dyDescent="0.25">
      <c r="B162" s="82"/>
      <c r="C162" s="45" t="s">
        <v>128</v>
      </c>
      <c r="D162" s="44">
        <v>5</v>
      </c>
      <c r="E162" s="43">
        <v>5.5309734513274336E-3</v>
      </c>
    </row>
    <row r="163" spans="2:5" ht="15" customHeight="1" x14ac:dyDescent="0.25">
      <c r="B163" s="82"/>
      <c r="C163" s="45" t="s">
        <v>126</v>
      </c>
      <c r="D163" s="44">
        <v>3</v>
      </c>
      <c r="E163" s="43">
        <v>3.3185840707964601E-3</v>
      </c>
    </row>
    <row r="164" spans="2:5" ht="15" customHeight="1" x14ac:dyDescent="0.25">
      <c r="B164" s="82"/>
      <c r="C164" s="45" t="s">
        <v>125</v>
      </c>
      <c r="D164" s="44">
        <v>4</v>
      </c>
      <c r="E164" s="43">
        <v>4.4247787610619468E-3</v>
      </c>
    </row>
    <row r="165" spans="2:5" ht="15" customHeight="1" x14ac:dyDescent="0.25">
      <c r="B165" s="82"/>
      <c r="C165" s="45" t="s">
        <v>120</v>
      </c>
      <c r="D165" s="44">
        <v>6</v>
      </c>
      <c r="E165" s="43">
        <v>6.6371681415929203E-3</v>
      </c>
    </row>
    <row r="166" spans="2:5" ht="15" customHeight="1" x14ac:dyDescent="0.25">
      <c r="B166" s="83"/>
      <c r="C166" s="42" t="s">
        <v>20</v>
      </c>
      <c r="D166" s="41">
        <v>33</v>
      </c>
      <c r="E166" s="40">
        <v>3.6504424778761063E-2</v>
      </c>
    </row>
    <row r="167" spans="2:5" ht="15" customHeight="1" x14ac:dyDescent="0.25">
      <c r="B167" s="81" t="s">
        <v>145</v>
      </c>
      <c r="C167" s="45" t="s">
        <v>139</v>
      </c>
      <c r="D167" s="44">
        <v>1</v>
      </c>
      <c r="E167" s="43">
        <v>1.1061946902654867E-3</v>
      </c>
    </row>
    <row r="168" spans="2:5" ht="15" customHeight="1" x14ac:dyDescent="0.25">
      <c r="B168" s="82"/>
      <c r="C168" s="45" t="s">
        <v>134</v>
      </c>
      <c r="D168" s="44">
        <v>1</v>
      </c>
      <c r="E168" s="43">
        <v>1.1061946902654867E-3</v>
      </c>
    </row>
    <row r="169" spans="2:5" ht="15" customHeight="1" x14ac:dyDescent="0.25">
      <c r="B169" s="82"/>
      <c r="C169" s="45" t="s">
        <v>133</v>
      </c>
      <c r="D169" s="44">
        <v>4</v>
      </c>
      <c r="E169" s="43">
        <v>4.4247787610619468E-3</v>
      </c>
    </row>
    <row r="170" spans="2:5" ht="15" customHeight="1" x14ac:dyDescent="0.25">
      <c r="B170" s="82"/>
      <c r="C170" s="45" t="s">
        <v>132</v>
      </c>
      <c r="D170" s="44">
        <v>4</v>
      </c>
      <c r="E170" s="43">
        <v>4.4247787610619468E-3</v>
      </c>
    </row>
    <row r="171" spans="2:5" ht="15" customHeight="1" x14ac:dyDescent="0.25">
      <c r="B171" s="82"/>
      <c r="C171" s="45" t="s">
        <v>130</v>
      </c>
      <c r="D171" s="44">
        <v>2</v>
      </c>
      <c r="E171" s="43">
        <v>2.2123893805309734E-3</v>
      </c>
    </row>
    <row r="172" spans="2:5" ht="15" customHeight="1" x14ac:dyDescent="0.25">
      <c r="B172" s="82"/>
      <c r="C172" s="45" t="s">
        <v>129</v>
      </c>
      <c r="D172" s="44">
        <v>1</v>
      </c>
      <c r="E172" s="43">
        <v>1.1061946902654867E-3</v>
      </c>
    </row>
    <row r="173" spans="2:5" ht="15" customHeight="1" x14ac:dyDescent="0.25">
      <c r="B173" s="82"/>
      <c r="C173" s="45" t="s">
        <v>128</v>
      </c>
      <c r="D173" s="44">
        <v>6</v>
      </c>
      <c r="E173" s="43">
        <v>6.6371681415929203E-3</v>
      </c>
    </row>
    <row r="174" spans="2:5" ht="15" customHeight="1" x14ac:dyDescent="0.25">
      <c r="B174" s="82"/>
      <c r="C174" s="45" t="s">
        <v>126</v>
      </c>
      <c r="D174" s="44">
        <v>2</v>
      </c>
      <c r="E174" s="43">
        <v>2.2123893805309734E-3</v>
      </c>
    </row>
    <row r="175" spans="2:5" ht="15" customHeight="1" x14ac:dyDescent="0.25">
      <c r="B175" s="82"/>
      <c r="C175" s="45" t="s">
        <v>125</v>
      </c>
      <c r="D175" s="44">
        <v>1</v>
      </c>
      <c r="E175" s="43">
        <v>1.1061946902654867E-3</v>
      </c>
    </row>
    <row r="176" spans="2:5" ht="15" customHeight="1" x14ac:dyDescent="0.25">
      <c r="B176" s="82"/>
      <c r="C176" s="45" t="s">
        <v>120</v>
      </c>
      <c r="D176" s="44">
        <v>1</v>
      </c>
      <c r="E176" s="43">
        <v>1.1061946902654867E-3</v>
      </c>
    </row>
    <row r="177" spans="2:5" ht="15" customHeight="1" x14ac:dyDescent="0.25">
      <c r="B177" s="83"/>
      <c r="C177" s="42" t="s">
        <v>20</v>
      </c>
      <c r="D177" s="41">
        <v>23</v>
      </c>
      <c r="E177" s="40">
        <v>2.5442477876106196E-2</v>
      </c>
    </row>
    <row r="178" spans="2:5" ht="15" customHeight="1" x14ac:dyDescent="0.25">
      <c r="B178" s="81" t="s">
        <v>78</v>
      </c>
      <c r="C178" s="45" t="s">
        <v>138</v>
      </c>
      <c r="D178" s="44">
        <v>1</v>
      </c>
      <c r="E178" s="43">
        <v>1.1061946902654867E-3</v>
      </c>
    </row>
    <row r="179" spans="2:5" ht="15" customHeight="1" x14ac:dyDescent="0.25">
      <c r="B179" s="82"/>
      <c r="C179" s="45" t="s">
        <v>137</v>
      </c>
      <c r="D179" s="44">
        <v>1</v>
      </c>
      <c r="E179" s="43">
        <v>1.1061946902654867E-3</v>
      </c>
    </row>
    <row r="180" spans="2:5" ht="15" customHeight="1" x14ac:dyDescent="0.25">
      <c r="B180" s="82"/>
      <c r="C180" s="45" t="s">
        <v>132</v>
      </c>
      <c r="D180" s="44">
        <v>4</v>
      </c>
      <c r="E180" s="43">
        <v>4.4247787610619468E-3</v>
      </c>
    </row>
    <row r="181" spans="2:5" ht="15" customHeight="1" x14ac:dyDescent="0.25">
      <c r="B181" s="82"/>
      <c r="C181" s="45" t="s">
        <v>130</v>
      </c>
      <c r="D181" s="44">
        <v>1</v>
      </c>
      <c r="E181" s="43">
        <v>1.1061946902654867E-3</v>
      </c>
    </row>
    <row r="182" spans="2:5" ht="15" customHeight="1" x14ac:dyDescent="0.25">
      <c r="B182" s="82"/>
      <c r="C182" s="45" t="s">
        <v>129</v>
      </c>
      <c r="D182" s="44">
        <v>1</v>
      </c>
      <c r="E182" s="43">
        <v>1.1061946902654867E-3</v>
      </c>
    </row>
    <row r="183" spans="2:5" ht="15" customHeight="1" x14ac:dyDescent="0.25">
      <c r="B183" s="82"/>
      <c r="C183" s="45" t="s">
        <v>128</v>
      </c>
      <c r="D183" s="44">
        <v>3</v>
      </c>
      <c r="E183" s="43">
        <v>3.3185840707964601E-3</v>
      </c>
    </row>
    <row r="184" spans="2:5" ht="15" customHeight="1" x14ac:dyDescent="0.25">
      <c r="B184" s="82"/>
      <c r="C184" s="45" t="s">
        <v>125</v>
      </c>
      <c r="D184" s="44">
        <v>4</v>
      </c>
      <c r="E184" s="43">
        <v>4.4247787610619468E-3</v>
      </c>
    </row>
    <row r="185" spans="2:5" ht="15" customHeight="1" x14ac:dyDescent="0.25">
      <c r="B185" s="82"/>
      <c r="C185" s="45" t="s">
        <v>122</v>
      </c>
      <c r="D185" s="44">
        <v>1</v>
      </c>
      <c r="E185" s="43">
        <v>1.1061946902654867E-3</v>
      </c>
    </row>
    <row r="186" spans="2:5" ht="15" customHeight="1" x14ac:dyDescent="0.25">
      <c r="B186" s="82"/>
      <c r="C186" s="45" t="s">
        <v>121</v>
      </c>
      <c r="D186" s="44">
        <v>1</v>
      </c>
      <c r="E186" s="43">
        <v>1.1061946902654867E-3</v>
      </c>
    </row>
    <row r="187" spans="2:5" ht="15" customHeight="1" x14ac:dyDescent="0.25">
      <c r="B187" s="83"/>
      <c r="C187" s="42" t="s">
        <v>20</v>
      </c>
      <c r="D187" s="41">
        <v>17</v>
      </c>
      <c r="E187" s="40">
        <v>1.8805309734513276E-2</v>
      </c>
    </row>
    <row r="188" spans="2:5" ht="15" customHeight="1" x14ac:dyDescent="0.25">
      <c r="B188" s="81" t="s">
        <v>77</v>
      </c>
      <c r="C188" s="45" t="s">
        <v>129</v>
      </c>
      <c r="D188" s="44">
        <v>3</v>
      </c>
      <c r="E188" s="43">
        <v>3.3185840707964601E-3</v>
      </c>
    </row>
    <row r="189" spans="2:5" ht="15" customHeight="1" x14ac:dyDescent="0.25">
      <c r="B189" s="82"/>
      <c r="C189" s="45" t="s">
        <v>128</v>
      </c>
      <c r="D189" s="44">
        <v>4</v>
      </c>
      <c r="E189" s="43">
        <v>4.4247787610619468E-3</v>
      </c>
    </row>
    <row r="190" spans="2:5" ht="15" customHeight="1" x14ac:dyDescent="0.25">
      <c r="B190" s="82"/>
      <c r="C190" s="45" t="s">
        <v>125</v>
      </c>
      <c r="D190" s="44">
        <v>1</v>
      </c>
      <c r="E190" s="43">
        <v>1.1061946902654867E-3</v>
      </c>
    </row>
    <row r="191" spans="2:5" ht="15" customHeight="1" x14ac:dyDescent="0.25">
      <c r="B191" s="82"/>
      <c r="C191" s="45" t="s">
        <v>120</v>
      </c>
      <c r="D191" s="44">
        <v>3</v>
      </c>
      <c r="E191" s="43">
        <v>3.3185840707964601E-3</v>
      </c>
    </row>
    <row r="192" spans="2:5" ht="15" customHeight="1" x14ac:dyDescent="0.25">
      <c r="B192" s="82"/>
      <c r="C192" s="45" t="s">
        <v>144</v>
      </c>
      <c r="D192" s="44">
        <v>1</v>
      </c>
      <c r="E192" s="43">
        <v>1.1061946902654867E-3</v>
      </c>
    </row>
    <row r="193" spans="2:5" ht="15" customHeight="1" x14ac:dyDescent="0.25">
      <c r="B193" s="82"/>
      <c r="C193" s="45" t="s">
        <v>190</v>
      </c>
      <c r="D193" s="44">
        <v>1</v>
      </c>
      <c r="E193" s="43">
        <v>1.1061946902654867E-3</v>
      </c>
    </row>
    <row r="194" spans="2:5" ht="15" customHeight="1" x14ac:dyDescent="0.25">
      <c r="B194" s="83"/>
      <c r="C194" s="42" t="s">
        <v>20</v>
      </c>
      <c r="D194" s="41">
        <v>13</v>
      </c>
      <c r="E194" s="40">
        <v>1.4380530973451327E-2</v>
      </c>
    </row>
    <row r="195" spans="2:5" ht="15" customHeight="1" x14ac:dyDescent="0.25">
      <c r="B195" s="81" t="s">
        <v>70</v>
      </c>
      <c r="C195" s="45" t="s">
        <v>133</v>
      </c>
      <c r="D195" s="44">
        <v>1</v>
      </c>
      <c r="E195" s="43">
        <v>1.1061946902654867E-3</v>
      </c>
    </row>
    <row r="196" spans="2:5" ht="15" customHeight="1" x14ac:dyDescent="0.25">
      <c r="B196" s="82"/>
      <c r="C196" s="45" t="s">
        <v>132</v>
      </c>
      <c r="D196" s="44">
        <v>4</v>
      </c>
      <c r="E196" s="43">
        <v>4.4247787610619468E-3</v>
      </c>
    </row>
    <row r="197" spans="2:5" ht="15" customHeight="1" x14ac:dyDescent="0.25">
      <c r="B197" s="82"/>
      <c r="C197" s="45" t="s">
        <v>129</v>
      </c>
      <c r="D197" s="44">
        <v>1</v>
      </c>
      <c r="E197" s="43">
        <v>1.1061946902654867E-3</v>
      </c>
    </row>
    <row r="198" spans="2:5" ht="15" customHeight="1" x14ac:dyDescent="0.25">
      <c r="B198" s="82"/>
      <c r="C198" s="45" t="s">
        <v>128</v>
      </c>
      <c r="D198" s="44">
        <v>9</v>
      </c>
      <c r="E198" s="43">
        <v>9.9557522123893804E-3</v>
      </c>
    </row>
    <row r="199" spans="2:5" ht="15" customHeight="1" x14ac:dyDescent="0.25">
      <c r="B199" s="82"/>
      <c r="C199" s="45" t="s">
        <v>126</v>
      </c>
      <c r="D199" s="44">
        <v>1</v>
      </c>
      <c r="E199" s="43">
        <v>1.1061946902654867E-3</v>
      </c>
    </row>
    <row r="200" spans="2:5" ht="15" customHeight="1" x14ac:dyDescent="0.25">
      <c r="B200" s="83"/>
      <c r="C200" s="42" t="s">
        <v>20</v>
      </c>
      <c r="D200" s="41">
        <v>16</v>
      </c>
      <c r="E200" s="40">
        <v>1.7699115044247787E-2</v>
      </c>
    </row>
    <row r="201" spans="2:5" ht="15" customHeight="1" x14ac:dyDescent="0.25">
      <c r="B201" s="81" t="s">
        <v>99</v>
      </c>
      <c r="C201" s="45" t="s">
        <v>128</v>
      </c>
      <c r="D201" s="44">
        <v>4</v>
      </c>
      <c r="E201" s="43">
        <v>4.4247787610619468E-3</v>
      </c>
    </row>
    <row r="202" spans="2:5" ht="15" customHeight="1" x14ac:dyDescent="0.25">
      <c r="B202" s="82"/>
      <c r="C202" s="45" t="s">
        <v>126</v>
      </c>
      <c r="D202" s="44">
        <v>1</v>
      </c>
      <c r="E202" s="43">
        <v>1.1061946902654867E-3</v>
      </c>
    </row>
    <row r="203" spans="2:5" ht="15" customHeight="1" x14ac:dyDescent="0.25">
      <c r="B203" s="82"/>
      <c r="C203" s="45" t="s">
        <v>125</v>
      </c>
      <c r="D203" s="44">
        <v>2</v>
      </c>
      <c r="E203" s="43">
        <v>2.2123893805309734E-3</v>
      </c>
    </row>
    <row r="204" spans="2:5" ht="15" customHeight="1" x14ac:dyDescent="0.25">
      <c r="B204" s="83"/>
      <c r="C204" s="42" t="s">
        <v>20</v>
      </c>
      <c r="D204" s="41">
        <v>7</v>
      </c>
      <c r="E204" s="40">
        <v>7.743362831858407E-3</v>
      </c>
    </row>
    <row r="205" spans="2:5" ht="15" customHeight="1" x14ac:dyDescent="0.25">
      <c r="B205" s="81" t="s">
        <v>72</v>
      </c>
      <c r="C205" s="45" t="s">
        <v>136</v>
      </c>
      <c r="D205" s="44">
        <v>1</v>
      </c>
      <c r="E205" s="43">
        <v>1.1061946902654867E-3</v>
      </c>
    </row>
    <row r="206" spans="2:5" ht="15" customHeight="1" x14ac:dyDescent="0.25">
      <c r="B206" s="82"/>
      <c r="C206" s="45" t="s">
        <v>135</v>
      </c>
      <c r="D206" s="44">
        <v>1</v>
      </c>
      <c r="E206" s="43">
        <v>1.1061946902654867E-3</v>
      </c>
    </row>
    <row r="207" spans="2:5" ht="15" customHeight="1" x14ac:dyDescent="0.25">
      <c r="B207" s="82"/>
      <c r="C207" s="45" t="s">
        <v>133</v>
      </c>
      <c r="D207" s="44">
        <v>9</v>
      </c>
      <c r="E207" s="43">
        <v>9.9557522123893804E-3</v>
      </c>
    </row>
    <row r="208" spans="2:5" ht="15" customHeight="1" x14ac:dyDescent="0.25">
      <c r="B208" s="82"/>
      <c r="C208" s="45" t="s">
        <v>132</v>
      </c>
      <c r="D208" s="44">
        <v>10</v>
      </c>
      <c r="E208" s="43">
        <v>1.1061946902654867E-2</v>
      </c>
    </row>
    <row r="209" spans="2:5" ht="15" customHeight="1" x14ac:dyDescent="0.25">
      <c r="B209" s="82"/>
      <c r="C209" s="45" t="s">
        <v>131</v>
      </c>
      <c r="D209" s="44">
        <v>1</v>
      </c>
      <c r="E209" s="43">
        <v>1.1061946902654867E-3</v>
      </c>
    </row>
    <row r="210" spans="2:5" ht="15" customHeight="1" x14ac:dyDescent="0.25">
      <c r="B210" s="82"/>
      <c r="C210" s="45" t="s">
        <v>130</v>
      </c>
      <c r="D210" s="44">
        <v>2</v>
      </c>
      <c r="E210" s="43">
        <v>2.2123893805309734E-3</v>
      </c>
    </row>
    <row r="211" spans="2:5" ht="15" customHeight="1" x14ac:dyDescent="0.25">
      <c r="B211" s="82"/>
      <c r="C211" s="45" t="s">
        <v>129</v>
      </c>
      <c r="D211" s="44">
        <v>4</v>
      </c>
      <c r="E211" s="43">
        <v>4.4247787610619468E-3</v>
      </c>
    </row>
    <row r="212" spans="2:5" ht="15" customHeight="1" x14ac:dyDescent="0.25">
      <c r="B212" s="82"/>
      <c r="C212" s="45" t="s">
        <v>128</v>
      </c>
      <c r="D212" s="44">
        <v>20</v>
      </c>
      <c r="E212" s="43">
        <v>2.2123893805309734E-2</v>
      </c>
    </row>
    <row r="213" spans="2:5" ht="15" customHeight="1" x14ac:dyDescent="0.25">
      <c r="B213" s="82"/>
      <c r="C213" s="45" t="s">
        <v>127</v>
      </c>
      <c r="D213" s="44">
        <v>2</v>
      </c>
      <c r="E213" s="43">
        <v>2.2123893805309734E-3</v>
      </c>
    </row>
    <row r="214" spans="2:5" ht="15" customHeight="1" x14ac:dyDescent="0.25">
      <c r="B214" s="82"/>
      <c r="C214" s="45" t="s">
        <v>126</v>
      </c>
      <c r="D214" s="44">
        <v>8</v>
      </c>
      <c r="E214" s="43">
        <v>8.8495575221238937E-3</v>
      </c>
    </row>
    <row r="215" spans="2:5" ht="15" customHeight="1" x14ac:dyDescent="0.25">
      <c r="B215" s="82"/>
      <c r="C215" s="45" t="s">
        <v>125</v>
      </c>
      <c r="D215" s="44">
        <v>8</v>
      </c>
      <c r="E215" s="43">
        <v>8.8495575221238937E-3</v>
      </c>
    </row>
    <row r="216" spans="2:5" ht="15" customHeight="1" x14ac:dyDescent="0.25">
      <c r="B216" s="82"/>
      <c r="C216" s="45" t="s">
        <v>123</v>
      </c>
      <c r="D216" s="44">
        <v>2</v>
      </c>
      <c r="E216" s="43">
        <v>2.2123893805309734E-3</v>
      </c>
    </row>
    <row r="217" spans="2:5" ht="15" customHeight="1" x14ac:dyDescent="0.25">
      <c r="B217" s="82"/>
      <c r="C217" s="45" t="s">
        <v>121</v>
      </c>
      <c r="D217" s="44">
        <v>1</v>
      </c>
      <c r="E217" s="43">
        <v>1.1061946902654867E-3</v>
      </c>
    </row>
    <row r="218" spans="2:5" ht="15" customHeight="1" x14ac:dyDescent="0.25">
      <c r="B218" s="82"/>
      <c r="C218" s="45" t="s">
        <v>120</v>
      </c>
      <c r="D218" s="44">
        <v>2</v>
      </c>
      <c r="E218" s="43">
        <v>2.2123893805309734E-3</v>
      </c>
    </row>
    <row r="219" spans="2:5" ht="15" customHeight="1" x14ac:dyDescent="0.25">
      <c r="B219" s="83"/>
      <c r="C219" s="42" t="s">
        <v>20</v>
      </c>
      <c r="D219" s="41">
        <v>71</v>
      </c>
      <c r="E219" s="40">
        <v>7.8539823008849555E-2</v>
      </c>
    </row>
    <row r="220" spans="2:5" ht="15" customHeight="1" x14ac:dyDescent="0.25">
      <c r="B220" s="81" t="s">
        <v>91</v>
      </c>
      <c r="C220" s="45" t="s">
        <v>139</v>
      </c>
      <c r="D220" s="44">
        <v>1</v>
      </c>
      <c r="E220" s="43">
        <v>1.1061946902654867E-3</v>
      </c>
    </row>
    <row r="221" spans="2:5" ht="15" customHeight="1" x14ac:dyDescent="0.25">
      <c r="B221" s="82"/>
      <c r="C221" s="45" t="s">
        <v>138</v>
      </c>
      <c r="D221" s="44">
        <v>1</v>
      </c>
      <c r="E221" s="43">
        <v>1.1061946902654867E-3</v>
      </c>
    </row>
    <row r="222" spans="2:5" ht="15" customHeight="1" x14ac:dyDescent="0.25">
      <c r="B222" s="82"/>
      <c r="C222" s="45" t="s">
        <v>136</v>
      </c>
      <c r="D222" s="44">
        <v>1</v>
      </c>
      <c r="E222" s="43">
        <v>1.1061946902654867E-3</v>
      </c>
    </row>
    <row r="223" spans="2:5" ht="15" customHeight="1" x14ac:dyDescent="0.25">
      <c r="B223" s="82"/>
      <c r="C223" s="45" t="s">
        <v>133</v>
      </c>
      <c r="D223" s="44">
        <v>5</v>
      </c>
      <c r="E223" s="43">
        <v>5.5309734513274336E-3</v>
      </c>
    </row>
    <row r="224" spans="2:5" ht="15" customHeight="1" x14ac:dyDescent="0.25">
      <c r="B224" s="82"/>
      <c r="C224" s="45" t="s">
        <v>132</v>
      </c>
      <c r="D224" s="44">
        <v>9</v>
      </c>
      <c r="E224" s="43">
        <v>9.9557522123893804E-3</v>
      </c>
    </row>
    <row r="225" spans="2:5" ht="15" customHeight="1" x14ac:dyDescent="0.25">
      <c r="B225" s="82"/>
      <c r="C225" s="45" t="s">
        <v>131</v>
      </c>
      <c r="D225" s="44">
        <v>1</v>
      </c>
      <c r="E225" s="43">
        <v>1.1061946902654867E-3</v>
      </c>
    </row>
    <row r="226" spans="2:5" ht="15" customHeight="1" x14ac:dyDescent="0.25">
      <c r="B226" s="82"/>
      <c r="C226" s="45" t="s">
        <v>130</v>
      </c>
      <c r="D226" s="44">
        <v>1</v>
      </c>
      <c r="E226" s="43">
        <v>1.1061946902654867E-3</v>
      </c>
    </row>
    <row r="227" spans="2:5" ht="15" customHeight="1" x14ac:dyDescent="0.25">
      <c r="B227" s="82"/>
      <c r="C227" s="45" t="s">
        <v>129</v>
      </c>
      <c r="D227" s="44">
        <v>2</v>
      </c>
      <c r="E227" s="43">
        <v>2.2123893805309734E-3</v>
      </c>
    </row>
    <row r="228" spans="2:5" ht="15" customHeight="1" x14ac:dyDescent="0.25">
      <c r="B228" s="82"/>
      <c r="C228" s="45" t="s">
        <v>128</v>
      </c>
      <c r="D228" s="44">
        <v>16</v>
      </c>
      <c r="E228" s="43">
        <v>1.7699115044247787E-2</v>
      </c>
    </row>
    <row r="229" spans="2:5" ht="15" customHeight="1" x14ac:dyDescent="0.25">
      <c r="B229" s="82"/>
      <c r="C229" s="45" t="s">
        <v>127</v>
      </c>
      <c r="D229" s="44">
        <v>1</v>
      </c>
      <c r="E229" s="43">
        <v>1.1061946902654867E-3</v>
      </c>
    </row>
    <row r="230" spans="2:5" ht="15" customHeight="1" x14ac:dyDescent="0.25">
      <c r="B230" s="82"/>
      <c r="C230" s="45" t="s">
        <v>126</v>
      </c>
      <c r="D230" s="44">
        <v>2</v>
      </c>
      <c r="E230" s="43">
        <v>2.2123893805309734E-3</v>
      </c>
    </row>
    <row r="231" spans="2:5" ht="15" customHeight="1" x14ac:dyDescent="0.25">
      <c r="B231" s="82"/>
      <c r="C231" s="45" t="s">
        <v>125</v>
      </c>
      <c r="D231" s="44">
        <v>6</v>
      </c>
      <c r="E231" s="43">
        <v>6.6371681415929203E-3</v>
      </c>
    </row>
    <row r="232" spans="2:5" ht="15" customHeight="1" x14ac:dyDescent="0.25">
      <c r="B232" s="82"/>
      <c r="C232" s="45" t="s">
        <v>123</v>
      </c>
      <c r="D232" s="44">
        <v>1</v>
      </c>
      <c r="E232" s="43">
        <v>1.1061946902654867E-3</v>
      </c>
    </row>
    <row r="233" spans="2:5" ht="15" customHeight="1" x14ac:dyDescent="0.25">
      <c r="B233" s="83"/>
      <c r="C233" s="42" t="s">
        <v>20</v>
      </c>
      <c r="D233" s="41">
        <v>47</v>
      </c>
      <c r="E233" s="40">
        <v>5.1991150442477874E-2</v>
      </c>
    </row>
    <row r="234" spans="2:5" ht="15" customHeight="1" x14ac:dyDescent="0.25">
      <c r="B234" s="81" t="s">
        <v>87</v>
      </c>
      <c r="C234" s="45" t="s">
        <v>136</v>
      </c>
      <c r="D234" s="44">
        <v>3</v>
      </c>
      <c r="E234" s="43">
        <v>3.3185840707964601E-3</v>
      </c>
    </row>
    <row r="235" spans="2:5" ht="15" customHeight="1" x14ac:dyDescent="0.25">
      <c r="B235" s="82"/>
      <c r="C235" s="45" t="s">
        <v>133</v>
      </c>
      <c r="D235" s="44">
        <v>1</v>
      </c>
      <c r="E235" s="43">
        <v>1.1061946902654867E-3</v>
      </c>
    </row>
    <row r="236" spans="2:5" ht="15" customHeight="1" x14ac:dyDescent="0.25">
      <c r="B236" s="82"/>
      <c r="C236" s="45" t="s">
        <v>132</v>
      </c>
      <c r="D236" s="44">
        <v>1</v>
      </c>
      <c r="E236" s="43">
        <v>1.1061946902654867E-3</v>
      </c>
    </row>
    <row r="237" spans="2:5" ht="15" customHeight="1" x14ac:dyDescent="0.25">
      <c r="B237" s="82"/>
      <c r="C237" s="45" t="s">
        <v>130</v>
      </c>
      <c r="D237" s="44">
        <v>1</v>
      </c>
      <c r="E237" s="43">
        <v>1.1061946902654867E-3</v>
      </c>
    </row>
    <row r="238" spans="2:5" ht="15" customHeight="1" x14ac:dyDescent="0.25">
      <c r="B238" s="82"/>
      <c r="C238" s="45" t="s">
        <v>128</v>
      </c>
      <c r="D238" s="44">
        <v>7</v>
      </c>
      <c r="E238" s="43">
        <v>7.743362831858407E-3</v>
      </c>
    </row>
    <row r="239" spans="2:5" ht="15" customHeight="1" x14ac:dyDescent="0.25">
      <c r="B239" s="82"/>
      <c r="C239" s="45" t="s">
        <v>125</v>
      </c>
      <c r="D239" s="44">
        <v>2</v>
      </c>
      <c r="E239" s="43">
        <v>2.2123893805309734E-3</v>
      </c>
    </row>
    <row r="240" spans="2:5" ht="15" customHeight="1" x14ac:dyDescent="0.25">
      <c r="B240" s="82"/>
      <c r="C240" s="45" t="s">
        <v>120</v>
      </c>
      <c r="D240" s="44">
        <v>1</v>
      </c>
      <c r="E240" s="43">
        <v>1.1061946902654867E-3</v>
      </c>
    </row>
    <row r="241" spans="2:5" ht="15" customHeight="1" x14ac:dyDescent="0.25">
      <c r="B241" s="83"/>
      <c r="C241" s="42" t="s">
        <v>20</v>
      </c>
      <c r="D241" s="41">
        <v>16</v>
      </c>
      <c r="E241" s="40">
        <v>1.7699115044247787E-2</v>
      </c>
    </row>
    <row r="242" spans="2:5" ht="15" customHeight="1" x14ac:dyDescent="0.25">
      <c r="B242" s="81" t="s">
        <v>75</v>
      </c>
      <c r="C242" s="45" t="s">
        <v>138</v>
      </c>
      <c r="D242" s="44">
        <v>1</v>
      </c>
      <c r="E242" s="43">
        <v>1.1061946902654867E-3</v>
      </c>
    </row>
    <row r="243" spans="2:5" ht="15" customHeight="1" x14ac:dyDescent="0.25">
      <c r="B243" s="82"/>
      <c r="C243" s="45" t="s">
        <v>132</v>
      </c>
      <c r="D243" s="44">
        <v>1</v>
      </c>
      <c r="E243" s="43">
        <v>1.1061946902654867E-3</v>
      </c>
    </row>
    <row r="244" spans="2:5" ht="15" customHeight="1" x14ac:dyDescent="0.25">
      <c r="B244" s="82"/>
      <c r="C244" s="45" t="s">
        <v>128</v>
      </c>
      <c r="D244" s="44">
        <v>3</v>
      </c>
      <c r="E244" s="43">
        <v>3.3185840707964601E-3</v>
      </c>
    </row>
    <row r="245" spans="2:5" ht="15" customHeight="1" x14ac:dyDescent="0.25">
      <c r="B245" s="82"/>
      <c r="C245" s="45" t="s">
        <v>125</v>
      </c>
      <c r="D245" s="44">
        <v>1</v>
      </c>
      <c r="E245" s="43">
        <v>1.1061946902654867E-3</v>
      </c>
    </row>
    <row r="246" spans="2:5" ht="15" customHeight="1" x14ac:dyDescent="0.25">
      <c r="B246" s="83"/>
      <c r="C246" s="42" t="s">
        <v>20</v>
      </c>
      <c r="D246" s="41">
        <v>6</v>
      </c>
      <c r="E246" s="40">
        <v>6.6371681415929203E-3</v>
      </c>
    </row>
    <row r="247" spans="2:5" ht="15" customHeight="1" x14ac:dyDescent="0.25">
      <c r="B247" s="81" t="s">
        <v>79</v>
      </c>
      <c r="C247" s="45" t="s">
        <v>136</v>
      </c>
      <c r="D247" s="44">
        <v>1</v>
      </c>
      <c r="E247" s="43">
        <v>1.1061946902654867E-3</v>
      </c>
    </row>
    <row r="248" spans="2:5" ht="15" customHeight="1" x14ac:dyDescent="0.25">
      <c r="B248" s="82"/>
      <c r="C248" s="45" t="s">
        <v>135</v>
      </c>
      <c r="D248" s="44">
        <v>1</v>
      </c>
      <c r="E248" s="43">
        <v>1.1061946902654867E-3</v>
      </c>
    </row>
    <row r="249" spans="2:5" ht="15" customHeight="1" x14ac:dyDescent="0.25">
      <c r="B249" s="82"/>
      <c r="C249" s="45" t="s">
        <v>132</v>
      </c>
      <c r="D249" s="44">
        <v>1</v>
      </c>
      <c r="E249" s="43">
        <v>1.1061946902654867E-3</v>
      </c>
    </row>
    <row r="250" spans="2:5" ht="15" customHeight="1" x14ac:dyDescent="0.25">
      <c r="B250" s="82"/>
      <c r="C250" s="45" t="s">
        <v>129</v>
      </c>
      <c r="D250" s="44">
        <v>1</v>
      </c>
      <c r="E250" s="43">
        <v>1.1061946902654867E-3</v>
      </c>
    </row>
    <row r="251" spans="2:5" ht="15" customHeight="1" x14ac:dyDescent="0.25">
      <c r="B251" s="82"/>
      <c r="C251" s="45" t="s">
        <v>128</v>
      </c>
      <c r="D251" s="44">
        <v>1</v>
      </c>
      <c r="E251" s="43">
        <v>1.1061946902654867E-3</v>
      </c>
    </row>
    <row r="252" spans="2:5" ht="15" customHeight="1" x14ac:dyDescent="0.25">
      <c r="B252" s="82"/>
      <c r="C252" s="45" t="s">
        <v>125</v>
      </c>
      <c r="D252" s="44">
        <v>3</v>
      </c>
      <c r="E252" s="43">
        <v>3.3185840707964601E-3</v>
      </c>
    </row>
    <row r="253" spans="2:5" ht="15" customHeight="1" x14ac:dyDescent="0.25">
      <c r="B253" s="82"/>
      <c r="C253" s="45" t="s">
        <v>120</v>
      </c>
      <c r="D253" s="44">
        <v>2</v>
      </c>
      <c r="E253" s="43">
        <v>2.2123893805309734E-3</v>
      </c>
    </row>
    <row r="254" spans="2:5" ht="15" customHeight="1" x14ac:dyDescent="0.25">
      <c r="B254" s="83"/>
      <c r="C254" s="42" t="s">
        <v>20</v>
      </c>
      <c r="D254" s="41">
        <v>10</v>
      </c>
      <c r="E254" s="40">
        <v>1.1061946902654867E-2</v>
      </c>
    </row>
    <row r="255" spans="2:5" ht="15" customHeight="1" x14ac:dyDescent="0.25">
      <c r="B255" s="81" t="s">
        <v>97</v>
      </c>
      <c r="C255" s="45" t="s">
        <v>138</v>
      </c>
      <c r="D255" s="44">
        <v>2</v>
      </c>
      <c r="E255" s="43">
        <v>2.2123893805309734E-3</v>
      </c>
    </row>
    <row r="256" spans="2:5" ht="15" customHeight="1" x14ac:dyDescent="0.25">
      <c r="B256" s="82"/>
      <c r="C256" s="45" t="s">
        <v>137</v>
      </c>
      <c r="D256" s="44">
        <v>1</v>
      </c>
      <c r="E256" s="43">
        <v>1.1061946902654867E-3</v>
      </c>
    </row>
    <row r="257" spans="2:5" ht="15" customHeight="1" x14ac:dyDescent="0.25">
      <c r="B257" s="82"/>
      <c r="C257" s="45" t="s">
        <v>136</v>
      </c>
      <c r="D257" s="44">
        <v>1</v>
      </c>
      <c r="E257" s="43">
        <v>1.1061946902654867E-3</v>
      </c>
    </row>
    <row r="258" spans="2:5" ht="15" customHeight="1" x14ac:dyDescent="0.25">
      <c r="B258" s="82"/>
      <c r="C258" s="45" t="s">
        <v>135</v>
      </c>
      <c r="D258" s="44">
        <v>1</v>
      </c>
      <c r="E258" s="43">
        <v>1.1061946902654867E-3</v>
      </c>
    </row>
    <row r="259" spans="2:5" ht="15" customHeight="1" x14ac:dyDescent="0.25">
      <c r="B259" s="82"/>
      <c r="C259" s="45" t="s">
        <v>134</v>
      </c>
      <c r="D259" s="44">
        <v>2</v>
      </c>
      <c r="E259" s="43">
        <v>2.2123893805309734E-3</v>
      </c>
    </row>
    <row r="260" spans="2:5" ht="15" customHeight="1" x14ac:dyDescent="0.25">
      <c r="B260" s="82"/>
      <c r="C260" s="45" t="s">
        <v>133</v>
      </c>
      <c r="D260" s="44">
        <v>8</v>
      </c>
      <c r="E260" s="43">
        <v>8.8495575221238937E-3</v>
      </c>
    </row>
    <row r="261" spans="2:5" ht="15" customHeight="1" x14ac:dyDescent="0.25">
      <c r="B261" s="82"/>
      <c r="C261" s="45" t="s">
        <v>132</v>
      </c>
      <c r="D261" s="44">
        <v>9</v>
      </c>
      <c r="E261" s="43">
        <v>9.9557522123893804E-3</v>
      </c>
    </row>
    <row r="262" spans="2:5" ht="15" customHeight="1" x14ac:dyDescent="0.25">
      <c r="B262" s="82"/>
      <c r="C262" s="45" t="s">
        <v>130</v>
      </c>
      <c r="D262" s="44">
        <v>1</v>
      </c>
      <c r="E262" s="43">
        <v>1.1061946902654867E-3</v>
      </c>
    </row>
    <row r="263" spans="2:5" ht="15" customHeight="1" x14ac:dyDescent="0.25">
      <c r="B263" s="82"/>
      <c r="C263" s="45" t="s">
        <v>129</v>
      </c>
      <c r="D263" s="44">
        <v>2</v>
      </c>
      <c r="E263" s="43">
        <v>2.2123893805309734E-3</v>
      </c>
    </row>
    <row r="264" spans="2:5" ht="15" customHeight="1" x14ac:dyDescent="0.25">
      <c r="B264" s="82"/>
      <c r="C264" s="45" t="s">
        <v>128</v>
      </c>
      <c r="D264" s="44">
        <v>27</v>
      </c>
      <c r="E264" s="43">
        <v>2.9867256637168143E-2</v>
      </c>
    </row>
    <row r="265" spans="2:5" ht="15" customHeight="1" x14ac:dyDescent="0.25">
      <c r="B265" s="82"/>
      <c r="C265" s="45" t="s">
        <v>127</v>
      </c>
      <c r="D265" s="44">
        <v>1</v>
      </c>
      <c r="E265" s="43">
        <v>1.1061946902654867E-3</v>
      </c>
    </row>
    <row r="266" spans="2:5" ht="15" customHeight="1" x14ac:dyDescent="0.25">
      <c r="B266" s="82"/>
      <c r="C266" s="45" t="s">
        <v>126</v>
      </c>
      <c r="D266" s="44">
        <v>5</v>
      </c>
      <c r="E266" s="43">
        <v>5.5309734513274336E-3</v>
      </c>
    </row>
    <row r="267" spans="2:5" ht="15" customHeight="1" x14ac:dyDescent="0.25">
      <c r="B267" s="82"/>
      <c r="C267" s="45" t="s">
        <v>125</v>
      </c>
      <c r="D267" s="44">
        <v>10</v>
      </c>
      <c r="E267" s="43">
        <v>1.1061946902654867E-2</v>
      </c>
    </row>
    <row r="268" spans="2:5" ht="15" customHeight="1" x14ac:dyDescent="0.25">
      <c r="B268" s="82"/>
      <c r="C268" s="45" t="s">
        <v>121</v>
      </c>
      <c r="D268" s="44">
        <v>1</v>
      </c>
      <c r="E268" s="43">
        <v>1.1061946902654867E-3</v>
      </c>
    </row>
    <row r="269" spans="2:5" ht="15" customHeight="1" x14ac:dyDescent="0.25">
      <c r="B269" s="82"/>
      <c r="C269" s="45" t="s">
        <v>120</v>
      </c>
      <c r="D269" s="44">
        <v>1</v>
      </c>
      <c r="E269" s="43">
        <v>1.1061946902654867E-3</v>
      </c>
    </row>
    <row r="270" spans="2:5" ht="15" customHeight="1" x14ac:dyDescent="0.25">
      <c r="B270" s="83"/>
      <c r="C270" s="42" t="s">
        <v>20</v>
      </c>
      <c r="D270" s="41">
        <v>72</v>
      </c>
      <c r="E270" s="40">
        <v>7.9646017699115043E-2</v>
      </c>
    </row>
    <row r="271" spans="2:5" ht="15" customHeight="1" x14ac:dyDescent="0.25">
      <c r="B271" s="81" t="s">
        <v>89</v>
      </c>
      <c r="C271" s="45" t="s">
        <v>133</v>
      </c>
      <c r="D271" s="44">
        <v>1</v>
      </c>
      <c r="E271" s="43">
        <v>1.1061946902654867E-3</v>
      </c>
    </row>
    <row r="272" spans="2:5" ht="15" customHeight="1" x14ac:dyDescent="0.25">
      <c r="B272" s="82"/>
      <c r="C272" s="45" t="s">
        <v>132</v>
      </c>
      <c r="D272" s="44">
        <v>1</v>
      </c>
      <c r="E272" s="43">
        <v>1.1061946902654867E-3</v>
      </c>
    </row>
    <row r="273" spans="2:5" ht="15" customHeight="1" x14ac:dyDescent="0.25">
      <c r="B273" s="82"/>
      <c r="C273" s="45" t="s">
        <v>130</v>
      </c>
      <c r="D273" s="44">
        <v>1</v>
      </c>
      <c r="E273" s="43">
        <v>1.1061946902654867E-3</v>
      </c>
    </row>
    <row r="274" spans="2:5" ht="15" customHeight="1" x14ac:dyDescent="0.25">
      <c r="B274" s="82"/>
      <c r="C274" s="45" t="s">
        <v>128</v>
      </c>
      <c r="D274" s="44">
        <v>12</v>
      </c>
      <c r="E274" s="43">
        <v>1.3274336283185841E-2</v>
      </c>
    </row>
    <row r="275" spans="2:5" ht="15" customHeight="1" x14ac:dyDescent="0.25">
      <c r="B275" s="82"/>
      <c r="C275" s="45" t="s">
        <v>127</v>
      </c>
      <c r="D275" s="44">
        <v>1</v>
      </c>
      <c r="E275" s="43">
        <v>1.1061946902654867E-3</v>
      </c>
    </row>
    <row r="276" spans="2:5" ht="15" customHeight="1" x14ac:dyDescent="0.25">
      <c r="B276" s="82"/>
      <c r="C276" s="45" t="s">
        <v>126</v>
      </c>
      <c r="D276" s="44">
        <v>2</v>
      </c>
      <c r="E276" s="43">
        <v>2.2123893805309734E-3</v>
      </c>
    </row>
    <row r="277" spans="2:5" ht="15" customHeight="1" x14ac:dyDescent="0.25">
      <c r="B277" s="82"/>
      <c r="C277" s="45" t="s">
        <v>125</v>
      </c>
      <c r="D277" s="44">
        <v>6</v>
      </c>
      <c r="E277" s="43">
        <v>6.6371681415929203E-3</v>
      </c>
    </row>
    <row r="278" spans="2:5" ht="15" customHeight="1" x14ac:dyDescent="0.25">
      <c r="B278" s="83"/>
      <c r="C278" s="42" t="s">
        <v>20</v>
      </c>
      <c r="D278" s="41">
        <v>24</v>
      </c>
      <c r="E278" s="40">
        <v>2.6548672566371681E-2</v>
      </c>
    </row>
    <row r="279" spans="2:5" ht="15" customHeight="1" x14ac:dyDescent="0.25">
      <c r="B279" s="81" t="s">
        <v>74</v>
      </c>
      <c r="C279" s="45" t="s">
        <v>133</v>
      </c>
      <c r="D279" s="44">
        <v>1</v>
      </c>
      <c r="E279" s="43">
        <v>1.1061946902654867E-3</v>
      </c>
    </row>
    <row r="280" spans="2:5" ht="15" customHeight="1" x14ac:dyDescent="0.25">
      <c r="B280" s="82"/>
      <c r="C280" s="45" t="s">
        <v>132</v>
      </c>
      <c r="D280" s="44">
        <v>1</v>
      </c>
      <c r="E280" s="43">
        <v>1.1061946902654867E-3</v>
      </c>
    </row>
    <row r="281" spans="2:5" ht="15" customHeight="1" x14ac:dyDescent="0.25">
      <c r="B281" s="82"/>
      <c r="C281" s="45" t="s">
        <v>129</v>
      </c>
      <c r="D281" s="44">
        <v>1</v>
      </c>
      <c r="E281" s="43">
        <v>1.1061946902654867E-3</v>
      </c>
    </row>
    <row r="282" spans="2:5" ht="15" customHeight="1" x14ac:dyDescent="0.25">
      <c r="B282" s="82"/>
      <c r="C282" s="45" t="s">
        <v>128</v>
      </c>
      <c r="D282" s="44">
        <v>5</v>
      </c>
      <c r="E282" s="43">
        <v>5.5309734513274336E-3</v>
      </c>
    </row>
    <row r="283" spans="2:5" ht="15" customHeight="1" x14ac:dyDescent="0.25">
      <c r="B283" s="82"/>
      <c r="C283" s="45" t="s">
        <v>125</v>
      </c>
      <c r="D283" s="44">
        <v>11</v>
      </c>
      <c r="E283" s="43">
        <v>1.2168141592920354E-2</v>
      </c>
    </row>
    <row r="284" spans="2:5" ht="15" customHeight="1" x14ac:dyDescent="0.25">
      <c r="B284" s="82"/>
      <c r="C284" s="45" t="s">
        <v>120</v>
      </c>
      <c r="D284" s="44">
        <v>1</v>
      </c>
      <c r="E284" s="43">
        <v>1.1061946902654867E-3</v>
      </c>
    </row>
    <row r="285" spans="2:5" ht="15" customHeight="1" x14ac:dyDescent="0.25">
      <c r="B285" s="82"/>
      <c r="C285" s="45" t="s">
        <v>144</v>
      </c>
      <c r="D285" s="44">
        <v>1</v>
      </c>
      <c r="E285" s="43">
        <v>1.1061946902654867E-3</v>
      </c>
    </row>
    <row r="286" spans="2:5" ht="15" customHeight="1" x14ac:dyDescent="0.25">
      <c r="B286" s="83"/>
      <c r="C286" s="42" t="s">
        <v>20</v>
      </c>
      <c r="D286" s="41">
        <v>21</v>
      </c>
      <c r="E286" s="40">
        <v>2.3230088495575223E-2</v>
      </c>
    </row>
    <row r="287" spans="2:5" ht="15" customHeight="1" x14ac:dyDescent="0.25">
      <c r="B287" s="81" t="s">
        <v>76</v>
      </c>
      <c r="C287" s="45" t="s">
        <v>135</v>
      </c>
      <c r="D287" s="44">
        <v>1</v>
      </c>
      <c r="E287" s="43">
        <v>1.1061946902654867E-3</v>
      </c>
    </row>
    <row r="288" spans="2:5" ht="15" customHeight="1" x14ac:dyDescent="0.25">
      <c r="B288" s="82"/>
      <c r="C288" s="45" t="s">
        <v>132</v>
      </c>
      <c r="D288" s="44">
        <v>1</v>
      </c>
      <c r="E288" s="43">
        <v>1.1061946902654867E-3</v>
      </c>
    </row>
    <row r="289" spans="2:5" ht="15" customHeight="1" x14ac:dyDescent="0.25">
      <c r="B289" s="82"/>
      <c r="C289" s="45" t="s">
        <v>128</v>
      </c>
      <c r="D289" s="44">
        <v>1</v>
      </c>
      <c r="E289" s="43">
        <v>1.1061946902654867E-3</v>
      </c>
    </row>
    <row r="290" spans="2:5" ht="15" customHeight="1" x14ac:dyDescent="0.25">
      <c r="B290" s="82"/>
      <c r="C290" s="45" t="s">
        <v>125</v>
      </c>
      <c r="D290" s="44">
        <v>3</v>
      </c>
      <c r="E290" s="43">
        <v>3.3185840707964601E-3</v>
      </c>
    </row>
    <row r="291" spans="2:5" ht="15" customHeight="1" x14ac:dyDescent="0.25">
      <c r="B291" s="83"/>
      <c r="C291" s="42" t="s">
        <v>20</v>
      </c>
      <c r="D291" s="41">
        <v>6</v>
      </c>
      <c r="E291" s="40">
        <v>6.6371681415929203E-3</v>
      </c>
    </row>
    <row r="292" spans="2:5" ht="15" customHeight="1" x14ac:dyDescent="0.25">
      <c r="B292" s="81" t="s">
        <v>84</v>
      </c>
      <c r="C292" s="45" t="s">
        <v>133</v>
      </c>
      <c r="D292" s="44">
        <v>4</v>
      </c>
      <c r="E292" s="43">
        <v>4.4247787610619468E-3</v>
      </c>
    </row>
    <row r="293" spans="2:5" ht="15" customHeight="1" x14ac:dyDescent="0.25">
      <c r="B293" s="82"/>
      <c r="C293" s="45" t="s">
        <v>132</v>
      </c>
      <c r="D293" s="44">
        <v>1</v>
      </c>
      <c r="E293" s="43">
        <v>1.1061946902654867E-3</v>
      </c>
    </row>
    <row r="294" spans="2:5" ht="15" customHeight="1" x14ac:dyDescent="0.25">
      <c r="B294" s="82"/>
      <c r="C294" s="45" t="s">
        <v>130</v>
      </c>
      <c r="D294" s="44">
        <v>1</v>
      </c>
      <c r="E294" s="43">
        <v>1.1061946902654867E-3</v>
      </c>
    </row>
    <row r="295" spans="2:5" ht="15" customHeight="1" x14ac:dyDescent="0.25">
      <c r="B295" s="82"/>
      <c r="C295" s="45" t="s">
        <v>129</v>
      </c>
      <c r="D295" s="44">
        <v>2</v>
      </c>
      <c r="E295" s="43">
        <v>2.2123893805309734E-3</v>
      </c>
    </row>
    <row r="296" spans="2:5" ht="15" customHeight="1" x14ac:dyDescent="0.25">
      <c r="B296" s="82"/>
      <c r="C296" s="45" t="s">
        <v>128</v>
      </c>
      <c r="D296" s="44">
        <v>15</v>
      </c>
      <c r="E296" s="43">
        <v>1.6592920353982302E-2</v>
      </c>
    </row>
    <row r="297" spans="2:5" ht="15" customHeight="1" x14ac:dyDescent="0.25">
      <c r="B297" s="82"/>
      <c r="C297" s="45" t="s">
        <v>126</v>
      </c>
      <c r="D297" s="44">
        <v>3</v>
      </c>
      <c r="E297" s="43">
        <v>3.3185840707964601E-3</v>
      </c>
    </row>
    <row r="298" spans="2:5" ht="15" customHeight="1" x14ac:dyDescent="0.25">
      <c r="B298" s="82"/>
      <c r="C298" s="45" t="s">
        <v>125</v>
      </c>
      <c r="D298" s="44">
        <v>10</v>
      </c>
      <c r="E298" s="43">
        <v>1.1061946902654867E-2</v>
      </c>
    </row>
    <row r="299" spans="2:5" ht="15" customHeight="1" x14ac:dyDescent="0.25">
      <c r="B299" s="82"/>
      <c r="C299" s="45" t="s">
        <v>120</v>
      </c>
      <c r="D299" s="44">
        <v>2</v>
      </c>
      <c r="E299" s="43">
        <v>2.2123893805309734E-3</v>
      </c>
    </row>
    <row r="300" spans="2:5" ht="15" customHeight="1" x14ac:dyDescent="0.25">
      <c r="B300" s="83"/>
      <c r="C300" s="42" t="s">
        <v>20</v>
      </c>
      <c r="D300" s="41">
        <v>38</v>
      </c>
      <c r="E300" s="40">
        <v>4.2035398230088498E-2</v>
      </c>
    </row>
    <row r="301" spans="2:5" ht="15" customHeight="1" x14ac:dyDescent="0.25">
      <c r="B301" s="81" t="s">
        <v>96</v>
      </c>
      <c r="C301" s="45" t="s">
        <v>138</v>
      </c>
      <c r="D301" s="44">
        <v>1</v>
      </c>
      <c r="E301" s="43">
        <v>1.1061946902654867E-3</v>
      </c>
    </row>
    <row r="302" spans="2:5" ht="15" customHeight="1" x14ac:dyDescent="0.25">
      <c r="B302" s="82"/>
      <c r="C302" s="45" t="s">
        <v>136</v>
      </c>
      <c r="D302" s="44">
        <v>1</v>
      </c>
      <c r="E302" s="43">
        <v>1.1061946902654867E-3</v>
      </c>
    </row>
    <row r="303" spans="2:5" ht="15" customHeight="1" x14ac:dyDescent="0.25">
      <c r="B303" s="82"/>
      <c r="C303" s="45" t="s">
        <v>129</v>
      </c>
      <c r="D303" s="44">
        <v>1</v>
      </c>
      <c r="E303" s="43">
        <v>1.1061946902654867E-3</v>
      </c>
    </row>
    <row r="304" spans="2:5" ht="15" customHeight="1" x14ac:dyDescent="0.25">
      <c r="B304" s="82"/>
      <c r="C304" s="45" t="s">
        <v>128</v>
      </c>
      <c r="D304" s="44">
        <v>2</v>
      </c>
      <c r="E304" s="43">
        <v>2.2123893805309734E-3</v>
      </c>
    </row>
    <row r="305" spans="2:5" ht="15" customHeight="1" x14ac:dyDescent="0.25">
      <c r="B305" s="82"/>
      <c r="C305" s="45" t="s">
        <v>126</v>
      </c>
      <c r="D305" s="44">
        <v>1</v>
      </c>
      <c r="E305" s="43">
        <v>1.1061946902654867E-3</v>
      </c>
    </row>
    <row r="306" spans="2:5" ht="15" customHeight="1" x14ac:dyDescent="0.25">
      <c r="B306" s="82"/>
      <c r="C306" s="45" t="s">
        <v>125</v>
      </c>
      <c r="D306" s="44">
        <v>2</v>
      </c>
      <c r="E306" s="43">
        <v>2.2123893805309734E-3</v>
      </c>
    </row>
    <row r="307" spans="2:5" ht="15" customHeight="1" x14ac:dyDescent="0.25">
      <c r="B307" s="82"/>
      <c r="C307" s="45" t="s">
        <v>120</v>
      </c>
      <c r="D307" s="44">
        <v>3</v>
      </c>
      <c r="E307" s="43">
        <v>3.3185840707964601E-3</v>
      </c>
    </row>
    <row r="308" spans="2:5" ht="15" customHeight="1" x14ac:dyDescent="0.25">
      <c r="B308" s="83"/>
      <c r="C308" s="42" t="s">
        <v>20</v>
      </c>
      <c r="D308" s="41">
        <v>11</v>
      </c>
      <c r="E308" s="40">
        <v>1.2168141592920354E-2</v>
      </c>
    </row>
    <row r="309" spans="2:5" ht="15" customHeight="1" x14ac:dyDescent="0.25">
      <c r="B309" s="81" t="s">
        <v>80</v>
      </c>
      <c r="C309" s="45" t="s">
        <v>136</v>
      </c>
      <c r="D309" s="44">
        <v>1</v>
      </c>
      <c r="E309" s="43">
        <v>1.1061946902654867E-3</v>
      </c>
    </row>
    <row r="310" spans="2:5" ht="15" customHeight="1" x14ac:dyDescent="0.25">
      <c r="B310" s="82"/>
      <c r="C310" s="45" t="s">
        <v>133</v>
      </c>
      <c r="D310" s="44">
        <v>1</v>
      </c>
      <c r="E310" s="43">
        <v>1.1061946902654867E-3</v>
      </c>
    </row>
    <row r="311" spans="2:5" ht="15" customHeight="1" x14ac:dyDescent="0.25">
      <c r="B311" s="82"/>
      <c r="C311" s="45" t="s">
        <v>132</v>
      </c>
      <c r="D311" s="44">
        <v>1</v>
      </c>
      <c r="E311" s="43">
        <v>1.1061946902654867E-3</v>
      </c>
    </row>
    <row r="312" spans="2:5" ht="15" customHeight="1" x14ac:dyDescent="0.25">
      <c r="B312" s="82"/>
      <c r="C312" s="45" t="s">
        <v>128</v>
      </c>
      <c r="D312" s="44">
        <v>3</v>
      </c>
      <c r="E312" s="43">
        <v>3.3185840707964601E-3</v>
      </c>
    </row>
    <row r="313" spans="2:5" ht="15" customHeight="1" x14ac:dyDescent="0.25">
      <c r="B313" s="82"/>
      <c r="C313" s="45" t="s">
        <v>127</v>
      </c>
      <c r="D313" s="44">
        <v>1</v>
      </c>
      <c r="E313" s="43">
        <v>1.1061946902654867E-3</v>
      </c>
    </row>
    <row r="314" spans="2:5" ht="15" customHeight="1" x14ac:dyDescent="0.25">
      <c r="B314" s="82"/>
      <c r="C314" s="45" t="s">
        <v>125</v>
      </c>
      <c r="D314" s="44">
        <v>2</v>
      </c>
      <c r="E314" s="43">
        <v>2.2123893805309734E-3</v>
      </c>
    </row>
    <row r="315" spans="2:5" ht="15" customHeight="1" x14ac:dyDescent="0.25">
      <c r="B315" s="82"/>
      <c r="C315" s="45" t="s">
        <v>121</v>
      </c>
      <c r="D315" s="44">
        <v>1</v>
      </c>
      <c r="E315" s="43">
        <v>1.1061946902654867E-3</v>
      </c>
    </row>
    <row r="316" spans="2:5" ht="15" customHeight="1" x14ac:dyDescent="0.25">
      <c r="B316" s="83"/>
      <c r="C316" s="42" t="s">
        <v>20</v>
      </c>
      <c r="D316" s="41">
        <v>10</v>
      </c>
      <c r="E316" s="40">
        <v>1.1061946902654867E-2</v>
      </c>
    </row>
    <row r="317" spans="2:5" ht="15" customHeight="1" x14ac:dyDescent="0.25">
      <c r="B317" s="81" t="s">
        <v>93</v>
      </c>
      <c r="C317" s="45" t="s">
        <v>134</v>
      </c>
      <c r="D317" s="44">
        <v>1</v>
      </c>
      <c r="E317" s="43">
        <v>1.1061946902654867E-3</v>
      </c>
    </row>
    <row r="318" spans="2:5" ht="15" customHeight="1" x14ac:dyDescent="0.25">
      <c r="B318" s="82"/>
      <c r="C318" s="45" t="s">
        <v>133</v>
      </c>
      <c r="D318" s="44">
        <v>2</v>
      </c>
      <c r="E318" s="43">
        <v>2.2123893805309734E-3</v>
      </c>
    </row>
    <row r="319" spans="2:5" ht="15" customHeight="1" x14ac:dyDescent="0.25">
      <c r="B319" s="82"/>
      <c r="C319" s="45" t="s">
        <v>132</v>
      </c>
      <c r="D319" s="44">
        <v>6</v>
      </c>
      <c r="E319" s="43">
        <v>6.6371681415929203E-3</v>
      </c>
    </row>
    <row r="320" spans="2:5" ht="15" customHeight="1" x14ac:dyDescent="0.25">
      <c r="B320" s="82"/>
      <c r="C320" s="45" t="s">
        <v>130</v>
      </c>
      <c r="D320" s="44">
        <v>1</v>
      </c>
      <c r="E320" s="43">
        <v>1.1061946902654867E-3</v>
      </c>
    </row>
    <row r="321" spans="2:5" ht="15" customHeight="1" x14ac:dyDescent="0.25">
      <c r="B321" s="82"/>
      <c r="C321" s="45" t="s">
        <v>128</v>
      </c>
      <c r="D321" s="44">
        <v>10</v>
      </c>
      <c r="E321" s="43">
        <v>1.1061946902654867E-2</v>
      </c>
    </row>
    <row r="322" spans="2:5" ht="15" customHeight="1" x14ac:dyDescent="0.25">
      <c r="B322" s="82"/>
      <c r="C322" s="45" t="s">
        <v>126</v>
      </c>
      <c r="D322" s="44">
        <v>1</v>
      </c>
      <c r="E322" s="43">
        <v>1.1061946902654867E-3</v>
      </c>
    </row>
    <row r="323" spans="2:5" ht="15" customHeight="1" x14ac:dyDescent="0.25">
      <c r="B323" s="82"/>
      <c r="C323" s="45" t="s">
        <v>125</v>
      </c>
      <c r="D323" s="44">
        <v>2</v>
      </c>
      <c r="E323" s="43">
        <v>2.2123893805309734E-3</v>
      </c>
    </row>
    <row r="324" spans="2:5" ht="15" customHeight="1" x14ac:dyDescent="0.25">
      <c r="B324" s="82"/>
      <c r="C324" s="45" t="s">
        <v>124</v>
      </c>
      <c r="D324" s="44">
        <v>1</v>
      </c>
      <c r="E324" s="43">
        <v>1.1061946902654867E-3</v>
      </c>
    </row>
    <row r="325" spans="2:5" ht="15" customHeight="1" x14ac:dyDescent="0.25">
      <c r="B325" s="82"/>
      <c r="C325" s="45" t="s">
        <v>121</v>
      </c>
      <c r="D325" s="44">
        <v>1</v>
      </c>
      <c r="E325" s="43">
        <v>1.1061946902654867E-3</v>
      </c>
    </row>
    <row r="326" spans="2:5" ht="15" customHeight="1" x14ac:dyDescent="0.25">
      <c r="B326" s="82"/>
      <c r="C326" s="45" t="s">
        <v>190</v>
      </c>
      <c r="D326" s="44">
        <v>1</v>
      </c>
      <c r="E326" s="43">
        <v>1.1061946902654867E-3</v>
      </c>
    </row>
    <row r="327" spans="2:5" ht="15" customHeight="1" x14ac:dyDescent="0.25">
      <c r="B327" s="83"/>
      <c r="C327" s="42" t="s">
        <v>20</v>
      </c>
      <c r="D327" s="41">
        <v>26</v>
      </c>
      <c r="E327" s="40">
        <v>2.8761061946902654E-2</v>
      </c>
    </row>
    <row r="328" spans="2:5" ht="15" customHeight="1" x14ac:dyDescent="0.25">
      <c r="B328" s="81" t="s">
        <v>143</v>
      </c>
      <c r="C328" s="45" t="s">
        <v>139</v>
      </c>
      <c r="D328" s="44">
        <v>1</v>
      </c>
      <c r="E328" s="43">
        <v>1.1061946902654867E-3</v>
      </c>
    </row>
    <row r="329" spans="2:5" ht="15" customHeight="1" x14ac:dyDescent="0.25">
      <c r="B329" s="82"/>
      <c r="C329" s="45" t="s">
        <v>138</v>
      </c>
      <c r="D329" s="44">
        <v>1</v>
      </c>
      <c r="E329" s="43">
        <v>1.1061946902654867E-3</v>
      </c>
    </row>
    <row r="330" spans="2:5" ht="15" customHeight="1" x14ac:dyDescent="0.25">
      <c r="B330" s="82"/>
      <c r="C330" s="45" t="s">
        <v>136</v>
      </c>
      <c r="D330" s="44">
        <v>1</v>
      </c>
      <c r="E330" s="43">
        <v>1.1061946902654867E-3</v>
      </c>
    </row>
    <row r="331" spans="2:5" ht="15" customHeight="1" x14ac:dyDescent="0.25">
      <c r="B331" s="82"/>
      <c r="C331" s="45" t="s">
        <v>135</v>
      </c>
      <c r="D331" s="44">
        <v>1</v>
      </c>
      <c r="E331" s="43">
        <v>1.1061946902654867E-3</v>
      </c>
    </row>
    <row r="332" spans="2:5" ht="15" customHeight="1" x14ac:dyDescent="0.25">
      <c r="B332" s="82"/>
      <c r="C332" s="45" t="s">
        <v>133</v>
      </c>
      <c r="D332" s="44">
        <v>3</v>
      </c>
      <c r="E332" s="43">
        <v>3.3185840707964601E-3</v>
      </c>
    </row>
    <row r="333" spans="2:5" ht="15" customHeight="1" x14ac:dyDescent="0.25">
      <c r="B333" s="82"/>
      <c r="C333" s="45" t="s">
        <v>132</v>
      </c>
      <c r="D333" s="44">
        <v>5</v>
      </c>
      <c r="E333" s="43">
        <v>5.5309734513274336E-3</v>
      </c>
    </row>
    <row r="334" spans="2:5" ht="15" customHeight="1" x14ac:dyDescent="0.25">
      <c r="B334" s="82"/>
      <c r="C334" s="45" t="s">
        <v>131</v>
      </c>
      <c r="D334" s="44">
        <v>3</v>
      </c>
      <c r="E334" s="43">
        <v>3.3185840707964601E-3</v>
      </c>
    </row>
    <row r="335" spans="2:5" ht="15" customHeight="1" x14ac:dyDescent="0.25">
      <c r="B335" s="82"/>
      <c r="C335" s="45" t="s">
        <v>130</v>
      </c>
      <c r="D335" s="44">
        <v>3</v>
      </c>
      <c r="E335" s="43">
        <v>3.3185840707964601E-3</v>
      </c>
    </row>
    <row r="336" spans="2:5" ht="15" customHeight="1" x14ac:dyDescent="0.25">
      <c r="B336" s="82"/>
      <c r="C336" s="45" t="s">
        <v>129</v>
      </c>
      <c r="D336" s="44">
        <v>1</v>
      </c>
      <c r="E336" s="43">
        <v>1.1061946902654867E-3</v>
      </c>
    </row>
    <row r="337" spans="2:5" ht="15" customHeight="1" x14ac:dyDescent="0.25">
      <c r="B337" s="82"/>
      <c r="C337" s="45" t="s">
        <v>128</v>
      </c>
      <c r="D337" s="44">
        <v>18</v>
      </c>
      <c r="E337" s="43">
        <v>1.9911504424778761E-2</v>
      </c>
    </row>
    <row r="338" spans="2:5" ht="15" customHeight="1" x14ac:dyDescent="0.25">
      <c r="B338" s="82"/>
      <c r="C338" s="45" t="s">
        <v>127</v>
      </c>
      <c r="D338" s="44">
        <v>3</v>
      </c>
      <c r="E338" s="43">
        <v>3.3185840707964601E-3</v>
      </c>
    </row>
    <row r="339" spans="2:5" ht="15" customHeight="1" x14ac:dyDescent="0.25">
      <c r="B339" s="82"/>
      <c r="C339" s="45" t="s">
        <v>126</v>
      </c>
      <c r="D339" s="44">
        <v>2</v>
      </c>
      <c r="E339" s="43">
        <v>2.2123893805309734E-3</v>
      </c>
    </row>
    <row r="340" spans="2:5" ht="15" customHeight="1" x14ac:dyDescent="0.25">
      <c r="B340" s="82"/>
      <c r="C340" s="45" t="s">
        <v>125</v>
      </c>
      <c r="D340" s="44">
        <v>6</v>
      </c>
      <c r="E340" s="43">
        <v>6.6371681415929203E-3</v>
      </c>
    </row>
    <row r="341" spans="2:5" ht="15" customHeight="1" x14ac:dyDescent="0.25">
      <c r="B341" s="82"/>
      <c r="C341" s="45" t="s">
        <v>120</v>
      </c>
      <c r="D341" s="44">
        <v>1</v>
      </c>
      <c r="E341" s="43">
        <v>1.1061946902654867E-3</v>
      </c>
    </row>
    <row r="342" spans="2:5" ht="15" customHeight="1" x14ac:dyDescent="0.25">
      <c r="B342" s="83"/>
      <c r="C342" s="42" t="s">
        <v>20</v>
      </c>
      <c r="D342" s="41">
        <v>49</v>
      </c>
      <c r="E342" s="40">
        <v>5.4203539823008851E-2</v>
      </c>
    </row>
    <row r="343" spans="2:5" ht="15" customHeight="1" x14ac:dyDescent="0.25">
      <c r="B343" s="81" t="s">
        <v>95</v>
      </c>
      <c r="C343" s="45" t="s">
        <v>139</v>
      </c>
      <c r="D343" s="44">
        <v>1</v>
      </c>
      <c r="E343" s="43">
        <v>1.1061946902654867E-3</v>
      </c>
    </row>
    <row r="344" spans="2:5" ht="15" customHeight="1" x14ac:dyDescent="0.25">
      <c r="B344" s="82"/>
      <c r="C344" s="45" t="s">
        <v>134</v>
      </c>
      <c r="D344" s="44">
        <v>1</v>
      </c>
      <c r="E344" s="43">
        <v>1.1061946902654867E-3</v>
      </c>
    </row>
    <row r="345" spans="2:5" ht="15" customHeight="1" x14ac:dyDescent="0.25">
      <c r="B345" s="82"/>
      <c r="C345" s="45" t="s">
        <v>133</v>
      </c>
      <c r="D345" s="44">
        <v>1</v>
      </c>
      <c r="E345" s="43">
        <v>1.1061946902654867E-3</v>
      </c>
    </row>
    <row r="346" spans="2:5" ht="15" customHeight="1" x14ac:dyDescent="0.25">
      <c r="B346" s="82"/>
      <c r="C346" s="45" t="s">
        <v>132</v>
      </c>
      <c r="D346" s="44">
        <v>3</v>
      </c>
      <c r="E346" s="43">
        <v>3.3185840707964601E-3</v>
      </c>
    </row>
    <row r="347" spans="2:5" ht="15" customHeight="1" x14ac:dyDescent="0.25">
      <c r="B347" s="82"/>
      <c r="C347" s="45" t="s">
        <v>128</v>
      </c>
      <c r="D347" s="44">
        <v>4</v>
      </c>
      <c r="E347" s="43">
        <v>4.4247787610619468E-3</v>
      </c>
    </row>
    <row r="348" spans="2:5" ht="15" customHeight="1" x14ac:dyDescent="0.25">
      <c r="B348" s="82"/>
      <c r="C348" s="45" t="s">
        <v>126</v>
      </c>
      <c r="D348" s="44">
        <v>2</v>
      </c>
      <c r="E348" s="43">
        <v>2.2123893805309734E-3</v>
      </c>
    </row>
    <row r="349" spans="2:5" ht="15" customHeight="1" x14ac:dyDescent="0.25">
      <c r="B349" s="82"/>
      <c r="C349" s="45" t="s">
        <v>125</v>
      </c>
      <c r="D349" s="44">
        <v>3</v>
      </c>
      <c r="E349" s="43">
        <v>3.3185840707964601E-3</v>
      </c>
    </row>
    <row r="350" spans="2:5" ht="15" customHeight="1" x14ac:dyDescent="0.25">
      <c r="B350" s="82"/>
      <c r="C350" s="45" t="s">
        <v>120</v>
      </c>
      <c r="D350" s="44">
        <v>1</v>
      </c>
      <c r="E350" s="43">
        <v>1.1061946902654867E-3</v>
      </c>
    </row>
    <row r="351" spans="2:5" ht="15" customHeight="1" x14ac:dyDescent="0.25">
      <c r="B351" s="83"/>
      <c r="C351" s="42" t="s">
        <v>20</v>
      </c>
      <c r="D351" s="41">
        <v>16</v>
      </c>
      <c r="E351" s="40">
        <v>1.7699115044247787E-2</v>
      </c>
    </row>
    <row r="352" spans="2:5" ht="15" customHeight="1" x14ac:dyDescent="0.25">
      <c r="B352" s="81" t="s">
        <v>73</v>
      </c>
      <c r="C352" s="45" t="s">
        <v>133</v>
      </c>
      <c r="D352" s="44">
        <v>1</v>
      </c>
      <c r="E352" s="43">
        <v>1.1061946902654867E-3</v>
      </c>
    </row>
    <row r="353" spans="2:5" ht="15" customHeight="1" x14ac:dyDescent="0.25">
      <c r="B353" s="82"/>
      <c r="C353" s="45" t="s">
        <v>132</v>
      </c>
      <c r="D353" s="44">
        <v>2</v>
      </c>
      <c r="E353" s="43">
        <v>2.2123893805309734E-3</v>
      </c>
    </row>
    <row r="354" spans="2:5" ht="15" customHeight="1" x14ac:dyDescent="0.25">
      <c r="B354" s="82"/>
      <c r="C354" s="45" t="s">
        <v>128</v>
      </c>
      <c r="D354" s="44">
        <v>1</v>
      </c>
      <c r="E354" s="43">
        <v>1.1061946902654867E-3</v>
      </c>
    </row>
    <row r="355" spans="2:5" ht="15" customHeight="1" x14ac:dyDescent="0.25">
      <c r="B355" s="83"/>
      <c r="C355" s="42" t="s">
        <v>20</v>
      </c>
      <c r="D355" s="41">
        <v>4</v>
      </c>
      <c r="E355" s="40">
        <v>4.4247787610619468E-3</v>
      </c>
    </row>
    <row r="356" spans="2:5" ht="15" customHeight="1" x14ac:dyDescent="0.25">
      <c r="B356" s="81" t="s">
        <v>64</v>
      </c>
      <c r="C356" s="45" t="s">
        <v>128</v>
      </c>
      <c r="D356" s="44">
        <v>1</v>
      </c>
      <c r="E356" s="43">
        <v>1.1061946902654867E-3</v>
      </c>
    </row>
    <row r="357" spans="2:5" ht="15" customHeight="1" x14ac:dyDescent="0.25">
      <c r="B357" s="83"/>
      <c r="C357" s="42" t="s">
        <v>20</v>
      </c>
      <c r="D357" s="41">
        <v>1</v>
      </c>
      <c r="E357" s="40">
        <v>1.1061946902654867E-3</v>
      </c>
    </row>
    <row r="358" spans="2:5" ht="15" customHeight="1" x14ac:dyDescent="0.25">
      <c r="B358" s="81" t="s">
        <v>38</v>
      </c>
      <c r="C358" s="45" t="s">
        <v>139</v>
      </c>
      <c r="D358" s="44">
        <v>2</v>
      </c>
      <c r="E358" s="43">
        <v>2.2123893805309734E-3</v>
      </c>
    </row>
    <row r="359" spans="2:5" ht="15" customHeight="1" x14ac:dyDescent="0.25">
      <c r="B359" s="82"/>
      <c r="C359" s="45" t="s">
        <v>135</v>
      </c>
      <c r="D359" s="44">
        <v>1</v>
      </c>
      <c r="E359" s="43">
        <v>1.1061946902654867E-3</v>
      </c>
    </row>
    <row r="360" spans="2:5" ht="15" customHeight="1" x14ac:dyDescent="0.25">
      <c r="B360" s="82"/>
      <c r="C360" s="45" t="s">
        <v>134</v>
      </c>
      <c r="D360" s="44">
        <v>1</v>
      </c>
      <c r="E360" s="43">
        <v>1.1061946902654867E-3</v>
      </c>
    </row>
    <row r="361" spans="2:5" ht="15" customHeight="1" x14ac:dyDescent="0.25">
      <c r="B361" s="82"/>
      <c r="C361" s="45" t="s">
        <v>133</v>
      </c>
      <c r="D361" s="44">
        <v>2</v>
      </c>
      <c r="E361" s="43">
        <v>2.2123893805309734E-3</v>
      </c>
    </row>
    <row r="362" spans="2:5" ht="15" customHeight="1" x14ac:dyDescent="0.25">
      <c r="B362" s="82"/>
      <c r="C362" s="45" t="s">
        <v>132</v>
      </c>
      <c r="D362" s="44">
        <v>1</v>
      </c>
      <c r="E362" s="43">
        <v>1.1061946902654867E-3</v>
      </c>
    </row>
    <row r="363" spans="2:5" ht="15" customHeight="1" x14ac:dyDescent="0.25">
      <c r="B363" s="82"/>
      <c r="C363" s="45" t="s">
        <v>129</v>
      </c>
      <c r="D363" s="44">
        <v>1</v>
      </c>
      <c r="E363" s="43">
        <v>1.1061946902654867E-3</v>
      </c>
    </row>
    <row r="364" spans="2:5" ht="15" customHeight="1" x14ac:dyDescent="0.25">
      <c r="B364" s="82"/>
      <c r="C364" s="45" t="s">
        <v>128</v>
      </c>
      <c r="D364" s="44">
        <v>3</v>
      </c>
      <c r="E364" s="43">
        <v>3.3185840707964601E-3</v>
      </c>
    </row>
    <row r="365" spans="2:5" ht="15" customHeight="1" x14ac:dyDescent="0.25">
      <c r="B365" s="82"/>
      <c r="C365" s="45" t="s">
        <v>125</v>
      </c>
      <c r="D365" s="44">
        <v>1</v>
      </c>
      <c r="E365" s="43">
        <v>1.1061946902654867E-3</v>
      </c>
    </row>
    <row r="366" spans="2:5" ht="15" customHeight="1" x14ac:dyDescent="0.25">
      <c r="B366" s="83"/>
      <c r="C366" s="42" t="s">
        <v>20</v>
      </c>
      <c r="D366" s="41">
        <v>12</v>
      </c>
      <c r="E366" s="40">
        <v>1.3274336283185841E-2</v>
      </c>
    </row>
    <row r="367" spans="2:5" ht="15" customHeight="1" x14ac:dyDescent="0.25">
      <c r="B367" s="84" t="s">
        <v>20</v>
      </c>
      <c r="C367" s="85"/>
      <c r="D367" s="39">
        <v>904</v>
      </c>
      <c r="E367" s="38">
        <v>1</v>
      </c>
    </row>
    <row r="369" spans="2:2" ht="15" customHeight="1" x14ac:dyDescent="0.25">
      <c r="B369" s="19" t="s">
        <v>186</v>
      </c>
    </row>
    <row r="370" spans="2:2" ht="15" customHeight="1" x14ac:dyDescent="0.25">
      <c r="B370" s="21" t="s">
        <v>19</v>
      </c>
    </row>
    <row r="371" spans="2:2" ht="15" customHeight="1" x14ac:dyDescent="0.25">
      <c r="B371" s="20" t="s">
        <v>18</v>
      </c>
    </row>
    <row r="372" spans="2:2" ht="15" customHeight="1" x14ac:dyDescent="0.25">
      <c r="B372" s="19" t="s">
        <v>17</v>
      </c>
    </row>
    <row r="373" spans="2:2" ht="15" customHeight="1" x14ac:dyDescent="0.25">
      <c r="B373" s="19" t="s">
        <v>187</v>
      </c>
    </row>
  </sheetData>
  <mergeCells count="45">
    <mergeCell ref="B309:B316"/>
    <mergeCell ref="B317:B327"/>
    <mergeCell ref="B328:B342"/>
    <mergeCell ref="B343:B351"/>
    <mergeCell ref="B352:B355"/>
    <mergeCell ref="B271:B278"/>
    <mergeCell ref="B279:B286"/>
    <mergeCell ref="B287:B291"/>
    <mergeCell ref="B292:B300"/>
    <mergeCell ref="B301:B308"/>
    <mergeCell ref="B220:B233"/>
    <mergeCell ref="B234:B241"/>
    <mergeCell ref="B242:B246"/>
    <mergeCell ref="B247:B254"/>
    <mergeCell ref="B255:B270"/>
    <mergeCell ref="B178:B187"/>
    <mergeCell ref="B188:B194"/>
    <mergeCell ref="B195:B200"/>
    <mergeCell ref="B201:B204"/>
    <mergeCell ref="B205:B219"/>
    <mergeCell ref="B43:B47"/>
    <mergeCell ref="B48:B56"/>
    <mergeCell ref="B57:B68"/>
    <mergeCell ref="B69:B76"/>
    <mergeCell ref="B77:B82"/>
    <mergeCell ref="B10:B12"/>
    <mergeCell ref="B13:B27"/>
    <mergeCell ref="B28:B34"/>
    <mergeCell ref="B35:B40"/>
    <mergeCell ref="B41:B42"/>
    <mergeCell ref="B356:B357"/>
    <mergeCell ref="B358:B366"/>
    <mergeCell ref="B367:C367"/>
    <mergeCell ref="B86:B91"/>
    <mergeCell ref="B92:B100"/>
    <mergeCell ref="B101:B112"/>
    <mergeCell ref="B113:B122"/>
    <mergeCell ref="B123:B132"/>
    <mergeCell ref="B133:B137"/>
    <mergeCell ref="B138:B145"/>
    <mergeCell ref="B146:B154"/>
    <mergeCell ref="B155:B166"/>
    <mergeCell ref="B167:B177"/>
    <mergeCell ref="B7:E8"/>
    <mergeCell ref="B83:B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4" zoomScaleNormal="100" zoomScaleSheetLayoutView="115" workbookViewId="0">
      <selection activeCell="A13" sqref="A1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196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151</v>
      </c>
      <c r="C11" s="31" t="s">
        <v>60</v>
      </c>
      <c r="D11" s="30" t="s">
        <v>59</v>
      </c>
    </row>
    <row r="12" spans="1:4" x14ac:dyDescent="0.25">
      <c r="B12" s="27" t="s">
        <v>150</v>
      </c>
      <c r="C12" s="26">
        <v>603</v>
      </c>
      <c r="D12" s="25">
        <v>0.66556291390728473</v>
      </c>
    </row>
    <row r="13" spans="1:4" x14ac:dyDescent="0.25">
      <c r="B13" s="27" t="s">
        <v>149</v>
      </c>
      <c r="C13" s="26">
        <v>303</v>
      </c>
      <c r="D13" s="25">
        <v>0.33443708609271522</v>
      </c>
    </row>
    <row r="14" spans="1:4" x14ac:dyDescent="0.25">
      <c r="B14" s="24" t="s">
        <v>148</v>
      </c>
      <c r="C14" s="23">
        <v>906</v>
      </c>
      <c r="D14" s="22">
        <v>1</v>
      </c>
    </row>
    <row r="15" spans="1:4" ht="15.75" x14ac:dyDescent="0.25">
      <c r="B15" s="28"/>
      <c r="C15" s="61"/>
      <c r="D15" s="61"/>
    </row>
    <row r="16" spans="1:4" ht="15.75" x14ac:dyDescent="0.25">
      <c r="B16" s="19" t="s">
        <v>186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4"/>
  <sheetViews>
    <sheetView showGridLines="0" zoomScale="106" zoomScaleNormal="106" zoomScaleSheetLayoutView="100" workbookViewId="0">
      <selection activeCell="C13" sqref="C13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192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105</v>
      </c>
      <c r="C11" s="65" t="s">
        <v>151</v>
      </c>
      <c r="D11" s="65" t="s">
        <v>60</v>
      </c>
      <c r="E11" s="65" t="s">
        <v>59</v>
      </c>
    </row>
    <row r="12" spans="1:6" ht="13.5" x14ac:dyDescent="0.2">
      <c r="B12" s="87" t="s">
        <v>68</v>
      </c>
      <c r="C12" s="63" t="s">
        <v>153</v>
      </c>
      <c r="D12" s="26">
        <v>1</v>
      </c>
      <c r="E12" s="25">
        <v>1.1037527593818985E-3</v>
      </c>
    </row>
    <row r="13" spans="1:6" ht="13.5" x14ac:dyDescent="0.2">
      <c r="B13" s="88"/>
      <c r="C13" s="63" t="s">
        <v>152</v>
      </c>
      <c r="D13" s="26">
        <v>1</v>
      </c>
      <c r="E13" s="25">
        <v>1.1037527593818985E-3</v>
      </c>
    </row>
    <row r="14" spans="1:6" ht="13.5" x14ac:dyDescent="0.2">
      <c r="B14" s="89"/>
      <c r="C14" s="92" t="s">
        <v>20</v>
      </c>
      <c r="D14" s="93">
        <v>2</v>
      </c>
      <c r="E14" s="94">
        <v>2.2075055187637969E-3</v>
      </c>
    </row>
    <row r="15" spans="1:6" ht="13.5" x14ac:dyDescent="0.2">
      <c r="B15" s="87" t="s">
        <v>100</v>
      </c>
      <c r="C15" s="63" t="s">
        <v>153</v>
      </c>
      <c r="D15" s="26">
        <v>46</v>
      </c>
      <c r="E15" s="25">
        <v>5.0772626931567331E-2</v>
      </c>
    </row>
    <row r="16" spans="1:6" ht="13.5" x14ac:dyDescent="0.2">
      <c r="B16" s="88"/>
      <c r="C16" s="63" t="s">
        <v>152</v>
      </c>
      <c r="D16" s="26">
        <v>22</v>
      </c>
      <c r="E16" s="25">
        <v>2.4282560706401765E-2</v>
      </c>
    </row>
    <row r="17" spans="2:5" ht="13.5" x14ac:dyDescent="0.2">
      <c r="B17" s="89"/>
      <c r="C17" s="92" t="s">
        <v>20</v>
      </c>
      <c r="D17" s="93">
        <v>68</v>
      </c>
      <c r="E17" s="94">
        <v>7.505518763796909E-2</v>
      </c>
    </row>
    <row r="18" spans="2:5" ht="13.5" x14ac:dyDescent="0.2">
      <c r="B18" s="87" t="s">
        <v>90</v>
      </c>
      <c r="C18" s="63" t="s">
        <v>153</v>
      </c>
      <c r="D18" s="26">
        <v>10</v>
      </c>
      <c r="E18" s="25">
        <v>1.1037527593818985E-2</v>
      </c>
    </row>
    <row r="19" spans="2:5" ht="13.5" x14ac:dyDescent="0.2">
      <c r="B19" s="88"/>
      <c r="C19" s="63" t="s">
        <v>152</v>
      </c>
      <c r="D19" s="26">
        <v>6</v>
      </c>
      <c r="E19" s="25">
        <v>6.6225165562913907E-3</v>
      </c>
    </row>
    <row r="20" spans="2:5" ht="13.5" x14ac:dyDescent="0.2">
      <c r="B20" s="89"/>
      <c r="C20" s="92" t="s">
        <v>20</v>
      </c>
      <c r="D20" s="93">
        <v>16</v>
      </c>
      <c r="E20" s="94">
        <v>1.7660044150110375E-2</v>
      </c>
    </row>
    <row r="21" spans="2:5" ht="13.5" x14ac:dyDescent="0.2">
      <c r="B21" s="87" t="s">
        <v>66</v>
      </c>
      <c r="C21" s="63" t="s">
        <v>153</v>
      </c>
      <c r="D21" s="26">
        <v>4</v>
      </c>
      <c r="E21" s="25">
        <v>4.4150110375275938E-3</v>
      </c>
    </row>
    <row r="22" spans="2:5" ht="13.5" x14ac:dyDescent="0.2">
      <c r="B22" s="88"/>
      <c r="C22" s="63" t="s">
        <v>152</v>
      </c>
      <c r="D22" s="26">
        <v>2</v>
      </c>
      <c r="E22" s="25">
        <v>2.2075055187637969E-3</v>
      </c>
    </row>
    <row r="23" spans="2:5" ht="13.5" x14ac:dyDescent="0.2">
      <c r="B23" s="89"/>
      <c r="C23" s="92" t="s">
        <v>20</v>
      </c>
      <c r="D23" s="93">
        <v>6</v>
      </c>
      <c r="E23" s="94">
        <v>6.6225165562913907E-3</v>
      </c>
    </row>
    <row r="24" spans="2:5" ht="13.5" x14ac:dyDescent="0.2">
      <c r="B24" s="87" t="s">
        <v>63</v>
      </c>
      <c r="C24" s="63" t="s">
        <v>153</v>
      </c>
      <c r="D24" s="26">
        <v>1</v>
      </c>
      <c r="E24" s="25">
        <v>1.1037527593818985E-3</v>
      </c>
    </row>
    <row r="25" spans="2:5" ht="13.5" x14ac:dyDescent="0.2">
      <c r="B25" s="89"/>
      <c r="C25" s="92" t="s">
        <v>20</v>
      </c>
      <c r="D25" s="93">
        <v>1</v>
      </c>
      <c r="E25" s="94">
        <v>1.1037527593818985E-3</v>
      </c>
    </row>
    <row r="26" spans="2:5" ht="13.5" x14ac:dyDescent="0.2">
      <c r="B26" s="87" t="s">
        <v>67</v>
      </c>
      <c r="C26" s="63" t="s">
        <v>153</v>
      </c>
      <c r="D26" s="26">
        <v>6</v>
      </c>
      <c r="E26" s="25">
        <v>6.6225165562913907E-3</v>
      </c>
    </row>
    <row r="27" spans="2:5" ht="13.5" x14ac:dyDescent="0.2">
      <c r="B27" s="88"/>
      <c r="C27" s="63" t="s">
        <v>152</v>
      </c>
      <c r="D27" s="26">
        <v>2</v>
      </c>
      <c r="E27" s="25">
        <v>2.2075055187637969E-3</v>
      </c>
    </row>
    <row r="28" spans="2:5" ht="13.5" x14ac:dyDescent="0.2">
      <c r="B28" s="89"/>
      <c r="C28" s="92" t="s">
        <v>20</v>
      </c>
      <c r="D28" s="93">
        <v>8</v>
      </c>
      <c r="E28" s="94">
        <v>8.8300220750551876E-3</v>
      </c>
    </row>
    <row r="29" spans="2:5" ht="13.5" x14ac:dyDescent="0.2">
      <c r="B29" s="87" t="s">
        <v>103</v>
      </c>
      <c r="C29" s="63" t="s">
        <v>153</v>
      </c>
      <c r="D29" s="26">
        <v>22</v>
      </c>
      <c r="E29" s="25">
        <v>2.4282560706401765E-2</v>
      </c>
    </row>
    <row r="30" spans="2:5" ht="13.5" x14ac:dyDescent="0.2">
      <c r="B30" s="88"/>
      <c r="C30" s="63" t="s">
        <v>152</v>
      </c>
      <c r="D30" s="26">
        <v>8</v>
      </c>
      <c r="E30" s="25">
        <v>8.8300220750551876E-3</v>
      </c>
    </row>
    <row r="31" spans="2:5" ht="13.5" x14ac:dyDescent="0.2">
      <c r="B31" s="89"/>
      <c r="C31" s="92" t="s">
        <v>20</v>
      </c>
      <c r="D31" s="93">
        <v>30</v>
      </c>
      <c r="E31" s="94">
        <v>3.3112582781456956E-2</v>
      </c>
    </row>
    <row r="32" spans="2:5" ht="13.5" x14ac:dyDescent="0.2">
      <c r="B32" s="87" t="s">
        <v>101</v>
      </c>
      <c r="C32" s="63" t="s">
        <v>153</v>
      </c>
      <c r="D32" s="26">
        <v>30</v>
      </c>
      <c r="E32" s="25">
        <v>3.3112582781456956E-2</v>
      </c>
    </row>
    <row r="33" spans="2:5" ht="13.5" x14ac:dyDescent="0.2">
      <c r="B33" s="88"/>
      <c r="C33" s="63" t="s">
        <v>152</v>
      </c>
      <c r="D33" s="26">
        <v>13</v>
      </c>
      <c r="E33" s="25">
        <v>1.434878587196468E-2</v>
      </c>
    </row>
    <row r="34" spans="2:5" ht="13.5" x14ac:dyDescent="0.2">
      <c r="B34" s="89"/>
      <c r="C34" s="92" t="s">
        <v>20</v>
      </c>
      <c r="D34" s="93">
        <v>43</v>
      </c>
      <c r="E34" s="94">
        <v>4.7461368653421633E-2</v>
      </c>
    </row>
    <row r="35" spans="2:5" ht="13.5" x14ac:dyDescent="0.2">
      <c r="B35" s="87" t="s">
        <v>85</v>
      </c>
      <c r="C35" s="63" t="s">
        <v>153</v>
      </c>
      <c r="D35" s="26">
        <v>15</v>
      </c>
      <c r="E35" s="25">
        <v>1.6556291390728478E-2</v>
      </c>
    </row>
    <row r="36" spans="2:5" ht="13.5" x14ac:dyDescent="0.2">
      <c r="B36" s="88"/>
      <c r="C36" s="63" t="s">
        <v>152</v>
      </c>
      <c r="D36" s="26">
        <v>13</v>
      </c>
      <c r="E36" s="25">
        <v>1.434878587196468E-2</v>
      </c>
    </row>
    <row r="37" spans="2:5" ht="13.5" x14ac:dyDescent="0.2">
      <c r="B37" s="89"/>
      <c r="C37" s="92" t="s">
        <v>20</v>
      </c>
      <c r="D37" s="93">
        <v>28</v>
      </c>
      <c r="E37" s="94">
        <v>3.0905077262693158E-2</v>
      </c>
    </row>
    <row r="38" spans="2:5" ht="13.5" x14ac:dyDescent="0.2">
      <c r="B38" s="87" t="s">
        <v>71</v>
      </c>
      <c r="C38" s="63" t="s">
        <v>153</v>
      </c>
      <c r="D38" s="26">
        <v>6</v>
      </c>
      <c r="E38" s="25">
        <v>6.6225165562913907E-3</v>
      </c>
    </row>
    <row r="39" spans="2:5" ht="13.5" x14ac:dyDescent="0.2">
      <c r="B39" s="88"/>
      <c r="C39" s="63" t="s">
        <v>152</v>
      </c>
      <c r="D39" s="26">
        <v>2</v>
      </c>
      <c r="E39" s="25">
        <v>2.2075055187637969E-3</v>
      </c>
    </row>
    <row r="40" spans="2:5" ht="13.5" x14ac:dyDescent="0.2">
      <c r="B40" s="89"/>
      <c r="C40" s="92" t="s">
        <v>20</v>
      </c>
      <c r="D40" s="93">
        <v>8</v>
      </c>
      <c r="E40" s="94">
        <v>8.8300220750551876E-3</v>
      </c>
    </row>
    <row r="41" spans="2:5" ht="13.5" x14ac:dyDescent="0.2">
      <c r="B41" s="87" t="s">
        <v>69</v>
      </c>
      <c r="C41" s="63" t="s">
        <v>153</v>
      </c>
      <c r="D41" s="26">
        <v>2</v>
      </c>
      <c r="E41" s="25">
        <v>2.2075055187637969E-3</v>
      </c>
    </row>
    <row r="42" spans="2:5" ht="13.5" x14ac:dyDescent="0.2">
      <c r="B42" s="89"/>
      <c r="C42" s="92" t="s">
        <v>20</v>
      </c>
      <c r="D42" s="93">
        <v>2</v>
      </c>
      <c r="E42" s="94">
        <v>2.2075055187637969E-3</v>
      </c>
    </row>
    <row r="43" spans="2:5" ht="13.5" x14ac:dyDescent="0.2">
      <c r="B43" s="87" t="s">
        <v>82</v>
      </c>
      <c r="C43" s="63" t="s">
        <v>153</v>
      </c>
      <c r="D43" s="26">
        <v>4</v>
      </c>
      <c r="E43" s="25">
        <v>4.4150110375275938E-3</v>
      </c>
    </row>
    <row r="44" spans="2:5" ht="13.5" x14ac:dyDescent="0.2">
      <c r="B44" s="88"/>
      <c r="C44" s="63" t="s">
        <v>152</v>
      </c>
      <c r="D44" s="26">
        <v>2</v>
      </c>
      <c r="E44" s="25">
        <v>2.2075055187637969E-3</v>
      </c>
    </row>
    <row r="45" spans="2:5" ht="13.5" x14ac:dyDescent="0.2">
      <c r="B45" s="89"/>
      <c r="C45" s="92" t="s">
        <v>20</v>
      </c>
      <c r="D45" s="93">
        <v>6</v>
      </c>
      <c r="E45" s="94">
        <v>6.6225165562913907E-3</v>
      </c>
    </row>
    <row r="46" spans="2:5" ht="13.5" x14ac:dyDescent="0.2">
      <c r="B46" s="87" t="s">
        <v>98</v>
      </c>
      <c r="C46" s="63" t="s">
        <v>153</v>
      </c>
      <c r="D46" s="26">
        <v>11</v>
      </c>
      <c r="E46" s="25">
        <v>1.2141280353200883E-2</v>
      </c>
    </row>
    <row r="47" spans="2:5" ht="13.5" x14ac:dyDescent="0.2">
      <c r="B47" s="88"/>
      <c r="C47" s="63" t="s">
        <v>152</v>
      </c>
      <c r="D47" s="26">
        <v>2</v>
      </c>
      <c r="E47" s="25">
        <v>2.2075055187637969E-3</v>
      </c>
    </row>
    <row r="48" spans="2:5" ht="13.5" x14ac:dyDescent="0.2">
      <c r="B48" s="89"/>
      <c r="C48" s="92" t="s">
        <v>20</v>
      </c>
      <c r="D48" s="93">
        <v>13</v>
      </c>
      <c r="E48" s="94">
        <v>1.434878587196468E-2</v>
      </c>
    </row>
    <row r="49" spans="2:5" ht="13.5" x14ac:dyDescent="0.2">
      <c r="B49" s="87" t="s">
        <v>102</v>
      </c>
      <c r="C49" s="63" t="s">
        <v>153</v>
      </c>
      <c r="D49" s="26">
        <v>24</v>
      </c>
      <c r="E49" s="25">
        <v>2.6490066225165563E-2</v>
      </c>
    </row>
    <row r="50" spans="2:5" ht="13.5" x14ac:dyDescent="0.2">
      <c r="B50" s="88"/>
      <c r="C50" s="63" t="s">
        <v>152</v>
      </c>
      <c r="D50" s="26">
        <v>17</v>
      </c>
      <c r="E50" s="25">
        <v>1.8763796909492272E-2</v>
      </c>
    </row>
    <row r="51" spans="2:5" ht="13.5" x14ac:dyDescent="0.2">
      <c r="B51" s="89"/>
      <c r="C51" s="92" t="s">
        <v>20</v>
      </c>
      <c r="D51" s="93">
        <v>41</v>
      </c>
      <c r="E51" s="94">
        <v>4.5253863134657839E-2</v>
      </c>
    </row>
    <row r="52" spans="2:5" ht="13.5" x14ac:dyDescent="0.2">
      <c r="B52" s="87" t="s">
        <v>147</v>
      </c>
      <c r="C52" s="63" t="s">
        <v>153</v>
      </c>
      <c r="D52" s="26">
        <v>18</v>
      </c>
      <c r="E52" s="25">
        <v>1.9867549668874173E-2</v>
      </c>
    </row>
    <row r="53" spans="2:5" ht="13.5" x14ac:dyDescent="0.2">
      <c r="B53" s="88"/>
      <c r="C53" s="63" t="s">
        <v>152</v>
      </c>
      <c r="D53" s="26">
        <v>8</v>
      </c>
      <c r="E53" s="25">
        <v>8.8300220750551876E-3</v>
      </c>
    </row>
    <row r="54" spans="2:5" ht="13.5" x14ac:dyDescent="0.2">
      <c r="B54" s="89"/>
      <c r="C54" s="92" t="s">
        <v>20</v>
      </c>
      <c r="D54" s="93">
        <v>26</v>
      </c>
      <c r="E54" s="94">
        <v>2.8697571743929361E-2</v>
      </c>
    </row>
    <row r="55" spans="2:5" ht="13.5" x14ac:dyDescent="0.2">
      <c r="B55" s="87" t="s">
        <v>81</v>
      </c>
      <c r="C55" s="63" t="s">
        <v>153</v>
      </c>
      <c r="D55" s="26">
        <v>15</v>
      </c>
      <c r="E55" s="25">
        <v>1.6556291390728478E-2</v>
      </c>
    </row>
    <row r="56" spans="2:5" ht="13.5" x14ac:dyDescent="0.2">
      <c r="B56" s="88"/>
      <c r="C56" s="63" t="s">
        <v>152</v>
      </c>
      <c r="D56" s="26">
        <v>4</v>
      </c>
      <c r="E56" s="25">
        <v>4.4150110375275938E-3</v>
      </c>
    </row>
    <row r="57" spans="2:5" ht="13.5" x14ac:dyDescent="0.2">
      <c r="B57" s="89"/>
      <c r="C57" s="92" t="s">
        <v>20</v>
      </c>
      <c r="D57" s="93">
        <v>19</v>
      </c>
      <c r="E57" s="94">
        <v>2.097130242825607E-2</v>
      </c>
    </row>
    <row r="58" spans="2:5" ht="13.5" x14ac:dyDescent="0.2">
      <c r="B58" s="87" t="s">
        <v>65</v>
      </c>
      <c r="C58" s="63" t="s">
        <v>153</v>
      </c>
      <c r="D58" s="26">
        <v>4</v>
      </c>
      <c r="E58" s="25">
        <v>4.4150110375275938E-3</v>
      </c>
    </row>
    <row r="59" spans="2:5" ht="13.5" x14ac:dyDescent="0.2">
      <c r="B59" s="88"/>
      <c r="C59" s="63" t="s">
        <v>152</v>
      </c>
      <c r="D59" s="26">
        <v>2</v>
      </c>
      <c r="E59" s="25">
        <v>2.2075055187637969E-3</v>
      </c>
    </row>
    <row r="60" spans="2:5" ht="13.5" x14ac:dyDescent="0.2">
      <c r="B60" s="89"/>
      <c r="C60" s="92" t="s">
        <v>20</v>
      </c>
      <c r="D60" s="93">
        <v>6</v>
      </c>
      <c r="E60" s="94">
        <v>6.6225165562913907E-3</v>
      </c>
    </row>
    <row r="61" spans="2:5" ht="13.5" x14ac:dyDescent="0.2">
      <c r="B61" s="87" t="s">
        <v>88</v>
      </c>
      <c r="C61" s="63" t="s">
        <v>153</v>
      </c>
      <c r="D61" s="26">
        <v>11</v>
      </c>
      <c r="E61" s="25">
        <v>1.2141280353200883E-2</v>
      </c>
    </row>
    <row r="62" spans="2:5" ht="13.5" x14ac:dyDescent="0.2">
      <c r="B62" s="88"/>
      <c r="C62" s="63" t="s">
        <v>152</v>
      </c>
      <c r="D62" s="26">
        <v>5</v>
      </c>
      <c r="E62" s="25">
        <v>5.5187637969094927E-3</v>
      </c>
    </row>
    <row r="63" spans="2:5" ht="13.5" x14ac:dyDescent="0.2">
      <c r="B63" s="89"/>
      <c r="C63" s="92" t="s">
        <v>20</v>
      </c>
      <c r="D63" s="93">
        <v>16</v>
      </c>
      <c r="E63" s="94">
        <v>1.7660044150110375E-2</v>
      </c>
    </row>
    <row r="64" spans="2:5" ht="13.5" x14ac:dyDescent="0.2">
      <c r="B64" s="87" t="s">
        <v>92</v>
      </c>
      <c r="C64" s="63" t="s">
        <v>153</v>
      </c>
      <c r="D64" s="26">
        <v>8</v>
      </c>
      <c r="E64" s="25">
        <v>8.8300220750551876E-3</v>
      </c>
    </row>
    <row r="65" spans="2:5" ht="13.5" x14ac:dyDescent="0.2">
      <c r="B65" s="88"/>
      <c r="C65" s="63" t="s">
        <v>152</v>
      </c>
      <c r="D65" s="26">
        <v>10</v>
      </c>
      <c r="E65" s="25">
        <v>1.1037527593818985E-2</v>
      </c>
    </row>
    <row r="66" spans="2:5" ht="13.5" x14ac:dyDescent="0.2">
      <c r="B66" s="89"/>
      <c r="C66" s="92" t="s">
        <v>20</v>
      </c>
      <c r="D66" s="93">
        <v>18</v>
      </c>
      <c r="E66" s="94">
        <v>1.9867549668874173E-2</v>
      </c>
    </row>
    <row r="67" spans="2:5" ht="13.5" x14ac:dyDescent="0.2">
      <c r="B67" s="87" t="s">
        <v>146</v>
      </c>
      <c r="C67" s="63" t="s">
        <v>153</v>
      </c>
      <c r="D67" s="26">
        <v>22</v>
      </c>
      <c r="E67" s="25">
        <v>2.4282560706401765E-2</v>
      </c>
    </row>
    <row r="68" spans="2:5" ht="13.5" x14ac:dyDescent="0.2">
      <c r="B68" s="88"/>
      <c r="C68" s="63" t="s">
        <v>152</v>
      </c>
      <c r="D68" s="26">
        <v>11</v>
      </c>
      <c r="E68" s="25">
        <v>1.2141280353200883E-2</v>
      </c>
    </row>
    <row r="69" spans="2:5" ht="13.5" x14ac:dyDescent="0.2">
      <c r="B69" s="89"/>
      <c r="C69" s="92" t="s">
        <v>20</v>
      </c>
      <c r="D69" s="93">
        <v>33</v>
      </c>
      <c r="E69" s="94">
        <v>3.6423841059602648E-2</v>
      </c>
    </row>
    <row r="70" spans="2:5" ht="13.5" x14ac:dyDescent="0.2">
      <c r="B70" s="87" t="s">
        <v>145</v>
      </c>
      <c r="C70" s="63" t="s">
        <v>153</v>
      </c>
      <c r="D70" s="26">
        <v>13</v>
      </c>
      <c r="E70" s="25">
        <v>1.434878587196468E-2</v>
      </c>
    </row>
    <row r="71" spans="2:5" ht="13.5" x14ac:dyDescent="0.2">
      <c r="B71" s="88"/>
      <c r="C71" s="63" t="s">
        <v>152</v>
      </c>
      <c r="D71" s="26">
        <v>10</v>
      </c>
      <c r="E71" s="25">
        <v>1.1037527593818985E-2</v>
      </c>
    </row>
    <row r="72" spans="2:5" ht="13.5" x14ac:dyDescent="0.2">
      <c r="B72" s="89"/>
      <c r="C72" s="92" t="s">
        <v>20</v>
      </c>
      <c r="D72" s="93">
        <v>23</v>
      </c>
      <c r="E72" s="94">
        <v>2.5386313465783666E-2</v>
      </c>
    </row>
    <row r="73" spans="2:5" ht="13.5" x14ac:dyDescent="0.2">
      <c r="B73" s="87" t="s">
        <v>78</v>
      </c>
      <c r="C73" s="63" t="s">
        <v>153</v>
      </c>
      <c r="D73" s="26">
        <v>9</v>
      </c>
      <c r="E73" s="25">
        <v>9.9337748344370865E-3</v>
      </c>
    </row>
    <row r="74" spans="2:5" ht="13.5" x14ac:dyDescent="0.2">
      <c r="B74" s="88"/>
      <c r="C74" s="63" t="s">
        <v>152</v>
      </c>
      <c r="D74" s="26">
        <v>8</v>
      </c>
      <c r="E74" s="25">
        <v>8.8300220750551876E-3</v>
      </c>
    </row>
    <row r="75" spans="2:5" ht="13.5" x14ac:dyDescent="0.2">
      <c r="B75" s="89"/>
      <c r="C75" s="92" t="s">
        <v>20</v>
      </c>
      <c r="D75" s="93">
        <v>17</v>
      </c>
      <c r="E75" s="94">
        <v>1.8763796909492272E-2</v>
      </c>
    </row>
    <row r="76" spans="2:5" ht="13.5" x14ac:dyDescent="0.2">
      <c r="B76" s="87" t="s">
        <v>77</v>
      </c>
      <c r="C76" s="63" t="s">
        <v>153</v>
      </c>
      <c r="D76" s="26">
        <v>9</v>
      </c>
      <c r="E76" s="25">
        <v>9.9337748344370865E-3</v>
      </c>
    </row>
    <row r="77" spans="2:5" ht="13.5" x14ac:dyDescent="0.2">
      <c r="B77" s="88"/>
      <c r="C77" s="63" t="s">
        <v>152</v>
      </c>
      <c r="D77" s="26">
        <v>4</v>
      </c>
      <c r="E77" s="25">
        <v>4.4150110375275938E-3</v>
      </c>
    </row>
    <row r="78" spans="2:5" ht="13.5" x14ac:dyDescent="0.2">
      <c r="B78" s="89"/>
      <c r="C78" s="92" t="s">
        <v>20</v>
      </c>
      <c r="D78" s="93">
        <v>13</v>
      </c>
      <c r="E78" s="94">
        <v>1.434878587196468E-2</v>
      </c>
    </row>
    <row r="79" spans="2:5" ht="13.5" x14ac:dyDescent="0.2">
      <c r="B79" s="87" t="s">
        <v>70</v>
      </c>
      <c r="C79" s="63" t="s">
        <v>153</v>
      </c>
      <c r="D79" s="26">
        <v>13</v>
      </c>
      <c r="E79" s="25">
        <v>1.434878587196468E-2</v>
      </c>
    </row>
    <row r="80" spans="2:5" ht="13.5" x14ac:dyDescent="0.2">
      <c r="B80" s="88"/>
      <c r="C80" s="63" t="s">
        <v>152</v>
      </c>
      <c r="D80" s="26">
        <v>3</v>
      </c>
      <c r="E80" s="25">
        <v>3.3112582781456954E-3</v>
      </c>
    </row>
    <row r="81" spans="2:5" ht="13.5" x14ac:dyDescent="0.2">
      <c r="B81" s="89"/>
      <c r="C81" s="92" t="s">
        <v>20</v>
      </c>
      <c r="D81" s="93">
        <v>16</v>
      </c>
      <c r="E81" s="94">
        <v>1.7660044150110375E-2</v>
      </c>
    </row>
    <row r="82" spans="2:5" ht="13.5" x14ac:dyDescent="0.2">
      <c r="B82" s="87" t="s">
        <v>99</v>
      </c>
      <c r="C82" s="63" t="s">
        <v>153</v>
      </c>
      <c r="D82" s="26">
        <v>6</v>
      </c>
      <c r="E82" s="25">
        <v>6.6225165562913907E-3</v>
      </c>
    </row>
    <row r="83" spans="2:5" ht="13.5" x14ac:dyDescent="0.2">
      <c r="B83" s="88"/>
      <c r="C83" s="63" t="s">
        <v>152</v>
      </c>
      <c r="D83" s="26">
        <v>1</v>
      </c>
      <c r="E83" s="25">
        <v>1.1037527593818985E-3</v>
      </c>
    </row>
    <row r="84" spans="2:5" ht="13.5" x14ac:dyDescent="0.2">
      <c r="B84" s="89"/>
      <c r="C84" s="92" t="s">
        <v>20</v>
      </c>
      <c r="D84" s="93">
        <v>7</v>
      </c>
      <c r="E84" s="94">
        <v>7.7262693156732896E-3</v>
      </c>
    </row>
    <row r="85" spans="2:5" ht="13.5" x14ac:dyDescent="0.2">
      <c r="B85" s="87" t="s">
        <v>72</v>
      </c>
      <c r="C85" s="63" t="s">
        <v>153</v>
      </c>
      <c r="D85" s="26">
        <v>47</v>
      </c>
      <c r="E85" s="25">
        <v>5.1876379690949229E-2</v>
      </c>
    </row>
    <row r="86" spans="2:5" ht="13.5" x14ac:dyDescent="0.2">
      <c r="B86" s="88"/>
      <c r="C86" s="63" t="s">
        <v>152</v>
      </c>
      <c r="D86" s="26">
        <v>24</v>
      </c>
      <c r="E86" s="25">
        <v>2.6490066225165563E-2</v>
      </c>
    </row>
    <row r="87" spans="2:5" ht="13.5" x14ac:dyDescent="0.2">
      <c r="B87" s="89"/>
      <c r="C87" s="92" t="s">
        <v>20</v>
      </c>
      <c r="D87" s="93">
        <v>71</v>
      </c>
      <c r="E87" s="94">
        <v>7.8366445916114788E-2</v>
      </c>
    </row>
    <row r="88" spans="2:5" ht="13.5" x14ac:dyDescent="0.2">
      <c r="B88" s="87" t="s">
        <v>91</v>
      </c>
      <c r="C88" s="63" t="s">
        <v>153</v>
      </c>
      <c r="D88" s="26">
        <v>29</v>
      </c>
      <c r="E88" s="25">
        <v>3.2008830022075052E-2</v>
      </c>
    </row>
    <row r="89" spans="2:5" ht="13.5" x14ac:dyDescent="0.2">
      <c r="B89" s="88"/>
      <c r="C89" s="63" t="s">
        <v>152</v>
      </c>
      <c r="D89" s="26">
        <v>18</v>
      </c>
      <c r="E89" s="25">
        <v>1.9867549668874173E-2</v>
      </c>
    </row>
    <row r="90" spans="2:5" ht="13.5" x14ac:dyDescent="0.2">
      <c r="B90" s="89"/>
      <c r="C90" s="92" t="s">
        <v>20</v>
      </c>
      <c r="D90" s="93">
        <v>47</v>
      </c>
      <c r="E90" s="94">
        <v>5.1876379690949229E-2</v>
      </c>
    </row>
    <row r="91" spans="2:5" ht="13.5" x14ac:dyDescent="0.2">
      <c r="B91" s="87" t="s">
        <v>87</v>
      </c>
      <c r="C91" s="63" t="s">
        <v>153</v>
      </c>
      <c r="D91" s="26">
        <v>12</v>
      </c>
      <c r="E91" s="25">
        <v>1.3245033112582781E-2</v>
      </c>
    </row>
    <row r="92" spans="2:5" ht="13.5" x14ac:dyDescent="0.2">
      <c r="B92" s="88"/>
      <c r="C92" s="63" t="s">
        <v>152</v>
      </c>
      <c r="D92" s="26">
        <v>4</v>
      </c>
      <c r="E92" s="25">
        <v>4.4150110375275938E-3</v>
      </c>
    </row>
    <row r="93" spans="2:5" ht="13.5" x14ac:dyDescent="0.2">
      <c r="B93" s="89"/>
      <c r="C93" s="92" t="s">
        <v>20</v>
      </c>
      <c r="D93" s="93">
        <v>16</v>
      </c>
      <c r="E93" s="94">
        <v>1.7660044150110375E-2</v>
      </c>
    </row>
    <row r="94" spans="2:5" ht="13.5" x14ac:dyDescent="0.2">
      <c r="B94" s="87" t="s">
        <v>75</v>
      </c>
      <c r="C94" s="63" t="s">
        <v>153</v>
      </c>
      <c r="D94" s="26">
        <v>3</v>
      </c>
      <c r="E94" s="25">
        <v>3.3112582781456954E-3</v>
      </c>
    </row>
    <row r="95" spans="2:5" ht="13.5" x14ac:dyDescent="0.2">
      <c r="B95" s="88"/>
      <c r="C95" s="63" t="s">
        <v>152</v>
      </c>
      <c r="D95" s="26">
        <v>3</v>
      </c>
      <c r="E95" s="25">
        <v>3.3112582781456954E-3</v>
      </c>
    </row>
    <row r="96" spans="2:5" ht="13.5" x14ac:dyDescent="0.2">
      <c r="B96" s="89"/>
      <c r="C96" s="92" t="s">
        <v>20</v>
      </c>
      <c r="D96" s="93">
        <v>6</v>
      </c>
      <c r="E96" s="94">
        <v>6.6225165562913907E-3</v>
      </c>
    </row>
    <row r="97" spans="2:5" ht="13.5" x14ac:dyDescent="0.2">
      <c r="B97" s="87" t="s">
        <v>79</v>
      </c>
      <c r="C97" s="63" t="s">
        <v>153</v>
      </c>
      <c r="D97" s="26">
        <v>6</v>
      </c>
      <c r="E97" s="25">
        <v>6.6225165562913907E-3</v>
      </c>
    </row>
    <row r="98" spans="2:5" ht="13.5" x14ac:dyDescent="0.2">
      <c r="B98" s="88"/>
      <c r="C98" s="63" t="s">
        <v>152</v>
      </c>
      <c r="D98" s="26">
        <v>4</v>
      </c>
      <c r="E98" s="25">
        <v>4.4150110375275938E-3</v>
      </c>
    </row>
    <row r="99" spans="2:5" ht="13.5" x14ac:dyDescent="0.2">
      <c r="B99" s="89"/>
      <c r="C99" s="92" t="s">
        <v>20</v>
      </c>
      <c r="D99" s="93">
        <v>10</v>
      </c>
      <c r="E99" s="94">
        <v>1.1037527593818985E-2</v>
      </c>
    </row>
    <row r="100" spans="2:5" ht="13.5" x14ac:dyDescent="0.2">
      <c r="B100" s="87" t="s">
        <v>97</v>
      </c>
      <c r="C100" s="63" t="s">
        <v>153</v>
      </c>
      <c r="D100" s="26">
        <v>50</v>
      </c>
      <c r="E100" s="25">
        <v>5.518763796909492E-2</v>
      </c>
    </row>
    <row r="101" spans="2:5" ht="13.5" x14ac:dyDescent="0.2">
      <c r="B101" s="88"/>
      <c r="C101" s="63" t="s">
        <v>152</v>
      </c>
      <c r="D101" s="26">
        <v>22</v>
      </c>
      <c r="E101" s="25">
        <v>2.4282560706401765E-2</v>
      </c>
    </row>
    <row r="102" spans="2:5" ht="13.5" x14ac:dyDescent="0.2">
      <c r="B102" s="89"/>
      <c r="C102" s="92" t="s">
        <v>20</v>
      </c>
      <c r="D102" s="93">
        <v>72</v>
      </c>
      <c r="E102" s="94">
        <v>7.9470198675496692E-2</v>
      </c>
    </row>
    <row r="103" spans="2:5" ht="13.5" x14ac:dyDescent="0.2">
      <c r="B103" s="87" t="s">
        <v>89</v>
      </c>
      <c r="C103" s="63" t="s">
        <v>153</v>
      </c>
      <c r="D103" s="26">
        <v>17</v>
      </c>
      <c r="E103" s="25">
        <v>1.8763796909492272E-2</v>
      </c>
    </row>
    <row r="104" spans="2:5" ht="13.5" x14ac:dyDescent="0.2">
      <c r="B104" s="88"/>
      <c r="C104" s="63" t="s">
        <v>152</v>
      </c>
      <c r="D104" s="26">
        <v>7</v>
      </c>
      <c r="E104" s="25">
        <v>7.7262693156732896E-3</v>
      </c>
    </row>
    <row r="105" spans="2:5" ht="13.5" x14ac:dyDescent="0.2">
      <c r="B105" s="89"/>
      <c r="C105" s="92" t="s">
        <v>20</v>
      </c>
      <c r="D105" s="93">
        <v>24</v>
      </c>
      <c r="E105" s="94">
        <v>2.6490066225165563E-2</v>
      </c>
    </row>
    <row r="106" spans="2:5" ht="13.5" x14ac:dyDescent="0.2">
      <c r="B106" s="87" t="s">
        <v>74</v>
      </c>
      <c r="C106" s="63" t="s">
        <v>153</v>
      </c>
      <c r="D106" s="26">
        <v>13</v>
      </c>
      <c r="E106" s="25">
        <v>1.434878587196468E-2</v>
      </c>
    </row>
    <row r="107" spans="2:5" ht="13.5" x14ac:dyDescent="0.2">
      <c r="B107" s="88"/>
      <c r="C107" s="63" t="s">
        <v>152</v>
      </c>
      <c r="D107" s="26">
        <v>8</v>
      </c>
      <c r="E107" s="25">
        <v>8.8300220750551876E-3</v>
      </c>
    </row>
    <row r="108" spans="2:5" ht="13.5" x14ac:dyDescent="0.2">
      <c r="B108" s="89"/>
      <c r="C108" s="92" t="s">
        <v>20</v>
      </c>
      <c r="D108" s="93">
        <v>21</v>
      </c>
      <c r="E108" s="94">
        <v>2.3178807947019868E-2</v>
      </c>
    </row>
    <row r="109" spans="2:5" ht="13.5" x14ac:dyDescent="0.2">
      <c r="B109" s="87" t="s">
        <v>76</v>
      </c>
      <c r="C109" s="63" t="s">
        <v>153</v>
      </c>
      <c r="D109" s="26">
        <v>3</v>
      </c>
      <c r="E109" s="25">
        <v>3.3112582781456954E-3</v>
      </c>
    </row>
    <row r="110" spans="2:5" ht="13.5" x14ac:dyDescent="0.2">
      <c r="B110" s="88"/>
      <c r="C110" s="63" t="s">
        <v>152</v>
      </c>
      <c r="D110" s="26">
        <v>3</v>
      </c>
      <c r="E110" s="25">
        <v>3.3112582781456954E-3</v>
      </c>
    </row>
    <row r="111" spans="2:5" ht="13.5" x14ac:dyDescent="0.2">
      <c r="B111" s="89"/>
      <c r="C111" s="92" t="s">
        <v>20</v>
      </c>
      <c r="D111" s="93">
        <v>6</v>
      </c>
      <c r="E111" s="94">
        <v>6.6225165562913907E-3</v>
      </c>
    </row>
    <row r="112" spans="2:5" ht="13.5" x14ac:dyDescent="0.2">
      <c r="B112" s="87" t="s">
        <v>84</v>
      </c>
      <c r="C112" s="63" t="s">
        <v>153</v>
      </c>
      <c r="D112" s="26">
        <v>25</v>
      </c>
      <c r="E112" s="25">
        <v>2.759381898454746E-2</v>
      </c>
    </row>
    <row r="113" spans="2:5" ht="13.5" x14ac:dyDescent="0.2">
      <c r="B113" s="88"/>
      <c r="C113" s="63" t="s">
        <v>152</v>
      </c>
      <c r="D113" s="26">
        <v>13</v>
      </c>
      <c r="E113" s="25">
        <v>1.434878587196468E-2</v>
      </c>
    </row>
    <row r="114" spans="2:5" ht="13.5" x14ac:dyDescent="0.2">
      <c r="B114" s="89"/>
      <c r="C114" s="92" t="s">
        <v>20</v>
      </c>
      <c r="D114" s="93">
        <v>38</v>
      </c>
      <c r="E114" s="94">
        <v>4.194260485651214E-2</v>
      </c>
    </row>
    <row r="115" spans="2:5" ht="13.5" x14ac:dyDescent="0.2">
      <c r="B115" s="87" t="s">
        <v>96</v>
      </c>
      <c r="C115" s="63" t="s">
        <v>153</v>
      </c>
      <c r="D115" s="26">
        <v>6</v>
      </c>
      <c r="E115" s="25">
        <v>6.6225165562913907E-3</v>
      </c>
    </row>
    <row r="116" spans="2:5" ht="13.5" x14ac:dyDescent="0.2">
      <c r="B116" s="88"/>
      <c r="C116" s="63" t="s">
        <v>152</v>
      </c>
      <c r="D116" s="26">
        <v>5</v>
      </c>
      <c r="E116" s="25">
        <v>5.5187637969094927E-3</v>
      </c>
    </row>
    <row r="117" spans="2:5" ht="13.5" x14ac:dyDescent="0.2">
      <c r="B117" s="89"/>
      <c r="C117" s="92" t="s">
        <v>20</v>
      </c>
      <c r="D117" s="93">
        <v>11</v>
      </c>
      <c r="E117" s="94">
        <v>1.2141280353200883E-2</v>
      </c>
    </row>
    <row r="118" spans="2:5" ht="13.5" x14ac:dyDescent="0.2">
      <c r="B118" s="87" t="s">
        <v>80</v>
      </c>
      <c r="C118" s="63" t="s">
        <v>153</v>
      </c>
      <c r="D118" s="26">
        <v>6</v>
      </c>
      <c r="E118" s="25">
        <v>6.6225165562913907E-3</v>
      </c>
    </row>
    <row r="119" spans="2:5" ht="13.5" x14ac:dyDescent="0.2">
      <c r="B119" s="88"/>
      <c r="C119" s="63" t="s">
        <v>152</v>
      </c>
      <c r="D119" s="26">
        <v>4</v>
      </c>
      <c r="E119" s="25">
        <v>4.4150110375275938E-3</v>
      </c>
    </row>
    <row r="120" spans="2:5" ht="13.5" x14ac:dyDescent="0.2">
      <c r="B120" s="89"/>
      <c r="C120" s="92" t="s">
        <v>20</v>
      </c>
      <c r="D120" s="93">
        <v>10</v>
      </c>
      <c r="E120" s="94">
        <v>1.1037527593818985E-2</v>
      </c>
    </row>
    <row r="121" spans="2:5" ht="13.5" x14ac:dyDescent="0.2">
      <c r="B121" s="87" t="s">
        <v>93</v>
      </c>
      <c r="C121" s="63" t="s">
        <v>153</v>
      </c>
      <c r="D121" s="26">
        <v>18</v>
      </c>
      <c r="E121" s="25">
        <v>1.9867549668874173E-2</v>
      </c>
    </row>
    <row r="122" spans="2:5" ht="13.5" x14ac:dyDescent="0.2">
      <c r="B122" s="88"/>
      <c r="C122" s="63" t="s">
        <v>152</v>
      </c>
      <c r="D122" s="26">
        <v>8</v>
      </c>
      <c r="E122" s="25">
        <v>8.8300220750551876E-3</v>
      </c>
    </row>
    <row r="123" spans="2:5" ht="13.5" x14ac:dyDescent="0.2">
      <c r="B123" s="89"/>
      <c r="C123" s="92" t="s">
        <v>20</v>
      </c>
      <c r="D123" s="93">
        <v>26</v>
      </c>
      <c r="E123" s="94">
        <v>2.8697571743929361E-2</v>
      </c>
    </row>
    <row r="124" spans="2:5" ht="13.5" x14ac:dyDescent="0.2">
      <c r="B124" s="87" t="s">
        <v>143</v>
      </c>
      <c r="C124" s="63" t="s">
        <v>153</v>
      </c>
      <c r="D124" s="26">
        <v>36</v>
      </c>
      <c r="E124" s="25">
        <v>3.9735099337748346E-2</v>
      </c>
    </row>
    <row r="125" spans="2:5" ht="13.5" x14ac:dyDescent="0.2">
      <c r="B125" s="88"/>
      <c r="C125" s="63" t="s">
        <v>152</v>
      </c>
      <c r="D125" s="26">
        <v>13</v>
      </c>
      <c r="E125" s="25">
        <v>1.434878587196468E-2</v>
      </c>
    </row>
    <row r="126" spans="2:5" ht="13.5" x14ac:dyDescent="0.2">
      <c r="B126" s="89"/>
      <c r="C126" s="92" t="s">
        <v>20</v>
      </c>
      <c r="D126" s="93">
        <v>49</v>
      </c>
      <c r="E126" s="94">
        <v>5.4083885209713023E-2</v>
      </c>
    </row>
    <row r="127" spans="2:5" ht="13.5" x14ac:dyDescent="0.2">
      <c r="B127" s="87" t="s">
        <v>95</v>
      </c>
      <c r="C127" s="63" t="s">
        <v>153</v>
      </c>
      <c r="D127" s="26">
        <v>10</v>
      </c>
      <c r="E127" s="25">
        <v>1.1037527593818985E-2</v>
      </c>
    </row>
    <row r="128" spans="2:5" ht="13.5" x14ac:dyDescent="0.2">
      <c r="B128" s="88"/>
      <c r="C128" s="63" t="s">
        <v>152</v>
      </c>
      <c r="D128" s="26">
        <v>6</v>
      </c>
      <c r="E128" s="25">
        <v>6.6225165562913907E-3</v>
      </c>
    </row>
    <row r="129" spans="2:5" ht="13.5" x14ac:dyDescent="0.2">
      <c r="B129" s="89"/>
      <c r="C129" s="92" t="s">
        <v>20</v>
      </c>
      <c r="D129" s="93">
        <v>16</v>
      </c>
      <c r="E129" s="94">
        <v>1.7660044150110375E-2</v>
      </c>
    </row>
    <row r="130" spans="2:5" ht="13.5" x14ac:dyDescent="0.2">
      <c r="B130" s="87" t="s">
        <v>73</v>
      </c>
      <c r="C130" s="63" t="s">
        <v>153</v>
      </c>
      <c r="D130" s="26">
        <v>3</v>
      </c>
      <c r="E130" s="25">
        <v>3.3112582781456954E-3</v>
      </c>
    </row>
    <row r="131" spans="2:5" ht="13.5" x14ac:dyDescent="0.2">
      <c r="B131" s="88"/>
      <c r="C131" s="63" t="s">
        <v>152</v>
      </c>
      <c r="D131" s="26">
        <v>1</v>
      </c>
      <c r="E131" s="25">
        <v>1.1037527593818985E-3</v>
      </c>
    </row>
    <row r="132" spans="2:5" ht="13.5" x14ac:dyDescent="0.2">
      <c r="B132" s="89"/>
      <c r="C132" s="92" t="s">
        <v>20</v>
      </c>
      <c r="D132" s="93">
        <v>4</v>
      </c>
      <c r="E132" s="94">
        <v>4.4150110375275938E-3</v>
      </c>
    </row>
    <row r="133" spans="2:5" ht="13.5" x14ac:dyDescent="0.2">
      <c r="B133" s="87" t="s">
        <v>64</v>
      </c>
      <c r="C133" s="63" t="s">
        <v>153</v>
      </c>
      <c r="D133" s="26">
        <v>1</v>
      </c>
      <c r="E133" s="25">
        <v>1.1037527593818985E-3</v>
      </c>
    </row>
    <row r="134" spans="2:5" ht="13.5" x14ac:dyDescent="0.2">
      <c r="B134" s="89"/>
      <c r="C134" s="92" t="s">
        <v>20</v>
      </c>
      <c r="D134" s="93">
        <v>1</v>
      </c>
      <c r="E134" s="94">
        <v>1.1037527593818985E-3</v>
      </c>
    </row>
    <row r="135" spans="2:5" ht="13.5" x14ac:dyDescent="0.2">
      <c r="B135" s="87" t="s">
        <v>38</v>
      </c>
      <c r="C135" s="63" t="s">
        <v>153</v>
      </c>
      <c r="D135" s="26">
        <v>8</v>
      </c>
      <c r="E135" s="25">
        <v>8.8300220750551876E-3</v>
      </c>
    </row>
    <row r="136" spans="2:5" ht="13.5" x14ac:dyDescent="0.2">
      <c r="B136" s="88"/>
      <c r="C136" s="63" t="s">
        <v>152</v>
      </c>
      <c r="D136" s="26">
        <v>4</v>
      </c>
      <c r="E136" s="25">
        <v>4.4150110375275938E-3</v>
      </c>
    </row>
    <row r="137" spans="2:5" ht="13.5" x14ac:dyDescent="0.2">
      <c r="B137" s="89"/>
      <c r="C137" s="92" t="s">
        <v>20</v>
      </c>
      <c r="D137" s="93">
        <v>12</v>
      </c>
      <c r="E137" s="94">
        <v>1.3245033112582781E-2</v>
      </c>
    </row>
    <row r="138" spans="2:5" ht="13.5" x14ac:dyDescent="0.2">
      <c r="B138" s="84" t="s">
        <v>148</v>
      </c>
      <c r="C138" s="85"/>
      <c r="D138" s="95">
        <v>906</v>
      </c>
      <c r="E138" s="96">
        <v>1</v>
      </c>
    </row>
    <row r="140" spans="2:5" x14ac:dyDescent="0.2">
      <c r="B140" s="19" t="s">
        <v>186</v>
      </c>
    </row>
    <row r="141" spans="2:5" x14ac:dyDescent="0.2">
      <c r="B141" s="21" t="s">
        <v>19</v>
      </c>
    </row>
    <row r="142" spans="2:5" x14ac:dyDescent="0.2">
      <c r="B142" s="20" t="s">
        <v>18</v>
      </c>
    </row>
    <row r="143" spans="2:5" x14ac:dyDescent="0.2">
      <c r="B143" s="19" t="s">
        <v>17</v>
      </c>
    </row>
    <row r="144" spans="2:5" x14ac:dyDescent="0.2">
      <c r="B144" s="19" t="s">
        <v>187</v>
      </c>
    </row>
  </sheetData>
  <mergeCells count="45">
    <mergeCell ref="B133:B134"/>
    <mergeCell ref="B135:B137"/>
    <mergeCell ref="B138:C138"/>
    <mergeCell ref="B100:B102"/>
    <mergeCell ref="B103:B105"/>
    <mergeCell ref="B106:B108"/>
    <mergeCell ref="B109:B111"/>
    <mergeCell ref="B112:B114"/>
    <mergeCell ref="B85:B87"/>
    <mergeCell ref="B88:B90"/>
    <mergeCell ref="B91:B93"/>
    <mergeCell ref="B94:B96"/>
    <mergeCell ref="B97:B99"/>
    <mergeCell ref="B70:B72"/>
    <mergeCell ref="B73:B75"/>
    <mergeCell ref="B76:B78"/>
    <mergeCell ref="B79:B81"/>
    <mergeCell ref="B82:B84"/>
    <mergeCell ref="B12:B14"/>
    <mergeCell ref="B15:B17"/>
    <mergeCell ref="B18:B20"/>
    <mergeCell ref="B21:B23"/>
    <mergeCell ref="B24:B25"/>
    <mergeCell ref="B115:B117"/>
    <mergeCell ref="B118:B120"/>
    <mergeCell ref="B121:B123"/>
    <mergeCell ref="B124:B126"/>
    <mergeCell ref="B127:B129"/>
    <mergeCell ref="B130:B132"/>
    <mergeCell ref="B38:B40"/>
    <mergeCell ref="B41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8:E10"/>
    <mergeCell ref="B26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1"/>
  <sheetViews>
    <sheetView showGridLines="0" zoomScale="93" zoomScaleNormal="93" zoomScaleSheetLayoutView="100" workbookViewId="0">
      <selection activeCell="C1" sqref="C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164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151</v>
      </c>
      <c r="C11" s="65" t="s">
        <v>163</v>
      </c>
      <c r="D11" s="65" t="s">
        <v>60</v>
      </c>
      <c r="E11" s="65" t="s">
        <v>162</v>
      </c>
      <c r="F11" s="65" t="s">
        <v>161</v>
      </c>
    </row>
    <row r="12" spans="1:7" ht="13.5" x14ac:dyDescent="0.2">
      <c r="B12" s="87" t="s">
        <v>153</v>
      </c>
      <c r="C12" s="63" t="s">
        <v>160</v>
      </c>
      <c r="D12" s="26">
        <v>5</v>
      </c>
      <c r="E12" s="97">
        <v>8.291873963515755E-3</v>
      </c>
      <c r="F12" s="25">
        <f t="shared" ref="F12:F25" si="0">D12/$D$25</f>
        <v>5.5187637969094927E-3</v>
      </c>
    </row>
    <row r="13" spans="1:7" ht="13.5" x14ac:dyDescent="0.2">
      <c r="B13" s="88"/>
      <c r="C13" s="63" t="s">
        <v>159</v>
      </c>
      <c r="D13" s="26">
        <v>114</v>
      </c>
      <c r="E13" s="97">
        <v>0.1890547263681592</v>
      </c>
      <c r="F13" s="25">
        <f t="shared" si="0"/>
        <v>0.12582781456953643</v>
      </c>
    </row>
    <row r="14" spans="1:7" ht="13.5" x14ac:dyDescent="0.2">
      <c r="B14" s="88"/>
      <c r="C14" s="63" t="s">
        <v>158</v>
      </c>
      <c r="D14" s="26">
        <v>296</v>
      </c>
      <c r="E14" s="97">
        <v>0.49087893864013266</v>
      </c>
      <c r="F14" s="25">
        <f t="shared" si="0"/>
        <v>0.32671081677704195</v>
      </c>
    </row>
    <row r="15" spans="1:7" ht="27" x14ac:dyDescent="0.2">
      <c r="B15" s="88"/>
      <c r="C15" s="63" t="s">
        <v>157</v>
      </c>
      <c r="D15" s="26">
        <v>139</v>
      </c>
      <c r="E15" s="97">
        <v>0.23051409618573798</v>
      </c>
      <c r="F15" s="25">
        <f t="shared" si="0"/>
        <v>0.15342163355408389</v>
      </c>
    </row>
    <row r="16" spans="1:7" ht="13.5" x14ac:dyDescent="0.2">
      <c r="B16" s="88"/>
      <c r="C16" s="63" t="s">
        <v>156</v>
      </c>
      <c r="D16" s="26">
        <v>47</v>
      </c>
      <c r="E16" s="97">
        <v>7.7943615257048099E-2</v>
      </c>
      <c r="F16" s="25">
        <f t="shared" si="0"/>
        <v>5.1876379690949229E-2</v>
      </c>
    </row>
    <row r="17" spans="2:6" ht="13.5" x14ac:dyDescent="0.2">
      <c r="B17" s="88"/>
      <c r="C17" s="63" t="s">
        <v>155</v>
      </c>
      <c r="D17" s="26">
        <v>1</v>
      </c>
      <c r="E17" s="97">
        <v>1.658374792703151E-3</v>
      </c>
      <c r="F17" s="25">
        <f t="shared" si="0"/>
        <v>1.1037527593818985E-3</v>
      </c>
    </row>
    <row r="18" spans="2:6" ht="13.5" x14ac:dyDescent="0.2">
      <c r="B18" s="89"/>
      <c r="C18" s="63" t="s">
        <v>154</v>
      </c>
      <c r="D18" s="26">
        <v>1</v>
      </c>
      <c r="E18" s="97">
        <v>1.658374792703151E-3</v>
      </c>
      <c r="F18" s="25">
        <f t="shared" si="0"/>
        <v>1.1037527593818985E-3</v>
      </c>
    </row>
    <row r="19" spans="2:6" ht="13.5" x14ac:dyDescent="0.2">
      <c r="B19" s="87" t="s">
        <v>152</v>
      </c>
      <c r="C19" s="63" t="s">
        <v>160</v>
      </c>
      <c r="D19" s="26">
        <v>6</v>
      </c>
      <c r="E19" s="98">
        <v>1.9801980198019802E-2</v>
      </c>
      <c r="F19" s="25">
        <f t="shared" si="0"/>
        <v>6.6225165562913907E-3</v>
      </c>
    </row>
    <row r="20" spans="2:6" ht="13.5" x14ac:dyDescent="0.2">
      <c r="B20" s="88"/>
      <c r="C20" s="63" t="s">
        <v>159</v>
      </c>
      <c r="D20" s="26">
        <v>37</v>
      </c>
      <c r="E20" s="98">
        <v>0.12211221122112212</v>
      </c>
      <c r="F20" s="25">
        <f t="shared" si="0"/>
        <v>4.0838852097130243E-2</v>
      </c>
    </row>
    <row r="21" spans="2:6" ht="13.5" x14ac:dyDescent="0.2">
      <c r="B21" s="88"/>
      <c r="C21" s="63" t="s">
        <v>158</v>
      </c>
      <c r="D21" s="26">
        <v>147</v>
      </c>
      <c r="E21" s="98">
        <v>0.48514851485148514</v>
      </c>
      <c r="F21" s="25">
        <f t="shared" si="0"/>
        <v>0.16225165562913907</v>
      </c>
    </row>
    <row r="22" spans="2:6" ht="27" x14ac:dyDescent="0.2">
      <c r="B22" s="88"/>
      <c r="C22" s="63" t="s">
        <v>157</v>
      </c>
      <c r="D22" s="26">
        <v>85</v>
      </c>
      <c r="E22" s="98">
        <v>0.28052805280528054</v>
      </c>
      <c r="F22" s="25">
        <f t="shared" si="0"/>
        <v>9.3818984547461362E-2</v>
      </c>
    </row>
    <row r="23" spans="2:6" ht="13.5" x14ac:dyDescent="0.2">
      <c r="B23" s="88"/>
      <c r="C23" s="63" t="s">
        <v>156</v>
      </c>
      <c r="D23" s="26">
        <v>27</v>
      </c>
      <c r="E23" s="98">
        <v>8.9108910891089105E-2</v>
      </c>
      <c r="F23" s="25">
        <f t="shared" si="0"/>
        <v>2.9801324503311258E-2</v>
      </c>
    </row>
    <row r="24" spans="2:6" ht="13.5" x14ac:dyDescent="0.2">
      <c r="B24" s="89"/>
      <c r="C24" s="63" t="s">
        <v>155</v>
      </c>
      <c r="D24" s="26">
        <v>1</v>
      </c>
      <c r="E24" s="98">
        <v>3.3003300330033004E-3</v>
      </c>
      <c r="F24" s="25">
        <f t="shared" si="0"/>
        <v>1.1037527593818985E-3</v>
      </c>
    </row>
    <row r="25" spans="2:6" ht="13.5" x14ac:dyDescent="0.2">
      <c r="B25" s="99" t="s">
        <v>20</v>
      </c>
      <c r="C25" s="99"/>
      <c r="D25" s="95">
        <v>906</v>
      </c>
      <c r="E25" s="96"/>
      <c r="F25" s="96">
        <f t="shared" si="0"/>
        <v>1</v>
      </c>
    </row>
    <row r="27" spans="2:6" x14ac:dyDescent="0.2">
      <c r="B27" s="19" t="s">
        <v>186</v>
      </c>
    </row>
    <row r="28" spans="2:6" x14ac:dyDescent="0.2">
      <c r="B28" s="21" t="s">
        <v>19</v>
      </c>
    </row>
    <row r="29" spans="2:6" x14ac:dyDescent="0.2">
      <c r="B29" s="20" t="s">
        <v>18</v>
      </c>
    </row>
    <row r="30" spans="2:6" x14ac:dyDescent="0.2">
      <c r="B30" s="19" t="s">
        <v>17</v>
      </c>
    </row>
    <row r="31" spans="2:6" x14ac:dyDescent="0.2">
      <c r="B31" s="19" t="s">
        <v>187</v>
      </c>
    </row>
  </sheetData>
  <mergeCells count="3">
    <mergeCell ref="B8:F10"/>
    <mergeCell ref="B12:B18"/>
    <mergeCell ref="B19:B2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6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182</v>
      </c>
      <c r="C11" s="31" t="s">
        <v>60</v>
      </c>
      <c r="D11" s="30" t="s">
        <v>59</v>
      </c>
    </row>
    <row r="12" spans="1:4" x14ac:dyDescent="0.25">
      <c r="B12" s="27" t="s">
        <v>181</v>
      </c>
      <c r="C12" s="26">
        <v>516</v>
      </c>
      <c r="D12" s="25">
        <f t="shared" ref="D12:D30" si="0">C12/$C$30</f>
        <v>0.56953642384105962</v>
      </c>
    </row>
    <row r="13" spans="1:4" x14ac:dyDescent="0.25">
      <c r="B13" s="27" t="s">
        <v>180</v>
      </c>
      <c r="C13" s="26">
        <v>168</v>
      </c>
      <c r="D13" s="25">
        <f t="shared" si="0"/>
        <v>0.18543046357615894</v>
      </c>
    </row>
    <row r="14" spans="1:4" x14ac:dyDescent="0.25">
      <c r="B14" s="27" t="s">
        <v>179</v>
      </c>
      <c r="C14" s="26">
        <v>52</v>
      </c>
      <c r="D14" s="25">
        <f t="shared" si="0"/>
        <v>5.7395143487858721E-2</v>
      </c>
    </row>
    <row r="15" spans="1:4" x14ac:dyDescent="0.25">
      <c r="B15" s="27" t="s">
        <v>177</v>
      </c>
      <c r="C15" s="26">
        <v>33</v>
      </c>
      <c r="D15" s="25">
        <f t="shared" si="0"/>
        <v>3.6423841059602648E-2</v>
      </c>
    </row>
    <row r="16" spans="1:4" x14ac:dyDescent="0.25">
      <c r="B16" s="27" t="s">
        <v>178</v>
      </c>
      <c r="C16" s="26">
        <v>30</v>
      </c>
      <c r="D16" s="25">
        <f t="shared" si="0"/>
        <v>3.3112582781456956E-2</v>
      </c>
    </row>
    <row r="17" spans="1:4" x14ac:dyDescent="0.25">
      <c r="B17" s="27" t="s">
        <v>173</v>
      </c>
      <c r="C17" s="26">
        <v>27</v>
      </c>
      <c r="D17" s="25">
        <f t="shared" si="0"/>
        <v>2.9801324503311258E-2</v>
      </c>
    </row>
    <row r="18" spans="1:4" x14ac:dyDescent="0.25">
      <c r="B18" s="27" t="s">
        <v>175</v>
      </c>
      <c r="C18" s="26">
        <v>20</v>
      </c>
      <c r="D18" s="25">
        <f t="shared" si="0"/>
        <v>2.2075055187637971E-2</v>
      </c>
    </row>
    <row r="19" spans="1:4" x14ac:dyDescent="0.25">
      <c r="B19" s="27" t="s">
        <v>174</v>
      </c>
      <c r="C19" s="26">
        <v>19</v>
      </c>
      <c r="D19" s="25">
        <f t="shared" si="0"/>
        <v>2.097130242825607E-2</v>
      </c>
    </row>
    <row r="20" spans="1:4" x14ac:dyDescent="0.25">
      <c r="B20" s="27" t="s">
        <v>176</v>
      </c>
      <c r="C20" s="26">
        <v>15</v>
      </c>
      <c r="D20" s="25">
        <f t="shared" si="0"/>
        <v>1.6556291390728478E-2</v>
      </c>
    </row>
    <row r="21" spans="1:4" x14ac:dyDescent="0.25">
      <c r="B21" s="27" t="s">
        <v>172</v>
      </c>
      <c r="C21" s="26">
        <v>8</v>
      </c>
      <c r="D21" s="25">
        <f t="shared" si="0"/>
        <v>8.8300220750551876E-3</v>
      </c>
    </row>
    <row r="22" spans="1:4" x14ac:dyDescent="0.25">
      <c r="B22" s="27" t="s">
        <v>169</v>
      </c>
      <c r="C22" s="26">
        <v>6</v>
      </c>
      <c r="D22" s="25">
        <f t="shared" si="0"/>
        <v>6.6225165562913907E-3</v>
      </c>
    </row>
    <row r="23" spans="1:4" x14ac:dyDescent="0.25">
      <c r="B23" s="27" t="s">
        <v>170</v>
      </c>
      <c r="C23" s="26">
        <v>5</v>
      </c>
      <c r="D23" s="25">
        <f t="shared" si="0"/>
        <v>5.5187637969094927E-3</v>
      </c>
    </row>
    <row r="24" spans="1:4" x14ac:dyDescent="0.25">
      <c r="B24" s="27" t="s">
        <v>167</v>
      </c>
      <c r="C24" s="26">
        <v>2</v>
      </c>
      <c r="D24" s="25">
        <f t="shared" si="0"/>
        <v>2.2075055187637969E-3</v>
      </c>
    </row>
    <row r="25" spans="1:4" x14ac:dyDescent="0.25">
      <c r="B25" s="27" t="s">
        <v>166</v>
      </c>
      <c r="C25" s="26">
        <v>1</v>
      </c>
      <c r="D25" s="25">
        <f t="shared" si="0"/>
        <v>1.1037527593818985E-3</v>
      </c>
    </row>
    <row r="26" spans="1:4" x14ac:dyDescent="0.25">
      <c r="B26" s="27" t="s">
        <v>165</v>
      </c>
      <c r="C26" s="26">
        <v>1</v>
      </c>
      <c r="D26" s="25">
        <f t="shared" si="0"/>
        <v>1.1037527593818985E-3</v>
      </c>
    </row>
    <row r="27" spans="1:4" x14ac:dyDescent="0.25">
      <c r="B27" s="27" t="s">
        <v>194</v>
      </c>
      <c r="C27" s="26">
        <v>1</v>
      </c>
      <c r="D27" s="25">
        <f t="shared" si="0"/>
        <v>1.1037527593818985E-3</v>
      </c>
    </row>
    <row r="28" spans="1:4" x14ac:dyDescent="0.25">
      <c r="B28" s="27" t="s">
        <v>171</v>
      </c>
      <c r="C28" s="26">
        <v>1</v>
      </c>
      <c r="D28" s="25">
        <f t="shared" si="0"/>
        <v>1.1037527593818985E-3</v>
      </c>
    </row>
    <row r="29" spans="1:4" x14ac:dyDescent="0.25">
      <c r="B29" s="27" t="s">
        <v>168</v>
      </c>
      <c r="C29" s="26">
        <v>1</v>
      </c>
      <c r="D29" s="25">
        <f t="shared" si="0"/>
        <v>1.1037527593818985E-3</v>
      </c>
    </row>
    <row r="30" spans="1:4" x14ac:dyDescent="0.25">
      <c r="B30" s="24" t="s">
        <v>20</v>
      </c>
      <c r="C30" s="23">
        <v>906</v>
      </c>
      <c r="D30" s="22">
        <f t="shared" si="0"/>
        <v>1</v>
      </c>
    </row>
    <row r="32" spans="1:4" x14ac:dyDescent="0.25">
      <c r="A32" s="58" t="s">
        <v>186</v>
      </c>
    </row>
    <row r="33" spans="1:1" x14ac:dyDescent="0.25">
      <c r="A33" s="58" t="s">
        <v>19</v>
      </c>
    </row>
    <row r="34" spans="1:1" x14ac:dyDescent="0.25">
      <c r="A34" s="58" t="s">
        <v>18</v>
      </c>
    </row>
    <row r="35" spans="1:1" x14ac:dyDescent="0.25">
      <c r="A35" s="58" t="s">
        <v>17</v>
      </c>
    </row>
    <row r="36" spans="1:1" x14ac:dyDescent="0.25">
      <c r="A36" s="58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Campeche_EdoUsa</vt:lpstr>
      <vt:lpstr>Campeche_Cons</vt:lpstr>
      <vt:lpstr>CampecheXCons</vt:lpstr>
      <vt:lpstr>Campeche_EdoMun</vt:lpstr>
      <vt:lpstr>Campeche_USAMuni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Campeche_Gen_Edad</vt:lpstr>
      <vt:lpstr>Campeche_ocup_gral</vt:lpstr>
      <vt:lpstr>Campeche_EducCons!Área_de_impresión</vt:lpstr>
      <vt:lpstr>Campeche_MUNICIPIO!Área_de_impresión</vt:lpstr>
      <vt:lpstr>Campeche_NivelE_Cons!Área_de_impresión</vt:lpstr>
      <vt:lpstr>Campeche_USAMuni!Área_de_impresión</vt:lpstr>
      <vt:lpstr>Campeche_Cons!Títulos_a_imprimir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Campeche_USAMuni!Títulos_a_imprimir</vt:lpstr>
      <vt:lpstr>CampecheXCons!Títulos_a_imprimir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2020-06-02T19:43:30Z</dcterms:created>
  <dcterms:modified xsi:type="dcterms:W3CDTF">2021-10-28T20:38:10Z</dcterms:modified>
</cp:coreProperties>
</file>