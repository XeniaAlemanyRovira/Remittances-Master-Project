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345" tabRatio="750"/>
  </bookViews>
  <sheets>
    <sheet name="Índice" sheetId="1" r:id="rId1"/>
    <sheet name="Ciudad de México_EdoUsa" sheetId="2" r:id="rId2"/>
    <sheet name="Ciudad de México_Cons" sheetId="15" r:id="rId3"/>
    <sheet name="Ciudad de MéxicoXCons" sheetId="16" r:id="rId4"/>
    <sheet name="Ciudad de México_EdoMun" sheetId="5" r:id="rId5"/>
    <sheet name="Ciudad de México_USAMuni" sheetId="6" r:id="rId6"/>
    <sheet name="Ciudad de México_MUNICIPIO" sheetId="7" r:id="rId7"/>
    <sheet name="Ciudad de México_educ_gral" sheetId="8" r:id="rId8"/>
    <sheet name="Ciudad de México_NivelE_Cons" sheetId="9" r:id="rId9"/>
    <sheet name="Ciudad de México_EducCons" sheetId="10" r:id="rId10"/>
    <sheet name="Ciudad de México_GenGral" sheetId="11" r:id="rId11"/>
    <sheet name="Ciudad de México_GENERO" sheetId="12" r:id="rId12"/>
    <sheet name="Ciudad de México_Gen_Edad" sheetId="13" r:id="rId13"/>
    <sheet name="Ciudad de México_ocup_gral" sheetId="14" r:id="rId14"/>
  </sheets>
  <definedNames>
    <definedName name="_xlnm._FilterDatabase" localSheetId="2" hidden="1">'Ciudad de México_Cons'!$B$11:$D$11</definedName>
    <definedName name="_xlnm._FilterDatabase" localSheetId="4" hidden="1">'Ciudad de México_EdoMun'!$B$11:$D$11</definedName>
    <definedName name="_xlnm._FilterDatabase" localSheetId="1" hidden="1">'Ciudad de México_EdoUsa'!$B$11:$D$11</definedName>
    <definedName name="_xlnm._FilterDatabase" localSheetId="7" hidden="1">'Ciudad de México_educ_gral'!$B$11:$D$11</definedName>
    <definedName name="_xlnm._FilterDatabase" localSheetId="9" hidden="1">'Ciudad de México_EducCons'!$B$9:$E$9</definedName>
    <definedName name="_xlnm._FilterDatabase" localSheetId="11" hidden="1">'Ciudad de México_GENERO'!$C$11:$E$158</definedName>
    <definedName name="_xlnm._FilterDatabase" localSheetId="10" hidden="1">'Ciudad de México_GenGral'!$B$11:$D$12</definedName>
    <definedName name="_xlnm._FilterDatabase" localSheetId="6" hidden="1">'Ciudad de México_MUNICIPIO'!$B$9:$E$9</definedName>
    <definedName name="_xlnm._FilterDatabase" localSheetId="8" hidden="1">'Ciudad de México_NivelE_Cons'!$B$9:$E$9</definedName>
    <definedName name="_xlnm._FilterDatabase" localSheetId="13" hidden="1">'Ciudad de México_ocup_gral'!$B$11:$D$11</definedName>
    <definedName name="_xlnm._FilterDatabase" localSheetId="5" hidden="1">'Ciudad de México_USAMuni'!$B$9:$E$9</definedName>
    <definedName name="_xlnm._FilterDatabase" localSheetId="3" hidden="1">'Ciudad de MéxicoXCons'!$B$11:$D$12</definedName>
    <definedName name="_xlnm.Print_Area" localSheetId="9">'Ciudad de México_EducCons'!$A$1:$E$9</definedName>
    <definedName name="_xlnm.Print_Area" localSheetId="6">'Ciudad de México_MUNICIPIO'!$A$1:$E$9</definedName>
    <definedName name="_xlnm.Print_Area" localSheetId="8">'Ciudad de México_NivelE_Cons'!$A$1:$E$9</definedName>
    <definedName name="_xlnm.Print_Area" localSheetId="5">'Ciudad de México_USAMuni'!$A$1:$E$9</definedName>
    <definedName name="_xlnm.Print_Titles" localSheetId="2">'Ciudad de México_Cons'!$1:$11</definedName>
    <definedName name="_xlnm.Print_Titles" localSheetId="4">'Ciudad de México_EdoMun'!$1:$11</definedName>
    <definedName name="_xlnm.Print_Titles" localSheetId="1">'Ciudad de México_EdoUsa'!$1:$11</definedName>
    <definedName name="_xlnm.Print_Titles" localSheetId="7">'Ciudad de México_educ_gral'!$1:$11</definedName>
    <definedName name="_xlnm.Print_Titles" localSheetId="9">'Ciudad de México_EducCons'!$1:$9</definedName>
    <definedName name="_xlnm.Print_Titles" localSheetId="12">'Ciudad de México_Gen_Edad'!$1:$11</definedName>
    <definedName name="_xlnm.Print_Titles" localSheetId="11">'Ciudad de México_GENERO'!$1:$11</definedName>
    <definedName name="_xlnm.Print_Titles" localSheetId="10">'Ciudad de México_GenGral'!$1:$11</definedName>
    <definedName name="_xlnm.Print_Titles" localSheetId="6">'Ciudad de México_MUNICIPIO'!$1:$9</definedName>
    <definedName name="_xlnm.Print_Titles" localSheetId="8">'Ciudad de México_NivelE_Cons'!$1:$9</definedName>
    <definedName name="_xlnm.Print_Titles" localSheetId="13">'Ciudad de México_ocup_gral'!$1:$11</definedName>
    <definedName name="_xlnm.Print_Titles" localSheetId="5">'Ciudad de México_USAMuni'!$1:$9</definedName>
    <definedName name="_xlnm.Print_Titles" localSheetId="3">'Ciudad de MéxicoXCons'!$1:$11</definedName>
  </definedNames>
  <calcPr calcId="152511"/>
</workbook>
</file>

<file path=xl/calcChain.xml><?xml version="1.0" encoding="utf-8"?>
<calcChain xmlns="http://schemas.openxmlformats.org/spreadsheetml/2006/main">
  <c r="C22" i="16" l="1"/>
  <c r="D21" i="16" s="1"/>
  <c r="D18" i="16"/>
  <c r="D14" i="16"/>
  <c r="D15" i="16" l="1"/>
  <c r="D19" i="16"/>
  <c r="D22" i="16"/>
  <c r="D12" i="16"/>
  <c r="D16" i="16"/>
  <c r="D20" i="16"/>
  <c r="D13" i="16"/>
  <c r="D17" i="16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5" i="14" l="1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<sst xmlns="http://schemas.openxmlformats.org/spreadsheetml/2006/main" count="3576" uniqueCount="229">
  <si>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</si>
  <si>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</si>
  <si>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</si>
  <si>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</si>
  <si>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</si>
  <si>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</si>
  <si>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</si>
  <si>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</si>
  <si>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</si>
  <si>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</si>
  <si>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</si>
  <si>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</si>
  <si>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</si>
  <si>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</si>
  <si>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</si>
  <si>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</si>
  <si>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</si>
  <si>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</si>
  <si>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</si>
  <si>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</si>
  <si>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</si>
  <si>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Montana</t>
  </si>
  <si>
    <t>Vermont</t>
  </si>
  <si>
    <t>West Virginia</t>
  </si>
  <si>
    <t>North Dakota</t>
  </si>
  <si>
    <t>South Dakota</t>
  </si>
  <si>
    <t>Rhode Island</t>
  </si>
  <si>
    <t>District of Columbia</t>
  </si>
  <si>
    <t>Massachusetts</t>
  </si>
  <si>
    <t>Wyoming</t>
  </si>
  <si>
    <t>Mississippi</t>
  </si>
  <si>
    <t>Delaware</t>
  </si>
  <si>
    <t>Idaho</t>
  </si>
  <si>
    <t>Louisiana</t>
  </si>
  <si>
    <t>Iowa</t>
  </si>
  <si>
    <t>Maryland</t>
  </si>
  <si>
    <t>New Mexico</t>
  </si>
  <si>
    <t>Kentucky</t>
  </si>
  <si>
    <t>Nebraska</t>
  </si>
  <si>
    <t>Missouri</t>
  </si>
  <si>
    <t>Connecticut</t>
  </si>
  <si>
    <t>Ohio</t>
  </si>
  <si>
    <t>Virginia</t>
  </si>
  <si>
    <t>Kansas</t>
  </si>
  <si>
    <t>South Carolina</t>
  </si>
  <si>
    <t>Pennsylvania</t>
  </si>
  <si>
    <t>Michigan</t>
  </si>
  <si>
    <t>Arkansas</t>
  </si>
  <si>
    <t>Oklahoma</t>
  </si>
  <si>
    <t>Alabama</t>
  </si>
  <si>
    <t>Washington</t>
  </si>
  <si>
    <t>Minnesota</t>
  </si>
  <si>
    <t>Oregon</t>
  </si>
  <si>
    <t>Arizona</t>
  </si>
  <si>
    <t>Tennessee</t>
  </si>
  <si>
    <t>Utah</t>
  </si>
  <si>
    <t>Colorado</t>
  </si>
  <si>
    <t>Wisconsin</t>
  </si>
  <si>
    <t>Indiana</t>
  </si>
  <si>
    <t>New Jersey</t>
  </si>
  <si>
    <t>North Carolina</t>
  </si>
  <si>
    <t>Nevada</t>
  </si>
  <si>
    <t>Florida</t>
  </si>
  <si>
    <t>Georgia</t>
  </si>
  <si>
    <t>New York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</si>
  <si>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</si>
  <si>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</si>
  <si>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</si>
  <si>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</si>
  <si>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</si>
  <si>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</si>
  <si>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</si>
  <si>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</si>
  <si>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</si>
  <si>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</si>
  <si>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</si>
  <si>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</si>
  <si>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</si>
  <si>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</si>
  <si>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</si>
  <si>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</si>
  <si>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</si>
  <si>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</si>
  <si>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</si>
  <si>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</si>
  <si>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</si>
  <si>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</si>
  <si>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</si>
  <si>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</si>
  <si>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</si>
  <si>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</si>
  <si>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</si>
  <si>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</si>
  <si>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</si>
  <si>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</si>
  <si>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</si>
  <si>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</si>
  <si>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</si>
  <si>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</si>
  <si>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</si>
  <si>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</si>
  <si>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</si>
  <si>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</si>
  <si>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</si>
  <si>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</si>
  <si>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</si>
  <si>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</si>
  <si>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</si>
  <si>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</si>
  <si>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</si>
  <si>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</si>
  <si>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</si>
  <si>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</si>
  <si>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</si>
  <si>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</si>
  <si>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</si>
  <si>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</si>
  <si>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</si>
  <si>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</si>
  <si>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</si>
  <si>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</si>
  <si>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</si>
  <si>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Milpa Alta</t>
  </si>
  <si>
    <t>Xochimilco</t>
  </si>
  <si>
    <t>Cuajimalpa de Morelos</t>
  </si>
  <si>
    <t>La Magdalena Contreras</t>
  </si>
  <si>
    <t>Tláhuac</t>
  </si>
  <si>
    <t>Tlalpan</t>
  </si>
  <si>
    <t>Coyoacán</t>
  </si>
  <si>
    <t>Venustiano Carranza</t>
  </si>
  <si>
    <t>Benito Juárez</t>
  </si>
  <si>
    <t>Iztacalco</t>
  </si>
  <si>
    <t>Azcapotzalco</t>
  </si>
  <si>
    <t>Miguel Hidalgo</t>
  </si>
  <si>
    <t>Álvaro Obregón</t>
  </si>
  <si>
    <t>Iztapalapa</t>
  </si>
  <si>
    <t>Cuauhtémoc</t>
  </si>
  <si>
    <t>Gustavo A. Madero</t>
  </si>
  <si>
    <t>Municipio de origen</t>
  </si>
  <si>
    <t>Delegación de Origen</t>
  </si>
  <si>
    <t>Estado</t>
  </si>
  <si>
    <t>Municipio de Origen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</si>
  <si>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</si>
  <si>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</si>
  <si>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</si>
  <si>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</si>
  <si>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</si>
  <si>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</si>
  <si>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</si>
  <si>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</si>
  <si>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</si>
  <si>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</si>
  <si>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</si>
  <si>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</si>
  <si>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</si>
  <si>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</si>
  <si>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</si>
  <si>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</si>
  <si>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</si>
  <si>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</si>
  <si>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</si>
  <si>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</si>
  <si>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</si>
  <si>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</si>
  <si>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</si>
  <si>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</si>
  <si>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</si>
  <si>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</si>
  <si>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</si>
  <si>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</si>
  <si>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</si>
  <si>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</si>
  <si>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</si>
  <si>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</si>
  <si>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</si>
  <si>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</si>
  <si>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</si>
  <si>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</si>
  <si>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</si>
  <si>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</si>
  <si>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</si>
  <si>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</si>
  <si>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</si>
  <si>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</si>
  <si>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</si>
  <si>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</si>
  <si>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</si>
  <si>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</si>
  <si>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</si>
  <si>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</si>
  <si>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</si>
  <si>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</si>
  <si>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</si>
  <si>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CIUDAD DE MÉXICO POR GÉNERO Y EDAD EN EE.UU.</t>
  </si>
  <si>
    <t>Ministro(a)</t>
  </si>
  <si>
    <t>Misionero(a)</t>
  </si>
  <si>
    <t>Sacerdote</t>
  </si>
  <si>
    <t>Taxista</t>
  </si>
  <si>
    <t>Carnicero</t>
  </si>
  <si>
    <t>Panadero(a)</t>
  </si>
  <si>
    <t>Jubilado(a)</t>
  </si>
  <si>
    <t>Cajero(a)</t>
  </si>
  <si>
    <t>Operario(a)</t>
  </si>
  <si>
    <t>Chofer</t>
  </si>
  <si>
    <t>Profesionista</t>
  </si>
  <si>
    <t>Mesero(a)</t>
  </si>
  <si>
    <t>Albañil</t>
  </si>
  <si>
    <t>Campesino(a)</t>
  </si>
  <si>
    <t>Jardinero(a)</t>
  </si>
  <si>
    <t>Comerciante</t>
  </si>
  <si>
    <t>Pintor(a)</t>
  </si>
  <si>
    <t>Otro</t>
  </si>
  <si>
    <t>Cocinero(a)</t>
  </si>
  <si>
    <t>Obrero(a)</t>
  </si>
  <si>
    <t>Estudiante</t>
  </si>
  <si>
    <t>Hogar</t>
  </si>
  <si>
    <t>Empleado(a)</t>
  </si>
  <si>
    <t>Ocupación</t>
  </si>
  <si>
    <t>Matrículas consulares expedidas a originarios de Ciudad de México en el 2020.</t>
  </si>
  <si>
    <t>Maine</t>
  </si>
  <si>
    <t>Tamaño de la muestra: 497,795</t>
  </si>
  <si>
    <t>Octubre de 2021</t>
  </si>
  <si>
    <t>MATRÍCULAS CONSULARES DE ALTA SEGURIDAD EXPEDIDAS POR MUNICIPIO A ORIGINARIOS DEL ESTADO DE CIUDAD DE MÉXICO EN LOS CONSULADOS DE MÉXICO EN EE.UU. 2020</t>
  </si>
  <si>
    <t>MATRÍCULAS CONSULARES EXPEDIDAS A ORIGINARIOS DE CIUDAD DE MÉXICO POR GÉNERO EN EE.UU DURANTE EL 2020.</t>
  </si>
  <si>
    <t>MATRÍCULAS CONSULARES DE ALTA SEGURIDAD EXPEDIDAS A ORIGINARIOS DE CIUDAD DE MÉXICO POR ESTADO DE LA UNIÓN AMERICANA. DURANTE EL 2020</t>
  </si>
  <si>
    <t>MATRÍCULAS CONSULARES EXPEDIDAS EN EE.UU. A ORIGINARIOS DE CIUDAD DE MÉXICO POR NIVEL DE EDUCACIÓN, 2020.</t>
  </si>
  <si>
    <t>MATRÍCULAS CONSULARES EXPEDIDAS EN EE.UU. A ORIGINARIOS DE CIUDAD DE MÉXICO POR PERFIL OCUPACIONAL, 2020.</t>
  </si>
  <si>
    <t>MATRÍCULAS CONSULARES EXPEDIDAS A ORIGINARIOS DE CIUDAD DE MÉXICO POR GÉNERO Y CONSULADO DE MÉXICO 2020.</t>
  </si>
  <si>
    <t>MATRÍCULAS CONSULARES DE ALTA SEGURIDAD EXPEDIDAS DURANTE EL 2020 A ORIGINARIOS DE CIUDAD DE MÉXICO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</si>
</sst>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18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2" applyNumberFormat="1" applyFont="1" applyFill="1" applyBorder="1" applyAlignment="1">
      <alignment horizontal="right" vertical="top" wrapText="1"/>
    </xf>
    <xf numFmtId="165" fontId="7" fillId="6" borderId="9" xfId="2" applyNumberFormat="1" applyFont="1" applyFill="1" applyBorder="1" applyAlignment="1">
      <alignment horizontal="right" vertical="top" wrapText="1"/>
    </xf>
    <xf numFmtId="49" fontId="7" fillId="6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164" fontId="8" fillId="7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164" fontId="7" fillId="5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164" fontId="7" fillId="9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171450</xdr:rowOff>
    </xdr:from>
    <xdr:to>
      <xdr:col>5</xdr:col>
      <xdr:colOff>92997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049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152400</xdr:rowOff>
    </xdr:from>
    <xdr:to>
      <xdr:col>5</xdr:col>
      <xdr:colOff>121572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4859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CIUDAD DE MÉXICO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644921</xdr:colOff>
      <xdr:row>7</xdr:row>
      <xdr:rowOff>49609</xdr:rowOff>
    </xdr:from>
    <xdr:to>
      <xdr:col>5</xdr:col>
      <xdr:colOff>35847</xdr:colOff>
      <xdr:row>7</xdr:row>
      <xdr:rowOff>240109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5288359" y="1785937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CIUDAD DE MÉXICO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448879</xdr:colOff>
      <xdr:row>7</xdr:row>
      <xdr:rowOff>98534</xdr:rowOff>
    </xdr:from>
    <xdr:to>
      <xdr:col>4</xdr:col>
      <xdr:colOff>960976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83379" y="1432034"/>
          <a:ext cx="512097" cy="952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CIUDAD DE MÉXICO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505810</xdr:colOff>
      <xdr:row>7</xdr:row>
      <xdr:rowOff>78828</xdr:rowOff>
    </xdr:from>
    <xdr:to>
      <xdr:col>4</xdr:col>
      <xdr:colOff>1017907</xdr:colOff>
      <xdr:row>7</xdr:row>
      <xdr:rowOff>269328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81960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CIUDAD DE MÉXICO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456811</xdr:colOff>
      <xdr:row>7</xdr:row>
      <xdr:rowOff>106914</xdr:rowOff>
    </xdr:from>
    <xdr:to>
      <xdr:col>4</xdr:col>
      <xdr:colOff>968908</xdr:colOff>
      <xdr:row>7</xdr:row>
      <xdr:rowOff>297414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91311" y="1440414"/>
          <a:ext cx="512097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171450</xdr:rowOff>
    </xdr:from>
    <xdr:to>
      <xdr:col>5</xdr:col>
      <xdr:colOff>54897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0</xdr:rowOff>
    </xdr:from>
    <xdr:to>
      <xdr:col>6</xdr:col>
      <xdr:colOff>133041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9592" y="159398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1081484</xdr:colOff>
      <xdr:row>8</xdr:row>
      <xdr:rowOff>0</xdr:rowOff>
    </xdr:from>
    <xdr:to>
      <xdr:col>7</xdr:col>
      <xdr:colOff>115222</xdr:colOff>
      <xdr:row>9</xdr:row>
      <xdr:rowOff>1985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11875" y="154781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activeCell="F1" sqref="F1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218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0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5"/>
      <c r="B5" s="6"/>
      <c r="C5" s="6"/>
      <c r="D5" s="7"/>
    </row>
    <row r="6" spans="1:4" x14ac:dyDescent="0.35">
      <c r="A6" s="80" t="s">
        <v>1</v>
      </c>
      <c r="B6" s="78"/>
      <c r="C6" s="78"/>
      <c r="D6" s="79"/>
    </row>
    <row r="7" spans="1:4" x14ac:dyDescent="0.35">
      <c r="A7" s="8"/>
      <c r="B7" s="9"/>
      <c r="C7" s="9"/>
      <c r="D7" s="10"/>
    </row>
    <row r="8" spans="1:4" x14ac:dyDescent="0.35">
      <c r="A8" s="80" t="s">
        <v>2</v>
      </c>
      <c r="B8" s="78"/>
      <c r="C8" s="78"/>
      <c r="D8" s="79"/>
    </row>
    <row r="9" spans="1:4" x14ac:dyDescent="0.35">
      <c r="A9" s="11"/>
      <c r="B9" s="78" t="s">
        <v>3</v>
      </c>
      <c r="C9" s="78"/>
      <c r="D9" s="79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8" t="s">
        <v>5</v>
      </c>
      <c r="C12" s="78"/>
      <c r="D12" s="79"/>
    </row>
    <row r="13" spans="1:4" x14ac:dyDescent="0.35">
      <c r="A13" s="11"/>
      <c r="B13" s="78" t="s">
        <v>6</v>
      </c>
      <c r="C13" s="78"/>
      <c r="D13" s="79"/>
    </row>
    <row r="14" spans="1:4" x14ac:dyDescent="0.35">
      <c r="A14" s="11"/>
      <c r="B14" s="78" t="s">
        <v>7</v>
      </c>
      <c r="C14" s="78"/>
      <c r="D14" s="79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8" t="s">
        <v>9</v>
      </c>
      <c r="C17" s="78"/>
      <c r="D17" s="79"/>
    </row>
    <row r="18" spans="1:4" x14ac:dyDescent="0.35">
      <c r="A18" s="11"/>
      <c r="B18" s="78" t="s">
        <v>10</v>
      </c>
      <c r="C18" s="78"/>
      <c r="D18" s="79"/>
    </row>
    <row r="19" spans="1:4" x14ac:dyDescent="0.35">
      <c r="A19" s="11"/>
      <c r="B19" s="78" t="s">
        <v>11</v>
      </c>
      <c r="C19" s="78"/>
      <c r="D19" s="79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8" t="s">
        <v>13</v>
      </c>
      <c r="C22" s="78"/>
      <c r="D22" s="79"/>
    </row>
    <row r="23" spans="1:4" x14ac:dyDescent="0.35">
      <c r="A23" s="11"/>
      <c r="B23" s="78" t="s">
        <v>14</v>
      </c>
      <c r="C23" s="78"/>
      <c r="D23" s="79"/>
    </row>
    <row r="24" spans="1:4" x14ac:dyDescent="0.35">
      <c r="A24" s="11"/>
      <c r="B24" s="12"/>
      <c r="C24" s="12"/>
      <c r="D24" s="13"/>
    </row>
    <row r="25" spans="1:4" x14ac:dyDescent="0.35">
      <c r="A25" s="80" t="s">
        <v>15</v>
      </c>
      <c r="B25" s="78"/>
      <c r="C25" s="78"/>
      <c r="D25" s="79"/>
    </row>
    <row r="26" spans="1:4" x14ac:dyDescent="0.35">
      <c r="A26" s="11"/>
      <c r="B26" s="12"/>
      <c r="C26" s="12"/>
      <c r="D26" s="13"/>
    </row>
    <row r="27" spans="1:4" x14ac:dyDescent="0.35">
      <c r="A27" s="80" t="s">
        <v>16</v>
      </c>
      <c r="B27" s="78"/>
      <c r="C27" s="78"/>
      <c r="D27" s="79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Ciudad de México_USAMuni'!A1" display="3.2 Por Estado de USA"/>
    <hyperlink ref="A8:D8" location="'Ciudad de México_Cons'!A1" display="2. Por Circunscripción Consular"/>
    <hyperlink ref="B9:D9" location="'Ciudad de MéxicoXCons'!A1" display="2.1 Top ten por circunscripción consular"/>
    <hyperlink ref="A6:D6" location="'Ciudad de México_EdoUsa'!A1" display="1. Por Estados de USA"/>
    <hyperlink ref="B12:D12" location="'Ciudad de México_EdoMun'!A1" display="3.1 Municipio general"/>
    <hyperlink ref="B14:D14" location="'Ciudad de México_MUNICIPIO'!A1" display="3.3 Por Circunscripción Consular"/>
    <hyperlink ref="B17:D17" location="'Ciudad de México_educ_gral'!A1" display="4.1 Educación general"/>
    <hyperlink ref="B18:D18" location="'Ciudad de México_NivelE_Cons'!A1" display="4.2 Por Estado de USA"/>
    <hyperlink ref="B19:D19" location="'Ciudad de México_EducCons'!A1" display="4.3 Por Circunscripción Consular"/>
    <hyperlink ref="B22:D22" location="'Ciudad de México_GenGral'!A1" display="5.1 Género General"/>
    <hyperlink ref="B23:D23" location="'Ciudad de México_GENERO'!A1" display="5.2 Por Circunscripción Consular"/>
    <hyperlink ref="A25:D25" location="'Ciudad de México_Gen_Edad'!A1" display="6. Por estructura de Edad"/>
    <hyperlink ref="A27:D27" location="'Ciudad de México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6"/>
  <sheetViews>
    <sheetView showGridLines="0" zoomScaleNormal="100" zoomScaleSheetLayoutView="115" workbookViewId="0">
      <selection activeCell="D1" sqref="D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224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70</v>
      </c>
      <c r="C11" s="31" t="s">
        <v>69</v>
      </c>
      <c r="D11" s="30" t="s">
        <v>68</v>
      </c>
    </row>
    <row r="12" spans="1:4" x14ac:dyDescent="0.25">
      <c r="B12" s="27" t="s">
        <v>67</v>
      </c>
      <c r="C12" s="26">
        <v>7985</v>
      </c>
      <c r="D12" s="25">
        <v>0.29152975538517706</v>
      </c>
    </row>
    <row r="13" spans="1:4" x14ac:dyDescent="0.25">
      <c r="B13" s="27" t="s">
        <v>66</v>
      </c>
      <c r="C13" s="26">
        <v>4405</v>
      </c>
      <c r="D13" s="25">
        <v>0.16082511865644394</v>
      </c>
    </row>
    <row r="14" spans="1:4" x14ac:dyDescent="0.25">
      <c r="B14" s="27" t="s">
        <v>65</v>
      </c>
      <c r="C14" s="26">
        <v>3516</v>
      </c>
      <c r="D14" s="25">
        <v>0.12836801752464402</v>
      </c>
    </row>
    <row r="15" spans="1:4" x14ac:dyDescent="0.25">
      <c r="B15" s="27" t="s">
        <v>64</v>
      </c>
      <c r="C15" s="26">
        <v>1411</v>
      </c>
      <c r="D15" s="25">
        <v>5.1515151515151514E-2</v>
      </c>
    </row>
    <row r="16" spans="1:4" x14ac:dyDescent="0.25">
      <c r="B16" s="27" t="s">
        <v>60</v>
      </c>
      <c r="C16" s="26">
        <v>1054</v>
      </c>
      <c r="D16" s="25">
        <v>3.8481197517342094E-2</v>
      </c>
    </row>
    <row r="17" spans="2:4" x14ac:dyDescent="0.25">
      <c r="B17" s="27" t="s">
        <v>62</v>
      </c>
      <c r="C17" s="26">
        <v>949</v>
      </c>
      <c r="D17" s="25">
        <v>3.4647681635633441E-2</v>
      </c>
    </row>
    <row r="18" spans="2:4" x14ac:dyDescent="0.25">
      <c r="B18" s="27" t="s">
        <v>63</v>
      </c>
      <c r="C18" s="26">
        <v>888</v>
      </c>
      <c r="D18" s="25">
        <v>3.2420591456736036E-2</v>
      </c>
    </row>
    <row r="19" spans="2:4" x14ac:dyDescent="0.25">
      <c r="B19" s="27" t="s">
        <v>57</v>
      </c>
      <c r="C19" s="26">
        <v>609</v>
      </c>
      <c r="D19" s="25">
        <v>2.2234392113910185E-2</v>
      </c>
    </row>
    <row r="20" spans="2:4" x14ac:dyDescent="0.25">
      <c r="B20" s="27" t="s">
        <v>59</v>
      </c>
      <c r="C20" s="26">
        <v>604</v>
      </c>
      <c r="D20" s="25">
        <v>2.2051843738590725E-2</v>
      </c>
    </row>
    <row r="21" spans="2:4" x14ac:dyDescent="0.25">
      <c r="B21" s="27" t="s">
        <v>58</v>
      </c>
      <c r="C21" s="26">
        <v>548</v>
      </c>
      <c r="D21" s="25">
        <v>2.0007301935012777E-2</v>
      </c>
    </row>
    <row r="22" spans="2:4" x14ac:dyDescent="0.25">
      <c r="B22" s="27" t="s">
        <v>61</v>
      </c>
      <c r="C22" s="26">
        <v>545</v>
      </c>
      <c r="D22" s="25">
        <v>1.9897772909821101E-2</v>
      </c>
    </row>
    <row r="23" spans="2:4" x14ac:dyDescent="0.25">
      <c r="B23" s="27" t="s">
        <v>55</v>
      </c>
      <c r="C23" s="26">
        <v>428</v>
      </c>
      <c r="D23" s="25">
        <v>1.5626140927345746E-2</v>
      </c>
    </row>
    <row r="24" spans="2:4" x14ac:dyDescent="0.25">
      <c r="B24" s="27" t="s">
        <v>56</v>
      </c>
      <c r="C24" s="26">
        <v>420</v>
      </c>
      <c r="D24" s="25">
        <v>1.5334063526834611E-2</v>
      </c>
    </row>
    <row r="25" spans="2:4" x14ac:dyDescent="0.25">
      <c r="B25" s="27" t="s">
        <v>51</v>
      </c>
      <c r="C25" s="26">
        <v>340</v>
      </c>
      <c r="D25" s="25">
        <v>1.2413289521723256E-2</v>
      </c>
    </row>
    <row r="26" spans="2:4" x14ac:dyDescent="0.25">
      <c r="B26" s="27" t="s">
        <v>53</v>
      </c>
      <c r="C26" s="26">
        <v>309</v>
      </c>
      <c r="D26" s="25">
        <v>1.1281489594742606E-2</v>
      </c>
    </row>
    <row r="27" spans="2:4" x14ac:dyDescent="0.25">
      <c r="B27" s="27" t="s">
        <v>44</v>
      </c>
      <c r="C27" s="26">
        <v>305</v>
      </c>
      <c r="D27" s="25">
        <v>1.113545089448704E-2</v>
      </c>
    </row>
    <row r="28" spans="2:4" x14ac:dyDescent="0.25">
      <c r="B28" s="27" t="s">
        <v>54</v>
      </c>
      <c r="C28" s="26">
        <v>279</v>
      </c>
      <c r="D28" s="25">
        <v>1.0186199342825849E-2</v>
      </c>
    </row>
    <row r="29" spans="2:4" x14ac:dyDescent="0.25">
      <c r="B29" s="27" t="s">
        <v>46</v>
      </c>
      <c r="C29" s="26">
        <v>234</v>
      </c>
      <c r="D29" s="25">
        <v>8.5432639649507119E-3</v>
      </c>
    </row>
    <row r="30" spans="2:4" x14ac:dyDescent="0.25">
      <c r="B30" s="27" t="s">
        <v>45</v>
      </c>
      <c r="C30" s="26">
        <v>209</v>
      </c>
      <c r="D30" s="25">
        <v>7.6305220883534138E-3</v>
      </c>
    </row>
    <row r="31" spans="2:4" x14ac:dyDescent="0.25">
      <c r="B31" s="27" t="s">
        <v>47</v>
      </c>
      <c r="C31" s="26">
        <v>202</v>
      </c>
      <c r="D31" s="25">
        <v>7.3749543629061699E-3</v>
      </c>
    </row>
    <row r="32" spans="2:4" x14ac:dyDescent="0.25">
      <c r="B32" s="27" t="s">
        <v>48</v>
      </c>
      <c r="C32" s="26">
        <v>184</v>
      </c>
      <c r="D32" s="25">
        <v>6.7177802117561157E-3</v>
      </c>
    </row>
    <row r="33" spans="2:4" x14ac:dyDescent="0.25">
      <c r="B33" s="27" t="s">
        <v>52</v>
      </c>
      <c r="C33" s="26">
        <v>175</v>
      </c>
      <c r="D33" s="25">
        <v>6.3891931361810877E-3</v>
      </c>
    </row>
    <row r="34" spans="2:4" x14ac:dyDescent="0.25">
      <c r="B34" s="27" t="s">
        <v>49</v>
      </c>
      <c r="C34" s="26">
        <v>167</v>
      </c>
      <c r="D34" s="25">
        <v>6.0971157356699522E-3</v>
      </c>
    </row>
    <row r="35" spans="2:4" x14ac:dyDescent="0.25">
      <c r="B35" s="27" t="s">
        <v>41</v>
      </c>
      <c r="C35" s="26">
        <v>153</v>
      </c>
      <c r="D35" s="25">
        <v>5.5859802847754653E-3</v>
      </c>
    </row>
    <row r="36" spans="2:4" x14ac:dyDescent="0.25">
      <c r="B36" s="27" t="s">
        <v>38</v>
      </c>
      <c r="C36" s="26">
        <v>145</v>
      </c>
      <c r="D36" s="25">
        <v>5.2939028842643298E-3</v>
      </c>
    </row>
    <row r="37" spans="2:4" x14ac:dyDescent="0.25">
      <c r="B37" s="27" t="s">
        <v>43</v>
      </c>
      <c r="C37" s="26">
        <v>142</v>
      </c>
      <c r="D37" s="25">
        <v>5.1843738590726541E-3</v>
      </c>
    </row>
    <row r="38" spans="2:4" x14ac:dyDescent="0.25">
      <c r="B38" s="27" t="s">
        <v>42</v>
      </c>
      <c r="C38" s="26">
        <v>126</v>
      </c>
      <c r="D38" s="25">
        <v>4.6002190580503831E-3</v>
      </c>
    </row>
    <row r="39" spans="2:4" x14ac:dyDescent="0.25">
      <c r="B39" s="27" t="s">
        <v>50</v>
      </c>
      <c r="C39" s="26">
        <v>123</v>
      </c>
      <c r="D39" s="25">
        <v>4.4906900328587074E-3</v>
      </c>
    </row>
    <row r="40" spans="2:4" x14ac:dyDescent="0.25">
      <c r="B40" s="27" t="s">
        <v>37</v>
      </c>
      <c r="C40" s="26">
        <v>102</v>
      </c>
      <c r="D40" s="25">
        <v>3.723986856516977E-3</v>
      </c>
    </row>
    <row r="41" spans="2:4" x14ac:dyDescent="0.25">
      <c r="B41" s="27" t="s">
        <v>36</v>
      </c>
      <c r="C41" s="26">
        <v>100</v>
      </c>
      <c r="D41" s="25">
        <v>3.6509675063891934E-3</v>
      </c>
    </row>
    <row r="42" spans="2:4" x14ac:dyDescent="0.25">
      <c r="B42" s="27" t="s">
        <v>39</v>
      </c>
      <c r="C42" s="26">
        <v>96</v>
      </c>
      <c r="D42" s="25">
        <v>3.5049288061336256E-3</v>
      </c>
    </row>
    <row r="43" spans="2:4" x14ac:dyDescent="0.25">
      <c r="B43" s="27" t="s">
        <v>32</v>
      </c>
      <c r="C43" s="26">
        <v>95</v>
      </c>
      <c r="D43" s="25">
        <v>3.4684191310697336E-3</v>
      </c>
    </row>
    <row r="44" spans="2:4" x14ac:dyDescent="0.25">
      <c r="B44" s="27" t="s">
        <v>34</v>
      </c>
      <c r="C44" s="26">
        <v>90</v>
      </c>
      <c r="D44" s="25">
        <v>3.2858707557502738E-3</v>
      </c>
    </row>
    <row r="45" spans="2:4" x14ac:dyDescent="0.25">
      <c r="B45" s="27" t="s">
        <v>40</v>
      </c>
      <c r="C45" s="26">
        <v>87</v>
      </c>
      <c r="D45" s="25">
        <v>3.1763417305585981E-3</v>
      </c>
    </row>
    <row r="46" spans="2:4" x14ac:dyDescent="0.25">
      <c r="B46" s="27" t="s">
        <v>33</v>
      </c>
      <c r="C46" s="26">
        <v>85</v>
      </c>
      <c r="D46" s="25">
        <v>3.103322380430814E-3</v>
      </c>
    </row>
    <row r="47" spans="2:4" x14ac:dyDescent="0.25">
      <c r="B47" s="27" t="s">
        <v>30</v>
      </c>
      <c r="C47" s="26">
        <v>57</v>
      </c>
      <c r="D47" s="25">
        <v>2.0810514786418401E-3</v>
      </c>
    </row>
    <row r="48" spans="2:4" x14ac:dyDescent="0.25">
      <c r="B48" s="27" t="s">
        <v>35</v>
      </c>
      <c r="C48" s="26">
        <v>56</v>
      </c>
      <c r="D48" s="25">
        <v>2.0445418035779481E-3</v>
      </c>
    </row>
    <row r="49" spans="2:4" x14ac:dyDescent="0.25">
      <c r="B49" s="27" t="s">
        <v>31</v>
      </c>
      <c r="C49" s="26">
        <v>51</v>
      </c>
      <c r="D49" s="25">
        <v>1.8619934282584885E-3</v>
      </c>
    </row>
    <row r="50" spans="2:4" x14ac:dyDescent="0.25">
      <c r="B50" s="27" t="s">
        <v>28</v>
      </c>
      <c r="C50" s="26">
        <v>36</v>
      </c>
      <c r="D50" s="25">
        <v>1.3143483023001095E-3</v>
      </c>
    </row>
    <row r="51" spans="2:4" x14ac:dyDescent="0.25">
      <c r="B51" s="27" t="s">
        <v>29</v>
      </c>
      <c r="C51" s="26">
        <v>32</v>
      </c>
      <c r="D51" s="25">
        <v>1.1683096020445418E-3</v>
      </c>
    </row>
    <row r="52" spans="2:4" x14ac:dyDescent="0.25">
      <c r="B52" s="27" t="s">
        <v>27</v>
      </c>
      <c r="C52" s="26">
        <v>15</v>
      </c>
      <c r="D52" s="25">
        <v>5.4764512595837896E-4</v>
      </c>
    </row>
    <row r="53" spans="2:4" x14ac:dyDescent="0.25">
      <c r="B53" s="27" t="s">
        <v>26</v>
      </c>
      <c r="C53" s="26">
        <v>11</v>
      </c>
      <c r="D53" s="25">
        <v>4.0160642570281126E-4</v>
      </c>
    </row>
    <row r="54" spans="2:4" x14ac:dyDescent="0.25">
      <c r="B54" s="27" t="s">
        <v>21</v>
      </c>
      <c r="C54" s="26">
        <v>6</v>
      </c>
      <c r="D54" s="25">
        <v>2.190580503833516E-4</v>
      </c>
    </row>
    <row r="55" spans="2:4" x14ac:dyDescent="0.25">
      <c r="B55" s="27" t="s">
        <v>25</v>
      </c>
      <c r="C55" s="26">
        <v>6</v>
      </c>
      <c r="D55" s="25">
        <v>2.190580503833516E-4</v>
      </c>
    </row>
    <row r="56" spans="2:4" x14ac:dyDescent="0.25">
      <c r="B56" s="27" t="s">
        <v>23</v>
      </c>
      <c r="C56" s="26">
        <v>6</v>
      </c>
      <c r="D56" s="25">
        <v>2.190580503833516E-4</v>
      </c>
    </row>
    <row r="57" spans="2:4" x14ac:dyDescent="0.25">
      <c r="B57" s="27" t="s">
        <v>24</v>
      </c>
      <c r="C57" s="26">
        <v>2</v>
      </c>
      <c r="D57" s="25">
        <v>7.3019350127783862E-5</v>
      </c>
    </row>
    <row r="58" spans="2:4" x14ac:dyDescent="0.25">
      <c r="B58" s="27" t="s">
        <v>219</v>
      </c>
      <c r="C58" s="26">
        <v>1</v>
      </c>
      <c r="D58" s="25">
        <v>3.6509675063891931E-5</v>
      </c>
    </row>
    <row r="59" spans="2:4" x14ac:dyDescent="0.25">
      <c r="B59" s="27" t="s">
        <v>22</v>
      </c>
      <c r="C59" s="26">
        <v>1</v>
      </c>
      <c r="D59" s="25">
        <v>3.6509675063891931E-5</v>
      </c>
    </row>
    <row r="60" spans="2:4" x14ac:dyDescent="0.25">
      <c r="B60" s="24" t="s">
        <v>20</v>
      </c>
      <c r="C60" s="23">
        <v>27390</v>
      </c>
      <c r="D60" s="22">
        <v>1</v>
      </c>
    </row>
    <row r="62" spans="2:4" x14ac:dyDescent="0.25">
      <c r="B62" s="19" t="s">
        <v>220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221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D1" sqref="D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228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121</v>
      </c>
      <c r="C11" s="31" t="s">
        <v>69</v>
      </c>
      <c r="D11" s="30" t="s">
        <v>68</v>
      </c>
    </row>
    <row r="12" spans="1:4" x14ac:dyDescent="0.25">
      <c r="B12" s="27" t="s">
        <v>119</v>
      </c>
      <c r="C12" s="26">
        <v>3652</v>
      </c>
      <c r="D12" s="25">
        <v>0.13333333333333333</v>
      </c>
    </row>
    <row r="13" spans="1:4" x14ac:dyDescent="0.25">
      <c r="B13" s="27" t="s">
        <v>172</v>
      </c>
      <c r="C13" s="26">
        <v>2887</v>
      </c>
      <c r="D13" s="25">
        <v>0.105403431909456</v>
      </c>
    </row>
    <row r="14" spans="1:4" x14ac:dyDescent="0.25">
      <c r="B14" s="27" t="s">
        <v>115</v>
      </c>
      <c r="C14" s="26">
        <v>1935</v>
      </c>
      <c r="D14" s="25">
        <v>7.0646221248630889E-2</v>
      </c>
    </row>
    <row r="15" spans="1:4" x14ac:dyDescent="0.25">
      <c r="B15" s="27" t="s">
        <v>118</v>
      </c>
      <c r="C15" s="26">
        <v>1773</v>
      </c>
      <c r="D15" s="25">
        <v>6.4731653888280394E-2</v>
      </c>
    </row>
    <row r="16" spans="1:4" x14ac:dyDescent="0.25">
      <c r="B16" s="27" t="s">
        <v>117</v>
      </c>
      <c r="C16" s="26">
        <v>1662</v>
      </c>
      <c r="D16" s="25">
        <v>6.0679079956188389E-2</v>
      </c>
    </row>
    <row r="17" spans="2:4" x14ac:dyDescent="0.25">
      <c r="B17" s="27" t="s">
        <v>113</v>
      </c>
      <c r="C17" s="26">
        <v>1362</v>
      </c>
      <c r="D17" s="25">
        <v>4.9726177437020812E-2</v>
      </c>
    </row>
    <row r="18" spans="2:4" x14ac:dyDescent="0.25">
      <c r="B18" s="27" t="s">
        <v>116</v>
      </c>
      <c r="C18" s="26">
        <v>1261</v>
      </c>
      <c r="D18" s="25">
        <v>4.6038700255567729E-2</v>
      </c>
    </row>
    <row r="19" spans="2:4" x14ac:dyDescent="0.25">
      <c r="B19" s="27" t="s">
        <v>111</v>
      </c>
      <c r="C19" s="26">
        <v>1132</v>
      </c>
      <c r="D19" s="25">
        <v>4.132895217232567E-2</v>
      </c>
    </row>
    <row r="20" spans="2:4" x14ac:dyDescent="0.25">
      <c r="B20" s="27" t="s">
        <v>112</v>
      </c>
      <c r="C20" s="26">
        <v>972</v>
      </c>
      <c r="D20" s="25">
        <v>3.5487404162102956E-2</v>
      </c>
    </row>
    <row r="21" spans="2:4" x14ac:dyDescent="0.25">
      <c r="B21" s="27" t="s">
        <v>173</v>
      </c>
      <c r="C21" s="26">
        <v>639</v>
      </c>
      <c r="D21" s="25">
        <v>2.3329682365826943E-2</v>
      </c>
    </row>
    <row r="22" spans="2:4" x14ac:dyDescent="0.25">
      <c r="B22" s="27" t="s">
        <v>109</v>
      </c>
      <c r="C22" s="26">
        <v>631</v>
      </c>
      <c r="D22" s="25">
        <v>2.303760496531581E-2</v>
      </c>
    </row>
    <row r="23" spans="2:4" x14ac:dyDescent="0.25">
      <c r="B23" s="27" t="s">
        <v>170</v>
      </c>
      <c r="C23" s="26">
        <v>622</v>
      </c>
      <c r="D23" s="25">
        <v>2.2709017889740783E-2</v>
      </c>
    </row>
    <row r="24" spans="2:4" x14ac:dyDescent="0.25">
      <c r="B24" s="27" t="s">
        <v>96</v>
      </c>
      <c r="C24" s="26">
        <v>604</v>
      </c>
      <c r="D24" s="25">
        <v>2.2051843738590725E-2</v>
      </c>
    </row>
    <row r="25" spans="2:4" x14ac:dyDescent="0.25">
      <c r="B25" s="27" t="s">
        <v>107</v>
      </c>
      <c r="C25" s="26">
        <v>594</v>
      </c>
      <c r="D25" s="25">
        <v>2.1686746987951807E-2</v>
      </c>
    </row>
    <row r="26" spans="2:4" x14ac:dyDescent="0.25">
      <c r="B26" s="27" t="s">
        <v>93</v>
      </c>
      <c r="C26" s="26">
        <v>584</v>
      </c>
      <c r="D26" s="25">
        <v>2.1321650237312889E-2</v>
      </c>
    </row>
    <row r="27" spans="2:4" x14ac:dyDescent="0.25">
      <c r="B27" s="27" t="s">
        <v>104</v>
      </c>
      <c r="C27" s="26">
        <v>540</v>
      </c>
      <c r="D27" s="25">
        <v>1.9715224534501644E-2</v>
      </c>
    </row>
    <row r="28" spans="2:4" x14ac:dyDescent="0.25">
      <c r="B28" s="27" t="s">
        <v>92</v>
      </c>
      <c r="C28" s="26">
        <v>456</v>
      </c>
      <c r="D28" s="25">
        <v>1.6648411829134721E-2</v>
      </c>
    </row>
    <row r="29" spans="2:4" x14ac:dyDescent="0.25">
      <c r="B29" s="27" t="s">
        <v>108</v>
      </c>
      <c r="C29" s="26">
        <v>452</v>
      </c>
      <c r="D29" s="25">
        <v>1.6502373128879155E-2</v>
      </c>
    </row>
    <row r="30" spans="2:4" x14ac:dyDescent="0.25">
      <c r="B30" s="27" t="s">
        <v>101</v>
      </c>
      <c r="C30" s="26">
        <v>426</v>
      </c>
      <c r="D30" s="25">
        <v>1.5553121577217962E-2</v>
      </c>
    </row>
    <row r="31" spans="2:4" x14ac:dyDescent="0.25">
      <c r="B31" s="27" t="s">
        <v>98</v>
      </c>
      <c r="C31" s="26">
        <v>426</v>
      </c>
      <c r="D31" s="25">
        <v>1.5553121577217962E-2</v>
      </c>
    </row>
    <row r="32" spans="2:4" x14ac:dyDescent="0.25">
      <c r="B32" s="27" t="s">
        <v>114</v>
      </c>
      <c r="C32" s="26">
        <v>390</v>
      </c>
      <c r="D32" s="25">
        <v>1.4238773274917854E-2</v>
      </c>
    </row>
    <row r="33" spans="2:4" x14ac:dyDescent="0.25">
      <c r="B33" s="27" t="s">
        <v>103</v>
      </c>
      <c r="C33" s="26">
        <v>387</v>
      </c>
      <c r="D33" s="25">
        <v>1.4129244249726178E-2</v>
      </c>
    </row>
    <row r="34" spans="2:4" x14ac:dyDescent="0.25">
      <c r="B34" s="27" t="s">
        <v>90</v>
      </c>
      <c r="C34" s="26">
        <v>372</v>
      </c>
      <c r="D34" s="25">
        <v>1.3581599123767798E-2</v>
      </c>
    </row>
    <row r="35" spans="2:4" x14ac:dyDescent="0.25">
      <c r="B35" s="27" t="s">
        <v>94</v>
      </c>
      <c r="C35" s="26">
        <v>356</v>
      </c>
      <c r="D35" s="25">
        <v>1.2997444322745527E-2</v>
      </c>
    </row>
    <row r="36" spans="2:4" x14ac:dyDescent="0.25">
      <c r="B36" s="27" t="s">
        <v>105</v>
      </c>
      <c r="C36" s="26">
        <v>354</v>
      </c>
      <c r="D36" s="25">
        <v>1.2924424972617744E-2</v>
      </c>
    </row>
    <row r="37" spans="2:4" x14ac:dyDescent="0.25">
      <c r="B37" s="27" t="s">
        <v>106</v>
      </c>
      <c r="C37" s="26">
        <v>324</v>
      </c>
      <c r="D37" s="25">
        <v>1.1829134720700987E-2</v>
      </c>
    </row>
    <row r="38" spans="2:4" x14ac:dyDescent="0.25">
      <c r="B38" s="27" t="s">
        <v>100</v>
      </c>
      <c r="C38" s="26">
        <v>261</v>
      </c>
      <c r="D38" s="25">
        <v>9.5290251916757933E-3</v>
      </c>
    </row>
    <row r="39" spans="2:4" x14ac:dyDescent="0.25">
      <c r="B39" s="27" t="s">
        <v>87</v>
      </c>
      <c r="C39" s="26">
        <v>260</v>
      </c>
      <c r="D39" s="25">
        <v>9.4925155166119025E-3</v>
      </c>
    </row>
    <row r="40" spans="2:4" x14ac:dyDescent="0.25">
      <c r="B40" s="27" t="s">
        <v>91</v>
      </c>
      <c r="C40" s="26">
        <v>260</v>
      </c>
      <c r="D40" s="25">
        <v>9.4925155166119025E-3</v>
      </c>
    </row>
    <row r="41" spans="2:4" x14ac:dyDescent="0.25">
      <c r="B41" s="27" t="s">
        <v>97</v>
      </c>
      <c r="C41" s="26">
        <v>241</v>
      </c>
      <c r="D41" s="25">
        <v>8.7988316903979558E-3</v>
      </c>
    </row>
    <row r="42" spans="2:4" x14ac:dyDescent="0.25">
      <c r="B42" s="27" t="s">
        <v>88</v>
      </c>
      <c r="C42" s="26">
        <v>236</v>
      </c>
      <c r="D42" s="25">
        <v>8.6162833150784952E-3</v>
      </c>
    </row>
    <row r="43" spans="2:4" x14ac:dyDescent="0.25">
      <c r="B43" s="27" t="s">
        <v>50</v>
      </c>
      <c r="C43" s="26">
        <v>203</v>
      </c>
      <c r="D43" s="25">
        <v>7.4114640379700624E-3</v>
      </c>
    </row>
    <row r="44" spans="2:4" x14ac:dyDescent="0.25">
      <c r="B44" s="27" t="s">
        <v>171</v>
      </c>
      <c r="C44" s="26">
        <v>188</v>
      </c>
      <c r="D44" s="25">
        <v>6.863818912011683E-3</v>
      </c>
    </row>
    <row r="45" spans="2:4" x14ac:dyDescent="0.25">
      <c r="B45" s="27" t="s">
        <v>95</v>
      </c>
      <c r="C45" s="26">
        <v>185</v>
      </c>
      <c r="D45" s="25">
        <v>6.7542898868200073E-3</v>
      </c>
    </row>
    <row r="46" spans="2:4" x14ac:dyDescent="0.25">
      <c r="B46" s="27" t="s">
        <v>86</v>
      </c>
      <c r="C46" s="26">
        <v>141</v>
      </c>
      <c r="D46" s="25">
        <v>5.1478641840087625E-3</v>
      </c>
    </row>
    <row r="47" spans="2:4" x14ac:dyDescent="0.25">
      <c r="B47" s="27" t="s">
        <v>89</v>
      </c>
      <c r="C47" s="26">
        <v>109</v>
      </c>
      <c r="D47" s="25">
        <v>3.9795545819642205E-3</v>
      </c>
    </row>
    <row r="48" spans="2:4" x14ac:dyDescent="0.25">
      <c r="B48" s="27" t="s">
        <v>82</v>
      </c>
      <c r="C48" s="26">
        <v>107</v>
      </c>
      <c r="D48" s="25">
        <v>3.9065352318364364E-3</v>
      </c>
    </row>
    <row r="49" spans="2:4" x14ac:dyDescent="0.25">
      <c r="B49" s="27" t="s">
        <v>84</v>
      </c>
      <c r="C49" s="26">
        <v>85</v>
      </c>
      <c r="D49" s="25">
        <v>3.103322380430814E-3</v>
      </c>
    </row>
    <row r="50" spans="2:4" x14ac:dyDescent="0.25">
      <c r="B50" s="27" t="s">
        <v>83</v>
      </c>
      <c r="C50" s="26">
        <v>73</v>
      </c>
      <c r="D50" s="25">
        <v>2.6652062796641111E-3</v>
      </c>
    </row>
    <row r="51" spans="2:4" x14ac:dyDescent="0.25">
      <c r="B51" s="27" t="s">
        <v>85</v>
      </c>
      <c r="C51" s="26">
        <v>68</v>
      </c>
      <c r="D51" s="25">
        <v>2.4826579043446513E-3</v>
      </c>
    </row>
    <row r="52" spans="2:4" x14ac:dyDescent="0.25">
      <c r="B52" s="27" t="s">
        <v>81</v>
      </c>
      <c r="C52" s="26">
        <v>63</v>
      </c>
      <c r="D52" s="25">
        <v>2.3001095290251915E-3</v>
      </c>
    </row>
    <row r="53" spans="2:4" x14ac:dyDescent="0.25">
      <c r="B53" s="27" t="s">
        <v>78</v>
      </c>
      <c r="C53" s="26">
        <v>48</v>
      </c>
      <c r="D53" s="25">
        <v>1.7524644030668128E-3</v>
      </c>
    </row>
    <row r="54" spans="2:4" x14ac:dyDescent="0.25">
      <c r="B54" s="27" t="s">
        <v>80</v>
      </c>
      <c r="C54" s="26">
        <v>42</v>
      </c>
      <c r="D54" s="25">
        <v>1.5334063526834612E-3</v>
      </c>
    </row>
    <row r="55" spans="2:4" x14ac:dyDescent="0.25">
      <c r="B55" s="27" t="s">
        <v>175</v>
      </c>
      <c r="C55" s="26">
        <v>8</v>
      </c>
      <c r="D55" s="25">
        <v>2.9207740051113545E-4</v>
      </c>
    </row>
    <row r="56" spans="2:4" x14ac:dyDescent="0.25">
      <c r="B56" s="27" t="s">
        <v>174</v>
      </c>
      <c r="C56" s="26">
        <v>6</v>
      </c>
      <c r="D56" s="25">
        <v>2.190580503833516E-4</v>
      </c>
    </row>
    <row r="57" spans="2:4" x14ac:dyDescent="0.25">
      <c r="B57" s="27" t="s">
        <v>79</v>
      </c>
      <c r="C57" s="26">
        <v>5</v>
      </c>
      <c r="D57" s="25">
        <v>1.8254837531945966E-4</v>
      </c>
    </row>
    <row r="58" spans="2:4" x14ac:dyDescent="0.25">
      <c r="B58" s="27" t="s">
        <v>74</v>
      </c>
      <c r="C58" s="26">
        <v>3</v>
      </c>
      <c r="D58" s="25">
        <v>1.095290251916758E-4</v>
      </c>
    </row>
    <row r="59" spans="2:4" x14ac:dyDescent="0.25">
      <c r="B59" s="27" t="s">
        <v>77</v>
      </c>
      <c r="C59" s="26">
        <v>3</v>
      </c>
      <c r="D59" s="25">
        <v>1.095290251916758E-4</v>
      </c>
    </row>
    <row r="60" spans="2:4" x14ac:dyDescent="0.25">
      <c r="B60" s="27" t="s">
        <v>73</v>
      </c>
      <c r="C60" s="26">
        <v>1</v>
      </c>
      <c r="D60" s="25">
        <v>3.6509675063891931E-5</v>
      </c>
    </row>
    <row r="61" spans="2:4" x14ac:dyDescent="0.25">
      <c r="B61" s="27" t="s">
        <v>72</v>
      </c>
      <c r="C61" s="26">
        <v>1</v>
      </c>
      <c r="D61" s="25">
        <v>3.6509675063891931E-5</v>
      </c>
    </row>
    <row r="62" spans="2:4" x14ac:dyDescent="0.25">
      <c r="B62" s="24" t="s">
        <v>20</v>
      </c>
      <c r="C62" s="23">
        <v>27390</v>
      </c>
      <c r="D62" s="22">
        <v>1</v>
      </c>
    </row>
    <row r="64" spans="2:4" x14ac:dyDescent="0.25">
      <c r="B64" s="19" t="s">
        <v>220</v>
      </c>
    </row>
    <row r="65" spans="2:2" x14ac:dyDescent="0.25">
      <c r="B65" s="21" t="s">
        <v>19</v>
      </c>
    </row>
    <row r="66" spans="2:2" x14ac:dyDescent="0.25">
      <c r="B66" s="20" t="s">
        <v>18</v>
      </c>
    </row>
    <row r="67" spans="2:2" x14ac:dyDescent="0.25">
      <c r="B67" s="19" t="s">
        <v>17</v>
      </c>
    </row>
    <row r="68" spans="2:2" x14ac:dyDescent="0.25">
      <c r="B68" s="19" t="s">
        <v>221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opLeftCell="A4" zoomScaleNormal="100" zoomScaleSheetLayoutView="115" workbookViewId="0">
      <selection activeCell="D11" sqref="D1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228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121</v>
      </c>
      <c r="C11" s="31" t="s">
        <v>69</v>
      </c>
      <c r="D11" s="30" t="s">
        <v>68</v>
      </c>
    </row>
    <row r="12" spans="1:4" ht="15" customHeight="1" x14ac:dyDescent="0.25">
      <c r="B12" s="27" t="s">
        <v>119</v>
      </c>
      <c r="C12" s="26">
        <v>3652</v>
      </c>
      <c r="D12" s="25">
        <f t="shared" ref="D12:D22" si="0">C12/$C$22</f>
        <v>0.21140376266280753</v>
      </c>
    </row>
    <row r="13" spans="1:4" x14ac:dyDescent="0.25">
      <c r="B13" s="27" t="s">
        <v>120</v>
      </c>
      <c r="C13" s="26">
        <v>2887</v>
      </c>
      <c r="D13" s="25">
        <f t="shared" si="0"/>
        <v>0.16712011577424024</v>
      </c>
    </row>
    <row r="14" spans="1:4" s="28" customFormat="1" ht="15.75" x14ac:dyDescent="0.25">
      <c r="A14" s="17"/>
      <c r="B14" s="27" t="s">
        <v>115</v>
      </c>
      <c r="C14" s="26">
        <v>1935</v>
      </c>
      <c r="D14" s="25">
        <f t="shared" si="0"/>
        <v>0.11201157742402315</v>
      </c>
    </row>
    <row r="15" spans="1:4" s="28" customFormat="1" ht="15.75" x14ac:dyDescent="0.25">
      <c r="A15" s="17"/>
      <c r="B15" s="27" t="s">
        <v>118</v>
      </c>
      <c r="C15" s="26">
        <v>1773</v>
      </c>
      <c r="D15" s="25">
        <f t="shared" si="0"/>
        <v>0.10263386396526773</v>
      </c>
    </row>
    <row r="16" spans="1:4" x14ac:dyDescent="0.25">
      <c r="B16" s="27" t="s">
        <v>117</v>
      </c>
      <c r="C16" s="26">
        <v>1662</v>
      </c>
      <c r="D16" s="25">
        <f t="shared" si="0"/>
        <v>9.6208393632416789E-2</v>
      </c>
    </row>
    <row r="17" spans="2:4" x14ac:dyDescent="0.25">
      <c r="B17" s="27" t="s">
        <v>113</v>
      </c>
      <c r="C17" s="26">
        <v>1362</v>
      </c>
      <c r="D17" s="25">
        <f t="shared" si="0"/>
        <v>7.8842257597684512E-2</v>
      </c>
    </row>
    <row r="18" spans="2:4" x14ac:dyDescent="0.25">
      <c r="B18" s="27" t="s">
        <v>116</v>
      </c>
      <c r="C18" s="26">
        <v>1261</v>
      </c>
      <c r="D18" s="25">
        <f t="shared" si="0"/>
        <v>7.299565846599132E-2</v>
      </c>
    </row>
    <row r="19" spans="2:4" x14ac:dyDescent="0.25">
      <c r="B19" s="27" t="s">
        <v>111</v>
      </c>
      <c r="C19" s="26">
        <v>1132</v>
      </c>
      <c r="D19" s="25">
        <f t="shared" si="0"/>
        <v>6.5528219971056442E-2</v>
      </c>
    </row>
    <row r="20" spans="2:4" x14ac:dyDescent="0.25">
      <c r="B20" s="27" t="s">
        <v>112</v>
      </c>
      <c r="C20" s="26">
        <v>972</v>
      </c>
      <c r="D20" s="25">
        <f t="shared" si="0"/>
        <v>5.6266280752532559E-2</v>
      </c>
    </row>
    <row r="21" spans="2:4" x14ac:dyDescent="0.25">
      <c r="B21" s="27" t="s">
        <v>102</v>
      </c>
      <c r="C21" s="26">
        <v>639</v>
      </c>
      <c r="D21" s="25">
        <f t="shared" si="0"/>
        <v>3.6989869753979741E-2</v>
      </c>
    </row>
    <row r="22" spans="2:4" x14ac:dyDescent="0.25">
      <c r="B22" s="24" t="s">
        <v>176</v>
      </c>
      <c r="C22" s="23">
        <f>SUM(C12:C21)</f>
        <v>17275</v>
      </c>
      <c r="D22" s="22">
        <f t="shared" si="0"/>
        <v>1</v>
      </c>
    </row>
    <row r="24" spans="2:4" x14ac:dyDescent="0.25">
      <c r="B24" s="19" t="s">
        <v>220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34"/>
  <sheetViews>
    <sheetView showGridLines="0" zoomScaleNormal="100" zoomScaleSheetLayoutView="115" workbookViewId="0">
      <selection activeCell="B1" sqref="B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222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138</v>
      </c>
      <c r="C11" s="31" t="s">
        <v>69</v>
      </c>
      <c r="D11" s="30" t="s">
        <v>68</v>
      </c>
    </row>
    <row r="12" spans="1:4" x14ac:dyDescent="0.25">
      <c r="B12" s="27" t="s">
        <v>137</v>
      </c>
      <c r="C12" s="26">
        <v>4274</v>
      </c>
      <c r="D12" s="25">
        <v>0.15604235122307411</v>
      </c>
    </row>
    <row r="13" spans="1:4" x14ac:dyDescent="0.25">
      <c r="B13" s="27" t="s">
        <v>136</v>
      </c>
      <c r="C13" s="26">
        <v>3405</v>
      </c>
      <c r="D13" s="25">
        <v>0.12431544359255203</v>
      </c>
    </row>
    <row r="14" spans="1:4" x14ac:dyDescent="0.25">
      <c r="B14" s="27" t="s">
        <v>135</v>
      </c>
      <c r="C14" s="26">
        <v>3266</v>
      </c>
      <c r="D14" s="25">
        <v>0.11924059875867105</v>
      </c>
    </row>
    <row r="15" spans="1:4" x14ac:dyDescent="0.25">
      <c r="B15" s="27" t="s">
        <v>134</v>
      </c>
      <c r="C15" s="26">
        <v>2864</v>
      </c>
      <c r="D15" s="25">
        <v>0.10456370938298649</v>
      </c>
    </row>
    <row r="16" spans="1:4" x14ac:dyDescent="0.25">
      <c r="B16" s="27" t="s">
        <v>133</v>
      </c>
      <c r="C16" s="26">
        <v>2454</v>
      </c>
      <c r="D16" s="25">
        <v>8.9594742606790803E-2</v>
      </c>
    </row>
    <row r="17" spans="2:4" x14ac:dyDescent="0.25">
      <c r="B17" s="27" t="s">
        <v>131</v>
      </c>
      <c r="C17" s="26">
        <v>2143</v>
      </c>
      <c r="D17" s="25">
        <v>7.8240233661920414E-2</v>
      </c>
    </row>
    <row r="18" spans="2:4" x14ac:dyDescent="0.25">
      <c r="B18" s="27" t="s">
        <v>132</v>
      </c>
      <c r="C18" s="26">
        <v>2052</v>
      </c>
      <c r="D18" s="25">
        <v>7.4917853231106238E-2</v>
      </c>
    </row>
    <row r="19" spans="2:4" x14ac:dyDescent="0.25">
      <c r="B19" s="27" t="s">
        <v>130</v>
      </c>
      <c r="C19" s="26">
        <v>1745</v>
      </c>
      <c r="D19" s="25">
        <v>6.3709382986491425E-2</v>
      </c>
    </row>
    <row r="20" spans="2:4" x14ac:dyDescent="0.25">
      <c r="B20" s="27" t="s">
        <v>129</v>
      </c>
      <c r="C20" s="26">
        <v>1618</v>
      </c>
      <c r="D20" s="25">
        <v>5.9072654253377148E-2</v>
      </c>
    </row>
    <row r="21" spans="2:4" x14ac:dyDescent="0.25">
      <c r="B21" s="27" t="s">
        <v>128</v>
      </c>
      <c r="C21" s="26">
        <v>1182</v>
      </c>
      <c r="D21" s="25">
        <v>4.3154435925520263E-2</v>
      </c>
    </row>
    <row r="22" spans="2:4" x14ac:dyDescent="0.25">
      <c r="B22" s="27" t="s">
        <v>127</v>
      </c>
      <c r="C22" s="26">
        <v>827</v>
      </c>
      <c r="D22" s="25">
        <v>3.0193501277838628E-2</v>
      </c>
    </row>
    <row r="23" spans="2:4" x14ac:dyDescent="0.25">
      <c r="B23" s="27" t="s">
        <v>126</v>
      </c>
      <c r="C23" s="26">
        <v>487</v>
      </c>
      <c r="D23" s="25">
        <v>1.7780211756115369E-2</v>
      </c>
    </row>
    <row r="24" spans="2:4" ht="27" x14ac:dyDescent="0.25">
      <c r="B24" s="27" t="s">
        <v>125</v>
      </c>
      <c r="C24" s="26">
        <v>308</v>
      </c>
      <c r="D24" s="25">
        <v>1.1244979919678716E-2</v>
      </c>
    </row>
    <row r="25" spans="2:4" x14ac:dyDescent="0.25">
      <c r="B25" s="27" t="s">
        <v>124</v>
      </c>
      <c r="C25" s="26">
        <v>276</v>
      </c>
      <c r="D25" s="25">
        <v>1.0076670317634174E-2</v>
      </c>
    </row>
    <row r="26" spans="2:4" x14ac:dyDescent="0.25">
      <c r="B26" s="27" t="s">
        <v>123</v>
      </c>
      <c r="C26" s="26">
        <v>250</v>
      </c>
      <c r="D26" s="25">
        <v>9.1274187659729829E-3</v>
      </c>
    </row>
    <row r="27" spans="2:4" x14ac:dyDescent="0.25">
      <c r="B27" s="27" t="s">
        <v>122</v>
      </c>
      <c r="C27" s="26">
        <v>239</v>
      </c>
      <c r="D27" s="25">
        <v>8.7258123402701709E-3</v>
      </c>
    </row>
    <row r="28" spans="2:4" x14ac:dyDescent="0.25">
      <c r="B28" s="24" t="s">
        <v>20</v>
      </c>
      <c r="C28" s="23">
        <v>27390</v>
      </c>
      <c r="D28" s="22">
        <v>1</v>
      </c>
    </row>
    <row r="30" spans="2:4" x14ac:dyDescent="0.25">
      <c r="B30" s="19" t="s">
        <v>220</v>
      </c>
    </row>
    <row r="31" spans="2:4" x14ac:dyDescent="0.25">
      <c r="B31" s="21" t="s">
        <v>19</v>
      </c>
    </row>
    <row r="32" spans="2:4" x14ac:dyDescent="0.25">
      <c r="B32" s="20" t="s">
        <v>18</v>
      </c>
    </row>
    <row r="33" spans="2:2" x14ac:dyDescent="0.25">
      <c r="B33" s="19" t="s">
        <v>17</v>
      </c>
    </row>
    <row r="34" spans="2:2" x14ac:dyDescent="0.25">
      <c r="B34" s="19" t="s">
        <v>221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624"/>
  <sheetViews>
    <sheetView zoomScale="85" zoomScaleNormal="85" zoomScaleSheetLayoutView="85" workbookViewId="0">
      <selection activeCell="D1" sqref="D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6" width="33.85546875" style="36" customWidth="1"/>
    <col min="7" max="7" width="35" style="36" hidden="1" customWidth="1"/>
    <col min="8" max="8" width="4.42578125" style="36" customWidth="1"/>
    <col min="9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3"/>
      <c r="C7" s="93"/>
      <c r="D7" s="93"/>
      <c r="E7" s="93"/>
    </row>
    <row r="8" spans="1:5" s="50" customFormat="1" ht="33" customHeight="1" x14ac:dyDescent="0.3">
      <c r="A8" s="51"/>
      <c r="B8" s="93"/>
      <c r="C8" s="93"/>
      <c r="D8" s="93"/>
      <c r="E8" s="93"/>
    </row>
    <row r="9" spans="1:5" s="29" customFormat="1" ht="40.5" customHeight="1" x14ac:dyDescent="0.2">
      <c r="B9" s="47" t="s">
        <v>140</v>
      </c>
      <c r="C9" s="49" t="s">
        <v>139</v>
      </c>
      <c r="D9" s="48" t="s">
        <v>69</v>
      </c>
      <c r="E9" s="47" t="s">
        <v>68</v>
      </c>
    </row>
    <row r="10" spans="1:5" ht="15" customHeight="1" x14ac:dyDescent="0.25">
      <c r="B10" s="88" t="s">
        <v>49</v>
      </c>
      <c r="C10" s="45" t="s">
        <v>134</v>
      </c>
      <c r="D10" s="44">
        <v>106</v>
      </c>
      <c r="E10" s="43">
        <v>3.8700255567725448E-3</v>
      </c>
    </row>
    <row r="11" spans="1:5" ht="15" customHeight="1" x14ac:dyDescent="0.25">
      <c r="B11" s="89"/>
      <c r="C11" s="45" t="s">
        <v>132</v>
      </c>
      <c r="D11" s="44">
        <v>6</v>
      </c>
      <c r="E11" s="43">
        <v>2.190580503833516E-4</v>
      </c>
    </row>
    <row r="12" spans="1:5" ht="15" customHeight="1" x14ac:dyDescent="0.25">
      <c r="B12" s="89"/>
      <c r="C12" s="45" t="s">
        <v>130</v>
      </c>
      <c r="D12" s="44">
        <v>12</v>
      </c>
      <c r="E12" s="43">
        <v>4.381161007667032E-4</v>
      </c>
    </row>
    <row r="13" spans="1:5" ht="15" customHeight="1" x14ac:dyDescent="0.25">
      <c r="B13" s="89"/>
      <c r="C13" s="45" t="s">
        <v>128</v>
      </c>
      <c r="D13" s="44">
        <v>2</v>
      </c>
      <c r="E13" s="43">
        <v>7.3019350127783862E-5</v>
      </c>
    </row>
    <row r="14" spans="1:5" ht="15" customHeight="1" x14ac:dyDescent="0.25">
      <c r="B14" s="89"/>
      <c r="C14" s="45" t="s">
        <v>124</v>
      </c>
      <c r="D14" s="44">
        <v>1</v>
      </c>
      <c r="E14" s="43">
        <v>3.6509675063891931E-5</v>
      </c>
    </row>
    <row r="15" spans="1:5" ht="15" customHeight="1" x14ac:dyDescent="0.25">
      <c r="B15" s="89"/>
      <c r="C15" s="45" t="s">
        <v>136</v>
      </c>
      <c r="D15" s="44">
        <v>5</v>
      </c>
      <c r="E15" s="43">
        <v>1.8254837531945966E-4</v>
      </c>
    </row>
    <row r="16" spans="1:5" ht="15" customHeight="1" x14ac:dyDescent="0.25">
      <c r="B16" s="89"/>
      <c r="C16" s="45" t="s">
        <v>137</v>
      </c>
      <c r="D16" s="44">
        <v>8</v>
      </c>
      <c r="E16" s="43">
        <v>2.9207740051113545E-4</v>
      </c>
    </row>
    <row r="17" spans="2:5" ht="15" customHeight="1" x14ac:dyDescent="0.25">
      <c r="B17" s="89"/>
      <c r="C17" s="45" t="s">
        <v>131</v>
      </c>
      <c r="D17" s="44">
        <v>5</v>
      </c>
      <c r="E17" s="43">
        <v>1.8254837531945966E-4</v>
      </c>
    </row>
    <row r="18" spans="2:5" ht="15" customHeight="1" x14ac:dyDescent="0.25">
      <c r="B18" s="89"/>
      <c r="C18" s="45" t="s">
        <v>135</v>
      </c>
      <c r="D18" s="44">
        <v>9</v>
      </c>
      <c r="E18" s="43">
        <v>3.2858707557502739E-4</v>
      </c>
    </row>
    <row r="19" spans="2:5" ht="15" customHeight="1" x14ac:dyDescent="0.25">
      <c r="B19" s="89"/>
      <c r="C19" s="45" t="s">
        <v>125</v>
      </c>
      <c r="D19" s="44">
        <v>2</v>
      </c>
      <c r="E19" s="43">
        <v>7.3019350127783862E-5</v>
      </c>
    </row>
    <row r="20" spans="2:5" ht="15" customHeight="1" x14ac:dyDescent="0.25">
      <c r="B20" s="89"/>
      <c r="C20" s="45" t="s">
        <v>133</v>
      </c>
      <c r="D20" s="44">
        <v>3</v>
      </c>
      <c r="E20" s="43">
        <v>1.095290251916758E-4</v>
      </c>
    </row>
    <row r="21" spans="2:5" ht="15" customHeight="1" x14ac:dyDescent="0.25">
      <c r="B21" s="89"/>
      <c r="C21" s="45" t="s">
        <v>122</v>
      </c>
      <c r="D21" s="44">
        <v>2</v>
      </c>
      <c r="E21" s="43">
        <v>7.3019350127783862E-5</v>
      </c>
    </row>
    <row r="22" spans="2:5" ht="15" customHeight="1" x14ac:dyDescent="0.25">
      <c r="B22" s="89"/>
      <c r="C22" s="45" t="s">
        <v>127</v>
      </c>
      <c r="D22" s="44">
        <v>2</v>
      </c>
      <c r="E22" s="43">
        <v>7.3019350127783862E-5</v>
      </c>
    </row>
    <row r="23" spans="2:5" ht="15" customHeight="1" x14ac:dyDescent="0.25">
      <c r="B23" s="89"/>
      <c r="C23" s="45" t="s">
        <v>129</v>
      </c>
      <c r="D23" s="44">
        <v>4</v>
      </c>
      <c r="E23" s="43">
        <v>1.4603870025556772E-4</v>
      </c>
    </row>
    <row r="24" spans="2:5" ht="15" customHeight="1" x14ac:dyDescent="0.25">
      <c r="B24" s="90"/>
      <c r="C24" s="42" t="s">
        <v>20</v>
      </c>
      <c r="D24" s="41">
        <v>167</v>
      </c>
      <c r="E24" s="40">
        <v>6.0971157356699522E-3</v>
      </c>
    </row>
    <row r="25" spans="2:5" ht="15" customHeight="1" x14ac:dyDescent="0.25">
      <c r="B25" s="88" t="s">
        <v>53</v>
      </c>
      <c r="C25" s="45" t="s">
        <v>134</v>
      </c>
      <c r="D25" s="44">
        <v>108</v>
      </c>
      <c r="E25" s="43">
        <v>3.9430449069003289E-3</v>
      </c>
    </row>
    <row r="26" spans="2:5" ht="15" customHeight="1" x14ac:dyDescent="0.25">
      <c r="B26" s="89"/>
      <c r="C26" s="45" t="s">
        <v>132</v>
      </c>
      <c r="D26" s="44">
        <v>54</v>
      </c>
      <c r="E26" s="43">
        <v>1.9715224534501644E-3</v>
      </c>
    </row>
    <row r="27" spans="2:5" ht="15" customHeight="1" x14ac:dyDescent="0.25">
      <c r="B27" s="89"/>
      <c r="C27" s="45" t="s">
        <v>130</v>
      </c>
      <c r="D27" s="44">
        <v>22</v>
      </c>
      <c r="E27" s="43">
        <v>8.0321285140562252E-4</v>
      </c>
    </row>
    <row r="28" spans="2:5" ht="15" customHeight="1" x14ac:dyDescent="0.25">
      <c r="B28" s="89"/>
      <c r="C28" s="45" t="s">
        <v>128</v>
      </c>
      <c r="D28" s="44">
        <v>11</v>
      </c>
      <c r="E28" s="43">
        <v>4.0160642570281126E-4</v>
      </c>
    </row>
    <row r="29" spans="2:5" ht="15" customHeight="1" x14ac:dyDescent="0.25">
      <c r="B29" s="89"/>
      <c r="C29" s="45" t="s">
        <v>124</v>
      </c>
      <c r="D29" s="44">
        <v>14</v>
      </c>
      <c r="E29" s="43">
        <v>5.1113545089448702E-4</v>
      </c>
    </row>
    <row r="30" spans="2:5" ht="15" customHeight="1" x14ac:dyDescent="0.25">
      <c r="B30" s="89"/>
      <c r="C30" s="45" t="s">
        <v>136</v>
      </c>
      <c r="D30" s="44">
        <v>57</v>
      </c>
      <c r="E30" s="43">
        <v>2.0810514786418401E-3</v>
      </c>
    </row>
    <row r="31" spans="2:5" ht="15" customHeight="1" x14ac:dyDescent="0.25">
      <c r="B31" s="89"/>
      <c r="C31" s="45" t="s">
        <v>137</v>
      </c>
      <c r="D31" s="44">
        <v>15</v>
      </c>
      <c r="E31" s="43">
        <v>5.4764512595837896E-4</v>
      </c>
    </row>
    <row r="32" spans="2:5" ht="15" customHeight="1" x14ac:dyDescent="0.25">
      <c r="B32" s="89"/>
      <c r="C32" s="45" t="s">
        <v>131</v>
      </c>
      <c r="D32" s="44">
        <v>4</v>
      </c>
      <c r="E32" s="43">
        <v>1.4603870025556772E-4</v>
      </c>
    </row>
    <row r="33" spans="2:5" ht="15" customHeight="1" x14ac:dyDescent="0.25">
      <c r="B33" s="89"/>
      <c r="C33" s="45" t="s">
        <v>135</v>
      </c>
      <c r="D33" s="44">
        <v>5</v>
      </c>
      <c r="E33" s="43">
        <v>1.8254837531945966E-4</v>
      </c>
    </row>
    <row r="34" spans="2:5" ht="15" customHeight="1" x14ac:dyDescent="0.25">
      <c r="B34" s="89"/>
      <c r="C34" s="45" t="s">
        <v>133</v>
      </c>
      <c r="D34" s="44">
        <v>7</v>
      </c>
      <c r="E34" s="43">
        <v>2.5556772544724351E-4</v>
      </c>
    </row>
    <row r="35" spans="2:5" ht="15" customHeight="1" x14ac:dyDescent="0.25">
      <c r="B35" s="89"/>
      <c r="C35" s="45" t="s">
        <v>122</v>
      </c>
      <c r="D35" s="44">
        <v>2</v>
      </c>
      <c r="E35" s="43">
        <v>7.3019350127783862E-5</v>
      </c>
    </row>
    <row r="36" spans="2:5" ht="15" customHeight="1" x14ac:dyDescent="0.25">
      <c r="B36" s="89"/>
      <c r="C36" s="45" t="s">
        <v>127</v>
      </c>
      <c r="D36" s="44">
        <v>4</v>
      </c>
      <c r="E36" s="43">
        <v>1.4603870025556772E-4</v>
      </c>
    </row>
    <row r="37" spans="2:5" ht="15" customHeight="1" x14ac:dyDescent="0.25">
      <c r="B37" s="89"/>
      <c r="C37" s="45" t="s">
        <v>129</v>
      </c>
      <c r="D37" s="44">
        <v>5</v>
      </c>
      <c r="E37" s="43">
        <v>1.8254837531945966E-4</v>
      </c>
    </row>
    <row r="38" spans="2:5" ht="15" customHeight="1" x14ac:dyDescent="0.25">
      <c r="B38" s="89"/>
      <c r="C38" s="45" t="s">
        <v>123</v>
      </c>
      <c r="D38" s="44">
        <v>1</v>
      </c>
      <c r="E38" s="43">
        <v>3.6509675063891931E-5</v>
      </c>
    </row>
    <row r="39" spans="2:5" ht="15" customHeight="1" x14ac:dyDescent="0.25">
      <c r="B39" s="90"/>
      <c r="C39" s="42" t="s">
        <v>20</v>
      </c>
      <c r="D39" s="41">
        <v>309</v>
      </c>
      <c r="E39" s="40">
        <v>1.1281489594742606E-2</v>
      </c>
    </row>
    <row r="40" spans="2:5" ht="15" customHeight="1" x14ac:dyDescent="0.25">
      <c r="B40" s="88" t="s">
        <v>47</v>
      </c>
      <c r="C40" s="45" t="s">
        <v>134</v>
      </c>
      <c r="D40" s="44">
        <v>68</v>
      </c>
      <c r="E40" s="43">
        <v>2.4826579043446513E-3</v>
      </c>
    </row>
    <row r="41" spans="2:5" ht="15" customHeight="1" x14ac:dyDescent="0.25">
      <c r="B41" s="89"/>
      <c r="C41" s="45" t="s">
        <v>132</v>
      </c>
      <c r="D41" s="44">
        <v>22</v>
      </c>
      <c r="E41" s="43">
        <v>8.0321285140562252E-4</v>
      </c>
    </row>
    <row r="42" spans="2:5" ht="15" customHeight="1" x14ac:dyDescent="0.25">
      <c r="B42" s="89"/>
      <c r="C42" s="45" t="s">
        <v>130</v>
      </c>
      <c r="D42" s="44">
        <v>22</v>
      </c>
      <c r="E42" s="43">
        <v>8.0321285140562252E-4</v>
      </c>
    </row>
    <row r="43" spans="2:5" ht="15" customHeight="1" x14ac:dyDescent="0.25">
      <c r="B43" s="89"/>
      <c r="C43" s="45" t="s">
        <v>128</v>
      </c>
      <c r="D43" s="44">
        <v>7</v>
      </c>
      <c r="E43" s="43">
        <v>2.5556772544724351E-4</v>
      </c>
    </row>
    <row r="44" spans="2:5" ht="15" customHeight="1" x14ac:dyDescent="0.25">
      <c r="B44" s="89"/>
      <c r="C44" s="45" t="s">
        <v>124</v>
      </c>
      <c r="D44" s="44">
        <v>3</v>
      </c>
      <c r="E44" s="43">
        <v>1.095290251916758E-4</v>
      </c>
    </row>
    <row r="45" spans="2:5" ht="15" customHeight="1" x14ac:dyDescent="0.25">
      <c r="B45" s="89"/>
      <c r="C45" s="45" t="s">
        <v>136</v>
      </c>
      <c r="D45" s="44">
        <v>11</v>
      </c>
      <c r="E45" s="43">
        <v>4.0160642570281126E-4</v>
      </c>
    </row>
    <row r="46" spans="2:5" ht="15" customHeight="1" x14ac:dyDescent="0.25">
      <c r="B46" s="89"/>
      <c r="C46" s="45" t="s">
        <v>137</v>
      </c>
      <c r="D46" s="44">
        <v>26</v>
      </c>
      <c r="E46" s="43">
        <v>9.4925155166119017E-4</v>
      </c>
    </row>
    <row r="47" spans="2:5" ht="15" customHeight="1" x14ac:dyDescent="0.25">
      <c r="B47" s="89"/>
      <c r="C47" s="45" t="s">
        <v>131</v>
      </c>
      <c r="D47" s="44">
        <v>7</v>
      </c>
      <c r="E47" s="43">
        <v>2.5556772544724351E-4</v>
      </c>
    </row>
    <row r="48" spans="2:5" ht="15" customHeight="1" x14ac:dyDescent="0.25">
      <c r="B48" s="89"/>
      <c r="C48" s="45" t="s">
        <v>135</v>
      </c>
      <c r="D48" s="44">
        <v>13</v>
      </c>
      <c r="E48" s="43">
        <v>4.7462577583059508E-4</v>
      </c>
    </row>
    <row r="49" spans="2:5" ht="15" customHeight="1" x14ac:dyDescent="0.25">
      <c r="B49" s="89"/>
      <c r="C49" s="45" t="s">
        <v>125</v>
      </c>
      <c r="D49" s="44">
        <v>1</v>
      </c>
      <c r="E49" s="43">
        <v>3.6509675063891931E-5</v>
      </c>
    </row>
    <row r="50" spans="2:5" ht="15" customHeight="1" x14ac:dyDescent="0.25">
      <c r="B50" s="89"/>
      <c r="C50" s="45" t="s">
        <v>133</v>
      </c>
      <c r="D50" s="44">
        <v>14</v>
      </c>
      <c r="E50" s="43">
        <v>5.1113545089448702E-4</v>
      </c>
    </row>
    <row r="51" spans="2:5" ht="15" customHeight="1" x14ac:dyDescent="0.25">
      <c r="B51" s="89"/>
      <c r="C51" s="45" t="s">
        <v>122</v>
      </c>
      <c r="D51" s="44">
        <v>1</v>
      </c>
      <c r="E51" s="43">
        <v>3.6509675063891931E-5</v>
      </c>
    </row>
    <row r="52" spans="2:5" ht="15" customHeight="1" x14ac:dyDescent="0.25">
      <c r="B52" s="89"/>
      <c r="C52" s="45" t="s">
        <v>126</v>
      </c>
      <c r="D52" s="44">
        <v>5</v>
      </c>
      <c r="E52" s="43">
        <v>1.8254837531945966E-4</v>
      </c>
    </row>
    <row r="53" spans="2:5" ht="15" customHeight="1" x14ac:dyDescent="0.25">
      <c r="B53" s="89"/>
      <c r="C53" s="45" t="s">
        <v>123</v>
      </c>
      <c r="D53" s="44">
        <v>2</v>
      </c>
      <c r="E53" s="43">
        <v>7.3019350127783862E-5</v>
      </c>
    </row>
    <row r="54" spans="2:5" ht="15" customHeight="1" x14ac:dyDescent="0.25">
      <c r="B54" s="90"/>
      <c r="C54" s="42" t="s">
        <v>20</v>
      </c>
      <c r="D54" s="41">
        <v>202</v>
      </c>
      <c r="E54" s="40">
        <v>7.3749543629061699E-3</v>
      </c>
    </row>
    <row r="55" spans="2:5" ht="15" customHeight="1" x14ac:dyDescent="0.25">
      <c r="B55" s="88" t="s">
        <v>67</v>
      </c>
      <c r="C55" s="45" t="s">
        <v>134</v>
      </c>
      <c r="D55" s="44">
        <v>1144</v>
      </c>
      <c r="E55" s="43">
        <v>4.1767068273092373E-2</v>
      </c>
    </row>
    <row r="56" spans="2:5" ht="15" customHeight="1" x14ac:dyDescent="0.25">
      <c r="B56" s="89"/>
      <c r="C56" s="45" t="s">
        <v>132</v>
      </c>
      <c r="D56" s="44">
        <v>543</v>
      </c>
      <c r="E56" s="43">
        <v>1.982475355969332E-2</v>
      </c>
    </row>
    <row r="57" spans="2:5" ht="15" customHeight="1" x14ac:dyDescent="0.25">
      <c r="B57" s="89"/>
      <c r="C57" s="45" t="s">
        <v>130</v>
      </c>
      <c r="D57" s="44">
        <v>643</v>
      </c>
      <c r="E57" s="43">
        <v>2.3475721066082512E-2</v>
      </c>
    </row>
    <row r="58" spans="2:5" ht="15" customHeight="1" x14ac:dyDescent="0.25">
      <c r="B58" s="89"/>
      <c r="C58" s="45" t="s">
        <v>128</v>
      </c>
      <c r="D58" s="44">
        <v>498</v>
      </c>
      <c r="E58" s="43">
        <v>1.8181818181818181E-2</v>
      </c>
    </row>
    <row r="59" spans="2:5" ht="15" customHeight="1" x14ac:dyDescent="0.25">
      <c r="B59" s="89"/>
      <c r="C59" s="45" t="s">
        <v>124</v>
      </c>
      <c r="D59" s="44">
        <v>108</v>
      </c>
      <c r="E59" s="43">
        <v>3.9430449069003289E-3</v>
      </c>
    </row>
    <row r="60" spans="2:5" ht="15" customHeight="1" x14ac:dyDescent="0.25">
      <c r="B60" s="89"/>
      <c r="C60" s="45" t="s">
        <v>136</v>
      </c>
      <c r="D60" s="44">
        <v>1270</v>
      </c>
      <c r="E60" s="43">
        <v>4.6367287331142752E-2</v>
      </c>
    </row>
    <row r="61" spans="2:5" ht="15" customHeight="1" x14ac:dyDescent="0.25">
      <c r="B61" s="89"/>
      <c r="C61" s="45" t="s">
        <v>137</v>
      </c>
      <c r="D61" s="44">
        <v>1132</v>
      </c>
      <c r="E61" s="43">
        <v>4.132895217232567E-2</v>
      </c>
    </row>
    <row r="62" spans="2:5" ht="15" customHeight="1" x14ac:dyDescent="0.25">
      <c r="B62" s="89"/>
      <c r="C62" s="45" t="s">
        <v>131</v>
      </c>
      <c r="D62" s="44">
        <v>533</v>
      </c>
      <c r="E62" s="43">
        <v>1.9459656809054399E-2</v>
      </c>
    </row>
    <row r="63" spans="2:5" ht="15" customHeight="1" x14ac:dyDescent="0.25">
      <c r="B63" s="89"/>
      <c r="C63" s="45" t="s">
        <v>135</v>
      </c>
      <c r="D63" s="44">
        <v>911</v>
      </c>
      <c r="E63" s="43">
        <v>3.3260313983205551E-2</v>
      </c>
    </row>
    <row r="64" spans="2:5" ht="15" customHeight="1" x14ac:dyDescent="0.25">
      <c r="B64" s="89"/>
      <c r="C64" s="45" t="s">
        <v>125</v>
      </c>
      <c r="D64" s="44">
        <v>67</v>
      </c>
      <c r="E64" s="43">
        <v>2.4461482292807593E-3</v>
      </c>
    </row>
    <row r="65" spans="2:5" ht="15" customHeight="1" x14ac:dyDescent="0.25">
      <c r="B65" s="89"/>
      <c r="C65" s="45" t="s">
        <v>133</v>
      </c>
      <c r="D65" s="44">
        <v>703</v>
      </c>
      <c r="E65" s="43">
        <v>2.5666301569916027E-2</v>
      </c>
    </row>
    <row r="66" spans="2:5" ht="15" customHeight="1" x14ac:dyDescent="0.25">
      <c r="B66" s="89"/>
      <c r="C66" s="45" t="s">
        <v>122</v>
      </c>
      <c r="D66" s="44">
        <v>51</v>
      </c>
      <c r="E66" s="43">
        <v>1.8619934282584885E-3</v>
      </c>
    </row>
    <row r="67" spans="2:5" ht="15" customHeight="1" x14ac:dyDescent="0.25">
      <c r="B67" s="89"/>
      <c r="C67" s="45" t="s">
        <v>126</v>
      </c>
      <c r="D67" s="44">
        <v>46</v>
      </c>
      <c r="E67" s="43">
        <v>1.6794450529390289E-3</v>
      </c>
    </row>
    <row r="68" spans="2:5" ht="15" customHeight="1" x14ac:dyDescent="0.25">
      <c r="B68" s="89"/>
      <c r="C68" s="45" t="s">
        <v>127</v>
      </c>
      <c r="D68" s="44">
        <v>166</v>
      </c>
      <c r="E68" s="43">
        <v>6.0606060606060606E-3</v>
      </c>
    </row>
    <row r="69" spans="2:5" ht="15" customHeight="1" x14ac:dyDescent="0.25">
      <c r="B69" s="89"/>
      <c r="C69" s="45" t="s">
        <v>129</v>
      </c>
      <c r="D69" s="44">
        <v>140</v>
      </c>
      <c r="E69" s="43">
        <v>5.11135450894487E-3</v>
      </c>
    </row>
    <row r="70" spans="2:5" ht="15" customHeight="1" x14ac:dyDescent="0.25">
      <c r="B70" s="89"/>
      <c r="C70" s="45" t="s">
        <v>123</v>
      </c>
      <c r="D70" s="44">
        <v>30</v>
      </c>
      <c r="E70" s="43">
        <v>1.0952902519167579E-3</v>
      </c>
    </row>
    <row r="71" spans="2:5" ht="15" customHeight="1" x14ac:dyDescent="0.25">
      <c r="B71" s="90"/>
      <c r="C71" s="42" t="s">
        <v>20</v>
      </c>
      <c r="D71" s="41">
        <v>7985</v>
      </c>
      <c r="E71" s="40">
        <v>0.29152975538517706</v>
      </c>
    </row>
    <row r="72" spans="2:5" ht="15" customHeight="1" x14ac:dyDescent="0.25">
      <c r="B72" s="88" t="s">
        <v>56</v>
      </c>
      <c r="C72" s="45" t="s">
        <v>134</v>
      </c>
      <c r="D72" s="44">
        <v>54</v>
      </c>
      <c r="E72" s="43">
        <v>1.9715224534501644E-3</v>
      </c>
    </row>
    <row r="73" spans="2:5" ht="15" customHeight="1" x14ac:dyDescent="0.25">
      <c r="B73" s="89"/>
      <c r="C73" s="45" t="s">
        <v>132</v>
      </c>
      <c r="D73" s="44">
        <v>36</v>
      </c>
      <c r="E73" s="43">
        <v>1.3143483023001095E-3</v>
      </c>
    </row>
    <row r="74" spans="2:5" ht="15" customHeight="1" x14ac:dyDescent="0.25">
      <c r="B74" s="89"/>
      <c r="C74" s="45" t="s">
        <v>130</v>
      </c>
      <c r="D74" s="44">
        <v>30</v>
      </c>
      <c r="E74" s="43">
        <v>1.0952902519167579E-3</v>
      </c>
    </row>
    <row r="75" spans="2:5" ht="15" customHeight="1" x14ac:dyDescent="0.25">
      <c r="B75" s="89"/>
      <c r="C75" s="45" t="s">
        <v>128</v>
      </c>
      <c r="D75" s="44">
        <v>9</v>
      </c>
      <c r="E75" s="43">
        <v>3.2858707557502739E-4</v>
      </c>
    </row>
    <row r="76" spans="2:5" ht="15" customHeight="1" x14ac:dyDescent="0.25">
      <c r="B76" s="89"/>
      <c r="C76" s="45" t="s">
        <v>124</v>
      </c>
      <c r="D76" s="44">
        <v>1</v>
      </c>
      <c r="E76" s="43">
        <v>3.6509675063891931E-5</v>
      </c>
    </row>
    <row r="77" spans="2:5" ht="15" customHeight="1" x14ac:dyDescent="0.25">
      <c r="B77" s="89"/>
      <c r="C77" s="45" t="s">
        <v>136</v>
      </c>
      <c r="D77" s="44">
        <v>29</v>
      </c>
      <c r="E77" s="43">
        <v>1.0587805768528661E-3</v>
      </c>
    </row>
    <row r="78" spans="2:5" ht="15" customHeight="1" x14ac:dyDescent="0.25">
      <c r="B78" s="89"/>
      <c r="C78" s="45" t="s">
        <v>137</v>
      </c>
      <c r="D78" s="44">
        <v>49</v>
      </c>
      <c r="E78" s="43">
        <v>1.7889740781307046E-3</v>
      </c>
    </row>
    <row r="79" spans="2:5" ht="15" customHeight="1" x14ac:dyDescent="0.25">
      <c r="B79" s="89"/>
      <c r="C79" s="45" t="s">
        <v>131</v>
      </c>
      <c r="D79" s="44">
        <v>17</v>
      </c>
      <c r="E79" s="43">
        <v>6.2066447608616284E-4</v>
      </c>
    </row>
    <row r="80" spans="2:5" ht="15" customHeight="1" x14ac:dyDescent="0.25">
      <c r="B80" s="89"/>
      <c r="C80" s="45" t="s">
        <v>135</v>
      </c>
      <c r="D80" s="44">
        <v>23</v>
      </c>
      <c r="E80" s="43">
        <v>8.3972252646951446E-4</v>
      </c>
    </row>
    <row r="81" spans="2:5" ht="15" customHeight="1" x14ac:dyDescent="0.25">
      <c r="B81" s="89"/>
      <c r="C81" s="45" t="s">
        <v>125</v>
      </c>
      <c r="D81" s="44">
        <v>3</v>
      </c>
      <c r="E81" s="43">
        <v>1.095290251916758E-4</v>
      </c>
    </row>
    <row r="82" spans="2:5" ht="15" customHeight="1" x14ac:dyDescent="0.25">
      <c r="B82" s="89"/>
      <c r="C82" s="45" t="s">
        <v>133</v>
      </c>
      <c r="D82" s="44">
        <v>88</v>
      </c>
      <c r="E82" s="43">
        <v>3.2128514056224901E-3</v>
      </c>
    </row>
    <row r="83" spans="2:5" ht="15" customHeight="1" x14ac:dyDescent="0.25">
      <c r="B83" s="89"/>
      <c r="C83" s="45" t="s">
        <v>122</v>
      </c>
      <c r="D83" s="44">
        <v>1</v>
      </c>
      <c r="E83" s="43">
        <v>3.6509675063891931E-5</v>
      </c>
    </row>
    <row r="84" spans="2:5" ht="15" customHeight="1" x14ac:dyDescent="0.25">
      <c r="B84" s="89"/>
      <c r="C84" s="45" t="s">
        <v>126</v>
      </c>
      <c r="D84" s="44">
        <v>28</v>
      </c>
      <c r="E84" s="43">
        <v>1.022270901788974E-3</v>
      </c>
    </row>
    <row r="85" spans="2:5" ht="15" customHeight="1" x14ac:dyDescent="0.25">
      <c r="B85" s="89"/>
      <c r="C85" s="45" t="s">
        <v>127</v>
      </c>
      <c r="D85" s="44">
        <v>35</v>
      </c>
      <c r="E85" s="43">
        <v>1.2778386272362175E-3</v>
      </c>
    </row>
    <row r="86" spans="2:5" ht="15" customHeight="1" x14ac:dyDescent="0.25">
      <c r="B86" s="89"/>
      <c r="C86" s="45" t="s">
        <v>129</v>
      </c>
      <c r="D86" s="44">
        <v>16</v>
      </c>
      <c r="E86" s="43">
        <v>5.841548010222709E-4</v>
      </c>
    </row>
    <row r="87" spans="2:5" ht="15" customHeight="1" x14ac:dyDescent="0.25">
      <c r="B87" s="89"/>
      <c r="C87" s="45" t="s">
        <v>123</v>
      </c>
      <c r="D87" s="44">
        <v>1</v>
      </c>
      <c r="E87" s="43">
        <v>3.6509675063891931E-5</v>
      </c>
    </row>
    <row r="88" spans="2:5" ht="15" customHeight="1" x14ac:dyDescent="0.25">
      <c r="B88" s="90"/>
      <c r="C88" s="42" t="s">
        <v>20</v>
      </c>
      <c r="D88" s="41">
        <v>420</v>
      </c>
      <c r="E88" s="40">
        <v>1.5334063526834611E-2</v>
      </c>
    </row>
    <row r="89" spans="2:5" ht="15" customHeight="1" x14ac:dyDescent="0.25">
      <c r="B89" s="88" t="s">
        <v>40</v>
      </c>
      <c r="C89" s="45" t="s">
        <v>130</v>
      </c>
      <c r="D89" s="44">
        <v>2</v>
      </c>
      <c r="E89" s="43">
        <v>7.3019350127783862E-5</v>
      </c>
    </row>
    <row r="90" spans="2:5" ht="15" customHeight="1" x14ac:dyDescent="0.25">
      <c r="B90" s="89"/>
      <c r="C90" s="45" t="s">
        <v>128</v>
      </c>
      <c r="D90" s="44">
        <v>17</v>
      </c>
      <c r="E90" s="43">
        <v>6.2066447608616284E-4</v>
      </c>
    </row>
    <row r="91" spans="2:5" ht="15" customHeight="1" x14ac:dyDescent="0.25">
      <c r="B91" s="89"/>
      <c r="C91" s="45" t="s">
        <v>124</v>
      </c>
      <c r="D91" s="44">
        <v>1</v>
      </c>
      <c r="E91" s="43">
        <v>3.6509675063891931E-5</v>
      </c>
    </row>
    <row r="92" spans="2:5" ht="15" customHeight="1" x14ac:dyDescent="0.25">
      <c r="B92" s="89"/>
      <c r="C92" s="45" t="s">
        <v>136</v>
      </c>
      <c r="D92" s="44">
        <v>43</v>
      </c>
      <c r="E92" s="43">
        <v>1.569916027747353E-3</v>
      </c>
    </row>
    <row r="93" spans="2:5" ht="15" customHeight="1" x14ac:dyDescent="0.25">
      <c r="B93" s="89"/>
      <c r="C93" s="45" t="s">
        <v>137</v>
      </c>
      <c r="D93" s="44">
        <v>12</v>
      </c>
      <c r="E93" s="43">
        <v>4.381161007667032E-4</v>
      </c>
    </row>
    <row r="94" spans="2:5" ht="15" customHeight="1" x14ac:dyDescent="0.25">
      <c r="B94" s="89"/>
      <c r="C94" s="45" t="s">
        <v>131</v>
      </c>
      <c r="D94" s="44">
        <v>9</v>
      </c>
      <c r="E94" s="43">
        <v>3.2858707557502739E-4</v>
      </c>
    </row>
    <row r="95" spans="2:5" ht="15" customHeight="1" x14ac:dyDescent="0.25">
      <c r="B95" s="89"/>
      <c r="C95" s="45" t="s">
        <v>133</v>
      </c>
      <c r="D95" s="44">
        <v>1</v>
      </c>
      <c r="E95" s="43">
        <v>3.6509675063891931E-5</v>
      </c>
    </row>
    <row r="96" spans="2:5" ht="15" customHeight="1" x14ac:dyDescent="0.25">
      <c r="B96" s="89"/>
      <c r="C96" s="45" t="s">
        <v>126</v>
      </c>
      <c r="D96" s="44">
        <v>1</v>
      </c>
      <c r="E96" s="43">
        <v>3.6509675063891931E-5</v>
      </c>
    </row>
    <row r="97" spans="2:5" ht="15" customHeight="1" x14ac:dyDescent="0.25">
      <c r="B97" s="89"/>
      <c r="C97" s="45" t="s">
        <v>129</v>
      </c>
      <c r="D97" s="44">
        <v>1</v>
      </c>
      <c r="E97" s="43">
        <v>3.6509675063891931E-5</v>
      </c>
    </row>
    <row r="98" spans="2:5" ht="15" customHeight="1" x14ac:dyDescent="0.25">
      <c r="B98" s="90"/>
      <c r="C98" s="42" t="s">
        <v>20</v>
      </c>
      <c r="D98" s="41">
        <v>87</v>
      </c>
      <c r="E98" s="40">
        <v>3.1763417305585981E-3</v>
      </c>
    </row>
    <row r="99" spans="2:5" ht="15" customHeight="1" x14ac:dyDescent="0.25">
      <c r="B99" s="88" t="s">
        <v>31</v>
      </c>
      <c r="C99" s="45" t="s">
        <v>134</v>
      </c>
      <c r="D99" s="44">
        <v>1</v>
      </c>
      <c r="E99" s="43">
        <v>3.6509675063891931E-5</v>
      </c>
    </row>
    <row r="100" spans="2:5" ht="15" customHeight="1" x14ac:dyDescent="0.25">
      <c r="B100" s="89"/>
      <c r="C100" s="45" t="s">
        <v>132</v>
      </c>
      <c r="D100" s="44">
        <v>1</v>
      </c>
      <c r="E100" s="43">
        <v>3.6509675063891931E-5</v>
      </c>
    </row>
    <row r="101" spans="2:5" ht="15" customHeight="1" x14ac:dyDescent="0.25">
      <c r="B101" s="89"/>
      <c r="C101" s="45" t="s">
        <v>128</v>
      </c>
      <c r="D101" s="44">
        <v>22</v>
      </c>
      <c r="E101" s="43">
        <v>8.0321285140562252E-4</v>
      </c>
    </row>
    <row r="102" spans="2:5" ht="15" customHeight="1" x14ac:dyDescent="0.25">
      <c r="B102" s="89"/>
      <c r="C102" s="45" t="s">
        <v>136</v>
      </c>
      <c r="D102" s="44">
        <v>13</v>
      </c>
      <c r="E102" s="43">
        <v>4.7462577583059508E-4</v>
      </c>
    </row>
    <row r="103" spans="2:5" ht="15" customHeight="1" x14ac:dyDescent="0.25">
      <c r="B103" s="89"/>
      <c r="C103" s="45" t="s">
        <v>137</v>
      </c>
      <c r="D103" s="44">
        <v>13</v>
      </c>
      <c r="E103" s="43">
        <v>4.7462577583059508E-4</v>
      </c>
    </row>
    <row r="104" spans="2:5" ht="15" customHeight="1" x14ac:dyDescent="0.25">
      <c r="B104" s="89"/>
      <c r="C104" s="45" t="s">
        <v>135</v>
      </c>
      <c r="D104" s="44">
        <v>1</v>
      </c>
      <c r="E104" s="43">
        <v>3.6509675063891931E-5</v>
      </c>
    </row>
    <row r="105" spans="2:5" ht="15" customHeight="1" x14ac:dyDescent="0.25">
      <c r="B105" s="90"/>
      <c r="C105" s="42" t="s">
        <v>20</v>
      </c>
      <c r="D105" s="41">
        <v>51</v>
      </c>
      <c r="E105" s="40">
        <v>1.8619934282584885E-3</v>
      </c>
    </row>
    <row r="106" spans="2:5" ht="15" customHeight="1" x14ac:dyDescent="0.25">
      <c r="B106" s="88" t="s">
        <v>27</v>
      </c>
      <c r="C106" s="45" t="s">
        <v>134</v>
      </c>
      <c r="D106" s="44">
        <v>2</v>
      </c>
      <c r="E106" s="43">
        <v>7.3019350127783862E-5</v>
      </c>
    </row>
    <row r="107" spans="2:5" ht="15" customHeight="1" x14ac:dyDescent="0.25">
      <c r="B107" s="89"/>
      <c r="C107" s="45" t="s">
        <v>136</v>
      </c>
      <c r="D107" s="44">
        <v>9</v>
      </c>
      <c r="E107" s="43">
        <v>3.2858707557502739E-4</v>
      </c>
    </row>
    <row r="108" spans="2:5" ht="15" customHeight="1" x14ac:dyDescent="0.25">
      <c r="B108" s="89"/>
      <c r="C108" s="45" t="s">
        <v>131</v>
      </c>
      <c r="D108" s="44">
        <v>1</v>
      </c>
      <c r="E108" s="43">
        <v>3.6509675063891931E-5</v>
      </c>
    </row>
    <row r="109" spans="2:5" ht="15" customHeight="1" x14ac:dyDescent="0.25">
      <c r="B109" s="89"/>
      <c r="C109" s="45" t="s">
        <v>135</v>
      </c>
      <c r="D109" s="44">
        <v>1</v>
      </c>
      <c r="E109" s="43">
        <v>3.6509675063891931E-5</v>
      </c>
    </row>
    <row r="110" spans="2:5" ht="15" customHeight="1" x14ac:dyDescent="0.25">
      <c r="B110" s="89"/>
      <c r="C110" s="45" t="s">
        <v>133</v>
      </c>
      <c r="D110" s="44">
        <v>1</v>
      </c>
      <c r="E110" s="43">
        <v>3.6509675063891931E-5</v>
      </c>
    </row>
    <row r="111" spans="2:5" ht="15" customHeight="1" x14ac:dyDescent="0.25">
      <c r="B111" s="89"/>
      <c r="C111" s="45" t="s">
        <v>127</v>
      </c>
      <c r="D111" s="44">
        <v>1</v>
      </c>
      <c r="E111" s="43">
        <v>3.6509675063891931E-5</v>
      </c>
    </row>
    <row r="112" spans="2:5" ht="15" customHeight="1" x14ac:dyDescent="0.25">
      <c r="B112" s="90"/>
      <c r="C112" s="42" t="s">
        <v>20</v>
      </c>
      <c r="D112" s="41">
        <v>15</v>
      </c>
      <c r="E112" s="40">
        <v>5.4764512595837896E-4</v>
      </c>
    </row>
    <row r="113" spans="2:5" ht="15" customHeight="1" x14ac:dyDescent="0.25">
      <c r="B113" s="88" t="s">
        <v>62</v>
      </c>
      <c r="C113" s="45" t="s">
        <v>134</v>
      </c>
      <c r="D113" s="44">
        <v>194</v>
      </c>
      <c r="E113" s="43">
        <v>7.0828769623950344E-3</v>
      </c>
    </row>
    <row r="114" spans="2:5" ht="15" customHeight="1" x14ac:dyDescent="0.25">
      <c r="B114" s="89"/>
      <c r="C114" s="45" t="s">
        <v>132</v>
      </c>
      <c r="D114" s="44">
        <v>91</v>
      </c>
      <c r="E114" s="43">
        <v>3.3223804308141658E-3</v>
      </c>
    </row>
    <row r="115" spans="2:5" ht="15" customHeight="1" x14ac:dyDescent="0.25">
      <c r="B115" s="89"/>
      <c r="C115" s="45" t="s">
        <v>130</v>
      </c>
      <c r="D115" s="44">
        <v>63</v>
      </c>
      <c r="E115" s="43">
        <v>2.3001095290251915E-3</v>
      </c>
    </row>
    <row r="116" spans="2:5" ht="15" customHeight="1" x14ac:dyDescent="0.25">
      <c r="B116" s="89"/>
      <c r="C116" s="45" t="s">
        <v>128</v>
      </c>
      <c r="D116" s="44">
        <v>45</v>
      </c>
      <c r="E116" s="43">
        <v>1.6429353778751369E-3</v>
      </c>
    </row>
    <row r="117" spans="2:5" ht="15" customHeight="1" x14ac:dyDescent="0.25">
      <c r="B117" s="89"/>
      <c r="C117" s="45" t="s">
        <v>124</v>
      </c>
      <c r="D117" s="44">
        <v>15</v>
      </c>
      <c r="E117" s="43">
        <v>5.4764512595837896E-4</v>
      </c>
    </row>
    <row r="118" spans="2:5" ht="15" customHeight="1" x14ac:dyDescent="0.25">
      <c r="B118" s="89"/>
      <c r="C118" s="45" t="s">
        <v>136</v>
      </c>
      <c r="D118" s="44">
        <v>79</v>
      </c>
      <c r="E118" s="43">
        <v>2.8842643300474625E-3</v>
      </c>
    </row>
    <row r="119" spans="2:5" ht="15" customHeight="1" x14ac:dyDescent="0.25">
      <c r="B119" s="89"/>
      <c r="C119" s="45" t="s">
        <v>137</v>
      </c>
      <c r="D119" s="44">
        <v>206</v>
      </c>
      <c r="E119" s="43">
        <v>7.5209930631617381E-3</v>
      </c>
    </row>
    <row r="120" spans="2:5" ht="15" customHeight="1" x14ac:dyDescent="0.25">
      <c r="B120" s="89"/>
      <c r="C120" s="45" t="s">
        <v>131</v>
      </c>
      <c r="D120" s="44">
        <v>42</v>
      </c>
      <c r="E120" s="43">
        <v>1.5334063526834612E-3</v>
      </c>
    </row>
    <row r="121" spans="2:5" ht="15" customHeight="1" x14ac:dyDescent="0.25">
      <c r="B121" s="89"/>
      <c r="C121" s="45" t="s">
        <v>135</v>
      </c>
      <c r="D121" s="44">
        <v>122</v>
      </c>
      <c r="E121" s="43">
        <v>4.4541803577948158E-3</v>
      </c>
    </row>
    <row r="122" spans="2:5" ht="15" customHeight="1" x14ac:dyDescent="0.25">
      <c r="B122" s="89"/>
      <c r="C122" s="45" t="s">
        <v>125</v>
      </c>
      <c r="D122" s="44">
        <v>2</v>
      </c>
      <c r="E122" s="43">
        <v>7.3019350127783862E-5</v>
      </c>
    </row>
    <row r="123" spans="2:5" ht="15" customHeight="1" x14ac:dyDescent="0.25">
      <c r="B123" s="89"/>
      <c r="C123" s="45" t="s">
        <v>133</v>
      </c>
      <c r="D123" s="44">
        <v>25</v>
      </c>
      <c r="E123" s="43">
        <v>9.1274187659729834E-4</v>
      </c>
    </row>
    <row r="124" spans="2:5" ht="15" customHeight="1" x14ac:dyDescent="0.25">
      <c r="B124" s="89"/>
      <c r="C124" s="45" t="s">
        <v>122</v>
      </c>
      <c r="D124" s="44">
        <v>2</v>
      </c>
      <c r="E124" s="43">
        <v>7.3019350127783862E-5</v>
      </c>
    </row>
    <row r="125" spans="2:5" ht="15" customHeight="1" x14ac:dyDescent="0.25">
      <c r="B125" s="89"/>
      <c r="C125" s="45" t="s">
        <v>126</v>
      </c>
      <c r="D125" s="44">
        <v>5</v>
      </c>
      <c r="E125" s="43">
        <v>1.8254837531945966E-4</v>
      </c>
    </row>
    <row r="126" spans="2:5" ht="15" customHeight="1" x14ac:dyDescent="0.25">
      <c r="B126" s="89"/>
      <c r="C126" s="45" t="s">
        <v>127</v>
      </c>
      <c r="D126" s="44">
        <v>21</v>
      </c>
      <c r="E126" s="43">
        <v>7.6670317634173059E-4</v>
      </c>
    </row>
    <row r="127" spans="2:5" ht="15" customHeight="1" x14ac:dyDescent="0.25">
      <c r="B127" s="89"/>
      <c r="C127" s="45" t="s">
        <v>129</v>
      </c>
      <c r="D127" s="44">
        <v>31</v>
      </c>
      <c r="E127" s="43">
        <v>1.13179992698065E-3</v>
      </c>
    </row>
    <row r="128" spans="2:5" ht="15" customHeight="1" x14ac:dyDescent="0.25">
      <c r="B128" s="89"/>
      <c r="C128" s="45" t="s">
        <v>123</v>
      </c>
      <c r="D128" s="44">
        <v>6</v>
      </c>
      <c r="E128" s="43">
        <v>2.190580503833516E-4</v>
      </c>
    </row>
    <row r="129" spans="2:5" ht="15" customHeight="1" x14ac:dyDescent="0.25">
      <c r="B129" s="90"/>
      <c r="C129" s="42" t="s">
        <v>20</v>
      </c>
      <c r="D129" s="41">
        <v>949</v>
      </c>
      <c r="E129" s="40">
        <v>3.4647681635633441E-2</v>
      </c>
    </row>
    <row r="130" spans="2:5" ht="15" customHeight="1" x14ac:dyDescent="0.25">
      <c r="B130" s="88" t="s">
        <v>63</v>
      </c>
      <c r="C130" s="45" t="s">
        <v>134</v>
      </c>
      <c r="D130" s="44">
        <v>169</v>
      </c>
      <c r="E130" s="43">
        <v>6.1701350857977363E-3</v>
      </c>
    </row>
    <row r="131" spans="2:5" ht="15" customHeight="1" x14ac:dyDescent="0.25">
      <c r="B131" s="89"/>
      <c r="C131" s="45" t="s">
        <v>132</v>
      </c>
      <c r="D131" s="44">
        <v>88</v>
      </c>
      <c r="E131" s="43">
        <v>3.2128514056224901E-3</v>
      </c>
    </row>
    <row r="132" spans="2:5" ht="15" customHeight="1" x14ac:dyDescent="0.25">
      <c r="B132" s="89"/>
      <c r="C132" s="45" t="s">
        <v>130</v>
      </c>
      <c r="D132" s="44">
        <v>24</v>
      </c>
      <c r="E132" s="43">
        <v>8.762322015334064E-4</v>
      </c>
    </row>
    <row r="133" spans="2:5" ht="15" customHeight="1" x14ac:dyDescent="0.25">
      <c r="B133" s="89"/>
      <c r="C133" s="45" t="s">
        <v>128</v>
      </c>
      <c r="D133" s="44">
        <v>29</v>
      </c>
      <c r="E133" s="43">
        <v>1.0587805768528661E-3</v>
      </c>
    </row>
    <row r="134" spans="2:5" ht="15" customHeight="1" x14ac:dyDescent="0.25">
      <c r="B134" s="89"/>
      <c r="C134" s="45" t="s">
        <v>124</v>
      </c>
      <c r="D134" s="44">
        <v>9</v>
      </c>
      <c r="E134" s="43">
        <v>3.2858707557502739E-4</v>
      </c>
    </row>
    <row r="135" spans="2:5" ht="15" customHeight="1" x14ac:dyDescent="0.25">
      <c r="B135" s="89"/>
      <c r="C135" s="45" t="s">
        <v>136</v>
      </c>
      <c r="D135" s="44">
        <v>83</v>
      </c>
      <c r="E135" s="43">
        <v>3.0303030303030303E-3</v>
      </c>
    </row>
    <row r="136" spans="2:5" ht="15" customHeight="1" x14ac:dyDescent="0.25">
      <c r="B136" s="89"/>
      <c r="C136" s="45" t="s">
        <v>137</v>
      </c>
      <c r="D136" s="44">
        <v>154</v>
      </c>
      <c r="E136" s="43">
        <v>5.6224899598393578E-3</v>
      </c>
    </row>
    <row r="137" spans="2:5" ht="15" customHeight="1" x14ac:dyDescent="0.25">
      <c r="B137" s="89"/>
      <c r="C137" s="45" t="s">
        <v>131</v>
      </c>
      <c r="D137" s="44">
        <v>80</v>
      </c>
      <c r="E137" s="43">
        <v>2.9207740051113546E-3</v>
      </c>
    </row>
    <row r="138" spans="2:5" ht="15" customHeight="1" x14ac:dyDescent="0.25">
      <c r="B138" s="89"/>
      <c r="C138" s="45" t="s">
        <v>135</v>
      </c>
      <c r="D138" s="44">
        <v>67</v>
      </c>
      <c r="E138" s="43">
        <v>2.4461482292807593E-3</v>
      </c>
    </row>
    <row r="139" spans="2:5" ht="15" customHeight="1" x14ac:dyDescent="0.25">
      <c r="B139" s="89"/>
      <c r="C139" s="45" t="s">
        <v>125</v>
      </c>
      <c r="D139" s="44">
        <v>7</v>
      </c>
      <c r="E139" s="43">
        <v>2.5556772544724351E-4</v>
      </c>
    </row>
    <row r="140" spans="2:5" ht="15" customHeight="1" x14ac:dyDescent="0.25">
      <c r="B140" s="89"/>
      <c r="C140" s="45" t="s">
        <v>133</v>
      </c>
      <c r="D140" s="44">
        <v>66</v>
      </c>
      <c r="E140" s="43">
        <v>2.4096385542168677E-3</v>
      </c>
    </row>
    <row r="141" spans="2:5" ht="15" customHeight="1" x14ac:dyDescent="0.25">
      <c r="B141" s="89"/>
      <c r="C141" s="45" t="s">
        <v>122</v>
      </c>
      <c r="D141" s="44">
        <v>6</v>
      </c>
      <c r="E141" s="43">
        <v>2.190580503833516E-4</v>
      </c>
    </row>
    <row r="142" spans="2:5" ht="15" customHeight="1" x14ac:dyDescent="0.25">
      <c r="B142" s="89"/>
      <c r="C142" s="45" t="s">
        <v>126</v>
      </c>
      <c r="D142" s="44">
        <v>5</v>
      </c>
      <c r="E142" s="43">
        <v>1.8254837531945966E-4</v>
      </c>
    </row>
    <row r="143" spans="2:5" ht="15" customHeight="1" x14ac:dyDescent="0.25">
      <c r="B143" s="89"/>
      <c r="C143" s="45" t="s">
        <v>127</v>
      </c>
      <c r="D143" s="44">
        <v>14</v>
      </c>
      <c r="E143" s="43">
        <v>5.1113545089448702E-4</v>
      </c>
    </row>
    <row r="144" spans="2:5" ht="15" customHeight="1" x14ac:dyDescent="0.25">
      <c r="B144" s="89"/>
      <c r="C144" s="45" t="s">
        <v>129</v>
      </c>
      <c r="D144" s="44">
        <v>61</v>
      </c>
      <c r="E144" s="43">
        <v>2.2270901788974079E-3</v>
      </c>
    </row>
    <row r="145" spans="2:5" ht="15" customHeight="1" x14ac:dyDescent="0.25">
      <c r="B145" s="89"/>
      <c r="C145" s="45" t="s">
        <v>123</v>
      </c>
      <c r="D145" s="44">
        <v>26</v>
      </c>
      <c r="E145" s="43">
        <v>9.4925155166119017E-4</v>
      </c>
    </row>
    <row r="146" spans="2:5" ht="15" customHeight="1" x14ac:dyDescent="0.25">
      <c r="B146" s="90"/>
      <c r="C146" s="42" t="s">
        <v>20</v>
      </c>
      <c r="D146" s="41">
        <v>888</v>
      </c>
      <c r="E146" s="40">
        <v>3.2420591456736036E-2</v>
      </c>
    </row>
    <row r="147" spans="2:5" ht="15" customHeight="1" x14ac:dyDescent="0.25">
      <c r="B147" s="88" t="s">
        <v>32</v>
      </c>
      <c r="C147" s="45" t="s">
        <v>134</v>
      </c>
      <c r="D147" s="44">
        <v>10</v>
      </c>
      <c r="E147" s="43">
        <v>3.6509675063891932E-4</v>
      </c>
    </row>
    <row r="148" spans="2:5" ht="15" customHeight="1" x14ac:dyDescent="0.25">
      <c r="B148" s="89"/>
      <c r="C148" s="45" t="s">
        <v>132</v>
      </c>
      <c r="D148" s="44">
        <v>2</v>
      </c>
      <c r="E148" s="43">
        <v>7.3019350127783862E-5</v>
      </c>
    </row>
    <row r="149" spans="2:5" ht="15" customHeight="1" x14ac:dyDescent="0.25">
      <c r="B149" s="89"/>
      <c r="C149" s="45" t="s">
        <v>130</v>
      </c>
      <c r="D149" s="44">
        <v>4</v>
      </c>
      <c r="E149" s="43">
        <v>1.4603870025556772E-4</v>
      </c>
    </row>
    <row r="150" spans="2:5" ht="15" customHeight="1" x14ac:dyDescent="0.25">
      <c r="B150" s="89"/>
      <c r="C150" s="45" t="s">
        <v>128</v>
      </c>
      <c r="D150" s="44">
        <v>5</v>
      </c>
      <c r="E150" s="43">
        <v>1.8254837531945966E-4</v>
      </c>
    </row>
    <row r="151" spans="2:5" ht="15" customHeight="1" x14ac:dyDescent="0.25">
      <c r="B151" s="89"/>
      <c r="C151" s="45" t="s">
        <v>124</v>
      </c>
      <c r="D151" s="44">
        <v>1</v>
      </c>
      <c r="E151" s="43">
        <v>3.6509675063891931E-5</v>
      </c>
    </row>
    <row r="152" spans="2:5" ht="15" customHeight="1" x14ac:dyDescent="0.25">
      <c r="B152" s="89"/>
      <c r="C152" s="45" t="s">
        <v>136</v>
      </c>
      <c r="D152" s="44">
        <v>24</v>
      </c>
      <c r="E152" s="43">
        <v>8.762322015334064E-4</v>
      </c>
    </row>
    <row r="153" spans="2:5" ht="15" customHeight="1" x14ac:dyDescent="0.25">
      <c r="B153" s="89"/>
      <c r="C153" s="45" t="s">
        <v>137</v>
      </c>
      <c r="D153" s="44">
        <v>6</v>
      </c>
      <c r="E153" s="43">
        <v>2.190580503833516E-4</v>
      </c>
    </row>
    <row r="154" spans="2:5" ht="15" customHeight="1" x14ac:dyDescent="0.25">
      <c r="B154" s="89"/>
      <c r="C154" s="45" t="s">
        <v>131</v>
      </c>
      <c r="D154" s="44">
        <v>6</v>
      </c>
      <c r="E154" s="43">
        <v>2.190580503833516E-4</v>
      </c>
    </row>
    <row r="155" spans="2:5" ht="15" customHeight="1" x14ac:dyDescent="0.25">
      <c r="B155" s="89"/>
      <c r="C155" s="45" t="s">
        <v>135</v>
      </c>
      <c r="D155" s="44">
        <v>13</v>
      </c>
      <c r="E155" s="43">
        <v>4.7462577583059508E-4</v>
      </c>
    </row>
    <row r="156" spans="2:5" ht="15" customHeight="1" x14ac:dyDescent="0.25">
      <c r="B156" s="89"/>
      <c r="C156" s="45" t="s">
        <v>133</v>
      </c>
      <c r="D156" s="44">
        <v>12</v>
      </c>
      <c r="E156" s="43">
        <v>4.381161007667032E-4</v>
      </c>
    </row>
    <row r="157" spans="2:5" ht="15" customHeight="1" x14ac:dyDescent="0.25">
      <c r="B157" s="89"/>
      <c r="C157" s="45" t="s">
        <v>122</v>
      </c>
      <c r="D157" s="44">
        <v>10</v>
      </c>
      <c r="E157" s="43">
        <v>3.6509675063891932E-4</v>
      </c>
    </row>
    <row r="158" spans="2:5" ht="15" customHeight="1" x14ac:dyDescent="0.25">
      <c r="B158" s="89"/>
      <c r="C158" s="45" t="s">
        <v>126</v>
      </c>
      <c r="D158" s="44">
        <v>1</v>
      </c>
      <c r="E158" s="43">
        <v>3.6509675063891931E-5</v>
      </c>
    </row>
    <row r="159" spans="2:5" ht="15" customHeight="1" x14ac:dyDescent="0.25">
      <c r="B159" s="89"/>
      <c r="C159" s="45" t="s">
        <v>129</v>
      </c>
      <c r="D159" s="44">
        <v>1</v>
      </c>
      <c r="E159" s="43">
        <v>3.6509675063891931E-5</v>
      </c>
    </row>
    <row r="160" spans="2:5" ht="15" customHeight="1" x14ac:dyDescent="0.25">
      <c r="B160" s="90"/>
      <c r="C160" s="42" t="s">
        <v>20</v>
      </c>
      <c r="D160" s="41">
        <v>95</v>
      </c>
      <c r="E160" s="40">
        <v>3.4684191310697336E-3</v>
      </c>
    </row>
    <row r="161" spans="2:5" ht="15" customHeight="1" x14ac:dyDescent="0.25">
      <c r="B161" s="88" t="s">
        <v>65</v>
      </c>
      <c r="C161" s="45" t="s">
        <v>134</v>
      </c>
      <c r="D161" s="44">
        <v>343</v>
      </c>
      <c r="E161" s="43">
        <v>1.2522818546914933E-2</v>
      </c>
    </row>
    <row r="162" spans="2:5" ht="15" customHeight="1" x14ac:dyDescent="0.25">
      <c r="B162" s="89"/>
      <c r="C162" s="45" t="s">
        <v>132</v>
      </c>
      <c r="D162" s="44">
        <v>303</v>
      </c>
      <c r="E162" s="43">
        <v>1.1062431544359255E-2</v>
      </c>
    </row>
    <row r="163" spans="2:5" ht="15" customHeight="1" x14ac:dyDescent="0.25">
      <c r="B163" s="89"/>
      <c r="C163" s="45" t="s">
        <v>130</v>
      </c>
      <c r="D163" s="44">
        <v>242</v>
      </c>
      <c r="E163" s="43">
        <v>8.8353413654618466E-3</v>
      </c>
    </row>
    <row r="164" spans="2:5" ht="15" customHeight="1" x14ac:dyDescent="0.25">
      <c r="B164" s="89"/>
      <c r="C164" s="45" t="s">
        <v>128</v>
      </c>
      <c r="D164" s="44">
        <v>181</v>
      </c>
      <c r="E164" s="43">
        <v>6.60825118656444E-3</v>
      </c>
    </row>
    <row r="165" spans="2:5" ht="15" customHeight="1" x14ac:dyDescent="0.25">
      <c r="B165" s="89"/>
      <c r="C165" s="45" t="s">
        <v>124</v>
      </c>
      <c r="D165" s="44">
        <v>24</v>
      </c>
      <c r="E165" s="43">
        <v>8.762322015334064E-4</v>
      </c>
    </row>
    <row r="166" spans="2:5" ht="15" customHeight="1" x14ac:dyDescent="0.25">
      <c r="B166" s="89"/>
      <c r="C166" s="45" t="s">
        <v>136</v>
      </c>
      <c r="D166" s="44">
        <v>520</v>
      </c>
      <c r="E166" s="43">
        <v>1.8985031033223805E-2</v>
      </c>
    </row>
    <row r="167" spans="2:5" ht="15" customHeight="1" x14ac:dyDescent="0.25">
      <c r="B167" s="89"/>
      <c r="C167" s="45" t="s">
        <v>137</v>
      </c>
      <c r="D167" s="44">
        <v>706</v>
      </c>
      <c r="E167" s="43">
        <v>2.5775830595107702E-2</v>
      </c>
    </row>
    <row r="168" spans="2:5" ht="15" customHeight="1" x14ac:dyDescent="0.25">
      <c r="B168" s="89"/>
      <c r="C168" s="45" t="s">
        <v>131</v>
      </c>
      <c r="D168" s="44">
        <v>354</v>
      </c>
      <c r="E168" s="43">
        <v>1.2924424972617744E-2</v>
      </c>
    </row>
    <row r="169" spans="2:5" ht="15" customHeight="1" x14ac:dyDescent="0.25">
      <c r="B169" s="89"/>
      <c r="C169" s="45" t="s">
        <v>135</v>
      </c>
      <c r="D169" s="44">
        <v>485</v>
      </c>
      <c r="E169" s="43">
        <v>1.7707192405987587E-2</v>
      </c>
    </row>
    <row r="170" spans="2:5" ht="15" customHeight="1" x14ac:dyDescent="0.25">
      <c r="B170" s="89"/>
      <c r="C170" s="45" t="s">
        <v>125</v>
      </c>
      <c r="D170" s="44">
        <v>26</v>
      </c>
      <c r="E170" s="43">
        <v>9.4925155166119017E-4</v>
      </c>
    </row>
    <row r="171" spans="2:5" ht="15" customHeight="1" x14ac:dyDescent="0.25">
      <c r="B171" s="89"/>
      <c r="C171" s="45" t="s">
        <v>133</v>
      </c>
      <c r="D171" s="44">
        <v>171</v>
      </c>
      <c r="E171" s="43">
        <v>6.2431544359255204E-3</v>
      </c>
    </row>
    <row r="172" spans="2:5" ht="15" customHeight="1" x14ac:dyDescent="0.25">
      <c r="B172" s="89"/>
      <c r="C172" s="45" t="s">
        <v>122</v>
      </c>
      <c r="D172" s="44">
        <v>7</v>
      </c>
      <c r="E172" s="43">
        <v>2.5556772544724351E-4</v>
      </c>
    </row>
    <row r="173" spans="2:5" ht="15" customHeight="1" x14ac:dyDescent="0.25">
      <c r="B173" s="89"/>
      <c r="C173" s="45" t="s">
        <v>126</v>
      </c>
      <c r="D173" s="44">
        <v>41</v>
      </c>
      <c r="E173" s="43">
        <v>1.4968966776195691E-3</v>
      </c>
    </row>
    <row r="174" spans="2:5" ht="15" customHeight="1" x14ac:dyDescent="0.25">
      <c r="B174" s="89"/>
      <c r="C174" s="45" t="s">
        <v>127</v>
      </c>
      <c r="D174" s="44">
        <v>28</v>
      </c>
      <c r="E174" s="43">
        <v>1.022270901788974E-3</v>
      </c>
    </row>
    <row r="175" spans="2:5" ht="15" customHeight="1" x14ac:dyDescent="0.25">
      <c r="B175" s="89"/>
      <c r="C175" s="45" t="s">
        <v>129</v>
      </c>
      <c r="D175" s="44">
        <v>80</v>
      </c>
      <c r="E175" s="43">
        <v>2.9207740051113546E-3</v>
      </c>
    </row>
    <row r="176" spans="2:5" ht="15" customHeight="1" x14ac:dyDescent="0.25">
      <c r="B176" s="89"/>
      <c r="C176" s="45" t="s">
        <v>123</v>
      </c>
      <c r="D176" s="44">
        <v>5</v>
      </c>
      <c r="E176" s="43">
        <v>1.8254837531945966E-4</v>
      </c>
    </row>
    <row r="177" spans="2:5" ht="15" customHeight="1" x14ac:dyDescent="0.25">
      <c r="B177" s="90"/>
      <c r="C177" s="42" t="s">
        <v>20</v>
      </c>
      <c r="D177" s="41">
        <v>3516</v>
      </c>
      <c r="E177" s="40">
        <v>0.12836801752464402</v>
      </c>
    </row>
    <row r="178" spans="2:5" ht="15" customHeight="1" x14ac:dyDescent="0.25">
      <c r="B178" s="88" t="s">
        <v>58</v>
      </c>
      <c r="C178" s="45" t="s">
        <v>134</v>
      </c>
      <c r="D178" s="44">
        <v>76</v>
      </c>
      <c r="E178" s="43">
        <v>2.7747353048557868E-3</v>
      </c>
    </row>
    <row r="179" spans="2:5" ht="15" customHeight="1" x14ac:dyDescent="0.25">
      <c r="B179" s="89"/>
      <c r="C179" s="45" t="s">
        <v>132</v>
      </c>
      <c r="D179" s="44">
        <v>50</v>
      </c>
      <c r="E179" s="43">
        <v>1.8254837531945967E-3</v>
      </c>
    </row>
    <row r="180" spans="2:5" ht="15" customHeight="1" x14ac:dyDescent="0.25">
      <c r="B180" s="89"/>
      <c r="C180" s="45" t="s">
        <v>130</v>
      </c>
      <c r="D180" s="44">
        <v>31</v>
      </c>
      <c r="E180" s="43">
        <v>1.13179992698065E-3</v>
      </c>
    </row>
    <row r="181" spans="2:5" ht="15" customHeight="1" x14ac:dyDescent="0.25">
      <c r="B181" s="89"/>
      <c r="C181" s="45" t="s">
        <v>128</v>
      </c>
      <c r="D181" s="44">
        <v>46</v>
      </c>
      <c r="E181" s="43">
        <v>1.6794450529390289E-3</v>
      </c>
    </row>
    <row r="182" spans="2:5" ht="15" customHeight="1" x14ac:dyDescent="0.25">
      <c r="B182" s="89"/>
      <c r="C182" s="45" t="s">
        <v>124</v>
      </c>
      <c r="D182" s="44">
        <v>15</v>
      </c>
      <c r="E182" s="43">
        <v>5.4764512595837896E-4</v>
      </c>
    </row>
    <row r="183" spans="2:5" ht="15" customHeight="1" x14ac:dyDescent="0.25">
      <c r="B183" s="89"/>
      <c r="C183" s="45" t="s">
        <v>136</v>
      </c>
      <c r="D183" s="44">
        <v>136</v>
      </c>
      <c r="E183" s="43">
        <v>4.9653158086893027E-3</v>
      </c>
    </row>
    <row r="184" spans="2:5" ht="15" customHeight="1" x14ac:dyDescent="0.25">
      <c r="B184" s="89"/>
      <c r="C184" s="45" t="s">
        <v>137</v>
      </c>
      <c r="D184" s="44">
        <v>52</v>
      </c>
      <c r="E184" s="43">
        <v>1.8985031033223803E-3</v>
      </c>
    </row>
    <row r="185" spans="2:5" ht="15" customHeight="1" x14ac:dyDescent="0.25">
      <c r="B185" s="89"/>
      <c r="C185" s="45" t="s">
        <v>131</v>
      </c>
      <c r="D185" s="44">
        <v>21</v>
      </c>
      <c r="E185" s="43">
        <v>7.6670317634173059E-4</v>
      </c>
    </row>
    <row r="186" spans="2:5" ht="15" customHeight="1" x14ac:dyDescent="0.25">
      <c r="B186" s="89"/>
      <c r="C186" s="45" t="s">
        <v>135</v>
      </c>
      <c r="D186" s="44">
        <v>37</v>
      </c>
      <c r="E186" s="43">
        <v>1.3508579773640014E-3</v>
      </c>
    </row>
    <row r="187" spans="2:5" ht="15" customHeight="1" x14ac:dyDescent="0.25">
      <c r="B187" s="89"/>
      <c r="C187" s="45" t="s">
        <v>125</v>
      </c>
      <c r="D187" s="44">
        <v>4</v>
      </c>
      <c r="E187" s="43">
        <v>1.4603870025556772E-4</v>
      </c>
    </row>
    <row r="188" spans="2:5" ht="15" customHeight="1" x14ac:dyDescent="0.25">
      <c r="B188" s="89"/>
      <c r="C188" s="45" t="s">
        <v>133</v>
      </c>
      <c r="D188" s="44">
        <v>30</v>
      </c>
      <c r="E188" s="43">
        <v>1.0952902519167579E-3</v>
      </c>
    </row>
    <row r="189" spans="2:5" ht="15" customHeight="1" x14ac:dyDescent="0.25">
      <c r="B189" s="89"/>
      <c r="C189" s="45" t="s">
        <v>122</v>
      </c>
      <c r="D189" s="44">
        <v>1</v>
      </c>
      <c r="E189" s="43">
        <v>3.6509675063891931E-5</v>
      </c>
    </row>
    <row r="190" spans="2:5" ht="15" customHeight="1" x14ac:dyDescent="0.25">
      <c r="B190" s="89"/>
      <c r="C190" s="45" t="s">
        <v>126</v>
      </c>
      <c r="D190" s="44">
        <v>7</v>
      </c>
      <c r="E190" s="43">
        <v>2.5556772544724351E-4</v>
      </c>
    </row>
    <row r="191" spans="2:5" ht="15" customHeight="1" x14ac:dyDescent="0.25">
      <c r="B191" s="89"/>
      <c r="C191" s="45" t="s">
        <v>127</v>
      </c>
      <c r="D191" s="44">
        <v>19</v>
      </c>
      <c r="E191" s="43">
        <v>6.9368382621394671E-4</v>
      </c>
    </row>
    <row r="192" spans="2:5" ht="15" customHeight="1" x14ac:dyDescent="0.25">
      <c r="B192" s="89"/>
      <c r="C192" s="45" t="s">
        <v>129</v>
      </c>
      <c r="D192" s="44">
        <v>23</v>
      </c>
      <c r="E192" s="43">
        <v>8.3972252646951446E-4</v>
      </c>
    </row>
    <row r="193" spans="2:5" ht="15" customHeight="1" x14ac:dyDescent="0.25">
      <c r="B193" s="90"/>
      <c r="C193" s="42" t="s">
        <v>20</v>
      </c>
      <c r="D193" s="41">
        <v>548</v>
      </c>
      <c r="E193" s="40">
        <v>2.0007301935012777E-2</v>
      </c>
    </row>
    <row r="194" spans="2:5" ht="15" customHeight="1" x14ac:dyDescent="0.25">
      <c r="B194" s="88" t="s">
        <v>34</v>
      </c>
      <c r="C194" s="45" t="s">
        <v>134</v>
      </c>
      <c r="D194" s="44">
        <v>13</v>
      </c>
      <c r="E194" s="43">
        <v>4.7462577583059508E-4</v>
      </c>
    </row>
    <row r="195" spans="2:5" ht="15" customHeight="1" x14ac:dyDescent="0.25">
      <c r="B195" s="89"/>
      <c r="C195" s="45" t="s">
        <v>132</v>
      </c>
      <c r="D195" s="44">
        <v>5</v>
      </c>
      <c r="E195" s="43">
        <v>1.8254837531945966E-4</v>
      </c>
    </row>
    <row r="196" spans="2:5" ht="15" customHeight="1" x14ac:dyDescent="0.25">
      <c r="B196" s="89"/>
      <c r="C196" s="45" t="s">
        <v>130</v>
      </c>
      <c r="D196" s="44">
        <v>5</v>
      </c>
      <c r="E196" s="43">
        <v>1.8254837531945966E-4</v>
      </c>
    </row>
    <row r="197" spans="2:5" ht="15" customHeight="1" x14ac:dyDescent="0.25">
      <c r="B197" s="89"/>
      <c r="C197" s="45" t="s">
        <v>136</v>
      </c>
      <c r="D197" s="44">
        <v>43</v>
      </c>
      <c r="E197" s="43">
        <v>1.569916027747353E-3</v>
      </c>
    </row>
    <row r="198" spans="2:5" ht="15" customHeight="1" x14ac:dyDescent="0.25">
      <c r="B198" s="89"/>
      <c r="C198" s="45" t="s">
        <v>137</v>
      </c>
      <c r="D198" s="44">
        <v>5</v>
      </c>
      <c r="E198" s="43">
        <v>1.8254837531945966E-4</v>
      </c>
    </row>
    <row r="199" spans="2:5" ht="15" customHeight="1" x14ac:dyDescent="0.25">
      <c r="B199" s="89"/>
      <c r="C199" s="45" t="s">
        <v>131</v>
      </c>
      <c r="D199" s="44">
        <v>2</v>
      </c>
      <c r="E199" s="43">
        <v>7.3019350127783862E-5</v>
      </c>
    </row>
    <row r="200" spans="2:5" ht="15" customHeight="1" x14ac:dyDescent="0.25">
      <c r="B200" s="89"/>
      <c r="C200" s="45" t="s">
        <v>135</v>
      </c>
      <c r="D200" s="44">
        <v>5</v>
      </c>
      <c r="E200" s="43">
        <v>1.8254837531945966E-4</v>
      </c>
    </row>
    <row r="201" spans="2:5" ht="15" customHeight="1" x14ac:dyDescent="0.25">
      <c r="B201" s="89"/>
      <c r="C201" s="45" t="s">
        <v>125</v>
      </c>
      <c r="D201" s="44">
        <v>1</v>
      </c>
      <c r="E201" s="43">
        <v>3.6509675063891931E-5</v>
      </c>
    </row>
    <row r="202" spans="2:5" ht="15" customHeight="1" x14ac:dyDescent="0.25">
      <c r="B202" s="89"/>
      <c r="C202" s="45" t="s">
        <v>133</v>
      </c>
      <c r="D202" s="44">
        <v>2</v>
      </c>
      <c r="E202" s="43">
        <v>7.3019350127783862E-5</v>
      </c>
    </row>
    <row r="203" spans="2:5" ht="15" customHeight="1" x14ac:dyDescent="0.25">
      <c r="B203" s="89"/>
      <c r="C203" s="45" t="s">
        <v>126</v>
      </c>
      <c r="D203" s="44">
        <v>1</v>
      </c>
      <c r="E203" s="43">
        <v>3.6509675063891931E-5</v>
      </c>
    </row>
    <row r="204" spans="2:5" ht="15" customHeight="1" x14ac:dyDescent="0.25">
      <c r="B204" s="89"/>
      <c r="C204" s="45" t="s">
        <v>127</v>
      </c>
      <c r="D204" s="44">
        <v>6</v>
      </c>
      <c r="E204" s="43">
        <v>2.190580503833516E-4</v>
      </c>
    </row>
    <row r="205" spans="2:5" ht="15" customHeight="1" x14ac:dyDescent="0.25">
      <c r="B205" s="89"/>
      <c r="C205" s="45" t="s">
        <v>129</v>
      </c>
      <c r="D205" s="44">
        <v>2</v>
      </c>
      <c r="E205" s="43">
        <v>7.3019350127783862E-5</v>
      </c>
    </row>
    <row r="206" spans="2:5" ht="15" customHeight="1" x14ac:dyDescent="0.25">
      <c r="B206" s="90"/>
      <c r="C206" s="42" t="s">
        <v>20</v>
      </c>
      <c r="D206" s="41">
        <v>90</v>
      </c>
      <c r="E206" s="40">
        <v>3.2858707557502738E-3</v>
      </c>
    </row>
    <row r="207" spans="2:5" ht="15" customHeight="1" x14ac:dyDescent="0.25">
      <c r="B207" s="88" t="s">
        <v>43</v>
      </c>
      <c r="C207" s="45" t="s">
        <v>134</v>
      </c>
      <c r="D207" s="44">
        <v>28</v>
      </c>
      <c r="E207" s="43">
        <v>1.022270901788974E-3</v>
      </c>
    </row>
    <row r="208" spans="2:5" ht="15" customHeight="1" x14ac:dyDescent="0.25">
      <c r="B208" s="89"/>
      <c r="C208" s="45" t="s">
        <v>132</v>
      </c>
      <c r="D208" s="44">
        <v>13</v>
      </c>
      <c r="E208" s="43">
        <v>4.7462577583059508E-4</v>
      </c>
    </row>
    <row r="209" spans="2:5" ht="15" customHeight="1" x14ac:dyDescent="0.25">
      <c r="B209" s="89"/>
      <c r="C209" s="45" t="s">
        <v>130</v>
      </c>
      <c r="D209" s="44">
        <v>7</v>
      </c>
      <c r="E209" s="43">
        <v>2.5556772544724351E-4</v>
      </c>
    </row>
    <row r="210" spans="2:5" ht="15" customHeight="1" x14ac:dyDescent="0.25">
      <c r="B210" s="89"/>
      <c r="C210" s="45" t="s">
        <v>128</v>
      </c>
      <c r="D210" s="44">
        <v>4</v>
      </c>
      <c r="E210" s="43">
        <v>1.4603870025556772E-4</v>
      </c>
    </row>
    <row r="211" spans="2:5" ht="15" customHeight="1" x14ac:dyDescent="0.25">
      <c r="B211" s="89"/>
      <c r="C211" s="45" t="s">
        <v>124</v>
      </c>
      <c r="D211" s="44">
        <v>1</v>
      </c>
      <c r="E211" s="43">
        <v>3.6509675063891931E-5</v>
      </c>
    </row>
    <row r="212" spans="2:5" ht="15" customHeight="1" x14ac:dyDescent="0.25">
      <c r="B212" s="89"/>
      <c r="C212" s="45" t="s">
        <v>136</v>
      </c>
      <c r="D212" s="44">
        <v>28</v>
      </c>
      <c r="E212" s="43">
        <v>1.022270901788974E-3</v>
      </c>
    </row>
    <row r="213" spans="2:5" ht="15" customHeight="1" x14ac:dyDescent="0.25">
      <c r="B213" s="89"/>
      <c r="C213" s="45" t="s">
        <v>137</v>
      </c>
      <c r="D213" s="44">
        <v>13</v>
      </c>
      <c r="E213" s="43">
        <v>4.7462577583059508E-4</v>
      </c>
    </row>
    <row r="214" spans="2:5" ht="15" customHeight="1" x14ac:dyDescent="0.25">
      <c r="B214" s="89"/>
      <c r="C214" s="45" t="s">
        <v>131</v>
      </c>
      <c r="D214" s="44">
        <v>10</v>
      </c>
      <c r="E214" s="43">
        <v>3.6509675063891932E-4</v>
      </c>
    </row>
    <row r="215" spans="2:5" ht="15" customHeight="1" x14ac:dyDescent="0.25">
      <c r="B215" s="89"/>
      <c r="C215" s="45" t="s">
        <v>135</v>
      </c>
      <c r="D215" s="44">
        <v>11</v>
      </c>
      <c r="E215" s="43">
        <v>4.0160642570281126E-4</v>
      </c>
    </row>
    <row r="216" spans="2:5" ht="15" customHeight="1" x14ac:dyDescent="0.25">
      <c r="B216" s="89"/>
      <c r="C216" s="45" t="s">
        <v>125</v>
      </c>
      <c r="D216" s="44">
        <v>1</v>
      </c>
      <c r="E216" s="43">
        <v>3.6509675063891931E-5</v>
      </c>
    </row>
    <row r="217" spans="2:5" ht="15" customHeight="1" x14ac:dyDescent="0.25">
      <c r="B217" s="89"/>
      <c r="C217" s="45" t="s">
        <v>133</v>
      </c>
      <c r="D217" s="44">
        <v>11</v>
      </c>
      <c r="E217" s="43">
        <v>4.0160642570281126E-4</v>
      </c>
    </row>
    <row r="218" spans="2:5" ht="15" customHeight="1" x14ac:dyDescent="0.25">
      <c r="B218" s="89"/>
      <c r="C218" s="45" t="s">
        <v>126</v>
      </c>
      <c r="D218" s="44">
        <v>1</v>
      </c>
      <c r="E218" s="43">
        <v>3.6509675063891931E-5</v>
      </c>
    </row>
    <row r="219" spans="2:5" ht="15" customHeight="1" x14ac:dyDescent="0.25">
      <c r="B219" s="89"/>
      <c r="C219" s="45" t="s">
        <v>127</v>
      </c>
      <c r="D219" s="44">
        <v>2</v>
      </c>
      <c r="E219" s="43">
        <v>7.3019350127783862E-5</v>
      </c>
    </row>
    <row r="220" spans="2:5" ht="15" customHeight="1" x14ac:dyDescent="0.25">
      <c r="B220" s="89"/>
      <c r="C220" s="45" t="s">
        <v>129</v>
      </c>
      <c r="D220" s="44">
        <v>12</v>
      </c>
      <c r="E220" s="43">
        <v>4.381161007667032E-4</v>
      </c>
    </row>
    <row r="221" spans="2:5" ht="15" customHeight="1" x14ac:dyDescent="0.25">
      <c r="B221" s="90"/>
      <c r="C221" s="42" t="s">
        <v>20</v>
      </c>
      <c r="D221" s="41">
        <v>142</v>
      </c>
      <c r="E221" s="40">
        <v>5.1843738590726541E-3</v>
      </c>
    </row>
    <row r="222" spans="2:5" ht="15" customHeight="1" x14ac:dyDescent="0.25">
      <c r="B222" s="88" t="s">
        <v>37</v>
      </c>
      <c r="C222" s="45" t="s">
        <v>134</v>
      </c>
      <c r="D222" s="44">
        <v>11</v>
      </c>
      <c r="E222" s="43">
        <v>4.0160642570281126E-4</v>
      </c>
    </row>
    <row r="223" spans="2:5" ht="15" customHeight="1" x14ac:dyDescent="0.25">
      <c r="B223" s="89"/>
      <c r="C223" s="45" t="s">
        <v>132</v>
      </c>
      <c r="D223" s="44">
        <v>6</v>
      </c>
      <c r="E223" s="43">
        <v>2.190580503833516E-4</v>
      </c>
    </row>
    <row r="224" spans="2:5" ht="15" customHeight="1" x14ac:dyDescent="0.25">
      <c r="B224" s="89"/>
      <c r="C224" s="45" t="s">
        <v>130</v>
      </c>
      <c r="D224" s="44">
        <v>8</v>
      </c>
      <c r="E224" s="43">
        <v>2.9207740051113545E-4</v>
      </c>
    </row>
    <row r="225" spans="2:5" ht="15" customHeight="1" x14ac:dyDescent="0.25">
      <c r="B225" s="89"/>
      <c r="C225" s="45" t="s">
        <v>128</v>
      </c>
      <c r="D225" s="44">
        <v>2</v>
      </c>
      <c r="E225" s="43">
        <v>7.3019350127783862E-5</v>
      </c>
    </row>
    <row r="226" spans="2:5" ht="15" customHeight="1" x14ac:dyDescent="0.25">
      <c r="B226" s="89"/>
      <c r="C226" s="45" t="s">
        <v>136</v>
      </c>
      <c r="D226" s="44">
        <v>13</v>
      </c>
      <c r="E226" s="43">
        <v>4.7462577583059508E-4</v>
      </c>
    </row>
    <row r="227" spans="2:5" ht="15" customHeight="1" x14ac:dyDescent="0.25">
      <c r="B227" s="89"/>
      <c r="C227" s="45" t="s">
        <v>137</v>
      </c>
      <c r="D227" s="44">
        <v>15</v>
      </c>
      <c r="E227" s="43">
        <v>5.4764512595837896E-4</v>
      </c>
    </row>
    <row r="228" spans="2:5" ht="15" customHeight="1" x14ac:dyDescent="0.25">
      <c r="B228" s="89"/>
      <c r="C228" s="45" t="s">
        <v>131</v>
      </c>
      <c r="D228" s="44">
        <v>21</v>
      </c>
      <c r="E228" s="43">
        <v>7.6670317634173059E-4</v>
      </c>
    </row>
    <row r="229" spans="2:5" ht="15" customHeight="1" x14ac:dyDescent="0.25">
      <c r="B229" s="89"/>
      <c r="C229" s="45" t="s">
        <v>135</v>
      </c>
      <c r="D229" s="44">
        <v>7</v>
      </c>
      <c r="E229" s="43">
        <v>2.5556772544724351E-4</v>
      </c>
    </row>
    <row r="230" spans="2:5" ht="15" customHeight="1" x14ac:dyDescent="0.25">
      <c r="B230" s="89"/>
      <c r="C230" s="45" t="s">
        <v>125</v>
      </c>
      <c r="D230" s="44">
        <v>1</v>
      </c>
      <c r="E230" s="43">
        <v>3.6509675063891931E-5</v>
      </c>
    </row>
    <row r="231" spans="2:5" ht="15" customHeight="1" x14ac:dyDescent="0.25">
      <c r="B231" s="89"/>
      <c r="C231" s="45" t="s">
        <v>133</v>
      </c>
      <c r="D231" s="44">
        <v>6</v>
      </c>
      <c r="E231" s="43">
        <v>2.190580503833516E-4</v>
      </c>
    </row>
    <row r="232" spans="2:5" ht="15" customHeight="1" x14ac:dyDescent="0.25">
      <c r="B232" s="89"/>
      <c r="C232" s="45" t="s">
        <v>127</v>
      </c>
      <c r="D232" s="44">
        <v>9</v>
      </c>
      <c r="E232" s="43">
        <v>3.2858707557502739E-4</v>
      </c>
    </row>
    <row r="233" spans="2:5" ht="15" customHeight="1" x14ac:dyDescent="0.25">
      <c r="B233" s="89"/>
      <c r="C233" s="45" t="s">
        <v>129</v>
      </c>
      <c r="D233" s="44">
        <v>2</v>
      </c>
      <c r="E233" s="43">
        <v>7.3019350127783862E-5</v>
      </c>
    </row>
    <row r="234" spans="2:5" ht="15" customHeight="1" x14ac:dyDescent="0.25">
      <c r="B234" s="89"/>
      <c r="C234" s="45" t="s">
        <v>123</v>
      </c>
      <c r="D234" s="44">
        <v>1</v>
      </c>
      <c r="E234" s="43">
        <v>3.6509675063891931E-5</v>
      </c>
    </row>
    <row r="235" spans="2:5" ht="15" customHeight="1" x14ac:dyDescent="0.25">
      <c r="B235" s="90"/>
      <c r="C235" s="42" t="s">
        <v>20</v>
      </c>
      <c r="D235" s="41">
        <v>102</v>
      </c>
      <c r="E235" s="40">
        <v>3.723986856516977E-3</v>
      </c>
    </row>
    <row r="236" spans="2:5" ht="15" customHeight="1" x14ac:dyDescent="0.25">
      <c r="B236" s="88" t="s">
        <v>33</v>
      </c>
      <c r="C236" s="45" t="s">
        <v>134</v>
      </c>
      <c r="D236" s="44">
        <v>23</v>
      </c>
      <c r="E236" s="43">
        <v>8.3972252646951446E-4</v>
      </c>
    </row>
    <row r="237" spans="2:5" ht="15" customHeight="1" x14ac:dyDescent="0.25">
      <c r="B237" s="89"/>
      <c r="C237" s="45" t="s">
        <v>132</v>
      </c>
      <c r="D237" s="44">
        <v>8</v>
      </c>
      <c r="E237" s="43">
        <v>2.9207740051113545E-4</v>
      </c>
    </row>
    <row r="238" spans="2:5" ht="15" customHeight="1" x14ac:dyDescent="0.25">
      <c r="B238" s="89"/>
      <c r="C238" s="45" t="s">
        <v>130</v>
      </c>
      <c r="D238" s="44">
        <v>2</v>
      </c>
      <c r="E238" s="43">
        <v>7.3019350127783862E-5</v>
      </c>
    </row>
    <row r="239" spans="2:5" ht="15" customHeight="1" x14ac:dyDescent="0.25">
      <c r="B239" s="89"/>
      <c r="C239" s="45" t="s">
        <v>128</v>
      </c>
      <c r="D239" s="44">
        <v>1</v>
      </c>
      <c r="E239" s="43">
        <v>3.6509675063891931E-5</v>
      </c>
    </row>
    <row r="240" spans="2:5" ht="15" customHeight="1" x14ac:dyDescent="0.25">
      <c r="B240" s="89"/>
      <c r="C240" s="45" t="s">
        <v>124</v>
      </c>
      <c r="D240" s="44">
        <v>2</v>
      </c>
      <c r="E240" s="43">
        <v>7.3019350127783862E-5</v>
      </c>
    </row>
    <row r="241" spans="2:5" ht="15" customHeight="1" x14ac:dyDescent="0.25">
      <c r="B241" s="89"/>
      <c r="C241" s="45" t="s">
        <v>136</v>
      </c>
      <c r="D241" s="44">
        <v>13</v>
      </c>
      <c r="E241" s="43">
        <v>4.7462577583059508E-4</v>
      </c>
    </row>
    <row r="242" spans="2:5" ht="15" customHeight="1" x14ac:dyDescent="0.25">
      <c r="B242" s="89"/>
      <c r="C242" s="45" t="s">
        <v>137</v>
      </c>
      <c r="D242" s="44">
        <v>9</v>
      </c>
      <c r="E242" s="43">
        <v>3.2858707557502739E-4</v>
      </c>
    </row>
    <row r="243" spans="2:5" ht="15" customHeight="1" x14ac:dyDescent="0.25">
      <c r="B243" s="89"/>
      <c r="C243" s="45" t="s">
        <v>131</v>
      </c>
      <c r="D243" s="44">
        <v>3</v>
      </c>
      <c r="E243" s="43">
        <v>1.095290251916758E-4</v>
      </c>
    </row>
    <row r="244" spans="2:5" ht="15" customHeight="1" x14ac:dyDescent="0.25">
      <c r="B244" s="89"/>
      <c r="C244" s="45" t="s">
        <v>135</v>
      </c>
      <c r="D244" s="44">
        <v>11</v>
      </c>
      <c r="E244" s="43">
        <v>4.0160642570281126E-4</v>
      </c>
    </row>
    <row r="245" spans="2:5" ht="15" customHeight="1" x14ac:dyDescent="0.25">
      <c r="B245" s="89"/>
      <c r="C245" s="45" t="s">
        <v>125</v>
      </c>
      <c r="D245" s="44">
        <v>1</v>
      </c>
      <c r="E245" s="43">
        <v>3.6509675063891931E-5</v>
      </c>
    </row>
    <row r="246" spans="2:5" ht="15" customHeight="1" x14ac:dyDescent="0.25">
      <c r="B246" s="89"/>
      <c r="C246" s="45" t="s">
        <v>133</v>
      </c>
      <c r="D246" s="44">
        <v>7</v>
      </c>
      <c r="E246" s="43">
        <v>2.5556772544724351E-4</v>
      </c>
    </row>
    <row r="247" spans="2:5" ht="15" customHeight="1" x14ac:dyDescent="0.25">
      <c r="B247" s="89"/>
      <c r="C247" s="45" t="s">
        <v>126</v>
      </c>
      <c r="D247" s="44">
        <v>1</v>
      </c>
      <c r="E247" s="43">
        <v>3.6509675063891931E-5</v>
      </c>
    </row>
    <row r="248" spans="2:5" ht="15" customHeight="1" x14ac:dyDescent="0.25">
      <c r="B248" s="89"/>
      <c r="C248" s="45" t="s">
        <v>129</v>
      </c>
      <c r="D248" s="44">
        <v>3</v>
      </c>
      <c r="E248" s="43">
        <v>1.095290251916758E-4</v>
      </c>
    </row>
    <row r="249" spans="2:5" ht="15" customHeight="1" x14ac:dyDescent="0.25">
      <c r="B249" s="89"/>
      <c r="C249" s="45" t="s">
        <v>123</v>
      </c>
      <c r="D249" s="44">
        <v>1</v>
      </c>
      <c r="E249" s="43">
        <v>3.6509675063891931E-5</v>
      </c>
    </row>
    <row r="250" spans="2:5" ht="15" customHeight="1" x14ac:dyDescent="0.25">
      <c r="B250" s="90"/>
      <c r="C250" s="42" t="s">
        <v>20</v>
      </c>
      <c r="D250" s="41">
        <v>85</v>
      </c>
      <c r="E250" s="40">
        <v>3.103322380430814E-3</v>
      </c>
    </row>
    <row r="251" spans="2:5" ht="15" customHeight="1" x14ac:dyDescent="0.25">
      <c r="B251" s="88" t="s">
        <v>219</v>
      </c>
      <c r="C251" s="45" t="s">
        <v>133</v>
      </c>
      <c r="D251" s="44">
        <v>1</v>
      </c>
      <c r="E251" s="43">
        <v>3.6509675063891931E-5</v>
      </c>
    </row>
    <row r="252" spans="2:5" ht="15" customHeight="1" x14ac:dyDescent="0.25">
      <c r="B252" s="90"/>
      <c r="C252" s="42" t="s">
        <v>20</v>
      </c>
      <c r="D252" s="41">
        <v>1</v>
      </c>
      <c r="E252" s="40">
        <v>3.6509675063891931E-5</v>
      </c>
    </row>
    <row r="253" spans="2:5" ht="15" customHeight="1" x14ac:dyDescent="0.25">
      <c r="B253" s="88" t="s">
        <v>35</v>
      </c>
      <c r="C253" s="45" t="s">
        <v>134</v>
      </c>
      <c r="D253" s="44">
        <v>7</v>
      </c>
      <c r="E253" s="43">
        <v>2.5556772544724351E-4</v>
      </c>
    </row>
    <row r="254" spans="2:5" ht="15" customHeight="1" x14ac:dyDescent="0.25">
      <c r="B254" s="89"/>
      <c r="C254" s="45" t="s">
        <v>132</v>
      </c>
      <c r="D254" s="44">
        <v>2</v>
      </c>
      <c r="E254" s="43">
        <v>7.3019350127783862E-5</v>
      </c>
    </row>
    <row r="255" spans="2:5" ht="15" customHeight="1" x14ac:dyDescent="0.25">
      <c r="B255" s="89"/>
      <c r="C255" s="45" t="s">
        <v>130</v>
      </c>
      <c r="D255" s="44">
        <v>7</v>
      </c>
      <c r="E255" s="43">
        <v>2.5556772544724351E-4</v>
      </c>
    </row>
    <row r="256" spans="2:5" ht="15" customHeight="1" x14ac:dyDescent="0.25">
      <c r="B256" s="89"/>
      <c r="C256" s="45" t="s">
        <v>128</v>
      </c>
      <c r="D256" s="44">
        <v>2</v>
      </c>
      <c r="E256" s="43">
        <v>7.3019350127783862E-5</v>
      </c>
    </row>
    <row r="257" spans="2:5" ht="15" customHeight="1" x14ac:dyDescent="0.25">
      <c r="B257" s="89"/>
      <c r="C257" s="45" t="s">
        <v>124</v>
      </c>
      <c r="D257" s="44">
        <v>1</v>
      </c>
      <c r="E257" s="43">
        <v>3.6509675063891931E-5</v>
      </c>
    </row>
    <row r="258" spans="2:5" ht="15" customHeight="1" x14ac:dyDescent="0.25">
      <c r="B258" s="89"/>
      <c r="C258" s="45" t="s">
        <v>136</v>
      </c>
      <c r="D258" s="44">
        <v>10</v>
      </c>
      <c r="E258" s="43">
        <v>3.6509675063891932E-4</v>
      </c>
    </row>
    <row r="259" spans="2:5" ht="15" customHeight="1" x14ac:dyDescent="0.25">
      <c r="B259" s="89"/>
      <c r="C259" s="45" t="s">
        <v>137</v>
      </c>
      <c r="D259" s="44">
        <v>10</v>
      </c>
      <c r="E259" s="43">
        <v>3.6509675063891932E-4</v>
      </c>
    </row>
    <row r="260" spans="2:5" ht="15" customHeight="1" x14ac:dyDescent="0.25">
      <c r="B260" s="89"/>
      <c r="C260" s="45" t="s">
        <v>131</v>
      </c>
      <c r="D260" s="44">
        <v>2</v>
      </c>
      <c r="E260" s="43">
        <v>7.3019350127783862E-5</v>
      </c>
    </row>
    <row r="261" spans="2:5" ht="15" customHeight="1" x14ac:dyDescent="0.25">
      <c r="B261" s="89"/>
      <c r="C261" s="45" t="s">
        <v>135</v>
      </c>
      <c r="D261" s="44">
        <v>7</v>
      </c>
      <c r="E261" s="43">
        <v>2.5556772544724351E-4</v>
      </c>
    </row>
    <row r="262" spans="2:5" ht="15" customHeight="1" x14ac:dyDescent="0.25">
      <c r="B262" s="89"/>
      <c r="C262" s="45" t="s">
        <v>133</v>
      </c>
      <c r="D262" s="44">
        <v>4</v>
      </c>
      <c r="E262" s="43">
        <v>1.4603870025556772E-4</v>
      </c>
    </row>
    <row r="263" spans="2:5" ht="15" customHeight="1" x14ac:dyDescent="0.25">
      <c r="B263" s="89"/>
      <c r="C263" s="45" t="s">
        <v>127</v>
      </c>
      <c r="D263" s="44">
        <v>2</v>
      </c>
      <c r="E263" s="43">
        <v>7.3019350127783862E-5</v>
      </c>
    </row>
    <row r="264" spans="2:5" ht="15" customHeight="1" x14ac:dyDescent="0.25">
      <c r="B264" s="89"/>
      <c r="C264" s="45" t="s">
        <v>129</v>
      </c>
      <c r="D264" s="44">
        <v>2</v>
      </c>
      <c r="E264" s="43">
        <v>7.3019350127783862E-5</v>
      </c>
    </row>
    <row r="265" spans="2:5" ht="15" customHeight="1" x14ac:dyDescent="0.25">
      <c r="B265" s="90"/>
      <c r="C265" s="42" t="s">
        <v>20</v>
      </c>
      <c r="D265" s="41">
        <v>56</v>
      </c>
      <c r="E265" s="40">
        <v>2.0445418035779481E-3</v>
      </c>
    </row>
    <row r="266" spans="2:5" ht="15" customHeight="1" x14ac:dyDescent="0.25">
      <c r="B266" s="88" t="s">
        <v>28</v>
      </c>
      <c r="C266" s="45" t="s">
        <v>134</v>
      </c>
      <c r="D266" s="44">
        <v>1</v>
      </c>
      <c r="E266" s="43">
        <v>3.6509675063891931E-5</v>
      </c>
    </row>
    <row r="267" spans="2:5" ht="15" customHeight="1" x14ac:dyDescent="0.25">
      <c r="B267" s="89"/>
      <c r="C267" s="45" t="s">
        <v>132</v>
      </c>
      <c r="D267" s="44">
        <v>10</v>
      </c>
      <c r="E267" s="43">
        <v>3.6509675063891932E-4</v>
      </c>
    </row>
    <row r="268" spans="2:5" ht="15" customHeight="1" x14ac:dyDescent="0.25">
      <c r="B268" s="89"/>
      <c r="C268" s="45" t="s">
        <v>130</v>
      </c>
      <c r="D268" s="44">
        <v>11</v>
      </c>
      <c r="E268" s="43">
        <v>4.0160642570281126E-4</v>
      </c>
    </row>
    <row r="269" spans="2:5" ht="15" customHeight="1" x14ac:dyDescent="0.25">
      <c r="B269" s="89"/>
      <c r="C269" s="45" t="s">
        <v>128</v>
      </c>
      <c r="D269" s="44">
        <v>1</v>
      </c>
      <c r="E269" s="43">
        <v>3.6509675063891931E-5</v>
      </c>
    </row>
    <row r="270" spans="2:5" ht="15" customHeight="1" x14ac:dyDescent="0.25">
      <c r="B270" s="89"/>
      <c r="C270" s="45" t="s">
        <v>136</v>
      </c>
      <c r="D270" s="44">
        <v>11</v>
      </c>
      <c r="E270" s="43">
        <v>4.0160642570281126E-4</v>
      </c>
    </row>
    <row r="271" spans="2:5" ht="15" customHeight="1" x14ac:dyDescent="0.25">
      <c r="B271" s="89"/>
      <c r="C271" s="45" t="s">
        <v>131</v>
      </c>
      <c r="D271" s="44">
        <v>1</v>
      </c>
      <c r="E271" s="43">
        <v>3.6509675063891931E-5</v>
      </c>
    </row>
    <row r="272" spans="2:5" ht="15" customHeight="1" x14ac:dyDescent="0.25">
      <c r="B272" s="89"/>
      <c r="C272" s="45" t="s">
        <v>129</v>
      </c>
      <c r="D272" s="44">
        <v>1</v>
      </c>
      <c r="E272" s="43">
        <v>3.6509675063891931E-5</v>
      </c>
    </row>
    <row r="273" spans="2:5" ht="15" customHeight="1" x14ac:dyDescent="0.25">
      <c r="B273" s="90"/>
      <c r="C273" s="42" t="s">
        <v>20</v>
      </c>
      <c r="D273" s="41">
        <v>36</v>
      </c>
      <c r="E273" s="40">
        <v>1.3143483023001095E-3</v>
      </c>
    </row>
    <row r="274" spans="2:5" ht="15" customHeight="1" x14ac:dyDescent="0.25">
      <c r="B274" s="88" t="s">
        <v>46</v>
      </c>
      <c r="C274" s="45" t="s">
        <v>134</v>
      </c>
      <c r="D274" s="44">
        <v>26</v>
      </c>
      <c r="E274" s="43">
        <v>9.4925155166119017E-4</v>
      </c>
    </row>
    <row r="275" spans="2:5" ht="15" customHeight="1" x14ac:dyDescent="0.25">
      <c r="B275" s="89"/>
      <c r="C275" s="45" t="s">
        <v>132</v>
      </c>
      <c r="D275" s="44">
        <v>9</v>
      </c>
      <c r="E275" s="43">
        <v>3.2858707557502739E-4</v>
      </c>
    </row>
    <row r="276" spans="2:5" ht="15" customHeight="1" x14ac:dyDescent="0.25">
      <c r="B276" s="89"/>
      <c r="C276" s="45" t="s">
        <v>130</v>
      </c>
      <c r="D276" s="44">
        <v>8</v>
      </c>
      <c r="E276" s="43">
        <v>2.9207740051113545E-4</v>
      </c>
    </row>
    <row r="277" spans="2:5" ht="15" customHeight="1" x14ac:dyDescent="0.25">
      <c r="B277" s="89"/>
      <c r="C277" s="45" t="s">
        <v>128</v>
      </c>
      <c r="D277" s="44">
        <v>14</v>
      </c>
      <c r="E277" s="43">
        <v>5.1113545089448702E-4</v>
      </c>
    </row>
    <row r="278" spans="2:5" ht="15" customHeight="1" x14ac:dyDescent="0.25">
      <c r="B278" s="89"/>
      <c r="C278" s="45" t="s">
        <v>136</v>
      </c>
      <c r="D278" s="44">
        <v>55</v>
      </c>
      <c r="E278" s="43">
        <v>2.008032128514056E-3</v>
      </c>
    </row>
    <row r="279" spans="2:5" ht="15" customHeight="1" x14ac:dyDescent="0.25">
      <c r="B279" s="89"/>
      <c r="C279" s="45" t="s">
        <v>137</v>
      </c>
      <c r="D279" s="44">
        <v>56</v>
      </c>
      <c r="E279" s="43">
        <v>2.0445418035779481E-3</v>
      </c>
    </row>
    <row r="280" spans="2:5" ht="15" customHeight="1" x14ac:dyDescent="0.25">
      <c r="B280" s="89"/>
      <c r="C280" s="45" t="s">
        <v>131</v>
      </c>
      <c r="D280" s="44">
        <v>20</v>
      </c>
      <c r="E280" s="43">
        <v>7.3019350127783865E-4</v>
      </c>
    </row>
    <row r="281" spans="2:5" ht="15" customHeight="1" x14ac:dyDescent="0.25">
      <c r="B281" s="89"/>
      <c r="C281" s="45" t="s">
        <v>135</v>
      </c>
      <c r="D281" s="44">
        <v>27</v>
      </c>
      <c r="E281" s="43">
        <v>9.8576122672508221E-4</v>
      </c>
    </row>
    <row r="282" spans="2:5" ht="15" customHeight="1" x14ac:dyDescent="0.25">
      <c r="B282" s="89"/>
      <c r="C282" s="45" t="s">
        <v>133</v>
      </c>
      <c r="D282" s="44">
        <v>13</v>
      </c>
      <c r="E282" s="43">
        <v>4.7462577583059508E-4</v>
      </c>
    </row>
    <row r="283" spans="2:5" ht="15" customHeight="1" x14ac:dyDescent="0.25">
      <c r="B283" s="89"/>
      <c r="C283" s="45" t="s">
        <v>126</v>
      </c>
      <c r="D283" s="44">
        <v>1</v>
      </c>
      <c r="E283" s="43">
        <v>3.6509675063891931E-5</v>
      </c>
    </row>
    <row r="284" spans="2:5" ht="15" customHeight="1" x14ac:dyDescent="0.25">
      <c r="B284" s="89"/>
      <c r="C284" s="45" t="s">
        <v>127</v>
      </c>
      <c r="D284" s="44">
        <v>4</v>
      </c>
      <c r="E284" s="43">
        <v>1.4603870025556772E-4</v>
      </c>
    </row>
    <row r="285" spans="2:5" ht="15" customHeight="1" x14ac:dyDescent="0.25">
      <c r="B285" s="89"/>
      <c r="C285" s="45" t="s">
        <v>129</v>
      </c>
      <c r="D285" s="44">
        <v>1</v>
      </c>
      <c r="E285" s="43">
        <v>3.6509675063891931E-5</v>
      </c>
    </row>
    <row r="286" spans="2:5" ht="15" customHeight="1" x14ac:dyDescent="0.25">
      <c r="B286" s="90"/>
      <c r="C286" s="42" t="s">
        <v>20</v>
      </c>
      <c r="D286" s="41">
        <v>234</v>
      </c>
      <c r="E286" s="40">
        <v>8.5432639649507119E-3</v>
      </c>
    </row>
    <row r="287" spans="2:5" ht="15" customHeight="1" x14ac:dyDescent="0.25">
      <c r="B287" s="88" t="s">
        <v>51</v>
      </c>
      <c r="C287" s="45" t="s">
        <v>134</v>
      </c>
      <c r="D287" s="44">
        <v>24</v>
      </c>
      <c r="E287" s="43">
        <v>8.762322015334064E-4</v>
      </c>
    </row>
    <row r="288" spans="2:5" ht="15" customHeight="1" x14ac:dyDescent="0.25">
      <c r="B288" s="89"/>
      <c r="C288" s="45" t="s">
        <v>132</v>
      </c>
      <c r="D288" s="44">
        <v>42</v>
      </c>
      <c r="E288" s="43">
        <v>1.5334063526834612E-3</v>
      </c>
    </row>
    <row r="289" spans="2:5" ht="15" customHeight="1" x14ac:dyDescent="0.25">
      <c r="B289" s="89"/>
      <c r="C289" s="45" t="s">
        <v>130</v>
      </c>
      <c r="D289" s="44">
        <v>32</v>
      </c>
      <c r="E289" s="43">
        <v>1.1683096020445418E-3</v>
      </c>
    </row>
    <row r="290" spans="2:5" ht="15" customHeight="1" x14ac:dyDescent="0.25">
      <c r="B290" s="89"/>
      <c r="C290" s="45" t="s">
        <v>128</v>
      </c>
      <c r="D290" s="44">
        <v>5</v>
      </c>
      <c r="E290" s="43">
        <v>1.8254837531945966E-4</v>
      </c>
    </row>
    <row r="291" spans="2:5" ht="15" customHeight="1" x14ac:dyDescent="0.25">
      <c r="B291" s="89"/>
      <c r="C291" s="45" t="s">
        <v>136</v>
      </c>
      <c r="D291" s="44">
        <v>29</v>
      </c>
      <c r="E291" s="43">
        <v>1.0587805768528661E-3</v>
      </c>
    </row>
    <row r="292" spans="2:5" ht="15" customHeight="1" x14ac:dyDescent="0.25">
      <c r="B292" s="89"/>
      <c r="C292" s="45" t="s">
        <v>137</v>
      </c>
      <c r="D292" s="44">
        <v>29</v>
      </c>
      <c r="E292" s="43">
        <v>1.0587805768528661E-3</v>
      </c>
    </row>
    <row r="293" spans="2:5" ht="15" customHeight="1" x14ac:dyDescent="0.25">
      <c r="B293" s="89"/>
      <c r="C293" s="45" t="s">
        <v>131</v>
      </c>
      <c r="D293" s="44">
        <v>6</v>
      </c>
      <c r="E293" s="43">
        <v>2.190580503833516E-4</v>
      </c>
    </row>
    <row r="294" spans="2:5" ht="15" customHeight="1" x14ac:dyDescent="0.25">
      <c r="B294" s="89"/>
      <c r="C294" s="45" t="s">
        <v>135</v>
      </c>
      <c r="D294" s="44">
        <v>23</v>
      </c>
      <c r="E294" s="43">
        <v>8.3972252646951446E-4</v>
      </c>
    </row>
    <row r="295" spans="2:5" ht="15" customHeight="1" x14ac:dyDescent="0.25">
      <c r="B295" s="89"/>
      <c r="C295" s="45" t="s">
        <v>125</v>
      </c>
      <c r="D295" s="44">
        <v>4</v>
      </c>
      <c r="E295" s="43">
        <v>1.4603870025556772E-4</v>
      </c>
    </row>
    <row r="296" spans="2:5" ht="15" customHeight="1" x14ac:dyDescent="0.25">
      <c r="B296" s="89"/>
      <c r="C296" s="45" t="s">
        <v>133</v>
      </c>
      <c r="D296" s="44">
        <v>14</v>
      </c>
      <c r="E296" s="43">
        <v>5.1113545089448702E-4</v>
      </c>
    </row>
    <row r="297" spans="2:5" ht="15" customHeight="1" x14ac:dyDescent="0.25">
      <c r="B297" s="89"/>
      <c r="C297" s="45" t="s">
        <v>122</v>
      </c>
      <c r="D297" s="44">
        <v>3</v>
      </c>
      <c r="E297" s="43">
        <v>1.095290251916758E-4</v>
      </c>
    </row>
    <row r="298" spans="2:5" ht="15" customHeight="1" x14ac:dyDescent="0.25">
      <c r="B298" s="89"/>
      <c r="C298" s="45" t="s">
        <v>126</v>
      </c>
      <c r="D298" s="44">
        <v>3</v>
      </c>
      <c r="E298" s="43">
        <v>1.095290251916758E-4</v>
      </c>
    </row>
    <row r="299" spans="2:5" ht="15" customHeight="1" x14ac:dyDescent="0.25">
      <c r="B299" s="89"/>
      <c r="C299" s="45" t="s">
        <v>127</v>
      </c>
      <c r="D299" s="44">
        <v>51</v>
      </c>
      <c r="E299" s="43">
        <v>1.8619934282584885E-3</v>
      </c>
    </row>
    <row r="300" spans="2:5" ht="15" customHeight="1" x14ac:dyDescent="0.25">
      <c r="B300" s="89"/>
      <c r="C300" s="45" t="s">
        <v>129</v>
      </c>
      <c r="D300" s="44">
        <v>73</v>
      </c>
      <c r="E300" s="43">
        <v>2.6652062796641111E-3</v>
      </c>
    </row>
    <row r="301" spans="2:5" ht="15" customHeight="1" x14ac:dyDescent="0.25">
      <c r="B301" s="89"/>
      <c r="C301" s="45" t="s">
        <v>123</v>
      </c>
      <c r="D301" s="44">
        <v>2</v>
      </c>
      <c r="E301" s="43">
        <v>7.3019350127783862E-5</v>
      </c>
    </row>
    <row r="302" spans="2:5" ht="15" customHeight="1" x14ac:dyDescent="0.25">
      <c r="B302" s="90"/>
      <c r="C302" s="42" t="s">
        <v>20</v>
      </c>
      <c r="D302" s="41">
        <v>340</v>
      </c>
      <c r="E302" s="40">
        <v>1.2413289521723256E-2</v>
      </c>
    </row>
    <row r="303" spans="2:5" ht="15" customHeight="1" x14ac:dyDescent="0.25">
      <c r="B303" s="88" t="s">
        <v>30</v>
      </c>
      <c r="C303" s="45" t="s">
        <v>134</v>
      </c>
      <c r="D303" s="44">
        <v>4</v>
      </c>
      <c r="E303" s="43">
        <v>1.4603870025556772E-4</v>
      </c>
    </row>
    <row r="304" spans="2:5" ht="15" customHeight="1" x14ac:dyDescent="0.25">
      <c r="B304" s="89"/>
      <c r="C304" s="45" t="s">
        <v>132</v>
      </c>
      <c r="D304" s="44">
        <v>2</v>
      </c>
      <c r="E304" s="43">
        <v>7.3019350127783862E-5</v>
      </c>
    </row>
    <row r="305" spans="2:5" ht="15" customHeight="1" x14ac:dyDescent="0.25">
      <c r="B305" s="89"/>
      <c r="C305" s="45" t="s">
        <v>130</v>
      </c>
      <c r="D305" s="44">
        <v>1</v>
      </c>
      <c r="E305" s="43">
        <v>3.6509675063891931E-5</v>
      </c>
    </row>
    <row r="306" spans="2:5" ht="15" customHeight="1" x14ac:dyDescent="0.25">
      <c r="B306" s="89"/>
      <c r="C306" s="45" t="s">
        <v>128</v>
      </c>
      <c r="D306" s="44">
        <v>3</v>
      </c>
      <c r="E306" s="43">
        <v>1.095290251916758E-4</v>
      </c>
    </row>
    <row r="307" spans="2:5" ht="15" customHeight="1" x14ac:dyDescent="0.25">
      <c r="B307" s="89"/>
      <c r="C307" s="45" t="s">
        <v>136</v>
      </c>
      <c r="D307" s="44">
        <v>8</v>
      </c>
      <c r="E307" s="43">
        <v>2.9207740051113545E-4</v>
      </c>
    </row>
    <row r="308" spans="2:5" ht="15" customHeight="1" x14ac:dyDescent="0.25">
      <c r="B308" s="89"/>
      <c r="C308" s="45" t="s">
        <v>137</v>
      </c>
      <c r="D308" s="44">
        <v>15</v>
      </c>
      <c r="E308" s="43">
        <v>5.4764512595837896E-4</v>
      </c>
    </row>
    <row r="309" spans="2:5" ht="15" customHeight="1" x14ac:dyDescent="0.25">
      <c r="B309" s="89"/>
      <c r="C309" s="45" t="s">
        <v>131</v>
      </c>
      <c r="D309" s="44">
        <v>1</v>
      </c>
      <c r="E309" s="43">
        <v>3.6509675063891931E-5</v>
      </c>
    </row>
    <row r="310" spans="2:5" ht="15" customHeight="1" x14ac:dyDescent="0.25">
      <c r="B310" s="89"/>
      <c r="C310" s="45" t="s">
        <v>135</v>
      </c>
      <c r="D310" s="44">
        <v>1</v>
      </c>
      <c r="E310" s="43">
        <v>3.6509675063891931E-5</v>
      </c>
    </row>
    <row r="311" spans="2:5" ht="15" customHeight="1" x14ac:dyDescent="0.25">
      <c r="B311" s="89"/>
      <c r="C311" s="45" t="s">
        <v>133</v>
      </c>
      <c r="D311" s="44">
        <v>20</v>
      </c>
      <c r="E311" s="43">
        <v>7.3019350127783865E-4</v>
      </c>
    </row>
    <row r="312" spans="2:5" ht="15" customHeight="1" x14ac:dyDescent="0.25">
      <c r="B312" s="89"/>
      <c r="C312" s="45" t="s">
        <v>127</v>
      </c>
      <c r="D312" s="44">
        <v>1</v>
      </c>
      <c r="E312" s="43">
        <v>3.6509675063891931E-5</v>
      </c>
    </row>
    <row r="313" spans="2:5" ht="15" customHeight="1" x14ac:dyDescent="0.25">
      <c r="B313" s="89"/>
      <c r="C313" s="45" t="s">
        <v>129</v>
      </c>
      <c r="D313" s="44">
        <v>1</v>
      </c>
      <c r="E313" s="43">
        <v>3.6509675063891931E-5</v>
      </c>
    </row>
    <row r="314" spans="2:5" ht="15" customHeight="1" x14ac:dyDescent="0.25">
      <c r="B314" s="90"/>
      <c r="C314" s="42" t="s">
        <v>20</v>
      </c>
      <c r="D314" s="41">
        <v>57</v>
      </c>
      <c r="E314" s="40">
        <v>2.0810514786418401E-3</v>
      </c>
    </row>
    <row r="315" spans="2:5" ht="15" customHeight="1" x14ac:dyDescent="0.25">
      <c r="B315" s="88" t="s">
        <v>39</v>
      </c>
      <c r="C315" s="45" t="s">
        <v>134</v>
      </c>
      <c r="D315" s="44">
        <v>8</v>
      </c>
      <c r="E315" s="43">
        <v>2.9207740051113545E-4</v>
      </c>
    </row>
    <row r="316" spans="2:5" ht="15" customHeight="1" x14ac:dyDescent="0.25">
      <c r="B316" s="89"/>
      <c r="C316" s="45" t="s">
        <v>132</v>
      </c>
      <c r="D316" s="44">
        <v>13</v>
      </c>
      <c r="E316" s="43">
        <v>4.7462577583059508E-4</v>
      </c>
    </row>
    <row r="317" spans="2:5" ht="15" customHeight="1" x14ac:dyDescent="0.25">
      <c r="B317" s="89"/>
      <c r="C317" s="45" t="s">
        <v>130</v>
      </c>
      <c r="D317" s="44">
        <v>17</v>
      </c>
      <c r="E317" s="43">
        <v>6.2066447608616284E-4</v>
      </c>
    </row>
    <row r="318" spans="2:5" ht="15" customHeight="1" x14ac:dyDescent="0.25">
      <c r="B318" s="89"/>
      <c r="C318" s="45" t="s">
        <v>128</v>
      </c>
      <c r="D318" s="44">
        <v>3</v>
      </c>
      <c r="E318" s="43">
        <v>1.095290251916758E-4</v>
      </c>
    </row>
    <row r="319" spans="2:5" ht="15" customHeight="1" x14ac:dyDescent="0.25">
      <c r="B319" s="89"/>
      <c r="C319" s="45" t="s">
        <v>124</v>
      </c>
      <c r="D319" s="44">
        <v>3</v>
      </c>
      <c r="E319" s="43">
        <v>1.095290251916758E-4</v>
      </c>
    </row>
    <row r="320" spans="2:5" ht="15" customHeight="1" x14ac:dyDescent="0.25">
      <c r="B320" s="89"/>
      <c r="C320" s="45" t="s">
        <v>136</v>
      </c>
      <c r="D320" s="44">
        <v>9</v>
      </c>
      <c r="E320" s="43">
        <v>3.2858707557502739E-4</v>
      </c>
    </row>
    <row r="321" spans="2:5" ht="15" customHeight="1" x14ac:dyDescent="0.25">
      <c r="B321" s="89"/>
      <c r="C321" s="45" t="s">
        <v>137</v>
      </c>
      <c r="D321" s="44">
        <v>16</v>
      </c>
      <c r="E321" s="43">
        <v>5.841548010222709E-4</v>
      </c>
    </row>
    <row r="322" spans="2:5" ht="15" customHeight="1" x14ac:dyDescent="0.25">
      <c r="B322" s="89"/>
      <c r="C322" s="45" t="s">
        <v>131</v>
      </c>
      <c r="D322" s="44">
        <v>5</v>
      </c>
      <c r="E322" s="43">
        <v>1.8254837531945966E-4</v>
      </c>
    </row>
    <row r="323" spans="2:5" ht="15" customHeight="1" x14ac:dyDescent="0.25">
      <c r="B323" s="89"/>
      <c r="C323" s="45" t="s">
        <v>135</v>
      </c>
      <c r="D323" s="44">
        <v>10</v>
      </c>
      <c r="E323" s="43">
        <v>3.6509675063891932E-4</v>
      </c>
    </row>
    <row r="324" spans="2:5" ht="15" customHeight="1" x14ac:dyDescent="0.25">
      <c r="B324" s="89"/>
      <c r="C324" s="45" t="s">
        <v>133</v>
      </c>
      <c r="D324" s="44">
        <v>4</v>
      </c>
      <c r="E324" s="43">
        <v>1.4603870025556772E-4</v>
      </c>
    </row>
    <row r="325" spans="2:5" ht="15" customHeight="1" x14ac:dyDescent="0.25">
      <c r="B325" s="89"/>
      <c r="C325" s="45" t="s">
        <v>122</v>
      </c>
      <c r="D325" s="44">
        <v>1</v>
      </c>
      <c r="E325" s="43">
        <v>3.6509675063891931E-5</v>
      </c>
    </row>
    <row r="326" spans="2:5" ht="15" customHeight="1" x14ac:dyDescent="0.25">
      <c r="B326" s="89"/>
      <c r="C326" s="45" t="s">
        <v>129</v>
      </c>
      <c r="D326" s="44">
        <v>7</v>
      </c>
      <c r="E326" s="43">
        <v>2.5556772544724351E-4</v>
      </c>
    </row>
    <row r="327" spans="2:5" ht="15" customHeight="1" x14ac:dyDescent="0.25">
      <c r="B327" s="90"/>
      <c r="C327" s="42" t="s">
        <v>20</v>
      </c>
      <c r="D327" s="41">
        <v>96</v>
      </c>
      <c r="E327" s="40">
        <v>3.5049288061336256E-3</v>
      </c>
    </row>
    <row r="328" spans="2:5" ht="15" customHeight="1" x14ac:dyDescent="0.25">
      <c r="B328" s="88" t="s">
        <v>21</v>
      </c>
      <c r="C328" s="45" t="s">
        <v>134</v>
      </c>
      <c r="D328" s="44">
        <v>1</v>
      </c>
      <c r="E328" s="43">
        <v>3.6509675063891931E-5</v>
      </c>
    </row>
    <row r="329" spans="2:5" ht="15" customHeight="1" x14ac:dyDescent="0.25">
      <c r="B329" s="89"/>
      <c r="C329" s="45" t="s">
        <v>136</v>
      </c>
      <c r="D329" s="44">
        <v>3</v>
      </c>
      <c r="E329" s="43">
        <v>1.095290251916758E-4</v>
      </c>
    </row>
    <row r="330" spans="2:5" ht="15" customHeight="1" x14ac:dyDescent="0.25">
      <c r="B330" s="89"/>
      <c r="C330" s="45" t="s">
        <v>137</v>
      </c>
      <c r="D330" s="44">
        <v>2</v>
      </c>
      <c r="E330" s="43">
        <v>7.3019350127783862E-5</v>
      </c>
    </row>
    <row r="331" spans="2:5" ht="15" customHeight="1" x14ac:dyDescent="0.25">
      <c r="B331" s="90"/>
      <c r="C331" s="42" t="s">
        <v>20</v>
      </c>
      <c r="D331" s="41">
        <v>6</v>
      </c>
      <c r="E331" s="40">
        <v>2.190580503833516E-4</v>
      </c>
    </row>
    <row r="332" spans="2:5" ht="15" customHeight="1" x14ac:dyDescent="0.25">
      <c r="B332" s="88" t="s">
        <v>38</v>
      </c>
      <c r="C332" s="45" t="s">
        <v>134</v>
      </c>
      <c r="D332" s="44">
        <v>4</v>
      </c>
      <c r="E332" s="43">
        <v>1.4603870025556772E-4</v>
      </c>
    </row>
    <row r="333" spans="2:5" ht="15" customHeight="1" x14ac:dyDescent="0.25">
      <c r="B333" s="89"/>
      <c r="C333" s="45" t="s">
        <v>132</v>
      </c>
      <c r="D333" s="44">
        <v>5</v>
      </c>
      <c r="E333" s="43">
        <v>1.8254837531945966E-4</v>
      </c>
    </row>
    <row r="334" spans="2:5" ht="15" customHeight="1" x14ac:dyDescent="0.25">
      <c r="B334" s="89"/>
      <c r="C334" s="45" t="s">
        <v>130</v>
      </c>
      <c r="D334" s="44">
        <v>12</v>
      </c>
      <c r="E334" s="43">
        <v>4.381161007667032E-4</v>
      </c>
    </row>
    <row r="335" spans="2:5" ht="15" customHeight="1" x14ac:dyDescent="0.25">
      <c r="B335" s="89"/>
      <c r="C335" s="45" t="s">
        <v>128</v>
      </c>
      <c r="D335" s="44">
        <v>4</v>
      </c>
      <c r="E335" s="43">
        <v>1.4603870025556772E-4</v>
      </c>
    </row>
    <row r="336" spans="2:5" ht="15" customHeight="1" x14ac:dyDescent="0.25">
      <c r="B336" s="89"/>
      <c r="C336" s="45" t="s">
        <v>124</v>
      </c>
      <c r="D336" s="44">
        <v>1</v>
      </c>
      <c r="E336" s="43">
        <v>3.6509675063891931E-5</v>
      </c>
    </row>
    <row r="337" spans="2:5" ht="15" customHeight="1" x14ac:dyDescent="0.25">
      <c r="B337" s="89"/>
      <c r="C337" s="45" t="s">
        <v>136</v>
      </c>
      <c r="D337" s="44">
        <v>12</v>
      </c>
      <c r="E337" s="43">
        <v>4.381161007667032E-4</v>
      </c>
    </row>
    <row r="338" spans="2:5" ht="15" customHeight="1" x14ac:dyDescent="0.25">
      <c r="B338" s="89"/>
      <c r="C338" s="45" t="s">
        <v>137</v>
      </c>
      <c r="D338" s="44">
        <v>38</v>
      </c>
      <c r="E338" s="43">
        <v>1.3873676524278934E-3</v>
      </c>
    </row>
    <row r="339" spans="2:5" ht="15" customHeight="1" x14ac:dyDescent="0.25">
      <c r="B339" s="89"/>
      <c r="C339" s="45" t="s">
        <v>131</v>
      </c>
      <c r="D339" s="44">
        <v>52</v>
      </c>
      <c r="E339" s="43">
        <v>1.8985031033223803E-3</v>
      </c>
    </row>
    <row r="340" spans="2:5" ht="15" customHeight="1" x14ac:dyDescent="0.25">
      <c r="B340" s="89"/>
      <c r="C340" s="45" t="s">
        <v>135</v>
      </c>
      <c r="D340" s="44">
        <v>3</v>
      </c>
      <c r="E340" s="43">
        <v>1.095290251916758E-4</v>
      </c>
    </row>
    <row r="341" spans="2:5" ht="15" customHeight="1" x14ac:dyDescent="0.25">
      <c r="B341" s="89"/>
      <c r="C341" s="45" t="s">
        <v>125</v>
      </c>
      <c r="D341" s="44">
        <v>1</v>
      </c>
      <c r="E341" s="43">
        <v>3.6509675063891931E-5</v>
      </c>
    </row>
    <row r="342" spans="2:5" ht="15" customHeight="1" x14ac:dyDescent="0.25">
      <c r="B342" s="89"/>
      <c r="C342" s="45" t="s">
        <v>133</v>
      </c>
      <c r="D342" s="44">
        <v>5</v>
      </c>
      <c r="E342" s="43">
        <v>1.8254837531945966E-4</v>
      </c>
    </row>
    <row r="343" spans="2:5" ht="15" customHeight="1" x14ac:dyDescent="0.25">
      <c r="B343" s="89"/>
      <c r="C343" s="45" t="s">
        <v>126</v>
      </c>
      <c r="D343" s="44">
        <v>1</v>
      </c>
      <c r="E343" s="43">
        <v>3.6509675063891931E-5</v>
      </c>
    </row>
    <row r="344" spans="2:5" ht="15" customHeight="1" x14ac:dyDescent="0.25">
      <c r="B344" s="89"/>
      <c r="C344" s="45" t="s">
        <v>127</v>
      </c>
      <c r="D344" s="44">
        <v>1</v>
      </c>
      <c r="E344" s="43">
        <v>3.6509675063891931E-5</v>
      </c>
    </row>
    <row r="345" spans="2:5" ht="15" customHeight="1" x14ac:dyDescent="0.25">
      <c r="B345" s="89"/>
      <c r="C345" s="45" t="s">
        <v>129</v>
      </c>
      <c r="D345" s="44">
        <v>6</v>
      </c>
      <c r="E345" s="43">
        <v>2.190580503833516E-4</v>
      </c>
    </row>
    <row r="346" spans="2:5" ht="15" customHeight="1" x14ac:dyDescent="0.25">
      <c r="B346" s="90"/>
      <c r="C346" s="42" t="s">
        <v>20</v>
      </c>
      <c r="D346" s="41">
        <v>145</v>
      </c>
      <c r="E346" s="40">
        <v>5.2939028842643298E-3</v>
      </c>
    </row>
    <row r="347" spans="2:5" ht="15" customHeight="1" x14ac:dyDescent="0.25">
      <c r="B347" s="88" t="s">
        <v>61</v>
      </c>
      <c r="C347" s="45" t="s">
        <v>134</v>
      </c>
      <c r="D347" s="44">
        <v>23</v>
      </c>
      <c r="E347" s="43">
        <v>8.3972252646951446E-4</v>
      </c>
    </row>
    <row r="348" spans="2:5" ht="15" customHeight="1" x14ac:dyDescent="0.25">
      <c r="B348" s="89"/>
      <c r="C348" s="45" t="s">
        <v>132</v>
      </c>
      <c r="D348" s="44">
        <v>9</v>
      </c>
      <c r="E348" s="43">
        <v>3.2858707557502739E-4</v>
      </c>
    </row>
    <row r="349" spans="2:5" ht="15" customHeight="1" x14ac:dyDescent="0.25">
      <c r="B349" s="89"/>
      <c r="C349" s="45" t="s">
        <v>130</v>
      </c>
      <c r="D349" s="44">
        <v>6</v>
      </c>
      <c r="E349" s="43">
        <v>2.190580503833516E-4</v>
      </c>
    </row>
    <row r="350" spans="2:5" ht="15" customHeight="1" x14ac:dyDescent="0.25">
      <c r="B350" s="89"/>
      <c r="C350" s="45" t="s">
        <v>128</v>
      </c>
      <c r="D350" s="44">
        <v>11</v>
      </c>
      <c r="E350" s="43">
        <v>4.0160642570281126E-4</v>
      </c>
    </row>
    <row r="351" spans="2:5" ht="15" customHeight="1" x14ac:dyDescent="0.25">
      <c r="B351" s="89"/>
      <c r="C351" s="45" t="s">
        <v>124</v>
      </c>
      <c r="D351" s="44">
        <v>1</v>
      </c>
      <c r="E351" s="43">
        <v>3.6509675063891931E-5</v>
      </c>
    </row>
    <row r="352" spans="2:5" ht="15" customHeight="1" x14ac:dyDescent="0.25">
      <c r="B352" s="89"/>
      <c r="C352" s="45" t="s">
        <v>136</v>
      </c>
      <c r="D352" s="44">
        <v>110</v>
      </c>
      <c r="E352" s="43">
        <v>4.0160642570281121E-3</v>
      </c>
    </row>
    <row r="353" spans="2:5" ht="15" customHeight="1" x14ac:dyDescent="0.25">
      <c r="B353" s="89"/>
      <c r="C353" s="45" t="s">
        <v>137</v>
      </c>
      <c r="D353" s="44">
        <v>275</v>
      </c>
      <c r="E353" s="43">
        <v>1.0040160642570281E-2</v>
      </c>
    </row>
    <row r="354" spans="2:5" ht="15" customHeight="1" x14ac:dyDescent="0.25">
      <c r="B354" s="89"/>
      <c r="C354" s="45" t="s">
        <v>131</v>
      </c>
      <c r="D354" s="44">
        <v>65</v>
      </c>
      <c r="E354" s="43">
        <v>2.3731288791529756E-3</v>
      </c>
    </row>
    <row r="355" spans="2:5" ht="15" customHeight="1" x14ac:dyDescent="0.25">
      <c r="B355" s="89"/>
      <c r="C355" s="45" t="s">
        <v>135</v>
      </c>
      <c r="D355" s="44">
        <v>12</v>
      </c>
      <c r="E355" s="43">
        <v>4.381161007667032E-4</v>
      </c>
    </row>
    <row r="356" spans="2:5" ht="15" customHeight="1" x14ac:dyDescent="0.25">
      <c r="B356" s="89"/>
      <c r="C356" s="45" t="s">
        <v>125</v>
      </c>
      <c r="D356" s="44">
        <v>1</v>
      </c>
      <c r="E356" s="43">
        <v>3.6509675063891931E-5</v>
      </c>
    </row>
    <row r="357" spans="2:5" ht="15" customHeight="1" x14ac:dyDescent="0.25">
      <c r="B357" s="89"/>
      <c r="C357" s="45" t="s">
        <v>133</v>
      </c>
      <c r="D357" s="44">
        <v>14</v>
      </c>
      <c r="E357" s="43">
        <v>5.1113545089448702E-4</v>
      </c>
    </row>
    <row r="358" spans="2:5" ht="15" customHeight="1" x14ac:dyDescent="0.25">
      <c r="B358" s="89"/>
      <c r="C358" s="45" t="s">
        <v>122</v>
      </c>
      <c r="D358" s="44">
        <v>2</v>
      </c>
      <c r="E358" s="43">
        <v>7.3019350127783862E-5</v>
      </c>
    </row>
    <row r="359" spans="2:5" ht="15" customHeight="1" x14ac:dyDescent="0.25">
      <c r="B359" s="89"/>
      <c r="C359" s="45" t="s">
        <v>126</v>
      </c>
      <c r="D359" s="44">
        <v>2</v>
      </c>
      <c r="E359" s="43">
        <v>7.3019350127783862E-5</v>
      </c>
    </row>
    <row r="360" spans="2:5" ht="15" customHeight="1" x14ac:dyDescent="0.25">
      <c r="B360" s="89"/>
      <c r="C360" s="45" t="s">
        <v>129</v>
      </c>
      <c r="D360" s="44">
        <v>10</v>
      </c>
      <c r="E360" s="43">
        <v>3.6509675063891932E-4</v>
      </c>
    </row>
    <row r="361" spans="2:5" ht="15" customHeight="1" x14ac:dyDescent="0.25">
      <c r="B361" s="89"/>
      <c r="C361" s="45" t="s">
        <v>123</v>
      </c>
      <c r="D361" s="44">
        <v>4</v>
      </c>
      <c r="E361" s="43">
        <v>1.4603870025556772E-4</v>
      </c>
    </row>
    <row r="362" spans="2:5" ht="15" customHeight="1" x14ac:dyDescent="0.25">
      <c r="B362" s="90"/>
      <c r="C362" s="42" t="s">
        <v>20</v>
      </c>
      <c r="D362" s="41">
        <v>545</v>
      </c>
      <c r="E362" s="40">
        <v>1.9897772909821101E-2</v>
      </c>
    </row>
    <row r="363" spans="2:5" ht="15" customHeight="1" x14ac:dyDescent="0.25">
      <c r="B363" s="88" t="s">
        <v>59</v>
      </c>
      <c r="C363" s="45" t="s">
        <v>134</v>
      </c>
      <c r="D363" s="44">
        <v>110</v>
      </c>
      <c r="E363" s="43">
        <v>4.0160642570281121E-3</v>
      </c>
    </row>
    <row r="364" spans="2:5" ht="15" customHeight="1" x14ac:dyDescent="0.25">
      <c r="B364" s="89"/>
      <c r="C364" s="45" t="s">
        <v>132</v>
      </c>
      <c r="D364" s="44">
        <v>130</v>
      </c>
      <c r="E364" s="43">
        <v>4.7462577583059513E-3</v>
      </c>
    </row>
    <row r="365" spans="2:5" ht="15" customHeight="1" x14ac:dyDescent="0.25">
      <c r="B365" s="89"/>
      <c r="C365" s="45" t="s">
        <v>130</v>
      </c>
      <c r="D365" s="44">
        <v>30</v>
      </c>
      <c r="E365" s="43">
        <v>1.0952902519167579E-3</v>
      </c>
    </row>
    <row r="366" spans="2:5" ht="15" customHeight="1" x14ac:dyDescent="0.25">
      <c r="B366" s="89"/>
      <c r="C366" s="45" t="s">
        <v>128</v>
      </c>
      <c r="D366" s="44">
        <v>2</v>
      </c>
      <c r="E366" s="43">
        <v>7.3019350127783862E-5</v>
      </c>
    </row>
    <row r="367" spans="2:5" ht="15" customHeight="1" x14ac:dyDescent="0.25">
      <c r="B367" s="89"/>
      <c r="C367" s="45" t="s">
        <v>124</v>
      </c>
      <c r="D367" s="44">
        <v>1</v>
      </c>
      <c r="E367" s="43">
        <v>3.6509675063891931E-5</v>
      </c>
    </row>
    <row r="368" spans="2:5" ht="15" customHeight="1" x14ac:dyDescent="0.25">
      <c r="B368" s="89"/>
      <c r="C368" s="45" t="s">
        <v>136</v>
      </c>
      <c r="D368" s="44">
        <v>68</v>
      </c>
      <c r="E368" s="43">
        <v>2.4826579043446513E-3</v>
      </c>
    </row>
    <row r="369" spans="2:5" ht="15" customHeight="1" x14ac:dyDescent="0.25">
      <c r="B369" s="89"/>
      <c r="C369" s="45" t="s">
        <v>137</v>
      </c>
      <c r="D369" s="44">
        <v>155</v>
      </c>
      <c r="E369" s="43">
        <v>5.6589996349032494E-3</v>
      </c>
    </row>
    <row r="370" spans="2:5" ht="15" customHeight="1" x14ac:dyDescent="0.25">
      <c r="B370" s="89"/>
      <c r="C370" s="45" t="s">
        <v>131</v>
      </c>
      <c r="D370" s="44">
        <v>45</v>
      </c>
      <c r="E370" s="43">
        <v>1.6429353778751369E-3</v>
      </c>
    </row>
    <row r="371" spans="2:5" ht="15" customHeight="1" x14ac:dyDescent="0.25">
      <c r="B371" s="89"/>
      <c r="C371" s="45" t="s">
        <v>135</v>
      </c>
      <c r="D371" s="44">
        <v>36</v>
      </c>
      <c r="E371" s="43">
        <v>1.3143483023001095E-3</v>
      </c>
    </row>
    <row r="372" spans="2:5" ht="15" customHeight="1" x14ac:dyDescent="0.25">
      <c r="B372" s="89"/>
      <c r="C372" s="45" t="s">
        <v>133</v>
      </c>
      <c r="D372" s="44">
        <v>23</v>
      </c>
      <c r="E372" s="43">
        <v>8.3972252646951446E-4</v>
      </c>
    </row>
    <row r="373" spans="2:5" ht="15" customHeight="1" x14ac:dyDescent="0.25">
      <c r="B373" s="89"/>
      <c r="C373" s="45" t="s">
        <v>126</v>
      </c>
      <c r="D373" s="44">
        <v>2</v>
      </c>
      <c r="E373" s="43">
        <v>7.3019350127783862E-5</v>
      </c>
    </row>
    <row r="374" spans="2:5" ht="15" customHeight="1" x14ac:dyDescent="0.25">
      <c r="B374" s="89"/>
      <c r="C374" s="45" t="s">
        <v>127</v>
      </c>
      <c r="D374" s="44">
        <v>2</v>
      </c>
      <c r="E374" s="43">
        <v>7.3019350127783862E-5</v>
      </c>
    </row>
    <row r="375" spans="2:5" ht="15" customHeight="1" x14ac:dyDescent="0.25">
      <c r="B375" s="90"/>
      <c r="C375" s="42" t="s">
        <v>20</v>
      </c>
      <c r="D375" s="41">
        <v>604</v>
      </c>
      <c r="E375" s="40">
        <v>2.2051843738590725E-2</v>
      </c>
    </row>
    <row r="376" spans="2:5" ht="15" customHeight="1" x14ac:dyDescent="0.25">
      <c r="B376" s="88" t="s">
        <v>36</v>
      </c>
      <c r="C376" s="45" t="s">
        <v>134</v>
      </c>
      <c r="D376" s="44">
        <v>13</v>
      </c>
      <c r="E376" s="43">
        <v>4.7462577583059508E-4</v>
      </c>
    </row>
    <row r="377" spans="2:5" ht="15" customHeight="1" x14ac:dyDescent="0.25">
      <c r="B377" s="89"/>
      <c r="C377" s="45" t="s">
        <v>132</v>
      </c>
      <c r="D377" s="44">
        <v>25</v>
      </c>
      <c r="E377" s="43">
        <v>9.1274187659729834E-4</v>
      </c>
    </row>
    <row r="378" spans="2:5" ht="15" customHeight="1" x14ac:dyDescent="0.25">
      <c r="B378" s="89"/>
      <c r="C378" s="45" t="s">
        <v>130</v>
      </c>
      <c r="D378" s="44">
        <v>14</v>
      </c>
      <c r="E378" s="43">
        <v>5.1113545089448702E-4</v>
      </c>
    </row>
    <row r="379" spans="2:5" ht="15" customHeight="1" x14ac:dyDescent="0.25">
      <c r="B379" s="89"/>
      <c r="C379" s="45" t="s">
        <v>128</v>
      </c>
      <c r="D379" s="44">
        <v>1</v>
      </c>
      <c r="E379" s="43">
        <v>3.6509675063891931E-5</v>
      </c>
    </row>
    <row r="380" spans="2:5" ht="15" customHeight="1" x14ac:dyDescent="0.25">
      <c r="B380" s="89"/>
      <c r="C380" s="45" t="s">
        <v>136</v>
      </c>
      <c r="D380" s="44">
        <v>11</v>
      </c>
      <c r="E380" s="43">
        <v>4.0160642570281126E-4</v>
      </c>
    </row>
    <row r="381" spans="2:5" ht="15" customHeight="1" x14ac:dyDescent="0.25">
      <c r="B381" s="89"/>
      <c r="C381" s="45" t="s">
        <v>137</v>
      </c>
      <c r="D381" s="44">
        <v>13</v>
      </c>
      <c r="E381" s="43">
        <v>4.7462577583059508E-4</v>
      </c>
    </row>
    <row r="382" spans="2:5" ht="15" customHeight="1" x14ac:dyDescent="0.25">
      <c r="B382" s="89"/>
      <c r="C382" s="45" t="s">
        <v>131</v>
      </c>
      <c r="D382" s="44">
        <v>10</v>
      </c>
      <c r="E382" s="43">
        <v>3.6509675063891932E-4</v>
      </c>
    </row>
    <row r="383" spans="2:5" ht="15" customHeight="1" x14ac:dyDescent="0.25">
      <c r="B383" s="89"/>
      <c r="C383" s="45" t="s">
        <v>135</v>
      </c>
      <c r="D383" s="44">
        <v>4</v>
      </c>
      <c r="E383" s="43">
        <v>1.4603870025556772E-4</v>
      </c>
    </row>
    <row r="384" spans="2:5" ht="15" customHeight="1" x14ac:dyDescent="0.25">
      <c r="B384" s="89"/>
      <c r="C384" s="45" t="s">
        <v>133</v>
      </c>
      <c r="D384" s="44">
        <v>4</v>
      </c>
      <c r="E384" s="43">
        <v>1.4603870025556772E-4</v>
      </c>
    </row>
    <row r="385" spans="2:5" ht="15" customHeight="1" x14ac:dyDescent="0.25">
      <c r="B385" s="89"/>
      <c r="C385" s="45" t="s">
        <v>126</v>
      </c>
      <c r="D385" s="44">
        <v>1</v>
      </c>
      <c r="E385" s="43">
        <v>3.6509675063891931E-5</v>
      </c>
    </row>
    <row r="386" spans="2:5" ht="15" customHeight="1" x14ac:dyDescent="0.25">
      <c r="B386" s="89"/>
      <c r="C386" s="45" t="s">
        <v>127</v>
      </c>
      <c r="D386" s="44">
        <v>2</v>
      </c>
      <c r="E386" s="43">
        <v>7.3019350127783862E-5</v>
      </c>
    </row>
    <row r="387" spans="2:5" ht="15" customHeight="1" x14ac:dyDescent="0.25">
      <c r="B387" s="89"/>
      <c r="C387" s="45" t="s">
        <v>129</v>
      </c>
      <c r="D387" s="44">
        <v>2</v>
      </c>
      <c r="E387" s="43">
        <v>7.3019350127783862E-5</v>
      </c>
    </row>
    <row r="388" spans="2:5" ht="15" customHeight="1" x14ac:dyDescent="0.25">
      <c r="B388" s="90"/>
      <c r="C388" s="42" t="s">
        <v>20</v>
      </c>
      <c r="D388" s="41">
        <v>100</v>
      </c>
      <c r="E388" s="40">
        <v>3.6509675063891934E-3</v>
      </c>
    </row>
    <row r="389" spans="2:5" ht="15" customHeight="1" x14ac:dyDescent="0.25">
      <c r="B389" s="88" t="s">
        <v>64</v>
      </c>
      <c r="C389" s="45" t="s">
        <v>134</v>
      </c>
      <c r="D389" s="44">
        <v>17</v>
      </c>
      <c r="E389" s="43">
        <v>6.2066447608616284E-4</v>
      </c>
    </row>
    <row r="390" spans="2:5" ht="15" customHeight="1" x14ac:dyDescent="0.25">
      <c r="B390" s="89"/>
      <c r="C390" s="45" t="s">
        <v>132</v>
      </c>
      <c r="D390" s="44">
        <v>200</v>
      </c>
      <c r="E390" s="43">
        <v>7.3019350127783867E-3</v>
      </c>
    </row>
    <row r="391" spans="2:5" ht="15" customHeight="1" x14ac:dyDescent="0.25">
      <c r="B391" s="89"/>
      <c r="C391" s="45" t="s">
        <v>130</v>
      </c>
      <c r="D391" s="44">
        <v>173</v>
      </c>
      <c r="E391" s="43">
        <v>6.3161737860533045E-3</v>
      </c>
    </row>
    <row r="392" spans="2:5" ht="15" customHeight="1" x14ac:dyDescent="0.25">
      <c r="B392" s="89"/>
      <c r="C392" s="45" t="s">
        <v>128</v>
      </c>
      <c r="D392" s="44">
        <v>50</v>
      </c>
      <c r="E392" s="43">
        <v>1.8254837531945967E-3</v>
      </c>
    </row>
    <row r="393" spans="2:5" ht="15" customHeight="1" x14ac:dyDescent="0.25">
      <c r="B393" s="89"/>
      <c r="C393" s="45" t="s">
        <v>124</v>
      </c>
      <c r="D393" s="44">
        <v>2</v>
      </c>
      <c r="E393" s="43">
        <v>7.3019350127783862E-5</v>
      </c>
    </row>
    <row r="394" spans="2:5" ht="15" customHeight="1" x14ac:dyDescent="0.25">
      <c r="B394" s="89"/>
      <c r="C394" s="45" t="s">
        <v>136</v>
      </c>
      <c r="D394" s="44">
        <v>123</v>
      </c>
      <c r="E394" s="43">
        <v>4.4906900328587074E-3</v>
      </c>
    </row>
    <row r="395" spans="2:5" ht="15" customHeight="1" x14ac:dyDescent="0.25">
      <c r="B395" s="89"/>
      <c r="C395" s="45" t="s">
        <v>137</v>
      </c>
      <c r="D395" s="44">
        <v>177</v>
      </c>
      <c r="E395" s="43">
        <v>6.4622124863088718E-3</v>
      </c>
    </row>
    <row r="396" spans="2:5" ht="15" customHeight="1" x14ac:dyDescent="0.25">
      <c r="B396" s="89"/>
      <c r="C396" s="45" t="s">
        <v>131</v>
      </c>
      <c r="D396" s="44">
        <v>68</v>
      </c>
      <c r="E396" s="43">
        <v>2.4826579043446513E-3</v>
      </c>
    </row>
    <row r="397" spans="2:5" ht="15" customHeight="1" x14ac:dyDescent="0.25">
      <c r="B397" s="89"/>
      <c r="C397" s="45" t="s">
        <v>135</v>
      </c>
      <c r="D397" s="44">
        <v>207</v>
      </c>
      <c r="E397" s="43">
        <v>7.5575027382256297E-3</v>
      </c>
    </row>
    <row r="398" spans="2:5" ht="15" customHeight="1" x14ac:dyDescent="0.25">
      <c r="B398" s="89"/>
      <c r="C398" s="45" t="s">
        <v>125</v>
      </c>
      <c r="D398" s="44">
        <v>85</v>
      </c>
      <c r="E398" s="43">
        <v>3.103322380430814E-3</v>
      </c>
    </row>
    <row r="399" spans="2:5" ht="15" customHeight="1" x14ac:dyDescent="0.25">
      <c r="B399" s="89"/>
      <c r="C399" s="45" t="s">
        <v>133</v>
      </c>
      <c r="D399" s="44">
        <v>156</v>
      </c>
      <c r="E399" s="43">
        <v>5.695509309967141E-3</v>
      </c>
    </row>
    <row r="400" spans="2:5" ht="15" customHeight="1" x14ac:dyDescent="0.25">
      <c r="B400" s="89"/>
      <c r="C400" s="45" t="s">
        <v>122</v>
      </c>
      <c r="D400" s="44">
        <v>3</v>
      </c>
      <c r="E400" s="43">
        <v>1.095290251916758E-4</v>
      </c>
    </row>
    <row r="401" spans="2:5" ht="15" customHeight="1" x14ac:dyDescent="0.25">
      <c r="B401" s="89"/>
      <c r="C401" s="45" t="s">
        <v>126</v>
      </c>
      <c r="D401" s="44">
        <v>73</v>
      </c>
      <c r="E401" s="43">
        <v>2.6652062796641111E-3</v>
      </c>
    </row>
    <row r="402" spans="2:5" ht="15" customHeight="1" x14ac:dyDescent="0.25">
      <c r="B402" s="89"/>
      <c r="C402" s="45" t="s">
        <v>127</v>
      </c>
      <c r="D402" s="44">
        <v>29</v>
      </c>
      <c r="E402" s="43">
        <v>1.0587805768528661E-3</v>
      </c>
    </row>
    <row r="403" spans="2:5" ht="15" customHeight="1" x14ac:dyDescent="0.25">
      <c r="B403" s="89"/>
      <c r="C403" s="45" t="s">
        <v>129</v>
      </c>
      <c r="D403" s="44">
        <v>48</v>
      </c>
      <c r="E403" s="43">
        <v>1.7524644030668128E-3</v>
      </c>
    </row>
    <row r="404" spans="2:5" ht="15" customHeight="1" x14ac:dyDescent="0.25">
      <c r="B404" s="90"/>
      <c r="C404" s="42" t="s">
        <v>20</v>
      </c>
      <c r="D404" s="41">
        <v>1411</v>
      </c>
      <c r="E404" s="40">
        <v>5.1515151515151514E-2</v>
      </c>
    </row>
    <row r="405" spans="2:5" ht="15" customHeight="1" x14ac:dyDescent="0.25">
      <c r="B405" s="88" t="s">
        <v>60</v>
      </c>
      <c r="C405" s="45" t="s">
        <v>134</v>
      </c>
      <c r="D405" s="44">
        <v>66</v>
      </c>
      <c r="E405" s="43">
        <v>2.4096385542168677E-3</v>
      </c>
    </row>
    <row r="406" spans="2:5" ht="15" customHeight="1" x14ac:dyDescent="0.25">
      <c r="B406" s="89"/>
      <c r="C406" s="45" t="s">
        <v>132</v>
      </c>
      <c r="D406" s="44">
        <v>89</v>
      </c>
      <c r="E406" s="43">
        <v>3.2493610806863817E-3</v>
      </c>
    </row>
    <row r="407" spans="2:5" ht="15" customHeight="1" x14ac:dyDescent="0.25">
      <c r="B407" s="89"/>
      <c r="C407" s="45" t="s">
        <v>130</v>
      </c>
      <c r="D407" s="44">
        <v>64</v>
      </c>
      <c r="E407" s="43">
        <v>2.3366192040890836E-3</v>
      </c>
    </row>
    <row r="408" spans="2:5" ht="15" customHeight="1" x14ac:dyDescent="0.25">
      <c r="B408" s="89"/>
      <c r="C408" s="45" t="s">
        <v>128</v>
      </c>
      <c r="D408" s="44">
        <v>29</v>
      </c>
      <c r="E408" s="43">
        <v>1.0587805768528661E-3</v>
      </c>
    </row>
    <row r="409" spans="2:5" ht="15" customHeight="1" x14ac:dyDescent="0.25">
      <c r="B409" s="89"/>
      <c r="C409" s="45" t="s">
        <v>124</v>
      </c>
      <c r="D409" s="44">
        <v>7</v>
      </c>
      <c r="E409" s="43">
        <v>2.5556772544724351E-4</v>
      </c>
    </row>
    <row r="410" spans="2:5" ht="15" customHeight="1" x14ac:dyDescent="0.25">
      <c r="B410" s="89"/>
      <c r="C410" s="45" t="s">
        <v>136</v>
      </c>
      <c r="D410" s="44">
        <v>130</v>
      </c>
      <c r="E410" s="43">
        <v>4.7462577583059513E-3</v>
      </c>
    </row>
    <row r="411" spans="2:5" ht="15" customHeight="1" x14ac:dyDescent="0.25">
      <c r="B411" s="89"/>
      <c r="C411" s="45" t="s">
        <v>137</v>
      </c>
      <c r="D411" s="44">
        <v>236</v>
      </c>
      <c r="E411" s="43">
        <v>8.6162833150784952E-3</v>
      </c>
    </row>
    <row r="412" spans="2:5" ht="15" customHeight="1" x14ac:dyDescent="0.25">
      <c r="B412" s="89"/>
      <c r="C412" s="45" t="s">
        <v>131</v>
      </c>
      <c r="D412" s="44">
        <v>90</v>
      </c>
      <c r="E412" s="43">
        <v>3.2858707557502738E-3</v>
      </c>
    </row>
    <row r="413" spans="2:5" ht="15" customHeight="1" x14ac:dyDescent="0.25">
      <c r="B413" s="89"/>
      <c r="C413" s="45" t="s">
        <v>135</v>
      </c>
      <c r="D413" s="44">
        <v>108</v>
      </c>
      <c r="E413" s="43">
        <v>3.9430449069003289E-3</v>
      </c>
    </row>
    <row r="414" spans="2:5" ht="15" customHeight="1" x14ac:dyDescent="0.25">
      <c r="B414" s="89"/>
      <c r="C414" s="45" t="s">
        <v>125</v>
      </c>
      <c r="D414" s="44">
        <v>12</v>
      </c>
      <c r="E414" s="43">
        <v>4.381161007667032E-4</v>
      </c>
    </row>
    <row r="415" spans="2:5" ht="15" customHeight="1" x14ac:dyDescent="0.25">
      <c r="B415" s="89"/>
      <c r="C415" s="45" t="s">
        <v>133</v>
      </c>
      <c r="D415" s="44">
        <v>97</v>
      </c>
      <c r="E415" s="43">
        <v>3.5414384811975172E-3</v>
      </c>
    </row>
    <row r="416" spans="2:5" ht="15" customHeight="1" x14ac:dyDescent="0.25">
      <c r="B416" s="89"/>
      <c r="C416" s="45" t="s">
        <v>122</v>
      </c>
      <c r="D416" s="44">
        <v>10</v>
      </c>
      <c r="E416" s="43">
        <v>3.6509675063891932E-4</v>
      </c>
    </row>
    <row r="417" spans="2:5" ht="15" customHeight="1" x14ac:dyDescent="0.25">
      <c r="B417" s="89"/>
      <c r="C417" s="45" t="s">
        <v>126</v>
      </c>
      <c r="D417" s="44">
        <v>21</v>
      </c>
      <c r="E417" s="43">
        <v>7.6670317634173059E-4</v>
      </c>
    </row>
    <row r="418" spans="2:5" ht="15" customHeight="1" x14ac:dyDescent="0.25">
      <c r="B418" s="89"/>
      <c r="C418" s="45" t="s">
        <v>127</v>
      </c>
      <c r="D418" s="44">
        <v>28</v>
      </c>
      <c r="E418" s="43">
        <v>1.022270901788974E-3</v>
      </c>
    </row>
    <row r="419" spans="2:5" ht="15" customHeight="1" x14ac:dyDescent="0.25">
      <c r="B419" s="89"/>
      <c r="C419" s="45" t="s">
        <v>129</v>
      </c>
      <c r="D419" s="44">
        <v>57</v>
      </c>
      <c r="E419" s="43">
        <v>2.0810514786418401E-3</v>
      </c>
    </row>
    <row r="420" spans="2:5" ht="15" customHeight="1" x14ac:dyDescent="0.25">
      <c r="B420" s="89"/>
      <c r="C420" s="45" t="s">
        <v>123</v>
      </c>
      <c r="D420" s="44">
        <v>10</v>
      </c>
      <c r="E420" s="43">
        <v>3.6509675063891932E-4</v>
      </c>
    </row>
    <row r="421" spans="2:5" ht="15" customHeight="1" x14ac:dyDescent="0.25">
      <c r="B421" s="90"/>
      <c r="C421" s="42" t="s">
        <v>20</v>
      </c>
      <c r="D421" s="41">
        <v>1054</v>
      </c>
      <c r="E421" s="40">
        <v>3.8481197517342094E-2</v>
      </c>
    </row>
    <row r="422" spans="2:5" ht="15" customHeight="1" x14ac:dyDescent="0.25">
      <c r="B422" s="88" t="s">
        <v>24</v>
      </c>
      <c r="C422" s="45" t="s">
        <v>132</v>
      </c>
      <c r="D422" s="44">
        <v>2</v>
      </c>
      <c r="E422" s="43">
        <v>7.3019350127783862E-5</v>
      </c>
    </row>
    <row r="423" spans="2:5" ht="15" customHeight="1" x14ac:dyDescent="0.25">
      <c r="B423" s="90"/>
      <c r="C423" s="42" t="s">
        <v>20</v>
      </c>
      <c r="D423" s="41">
        <v>2</v>
      </c>
      <c r="E423" s="40">
        <v>7.3019350127783862E-5</v>
      </c>
    </row>
    <row r="424" spans="2:5" ht="15" customHeight="1" x14ac:dyDescent="0.25">
      <c r="B424" s="88" t="s">
        <v>41</v>
      </c>
      <c r="C424" s="45" t="s">
        <v>134</v>
      </c>
      <c r="D424" s="44">
        <v>7</v>
      </c>
      <c r="E424" s="43">
        <v>2.5556772544724351E-4</v>
      </c>
    </row>
    <row r="425" spans="2:5" ht="15" customHeight="1" x14ac:dyDescent="0.25">
      <c r="B425" s="89"/>
      <c r="C425" s="45" t="s">
        <v>132</v>
      </c>
      <c r="D425" s="44">
        <v>9</v>
      </c>
      <c r="E425" s="43">
        <v>3.2858707557502739E-4</v>
      </c>
    </row>
    <row r="426" spans="2:5" ht="15" customHeight="1" x14ac:dyDescent="0.25">
      <c r="B426" s="89"/>
      <c r="C426" s="45" t="s">
        <v>130</v>
      </c>
      <c r="D426" s="44">
        <v>8</v>
      </c>
      <c r="E426" s="43">
        <v>2.9207740051113545E-4</v>
      </c>
    </row>
    <row r="427" spans="2:5" ht="15" customHeight="1" x14ac:dyDescent="0.25">
      <c r="B427" s="89"/>
      <c r="C427" s="45" t="s">
        <v>128</v>
      </c>
      <c r="D427" s="44">
        <v>1</v>
      </c>
      <c r="E427" s="43">
        <v>3.6509675063891931E-5</v>
      </c>
    </row>
    <row r="428" spans="2:5" ht="15" customHeight="1" x14ac:dyDescent="0.25">
      <c r="B428" s="89"/>
      <c r="C428" s="45" t="s">
        <v>136</v>
      </c>
      <c r="D428" s="44">
        <v>20</v>
      </c>
      <c r="E428" s="43">
        <v>7.3019350127783865E-4</v>
      </c>
    </row>
    <row r="429" spans="2:5" ht="15" customHeight="1" x14ac:dyDescent="0.25">
      <c r="B429" s="89"/>
      <c r="C429" s="45" t="s">
        <v>137</v>
      </c>
      <c r="D429" s="44">
        <v>19</v>
      </c>
      <c r="E429" s="43">
        <v>6.9368382621394671E-4</v>
      </c>
    </row>
    <row r="430" spans="2:5" ht="15" customHeight="1" x14ac:dyDescent="0.25">
      <c r="B430" s="89"/>
      <c r="C430" s="45" t="s">
        <v>131</v>
      </c>
      <c r="D430" s="44">
        <v>10</v>
      </c>
      <c r="E430" s="43">
        <v>3.6509675063891932E-4</v>
      </c>
    </row>
    <row r="431" spans="2:5" ht="15" customHeight="1" x14ac:dyDescent="0.25">
      <c r="B431" s="89"/>
      <c r="C431" s="45" t="s">
        <v>135</v>
      </c>
      <c r="D431" s="44">
        <v>21</v>
      </c>
      <c r="E431" s="43">
        <v>7.6670317634173059E-4</v>
      </c>
    </row>
    <row r="432" spans="2:5" ht="15" customHeight="1" x14ac:dyDescent="0.25">
      <c r="B432" s="89"/>
      <c r="C432" s="45" t="s">
        <v>125</v>
      </c>
      <c r="D432" s="44">
        <v>10</v>
      </c>
      <c r="E432" s="43">
        <v>3.6509675063891932E-4</v>
      </c>
    </row>
    <row r="433" spans="2:5" ht="15" customHeight="1" x14ac:dyDescent="0.25">
      <c r="B433" s="89"/>
      <c r="C433" s="45" t="s">
        <v>133</v>
      </c>
      <c r="D433" s="44">
        <v>15</v>
      </c>
      <c r="E433" s="43">
        <v>5.4764512595837896E-4</v>
      </c>
    </row>
    <row r="434" spans="2:5" ht="15" customHeight="1" x14ac:dyDescent="0.25">
      <c r="B434" s="89"/>
      <c r="C434" s="45" t="s">
        <v>126</v>
      </c>
      <c r="D434" s="44">
        <v>1</v>
      </c>
      <c r="E434" s="43">
        <v>3.6509675063891931E-5</v>
      </c>
    </row>
    <row r="435" spans="2:5" ht="15" customHeight="1" x14ac:dyDescent="0.25">
      <c r="B435" s="89"/>
      <c r="C435" s="45" t="s">
        <v>127</v>
      </c>
      <c r="D435" s="44">
        <v>18</v>
      </c>
      <c r="E435" s="43">
        <v>6.5717415115005477E-4</v>
      </c>
    </row>
    <row r="436" spans="2:5" ht="15" customHeight="1" x14ac:dyDescent="0.25">
      <c r="B436" s="89"/>
      <c r="C436" s="45" t="s">
        <v>129</v>
      </c>
      <c r="D436" s="44">
        <v>14</v>
      </c>
      <c r="E436" s="43">
        <v>5.1113545089448702E-4</v>
      </c>
    </row>
    <row r="437" spans="2:5" ht="15" customHeight="1" x14ac:dyDescent="0.25">
      <c r="B437" s="90"/>
      <c r="C437" s="42" t="s">
        <v>20</v>
      </c>
      <c r="D437" s="41">
        <v>153</v>
      </c>
      <c r="E437" s="40">
        <v>5.5859802847754653E-3</v>
      </c>
    </row>
    <row r="438" spans="2:5" ht="15" customHeight="1" x14ac:dyDescent="0.25">
      <c r="B438" s="88" t="s">
        <v>48</v>
      </c>
      <c r="C438" s="45" t="s">
        <v>134</v>
      </c>
      <c r="D438" s="44">
        <v>20</v>
      </c>
      <c r="E438" s="43">
        <v>7.3019350127783865E-4</v>
      </c>
    </row>
    <row r="439" spans="2:5" ht="15" customHeight="1" x14ac:dyDescent="0.25">
      <c r="B439" s="89"/>
      <c r="C439" s="45" t="s">
        <v>132</v>
      </c>
      <c r="D439" s="44">
        <v>39</v>
      </c>
      <c r="E439" s="43">
        <v>1.4238773274917853E-3</v>
      </c>
    </row>
    <row r="440" spans="2:5" ht="15" customHeight="1" x14ac:dyDescent="0.25">
      <c r="B440" s="89"/>
      <c r="C440" s="45" t="s">
        <v>130</v>
      </c>
      <c r="D440" s="44">
        <v>13</v>
      </c>
      <c r="E440" s="43">
        <v>4.7462577583059508E-4</v>
      </c>
    </row>
    <row r="441" spans="2:5" ht="15" customHeight="1" x14ac:dyDescent="0.25">
      <c r="B441" s="89"/>
      <c r="C441" s="45" t="s">
        <v>128</v>
      </c>
      <c r="D441" s="44">
        <v>13</v>
      </c>
      <c r="E441" s="43">
        <v>4.7462577583059508E-4</v>
      </c>
    </row>
    <row r="442" spans="2:5" ht="15" customHeight="1" x14ac:dyDescent="0.25">
      <c r="B442" s="89"/>
      <c r="C442" s="45" t="s">
        <v>124</v>
      </c>
      <c r="D442" s="44">
        <v>6</v>
      </c>
      <c r="E442" s="43">
        <v>2.190580503833516E-4</v>
      </c>
    </row>
    <row r="443" spans="2:5" ht="15" customHeight="1" x14ac:dyDescent="0.25">
      <c r="B443" s="89"/>
      <c r="C443" s="45" t="s">
        <v>136</v>
      </c>
      <c r="D443" s="44">
        <v>20</v>
      </c>
      <c r="E443" s="43">
        <v>7.3019350127783865E-4</v>
      </c>
    </row>
    <row r="444" spans="2:5" ht="15" customHeight="1" x14ac:dyDescent="0.25">
      <c r="B444" s="89"/>
      <c r="C444" s="45" t="s">
        <v>137</v>
      </c>
      <c r="D444" s="44">
        <v>22</v>
      </c>
      <c r="E444" s="43">
        <v>8.0321285140562252E-4</v>
      </c>
    </row>
    <row r="445" spans="2:5" ht="15" customHeight="1" x14ac:dyDescent="0.25">
      <c r="B445" s="89"/>
      <c r="C445" s="45" t="s">
        <v>131</v>
      </c>
      <c r="D445" s="44">
        <v>9</v>
      </c>
      <c r="E445" s="43">
        <v>3.2858707557502739E-4</v>
      </c>
    </row>
    <row r="446" spans="2:5" ht="15" customHeight="1" x14ac:dyDescent="0.25">
      <c r="B446" s="89"/>
      <c r="C446" s="45" t="s">
        <v>135</v>
      </c>
      <c r="D446" s="44">
        <v>18</v>
      </c>
      <c r="E446" s="43">
        <v>6.5717415115005477E-4</v>
      </c>
    </row>
    <row r="447" spans="2:5" ht="15" customHeight="1" x14ac:dyDescent="0.25">
      <c r="B447" s="89"/>
      <c r="C447" s="45" t="s">
        <v>125</v>
      </c>
      <c r="D447" s="44">
        <v>1</v>
      </c>
      <c r="E447" s="43">
        <v>3.6509675063891931E-5</v>
      </c>
    </row>
    <row r="448" spans="2:5" ht="15" customHeight="1" x14ac:dyDescent="0.25">
      <c r="B448" s="89"/>
      <c r="C448" s="45" t="s">
        <v>133</v>
      </c>
      <c r="D448" s="44">
        <v>7</v>
      </c>
      <c r="E448" s="43">
        <v>2.5556772544724351E-4</v>
      </c>
    </row>
    <row r="449" spans="2:5" ht="15" customHeight="1" x14ac:dyDescent="0.25">
      <c r="B449" s="89"/>
      <c r="C449" s="45" t="s">
        <v>122</v>
      </c>
      <c r="D449" s="44">
        <v>1</v>
      </c>
      <c r="E449" s="43">
        <v>3.6509675063891931E-5</v>
      </c>
    </row>
    <row r="450" spans="2:5" ht="15" customHeight="1" x14ac:dyDescent="0.25">
      <c r="B450" s="89"/>
      <c r="C450" s="45" t="s">
        <v>126</v>
      </c>
      <c r="D450" s="44">
        <v>3</v>
      </c>
      <c r="E450" s="43">
        <v>1.095290251916758E-4</v>
      </c>
    </row>
    <row r="451" spans="2:5" ht="15" customHeight="1" x14ac:dyDescent="0.25">
      <c r="B451" s="89"/>
      <c r="C451" s="45" t="s">
        <v>127</v>
      </c>
      <c r="D451" s="44">
        <v>6</v>
      </c>
      <c r="E451" s="43">
        <v>2.190580503833516E-4</v>
      </c>
    </row>
    <row r="452" spans="2:5" ht="15" customHeight="1" x14ac:dyDescent="0.25">
      <c r="B452" s="89"/>
      <c r="C452" s="45" t="s">
        <v>129</v>
      </c>
      <c r="D452" s="44">
        <v>6</v>
      </c>
      <c r="E452" s="43">
        <v>2.190580503833516E-4</v>
      </c>
    </row>
    <row r="453" spans="2:5" ht="15" customHeight="1" x14ac:dyDescent="0.25">
      <c r="B453" s="90"/>
      <c r="C453" s="42" t="s">
        <v>20</v>
      </c>
      <c r="D453" s="41">
        <v>184</v>
      </c>
      <c r="E453" s="40">
        <v>6.7177802117561157E-3</v>
      </c>
    </row>
    <row r="454" spans="2:5" ht="15" customHeight="1" x14ac:dyDescent="0.25">
      <c r="B454" s="88" t="s">
        <v>52</v>
      </c>
      <c r="C454" s="45" t="s">
        <v>134</v>
      </c>
      <c r="D454" s="44">
        <v>2</v>
      </c>
      <c r="E454" s="43">
        <v>7.3019350127783862E-5</v>
      </c>
    </row>
    <row r="455" spans="2:5" ht="15" customHeight="1" x14ac:dyDescent="0.25">
      <c r="B455" s="89"/>
      <c r="C455" s="45" t="s">
        <v>132</v>
      </c>
      <c r="D455" s="44">
        <v>14</v>
      </c>
      <c r="E455" s="43">
        <v>5.1113545089448702E-4</v>
      </c>
    </row>
    <row r="456" spans="2:5" ht="15" customHeight="1" x14ac:dyDescent="0.25">
      <c r="B456" s="89"/>
      <c r="C456" s="45" t="s">
        <v>130</v>
      </c>
      <c r="D456" s="44">
        <v>5</v>
      </c>
      <c r="E456" s="43">
        <v>1.8254837531945966E-4</v>
      </c>
    </row>
    <row r="457" spans="2:5" ht="15" customHeight="1" x14ac:dyDescent="0.25">
      <c r="B457" s="89"/>
      <c r="C457" s="45" t="s">
        <v>128</v>
      </c>
      <c r="D457" s="44">
        <v>10</v>
      </c>
      <c r="E457" s="43">
        <v>3.6509675063891932E-4</v>
      </c>
    </row>
    <row r="458" spans="2:5" ht="15" customHeight="1" x14ac:dyDescent="0.25">
      <c r="B458" s="89"/>
      <c r="C458" s="45" t="s">
        <v>137</v>
      </c>
      <c r="D458" s="44">
        <v>69</v>
      </c>
      <c r="E458" s="43">
        <v>2.5191675794085434E-3</v>
      </c>
    </row>
    <row r="459" spans="2:5" ht="15" customHeight="1" x14ac:dyDescent="0.25">
      <c r="B459" s="89"/>
      <c r="C459" s="45" t="s">
        <v>131</v>
      </c>
      <c r="D459" s="44">
        <v>8</v>
      </c>
      <c r="E459" s="43">
        <v>2.9207740051113545E-4</v>
      </c>
    </row>
    <row r="460" spans="2:5" ht="15" customHeight="1" x14ac:dyDescent="0.25">
      <c r="B460" s="89"/>
      <c r="C460" s="45" t="s">
        <v>135</v>
      </c>
      <c r="D460" s="44">
        <v>31</v>
      </c>
      <c r="E460" s="43">
        <v>1.13179992698065E-3</v>
      </c>
    </row>
    <row r="461" spans="2:5" ht="15" customHeight="1" x14ac:dyDescent="0.25">
      <c r="B461" s="89"/>
      <c r="C461" s="45" t="s">
        <v>133</v>
      </c>
      <c r="D461" s="44">
        <v>3</v>
      </c>
      <c r="E461" s="43">
        <v>1.095290251916758E-4</v>
      </c>
    </row>
    <row r="462" spans="2:5" ht="15" customHeight="1" x14ac:dyDescent="0.25">
      <c r="B462" s="89"/>
      <c r="C462" s="45" t="s">
        <v>129</v>
      </c>
      <c r="D462" s="44">
        <v>33</v>
      </c>
      <c r="E462" s="43">
        <v>1.2048192771084338E-3</v>
      </c>
    </row>
    <row r="463" spans="2:5" ht="15" customHeight="1" x14ac:dyDescent="0.25">
      <c r="B463" s="90"/>
      <c r="C463" s="42" t="s">
        <v>20</v>
      </c>
      <c r="D463" s="41">
        <v>175</v>
      </c>
      <c r="E463" s="40">
        <v>6.3891931361810877E-3</v>
      </c>
    </row>
    <row r="464" spans="2:5" ht="15" customHeight="1" x14ac:dyDescent="0.25">
      <c r="B464" s="88" t="s">
        <v>45</v>
      </c>
      <c r="C464" s="45" t="s">
        <v>134</v>
      </c>
      <c r="D464" s="44">
        <v>29</v>
      </c>
      <c r="E464" s="43">
        <v>1.0587805768528661E-3</v>
      </c>
    </row>
    <row r="465" spans="2:5" ht="15" customHeight="1" x14ac:dyDescent="0.25">
      <c r="B465" s="89"/>
      <c r="C465" s="45" t="s">
        <v>132</v>
      </c>
      <c r="D465" s="44">
        <v>29</v>
      </c>
      <c r="E465" s="43">
        <v>1.0587805768528661E-3</v>
      </c>
    </row>
    <row r="466" spans="2:5" ht="15" customHeight="1" x14ac:dyDescent="0.25">
      <c r="B466" s="89"/>
      <c r="C466" s="45" t="s">
        <v>130</v>
      </c>
      <c r="D466" s="44">
        <v>34</v>
      </c>
      <c r="E466" s="43">
        <v>1.2413289521723257E-3</v>
      </c>
    </row>
    <row r="467" spans="2:5" ht="15" customHeight="1" x14ac:dyDescent="0.25">
      <c r="B467" s="89"/>
      <c r="C467" s="45" t="s">
        <v>128</v>
      </c>
      <c r="D467" s="44">
        <v>1</v>
      </c>
      <c r="E467" s="43">
        <v>3.6509675063891931E-5</v>
      </c>
    </row>
    <row r="468" spans="2:5" ht="15" customHeight="1" x14ac:dyDescent="0.25">
      <c r="B468" s="89"/>
      <c r="C468" s="45" t="s">
        <v>124</v>
      </c>
      <c r="D468" s="44">
        <v>5</v>
      </c>
      <c r="E468" s="43">
        <v>1.8254837531945966E-4</v>
      </c>
    </row>
    <row r="469" spans="2:5" ht="15" customHeight="1" x14ac:dyDescent="0.25">
      <c r="B469" s="89"/>
      <c r="C469" s="45" t="s">
        <v>136</v>
      </c>
      <c r="D469" s="44">
        <v>4</v>
      </c>
      <c r="E469" s="43">
        <v>1.4603870025556772E-4</v>
      </c>
    </row>
    <row r="470" spans="2:5" ht="15" customHeight="1" x14ac:dyDescent="0.25">
      <c r="B470" s="89"/>
      <c r="C470" s="45" t="s">
        <v>137</v>
      </c>
      <c r="D470" s="44">
        <v>46</v>
      </c>
      <c r="E470" s="43">
        <v>1.6794450529390289E-3</v>
      </c>
    </row>
    <row r="471" spans="2:5" ht="15" customHeight="1" x14ac:dyDescent="0.25">
      <c r="B471" s="89"/>
      <c r="C471" s="45" t="s">
        <v>131</v>
      </c>
      <c r="D471" s="44">
        <v>8</v>
      </c>
      <c r="E471" s="43">
        <v>2.9207740051113545E-4</v>
      </c>
    </row>
    <row r="472" spans="2:5" ht="15" customHeight="1" x14ac:dyDescent="0.25">
      <c r="B472" s="89"/>
      <c r="C472" s="45" t="s">
        <v>135</v>
      </c>
      <c r="D472" s="44">
        <v>3</v>
      </c>
      <c r="E472" s="43">
        <v>1.095290251916758E-4</v>
      </c>
    </row>
    <row r="473" spans="2:5" ht="15" customHeight="1" x14ac:dyDescent="0.25">
      <c r="B473" s="89"/>
      <c r="C473" s="45" t="s">
        <v>133</v>
      </c>
      <c r="D473" s="44">
        <v>9</v>
      </c>
      <c r="E473" s="43">
        <v>3.2858707557502739E-4</v>
      </c>
    </row>
    <row r="474" spans="2:5" ht="15" customHeight="1" x14ac:dyDescent="0.25">
      <c r="B474" s="89"/>
      <c r="C474" s="45" t="s">
        <v>126</v>
      </c>
      <c r="D474" s="44">
        <v>1</v>
      </c>
      <c r="E474" s="43">
        <v>3.6509675063891931E-5</v>
      </c>
    </row>
    <row r="475" spans="2:5" ht="15" customHeight="1" x14ac:dyDescent="0.25">
      <c r="B475" s="89"/>
      <c r="C475" s="45" t="s">
        <v>127</v>
      </c>
      <c r="D475" s="44">
        <v>1</v>
      </c>
      <c r="E475" s="43">
        <v>3.6509675063891931E-5</v>
      </c>
    </row>
    <row r="476" spans="2:5" ht="15" customHeight="1" x14ac:dyDescent="0.25">
      <c r="B476" s="89"/>
      <c r="C476" s="45" t="s">
        <v>129</v>
      </c>
      <c r="D476" s="44">
        <v>36</v>
      </c>
      <c r="E476" s="43">
        <v>1.3143483023001095E-3</v>
      </c>
    </row>
    <row r="477" spans="2:5" ht="15" customHeight="1" x14ac:dyDescent="0.25">
      <c r="B477" s="89"/>
      <c r="C477" s="45" t="s">
        <v>123</v>
      </c>
      <c r="D477" s="44">
        <v>3</v>
      </c>
      <c r="E477" s="43">
        <v>1.095290251916758E-4</v>
      </c>
    </row>
    <row r="478" spans="2:5" ht="15" customHeight="1" x14ac:dyDescent="0.25">
      <c r="B478" s="90"/>
      <c r="C478" s="42" t="s">
        <v>20</v>
      </c>
      <c r="D478" s="41">
        <v>209</v>
      </c>
      <c r="E478" s="40">
        <v>7.6305220883534138E-3</v>
      </c>
    </row>
    <row r="479" spans="2:5" ht="15" customHeight="1" x14ac:dyDescent="0.25">
      <c r="B479" s="88" t="s">
        <v>26</v>
      </c>
      <c r="C479" s="45" t="s">
        <v>137</v>
      </c>
      <c r="D479" s="44">
        <v>10</v>
      </c>
      <c r="E479" s="43">
        <v>3.6509675063891932E-4</v>
      </c>
    </row>
    <row r="480" spans="2:5" ht="15" customHeight="1" x14ac:dyDescent="0.25">
      <c r="B480" s="89"/>
      <c r="C480" s="45" t="s">
        <v>135</v>
      </c>
      <c r="D480" s="44">
        <v>1</v>
      </c>
      <c r="E480" s="43">
        <v>3.6509675063891931E-5</v>
      </c>
    </row>
    <row r="481" spans="2:5" ht="15" customHeight="1" x14ac:dyDescent="0.25">
      <c r="B481" s="90"/>
      <c r="C481" s="42" t="s">
        <v>20</v>
      </c>
      <c r="D481" s="41">
        <v>11</v>
      </c>
      <c r="E481" s="40">
        <v>4.0160642570281126E-4</v>
      </c>
    </row>
    <row r="482" spans="2:5" ht="15" customHeight="1" x14ac:dyDescent="0.25">
      <c r="B482" s="88" t="s">
        <v>44</v>
      </c>
      <c r="C482" s="45" t="s">
        <v>134</v>
      </c>
      <c r="D482" s="44">
        <v>16</v>
      </c>
      <c r="E482" s="43">
        <v>5.841548010222709E-4</v>
      </c>
    </row>
    <row r="483" spans="2:5" ht="15" customHeight="1" x14ac:dyDescent="0.25">
      <c r="B483" s="89"/>
      <c r="C483" s="45" t="s">
        <v>132</v>
      </c>
      <c r="D483" s="44">
        <v>28</v>
      </c>
      <c r="E483" s="43">
        <v>1.022270901788974E-3</v>
      </c>
    </row>
    <row r="484" spans="2:5" ht="15" customHeight="1" x14ac:dyDescent="0.25">
      <c r="B484" s="89"/>
      <c r="C484" s="45" t="s">
        <v>130</v>
      </c>
      <c r="D484" s="44">
        <v>30</v>
      </c>
      <c r="E484" s="43">
        <v>1.0952902519167579E-3</v>
      </c>
    </row>
    <row r="485" spans="2:5" ht="15" customHeight="1" x14ac:dyDescent="0.25">
      <c r="B485" s="89"/>
      <c r="C485" s="45" t="s">
        <v>128</v>
      </c>
      <c r="D485" s="44">
        <v>14</v>
      </c>
      <c r="E485" s="43">
        <v>5.1113545089448702E-4</v>
      </c>
    </row>
    <row r="486" spans="2:5" ht="15" customHeight="1" x14ac:dyDescent="0.25">
      <c r="B486" s="89"/>
      <c r="C486" s="45" t="s">
        <v>136</v>
      </c>
      <c r="D486" s="44">
        <v>33</v>
      </c>
      <c r="E486" s="43">
        <v>1.2048192771084338E-3</v>
      </c>
    </row>
    <row r="487" spans="2:5" ht="15" customHeight="1" x14ac:dyDescent="0.25">
      <c r="B487" s="89"/>
      <c r="C487" s="45" t="s">
        <v>137</v>
      </c>
      <c r="D487" s="44">
        <v>54</v>
      </c>
      <c r="E487" s="43">
        <v>1.9715224534501644E-3</v>
      </c>
    </row>
    <row r="488" spans="2:5" ht="15" customHeight="1" x14ac:dyDescent="0.25">
      <c r="B488" s="89"/>
      <c r="C488" s="45" t="s">
        <v>131</v>
      </c>
      <c r="D488" s="44">
        <v>20</v>
      </c>
      <c r="E488" s="43">
        <v>7.3019350127783865E-4</v>
      </c>
    </row>
    <row r="489" spans="2:5" ht="15" customHeight="1" x14ac:dyDescent="0.25">
      <c r="B489" s="89"/>
      <c r="C489" s="45" t="s">
        <v>135</v>
      </c>
      <c r="D489" s="44">
        <v>32</v>
      </c>
      <c r="E489" s="43">
        <v>1.1683096020445418E-3</v>
      </c>
    </row>
    <row r="490" spans="2:5" ht="15" customHeight="1" x14ac:dyDescent="0.25">
      <c r="B490" s="89"/>
      <c r="C490" s="45" t="s">
        <v>125</v>
      </c>
      <c r="D490" s="44">
        <v>1</v>
      </c>
      <c r="E490" s="43">
        <v>3.6509675063891931E-5</v>
      </c>
    </row>
    <row r="491" spans="2:5" ht="15" customHeight="1" x14ac:dyDescent="0.25">
      <c r="B491" s="89"/>
      <c r="C491" s="45" t="s">
        <v>133</v>
      </c>
      <c r="D491" s="44">
        <v>43</v>
      </c>
      <c r="E491" s="43">
        <v>1.569916027747353E-3</v>
      </c>
    </row>
    <row r="492" spans="2:5" ht="15" customHeight="1" x14ac:dyDescent="0.25">
      <c r="B492" s="89"/>
      <c r="C492" s="45" t="s">
        <v>122</v>
      </c>
      <c r="D492" s="44">
        <v>2</v>
      </c>
      <c r="E492" s="43">
        <v>7.3019350127783862E-5</v>
      </c>
    </row>
    <row r="493" spans="2:5" ht="15" customHeight="1" x14ac:dyDescent="0.25">
      <c r="B493" s="89"/>
      <c r="C493" s="45" t="s">
        <v>126</v>
      </c>
      <c r="D493" s="44">
        <v>7</v>
      </c>
      <c r="E493" s="43">
        <v>2.5556772544724351E-4</v>
      </c>
    </row>
    <row r="494" spans="2:5" ht="15" customHeight="1" x14ac:dyDescent="0.25">
      <c r="B494" s="89"/>
      <c r="C494" s="45" t="s">
        <v>127</v>
      </c>
      <c r="D494" s="44">
        <v>7</v>
      </c>
      <c r="E494" s="43">
        <v>2.5556772544724351E-4</v>
      </c>
    </row>
    <row r="495" spans="2:5" ht="15" customHeight="1" x14ac:dyDescent="0.25">
      <c r="B495" s="89"/>
      <c r="C495" s="45" t="s">
        <v>129</v>
      </c>
      <c r="D495" s="44">
        <v>14</v>
      </c>
      <c r="E495" s="43">
        <v>5.1113545089448702E-4</v>
      </c>
    </row>
    <row r="496" spans="2:5" ht="15" customHeight="1" x14ac:dyDescent="0.25">
      <c r="B496" s="89"/>
      <c r="C496" s="45" t="s">
        <v>123</v>
      </c>
      <c r="D496" s="44">
        <v>4</v>
      </c>
      <c r="E496" s="43">
        <v>1.4603870025556772E-4</v>
      </c>
    </row>
    <row r="497" spans="2:5" ht="15" customHeight="1" x14ac:dyDescent="0.25">
      <c r="B497" s="90"/>
      <c r="C497" s="42" t="s">
        <v>20</v>
      </c>
      <c r="D497" s="41">
        <v>305</v>
      </c>
      <c r="E497" s="40">
        <v>1.113545089448704E-2</v>
      </c>
    </row>
    <row r="498" spans="2:5" ht="15" customHeight="1" x14ac:dyDescent="0.25">
      <c r="B498" s="88" t="s">
        <v>25</v>
      </c>
      <c r="C498" s="45" t="s">
        <v>134</v>
      </c>
      <c r="D498" s="44">
        <v>1</v>
      </c>
      <c r="E498" s="43">
        <v>3.6509675063891931E-5</v>
      </c>
    </row>
    <row r="499" spans="2:5" ht="15" customHeight="1" x14ac:dyDescent="0.25">
      <c r="B499" s="89"/>
      <c r="C499" s="45" t="s">
        <v>128</v>
      </c>
      <c r="D499" s="44">
        <v>1</v>
      </c>
      <c r="E499" s="43">
        <v>3.6509675063891931E-5</v>
      </c>
    </row>
    <row r="500" spans="2:5" ht="15" customHeight="1" x14ac:dyDescent="0.25">
      <c r="B500" s="89"/>
      <c r="C500" s="45" t="s">
        <v>137</v>
      </c>
      <c r="D500" s="44">
        <v>1</v>
      </c>
      <c r="E500" s="43">
        <v>3.6509675063891931E-5</v>
      </c>
    </row>
    <row r="501" spans="2:5" ht="15" customHeight="1" x14ac:dyDescent="0.25">
      <c r="B501" s="89"/>
      <c r="C501" s="45" t="s">
        <v>133</v>
      </c>
      <c r="D501" s="44">
        <v>2</v>
      </c>
      <c r="E501" s="43">
        <v>7.3019350127783862E-5</v>
      </c>
    </row>
    <row r="502" spans="2:5" ht="15" customHeight="1" x14ac:dyDescent="0.25">
      <c r="B502" s="89"/>
      <c r="C502" s="45" t="s">
        <v>127</v>
      </c>
      <c r="D502" s="44">
        <v>1</v>
      </c>
      <c r="E502" s="43">
        <v>3.6509675063891931E-5</v>
      </c>
    </row>
    <row r="503" spans="2:5" ht="15" customHeight="1" x14ac:dyDescent="0.25">
      <c r="B503" s="90"/>
      <c r="C503" s="42" t="s">
        <v>20</v>
      </c>
      <c r="D503" s="41">
        <v>6</v>
      </c>
      <c r="E503" s="40">
        <v>2.190580503833516E-4</v>
      </c>
    </row>
    <row r="504" spans="2:5" ht="15" customHeight="1" x14ac:dyDescent="0.25">
      <c r="B504" s="88" t="s">
        <v>54</v>
      </c>
      <c r="C504" s="45" t="s">
        <v>134</v>
      </c>
      <c r="D504" s="44">
        <v>13</v>
      </c>
      <c r="E504" s="43">
        <v>4.7462577583059508E-4</v>
      </c>
    </row>
    <row r="505" spans="2:5" ht="15" customHeight="1" x14ac:dyDescent="0.25">
      <c r="B505" s="89"/>
      <c r="C505" s="45" t="s">
        <v>132</v>
      </c>
      <c r="D505" s="44">
        <v>12</v>
      </c>
      <c r="E505" s="43">
        <v>4.381161007667032E-4</v>
      </c>
    </row>
    <row r="506" spans="2:5" ht="15" customHeight="1" x14ac:dyDescent="0.25">
      <c r="B506" s="89"/>
      <c r="C506" s="45" t="s">
        <v>130</v>
      </c>
      <c r="D506" s="44">
        <v>7</v>
      </c>
      <c r="E506" s="43">
        <v>2.5556772544724351E-4</v>
      </c>
    </row>
    <row r="507" spans="2:5" ht="15" customHeight="1" x14ac:dyDescent="0.25">
      <c r="B507" s="89"/>
      <c r="C507" s="45" t="s">
        <v>128</v>
      </c>
      <c r="D507" s="44">
        <v>8</v>
      </c>
      <c r="E507" s="43">
        <v>2.9207740051113545E-4</v>
      </c>
    </row>
    <row r="508" spans="2:5" ht="15" customHeight="1" x14ac:dyDescent="0.25">
      <c r="B508" s="89"/>
      <c r="C508" s="45" t="s">
        <v>124</v>
      </c>
      <c r="D508" s="44">
        <v>4</v>
      </c>
      <c r="E508" s="43">
        <v>1.4603870025556772E-4</v>
      </c>
    </row>
    <row r="509" spans="2:5" ht="15" customHeight="1" x14ac:dyDescent="0.25">
      <c r="B509" s="89"/>
      <c r="C509" s="45" t="s">
        <v>136</v>
      </c>
      <c r="D509" s="44">
        <v>17</v>
      </c>
      <c r="E509" s="43">
        <v>6.2066447608616284E-4</v>
      </c>
    </row>
    <row r="510" spans="2:5" ht="15" customHeight="1" x14ac:dyDescent="0.25">
      <c r="B510" s="89"/>
      <c r="C510" s="45" t="s">
        <v>137</v>
      </c>
      <c r="D510" s="44">
        <v>60</v>
      </c>
      <c r="E510" s="43">
        <v>2.1905805038335158E-3</v>
      </c>
    </row>
    <row r="511" spans="2:5" ht="15" customHeight="1" x14ac:dyDescent="0.25">
      <c r="B511" s="89"/>
      <c r="C511" s="45" t="s">
        <v>131</v>
      </c>
      <c r="D511" s="44">
        <v>91</v>
      </c>
      <c r="E511" s="43">
        <v>3.3223804308141658E-3</v>
      </c>
    </row>
    <row r="512" spans="2:5" ht="15" customHeight="1" x14ac:dyDescent="0.25">
      <c r="B512" s="89"/>
      <c r="C512" s="45" t="s">
        <v>135</v>
      </c>
      <c r="D512" s="44">
        <v>23</v>
      </c>
      <c r="E512" s="43">
        <v>8.3972252646951446E-4</v>
      </c>
    </row>
    <row r="513" spans="2:5" ht="15" customHeight="1" x14ac:dyDescent="0.25">
      <c r="B513" s="89"/>
      <c r="C513" s="45" t="s">
        <v>133</v>
      </c>
      <c r="D513" s="44">
        <v>19</v>
      </c>
      <c r="E513" s="43">
        <v>6.9368382621394671E-4</v>
      </c>
    </row>
    <row r="514" spans="2:5" ht="15" customHeight="1" x14ac:dyDescent="0.25">
      <c r="B514" s="89"/>
      <c r="C514" s="45" t="s">
        <v>122</v>
      </c>
      <c r="D514" s="44">
        <v>3</v>
      </c>
      <c r="E514" s="43">
        <v>1.095290251916758E-4</v>
      </c>
    </row>
    <row r="515" spans="2:5" ht="15" customHeight="1" x14ac:dyDescent="0.25">
      <c r="B515" s="89"/>
      <c r="C515" s="45" t="s">
        <v>126</v>
      </c>
      <c r="D515" s="44">
        <v>1</v>
      </c>
      <c r="E515" s="43">
        <v>3.6509675063891931E-5</v>
      </c>
    </row>
    <row r="516" spans="2:5" ht="15" customHeight="1" x14ac:dyDescent="0.25">
      <c r="B516" s="89"/>
      <c r="C516" s="45" t="s">
        <v>127</v>
      </c>
      <c r="D516" s="44">
        <v>14</v>
      </c>
      <c r="E516" s="43">
        <v>5.1113545089448702E-4</v>
      </c>
    </row>
    <row r="517" spans="2:5" ht="15" customHeight="1" x14ac:dyDescent="0.25">
      <c r="B517" s="89"/>
      <c r="C517" s="45" t="s">
        <v>129</v>
      </c>
      <c r="D517" s="44">
        <v>6</v>
      </c>
      <c r="E517" s="43">
        <v>2.190580503833516E-4</v>
      </c>
    </row>
    <row r="518" spans="2:5" ht="15" customHeight="1" x14ac:dyDescent="0.25">
      <c r="B518" s="89"/>
      <c r="C518" s="45" t="s">
        <v>123</v>
      </c>
      <c r="D518" s="44">
        <v>1</v>
      </c>
      <c r="E518" s="43">
        <v>3.6509675063891931E-5</v>
      </c>
    </row>
    <row r="519" spans="2:5" ht="15" customHeight="1" x14ac:dyDescent="0.25">
      <c r="B519" s="90"/>
      <c r="C519" s="42" t="s">
        <v>20</v>
      </c>
      <c r="D519" s="41">
        <v>279</v>
      </c>
      <c r="E519" s="40">
        <v>1.0186199342825849E-2</v>
      </c>
    </row>
    <row r="520" spans="2:5" ht="15" customHeight="1" x14ac:dyDescent="0.25">
      <c r="B520" s="88" t="s">
        <v>66</v>
      </c>
      <c r="C520" s="45" t="s">
        <v>134</v>
      </c>
      <c r="D520" s="44">
        <v>77</v>
      </c>
      <c r="E520" s="43">
        <v>2.8112449799196789E-3</v>
      </c>
    </row>
    <row r="521" spans="2:5" ht="15" customHeight="1" x14ac:dyDescent="0.25">
      <c r="B521" s="89"/>
      <c r="C521" s="45" t="s">
        <v>132</v>
      </c>
      <c r="D521" s="44">
        <v>109</v>
      </c>
      <c r="E521" s="43">
        <v>3.9795545819642205E-3</v>
      </c>
    </row>
    <row r="522" spans="2:5" ht="15" customHeight="1" x14ac:dyDescent="0.25">
      <c r="B522" s="89"/>
      <c r="C522" s="45" t="s">
        <v>130</v>
      </c>
      <c r="D522" s="44">
        <v>103</v>
      </c>
      <c r="E522" s="43">
        <v>3.7604965315808691E-3</v>
      </c>
    </row>
    <row r="523" spans="2:5" ht="15" customHeight="1" x14ac:dyDescent="0.25">
      <c r="B523" s="89"/>
      <c r="C523" s="45" t="s">
        <v>128</v>
      </c>
      <c r="D523" s="44">
        <v>105</v>
      </c>
      <c r="E523" s="43">
        <v>3.8335158817086527E-3</v>
      </c>
    </row>
    <row r="524" spans="2:5" ht="15" customHeight="1" x14ac:dyDescent="0.25">
      <c r="B524" s="89"/>
      <c r="C524" s="45" t="s">
        <v>124</v>
      </c>
      <c r="D524" s="44">
        <v>40</v>
      </c>
      <c r="E524" s="43">
        <v>1.4603870025556773E-3</v>
      </c>
    </row>
    <row r="525" spans="2:5" ht="15" customHeight="1" x14ac:dyDescent="0.25">
      <c r="B525" s="89"/>
      <c r="C525" s="45" t="s">
        <v>136</v>
      </c>
      <c r="D525" s="44">
        <v>266</v>
      </c>
      <c r="E525" s="43">
        <v>9.711573566995254E-3</v>
      </c>
    </row>
    <row r="526" spans="2:5" ht="15" customHeight="1" x14ac:dyDescent="0.25">
      <c r="B526" s="89"/>
      <c r="C526" s="45" t="s">
        <v>137</v>
      </c>
      <c r="D526" s="44">
        <v>376</v>
      </c>
      <c r="E526" s="43">
        <v>1.3727637824023366E-2</v>
      </c>
    </row>
    <row r="527" spans="2:5" ht="15" customHeight="1" x14ac:dyDescent="0.25">
      <c r="B527" s="89"/>
      <c r="C527" s="45" t="s">
        <v>131</v>
      </c>
      <c r="D527" s="44">
        <v>477</v>
      </c>
      <c r="E527" s="43">
        <v>1.7415115005476451E-2</v>
      </c>
    </row>
    <row r="528" spans="2:5" ht="15" customHeight="1" x14ac:dyDescent="0.25">
      <c r="B528" s="89"/>
      <c r="C528" s="45" t="s">
        <v>135</v>
      </c>
      <c r="D528" s="44">
        <v>774</v>
      </c>
      <c r="E528" s="43">
        <v>2.8258488499452356E-2</v>
      </c>
    </row>
    <row r="529" spans="2:5" ht="15" customHeight="1" x14ac:dyDescent="0.25">
      <c r="B529" s="89"/>
      <c r="C529" s="45" t="s">
        <v>125</v>
      </c>
      <c r="D529" s="44">
        <v>50</v>
      </c>
      <c r="E529" s="43">
        <v>1.8254837531945967E-3</v>
      </c>
    </row>
    <row r="530" spans="2:5" ht="15" customHeight="1" x14ac:dyDescent="0.25">
      <c r="B530" s="89"/>
      <c r="C530" s="45" t="s">
        <v>133</v>
      </c>
      <c r="D530" s="44">
        <v>640</v>
      </c>
      <c r="E530" s="43">
        <v>2.3366192040890837E-2</v>
      </c>
    </row>
    <row r="531" spans="2:5" ht="15" customHeight="1" x14ac:dyDescent="0.25">
      <c r="B531" s="89"/>
      <c r="C531" s="45" t="s">
        <v>122</v>
      </c>
      <c r="D531" s="44">
        <v>127</v>
      </c>
      <c r="E531" s="43">
        <v>4.6367287331142756E-3</v>
      </c>
    </row>
    <row r="532" spans="2:5" ht="15" customHeight="1" x14ac:dyDescent="0.25">
      <c r="B532" s="89"/>
      <c r="C532" s="45" t="s">
        <v>126</v>
      </c>
      <c r="D532" s="44">
        <v>201</v>
      </c>
      <c r="E532" s="43">
        <v>7.3384446878422783E-3</v>
      </c>
    </row>
    <row r="533" spans="2:5" ht="15" customHeight="1" x14ac:dyDescent="0.25">
      <c r="B533" s="89"/>
      <c r="C533" s="45" t="s">
        <v>127</v>
      </c>
      <c r="D533" s="44">
        <v>192</v>
      </c>
      <c r="E533" s="43">
        <v>7.0098576122672512E-3</v>
      </c>
    </row>
    <row r="534" spans="2:5" ht="15" customHeight="1" x14ac:dyDescent="0.25">
      <c r="B534" s="89"/>
      <c r="C534" s="45" t="s">
        <v>129</v>
      </c>
      <c r="D534" s="44">
        <v>721</v>
      </c>
      <c r="E534" s="43">
        <v>2.6323475721066081E-2</v>
      </c>
    </row>
    <row r="535" spans="2:5" ht="15" customHeight="1" x14ac:dyDescent="0.25">
      <c r="B535" s="89"/>
      <c r="C535" s="45" t="s">
        <v>123</v>
      </c>
      <c r="D535" s="44">
        <v>147</v>
      </c>
      <c r="E535" s="43">
        <v>5.3669222343921139E-3</v>
      </c>
    </row>
    <row r="536" spans="2:5" ht="15" customHeight="1" x14ac:dyDescent="0.25">
      <c r="B536" s="90"/>
      <c r="C536" s="42" t="s">
        <v>20</v>
      </c>
      <c r="D536" s="41">
        <v>4405</v>
      </c>
      <c r="E536" s="40">
        <v>0.16082511865644394</v>
      </c>
    </row>
    <row r="537" spans="2:5" ht="15" customHeight="1" x14ac:dyDescent="0.25">
      <c r="B537" s="88" t="s">
        <v>55</v>
      </c>
      <c r="C537" s="45" t="s">
        <v>134</v>
      </c>
      <c r="D537" s="44">
        <v>11</v>
      </c>
      <c r="E537" s="43">
        <v>4.0160642570281126E-4</v>
      </c>
    </row>
    <row r="538" spans="2:5" ht="15" customHeight="1" x14ac:dyDescent="0.25">
      <c r="B538" s="89"/>
      <c r="C538" s="45" t="s">
        <v>132</v>
      </c>
      <c r="D538" s="44">
        <v>7</v>
      </c>
      <c r="E538" s="43">
        <v>2.5556772544724351E-4</v>
      </c>
    </row>
    <row r="539" spans="2:5" ht="15" customHeight="1" x14ac:dyDescent="0.25">
      <c r="B539" s="89"/>
      <c r="C539" s="45" t="s">
        <v>130</v>
      </c>
      <c r="D539" s="44">
        <v>14</v>
      </c>
      <c r="E539" s="43">
        <v>5.1113545089448702E-4</v>
      </c>
    </row>
    <row r="540" spans="2:5" ht="15" customHeight="1" x14ac:dyDescent="0.25">
      <c r="B540" s="89"/>
      <c r="C540" s="45" t="s">
        <v>128</v>
      </c>
      <c r="D540" s="44">
        <v>4</v>
      </c>
      <c r="E540" s="43">
        <v>1.4603870025556772E-4</v>
      </c>
    </row>
    <row r="541" spans="2:5" ht="15" customHeight="1" x14ac:dyDescent="0.25">
      <c r="B541" s="89"/>
      <c r="C541" s="45" t="s">
        <v>136</v>
      </c>
      <c r="D541" s="44">
        <v>39</v>
      </c>
      <c r="E541" s="43">
        <v>1.4238773274917853E-3</v>
      </c>
    </row>
    <row r="542" spans="2:5" ht="15" customHeight="1" x14ac:dyDescent="0.25">
      <c r="B542" s="89"/>
      <c r="C542" s="45" t="s">
        <v>137</v>
      </c>
      <c r="D542" s="44">
        <v>44</v>
      </c>
      <c r="E542" s="43">
        <v>1.606425702811245E-3</v>
      </c>
    </row>
    <row r="543" spans="2:5" ht="15" customHeight="1" x14ac:dyDescent="0.25">
      <c r="B543" s="89"/>
      <c r="C543" s="45" t="s">
        <v>131</v>
      </c>
      <c r="D543" s="44">
        <v>4</v>
      </c>
      <c r="E543" s="43">
        <v>1.4603870025556772E-4</v>
      </c>
    </row>
    <row r="544" spans="2:5" ht="15" customHeight="1" x14ac:dyDescent="0.25">
      <c r="B544" s="89"/>
      <c r="C544" s="45" t="s">
        <v>135</v>
      </c>
      <c r="D544" s="44">
        <v>116</v>
      </c>
      <c r="E544" s="43">
        <v>4.2351223074114644E-3</v>
      </c>
    </row>
    <row r="545" spans="2:5" ht="15" customHeight="1" x14ac:dyDescent="0.25">
      <c r="B545" s="89"/>
      <c r="C545" s="45" t="s">
        <v>125</v>
      </c>
      <c r="D545" s="44">
        <v>22</v>
      </c>
      <c r="E545" s="43">
        <v>8.0321285140562252E-4</v>
      </c>
    </row>
    <row r="546" spans="2:5" ht="15" customHeight="1" x14ac:dyDescent="0.25">
      <c r="B546" s="89"/>
      <c r="C546" s="45" t="s">
        <v>133</v>
      </c>
      <c r="D546" s="44">
        <v>131</v>
      </c>
      <c r="E546" s="43">
        <v>4.7827674333698429E-3</v>
      </c>
    </row>
    <row r="547" spans="2:5" ht="15" customHeight="1" x14ac:dyDescent="0.25">
      <c r="B547" s="89"/>
      <c r="C547" s="45" t="s">
        <v>122</v>
      </c>
      <c r="D547" s="44">
        <v>1</v>
      </c>
      <c r="E547" s="43">
        <v>3.6509675063891931E-5</v>
      </c>
    </row>
    <row r="548" spans="2:5" ht="15" customHeight="1" x14ac:dyDescent="0.25">
      <c r="B548" s="89"/>
      <c r="C548" s="45" t="s">
        <v>126</v>
      </c>
      <c r="D548" s="44">
        <v>1</v>
      </c>
      <c r="E548" s="43">
        <v>3.6509675063891931E-5</v>
      </c>
    </row>
    <row r="549" spans="2:5" ht="15" customHeight="1" x14ac:dyDescent="0.25">
      <c r="B549" s="89"/>
      <c r="C549" s="45" t="s">
        <v>127</v>
      </c>
      <c r="D549" s="44">
        <v>24</v>
      </c>
      <c r="E549" s="43">
        <v>8.762322015334064E-4</v>
      </c>
    </row>
    <row r="550" spans="2:5" ht="15" customHeight="1" x14ac:dyDescent="0.25">
      <c r="B550" s="89"/>
      <c r="C550" s="45" t="s">
        <v>129</v>
      </c>
      <c r="D550" s="44">
        <v>9</v>
      </c>
      <c r="E550" s="43">
        <v>3.2858707557502739E-4</v>
      </c>
    </row>
    <row r="551" spans="2:5" ht="15" customHeight="1" x14ac:dyDescent="0.25">
      <c r="B551" s="89"/>
      <c r="C551" s="45" t="s">
        <v>123</v>
      </c>
      <c r="D551" s="44">
        <v>1</v>
      </c>
      <c r="E551" s="43">
        <v>3.6509675063891931E-5</v>
      </c>
    </row>
    <row r="552" spans="2:5" ht="15" customHeight="1" x14ac:dyDescent="0.25">
      <c r="B552" s="90"/>
      <c r="C552" s="42" t="s">
        <v>20</v>
      </c>
      <c r="D552" s="41">
        <v>428</v>
      </c>
      <c r="E552" s="40">
        <v>1.5626140927345746E-2</v>
      </c>
    </row>
    <row r="553" spans="2:5" ht="15" customHeight="1" x14ac:dyDescent="0.25">
      <c r="B553" s="88" t="s">
        <v>22</v>
      </c>
      <c r="C553" s="45" t="s">
        <v>135</v>
      </c>
      <c r="D553" s="44">
        <v>1</v>
      </c>
      <c r="E553" s="43">
        <v>3.6509675063891931E-5</v>
      </c>
    </row>
    <row r="554" spans="2:5" ht="15" customHeight="1" x14ac:dyDescent="0.25">
      <c r="B554" s="90"/>
      <c r="C554" s="42" t="s">
        <v>20</v>
      </c>
      <c r="D554" s="41">
        <v>1</v>
      </c>
      <c r="E554" s="40">
        <v>3.6509675063891931E-5</v>
      </c>
    </row>
    <row r="555" spans="2:5" ht="15" customHeight="1" x14ac:dyDescent="0.25">
      <c r="B555" s="88" t="s">
        <v>42</v>
      </c>
      <c r="C555" s="45" t="s">
        <v>134</v>
      </c>
      <c r="D555" s="44">
        <v>11</v>
      </c>
      <c r="E555" s="43">
        <v>4.0160642570281126E-4</v>
      </c>
    </row>
    <row r="556" spans="2:5" ht="15" customHeight="1" x14ac:dyDescent="0.25">
      <c r="B556" s="89"/>
      <c r="C556" s="45" t="s">
        <v>132</v>
      </c>
      <c r="D556" s="44">
        <v>5</v>
      </c>
      <c r="E556" s="43">
        <v>1.8254837531945966E-4</v>
      </c>
    </row>
    <row r="557" spans="2:5" ht="15" customHeight="1" x14ac:dyDescent="0.25">
      <c r="B557" s="89"/>
      <c r="C557" s="45" t="s">
        <v>130</v>
      </c>
      <c r="D557" s="44">
        <v>9</v>
      </c>
      <c r="E557" s="43">
        <v>3.2858707557502739E-4</v>
      </c>
    </row>
    <row r="558" spans="2:5" ht="15" customHeight="1" x14ac:dyDescent="0.25">
      <c r="B558" s="89"/>
      <c r="C558" s="45" t="s">
        <v>128</v>
      </c>
      <c r="D558" s="44">
        <v>9</v>
      </c>
      <c r="E558" s="43">
        <v>3.2858707557502739E-4</v>
      </c>
    </row>
    <row r="559" spans="2:5" ht="15" customHeight="1" x14ac:dyDescent="0.25">
      <c r="B559" s="89"/>
      <c r="C559" s="45" t="s">
        <v>124</v>
      </c>
      <c r="D559" s="44">
        <v>2</v>
      </c>
      <c r="E559" s="43">
        <v>7.3019350127783862E-5</v>
      </c>
    </row>
    <row r="560" spans="2:5" ht="15" customHeight="1" x14ac:dyDescent="0.25">
      <c r="B560" s="89"/>
      <c r="C560" s="45" t="s">
        <v>136</v>
      </c>
      <c r="D560" s="44">
        <v>10</v>
      </c>
      <c r="E560" s="43">
        <v>3.6509675063891932E-4</v>
      </c>
    </row>
    <row r="561" spans="2:5" ht="15" customHeight="1" x14ac:dyDescent="0.25">
      <c r="B561" s="89"/>
      <c r="C561" s="45" t="s">
        <v>137</v>
      </c>
      <c r="D561" s="44">
        <v>17</v>
      </c>
      <c r="E561" s="43">
        <v>6.2066447608616284E-4</v>
      </c>
    </row>
    <row r="562" spans="2:5" ht="15" customHeight="1" x14ac:dyDescent="0.25">
      <c r="B562" s="89"/>
      <c r="C562" s="45" t="s">
        <v>131</v>
      </c>
      <c r="D562" s="44">
        <v>4</v>
      </c>
      <c r="E562" s="43">
        <v>1.4603870025556772E-4</v>
      </c>
    </row>
    <row r="563" spans="2:5" ht="15" customHeight="1" x14ac:dyDescent="0.25">
      <c r="B563" s="89"/>
      <c r="C563" s="45" t="s">
        <v>135</v>
      </c>
      <c r="D563" s="44">
        <v>16</v>
      </c>
      <c r="E563" s="43">
        <v>5.841548010222709E-4</v>
      </c>
    </row>
    <row r="564" spans="2:5" ht="15" customHeight="1" x14ac:dyDescent="0.25">
      <c r="B564" s="89"/>
      <c r="C564" s="45" t="s">
        <v>133</v>
      </c>
      <c r="D564" s="44">
        <v>9</v>
      </c>
      <c r="E564" s="43">
        <v>3.2858707557502739E-4</v>
      </c>
    </row>
    <row r="565" spans="2:5" ht="15" customHeight="1" x14ac:dyDescent="0.25">
      <c r="B565" s="89"/>
      <c r="C565" s="45" t="s">
        <v>126</v>
      </c>
      <c r="D565" s="44">
        <v>2</v>
      </c>
      <c r="E565" s="43">
        <v>7.3019350127783862E-5</v>
      </c>
    </row>
    <row r="566" spans="2:5" ht="15" customHeight="1" x14ac:dyDescent="0.25">
      <c r="B566" s="89"/>
      <c r="C566" s="45" t="s">
        <v>127</v>
      </c>
      <c r="D566" s="44">
        <v>2</v>
      </c>
      <c r="E566" s="43">
        <v>7.3019350127783862E-5</v>
      </c>
    </row>
    <row r="567" spans="2:5" ht="15" customHeight="1" x14ac:dyDescent="0.25">
      <c r="B567" s="89"/>
      <c r="C567" s="45" t="s">
        <v>129</v>
      </c>
      <c r="D567" s="44">
        <v>27</v>
      </c>
      <c r="E567" s="43">
        <v>9.8576122672508221E-4</v>
      </c>
    </row>
    <row r="568" spans="2:5" ht="15" customHeight="1" x14ac:dyDescent="0.25">
      <c r="B568" s="89"/>
      <c r="C568" s="45" t="s">
        <v>123</v>
      </c>
      <c r="D568" s="44">
        <v>3</v>
      </c>
      <c r="E568" s="43">
        <v>1.095290251916758E-4</v>
      </c>
    </row>
    <row r="569" spans="2:5" ht="15" customHeight="1" x14ac:dyDescent="0.25">
      <c r="B569" s="90"/>
      <c r="C569" s="42" t="s">
        <v>20</v>
      </c>
      <c r="D569" s="41">
        <v>126</v>
      </c>
      <c r="E569" s="40">
        <v>4.6002190580503831E-3</v>
      </c>
    </row>
    <row r="570" spans="2:5" ht="15" customHeight="1" x14ac:dyDescent="0.25">
      <c r="B570" s="88" t="s">
        <v>50</v>
      </c>
      <c r="C570" s="45" t="s">
        <v>134</v>
      </c>
      <c r="D570" s="44">
        <v>2</v>
      </c>
      <c r="E570" s="43">
        <v>7.3019350127783862E-5</v>
      </c>
    </row>
    <row r="571" spans="2:5" ht="15" customHeight="1" x14ac:dyDescent="0.25">
      <c r="B571" s="89"/>
      <c r="C571" s="45" t="s">
        <v>132</v>
      </c>
      <c r="D571" s="44">
        <v>3</v>
      </c>
      <c r="E571" s="43">
        <v>1.095290251916758E-4</v>
      </c>
    </row>
    <row r="572" spans="2:5" ht="15" customHeight="1" x14ac:dyDescent="0.25">
      <c r="B572" s="89"/>
      <c r="C572" s="45" t="s">
        <v>130</v>
      </c>
      <c r="D572" s="44">
        <v>4</v>
      </c>
      <c r="E572" s="43">
        <v>1.4603870025556772E-4</v>
      </c>
    </row>
    <row r="573" spans="2:5" ht="15" customHeight="1" x14ac:dyDescent="0.25">
      <c r="B573" s="89"/>
      <c r="C573" s="45" t="s">
        <v>128</v>
      </c>
      <c r="D573" s="44">
        <v>3</v>
      </c>
      <c r="E573" s="43">
        <v>1.095290251916758E-4</v>
      </c>
    </row>
    <row r="574" spans="2:5" ht="15" customHeight="1" x14ac:dyDescent="0.25">
      <c r="B574" s="89"/>
      <c r="C574" s="45" t="s">
        <v>136</v>
      </c>
      <c r="D574" s="44">
        <v>14</v>
      </c>
      <c r="E574" s="43">
        <v>5.1113545089448702E-4</v>
      </c>
    </row>
    <row r="575" spans="2:5" ht="15" customHeight="1" x14ac:dyDescent="0.25">
      <c r="B575" s="89"/>
      <c r="C575" s="45" t="s">
        <v>137</v>
      </c>
      <c r="D575" s="44">
        <v>7</v>
      </c>
      <c r="E575" s="43">
        <v>2.5556772544724351E-4</v>
      </c>
    </row>
    <row r="576" spans="2:5" ht="15" customHeight="1" x14ac:dyDescent="0.25">
      <c r="B576" s="89"/>
      <c r="C576" s="45" t="s">
        <v>131</v>
      </c>
      <c r="D576" s="44">
        <v>5</v>
      </c>
      <c r="E576" s="43">
        <v>1.8254837531945966E-4</v>
      </c>
    </row>
    <row r="577" spans="2:5" ht="15" customHeight="1" x14ac:dyDescent="0.25">
      <c r="B577" s="89"/>
      <c r="C577" s="45" t="s">
        <v>135</v>
      </c>
      <c r="D577" s="44">
        <v>21</v>
      </c>
      <c r="E577" s="43">
        <v>7.6670317634173059E-4</v>
      </c>
    </row>
    <row r="578" spans="2:5" ht="15" customHeight="1" x14ac:dyDescent="0.25">
      <c r="B578" s="89"/>
      <c r="C578" s="45" t="s">
        <v>133</v>
      </c>
      <c r="D578" s="44">
        <v>7</v>
      </c>
      <c r="E578" s="43">
        <v>2.5556772544724351E-4</v>
      </c>
    </row>
    <row r="579" spans="2:5" ht="15" customHeight="1" x14ac:dyDescent="0.25">
      <c r="B579" s="89"/>
      <c r="C579" s="45" t="s">
        <v>122</v>
      </c>
      <c r="D579" s="44">
        <v>1</v>
      </c>
      <c r="E579" s="43">
        <v>3.6509675063891931E-5</v>
      </c>
    </row>
    <row r="580" spans="2:5" ht="15" customHeight="1" x14ac:dyDescent="0.25">
      <c r="B580" s="89"/>
      <c r="C580" s="45" t="s">
        <v>127</v>
      </c>
      <c r="D580" s="44">
        <v>3</v>
      </c>
      <c r="E580" s="43">
        <v>1.095290251916758E-4</v>
      </c>
    </row>
    <row r="581" spans="2:5" ht="15" customHeight="1" x14ac:dyDescent="0.25">
      <c r="B581" s="89"/>
      <c r="C581" s="45" t="s">
        <v>129</v>
      </c>
      <c r="D581" s="44">
        <v>53</v>
      </c>
      <c r="E581" s="43">
        <v>1.9350127783862724E-3</v>
      </c>
    </row>
    <row r="582" spans="2:5" ht="15" customHeight="1" x14ac:dyDescent="0.25">
      <c r="B582" s="90"/>
      <c r="C582" s="42" t="s">
        <v>20</v>
      </c>
      <c r="D582" s="41">
        <v>123</v>
      </c>
      <c r="E582" s="40">
        <v>4.4906900328587074E-3</v>
      </c>
    </row>
    <row r="583" spans="2:5" ht="15" customHeight="1" x14ac:dyDescent="0.25">
      <c r="B583" s="88" t="s">
        <v>23</v>
      </c>
      <c r="C583" s="45" t="s">
        <v>130</v>
      </c>
      <c r="D583" s="44">
        <v>1</v>
      </c>
      <c r="E583" s="43">
        <v>3.6509675063891931E-5</v>
      </c>
    </row>
    <row r="584" spans="2:5" ht="15" customHeight="1" x14ac:dyDescent="0.25">
      <c r="B584" s="89"/>
      <c r="C584" s="45" t="s">
        <v>128</v>
      </c>
      <c r="D584" s="44">
        <v>1</v>
      </c>
      <c r="E584" s="43">
        <v>3.6509675063891931E-5</v>
      </c>
    </row>
    <row r="585" spans="2:5" ht="15" customHeight="1" x14ac:dyDescent="0.25">
      <c r="B585" s="89"/>
      <c r="C585" s="45" t="s">
        <v>137</v>
      </c>
      <c r="D585" s="44">
        <v>1</v>
      </c>
      <c r="E585" s="43">
        <v>3.6509675063891931E-5</v>
      </c>
    </row>
    <row r="586" spans="2:5" ht="15" customHeight="1" x14ac:dyDescent="0.25">
      <c r="B586" s="89"/>
      <c r="C586" s="45" t="s">
        <v>131</v>
      </c>
      <c r="D586" s="44">
        <v>1</v>
      </c>
      <c r="E586" s="43">
        <v>3.6509675063891931E-5</v>
      </c>
    </row>
    <row r="587" spans="2:5" ht="15" customHeight="1" x14ac:dyDescent="0.25">
      <c r="B587" s="89"/>
      <c r="C587" s="45" t="s">
        <v>135</v>
      </c>
      <c r="D587" s="44">
        <v>2</v>
      </c>
      <c r="E587" s="43">
        <v>7.3019350127783862E-5</v>
      </c>
    </row>
    <row r="588" spans="2:5" ht="15" customHeight="1" x14ac:dyDescent="0.25">
      <c r="B588" s="90"/>
      <c r="C588" s="42" t="s">
        <v>20</v>
      </c>
      <c r="D588" s="41">
        <v>6</v>
      </c>
      <c r="E588" s="40">
        <v>2.190580503833516E-4</v>
      </c>
    </row>
    <row r="589" spans="2:5" ht="15" customHeight="1" x14ac:dyDescent="0.25">
      <c r="B589" s="88" t="s">
        <v>57</v>
      </c>
      <c r="C589" s="45" t="s">
        <v>134</v>
      </c>
      <c r="D589" s="44">
        <v>21</v>
      </c>
      <c r="E589" s="43">
        <v>7.6670317634173059E-4</v>
      </c>
    </row>
    <row r="590" spans="2:5" ht="15" customHeight="1" x14ac:dyDescent="0.25">
      <c r="B590" s="89"/>
      <c r="C590" s="45" t="s">
        <v>132</v>
      </c>
      <c r="D590" s="44">
        <v>30</v>
      </c>
      <c r="E590" s="43">
        <v>1.0952902519167579E-3</v>
      </c>
    </row>
    <row r="591" spans="2:5" ht="15" customHeight="1" x14ac:dyDescent="0.25">
      <c r="B591" s="89"/>
      <c r="C591" s="45" t="s">
        <v>130</v>
      </c>
      <c r="D591" s="44">
        <v>22</v>
      </c>
      <c r="E591" s="43">
        <v>8.0321285140562252E-4</v>
      </c>
    </row>
    <row r="592" spans="2:5" ht="15" customHeight="1" x14ac:dyDescent="0.25">
      <c r="B592" s="89"/>
      <c r="C592" s="45" t="s">
        <v>128</v>
      </c>
      <c r="D592" s="44">
        <v>7</v>
      </c>
      <c r="E592" s="43">
        <v>2.5556772544724351E-4</v>
      </c>
    </row>
    <row r="593" spans="2:5" ht="15" customHeight="1" x14ac:dyDescent="0.25">
      <c r="B593" s="89"/>
      <c r="C593" s="45" t="s">
        <v>124</v>
      </c>
      <c r="D593" s="44">
        <v>5</v>
      </c>
      <c r="E593" s="43">
        <v>1.8254837531945966E-4</v>
      </c>
    </row>
    <row r="594" spans="2:5" ht="15" customHeight="1" x14ac:dyDescent="0.25">
      <c r="B594" s="89"/>
      <c r="C594" s="45" t="s">
        <v>136</v>
      </c>
      <c r="D594" s="44">
        <v>21</v>
      </c>
      <c r="E594" s="43">
        <v>7.6670317634173059E-4</v>
      </c>
    </row>
    <row r="595" spans="2:5" ht="15" customHeight="1" x14ac:dyDescent="0.25">
      <c r="B595" s="89"/>
      <c r="C595" s="45" t="s">
        <v>137</v>
      </c>
      <c r="D595" s="44">
        <v>103</v>
      </c>
      <c r="E595" s="43">
        <v>3.7604965315808691E-3</v>
      </c>
    </row>
    <row r="596" spans="2:5" ht="15" customHeight="1" x14ac:dyDescent="0.25">
      <c r="B596" s="89"/>
      <c r="C596" s="45" t="s">
        <v>131</v>
      </c>
      <c r="D596" s="44">
        <v>24</v>
      </c>
      <c r="E596" s="43">
        <v>8.762322015334064E-4</v>
      </c>
    </row>
    <row r="597" spans="2:5" ht="15" customHeight="1" x14ac:dyDescent="0.25">
      <c r="B597" s="89"/>
      <c r="C597" s="45" t="s">
        <v>135</v>
      </c>
      <c r="D597" s="44">
        <v>40</v>
      </c>
      <c r="E597" s="43">
        <v>1.4603870025556773E-3</v>
      </c>
    </row>
    <row r="598" spans="2:5" ht="15" customHeight="1" x14ac:dyDescent="0.25">
      <c r="B598" s="89"/>
      <c r="C598" s="45" t="s">
        <v>125</v>
      </c>
      <c r="D598" s="44">
        <v>4</v>
      </c>
      <c r="E598" s="43">
        <v>1.4603870025556772E-4</v>
      </c>
    </row>
    <row r="599" spans="2:5" ht="15" customHeight="1" x14ac:dyDescent="0.25">
      <c r="B599" s="89"/>
      <c r="C599" s="45" t="s">
        <v>133</v>
      </c>
      <c r="D599" s="44">
        <v>64</v>
      </c>
      <c r="E599" s="43">
        <v>2.3366192040890836E-3</v>
      </c>
    </row>
    <row r="600" spans="2:5" ht="15" customHeight="1" x14ac:dyDescent="0.25">
      <c r="B600" s="89"/>
      <c r="C600" s="45" t="s">
        <v>122</v>
      </c>
      <c r="D600" s="44">
        <v>2</v>
      </c>
      <c r="E600" s="43">
        <v>7.3019350127783862E-5</v>
      </c>
    </row>
    <row r="601" spans="2:5" ht="15" customHeight="1" x14ac:dyDescent="0.25">
      <c r="B601" s="89"/>
      <c r="C601" s="45" t="s">
        <v>126</v>
      </c>
      <c r="D601" s="44">
        <v>24</v>
      </c>
      <c r="E601" s="43">
        <v>8.762322015334064E-4</v>
      </c>
    </row>
    <row r="602" spans="2:5" ht="15" customHeight="1" x14ac:dyDescent="0.25">
      <c r="B602" s="89"/>
      <c r="C602" s="45" t="s">
        <v>127</v>
      </c>
      <c r="D602" s="44">
        <v>130</v>
      </c>
      <c r="E602" s="43">
        <v>4.7462577583059513E-3</v>
      </c>
    </row>
    <row r="603" spans="2:5" ht="15" customHeight="1" x14ac:dyDescent="0.25">
      <c r="B603" s="89"/>
      <c r="C603" s="45" t="s">
        <v>129</v>
      </c>
      <c r="D603" s="44">
        <v>110</v>
      </c>
      <c r="E603" s="43">
        <v>4.0160642570281121E-3</v>
      </c>
    </row>
    <row r="604" spans="2:5" ht="15" customHeight="1" x14ac:dyDescent="0.25">
      <c r="B604" s="89"/>
      <c r="C604" s="45" t="s">
        <v>123</v>
      </c>
      <c r="D604" s="44">
        <v>2</v>
      </c>
      <c r="E604" s="43">
        <v>7.3019350127783862E-5</v>
      </c>
    </row>
    <row r="605" spans="2:5" ht="15" customHeight="1" x14ac:dyDescent="0.25">
      <c r="B605" s="90"/>
      <c r="C605" s="42" t="s">
        <v>20</v>
      </c>
      <c r="D605" s="41">
        <v>609</v>
      </c>
      <c r="E605" s="40">
        <v>2.2234392113910185E-2</v>
      </c>
    </row>
    <row r="606" spans="2:5" ht="15" customHeight="1" x14ac:dyDescent="0.25">
      <c r="B606" s="88" t="s">
        <v>29</v>
      </c>
      <c r="C606" s="45" t="s">
        <v>132</v>
      </c>
      <c r="D606" s="44">
        <v>1</v>
      </c>
      <c r="E606" s="43">
        <v>3.6509675063891931E-5</v>
      </c>
    </row>
    <row r="607" spans="2:5" ht="15" customHeight="1" x14ac:dyDescent="0.25">
      <c r="B607" s="89"/>
      <c r="C607" s="45" t="s">
        <v>130</v>
      </c>
      <c r="D607" s="44">
        <v>3</v>
      </c>
      <c r="E607" s="43">
        <v>1.095290251916758E-4</v>
      </c>
    </row>
    <row r="608" spans="2:5" ht="15" customHeight="1" x14ac:dyDescent="0.25">
      <c r="B608" s="89"/>
      <c r="C608" s="45" t="s">
        <v>128</v>
      </c>
      <c r="D608" s="44">
        <v>1</v>
      </c>
      <c r="E608" s="43">
        <v>3.6509675063891931E-5</v>
      </c>
    </row>
    <row r="609" spans="2:5" ht="15" customHeight="1" x14ac:dyDescent="0.25">
      <c r="B609" s="89"/>
      <c r="C609" s="45" t="s">
        <v>124</v>
      </c>
      <c r="D609" s="44">
        <v>3</v>
      </c>
      <c r="E609" s="43">
        <v>1.095290251916758E-4</v>
      </c>
    </row>
    <row r="610" spans="2:5" ht="15" customHeight="1" x14ac:dyDescent="0.25">
      <c r="B610" s="89"/>
      <c r="C610" s="45" t="s">
        <v>136</v>
      </c>
      <c r="D610" s="44">
        <v>6</v>
      </c>
      <c r="E610" s="43">
        <v>2.190580503833516E-4</v>
      </c>
    </row>
    <row r="611" spans="2:5" ht="15" customHeight="1" x14ac:dyDescent="0.25">
      <c r="B611" s="89"/>
      <c r="C611" s="45" t="s">
        <v>137</v>
      </c>
      <c r="D611" s="44">
        <v>2</v>
      </c>
      <c r="E611" s="43">
        <v>7.3019350127783862E-5</v>
      </c>
    </row>
    <row r="612" spans="2:5" ht="15" customHeight="1" x14ac:dyDescent="0.25">
      <c r="B612" s="89"/>
      <c r="C612" s="45" t="s">
        <v>131</v>
      </c>
      <c r="D612" s="44">
        <v>2</v>
      </c>
      <c r="E612" s="43">
        <v>7.3019350127783862E-5</v>
      </c>
    </row>
    <row r="613" spans="2:5" ht="15" customHeight="1" x14ac:dyDescent="0.25">
      <c r="B613" s="89"/>
      <c r="C613" s="45" t="s">
        <v>135</v>
      </c>
      <c r="D613" s="44">
        <v>8</v>
      </c>
      <c r="E613" s="43">
        <v>2.9207740051113545E-4</v>
      </c>
    </row>
    <row r="614" spans="2:5" ht="15" customHeight="1" x14ac:dyDescent="0.25">
      <c r="B614" s="89"/>
      <c r="C614" s="45" t="s">
        <v>125</v>
      </c>
      <c r="D614" s="44">
        <v>1</v>
      </c>
      <c r="E614" s="43">
        <v>3.6509675063891931E-5</v>
      </c>
    </row>
    <row r="615" spans="2:5" ht="15" customHeight="1" x14ac:dyDescent="0.25">
      <c r="B615" s="89"/>
      <c r="C615" s="45" t="s">
        <v>133</v>
      </c>
      <c r="D615" s="44">
        <v>3</v>
      </c>
      <c r="E615" s="43">
        <v>1.095290251916758E-4</v>
      </c>
    </row>
    <row r="616" spans="2:5" ht="15" customHeight="1" x14ac:dyDescent="0.25">
      <c r="B616" s="89"/>
      <c r="C616" s="45" t="s">
        <v>127</v>
      </c>
      <c r="D616" s="44">
        <v>2</v>
      </c>
      <c r="E616" s="43">
        <v>7.3019350127783862E-5</v>
      </c>
    </row>
    <row r="617" spans="2:5" ht="15" customHeight="1" x14ac:dyDescent="0.25">
      <c r="B617" s="90"/>
      <c r="C617" s="42" t="s">
        <v>20</v>
      </c>
      <c r="D617" s="41">
        <v>32</v>
      </c>
      <c r="E617" s="40">
        <v>1.1683096020445418E-3</v>
      </c>
    </row>
    <row r="618" spans="2:5" ht="15" customHeight="1" x14ac:dyDescent="0.25">
      <c r="B618" s="91" t="s">
        <v>20</v>
      </c>
      <c r="C618" s="92"/>
      <c r="D618" s="39">
        <v>27390</v>
      </c>
      <c r="E618" s="38">
        <v>1</v>
      </c>
    </row>
    <row r="620" spans="2:5" ht="15" customHeight="1" x14ac:dyDescent="0.25">
      <c r="B620" s="19" t="s">
        <v>220</v>
      </c>
    </row>
    <row r="621" spans="2:5" ht="15" customHeight="1" x14ac:dyDescent="0.25">
      <c r="B621" s="21" t="s">
        <v>19</v>
      </c>
    </row>
    <row r="622" spans="2:5" ht="15" customHeight="1" x14ac:dyDescent="0.25">
      <c r="B622" s="20" t="s">
        <v>18</v>
      </c>
    </row>
    <row r="623" spans="2:5" ht="15" customHeight="1" x14ac:dyDescent="0.25">
      <c r="B623" s="19" t="s">
        <v>17</v>
      </c>
    </row>
    <row r="624" spans="2:5" ht="15" customHeight="1" x14ac:dyDescent="0.25">
      <c r="B624" s="19" t="s">
        <v>221</v>
      </c>
    </row>
  </sheetData>
  <mergeCells count="50">
    <mergeCell ref="B147:B160"/>
    <mergeCell ref="B161:B177"/>
    <mergeCell ref="B178:B193"/>
    <mergeCell ref="B194:B206"/>
    <mergeCell ref="B7:E8"/>
    <mergeCell ref="B89:B98"/>
    <mergeCell ref="B99:B105"/>
    <mergeCell ref="B106:B112"/>
    <mergeCell ref="B113:B129"/>
    <mergeCell ref="B130:B146"/>
    <mergeCell ref="B498:B503"/>
    <mergeCell ref="B207:B221"/>
    <mergeCell ref="B222:B235"/>
    <mergeCell ref="B236:B250"/>
    <mergeCell ref="B251:B252"/>
    <mergeCell ref="B253:B265"/>
    <mergeCell ref="B266:B273"/>
    <mergeCell ref="B274:B286"/>
    <mergeCell ref="B287:B302"/>
    <mergeCell ref="B303:B314"/>
    <mergeCell ref="B315:B327"/>
    <mergeCell ref="B328:B331"/>
    <mergeCell ref="B332:B346"/>
    <mergeCell ref="B347:B362"/>
    <mergeCell ref="B363:B375"/>
    <mergeCell ref="B438:B453"/>
    <mergeCell ref="B454:B463"/>
    <mergeCell ref="B464:B478"/>
    <mergeCell ref="B479:B481"/>
    <mergeCell ref="B482:B497"/>
    <mergeCell ref="B376:B388"/>
    <mergeCell ref="B389:B404"/>
    <mergeCell ref="B405:B421"/>
    <mergeCell ref="B422:B423"/>
    <mergeCell ref="B424:B437"/>
    <mergeCell ref="B606:B617"/>
    <mergeCell ref="B618:C618"/>
    <mergeCell ref="B504:B519"/>
    <mergeCell ref="B520:B536"/>
    <mergeCell ref="B537:B552"/>
    <mergeCell ref="B553:B554"/>
    <mergeCell ref="B555:B569"/>
    <mergeCell ref="B570:B582"/>
    <mergeCell ref="B583:B588"/>
    <mergeCell ref="B589:B605"/>
    <mergeCell ref="B10:B24"/>
    <mergeCell ref="B25:B39"/>
    <mergeCell ref="B40:B54"/>
    <mergeCell ref="B55:B71"/>
    <mergeCell ref="B72:B8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89"/>
  <sheetViews>
    <sheetView zoomScale="87" zoomScaleNormal="87" zoomScaleSheetLayoutView="85" workbookViewId="0">
      <selection activeCell="C1" sqref="C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3"/>
      <c r="C7" s="93"/>
      <c r="D7" s="93"/>
      <c r="E7" s="93"/>
    </row>
    <row r="8" spans="1:5" s="50" customFormat="1" ht="33" customHeight="1" x14ac:dyDescent="0.3">
      <c r="A8" s="51"/>
      <c r="B8" s="93"/>
      <c r="C8" s="93"/>
      <c r="D8" s="93"/>
      <c r="E8" s="93"/>
    </row>
    <row r="9" spans="1:5" s="29" customFormat="1" ht="40.5" customHeight="1" x14ac:dyDescent="0.2">
      <c r="B9" s="47" t="s">
        <v>121</v>
      </c>
      <c r="C9" s="49" t="s">
        <v>141</v>
      </c>
      <c r="D9" s="48" t="s">
        <v>69</v>
      </c>
      <c r="E9" s="47" t="s">
        <v>68</v>
      </c>
    </row>
    <row r="10" spans="1:5" ht="15" customHeight="1" x14ac:dyDescent="0.25">
      <c r="B10" s="88" t="s">
        <v>84</v>
      </c>
      <c r="C10" s="45" t="s">
        <v>134</v>
      </c>
      <c r="D10" s="44">
        <v>13</v>
      </c>
      <c r="E10" s="43">
        <v>4.7462577583059508E-4</v>
      </c>
    </row>
    <row r="11" spans="1:5" ht="15" customHeight="1" x14ac:dyDescent="0.25">
      <c r="B11" s="89"/>
      <c r="C11" s="45" t="s">
        <v>132</v>
      </c>
      <c r="D11" s="44">
        <v>22</v>
      </c>
      <c r="E11" s="43">
        <v>8.0321285140562252E-4</v>
      </c>
    </row>
    <row r="12" spans="1:5" ht="15" customHeight="1" x14ac:dyDescent="0.25">
      <c r="B12" s="89"/>
      <c r="C12" s="45" t="s">
        <v>130</v>
      </c>
      <c r="D12" s="44">
        <v>10</v>
      </c>
      <c r="E12" s="43">
        <v>3.6509675063891932E-4</v>
      </c>
    </row>
    <row r="13" spans="1:5" ht="15" customHeight="1" x14ac:dyDescent="0.25">
      <c r="B13" s="89"/>
      <c r="C13" s="45" t="s">
        <v>128</v>
      </c>
      <c r="D13" s="44">
        <v>1</v>
      </c>
      <c r="E13" s="43">
        <v>3.6509675063891931E-5</v>
      </c>
    </row>
    <row r="14" spans="1:5" ht="15" customHeight="1" x14ac:dyDescent="0.25">
      <c r="B14" s="89"/>
      <c r="C14" s="45" t="s">
        <v>136</v>
      </c>
      <c r="D14" s="44">
        <v>11</v>
      </c>
      <c r="E14" s="43">
        <v>4.0160642570281126E-4</v>
      </c>
    </row>
    <row r="15" spans="1:5" ht="15" customHeight="1" x14ac:dyDescent="0.25">
      <c r="B15" s="89"/>
      <c r="C15" s="45" t="s">
        <v>137</v>
      </c>
      <c r="D15" s="44">
        <v>11</v>
      </c>
      <c r="E15" s="43">
        <v>4.0160642570281126E-4</v>
      </c>
    </row>
    <row r="16" spans="1:5" ht="15" customHeight="1" x14ac:dyDescent="0.25">
      <c r="B16" s="89"/>
      <c r="C16" s="45" t="s">
        <v>131</v>
      </c>
      <c r="D16" s="44">
        <v>9</v>
      </c>
      <c r="E16" s="43">
        <v>3.2858707557502739E-4</v>
      </c>
    </row>
    <row r="17" spans="2:5" ht="15" customHeight="1" x14ac:dyDescent="0.25">
      <c r="B17" s="89"/>
      <c r="C17" s="45" t="s">
        <v>135</v>
      </c>
      <c r="D17" s="44">
        <v>3</v>
      </c>
      <c r="E17" s="43">
        <v>1.095290251916758E-4</v>
      </c>
    </row>
    <row r="18" spans="2:5" ht="15" customHeight="1" x14ac:dyDescent="0.25">
      <c r="B18" s="89"/>
      <c r="C18" s="45" t="s">
        <v>133</v>
      </c>
      <c r="D18" s="44">
        <v>2</v>
      </c>
      <c r="E18" s="43">
        <v>7.3019350127783862E-5</v>
      </c>
    </row>
    <row r="19" spans="2:5" ht="15" customHeight="1" x14ac:dyDescent="0.25">
      <c r="B19" s="89"/>
      <c r="C19" s="45" t="s">
        <v>127</v>
      </c>
      <c r="D19" s="44">
        <v>2</v>
      </c>
      <c r="E19" s="43">
        <v>7.3019350127783862E-5</v>
      </c>
    </row>
    <row r="20" spans="2:5" ht="15" customHeight="1" x14ac:dyDescent="0.25">
      <c r="B20" s="89"/>
      <c r="C20" s="45" t="s">
        <v>129</v>
      </c>
      <c r="D20" s="44">
        <v>1</v>
      </c>
      <c r="E20" s="43">
        <v>3.6509675063891931E-5</v>
      </c>
    </row>
    <row r="21" spans="2:5" ht="15" customHeight="1" x14ac:dyDescent="0.25">
      <c r="B21" s="90"/>
      <c r="C21" s="42" t="s">
        <v>20</v>
      </c>
      <c r="D21" s="41">
        <v>85</v>
      </c>
      <c r="E21" s="40">
        <v>3.103322380430814E-3</v>
      </c>
    </row>
    <row r="22" spans="2:5" ht="15" customHeight="1" x14ac:dyDescent="0.25">
      <c r="B22" s="88" t="s">
        <v>116</v>
      </c>
      <c r="C22" s="45" t="s">
        <v>134</v>
      </c>
      <c r="D22" s="44">
        <v>282</v>
      </c>
      <c r="E22" s="43">
        <v>1.0295728368017525E-2</v>
      </c>
    </row>
    <row r="23" spans="2:5" ht="15" customHeight="1" x14ac:dyDescent="0.25">
      <c r="B23" s="89"/>
      <c r="C23" s="45" t="s">
        <v>132</v>
      </c>
      <c r="D23" s="44">
        <v>103</v>
      </c>
      <c r="E23" s="43">
        <v>3.7604965315808691E-3</v>
      </c>
    </row>
    <row r="24" spans="2:5" ht="15" customHeight="1" x14ac:dyDescent="0.25">
      <c r="B24" s="89"/>
      <c r="C24" s="45" t="s">
        <v>130</v>
      </c>
      <c r="D24" s="44">
        <v>42</v>
      </c>
      <c r="E24" s="43">
        <v>1.5334063526834612E-3</v>
      </c>
    </row>
    <row r="25" spans="2:5" ht="15" customHeight="1" x14ac:dyDescent="0.25">
      <c r="B25" s="89"/>
      <c r="C25" s="45" t="s">
        <v>128</v>
      </c>
      <c r="D25" s="44">
        <v>37</v>
      </c>
      <c r="E25" s="43">
        <v>1.3508579773640014E-3</v>
      </c>
    </row>
    <row r="26" spans="2:5" ht="15" customHeight="1" x14ac:dyDescent="0.25">
      <c r="B26" s="89"/>
      <c r="C26" s="45" t="s">
        <v>124</v>
      </c>
      <c r="D26" s="44">
        <v>11</v>
      </c>
      <c r="E26" s="43">
        <v>4.0160642570281126E-4</v>
      </c>
    </row>
    <row r="27" spans="2:5" ht="15" customHeight="1" x14ac:dyDescent="0.25">
      <c r="B27" s="89"/>
      <c r="C27" s="45" t="s">
        <v>136</v>
      </c>
      <c r="D27" s="44">
        <v>99</v>
      </c>
      <c r="E27" s="43">
        <v>3.6144578313253013E-3</v>
      </c>
    </row>
    <row r="28" spans="2:5" ht="15" customHeight="1" x14ac:dyDescent="0.25">
      <c r="B28" s="89"/>
      <c r="C28" s="45" t="s">
        <v>137</v>
      </c>
      <c r="D28" s="44">
        <v>206</v>
      </c>
      <c r="E28" s="43">
        <v>7.5209930631617381E-3</v>
      </c>
    </row>
    <row r="29" spans="2:5" ht="15" customHeight="1" x14ac:dyDescent="0.25">
      <c r="B29" s="89"/>
      <c r="C29" s="45" t="s">
        <v>131</v>
      </c>
      <c r="D29" s="44">
        <v>148</v>
      </c>
      <c r="E29" s="43">
        <v>5.4034319094560055E-3</v>
      </c>
    </row>
    <row r="30" spans="2:5" ht="15" customHeight="1" x14ac:dyDescent="0.25">
      <c r="B30" s="89"/>
      <c r="C30" s="45" t="s">
        <v>135</v>
      </c>
      <c r="D30" s="44">
        <v>97</v>
      </c>
      <c r="E30" s="43">
        <v>3.5414384811975172E-3</v>
      </c>
    </row>
    <row r="31" spans="2:5" ht="15" customHeight="1" x14ac:dyDescent="0.25">
      <c r="B31" s="89"/>
      <c r="C31" s="45" t="s">
        <v>125</v>
      </c>
      <c r="D31" s="44">
        <v>9</v>
      </c>
      <c r="E31" s="43">
        <v>3.2858707557502739E-4</v>
      </c>
    </row>
    <row r="32" spans="2:5" ht="15" customHeight="1" x14ac:dyDescent="0.25">
      <c r="B32" s="89"/>
      <c r="C32" s="45" t="s">
        <v>133</v>
      </c>
      <c r="D32" s="44">
        <v>84</v>
      </c>
      <c r="E32" s="43">
        <v>3.0668127053669223E-3</v>
      </c>
    </row>
    <row r="33" spans="2:5" ht="15" customHeight="1" x14ac:dyDescent="0.25">
      <c r="B33" s="89"/>
      <c r="C33" s="45" t="s">
        <v>122</v>
      </c>
      <c r="D33" s="44">
        <v>11</v>
      </c>
      <c r="E33" s="43">
        <v>4.0160642570281126E-4</v>
      </c>
    </row>
    <row r="34" spans="2:5" ht="15" customHeight="1" x14ac:dyDescent="0.25">
      <c r="B34" s="89"/>
      <c r="C34" s="45" t="s">
        <v>126</v>
      </c>
      <c r="D34" s="44">
        <v>6</v>
      </c>
      <c r="E34" s="43">
        <v>2.190580503833516E-4</v>
      </c>
    </row>
    <row r="35" spans="2:5" ht="15" customHeight="1" x14ac:dyDescent="0.25">
      <c r="B35" s="89"/>
      <c r="C35" s="45" t="s">
        <v>127</v>
      </c>
      <c r="D35" s="44">
        <v>30</v>
      </c>
      <c r="E35" s="43">
        <v>1.0952902519167579E-3</v>
      </c>
    </row>
    <row r="36" spans="2:5" ht="15" customHeight="1" x14ac:dyDescent="0.25">
      <c r="B36" s="89"/>
      <c r="C36" s="45" t="s">
        <v>129</v>
      </c>
      <c r="D36" s="44">
        <v>69</v>
      </c>
      <c r="E36" s="43">
        <v>2.5191675794085434E-3</v>
      </c>
    </row>
    <row r="37" spans="2:5" ht="15" customHeight="1" x14ac:dyDescent="0.25">
      <c r="B37" s="89"/>
      <c r="C37" s="45" t="s">
        <v>123</v>
      </c>
      <c r="D37" s="44">
        <v>27</v>
      </c>
      <c r="E37" s="43">
        <v>9.8576122672508221E-4</v>
      </c>
    </row>
    <row r="38" spans="2:5" ht="15" customHeight="1" x14ac:dyDescent="0.25">
      <c r="B38" s="90"/>
      <c r="C38" s="42" t="s">
        <v>20</v>
      </c>
      <c r="D38" s="41">
        <v>1261</v>
      </c>
      <c r="E38" s="40">
        <v>4.6038700255567729E-2</v>
      </c>
    </row>
    <row r="39" spans="2:5" ht="15" customHeight="1" x14ac:dyDescent="0.25">
      <c r="B39" s="88" t="s">
        <v>106</v>
      </c>
      <c r="C39" s="45" t="s">
        <v>134</v>
      </c>
      <c r="D39" s="44">
        <v>19</v>
      </c>
      <c r="E39" s="43">
        <v>6.9368382621394671E-4</v>
      </c>
    </row>
    <row r="40" spans="2:5" ht="15" customHeight="1" x14ac:dyDescent="0.25">
      <c r="B40" s="89"/>
      <c r="C40" s="45" t="s">
        <v>132</v>
      </c>
      <c r="D40" s="44">
        <v>42</v>
      </c>
      <c r="E40" s="43">
        <v>1.5334063526834612E-3</v>
      </c>
    </row>
    <row r="41" spans="2:5" ht="15" customHeight="1" x14ac:dyDescent="0.25">
      <c r="B41" s="89"/>
      <c r="C41" s="45" t="s">
        <v>130</v>
      </c>
      <c r="D41" s="44">
        <v>18</v>
      </c>
      <c r="E41" s="43">
        <v>6.5717415115005477E-4</v>
      </c>
    </row>
    <row r="42" spans="2:5" ht="15" customHeight="1" x14ac:dyDescent="0.25">
      <c r="B42" s="89"/>
      <c r="C42" s="45" t="s">
        <v>128</v>
      </c>
      <c r="D42" s="44">
        <v>8</v>
      </c>
      <c r="E42" s="43">
        <v>2.9207740051113545E-4</v>
      </c>
    </row>
    <row r="43" spans="2:5" ht="15" customHeight="1" x14ac:dyDescent="0.25">
      <c r="B43" s="89"/>
      <c r="C43" s="45" t="s">
        <v>124</v>
      </c>
      <c r="D43" s="44">
        <v>4</v>
      </c>
      <c r="E43" s="43">
        <v>1.4603870025556772E-4</v>
      </c>
    </row>
    <row r="44" spans="2:5" ht="15" customHeight="1" x14ac:dyDescent="0.25">
      <c r="B44" s="89"/>
      <c r="C44" s="45" t="s">
        <v>136</v>
      </c>
      <c r="D44" s="44">
        <v>30</v>
      </c>
      <c r="E44" s="43">
        <v>1.0952902519167579E-3</v>
      </c>
    </row>
    <row r="45" spans="2:5" ht="15" customHeight="1" x14ac:dyDescent="0.25">
      <c r="B45" s="89"/>
      <c r="C45" s="45" t="s">
        <v>137</v>
      </c>
      <c r="D45" s="44">
        <v>41</v>
      </c>
      <c r="E45" s="43">
        <v>1.4968966776195691E-3</v>
      </c>
    </row>
    <row r="46" spans="2:5" ht="15" customHeight="1" x14ac:dyDescent="0.25">
      <c r="B46" s="89"/>
      <c r="C46" s="45" t="s">
        <v>131</v>
      </c>
      <c r="D46" s="44">
        <v>55</v>
      </c>
      <c r="E46" s="43">
        <v>2.008032128514056E-3</v>
      </c>
    </row>
    <row r="47" spans="2:5" ht="15" customHeight="1" x14ac:dyDescent="0.25">
      <c r="B47" s="89"/>
      <c r="C47" s="45" t="s">
        <v>135</v>
      </c>
      <c r="D47" s="44">
        <v>68</v>
      </c>
      <c r="E47" s="43">
        <v>2.4826579043446513E-3</v>
      </c>
    </row>
    <row r="48" spans="2:5" ht="15" customHeight="1" x14ac:dyDescent="0.25">
      <c r="B48" s="89"/>
      <c r="C48" s="45" t="s">
        <v>125</v>
      </c>
      <c r="D48" s="44">
        <v>3</v>
      </c>
      <c r="E48" s="43">
        <v>1.095290251916758E-4</v>
      </c>
    </row>
    <row r="49" spans="2:5" ht="15" customHeight="1" x14ac:dyDescent="0.25">
      <c r="B49" s="89"/>
      <c r="C49" s="45" t="s">
        <v>133</v>
      </c>
      <c r="D49" s="44">
        <v>18</v>
      </c>
      <c r="E49" s="43">
        <v>6.5717415115005477E-4</v>
      </c>
    </row>
    <row r="50" spans="2:5" ht="15" customHeight="1" x14ac:dyDescent="0.25">
      <c r="B50" s="89"/>
      <c r="C50" s="45" t="s">
        <v>126</v>
      </c>
      <c r="D50" s="44">
        <v>3</v>
      </c>
      <c r="E50" s="43">
        <v>1.095290251916758E-4</v>
      </c>
    </row>
    <row r="51" spans="2:5" ht="15" customHeight="1" x14ac:dyDescent="0.25">
      <c r="B51" s="89"/>
      <c r="C51" s="45" t="s">
        <v>127</v>
      </c>
      <c r="D51" s="44">
        <v>5</v>
      </c>
      <c r="E51" s="43">
        <v>1.8254837531945966E-4</v>
      </c>
    </row>
    <row r="52" spans="2:5" ht="15" customHeight="1" x14ac:dyDescent="0.25">
      <c r="B52" s="89"/>
      <c r="C52" s="45" t="s">
        <v>129</v>
      </c>
      <c r="D52" s="44">
        <v>10</v>
      </c>
      <c r="E52" s="43">
        <v>3.6509675063891932E-4</v>
      </c>
    </row>
    <row r="53" spans="2:5" ht="15" customHeight="1" x14ac:dyDescent="0.25">
      <c r="B53" s="90"/>
      <c r="C53" s="42" t="s">
        <v>20</v>
      </c>
      <c r="D53" s="41">
        <v>324</v>
      </c>
      <c r="E53" s="40">
        <v>1.1829134720700987E-2</v>
      </c>
    </row>
    <row r="54" spans="2:5" ht="15" customHeight="1" x14ac:dyDescent="0.25">
      <c r="B54" s="88" t="s">
        <v>82</v>
      </c>
      <c r="C54" s="45" t="s">
        <v>134</v>
      </c>
      <c r="D54" s="44">
        <v>11</v>
      </c>
      <c r="E54" s="43">
        <v>4.0160642570281126E-4</v>
      </c>
    </row>
    <row r="55" spans="2:5" ht="15" customHeight="1" x14ac:dyDescent="0.25">
      <c r="B55" s="89"/>
      <c r="C55" s="45" t="s">
        <v>132</v>
      </c>
      <c r="D55" s="44">
        <v>4</v>
      </c>
      <c r="E55" s="43">
        <v>1.4603870025556772E-4</v>
      </c>
    </row>
    <row r="56" spans="2:5" ht="15" customHeight="1" x14ac:dyDescent="0.25">
      <c r="B56" s="89"/>
      <c r="C56" s="45" t="s">
        <v>130</v>
      </c>
      <c r="D56" s="44">
        <v>5</v>
      </c>
      <c r="E56" s="43">
        <v>1.8254837531945966E-4</v>
      </c>
    </row>
    <row r="57" spans="2:5" ht="15" customHeight="1" x14ac:dyDescent="0.25">
      <c r="B57" s="89"/>
      <c r="C57" s="45" t="s">
        <v>128</v>
      </c>
      <c r="D57" s="44">
        <v>5</v>
      </c>
      <c r="E57" s="43">
        <v>1.8254837531945966E-4</v>
      </c>
    </row>
    <row r="58" spans="2:5" ht="15" customHeight="1" x14ac:dyDescent="0.25">
      <c r="B58" s="89"/>
      <c r="C58" s="45" t="s">
        <v>124</v>
      </c>
      <c r="D58" s="44">
        <v>1</v>
      </c>
      <c r="E58" s="43">
        <v>3.6509675063891931E-5</v>
      </c>
    </row>
    <row r="59" spans="2:5" ht="15" customHeight="1" x14ac:dyDescent="0.25">
      <c r="B59" s="89"/>
      <c r="C59" s="45" t="s">
        <v>136</v>
      </c>
      <c r="D59" s="44">
        <v>25</v>
      </c>
      <c r="E59" s="43">
        <v>9.1274187659729834E-4</v>
      </c>
    </row>
    <row r="60" spans="2:5" ht="15" customHeight="1" x14ac:dyDescent="0.25">
      <c r="B60" s="89"/>
      <c r="C60" s="45" t="s">
        <v>137</v>
      </c>
      <c r="D60" s="44">
        <v>8</v>
      </c>
      <c r="E60" s="43">
        <v>2.9207740051113545E-4</v>
      </c>
    </row>
    <row r="61" spans="2:5" ht="15" customHeight="1" x14ac:dyDescent="0.25">
      <c r="B61" s="89"/>
      <c r="C61" s="45" t="s">
        <v>131</v>
      </c>
      <c r="D61" s="44">
        <v>6</v>
      </c>
      <c r="E61" s="43">
        <v>2.190580503833516E-4</v>
      </c>
    </row>
    <row r="62" spans="2:5" ht="15" customHeight="1" x14ac:dyDescent="0.25">
      <c r="B62" s="89"/>
      <c r="C62" s="45" t="s">
        <v>135</v>
      </c>
      <c r="D62" s="44">
        <v>15</v>
      </c>
      <c r="E62" s="43">
        <v>5.4764512595837896E-4</v>
      </c>
    </row>
    <row r="63" spans="2:5" ht="15" customHeight="1" x14ac:dyDescent="0.25">
      <c r="B63" s="89"/>
      <c r="C63" s="45" t="s">
        <v>133</v>
      </c>
      <c r="D63" s="44">
        <v>12</v>
      </c>
      <c r="E63" s="43">
        <v>4.381161007667032E-4</v>
      </c>
    </row>
    <row r="64" spans="2:5" ht="15" customHeight="1" x14ac:dyDescent="0.25">
      <c r="B64" s="89"/>
      <c r="C64" s="45" t="s">
        <v>122</v>
      </c>
      <c r="D64" s="44">
        <v>10</v>
      </c>
      <c r="E64" s="43">
        <v>3.6509675063891932E-4</v>
      </c>
    </row>
    <row r="65" spans="2:5" ht="15" customHeight="1" x14ac:dyDescent="0.25">
      <c r="B65" s="89"/>
      <c r="C65" s="45" t="s">
        <v>126</v>
      </c>
      <c r="D65" s="44">
        <v>1</v>
      </c>
      <c r="E65" s="43">
        <v>3.6509675063891931E-5</v>
      </c>
    </row>
    <row r="66" spans="2:5" ht="15" customHeight="1" x14ac:dyDescent="0.25">
      <c r="B66" s="89"/>
      <c r="C66" s="45" t="s">
        <v>129</v>
      </c>
      <c r="D66" s="44">
        <v>4</v>
      </c>
      <c r="E66" s="43">
        <v>1.4603870025556772E-4</v>
      </c>
    </row>
    <row r="67" spans="2:5" ht="15" customHeight="1" x14ac:dyDescent="0.25">
      <c r="B67" s="90"/>
      <c r="C67" s="42" t="s">
        <v>20</v>
      </c>
      <c r="D67" s="41">
        <v>107</v>
      </c>
      <c r="E67" s="40">
        <v>3.9065352318364364E-3</v>
      </c>
    </row>
    <row r="68" spans="2:5" ht="15" customHeight="1" x14ac:dyDescent="0.25">
      <c r="B68" s="88" t="s">
        <v>78</v>
      </c>
      <c r="C68" s="45" t="s">
        <v>134</v>
      </c>
      <c r="D68" s="44">
        <v>1</v>
      </c>
      <c r="E68" s="43">
        <v>3.6509675063891931E-5</v>
      </c>
    </row>
    <row r="69" spans="2:5" ht="15" customHeight="1" x14ac:dyDescent="0.25">
      <c r="B69" s="89"/>
      <c r="C69" s="45" t="s">
        <v>132</v>
      </c>
      <c r="D69" s="44">
        <v>10</v>
      </c>
      <c r="E69" s="43">
        <v>3.6509675063891932E-4</v>
      </c>
    </row>
    <row r="70" spans="2:5" ht="15" customHeight="1" x14ac:dyDescent="0.25">
      <c r="B70" s="89"/>
      <c r="C70" s="45" t="s">
        <v>130</v>
      </c>
      <c r="D70" s="44">
        <v>11</v>
      </c>
      <c r="E70" s="43">
        <v>4.0160642570281126E-4</v>
      </c>
    </row>
    <row r="71" spans="2:5" ht="15" customHeight="1" x14ac:dyDescent="0.25">
      <c r="B71" s="89"/>
      <c r="C71" s="45" t="s">
        <v>128</v>
      </c>
      <c r="D71" s="44">
        <v>1</v>
      </c>
      <c r="E71" s="43">
        <v>3.6509675063891931E-5</v>
      </c>
    </row>
    <row r="72" spans="2:5" ht="15" customHeight="1" x14ac:dyDescent="0.25">
      <c r="B72" s="89"/>
      <c r="C72" s="45" t="s">
        <v>136</v>
      </c>
      <c r="D72" s="44">
        <v>11</v>
      </c>
      <c r="E72" s="43">
        <v>4.0160642570281126E-4</v>
      </c>
    </row>
    <row r="73" spans="2:5" ht="15" customHeight="1" x14ac:dyDescent="0.25">
      <c r="B73" s="89"/>
      <c r="C73" s="45" t="s">
        <v>137</v>
      </c>
      <c r="D73" s="44">
        <v>10</v>
      </c>
      <c r="E73" s="43">
        <v>3.6509675063891932E-4</v>
      </c>
    </row>
    <row r="74" spans="2:5" ht="15" customHeight="1" x14ac:dyDescent="0.25">
      <c r="B74" s="89"/>
      <c r="C74" s="45" t="s">
        <v>131</v>
      </c>
      <c r="D74" s="44">
        <v>1</v>
      </c>
      <c r="E74" s="43">
        <v>3.6509675063891931E-5</v>
      </c>
    </row>
    <row r="75" spans="2:5" ht="15" customHeight="1" x14ac:dyDescent="0.25">
      <c r="B75" s="89"/>
      <c r="C75" s="45" t="s">
        <v>135</v>
      </c>
      <c r="D75" s="44">
        <v>1</v>
      </c>
      <c r="E75" s="43">
        <v>3.6509675063891931E-5</v>
      </c>
    </row>
    <row r="76" spans="2:5" ht="15" customHeight="1" x14ac:dyDescent="0.25">
      <c r="B76" s="89"/>
      <c r="C76" s="45" t="s">
        <v>133</v>
      </c>
      <c r="D76" s="44">
        <v>1</v>
      </c>
      <c r="E76" s="43">
        <v>3.6509675063891931E-5</v>
      </c>
    </row>
    <row r="77" spans="2:5" ht="15" customHeight="1" x14ac:dyDescent="0.25">
      <c r="B77" s="89"/>
      <c r="C77" s="45" t="s">
        <v>129</v>
      </c>
      <c r="D77" s="44">
        <v>1</v>
      </c>
      <c r="E77" s="43">
        <v>3.6509675063891931E-5</v>
      </c>
    </row>
    <row r="78" spans="2:5" ht="15" customHeight="1" x14ac:dyDescent="0.25">
      <c r="B78" s="90"/>
      <c r="C78" s="42" t="s">
        <v>20</v>
      </c>
      <c r="D78" s="41">
        <v>48</v>
      </c>
      <c r="E78" s="40">
        <v>1.7524644030668128E-3</v>
      </c>
    </row>
    <row r="79" spans="2:5" ht="15" customHeight="1" x14ac:dyDescent="0.25">
      <c r="B79" s="88" t="s">
        <v>83</v>
      </c>
      <c r="C79" s="45" t="s">
        <v>134</v>
      </c>
      <c r="D79" s="44">
        <v>1</v>
      </c>
      <c r="E79" s="43">
        <v>3.6509675063891931E-5</v>
      </c>
    </row>
    <row r="80" spans="2:5" ht="15" customHeight="1" x14ac:dyDescent="0.25">
      <c r="B80" s="89"/>
      <c r="C80" s="45" t="s">
        <v>132</v>
      </c>
      <c r="D80" s="44">
        <v>3</v>
      </c>
      <c r="E80" s="43">
        <v>1.095290251916758E-4</v>
      </c>
    </row>
    <row r="81" spans="2:5" ht="15" customHeight="1" x14ac:dyDescent="0.25">
      <c r="B81" s="89"/>
      <c r="C81" s="45" t="s">
        <v>130</v>
      </c>
      <c r="D81" s="44">
        <v>1</v>
      </c>
      <c r="E81" s="43">
        <v>3.6509675063891931E-5</v>
      </c>
    </row>
    <row r="82" spans="2:5" ht="15" customHeight="1" x14ac:dyDescent="0.25">
      <c r="B82" s="89"/>
      <c r="C82" s="45" t="s">
        <v>124</v>
      </c>
      <c r="D82" s="44">
        <v>1</v>
      </c>
      <c r="E82" s="43">
        <v>3.6509675063891931E-5</v>
      </c>
    </row>
    <row r="83" spans="2:5" ht="15" customHeight="1" x14ac:dyDescent="0.25">
      <c r="B83" s="89"/>
      <c r="C83" s="45" t="s">
        <v>136</v>
      </c>
      <c r="D83" s="44">
        <v>2</v>
      </c>
      <c r="E83" s="43">
        <v>7.3019350127783862E-5</v>
      </c>
    </row>
    <row r="84" spans="2:5" ht="15" customHeight="1" x14ac:dyDescent="0.25">
      <c r="B84" s="89"/>
      <c r="C84" s="45" t="s">
        <v>131</v>
      </c>
      <c r="D84" s="44">
        <v>1</v>
      </c>
      <c r="E84" s="43">
        <v>3.6509675063891931E-5</v>
      </c>
    </row>
    <row r="85" spans="2:5" ht="15" customHeight="1" x14ac:dyDescent="0.25">
      <c r="B85" s="89"/>
      <c r="C85" s="45" t="s">
        <v>133</v>
      </c>
      <c r="D85" s="44">
        <v>32</v>
      </c>
      <c r="E85" s="43">
        <v>1.1683096020445418E-3</v>
      </c>
    </row>
    <row r="86" spans="2:5" ht="15" customHeight="1" x14ac:dyDescent="0.25">
      <c r="B86" s="89"/>
      <c r="C86" s="45" t="s">
        <v>126</v>
      </c>
      <c r="D86" s="44">
        <v>14</v>
      </c>
      <c r="E86" s="43">
        <v>5.1113545089448702E-4</v>
      </c>
    </row>
    <row r="87" spans="2:5" ht="15" customHeight="1" x14ac:dyDescent="0.25">
      <c r="B87" s="89"/>
      <c r="C87" s="45" t="s">
        <v>127</v>
      </c>
      <c r="D87" s="44">
        <v>18</v>
      </c>
      <c r="E87" s="43">
        <v>6.5717415115005477E-4</v>
      </c>
    </row>
    <row r="88" spans="2:5" ht="15" customHeight="1" x14ac:dyDescent="0.25">
      <c r="B88" s="90"/>
      <c r="C88" s="42" t="s">
        <v>20</v>
      </c>
      <c r="D88" s="41">
        <v>73</v>
      </c>
      <c r="E88" s="40">
        <v>2.6652062796641111E-3</v>
      </c>
    </row>
    <row r="89" spans="2:5" ht="15" customHeight="1" x14ac:dyDescent="0.25">
      <c r="B89" s="88" t="s">
        <v>76</v>
      </c>
      <c r="C89" s="45" t="s">
        <v>132</v>
      </c>
      <c r="D89" s="44">
        <v>1</v>
      </c>
      <c r="E89" s="43">
        <v>3.6509675063891931E-5</v>
      </c>
    </row>
    <row r="90" spans="2:5" ht="15" customHeight="1" x14ac:dyDescent="0.25">
      <c r="B90" s="89"/>
      <c r="C90" s="45" t="s">
        <v>136</v>
      </c>
      <c r="D90" s="44">
        <v>1</v>
      </c>
      <c r="E90" s="43">
        <v>3.6509675063891931E-5</v>
      </c>
    </row>
    <row r="91" spans="2:5" ht="15" customHeight="1" x14ac:dyDescent="0.25">
      <c r="B91" s="89"/>
      <c r="C91" s="45" t="s">
        <v>137</v>
      </c>
      <c r="D91" s="44">
        <v>1</v>
      </c>
      <c r="E91" s="43">
        <v>3.6509675063891931E-5</v>
      </c>
    </row>
    <row r="92" spans="2:5" ht="15" customHeight="1" x14ac:dyDescent="0.25">
      <c r="B92" s="89"/>
      <c r="C92" s="45" t="s">
        <v>135</v>
      </c>
      <c r="D92" s="44">
        <v>4</v>
      </c>
      <c r="E92" s="43">
        <v>1.4603870025556772E-4</v>
      </c>
    </row>
    <row r="93" spans="2:5" ht="15" customHeight="1" x14ac:dyDescent="0.25">
      <c r="B93" s="89"/>
      <c r="C93" s="45" t="s">
        <v>127</v>
      </c>
      <c r="D93" s="44">
        <v>1</v>
      </c>
      <c r="E93" s="43">
        <v>3.6509675063891931E-5</v>
      </c>
    </row>
    <row r="94" spans="2:5" ht="15" customHeight="1" x14ac:dyDescent="0.25">
      <c r="B94" s="90"/>
      <c r="C94" s="42" t="s">
        <v>20</v>
      </c>
      <c r="D94" s="41">
        <v>8</v>
      </c>
      <c r="E94" s="40">
        <v>2.9207740051113545E-4</v>
      </c>
    </row>
    <row r="95" spans="2:5" ht="15" customHeight="1" x14ac:dyDescent="0.25">
      <c r="B95" s="88" t="s">
        <v>119</v>
      </c>
      <c r="C95" s="45" t="s">
        <v>134</v>
      </c>
      <c r="D95" s="44">
        <v>384</v>
      </c>
      <c r="E95" s="43">
        <v>1.4019715224534502E-2</v>
      </c>
    </row>
    <row r="96" spans="2:5" ht="15" customHeight="1" x14ac:dyDescent="0.25">
      <c r="B96" s="89"/>
      <c r="C96" s="45" t="s">
        <v>132</v>
      </c>
      <c r="D96" s="44">
        <v>326</v>
      </c>
      <c r="E96" s="43">
        <v>1.190215407082877E-2</v>
      </c>
    </row>
    <row r="97" spans="2:5" ht="15" customHeight="1" x14ac:dyDescent="0.25">
      <c r="B97" s="89"/>
      <c r="C97" s="45" t="s">
        <v>130</v>
      </c>
      <c r="D97" s="44">
        <v>248</v>
      </c>
      <c r="E97" s="43">
        <v>9.0543994158451997E-3</v>
      </c>
    </row>
    <row r="98" spans="2:5" ht="15" customHeight="1" x14ac:dyDescent="0.25">
      <c r="B98" s="89"/>
      <c r="C98" s="45" t="s">
        <v>128</v>
      </c>
      <c r="D98" s="44">
        <v>182</v>
      </c>
      <c r="E98" s="43">
        <v>6.6447608616283316E-3</v>
      </c>
    </row>
    <row r="99" spans="2:5" ht="15" customHeight="1" x14ac:dyDescent="0.25">
      <c r="B99" s="89"/>
      <c r="C99" s="45" t="s">
        <v>124</v>
      </c>
      <c r="D99" s="44">
        <v>25</v>
      </c>
      <c r="E99" s="43">
        <v>9.1274187659729834E-4</v>
      </c>
    </row>
    <row r="100" spans="2:5" ht="15" customHeight="1" x14ac:dyDescent="0.25">
      <c r="B100" s="89"/>
      <c r="C100" s="45" t="s">
        <v>136</v>
      </c>
      <c r="D100" s="44">
        <v>541</v>
      </c>
      <c r="E100" s="43">
        <v>1.9751734209565535E-2</v>
      </c>
    </row>
    <row r="101" spans="2:5" ht="15" customHeight="1" x14ac:dyDescent="0.25">
      <c r="B101" s="89"/>
      <c r="C101" s="45" t="s">
        <v>137</v>
      </c>
      <c r="D101" s="44">
        <v>713</v>
      </c>
      <c r="E101" s="43">
        <v>2.6031398320554948E-2</v>
      </c>
    </row>
    <row r="102" spans="2:5" ht="15" customHeight="1" x14ac:dyDescent="0.25">
      <c r="B102" s="89"/>
      <c r="C102" s="45" t="s">
        <v>131</v>
      </c>
      <c r="D102" s="44">
        <v>359</v>
      </c>
      <c r="E102" s="43">
        <v>1.3106973347937203E-2</v>
      </c>
    </row>
    <row r="103" spans="2:5" ht="15" customHeight="1" x14ac:dyDescent="0.25">
      <c r="B103" s="89"/>
      <c r="C103" s="45" t="s">
        <v>135</v>
      </c>
      <c r="D103" s="44">
        <v>492</v>
      </c>
      <c r="E103" s="43">
        <v>1.796276013143483E-2</v>
      </c>
    </row>
    <row r="104" spans="2:5" ht="15" customHeight="1" x14ac:dyDescent="0.25">
      <c r="B104" s="89"/>
      <c r="C104" s="45" t="s">
        <v>125</v>
      </c>
      <c r="D104" s="44">
        <v>26</v>
      </c>
      <c r="E104" s="43">
        <v>9.4925155166119017E-4</v>
      </c>
    </row>
    <row r="105" spans="2:5" ht="15" customHeight="1" x14ac:dyDescent="0.25">
      <c r="B105" s="89"/>
      <c r="C105" s="45" t="s">
        <v>133</v>
      </c>
      <c r="D105" s="44">
        <v>175</v>
      </c>
      <c r="E105" s="43">
        <v>6.3891931361810877E-3</v>
      </c>
    </row>
    <row r="106" spans="2:5" ht="15" customHeight="1" x14ac:dyDescent="0.25">
      <c r="B106" s="89"/>
      <c r="C106" s="45" t="s">
        <v>122</v>
      </c>
      <c r="D106" s="44">
        <v>7</v>
      </c>
      <c r="E106" s="43">
        <v>2.5556772544724351E-4</v>
      </c>
    </row>
    <row r="107" spans="2:5" ht="15" customHeight="1" x14ac:dyDescent="0.25">
      <c r="B107" s="89"/>
      <c r="C107" s="45" t="s">
        <v>126</v>
      </c>
      <c r="D107" s="44">
        <v>44</v>
      </c>
      <c r="E107" s="43">
        <v>1.606425702811245E-3</v>
      </c>
    </row>
    <row r="108" spans="2:5" ht="15" customHeight="1" x14ac:dyDescent="0.25">
      <c r="B108" s="89"/>
      <c r="C108" s="45" t="s">
        <v>127</v>
      </c>
      <c r="D108" s="44">
        <v>40</v>
      </c>
      <c r="E108" s="43">
        <v>1.4603870025556773E-3</v>
      </c>
    </row>
    <row r="109" spans="2:5" ht="15" customHeight="1" x14ac:dyDescent="0.25">
      <c r="B109" s="89"/>
      <c r="C109" s="45" t="s">
        <v>129</v>
      </c>
      <c r="D109" s="44">
        <v>85</v>
      </c>
      <c r="E109" s="43">
        <v>3.103322380430814E-3</v>
      </c>
    </row>
    <row r="110" spans="2:5" ht="15" customHeight="1" x14ac:dyDescent="0.25">
      <c r="B110" s="89"/>
      <c r="C110" s="45" t="s">
        <v>123</v>
      </c>
      <c r="D110" s="44">
        <v>5</v>
      </c>
      <c r="E110" s="43">
        <v>1.8254837531945966E-4</v>
      </c>
    </row>
    <row r="111" spans="2:5" ht="15" customHeight="1" x14ac:dyDescent="0.25">
      <c r="B111" s="90"/>
      <c r="C111" s="42" t="s">
        <v>20</v>
      </c>
      <c r="D111" s="41">
        <v>3652</v>
      </c>
      <c r="E111" s="40">
        <v>0.13333333333333333</v>
      </c>
    </row>
    <row r="112" spans="2:5" ht="15" customHeight="1" x14ac:dyDescent="0.25">
      <c r="B112" s="88" t="s">
        <v>117</v>
      </c>
      <c r="C112" s="45" t="s">
        <v>134</v>
      </c>
      <c r="D112" s="44">
        <v>22</v>
      </c>
      <c r="E112" s="43">
        <v>8.0321285140562252E-4</v>
      </c>
    </row>
    <row r="113" spans="2:5" ht="15" customHeight="1" x14ac:dyDescent="0.25">
      <c r="B113" s="89"/>
      <c r="C113" s="45" t="s">
        <v>132</v>
      </c>
      <c r="D113" s="44">
        <v>19</v>
      </c>
      <c r="E113" s="43">
        <v>6.9368382621394671E-4</v>
      </c>
    </row>
    <row r="114" spans="2:5" ht="15" customHeight="1" x14ac:dyDescent="0.25">
      <c r="B114" s="89"/>
      <c r="C114" s="45" t="s">
        <v>130</v>
      </c>
      <c r="D114" s="44">
        <v>17</v>
      </c>
      <c r="E114" s="43">
        <v>6.2066447608616284E-4</v>
      </c>
    </row>
    <row r="115" spans="2:5" ht="15" customHeight="1" x14ac:dyDescent="0.25">
      <c r="B115" s="89"/>
      <c r="C115" s="45" t="s">
        <v>128</v>
      </c>
      <c r="D115" s="44">
        <v>35</v>
      </c>
      <c r="E115" s="43">
        <v>1.2778386272362175E-3</v>
      </c>
    </row>
    <row r="116" spans="2:5" ht="15" customHeight="1" x14ac:dyDescent="0.25">
      <c r="B116" s="89"/>
      <c r="C116" s="45" t="s">
        <v>124</v>
      </c>
      <c r="D116" s="44">
        <v>6</v>
      </c>
      <c r="E116" s="43">
        <v>2.190580503833516E-4</v>
      </c>
    </row>
    <row r="117" spans="2:5" ht="15" customHeight="1" x14ac:dyDescent="0.25">
      <c r="B117" s="89"/>
      <c r="C117" s="45" t="s">
        <v>136</v>
      </c>
      <c r="D117" s="44">
        <v>46</v>
      </c>
      <c r="E117" s="43">
        <v>1.6794450529390289E-3</v>
      </c>
    </row>
    <row r="118" spans="2:5" ht="15" customHeight="1" x14ac:dyDescent="0.25">
      <c r="B118" s="89"/>
      <c r="C118" s="45" t="s">
        <v>137</v>
      </c>
      <c r="D118" s="44">
        <v>178</v>
      </c>
      <c r="E118" s="43">
        <v>6.4987221613727634E-3</v>
      </c>
    </row>
    <row r="119" spans="2:5" ht="15" customHeight="1" x14ac:dyDescent="0.25">
      <c r="B119" s="89"/>
      <c r="C119" s="45" t="s">
        <v>131</v>
      </c>
      <c r="D119" s="44">
        <v>300</v>
      </c>
      <c r="E119" s="43">
        <v>1.0952902519167579E-2</v>
      </c>
    </row>
    <row r="120" spans="2:5" ht="15" customHeight="1" x14ac:dyDescent="0.25">
      <c r="B120" s="89"/>
      <c r="C120" s="45" t="s">
        <v>135</v>
      </c>
      <c r="D120" s="44">
        <v>460</v>
      </c>
      <c r="E120" s="43">
        <v>1.6794450529390288E-2</v>
      </c>
    </row>
    <row r="121" spans="2:5" ht="15" customHeight="1" x14ac:dyDescent="0.25">
      <c r="B121" s="89"/>
      <c r="C121" s="45" t="s">
        <v>125</v>
      </c>
      <c r="D121" s="44">
        <v>11</v>
      </c>
      <c r="E121" s="43">
        <v>4.0160642570281126E-4</v>
      </c>
    </row>
    <row r="122" spans="2:5" ht="15" customHeight="1" x14ac:dyDescent="0.25">
      <c r="B122" s="89"/>
      <c r="C122" s="45" t="s">
        <v>133</v>
      </c>
      <c r="D122" s="44">
        <v>327</v>
      </c>
      <c r="E122" s="43">
        <v>1.1938663745892662E-2</v>
      </c>
    </row>
    <row r="123" spans="2:5" ht="15" customHeight="1" x14ac:dyDescent="0.25">
      <c r="B123" s="89"/>
      <c r="C123" s="45" t="s">
        <v>122</v>
      </c>
      <c r="D123" s="44">
        <v>77</v>
      </c>
      <c r="E123" s="43">
        <v>2.8112449799196789E-3</v>
      </c>
    </row>
    <row r="124" spans="2:5" ht="15" customHeight="1" x14ac:dyDescent="0.25">
      <c r="B124" s="89"/>
      <c r="C124" s="45" t="s">
        <v>126</v>
      </c>
      <c r="D124" s="44">
        <v>75</v>
      </c>
      <c r="E124" s="43">
        <v>2.7382256297918948E-3</v>
      </c>
    </row>
    <row r="125" spans="2:5" ht="15" customHeight="1" x14ac:dyDescent="0.25">
      <c r="B125" s="89"/>
      <c r="C125" s="45" t="s">
        <v>127</v>
      </c>
      <c r="D125" s="44">
        <v>62</v>
      </c>
      <c r="E125" s="43">
        <v>2.2635998539612999E-3</v>
      </c>
    </row>
    <row r="126" spans="2:5" ht="15" customHeight="1" x14ac:dyDescent="0.25">
      <c r="B126" s="89"/>
      <c r="C126" s="45" t="s">
        <v>129</v>
      </c>
      <c r="D126" s="44">
        <v>18</v>
      </c>
      <c r="E126" s="43">
        <v>6.5717415115005477E-4</v>
      </c>
    </row>
    <row r="127" spans="2:5" ht="15" customHeight="1" x14ac:dyDescent="0.25">
      <c r="B127" s="89"/>
      <c r="C127" s="45" t="s">
        <v>123</v>
      </c>
      <c r="D127" s="44">
        <v>9</v>
      </c>
      <c r="E127" s="43">
        <v>3.2858707557502739E-4</v>
      </c>
    </row>
    <row r="128" spans="2:5" ht="15" customHeight="1" x14ac:dyDescent="0.25">
      <c r="B128" s="90"/>
      <c r="C128" s="42" t="s">
        <v>20</v>
      </c>
      <c r="D128" s="41">
        <v>1662</v>
      </c>
      <c r="E128" s="40">
        <v>6.0679079956188389E-2</v>
      </c>
    </row>
    <row r="129" spans="2:5" ht="15" customHeight="1" x14ac:dyDescent="0.25">
      <c r="B129" s="88" t="s">
        <v>75</v>
      </c>
      <c r="C129" s="45" t="s">
        <v>137</v>
      </c>
      <c r="D129" s="44">
        <v>1</v>
      </c>
      <c r="E129" s="43">
        <v>3.6509675063891931E-5</v>
      </c>
    </row>
    <row r="130" spans="2:5" ht="15" customHeight="1" x14ac:dyDescent="0.25">
      <c r="B130" s="89"/>
      <c r="C130" s="45" t="s">
        <v>135</v>
      </c>
      <c r="D130" s="44">
        <v>3</v>
      </c>
      <c r="E130" s="43">
        <v>1.095290251916758E-4</v>
      </c>
    </row>
    <row r="131" spans="2:5" ht="15" customHeight="1" x14ac:dyDescent="0.25">
      <c r="B131" s="89"/>
      <c r="C131" s="45" t="s">
        <v>127</v>
      </c>
      <c r="D131" s="44">
        <v>2</v>
      </c>
      <c r="E131" s="43">
        <v>7.3019350127783862E-5</v>
      </c>
    </row>
    <row r="132" spans="2:5" ht="15" customHeight="1" x14ac:dyDescent="0.25">
      <c r="B132" s="90"/>
      <c r="C132" s="42" t="s">
        <v>20</v>
      </c>
      <c r="D132" s="41">
        <v>6</v>
      </c>
      <c r="E132" s="40">
        <v>2.190580503833516E-4</v>
      </c>
    </row>
    <row r="133" spans="2:5" ht="15" customHeight="1" x14ac:dyDescent="0.25">
      <c r="B133" s="88" t="s">
        <v>101</v>
      </c>
      <c r="C133" s="45" t="s">
        <v>134</v>
      </c>
      <c r="D133" s="44">
        <v>54</v>
      </c>
      <c r="E133" s="43">
        <v>1.9715224534501644E-3</v>
      </c>
    </row>
    <row r="134" spans="2:5" ht="15" customHeight="1" x14ac:dyDescent="0.25">
      <c r="B134" s="89"/>
      <c r="C134" s="45" t="s">
        <v>132</v>
      </c>
      <c r="D134" s="44">
        <v>36</v>
      </c>
      <c r="E134" s="43">
        <v>1.3143483023001095E-3</v>
      </c>
    </row>
    <row r="135" spans="2:5" ht="15" customHeight="1" x14ac:dyDescent="0.25">
      <c r="B135" s="89"/>
      <c r="C135" s="45" t="s">
        <v>130</v>
      </c>
      <c r="D135" s="44">
        <v>30</v>
      </c>
      <c r="E135" s="43">
        <v>1.0952902519167579E-3</v>
      </c>
    </row>
    <row r="136" spans="2:5" ht="15" customHeight="1" x14ac:dyDescent="0.25">
      <c r="B136" s="89"/>
      <c r="C136" s="45" t="s">
        <v>128</v>
      </c>
      <c r="D136" s="44">
        <v>10</v>
      </c>
      <c r="E136" s="43">
        <v>3.6509675063891932E-4</v>
      </c>
    </row>
    <row r="137" spans="2:5" ht="15" customHeight="1" x14ac:dyDescent="0.25">
      <c r="B137" s="89"/>
      <c r="C137" s="45" t="s">
        <v>124</v>
      </c>
      <c r="D137" s="44">
        <v>1</v>
      </c>
      <c r="E137" s="43">
        <v>3.6509675063891931E-5</v>
      </c>
    </row>
    <row r="138" spans="2:5" ht="15" customHeight="1" x14ac:dyDescent="0.25">
      <c r="B138" s="89"/>
      <c r="C138" s="45" t="s">
        <v>136</v>
      </c>
      <c r="D138" s="44">
        <v>29</v>
      </c>
      <c r="E138" s="43">
        <v>1.0587805768528661E-3</v>
      </c>
    </row>
    <row r="139" spans="2:5" ht="15" customHeight="1" x14ac:dyDescent="0.25">
      <c r="B139" s="89"/>
      <c r="C139" s="45" t="s">
        <v>137</v>
      </c>
      <c r="D139" s="44">
        <v>51</v>
      </c>
      <c r="E139" s="43">
        <v>1.8619934282584885E-3</v>
      </c>
    </row>
    <row r="140" spans="2:5" ht="15" customHeight="1" x14ac:dyDescent="0.25">
      <c r="B140" s="89"/>
      <c r="C140" s="45" t="s">
        <v>131</v>
      </c>
      <c r="D140" s="44">
        <v>17</v>
      </c>
      <c r="E140" s="43">
        <v>6.2066447608616284E-4</v>
      </c>
    </row>
    <row r="141" spans="2:5" ht="15" customHeight="1" x14ac:dyDescent="0.25">
      <c r="B141" s="89"/>
      <c r="C141" s="45" t="s">
        <v>135</v>
      </c>
      <c r="D141" s="44">
        <v>23</v>
      </c>
      <c r="E141" s="43">
        <v>8.3972252646951446E-4</v>
      </c>
    </row>
    <row r="142" spans="2:5" ht="15" customHeight="1" x14ac:dyDescent="0.25">
      <c r="B142" s="89"/>
      <c r="C142" s="45" t="s">
        <v>125</v>
      </c>
      <c r="D142" s="44">
        <v>3</v>
      </c>
      <c r="E142" s="43">
        <v>1.095290251916758E-4</v>
      </c>
    </row>
    <row r="143" spans="2:5" ht="15" customHeight="1" x14ac:dyDescent="0.25">
      <c r="B143" s="89"/>
      <c r="C143" s="45" t="s">
        <v>133</v>
      </c>
      <c r="D143" s="44">
        <v>89</v>
      </c>
      <c r="E143" s="43">
        <v>3.2493610806863817E-3</v>
      </c>
    </row>
    <row r="144" spans="2:5" ht="15" customHeight="1" x14ac:dyDescent="0.25">
      <c r="B144" s="89"/>
      <c r="C144" s="45" t="s">
        <v>122</v>
      </c>
      <c r="D144" s="44">
        <v>1</v>
      </c>
      <c r="E144" s="43">
        <v>3.6509675063891931E-5</v>
      </c>
    </row>
    <row r="145" spans="2:5" ht="15" customHeight="1" x14ac:dyDescent="0.25">
      <c r="B145" s="89"/>
      <c r="C145" s="45" t="s">
        <v>126</v>
      </c>
      <c r="D145" s="44">
        <v>28</v>
      </c>
      <c r="E145" s="43">
        <v>1.022270901788974E-3</v>
      </c>
    </row>
    <row r="146" spans="2:5" ht="15" customHeight="1" x14ac:dyDescent="0.25">
      <c r="B146" s="89"/>
      <c r="C146" s="45" t="s">
        <v>127</v>
      </c>
      <c r="D146" s="44">
        <v>37</v>
      </c>
      <c r="E146" s="43">
        <v>1.3508579773640014E-3</v>
      </c>
    </row>
    <row r="147" spans="2:5" ht="15" customHeight="1" x14ac:dyDescent="0.25">
      <c r="B147" s="89"/>
      <c r="C147" s="45" t="s">
        <v>129</v>
      </c>
      <c r="D147" s="44">
        <v>16</v>
      </c>
      <c r="E147" s="43">
        <v>5.841548010222709E-4</v>
      </c>
    </row>
    <row r="148" spans="2:5" ht="15" customHeight="1" x14ac:dyDescent="0.25">
      <c r="B148" s="89"/>
      <c r="C148" s="45" t="s">
        <v>123</v>
      </c>
      <c r="D148" s="44">
        <v>1</v>
      </c>
      <c r="E148" s="43">
        <v>3.6509675063891931E-5</v>
      </c>
    </row>
    <row r="149" spans="2:5" ht="15" customHeight="1" x14ac:dyDescent="0.25">
      <c r="B149" s="90"/>
      <c r="C149" s="42" t="s">
        <v>20</v>
      </c>
      <c r="D149" s="41">
        <v>426</v>
      </c>
      <c r="E149" s="40">
        <v>1.5553121577217962E-2</v>
      </c>
    </row>
    <row r="150" spans="2:5" ht="15" customHeight="1" x14ac:dyDescent="0.25">
      <c r="B150" s="88" t="s">
        <v>87</v>
      </c>
      <c r="C150" s="45" t="s">
        <v>134</v>
      </c>
      <c r="D150" s="44">
        <v>27</v>
      </c>
      <c r="E150" s="43">
        <v>9.8576122672508221E-4</v>
      </c>
    </row>
    <row r="151" spans="2:5" ht="15" customHeight="1" x14ac:dyDescent="0.25">
      <c r="B151" s="89"/>
      <c r="C151" s="45" t="s">
        <v>132</v>
      </c>
      <c r="D151" s="44">
        <v>12</v>
      </c>
      <c r="E151" s="43">
        <v>4.381161007667032E-4</v>
      </c>
    </row>
    <row r="152" spans="2:5" ht="15" customHeight="1" x14ac:dyDescent="0.25">
      <c r="B152" s="89"/>
      <c r="C152" s="45" t="s">
        <v>130</v>
      </c>
      <c r="D152" s="44">
        <v>11</v>
      </c>
      <c r="E152" s="43">
        <v>4.0160642570281126E-4</v>
      </c>
    </row>
    <row r="153" spans="2:5" ht="15" customHeight="1" x14ac:dyDescent="0.25">
      <c r="B153" s="89"/>
      <c r="C153" s="45" t="s">
        <v>128</v>
      </c>
      <c r="D153" s="44">
        <v>14</v>
      </c>
      <c r="E153" s="43">
        <v>5.1113545089448702E-4</v>
      </c>
    </row>
    <row r="154" spans="2:5" ht="15" customHeight="1" x14ac:dyDescent="0.25">
      <c r="B154" s="89"/>
      <c r="C154" s="45" t="s">
        <v>136</v>
      </c>
      <c r="D154" s="44">
        <v>56</v>
      </c>
      <c r="E154" s="43">
        <v>2.0445418035779481E-3</v>
      </c>
    </row>
    <row r="155" spans="2:5" ht="15" customHeight="1" x14ac:dyDescent="0.25">
      <c r="B155" s="89"/>
      <c r="C155" s="45" t="s">
        <v>137</v>
      </c>
      <c r="D155" s="44">
        <v>63</v>
      </c>
      <c r="E155" s="43">
        <v>2.3001095290251915E-3</v>
      </c>
    </row>
    <row r="156" spans="2:5" ht="15" customHeight="1" x14ac:dyDescent="0.25">
      <c r="B156" s="89"/>
      <c r="C156" s="45" t="s">
        <v>131</v>
      </c>
      <c r="D156" s="44">
        <v>21</v>
      </c>
      <c r="E156" s="43">
        <v>7.6670317634173059E-4</v>
      </c>
    </row>
    <row r="157" spans="2:5" ht="15" customHeight="1" x14ac:dyDescent="0.25">
      <c r="B157" s="89"/>
      <c r="C157" s="45" t="s">
        <v>135</v>
      </c>
      <c r="D157" s="44">
        <v>27</v>
      </c>
      <c r="E157" s="43">
        <v>9.8576122672508221E-4</v>
      </c>
    </row>
    <row r="158" spans="2:5" ht="15" customHeight="1" x14ac:dyDescent="0.25">
      <c r="B158" s="89"/>
      <c r="C158" s="45" t="s">
        <v>133</v>
      </c>
      <c r="D158" s="44">
        <v>16</v>
      </c>
      <c r="E158" s="43">
        <v>5.841548010222709E-4</v>
      </c>
    </row>
    <row r="159" spans="2:5" ht="15" customHeight="1" x14ac:dyDescent="0.25">
      <c r="B159" s="89"/>
      <c r="C159" s="45" t="s">
        <v>126</v>
      </c>
      <c r="D159" s="44">
        <v>1</v>
      </c>
      <c r="E159" s="43">
        <v>3.6509675063891931E-5</v>
      </c>
    </row>
    <row r="160" spans="2:5" ht="15" customHeight="1" x14ac:dyDescent="0.25">
      <c r="B160" s="89"/>
      <c r="C160" s="45" t="s">
        <v>127</v>
      </c>
      <c r="D160" s="44">
        <v>11</v>
      </c>
      <c r="E160" s="43">
        <v>4.0160642570281126E-4</v>
      </c>
    </row>
    <row r="161" spans="2:5" ht="15" customHeight="1" x14ac:dyDescent="0.25">
      <c r="B161" s="89"/>
      <c r="C161" s="45" t="s">
        <v>129</v>
      </c>
      <c r="D161" s="44">
        <v>1</v>
      </c>
      <c r="E161" s="43">
        <v>3.6509675063891931E-5</v>
      </c>
    </row>
    <row r="162" spans="2:5" ht="15" customHeight="1" x14ac:dyDescent="0.25">
      <c r="B162" s="90"/>
      <c r="C162" s="42" t="s">
        <v>20</v>
      </c>
      <c r="D162" s="41">
        <v>260</v>
      </c>
      <c r="E162" s="40">
        <v>9.4925155166119025E-3</v>
      </c>
    </row>
    <row r="163" spans="2:5" ht="15" customHeight="1" x14ac:dyDescent="0.25">
      <c r="B163" s="88" t="s">
        <v>73</v>
      </c>
      <c r="C163" s="45" t="s">
        <v>134</v>
      </c>
      <c r="D163" s="44">
        <v>1</v>
      </c>
      <c r="E163" s="43">
        <v>3.6509675063891931E-5</v>
      </c>
    </row>
    <row r="164" spans="2:5" ht="15" customHeight="1" x14ac:dyDescent="0.25">
      <c r="B164" s="90"/>
      <c r="C164" s="42" t="s">
        <v>20</v>
      </c>
      <c r="D164" s="41">
        <v>1</v>
      </c>
      <c r="E164" s="40">
        <v>3.6509675063891931E-5</v>
      </c>
    </row>
    <row r="165" spans="2:5" ht="15" customHeight="1" x14ac:dyDescent="0.25">
      <c r="B165" s="88" t="s">
        <v>72</v>
      </c>
      <c r="C165" s="45" t="s">
        <v>131</v>
      </c>
      <c r="D165" s="44">
        <v>1</v>
      </c>
      <c r="E165" s="43">
        <v>3.6509675063891931E-5</v>
      </c>
    </row>
    <row r="166" spans="2:5" ht="15" customHeight="1" x14ac:dyDescent="0.25">
      <c r="B166" s="90"/>
      <c r="C166" s="42" t="s">
        <v>20</v>
      </c>
      <c r="D166" s="41">
        <v>1</v>
      </c>
      <c r="E166" s="40">
        <v>3.6509675063891931E-5</v>
      </c>
    </row>
    <row r="167" spans="2:5" ht="15" customHeight="1" x14ac:dyDescent="0.25">
      <c r="B167" s="88" t="s">
        <v>85</v>
      </c>
      <c r="C167" s="45" t="s">
        <v>134</v>
      </c>
      <c r="D167" s="44">
        <v>1</v>
      </c>
      <c r="E167" s="43">
        <v>3.6509675063891931E-5</v>
      </c>
    </row>
    <row r="168" spans="2:5" ht="15" customHeight="1" x14ac:dyDescent="0.25">
      <c r="B168" s="89"/>
      <c r="C168" s="45" t="s">
        <v>132</v>
      </c>
      <c r="D168" s="44">
        <v>4</v>
      </c>
      <c r="E168" s="43">
        <v>1.4603870025556772E-4</v>
      </c>
    </row>
    <row r="169" spans="2:5" ht="15" customHeight="1" x14ac:dyDescent="0.25">
      <c r="B169" s="89"/>
      <c r="C169" s="45" t="s">
        <v>130</v>
      </c>
      <c r="D169" s="44">
        <v>4</v>
      </c>
      <c r="E169" s="43">
        <v>1.4603870025556772E-4</v>
      </c>
    </row>
    <row r="170" spans="2:5" ht="15" customHeight="1" x14ac:dyDescent="0.25">
      <c r="B170" s="89"/>
      <c r="C170" s="45" t="s">
        <v>136</v>
      </c>
      <c r="D170" s="44">
        <v>2</v>
      </c>
      <c r="E170" s="43">
        <v>7.3019350127783862E-5</v>
      </c>
    </row>
    <row r="171" spans="2:5" ht="15" customHeight="1" x14ac:dyDescent="0.25">
      <c r="B171" s="89"/>
      <c r="C171" s="45" t="s">
        <v>137</v>
      </c>
      <c r="D171" s="44">
        <v>3</v>
      </c>
      <c r="E171" s="43">
        <v>1.095290251916758E-4</v>
      </c>
    </row>
    <row r="172" spans="2:5" ht="15" customHeight="1" x14ac:dyDescent="0.25">
      <c r="B172" s="89"/>
      <c r="C172" s="45" t="s">
        <v>131</v>
      </c>
      <c r="D172" s="44">
        <v>6</v>
      </c>
      <c r="E172" s="43">
        <v>2.190580503833516E-4</v>
      </c>
    </row>
    <row r="173" spans="2:5" ht="15" customHeight="1" x14ac:dyDescent="0.25">
      <c r="B173" s="89"/>
      <c r="C173" s="45" t="s">
        <v>135</v>
      </c>
      <c r="D173" s="44">
        <v>39</v>
      </c>
      <c r="E173" s="43">
        <v>1.4238773274917853E-3</v>
      </c>
    </row>
    <row r="174" spans="2:5" ht="15" customHeight="1" x14ac:dyDescent="0.25">
      <c r="B174" s="89"/>
      <c r="C174" s="45" t="s">
        <v>133</v>
      </c>
      <c r="D174" s="44">
        <v>4</v>
      </c>
      <c r="E174" s="43">
        <v>1.4603870025556772E-4</v>
      </c>
    </row>
    <row r="175" spans="2:5" ht="15" customHeight="1" x14ac:dyDescent="0.25">
      <c r="B175" s="89"/>
      <c r="C175" s="45" t="s">
        <v>126</v>
      </c>
      <c r="D175" s="44">
        <v>1</v>
      </c>
      <c r="E175" s="43">
        <v>3.6509675063891931E-5</v>
      </c>
    </row>
    <row r="176" spans="2:5" ht="15" customHeight="1" x14ac:dyDescent="0.25">
      <c r="B176" s="89"/>
      <c r="C176" s="45" t="s">
        <v>129</v>
      </c>
      <c r="D176" s="44">
        <v>3</v>
      </c>
      <c r="E176" s="43">
        <v>1.095290251916758E-4</v>
      </c>
    </row>
    <row r="177" spans="2:5" ht="15" customHeight="1" x14ac:dyDescent="0.25">
      <c r="B177" s="89"/>
      <c r="C177" s="45" t="s">
        <v>123</v>
      </c>
      <c r="D177" s="44">
        <v>1</v>
      </c>
      <c r="E177" s="43">
        <v>3.6509675063891931E-5</v>
      </c>
    </row>
    <row r="178" spans="2:5" ht="15" customHeight="1" x14ac:dyDescent="0.25">
      <c r="B178" s="90"/>
      <c r="C178" s="42" t="s">
        <v>20</v>
      </c>
      <c r="D178" s="41">
        <v>68</v>
      </c>
      <c r="E178" s="40">
        <v>2.4826579043446513E-3</v>
      </c>
    </row>
    <row r="179" spans="2:5" ht="15" customHeight="1" x14ac:dyDescent="0.25">
      <c r="B179" s="88" t="s">
        <v>98</v>
      </c>
      <c r="C179" s="45" t="s">
        <v>134</v>
      </c>
      <c r="D179" s="44">
        <v>70</v>
      </c>
      <c r="E179" s="43">
        <v>2.555677254472435E-3</v>
      </c>
    </row>
    <row r="180" spans="2:5" ht="15" customHeight="1" x14ac:dyDescent="0.25">
      <c r="B180" s="89"/>
      <c r="C180" s="45" t="s">
        <v>132</v>
      </c>
      <c r="D180" s="44">
        <v>66</v>
      </c>
      <c r="E180" s="43">
        <v>2.4096385542168677E-3</v>
      </c>
    </row>
    <row r="181" spans="2:5" ht="15" customHeight="1" x14ac:dyDescent="0.25">
      <c r="B181" s="89"/>
      <c r="C181" s="45" t="s">
        <v>130</v>
      </c>
      <c r="D181" s="44">
        <v>56</v>
      </c>
      <c r="E181" s="43">
        <v>2.0445418035779481E-3</v>
      </c>
    </row>
    <row r="182" spans="2:5" ht="15" customHeight="1" x14ac:dyDescent="0.25">
      <c r="B182" s="89"/>
      <c r="C182" s="45" t="s">
        <v>128</v>
      </c>
      <c r="D182" s="44">
        <v>25</v>
      </c>
      <c r="E182" s="43">
        <v>9.1274187659729834E-4</v>
      </c>
    </row>
    <row r="183" spans="2:5" ht="15" customHeight="1" x14ac:dyDescent="0.25">
      <c r="B183" s="89"/>
      <c r="C183" s="45" t="s">
        <v>124</v>
      </c>
      <c r="D183" s="44">
        <v>5</v>
      </c>
      <c r="E183" s="43">
        <v>1.8254837531945966E-4</v>
      </c>
    </row>
    <row r="184" spans="2:5" ht="15" customHeight="1" x14ac:dyDescent="0.25">
      <c r="B184" s="89"/>
      <c r="C184" s="45" t="s">
        <v>136</v>
      </c>
      <c r="D184" s="44">
        <v>24</v>
      </c>
      <c r="E184" s="43">
        <v>8.762322015334064E-4</v>
      </c>
    </row>
    <row r="185" spans="2:5" ht="15" customHeight="1" x14ac:dyDescent="0.25">
      <c r="B185" s="89"/>
      <c r="C185" s="45" t="s">
        <v>137</v>
      </c>
      <c r="D185" s="44">
        <v>79</v>
      </c>
      <c r="E185" s="43">
        <v>2.8842643300474625E-3</v>
      </c>
    </row>
    <row r="186" spans="2:5" ht="15" customHeight="1" x14ac:dyDescent="0.25">
      <c r="B186" s="89"/>
      <c r="C186" s="45" t="s">
        <v>131</v>
      </c>
      <c r="D186" s="44">
        <v>23</v>
      </c>
      <c r="E186" s="43">
        <v>8.3972252646951446E-4</v>
      </c>
    </row>
    <row r="187" spans="2:5" ht="15" customHeight="1" x14ac:dyDescent="0.25">
      <c r="B187" s="89"/>
      <c r="C187" s="45" t="s">
        <v>135</v>
      </c>
      <c r="D187" s="44">
        <v>7</v>
      </c>
      <c r="E187" s="43">
        <v>2.5556772544724351E-4</v>
      </c>
    </row>
    <row r="188" spans="2:5" ht="15" customHeight="1" x14ac:dyDescent="0.25">
      <c r="B188" s="89"/>
      <c r="C188" s="45" t="s">
        <v>133</v>
      </c>
      <c r="D188" s="44">
        <v>29</v>
      </c>
      <c r="E188" s="43">
        <v>1.0587805768528661E-3</v>
      </c>
    </row>
    <row r="189" spans="2:5" ht="15" customHeight="1" x14ac:dyDescent="0.25">
      <c r="B189" s="89"/>
      <c r="C189" s="45" t="s">
        <v>126</v>
      </c>
      <c r="D189" s="44">
        <v>1</v>
      </c>
      <c r="E189" s="43">
        <v>3.6509675063891931E-5</v>
      </c>
    </row>
    <row r="190" spans="2:5" ht="15" customHeight="1" x14ac:dyDescent="0.25">
      <c r="B190" s="89"/>
      <c r="C190" s="45" t="s">
        <v>127</v>
      </c>
      <c r="D190" s="44">
        <v>2</v>
      </c>
      <c r="E190" s="43">
        <v>7.3019350127783862E-5</v>
      </c>
    </row>
    <row r="191" spans="2:5" ht="15" customHeight="1" x14ac:dyDescent="0.25">
      <c r="B191" s="89"/>
      <c r="C191" s="45" t="s">
        <v>129</v>
      </c>
      <c r="D191" s="44">
        <v>36</v>
      </c>
      <c r="E191" s="43">
        <v>1.3143483023001095E-3</v>
      </c>
    </row>
    <row r="192" spans="2:5" ht="15" customHeight="1" x14ac:dyDescent="0.25">
      <c r="B192" s="89"/>
      <c r="C192" s="45" t="s">
        <v>123</v>
      </c>
      <c r="D192" s="44">
        <v>3</v>
      </c>
      <c r="E192" s="43">
        <v>1.095290251916758E-4</v>
      </c>
    </row>
    <row r="193" spans="2:5" ht="15" customHeight="1" x14ac:dyDescent="0.25">
      <c r="B193" s="90"/>
      <c r="C193" s="42" t="s">
        <v>20</v>
      </c>
      <c r="D193" s="41">
        <v>426</v>
      </c>
      <c r="E193" s="40">
        <v>1.5553121577217962E-2</v>
      </c>
    </row>
    <row r="194" spans="2:5" ht="15" customHeight="1" x14ac:dyDescent="0.25">
      <c r="B194" s="88" t="s">
        <v>114</v>
      </c>
      <c r="C194" s="45" t="s">
        <v>134</v>
      </c>
      <c r="D194" s="44">
        <v>41</v>
      </c>
      <c r="E194" s="43">
        <v>1.4968966776195691E-3</v>
      </c>
    </row>
    <row r="195" spans="2:5" ht="15" customHeight="1" x14ac:dyDescent="0.25">
      <c r="B195" s="89"/>
      <c r="C195" s="45" t="s">
        <v>132</v>
      </c>
      <c r="D195" s="44">
        <v>23</v>
      </c>
      <c r="E195" s="43">
        <v>8.3972252646951446E-4</v>
      </c>
    </row>
    <row r="196" spans="2:5" ht="15" customHeight="1" x14ac:dyDescent="0.25">
      <c r="B196" s="89"/>
      <c r="C196" s="45" t="s">
        <v>130</v>
      </c>
      <c r="D196" s="44">
        <v>34</v>
      </c>
      <c r="E196" s="43">
        <v>1.2413289521723257E-3</v>
      </c>
    </row>
    <row r="197" spans="2:5" ht="15" customHeight="1" x14ac:dyDescent="0.25">
      <c r="B197" s="89"/>
      <c r="C197" s="45" t="s">
        <v>128</v>
      </c>
      <c r="D197" s="44">
        <v>26</v>
      </c>
      <c r="E197" s="43">
        <v>9.4925155166119017E-4</v>
      </c>
    </row>
    <row r="198" spans="2:5" ht="15" customHeight="1" x14ac:dyDescent="0.25">
      <c r="B198" s="89"/>
      <c r="C198" s="45" t="s">
        <v>124</v>
      </c>
      <c r="D198" s="44">
        <v>6</v>
      </c>
      <c r="E198" s="43">
        <v>2.190580503833516E-4</v>
      </c>
    </row>
    <row r="199" spans="2:5" ht="15" customHeight="1" x14ac:dyDescent="0.25">
      <c r="B199" s="89"/>
      <c r="C199" s="45" t="s">
        <v>136</v>
      </c>
      <c r="D199" s="44">
        <v>88</v>
      </c>
      <c r="E199" s="43">
        <v>3.2128514056224901E-3</v>
      </c>
    </row>
    <row r="200" spans="2:5" ht="15" customHeight="1" x14ac:dyDescent="0.25">
      <c r="B200" s="89"/>
      <c r="C200" s="45" t="s">
        <v>137</v>
      </c>
      <c r="D200" s="44">
        <v>52</v>
      </c>
      <c r="E200" s="43">
        <v>1.8985031033223803E-3</v>
      </c>
    </row>
    <row r="201" spans="2:5" ht="15" customHeight="1" x14ac:dyDescent="0.25">
      <c r="B201" s="89"/>
      <c r="C201" s="45" t="s">
        <v>131</v>
      </c>
      <c r="D201" s="44">
        <v>33</v>
      </c>
      <c r="E201" s="43">
        <v>1.2048192771084338E-3</v>
      </c>
    </row>
    <row r="202" spans="2:5" ht="15" customHeight="1" x14ac:dyDescent="0.25">
      <c r="B202" s="89"/>
      <c r="C202" s="45" t="s">
        <v>135</v>
      </c>
      <c r="D202" s="44">
        <v>34</v>
      </c>
      <c r="E202" s="43">
        <v>1.2413289521723257E-3</v>
      </c>
    </row>
    <row r="203" spans="2:5" ht="15" customHeight="1" x14ac:dyDescent="0.25">
      <c r="B203" s="89"/>
      <c r="C203" s="45" t="s">
        <v>125</v>
      </c>
      <c r="D203" s="44">
        <v>1</v>
      </c>
      <c r="E203" s="43">
        <v>3.6509675063891931E-5</v>
      </c>
    </row>
    <row r="204" spans="2:5" ht="15" customHeight="1" x14ac:dyDescent="0.25">
      <c r="B204" s="89"/>
      <c r="C204" s="45" t="s">
        <v>133</v>
      </c>
      <c r="D204" s="44">
        <v>24</v>
      </c>
      <c r="E204" s="43">
        <v>8.762322015334064E-4</v>
      </c>
    </row>
    <row r="205" spans="2:5" ht="15" customHeight="1" x14ac:dyDescent="0.25">
      <c r="B205" s="89"/>
      <c r="C205" s="45" t="s">
        <v>126</v>
      </c>
      <c r="D205" s="44">
        <v>3</v>
      </c>
      <c r="E205" s="43">
        <v>1.095290251916758E-4</v>
      </c>
    </row>
    <row r="206" spans="2:5" ht="15" customHeight="1" x14ac:dyDescent="0.25">
      <c r="B206" s="89"/>
      <c r="C206" s="45" t="s">
        <v>127</v>
      </c>
      <c r="D206" s="44">
        <v>8</v>
      </c>
      <c r="E206" s="43">
        <v>2.9207740051113545E-4</v>
      </c>
    </row>
    <row r="207" spans="2:5" ht="15" customHeight="1" x14ac:dyDescent="0.25">
      <c r="B207" s="89"/>
      <c r="C207" s="45" t="s">
        <v>129</v>
      </c>
      <c r="D207" s="44">
        <v>14</v>
      </c>
      <c r="E207" s="43">
        <v>5.1113545089448702E-4</v>
      </c>
    </row>
    <row r="208" spans="2:5" ht="15" customHeight="1" x14ac:dyDescent="0.25">
      <c r="B208" s="89"/>
      <c r="C208" s="45" t="s">
        <v>123</v>
      </c>
      <c r="D208" s="44">
        <v>3</v>
      </c>
      <c r="E208" s="43">
        <v>1.095290251916758E-4</v>
      </c>
    </row>
    <row r="209" spans="2:5" ht="15" customHeight="1" x14ac:dyDescent="0.25">
      <c r="B209" s="90"/>
      <c r="C209" s="42" t="s">
        <v>20</v>
      </c>
      <c r="D209" s="41">
        <v>390</v>
      </c>
      <c r="E209" s="40">
        <v>1.4238773274917854E-2</v>
      </c>
    </row>
    <row r="210" spans="2:5" ht="15" customHeight="1" x14ac:dyDescent="0.25">
      <c r="B210" s="88" t="s">
        <v>118</v>
      </c>
      <c r="C210" s="45" t="s">
        <v>134</v>
      </c>
      <c r="D210" s="44">
        <v>22</v>
      </c>
      <c r="E210" s="43">
        <v>8.0321285140562252E-4</v>
      </c>
    </row>
    <row r="211" spans="2:5" ht="15" customHeight="1" x14ac:dyDescent="0.25">
      <c r="B211" s="89"/>
      <c r="C211" s="45" t="s">
        <v>132</v>
      </c>
      <c r="D211" s="44">
        <v>28</v>
      </c>
      <c r="E211" s="43">
        <v>1.022270901788974E-3</v>
      </c>
    </row>
    <row r="212" spans="2:5" ht="15" customHeight="1" x14ac:dyDescent="0.25">
      <c r="B212" s="89"/>
      <c r="C212" s="45" t="s">
        <v>130</v>
      </c>
      <c r="D212" s="44">
        <v>26</v>
      </c>
      <c r="E212" s="43">
        <v>9.4925155166119017E-4</v>
      </c>
    </row>
    <row r="213" spans="2:5" ht="15" customHeight="1" x14ac:dyDescent="0.25">
      <c r="B213" s="89"/>
      <c r="C213" s="45" t="s">
        <v>128</v>
      </c>
      <c r="D213" s="44">
        <v>14</v>
      </c>
      <c r="E213" s="43">
        <v>5.1113545089448702E-4</v>
      </c>
    </row>
    <row r="214" spans="2:5" ht="15" customHeight="1" x14ac:dyDescent="0.25">
      <c r="B214" s="89"/>
      <c r="C214" s="45" t="s">
        <v>124</v>
      </c>
      <c r="D214" s="44">
        <v>4</v>
      </c>
      <c r="E214" s="43">
        <v>1.4603870025556772E-4</v>
      </c>
    </row>
    <row r="215" spans="2:5" ht="15" customHeight="1" x14ac:dyDescent="0.25">
      <c r="B215" s="89"/>
      <c r="C215" s="45" t="s">
        <v>136</v>
      </c>
      <c r="D215" s="44">
        <v>49</v>
      </c>
      <c r="E215" s="43">
        <v>1.7889740781307046E-3</v>
      </c>
    </row>
    <row r="216" spans="2:5" ht="15" customHeight="1" x14ac:dyDescent="0.25">
      <c r="B216" s="89"/>
      <c r="C216" s="45" t="s">
        <v>137</v>
      </c>
      <c r="D216" s="44">
        <v>75</v>
      </c>
      <c r="E216" s="43">
        <v>2.7382256297918948E-3</v>
      </c>
    </row>
    <row r="217" spans="2:5" ht="15" customHeight="1" x14ac:dyDescent="0.25">
      <c r="B217" s="89"/>
      <c r="C217" s="45" t="s">
        <v>131</v>
      </c>
      <c r="D217" s="44">
        <v>59</v>
      </c>
      <c r="E217" s="43">
        <v>2.1540708287696238E-3</v>
      </c>
    </row>
    <row r="218" spans="2:5" ht="15" customHeight="1" x14ac:dyDescent="0.25">
      <c r="B218" s="89"/>
      <c r="C218" s="45" t="s">
        <v>135</v>
      </c>
      <c r="D218" s="44">
        <v>145</v>
      </c>
      <c r="E218" s="43">
        <v>5.2939028842643298E-3</v>
      </c>
    </row>
    <row r="219" spans="2:5" ht="15" customHeight="1" x14ac:dyDescent="0.25">
      <c r="B219" s="89"/>
      <c r="C219" s="45" t="s">
        <v>125</v>
      </c>
      <c r="D219" s="44">
        <v>33</v>
      </c>
      <c r="E219" s="43">
        <v>1.2048192771084338E-3</v>
      </c>
    </row>
    <row r="220" spans="2:5" ht="15" customHeight="1" x14ac:dyDescent="0.25">
      <c r="B220" s="89"/>
      <c r="C220" s="45" t="s">
        <v>133</v>
      </c>
      <c r="D220" s="44">
        <v>249</v>
      </c>
      <c r="E220" s="43">
        <v>9.0909090909090905E-3</v>
      </c>
    </row>
    <row r="221" spans="2:5" ht="15" customHeight="1" x14ac:dyDescent="0.25">
      <c r="B221" s="89"/>
      <c r="C221" s="45" t="s">
        <v>122</v>
      </c>
      <c r="D221" s="44">
        <v>49</v>
      </c>
      <c r="E221" s="43">
        <v>1.7889740781307046E-3</v>
      </c>
    </row>
    <row r="222" spans="2:5" ht="15" customHeight="1" x14ac:dyDescent="0.25">
      <c r="B222" s="89"/>
      <c r="C222" s="45" t="s">
        <v>126</v>
      </c>
      <c r="D222" s="44">
        <v>106</v>
      </c>
      <c r="E222" s="43">
        <v>3.8700255567725448E-3</v>
      </c>
    </row>
    <row r="223" spans="2:5" ht="15" customHeight="1" x14ac:dyDescent="0.25">
      <c r="B223" s="89"/>
      <c r="C223" s="45" t="s">
        <v>127</v>
      </c>
      <c r="D223" s="44">
        <v>102</v>
      </c>
      <c r="E223" s="43">
        <v>3.723986856516977E-3</v>
      </c>
    </row>
    <row r="224" spans="2:5" ht="15" customHeight="1" x14ac:dyDescent="0.25">
      <c r="B224" s="89"/>
      <c r="C224" s="45" t="s">
        <v>129</v>
      </c>
      <c r="D224" s="44">
        <v>680</v>
      </c>
      <c r="E224" s="43">
        <v>2.4826579043446512E-2</v>
      </c>
    </row>
    <row r="225" spans="2:5" ht="15" customHeight="1" x14ac:dyDescent="0.25">
      <c r="B225" s="89"/>
      <c r="C225" s="45" t="s">
        <v>123</v>
      </c>
      <c r="D225" s="44">
        <v>132</v>
      </c>
      <c r="E225" s="43">
        <v>4.8192771084337354E-3</v>
      </c>
    </row>
    <row r="226" spans="2:5" ht="15" customHeight="1" x14ac:dyDescent="0.25">
      <c r="B226" s="90"/>
      <c r="C226" s="42" t="s">
        <v>20</v>
      </c>
      <c r="D226" s="41">
        <v>1773</v>
      </c>
      <c r="E226" s="40">
        <v>6.4731653888280394E-2</v>
      </c>
    </row>
    <row r="227" spans="2:5" ht="15" customHeight="1" x14ac:dyDescent="0.25">
      <c r="B227" s="88" t="s">
        <v>102</v>
      </c>
      <c r="C227" s="45" t="s">
        <v>134</v>
      </c>
      <c r="D227" s="44">
        <v>53</v>
      </c>
      <c r="E227" s="43">
        <v>1.9350127783862724E-3</v>
      </c>
    </row>
    <row r="228" spans="2:5" ht="15" customHeight="1" x14ac:dyDescent="0.25">
      <c r="B228" s="89"/>
      <c r="C228" s="45" t="s">
        <v>132</v>
      </c>
      <c r="D228" s="44">
        <v>39</v>
      </c>
      <c r="E228" s="43">
        <v>1.4238773274917853E-3</v>
      </c>
    </row>
    <row r="229" spans="2:5" ht="15" customHeight="1" x14ac:dyDescent="0.25">
      <c r="B229" s="89"/>
      <c r="C229" s="45" t="s">
        <v>130</v>
      </c>
      <c r="D229" s="44">
        <v>38</v>
      </c>
      <c r="E229" s="43">
        <v>1.3873676524278934E-3</v>
      </c>
    </row>
    <row r="230" spans="2:5" ht="15" customHeight="1" x14ac:dyDescent="0.25">
      <c r="B230" s="89"/>
      <c r="C230" s="45" t="s">
        <v>128</v>
      </c>
      <c r="D230" s="44">
        <v>48</v>
      </c>
      <c r="E230" s="43">
        <v>1.7524644030668128E-3</v>
      </c>
    </row>
    <row r="231" spans="2:5" ht="15" customHeight="1" x14ac:dyDescent="0.25">
      <c r="B231" s="89"/>
      <c r="C231" s="45" t="s">
        <v>124</v>
      </c>
      <c r="D231" s="44">
        <v>14</v>
      </c>
      <c r="E231" s="43">
        <v>5.1113545089448702E-4</v>
      </c>
    </row>
    <row r="232" spans="2:5" ht="15" customHeight="1" x14ac:dyDescent="0.25">
      <c r="B232" s="89"/>
      <c r="C232" s="45" t="s">
        <v>136</v>
      </c>
      <c r="D232" s="44">
        <v>147</v>
      </c>
      <c r="E232" s="43">
        <v>5.3669222343921139E-3</v>
      </c>
    </row>
    <row r="233" spans="2:5" ht="15" customHeight="1" x14ac:dyDescent="0.25">
      <c r="B233" s="89"/>
      <c r="C233" s="45" t="s">
        <v>137</v>
      </c>
      <c r="D233" s="44">
        <v>71</v>
      </c>
      <c r="E233" s="43">
        <v>2.592186929536327E-3</v>
      </c>
    </row>
    <row r="234" spans="2:5" ht="15" customHeight="1" x14ac:dyDescent="0.25">
      <c r="B234" s="89"/>
      <c r="C234" s="45" t="s">
        <v>131</v>
      </c>
      <c r="D234" s="44">
        <v>45</v>
      </c>
      <c r="E234" s="43">
        <v>1.6429353778751369E-3</v>
      </c>
    </row>
    <row r="235" spans="2:5" ht="15" customHeight="1" x14ac:dyDescent="0.25">
      <c r="B235" s="89"/>
      <c r="C235" s="45" t="s">
        <v>135</v>
      </c>
      <c r="D235" s="44">
        <v>57</v>
      </c>
      <c r="E235" s="43">
        <v>2.0810514786418401E-3</v>
      </c>
    </row>
    <row r="236" spans="2:5" ht="15" customHeight="1" x14ac:dyDescent="0.25">
      <c r="B236" s="89"/>
      <c r="C236" s="45" t="s">
        <v>125</v>
      </c>
      <c r="D236" s="44">
        <v>15</v>
      </c>
      <c r="E236" s="43">
        <v>5.4764512595837896E-4</v>
      </c>
    </row>
    <row r="237" spans="2:5" ht="15" customHeight="1" x14ac:dyDescent="0.25">
      <c r="B237" s="89"/>
      <c r="C237" s="45" t="s">
        <v>133</v>
      </c>
      <c r="D237" s="44">
        <v>44</v>
      </c>
      <c r="E237" s="43">
        <v>1.606425702811245E-3</v>
      </c>
    </row>
    <row r="238" spans="2:5" ht="15" customHeight="1" x14ac:dyDescent="0.25">
      <c r="B238" s="89"/>
      <c r="C238" s="45" t="s">
        <v>122</v>
      </c>
      <c r="D238" s="44">
        <v>1</v>
      </c>
      <c r="E238" s="43">
        <v>3.6509675063891931E-5</v>
      </c>
    </row>
    <row r="239" spans="2:5" ht="15" customHeight="1" x14ac:dyDescent="0.25">
      <c r="B239" s="89"/>
      <c r="C239" s="45" t="s">
        <v>126</v>
      </c>
      <c r="D239" s="44">
        <v>5</v>
      </c>
      <c r="E239" s="43">
        <v>1.8254837531945966E-4</v>
      </c>
    </row>
    <row r="240" spans="2:5" ht="15" customHeight="1" x14ac:dyDescent="0.25">
      <c r="B240" s="89"/>
      <c r="C240" s="45" t="s">
        <v>127</v>
      </c>
      <c r="D240" s="44">
        <v>27</v>
      </c>
      <c r="E240" s="43">
        <v>9.8576122672508221E-4</v>
      </c>
    </row>
    <row r="241" spans="2:5" ht="15" customHeight="1" x14ac:dyDescent="0.25">
      <c r="B241" s="89"/>
      <c r="C241" s="45" t="s">
        <v>129</v>
      </c>
      <c r="D241" s="44">
        <v>34</v>
      </c>
      <c r="E241" s="43">
        <v>1.2413289521723257E-3</v>
      </c>
    </row>
    <row r="242" spans="2:5" ht="15" customHeight="1" x14ac:dyDescent="0.25">
      <c r="B242" s="89"/>
      <c r="C242" s="45" t="s">
        <v>123</v>
      </c>
      <c r="D242" s="44">
        <v>1</v>
      </c>
      <c r="E242" s="43">
        <v>3.6509675063891931E-5</v>
      </c>
    </row>
    <row r="243" spans="2:5" ht="15" customHeight="1" x14ac:dyDescent="0.25">
      <c r="B243" s="90"/>
      <c r="C243" s="42" t="s">
        <v>20</v>
      </c>
      <c r="D243" s="41">
        <v>639</v>
      </c>
      <c r="E243" s="40">
        <v>2.3329682365826943E-2</v>
      </c>
    </row>
    <row r="244" spans="2:5" ht="15" customHeight="1" x14ac:dyDescent="0.25">
      <c r="B244" s="88" t="s">
        <v>97</v>
      </c>
      <c r="C244" s="45" t="s">
        <v>134</v>
      </c>
      <c r="D244" s="44">
        <v>36</v>
      </c>
      <c r="E244" s="43">
        <v>1.3143483023001095E-3</v>
      </c>
    </row>
    <row r="245" spans="2:5" ht="15" customHeight="1" x14ac:dyDescent="0.25">
      <c r="B245" s="89"/>
      <c r="C245" s="45" t="s">
        <v>132</v>
      </c>
      <c r="D245" s="44">
        <v>26</v>
      </c>
      <c r="E245" s="43">
        <v>9.4925155166119017E-4</v>
      </c>
    </row>
    <row r="246" spans="2:5" ht="15" customHeight="1" x14ac:dyDescent="0.25">
      <c r="B246" s="89"/>
      <c r="C246" s="45" t="s">
        <v>130</v>
      </c>
      <c r="D246" s="44">
        <v>24</v>
      </c>
      <c r="E246" s="43">
        <v>8.762322015334064E-4</v>
      </c>
    </row>
    <row r="247" spans="2:5" ht="15" customHeight="1" x14ac:dyDescent="0.25">
      <c r="B247" s="89"/>
      <c r="C247" s="45" t="s">
        <v>128</v>
      </c>
      <c r="D247" s="44">
        <v>8</v>
      </c>
      <c r="E247" s="43">
        <v>2.9207740051113545E-4</v>
      </c>
    </row>
    <row r="248" spans="2:5" ht="15" customHeight="1" x14ac:dyDescent="0.25">
      <c r="B248" s="89"/>
      <c r="C248" s="45" t="s">
        <v>124</v>
      </c>
      <c r="D248" s="44">
        <v>4</v>
      </c>
      <c r="E248" s="43">
        <v>1.4603870025556772E-4</v>
      </c>
    </row>
    <row r="249" spans="2:5" ht="15" customHeight="1" x14ac:dyDescent="0.25">
      <c r="B249" s="89"/>
      <c r="C249" s="45" t="s">
        <v>136</v>
      </c>
      <c r="D249" s="44">
        <v>39</v>
      </c>
      <c r="E249" s="43">
        <v>1.4238773274917853E-3</v>
      </c>
    </row>
    <row r="250" spans="2:5" ht="15" customHeight="1" x14ac:dyDescent="0.25">
      <c r="B250" s="89"/>
      <c r="C250" s="45" t="s">
        <v>137</v>
      </c>
      <c r="D250" s="44">
        <v>29</v>
      </c>
      <c r="E250" s="43">
        <v>1.0587805768528661E-3</v>
      </c>
    </row>
    <row r="251" spans="2:5" ht="15" customHeight="1" x14ac:dyDescent="0.25">
      <c r="B251" s="89"/>
      <c r="C251" s="45" t="s">
        <v>131</v>
      </c>
      <c r="D251" s="44">
        <v>15</v>
      </c>
      <c r="E251" s="43">
        <v>5.4764512595837896E-4</v>
      </c>
    </row>
    <row r="252" spans="2:5" ht="15" customHeight="1" x14ac:dyDescent="0.25">
      <c r="B252" s="89"/>
      <c r="C252" s="45" t="s">
        <v>135</v>
      </c>
      <c r="D252" s="44">
        <v>21</v>
      </c>
      <c r="E252" s="43">
        <v>7.6670317634173059E-4</v>
      </c>
    </row>
    <row r="253" spans="2:5" ht="15" customHeight="1" x14ac:dyDescent="0.25">
      <c r="B253" s="89"/>
      <c r="C253" s="45" t="s">
        <v>125</v>
      </c>
      <c r="D253" s="44">
        <v>1</v>
      </c>
      <c r="E253" s="43">
        <v>3.6509675063891931E-5</v>
      </c>
    </row>
    <row r="254" spans="2:5" ht="15" customHeight="1" x14ac:dyDescent="0.25">
      <c r="B254" s="89"/>
      <c r="C254" s="45" t="s">
        <v>133</v>
      </c>
      <c r="D254" s="44">
        <v>15</v>
      </c>
      <c r="E254" s="43">
        <v>5.4764512595837896E-4</v>
      </c>
    </row>
    <row r="255" spans="2:5" ht="15" customHeight="1" x14ac:dyDescent="0.25">
      <c r="B255" s="89"/>
      <c r="C255" s="45" t="s">
        <v>122</v>
      </c>
      <c r="D255" s="44">
        <v>1</v>
      </c>
      <c r="E255" s="43">
        <v>3.6509675063891931E-5</v>
      </c>
    </row>
    <row r="256" spans="2:5" ht="15" customHeight="1" x14ac:dyDescent="0.25">
      <c r="B256" s="89"/>
      <c r="C256" s="45" t="s">
        <v>126</v>
      </c>
      <c r="D256" s="44">
        <v>1</v>
      </c>
      <c r="E256" s="43">
        <v>3.6509675063891931E-5</v>
      </c>
    </row>
    <row r="257" spans="2:5" ht="15" customHeight="1" x14ac:dyDescent="0.25">
      <c r="B257" s="89"/>
      <c r="C257" s="45" t="s">
        <v>127</v>
      </c>
      <c r="D257" s="44">
        <v>2</v>
      </c>
      <c r="E257" s="43">
        <v>7.3019350127783862E-5</v>
      </c>
    </row>
    <row r="258" spans="2:5" ht="15" customHeight="1" x14ac:dyDescent="0.25">
      <c r="B258" s="89"/>
      <c r="C258" s="45" t="s">
        <v>129</v>
      </c>
      <c r="D258" s="44">
        <v>19</v>
      </c>
      <c r="E258" s="43">
        <v>6.9368382621394671E-4</v>
      </c>
    </row>
    <row r="259" spans="2:5" ht="15" customHeight="1" x14ac:dyDescent="0.25">
      <c r="B259" s="90"/>
      <c r="C259" s="42" t="s">
        <v>20</v>
      </c>
      <c r="D259" s="41">
        <v>241</v>
      </c>
      <c r="E259" s="40">
        <v>8.7988316903979558E-3</v>
      </c>
    </row>
    <row r="260" spans="2:5" ht="15" customHeight="1" x14ac:dyDescent="0.25">
      <c r="B260" s="88" t="s">
        <v>81</v>
      </c>
      <c r="C260" s="45" t="s">
        <v>134</v>
      </c>
      <c r="D260" s="44">
        <v>5</v>
      </c>
      <c r="E260" s="43">
        <v>1.8254837531945966E-4</v>
      </c>
    </row>
    <row r="261" spans="2:5" ht="15" customHeight="1" x14ac:dyDescent="0.25">
      <c r="B261" s="89"/>
      <c r="C261" s="45" t="s">
        <v>132</v>
      </c>
      <c r="D261" s="44">
        <v>6</v>
      </c>
      <c r="E261" s="43">
        <v>2.190580503833516E-4</v>
      </c>
    </row>
    <row r="262" spans="2:5" ht="15" customHeight="1" x14ac:dyDescent="0.25">
      <c r="B262" s="89"/>
      <c r="C262" s="45" t="s">
        <v>130</v>
      </c>
      <c r="D262" s="44">
        <v>13</v>
      </c>
      <c r="E262" s="43">
        <v>4.7462577583059508E-4</v>
      </c>
    </row>
    <row r="263" spans="2:5" ht="15" customHeight="1" x14ac:dyDescent="0.25">
      <c r="B263" s="89"/>
      <c r="C263" s="45" t="s">
        <v>128</v>
      </c>
      <c r="D263" s="44">
        <v>18</v>
      </c>
      <c r="E263" s="43">
        <v>6.5717415115005477E-4</v>
      </c>
    </row>
    <row r="264" spans="2:5" ht="15" customHeight="1" x14ac:dyDescent="0.25">
      <c r="B264" s="89"/>
      <c r="C264" s="45" t="s">
        <v>136</v>
      </c>
      <c r="D264" s="44">
        <v>6</v>
      </c>
      <c r="E264" s="43">
        <v>2.190580503833516E-4</v>
      </c>
    </row>
    <row r="265" spans="2:5" ht="15" customHeight="1" x14ac:dyDescent="0.25">
      <c r="B265" s="89"/>
      <c r="C265" s="45" t="s">
        <v>137</v>
      </c>
      <c r="D265" s="44">
        <v>6</v>
      </c>
      <c r="E265" s="43">
        <v>2.190580503833516E-4</v>
      </c>
    </row>
    <row r="266" spans="2:5" ht="15" customHeight="1" x14ac:dyDescent="0.25">
      <c r="B266" s="89"/>
      <c r="C266" s="45" t="s">
        <v>131</v>
      </c>
      <c r="D266" s="44">
        <v>1</v>
      </c>
      <c r="E266" s="43">
        <v>3.6509675063891931E-5</v>
      </c>
    </row>
    <row r="267" spans="2:5" ht="15" customHeight="1" x14ac:dyDescent="0.25">
      <c r="B267" s="89"/>
      <c r="C267" s="45" t="s">
        <v>135</v>
      </c>
      <c r="D267" s="44">
        <v>2</v>
      </c>
      <c r="E267" s="43">
        <v>7.3019350127783862E-5</v>
      </c>
    </row>
    <row r="268" spans="2:5" ht="15" customHeight="1" x14ac:dyDescent="0.25">
      <c r="B268" s="89"/>
      <c r="C268" s="45" t="s">
        <v>125</v>
      </c>
      <c r="D268" s="44">
        <v>2</v>
      </c>
      <c r="E268" s="43">
        <v>7.3019350127783862E-5</v>
      </c>
    </row>
    <row r="269" spans="2:5" ht="15" customHeight="1" x14ac:dyDescent="0.25">
      <c r="B269" s="89"/>
      <c r="C269" s="45" t="s">
        <v>122</v>
      </c>
      <c r="D269" s="44">
        <v>1</v>
      </c>
      <c r="E269" s="43">
        <v>3.6509675063891931E-5</v>
      </c>
    </row>
    <row r="270" spans="2:5" ht="15" customHeight="1" x14ac:dyDescent="0.25">
      <c r="B270" s="89"/>
      <c r="C270" s="45" t="s">
        <v>127</v>
      </c>
      <c r="D270" s="44">
        <v>1</v>
      </c>
      <c r="E270" s="43">
        <v>3.6509675063891931E-5</v>
      </c>
    </row>
    <row r="271" spans="2:5" ht="15" customHeight="1" x14ac:dyDescent="0.25">
      <c r="B271" s="89"/>
      <c r="C271" s="45" t="s">
        <v>129</v>
      </c>
      <c r="D271" s="44">
        <v>2</v>
      </c>
      <c r="E271" s="43">
        <v>7.3019350127783862E-5</v>
      </c>
    </row>
    <row r="272" spans="2:5" ht="15" customHeight="1" x14ac:dyDescent="0.25">
      <c r="B272" s="90"/>
      <c r="C272" s="42" t="s">
        <v>20</v>
      </c>
      <c r="D272" s="41">
        <v>63</v>
      </c>
      <c r="E272" s="40">
        <v>2.3001095290251915E-3</v>
      </c>
    </row>
    <row r="273" spans="2:5" ht="15" customHeight="1" x14ac:dyDescent="0.25">
      <c r="B273" s="88" t="s">
        <v>104</v>
      </c>
      <c r="C273" s="45" t="s">
        <v>134</v>
      </c>
      <c r="D273" s="44">
        <v>23</v>
      </c>
      <c r="E273" s="43">
        <v>8.3972252646951446E-4</v>
      </c>
    </row>
    <row r="274" spans="2:5" ht="15" customHeight="1" x14ac:dyDescent="0.25">
      <c r="B274" s="89"/>
      <c r="C274" s="45" t="s">
        <v>132</v>
      </c>
      <c r="D274" s="44">
        <v>7</v>
      </c>
      <c r="E274" s="43">
        <v>2.5556772544724351E-4</v>
      </c>
    </row>
    <row r="275" spans="2:5" ht="15" customHeight="1" x14ac:dyDescent="0.25">
      <c r="B275" s="89"/>
      <c r="C275" s="45" t="s">
        <v>130</v>
      </c>
      <c r="D275" s="44">
        <v>5</v>
      </c>
      <c r="E275" s="43">
        <v>1.8254837531945966E-4</v>
      </c>
    </row>
    <row r="276" spans="2:5" ht="15" customHeight="1" x14ac:dyDescent="0.25">
      <c r="B276" s="89"/>
      <c r="C276" s="45" t="s">
        <v>128</v>
      </c>
      <c r="D276" s="44">
        <v>11</v>
      </c>
      <c r="E276" s="43">
        <v>4.0160642570281126E-4</v>
      </c>
    </row>
    <row r="277" spans="2:5" ht="15" customHeight="1" x14ac:dyDescent="0.25">
      <c r="B277" s="89"/>
      <c r="C277" s="45" t="s">
        <v>124</v>
      </c>
      <c r="D277" s="44">
        <v>1</v>
      </c>
      <c r="E277" s="43">
        <v>3.6509675063891931E-5</v>
      </c>
    </row>
    <row r="278" spans="2:5" ht="15" customHeight="1" x14ac:dyDescent="0.25">
      <c r="B278" s="89"/>
      <c r="C278" s="45" t="s">
        <v>136</v>
      </c>
      <c r="D278" s="44">
        <v>109</v>
      </c>
      <c r="E278" s="43">
        <v>3.9795545819642205E-3</v>
      </c>
    </row>
    <row r="279" spans="2:5" ht="15" customHeight="1" x14ac:dyDescent="0.25">
      <c r="B279" s="89"/>
      <c r="C279" s="45" t="s">
        <v>137</v>
      </c>
      <c r="D279" s="44">
        <v>275</v>
      </c>
      <c r="E279" s="43">
        <v>1.0040160642570281E-2</v>
      </c>
    </row>
    <row r="280" spans="2:5" ht="15" customHeight="1" x14ac:dyDescent="0.25">
      <c r="B280" s="89"/>
      <c r="C280" s="45" t="s">
        <v>131</v>
      </c>
      <c r="D280" s="44">
        <v>65</v>
      </c>
      <c r="E280" s="43">
        <v>2.3731288791529756E-3</v>
      </c>
    </row>
    <row r="281" spans="2:5" ht="15" customHeight="1" x14ac:dyDescent="0.25">
      <c r="B281" s="89"/>
      <c r="C281" s="45" t="s">
        <v>135</v>
      </c>
      <c r="D281" s="44">
        <v>11</v>
      </c>
      <c r="E281" s="43">
        <v>4.0160642570281126E-4</v>
      </c>
    </row>
    <row r="282" spans="2:5" ht="15" customHeight="1" x14ac:dyDescent="0.25">
      <c r="B282" s="89"/>
      <c r="C282" s="45" t="s">
        <v>125</v>
      </c>
      <c r="D282" s="44">
        <v>1</v>
      </c>
      <c r="E282" s="43">
        <v>3.6509675063891931E-5</v>
      </c>
    </row>
    <row r="283" spans="2:5" ht="15" customHeight="1" x14ac:dyDescent="0.25">
      <c r="B283" s="89"/>
      <c r="C283" s="45" t="s">
        <v>133</v>
      </c>
      <c r="D283" s="44">
        <v>14</v>
      </c>
      <c r="E283" s="43">
        <v>5.1113545089448702E-4</v>
      </c>
    </row>
    <row r="284" spans="2:5" ht="15" customHeight="1" x14ac:dyDescent="0.25">
      <c r="B284" s="89"/>
      <c r="C284" s="45" t="s">
        <v>122</v>
      </c>
      <c r="D284" s="44">
        <v>2</v>
      </c>
      <c r="E284" s="43">
        <v>7.3019350127783862E-5</v>
      </c>
    </row>
    <row r="285" spans="2:5" ht="15" customHeight="1" x14ac:dyDescent="0.25">
      <c r="B285" s="89"/>
      <c r="C285" s="45" t="s">
        <v>126</v>
      </c>
      <c r="D285" s="44">
        <v>2</v>
      </c>
      <c r="E285" s="43">
        <v>7.3019350127783862E-5</v>
      </c>
    </row>
    <row r="286" spans="2:5" ht="15" customHeight="1" x14ac:dyDescent="0.25">
      <c r="B286" s="89"/>
      <c r="C286" s="45" t="s">
        <v>129</v>
      </c>
      <c r="D286" s="44">
        <v>10</v>
      </c>
      <c r="E286" s="43">
        <v>3.6509675063891932E-4</v>
      </c>
    </row>
    <row r="287" spans="2:5" ht="15" customHeight="1" x14ac:dyDescent="0.25">
      <c r="B287" s="89"/>
      <c r="C287" s="45" t="s">
        <v>123</v>
      </c>
      <c r="D287" s="44">
        <v>4</v>
      </c>
      <c r="E287" s="43">
        <v>1.4603870025556772E-4</v>
      </c>
    </row>
    <row r="288" spans="2:5" ht="15" customHeight="1" x14ac:dyDescent="0.25">
      <c r="B288" s="90"/>
      <c r="C288" s="42" t="s">
        <v>20</v>
      </c>
      <c r="D288" s="41">
        <v>540</v>
      </c>
      <c r="E288" s="40">
        <v>1.9715224534501644E-2</v>
      </c>
    </row>
    <row r="289" spans="2:5" ht="15" customHeight="1" x14ac:dyDescent="0.25">
      <c r="B289" s="88" t="s">
        <v>108</v>
      </c>
      <c r="C289" s="45" t="s">
        <v>134</v>
      </c>
      <c r="D289" s="44">
        <v>92</v>
      </c>
      <c r="E289" s="43">
        <v>3.3588901058780578E-3</v>
      </c>
    </row>
    <row r="290" spans="2:5" ht="15" customHeight="1" x14ac:dyDescent="0.25">
      <c r="B290" s="89"/>
      <c r="C290" s="45" t="s">
        <v>132</v>
      </c>
      <c r="D290" s="44">
        <v>64</v>
      </c>
      <c r="E290" s="43">
        <v>2.3366192040890836E-3</v>
      </c>
    </row>
    <row r="291" spans="2:5" ht="15" customHeight="1" x14ac:dyDescent="0.25">
      <c r="B291" s="89"/>
      <c r="C291" s="45" t="s">
        <v>130</v>
      </c>
      <c r="D291" s="44">
        <v>36</v>
      </c>
      <c r="E291" s="43">
        <v>1.3143483023001095E-3</v>
      </c>
    </row>
    <row r="292" spans="2:5" ht="15" customHeight="1" x14ac:dyDescent="0.25">
      <c r="B292" s="89"/>
      <c r="C292" s="45" t="s">
        <v>128</v>
      </c>
      <c r="D292" s="44">
        <v>20</v>
      </c>
      <c r="E292" s="43">
        <v>7.3019350127783865E-4</v>
      </c>
    </row>
    <row r="293" spans="2:5" ht="15" customHeight="1" x14ac:dyDescent="0.25">
      <c r="B293" s="89"/>
      <c r="C293" s="45" t="s">
        <v>124</v>
      </c>
      <c r="D293" s="44">
        <v>12</v>
      </c>
      <c r="E293" s="43">
        <v>4.381161007667032E-4</v>
      </c>
    </row>
    <row r="294" spans="2:5" ht="15" customHeight="1" x14ac:dyDescent="0.25">
      <c r="B294" s="89"/>
      <c r="C294" s="45" t="s">
        <v>136</v>
      </c>
      <c r="D294" s="44">
        <v>34</v>
      </c>
      <c r="E294" s="43">
        <v>1.2413289521723257E-3</v>
      </c>
    </row>
    <row r="295" spans="2:5" ht="15" customHeight="1" x14ac:dyDescent="0.25">
      <c r="B295" s="89"/>
      <c r="C295" s="45" t="s">
        <v>137</v>
      </c>
      <c r="D295" s="44">
        <v>64</v>
      </c>
      <c r="E295" s="43">
        <v>2.3366192040890836E-3</v>
      </c>
    </row>
    <row r="296" spans="2:5" ht="15" customHeight="1" x14ac:dyDescent="0.25">
      <c r="B296" s="89"/>
      <c r="C296" s="45" t="s">
        <v>131</v>
      </c>
      <c r="D296" s="44">
        <v>44</v>
      </c>
      <c r="E296" s="43">
        <v>1.606425702811245E-3</v>
      </c>
    </row>
    <row r="297" spans="2:5" ht="15" customHeight="1" x14ac:dyDescent="0.25">
      <c r="B297" s="89"/>
      <c r="C297" s="45" t="s">
        <v>135</v>
      </c>
      <c r="D297" s="44">
        <v>33</v>
      </c>
      <c r="E297" s="43">
        <v>1.2048192771084338E-3</v>
      </c>
    </row>
    <row r="298" spans="2:5" ht="15" customHeight="1" x14ac:dyDescent="0.25">
      <c r="B298" s="89"/>
      <c r="C298" s="45" t="s">
        <v>125</v>
      </c>
      <c r="D298" s="44">
        <v>2</v>
      </c>
      <c r="E298" s="43">
        <v>7.3019350127783862E-5</v>
      </c>
    </row>
    <row r="299" spans="2:5" ht="15" customHeight="1" x14ac:dyDescent="0.25">
      <c r="B299" s="89"/>
      <c r="C299" s="45" t="s">
        <v>133</v>
      </c>
      <c r="D299" s="44">
        <v>25</v>
      </c>
      <c r="E299" s="43">
        <v>9.1274187659729834E-4</v>
      </c>
    </row>
    <row r="300" spans="2:5" ht="15" customHeight="1" x14ac:dyDescent="0.25">
      <c r="B300" s="89"/>
      <c r="C300" s="45" t="s">
        <v>122</v>
      </c>
      <c r="D300" s="44">
        <v>2</v>
      </c>
      <c r="E300" s="43">
        <v>7.3019350127783862E-5</v>
      </c>
    </row>
    <row r="301" spans="2:5" ht="15" customHeight="1" x14ac:dyDescent="0.25">
      <c r="B301" s="89"/>
      <c r="C301" s="45" t="s">
        <v>126</v>
      </c>
      <c r="D301" s="44">
        <v>8</v>
      </c>
      <c r="E301" s="43">
        <v>2.9207740051113545E-4</v>
      </c>
    </row>
    <row r="302" spans="2:5" ht="15" customHeight="1" x14ac:dyDescent="0.25">
      <c r="B302" s="89"/>
      <c r="C302" s="45" t="s">
        <v>127</v>
      </c>
      <c r="D302" s="44">
        <v>6</v>
      </c>
      <c r="E302" s="43">
        <v>2.190580503833516E-4</v>
      </c>
    </row>
    <row r="303" spans="2:5" ht="15" customHeight="1" x14ac:dyDescent="0.25">
      <c r="B303" s="89"/>
      <c r="C303" s="45" t="s">
        <v>129</v>
      </c>
      <c r="D303" s="44">
        <v>8</v>
      </c>
      <c r="E303" s="43">
        <v>2.9207740051113545E-4</v>
      </c>
    </row>
    <row r="304" spans="2:5" ht="15" customHeight="1" x14ac:dyDescent="0.25">
      <c r="B304" s="89"/>
      <c r="C304" s="45" t="s">
        <v>123</v>
      </c>
      <c r="D304" s="44">
        <v>2</v>
      </c>
      <c r="E304" s="43">
        <v>7.3019350127783862E-5</v>
      </c>
    </row>
    <row r="305" spans="2:5" ht="15" customHeight="1" x14ac:dyDescent="0.25">
      <c r="B305" s="90"/>
      <c r="C305" s="42" t="s">
        <v>20</v>
      </c>
      <c r="D305" s="41">
        <v>452</v>
      </c>
      <c r="E305" s="40">
        <v>1.6502373128879155E-2</v>
      </c>
    </row>
    <row r="306" spans="2:5" ht="15" customHeight="1" x14ac:dyDescent="0.25">
      <c r="B306" s="88" t="s">
        <v>120</v>
      </c>
      <c r="C306" s="45" t="s">
        <v>134</v>
      </c>
      <c r="D306" s="44">
        <v>331</v>
      </c>
      <c r="E306" s="43">
        <v>1.2084702446148229E-2</v>
      </c>
    </row>
    <row r="307" spans="2:5" ht="15" customHeight="1" x14ac:dyDescent="0.25">
      <c r="B307" s="89"/>
      <c r="C307" s="45" t="s">
        <v>132</v>
      </c>
      <c r="D307" s="44">
        <v>112</v>
      </c>
      <c r="E307" s="43">
        <v>4.0890836071558962E-3</v>
      </c>
    </row>
    <row r="308" spans="2:5" ht="15" customHeight="1" x14ac:dyDescent="0.25">
      <c r="B308" s="89"/>
      <c r="C308" s="45" t="s">
        <v>130</v>
      </c>
      <c r="D308" s="44">
        <v>124</v>
      </c>
      <c r="E308" s="43">
        <v>4.5271997079225999E-3</v>
      </c>
    </row>
    <row r="309" spans="2:5" ht="15" customHeight="1" x14ac:dyDescent="0.25">
      <c r="B309" s="89"/>
      <c r="C309" s="45" t="s">
        <v>128</v>
      </c>
      <c r="D309" s="44">
        <v>79</v>
      </c>
      <c r="E309" s="43">
        <v>2.8842643300474625E-3</v>
      </c>
    </row>
    <row r="310" spans="2:5" ht="15" customHeight="1" x14ac:dyDescent="0.25">
      <c r="B310" s="89"/>
      <c r="C310" s="45" t="s">
        <v>124</v>
      </c>
      <c r="D310" s="44">
        <v>3</v>
      </c>
      <c r="E310" s="43">
        <v>1.095290251916758E-4</v>
      </c>
    </row>
    <row r="311" spans="2:5" ht="15" customHeight="1" x14ac:dyDescent="0.25">
      <c r="B311" s="89"/>
      <c r="C311" s="45" t="s">
        <v>136</v>
      </c>
      <c r="D311" s="44">
        <v>223</v>
      </c>
      <c r="E311" s="43">
        <v>8.1416575392478999E-3</v>
      </c>
    </row>
    <row r="312" spans="2:5" ht="15" customHeight="1" x14ac:dyDescent="0.25">
      <c r="B312" s="89"/>
      <c r="C312" s="45" t="s">
        <v>137</v>
      </c>
      <c r="D312" s="44">
        <v>445</v>
      </c>
      <c r="E312" s="43">
        <v>1.6246805403431909E-2</v>
      </c>
    </row>
    <row r="313" spans="2:5" ht="15" customHeight="1" x14ac:dyDescent="0.25">
      <c r="B313" s="89"/>
      <c r="C313" s="45" t="s">
        <v>131</v>
      </c>
      <c r="D313" s="44">
        <v>301</v>
      </c>
      <c r="E313" s="43">
        <v>1.0989412194231472E-2</v>
      </c>
    </row>
    <row r="314" spans="2:5" ht="15" customHeight="1" x14ac:dyDescent="0.25">
      <c r="B314" s="89"/>
      <c r="C314" s="45" t="s">
        <v>135</v>
      </c>
      <c r="D314" s="44">
        <v>546</v>
      </c>
      <c r="E314" s="43">
        <v>1.9934282584884996E-2</v>
      </c>
    </row>
    <row r="315" spans="2:5" ht="15" customHeight="1" x14ac:dyDescent="0.25">
      <c r="B315" s="89"/>
      <c r="C315" s="45" t="s">
        <v>125</v>
      </c>
      <c r="D315" s="44">
        <v>33</v>
      </c>
      <c r="E315" s="43">
        <v>1.2048192771084338E-3</v>
      </c>
    </row>
    <row r="316" spans="2:5" ht="15" customHeight="1" x14ac:dyDescent="0.25">
      <c r="B316" s="89"/>
      <c r="C316" s="45" t="s">
        <v>133</v>
      </c>
      <c r="D316" s="44">
        <v>486</v>
      </c>
      <c r="E316" s="43">
        <v>1.7743702081051478E-2</v>
      </c>
    </row>
    <row r="317" spans="2:5" ht="15" customHeight="1" x14ac:dyDescent="0.25">
      <c r="B317" s="89"/>
      <c r="C317" s="45" t="s">
        <v>122</v>
      </c>
      <c r="D317" s="44">
        <v>41</v>
      </c>
      <c r="E317" s="43">
        <v>1.4968966776195691E-3</v>
      </c>
    </row>
    <row r="318" spans="2:5" ht="15" customHeight="1" x14ac:dyDescent="0.25">
      <c r="B318" s="89"/>
      <c r="C318" s="45" t="s">
        <v>126</v>
      </c>
      <c r="D318" s="44">
        <v>8</v>
      </c>
      <c r="E318" s="43">
        <v>2.9207740051113545E-4</v>
      </c>
    </row>
    <row r="319" spans="2:5" ht="15" customHeight="1" x14ac:dyDescent="0.25">
      <c r="B319" s="89"/>
      <c r="C319" s="45" t="s">
        <v>127</v>
      </c>
      <c r="D319" s="44">
        <v>93</v>
      </c>
      <c r="E319" s="43">
        <v>3.3953997809419495E-3</v>
      </c>
    </row>
    <row r="320" spans="2:5" ht="15" customHeight="1" x14ac:dyDescent="0.25">
      <c r="B320" s="89"/>
      <c r="C320" s="45" t="s">
        <v>129</v>
      </c>
      <c r="D320" s="44">
        <v>50</v>
      </c>
      <c r="E320" s="43">
        <v>1.8254837531945967E-3</v>
      </c>
    </row>
    <row r="321" spans="2:5" ht="15" customHeight="1" x14ac:dyDescent="0.25">
      <c r="B321" s="89"/>
      <c r="C321" s="45" t="s">
        <v>123</v>
      </c>
      <c r="D321" s="44">
        <v>12</v>
      </c>
      <c r="E321" s="43">
        <v>4.381161007667032E-4</v>
      </c>
    </row>
    <row r="322" spans="2:5" ht="15" customHeight="1" x14ac:dyDescent="0.25">
      <c r="B322" s="90"/>
      <c r="C322" s="42" t="s">
        <v>20</v>
      </c>
      <c r="D322" s="41">
        <v>2887</v>
      </c>
      <c r="E322" s="40">
        <v>0.105403431909456</v>
      </c>
    </row>
    <row r="323" spans="2:5" ht="15" customHeight="1" x14ac:dyDescent="0.25">
      <c r="B323" s="88" t="s">
        <v>99</v>
      </c>
      <c r="C323" s="45" t="s">
        <v>134</v>
      </c>
      <c r="D323" s="44">
        <v>2</v>
      </c>
      <c r="E323" s="43">
        <v>7.3019350127783862E-5</v>
      </c>
    </row>
    <row r="324" spans="2:5" ht="15" customHeight="1" x14ac:dyDescent="0.25">
      <c r="B324" s="89"/>
      <c r="C324" s="45" t="s">
        <v>132</v>
      </c>
      <c r="D324" s="44">
        <v>7</v>
      </c>
      <c r="E324" s="43">
        <v>2.5556772544724351E-4</v>
      </c>
    </row>
    <row r="325" spans="2:5" ht="15" customHeight="1" x14ac:dyDescent="0.25">
      <c r="B325" s="89"/>
      <c r="C325" s="45" t="s">
        <v>130</v>
      </c>
      <c r="D325" s="44">
        <v>17</v>
      </c>
      <c r="E325" s="43">
        <v>6.2066447608616284E-4</v>
      </c>
    </row>
    <row r="326" spans="2:5" ht="15" customHeight="1" x14ac:dyDescent="0.25">
      <c r="B326" s="89"/>
      <c r="C326" s="45" t="s">
        <v>128</v>
      </c>
      <c r="D326" s="44">
        <v>22</v>
      </c>
      <c r="E326" s="43">
        <v>8.0321285140562252E-4</v>
      </c>
    </row>
    <row r="327" spans="2:5" ht="15" customHeight="1" x14ac:dyDescent="0.25">
      <c r="B327" s="89"/>
      <c r="C327" s="45" t="s">
        <v>124</v>
      </c>
      <c r="D327" s="44">
        <v>24</v>
      </c>
      <c r="E327" s="43">
        <v>8.762322015334064E-4</v>
      </c>
    </row>
    <row r="328" spans="2:5" ht="15" customHeight="1" x14ac:dyDescent="0.25">
      <c r="B328" s="89"/>
      <c r="C328" s="45" t="s">
        <v>136</v>
      </c>
      <c r="D328" s="44">
        <v>94</v>
      </c>
      <c r="E328" s="43">
        <v>3.4319094560058415E-3</v>
      </c>
    </row>
    <row r="329" spans="2:5" ht="15" customHeight="1" x14ac:dyDescent="0.25">
      <c r="B329" s="89"/>
      <c r="C329" s="45" t="s">
        <v>137</v>
      </c>
      <c r="D329" s="44">
        <v>9</v>
      </c>
      <c r="E329" s="43">
        <v>3.2858707557502739E-4</v>
      </c>
    </row>
    <row r="330" spans="2:5" ht="15" customHeight="1" x14ac:dyDescent="0.25">
      <c r="B330" s="89"/>
      <c r="C330" s="45" t="s">
        <v>131</v>
      </c>
      <c r="D330" s="44">
        <v>3</v>
      </c>
      <c r="E330" s="43">
        <v>1.095290251916758E-4</v>
      </c>
    </row>
    <row r="331" spans="2:5" ht="15" customHeight="1" x14ac:dyDescent="0.25">
      <c r="B331" s="89"/>
      <c r="C331" s="45" t="s">
        <v>135</v>
      </c>
      <c r="D331" s="44">
        <v>1</v>
      </c>
      <c r="E331" s="43">
        <v>3.6509675063891931E-5</v>
      </c>
    </row>
    <row r="332" spans="2:5" ht="15" customHeight="1" x14ac:dyDescent="0.25">
      <c r="B332" s="89"/>
      <c r="C332" s="45" t="s">
        <v>125</v>
      </c>
      <c r="D332" s="44">
        <v>1</v>
      </c>
      <c r="E332" s="43">
        <v>3.6509675063891931E-5</v>
      </c>
    </row>
    <row r="333" spans="2:5" ht="15" customHeight="1" x14ac:dyDescent="0.25">
      <c r="B333" s="89"/>
      <c r="C333" s="45" t="s">
        <v>133</v>
      </c>
      <c r="D333" s="44">
        <v>2</v>
      </c>
      <c r="E333" s="43">
        <v>7.3019350127783862E-5</v>
      </c>
    </row>
    <row r="334" spans="2:5" ht="15" customHeight="1" x14ac:dyDescent="0.25">
      <c r="B334" s="89"/>
      <c r="C334" s="45" t="s">
        <v>126</v>
      </c>
      <c r="D334" s="44">
        <v>1</v>
      </c>
      <c r="E334" s="43">
        <v>3.6509675063891931E-5</v>
      </c>
    </row>
    <row r="335" spans="2:5" ht="15" customHeight="1" x14ac:dyDescent="0.25">
      <c r="B335" s="89"/>
      <c r="C335" s="45" t="s">
        <v>123</v>
      </c>
      <c r="D335" s="44">
        <v>5</v>
      </c>
      <c r="E335" s="43">
        <v>1.8254837531945966E-4</v>
      </c>
    </row>
    <row r="336" spans="2:5" ht="15" customHeight="1" x14ac:dyDescent="0.25">
      <c r="B336" s="90"/>
      <c r="C336" s="42" t="s">
        <v>20</v>
      </c>
      <c r="D336" s="41">
        <v>188</v>
      </c>
      <c r="E336" s="40">
        <v>6.863818912011683E-3</v>
      </c>
    </row>
    <row r="337" spans="2:5" ht="15" customHeight="1" x14ac:dyDescent="0.25">
      <c r="B337" s="88" t="s">
        <v>94</v>
      </c>
      <c r="C337" s="45" t="s">
        <v>134</v>
      </c>
      <c r="D337" s="44">
        <v>55</v>
      </c>
      <c r="E337" s="43">
        <v>2.008032128514056E-3</v>
      </c>
    </row>
    <row r="338" spans="2:5" ht="15" customHeight="1" x14ac:dyDescent="0.25">
      <c r="B338" s="89"/>
      <c r="C338" s="45" t="s">
        <v>132</v>
      </c>
      <c r="D338" s="44">
        <v>33</v>
      </c>
      <c r="E338" s="43">
        <v>1.2048192771084338E-3</v>
      </c>
    </row>
    <row r="339" spans="2:5" ht="15" customHeight="1" x14ac:dyDescent="0.25">
      <c r="B339" s="89"/>
      <c r="C339" s="45" t="s">
        <v>130</v>
      </c>
      <c r="D339" s="44">
        <v>10</v>
      </c>
      <c r="E339" s="43">
        <v>3.6509675063891932E-4</v>
      </c>
    </row>
    <row r="340" spans="2:5" ht="15" customHeight="1" x14ac:dyDescent="0.25">
      <c r="B340" s="89"/>
      <c r="C340" s="45" t="s">
        <v>128</v>
      </c>
      <c r="D340" s="44">
        <v>6</v>
      </c>
      <c r="E340" s="43">
        <v>2.190580503833516E-4</v>
      </c>
    </row>
    <row r="341" spans="2:5" ht="15" customHeight="1" x14ac:dyDescent="0.25">
      <c r="B341" s="89"/>
      <c r="C341" s="45" t="s">
        <v>124</v>
      </c>
      <c r="D341" s="44">
        <v>13</v>
      </c>
      <c r="E341" s="43">
        <v>4.7462577583059508E-4</v>
      </c>
    </row>
    <row r="342" spans="2:5" ht="15" customHeight="1" x14ac:dyDescent="0.25">
      <c r="B342" s="89"/>
      <c r="C342" s="45" t="s">
        <v>136</v>
      </c>
      <c r="D342" s="44">
        <v>24</v>
      </c>
      <c r="E342" s="43">
        <v>8.762322015334064E-4</v>
      </c>
    </row>
    <row r="343" spans="2:5" ht="15" customHeight="1" x14ac:dyDescent="0.25">
      <c r="B343" s="89"/>
      <c r="C343" s="45" t="s">
        <v>137</v>
      </c>
      <c r="D343" s="44">
        <v>69</v>
      </c>
      <c r="E343" s="43">
        <v>2.5191675794085434E-3</v>
      </c>
    </row>
    <row r="344" spans="2:5" ht="15" customHeight="1" x14ac:dyDescent="0.25">
      <c r="B344" s="89"/>
      <c r="C344" s="45" t="s">
        <v>131</v>
      </c>
      <c r="D344" s="44">
        <v>27</v>
      </c>
      <c r="E344" s="43">
        <v>9.8576122672508221E-4</v>
      </c>
    </row>
    <row r="345" spans="2:5" ht="15" customHeight="1" x14ac:dyDescent="0.25">
      <c r="B345" s="89"/>
      <c r="C345" s="45" t="s">
        <v>135</v>
      </c>
      <c r="D345" s="44">
        <v>85</v>
      </c>
      <c r="E345" s="43">
        <v>3.103322380430814E-3</v>
      </c>
    </row>
    <row r="346" spans="2:5" ht="15" customHeight="1" x14ac:dyDescent="0.25">
      <c r="B346" s="89"/>
      <c r="C346" s="45" t="s">
        <v>133</v>
      </c>
      <c r="D346" s="44">
        <v>8</v>
      </c>
      <c r="E346" s="43">
        <v>2.9207740051113545E-4</v>
      </c>
    </row>
    <row r="347" spans="2:5" ht="15" customHeight="1" x14ac:dyDescent="0.25">
      <c r="B347" s="89"/>
      <c r="C347" s="45" t="s">
        <v>122</v>
      </c>
      <c r="D347" s="44">
        <v>1</v>
      </c>
      <c r="E347" s="43">
        <v>3.6509675063891931E-5</v>
      </c>
    </row>
    <row r="348" spans="2:5" ht="15" customHeight="1" x14ac:dyDescent="0.25">
      <c r="B348" s="89"/>
      <c r="C348" s="45" t="s">
        <v>126</v>
      </c>
      <c r="D348" s="44">
        <v>1</v>
      </c>
      <c r="E348" s="43">
        <v>3.6509675063891931E-5</v>
      </c>
    </row>
    <row r="349" spans="2:5" ht="15" customHeight="1" x14ac:dyDescent="0.25">
      <c r="B349" s="89"/>
      <c r="C349" s="45" t="s">
        <v>127</v>
      </c>
      <c r="D349" s="44">
        <v>3</v>
      </c>
      <c r="E349" s="43">
        <v>1.095290251916758E-4</v>
      </c>
    </row>
    <row r="350" spans="2:5" ht="15" customHeight="1" x14ac:dyDescent="0.25">
      <c r="B350" s="89"/>
      <c r="C350" s="45" t="s">
        <v>129</v>
      </c>
      <c r="D350" s="44">
        <v>18</v>
      </c>
      <c r="E350" s="43">
        <v>6.5717415115005477E-4</v>
      </c>
    </row>
    <row r="351" spans="2:5" ht="15" customHeight="1" x14ac:dyDescent="0.25">
      <c r="B351" s="89"/>
      <c r="C351" s="45" t="s">
        <v>123</v>
      </c>
      <c r="D351" s="44">
        <v>3</v>
      </c>
      <c r="E351" s="43">
        <v>1.095290251916758E-4</v>
      </c>
    </row>
    <row r="352" spans="2:5" ht="15" customHeight="1" x14ac:dyDescent="0.25">
      <c r="B352" s="90"/>
      <c r="C352" s="42" t="s">
        <v>20</v>
      </c>
      <c r="D352" s="41">
        <v>356</v>
      </c>
      <c r="E352" s="40">
        <v>1.2997444322745527E-2</v>
      </c>
    </row>
    <row r="353" spans="2:5" ht="15" customHeight="1" x14ac:dyDescent="0.25">
      <c r="B353" s="88" t="s">
        <v>93</v>
      </c>
      <c r="C353" s="45" t="s">
        <v>134</v>
      </c>
      <c r="D353" s="44">
        <v>21</v>
      </c>
      <c r="E353" s="43">
        <v>7.6670317634173059E-4</v>
      </c>
    </row>
    <row r="354" spans="2:5" ht="15" customHeight="1" x14ac:dyDescent="0.25">
      <c r="B354" s="89"/>
      <c r="C354" s="45" t="s">
        <v>132</v>
      </c>
      <c r="D354" s="44">
        <v>28</v>
      </c>
      <c r="E354" s="43">
        <v>1.022270901788974E-3</v>
      </c>
    </row>
    <row r="355" spans="2:5" ht="15" customHeight="1" x14ac:dyDescent="0.25">
      <c r="B355" s="89"/>
      <c r="C355" s="45" t="s">
        <v>130</v>
      </c>
      <c r="D355" s="44">
        <v>21</v>
      </c>
      <c r="E355" s="43">
        <v>7.6670317634173059E-4</v>
      </c>
    </row>
    <row r="356" spans="2:5" ht="15" customHeight="1" x14ac:dyDescent="0.25">
      <c r="B356" s="89"/>
      <c r="C356" s="45" t="s">
        <v>128</v>
      </c>
      <c r="D356" s="44">
        <v>7</v>
      </c>
      <c r="E356" s="43">
        <v>2.5556772544724351E-4</v>
      </c>
    </row>
    <row r="357" spans="2:5" ht="15" customHeight="1" x14ac:dyDescent="0.25">
      <c r="B357" s="89"/>
      <c r="C357" s="45" t="s">
        <v>124</v>
      </c>
      <c r="D357" s="44">
        <v>5</v>
      </c>
      <c r="E357" s="43">
        <v>1.8254837531945966E-4</v>
      </c>
    </row>
    <row r="358" spans="2:5" ht="15" customHeight="1" x14ac:dyDescent="0.25">
      <c r="B358" s="89"/>
      <c r="C358" s="45" t="s">
        <v>136</v>
      </c>
      <c r="D358" s="44">
        <v>19</v>
      </c>
      <c r="E358" s="43">
        <v>6.9368382621394671E-4</v>
      </c>
    </row>
    <row r="359" spans="2:5" ht="15" customHeight="1" x14ac:dyDescent="0.25">
      <c r="B359" s="89"/>
      <c r="C359" s="45" t="s">
        <v>137</v>
      </c>
      <c r="D359" s="44">
        <v>100</v>
      </c>
      <c r="E359" s="43">
        <v>3.6509675063891934E-3</v>
      </c>
    </row>
    <row r="360" spans="2:5" ht="15" customHeight="1" x14ac:dyDescent="0.25">
      <c r="B360" s="89"/>
      <c r="C360" s="45" t="s">
        <v>131</v>
      </c>
      <c r="D360" s="44">
        <v>19</v>
      </c>
      <c r="E360" s="43">
        <v>6.9368382621394671E-4</v>
      </c>
    </row>
    <row r="361" spans="2:5" ht="15" customHeight="1" x14ac:dyDescent="0.25">
      <c r="B361" s="89"/>
      <c r="C361" s="45" t="s">
        <v>135</v>
      </c>
      <c r="D361" s="44">
        <v>34</v>
      </c>
      <c r="E361" s="43">
        <v>1.2413289521723257E-3</v>
      </c>
    </row>
    <row r="362" spans="2:5" ht="15" customHeight="1" x14ac:dyDescent="0.25">
      <c r="B362" s="89"/>
      <c r="C362" s="45" t="s">
        <v>125</v>
      </c>
      <c r="D362" s="44">
        <v>3</v>
      </c>
      <c r="E362" s="43">
        <v>1.095290251916758E-4</v>
      </c>
    </row>
    <row r="363" spans="2:5" ht="15" customHeight="1" x14ac:dyDescent="0.25">
      <c r="B363" s="89"/>
      <c r="C363" s="45" t="s">
        <v>133</v>
      </c>
      <c r="D363" s="44">
        <v>61</v>
      </c>
      <c r="E363" s="43">
        <v>2.2270901788974079E-3</v>
      </c>
    </row>
    <row r="364" spans="2:5" ht="15" customHeight="1" x14ac:dyDescent="0.25">
      <c r="B364" s="89"/>
      <c r="C364" s="45" t="s">
        <v>122</v>
      </c>
      <c r="D364" s="44">
        <v>2</v>
      </c>
      <c r="E364" s="43">
        <v>7.3019350127783862E-5</v>
      </c>
    </row>
    <row r="365" spans="2:5" ht="15" customHeight="1" x14ac:dyDescent="0.25">
      <c r="B365" s="89"/>
      <c r="C365" s="45" t="s">
        <v>126</v>
      </c>
      <c r="D365" s="44">
        <v>24</v>
      </c>
      <c r="E365" s="43">
        <v>8.762322015334064E-4</v>
      </c>
    </row>
    <row r="366" spans="2:5" ht="15" customHeight="1" x14ac:dyDescent="0.25">
      <c r="B366" s="89"/>
      <c r="C366" s="45" t="s">
        <v>127</v>
      </c>
      <c r="D366" s="44">
        <v>130</v>
      </c>
      <c r="E366" s="43">
        <v>4.7462577583059513E-3</v>
      </c>
    </row>
    <row r="367" spans="2:5" ht="15" customHeight="1" x14ac:dyDescent="0.25">
      <c r="B367" s="89"/>
      <c r="C367" s="45" t="s">
        <v>129</v>
      </c>
      <c r="D367" s="44">
        <v>108</v>
      </c>
      <c r="E367" s="43">
        <v>3.9430449069003289E-3</v>
      </c>
    </row>
    <row r="368" spans="2:5" ht="15" customHeight="1" x14ac:dyDescent="0.25">
      <c r="B368" s="89"/>
      <c r="C368" s="45" t="s">
        <v>123</v>
      </c>
      <c r="D368" s="44">
        <v>2</v>
      </c>
      <c r="E368" s="43">
        <v>7.3019350127783862E-5</v>
      </c>
    </row>
    <row r="369" spans="2:5" ht="15" customHeight="1" x14ac:dyDescent="0.25">
      <c r="B369" s="90"/>
      <c r="C369" s="42" t="s">
        <v>20</v>
      </c>
      <c r="D369" s="41">
        <v>584</v>
      </c>
      <c r="E369" s="40">
        <v>2.1321650237312889E-2</v>
      </c>
    </row>
    <row r="370" spans="2:5" ht="15" customHeight="1" x14ac:dyDescent="0.25">
      <c r="B370" s="88" t="s">
        <v>74</v>
      </c>
      <c r="C370" s="45" t="s">
        <v>132</v>
      </c>
      <c r="D370" s="44">
        <v>3</v>
      </c>
      <c r="E370" s="43">
        <v>1.095290251916758E-4</v>
      </c>
    </row>
    <row r="371" spans="2:5" ht="15" customHeight="1" x14ac:dyDescent="0.25">
      <c r="B371" s="90"/>
      <c r="C371" s="42" t="s">
        <v>20</v>
      </c>
      <c r="D371" s="41">
        <v>3</v>
      </c>
      <c r="E371" s="40">
        <v>1.095290251916758E-4</v>
      </c>
    </row>
    <row r="372" spans="2:5" ht="15" customHeight="1" x14ac:dyDescent="0.25">
      <c r="B372" s="88" t="s">
        <v>86</v>
      </c>
      <c r="C372" s="45" t="s">
        <v>134</v>
      </c>
      <c r="D372" s="44">
        <v>27</v>
      </c>
      <c r="E372" s="43">
        <v>9.8576122672508221E-4</v>
      </c>
    </row>
    <row r="373" spans="2:5" ht="15" customHeight="1" x14ac:dyDescent="0.25">
      <c r="B373" s="89"/>
      <c r="C373" s="45" t="s">
        <v>132</v>
      </c>
      <c r="D373" s="44">
        <v>10</v>
      </c>
      <c r="E373" s="43">
        <v>3.6509675063891932E-4</v>
      </c>
    </row>
    <row r="374" spans="2:5" ht="15" customHeight="1" x14ac:dyDescent="0.25">
      <c r="B374" s="89"/>
      <c r="C374" s="45" t="s">
        <v>130</v>
      </c>
      <c r="D374" s="44">
        <v>3</v>
      </c>
      <c r="E374" s="43">
        <v>1.095290251916758E-4</v>
      </c>
    </row>
    <row r="375" spans="2:5" ht="15" customHeight="1" x14ac:dyDescent="0.25">
      <c r="B375" s="89"/>
      <c r="C375" s="45" t="s">
        <v>128</v>
      </c>
      <c r="D375" s="44">
        <v>4</v>
      </c>
      <c r="E375" s="43">
        <v>1.4603870025556772E-4</v>
      </c>
    </row>
    <row r="376" spans="2:5" ht="15" customHeight="1" x14ac:dyDescent="0.25">
      <c r="B376" s="89"/>
      <c r="C376" s="45" t="s">
        <v>124</v>
      </c>
      <c r="D376" s="44">
        <v>2</v>
      </c>
      <c r="E376" s="43">
        <v>7.3019350127783862E-5</v>
      </c>
    </row>
    <row r="377" spans="2:5" ht="15" customHeight="1" x14ac:dyDescent="0.25">
      <c r="B377" s="89"/>
      <c r="C377" s="45" t="s">
        <v>136</v>
      </c>
      <c r="D377" s="44">
        <v>20</v>
      </c>
      <c r="E377" s="43">
        <v>7.3019350127783865E-4</v>
      </c>
    </row>
    <row r="378" spans="2:5" ht="15" customHeight="1" x14ac:dyDescent="0.25">
      <c r="B378" s="89"/>
      <c r="C378" s="45" t="s">
        <v>137</v>
      </c>
      <c r="D378" s="44">
        <v>24</v>
      </c>
      <c r="E378" s="43">
        <v>8.762322015334064E-4</v>
      </c>
    </row>
    <row r="379" spans="2:5" ht="15" customHeight="1" x14ac:dyDescent="0.25">
      <c r="B379" s="89"/>
      <c r="C379" s="45" t="s">
        <v>131</v>
      </c>
      <c r="D379" s="44">
        <v>4</v>
      </c>
      <c r="E379" s="43">
        <v>1.4603870025556772E-4</v>
      </c>
    </row>
    <row r="380" spans="2:5" ht="15" customHeight="1" x14ac:dyDescent="0.25">
      <c r="B380" s="89"/>
      <c r="C380" s="45" t="s">
        <v>135</v>
      </c>
      <c r="D380" s="44">
        <v>12</v>
      </c>
      <c r="E380" s="43">
        <v>4.381161007667032E-4</v>
      </c>
    </row>
    <row r="381" spans="2:5" ht="15" customHeight="1" x14ac:dyDescent="0.25">
      <c r="B381" s="89"/>
      <c r="C381" s="45" t="s">
        <v>125</v>
      </c>
      <c r="D381" s="44">
        <v>1</v>
      </c>
      <c r="E381" s="43">
        <v>3.6509675063891931E-5</v>
      </c>
    </row>
    <row r="382" spans="2:5" ht="15" customHeight="1" x14ac:dyDescent="0.25">
      <c r="B382" s="89"/>
      <c r="C382" s="45" t="s">
        <v>133</v>
      </c>
      <c r="D382" s="44">
        <v>27</v>
      </c>
      <c r="E382" s="43">
        <v>9.8576122672508221E-4</v>
      </c>
    </row>
    <row r="383" spans="2:5" ht="15" customHeight="1" x14ac:dyDescent="0.25">
      <c r="B383" s="89"/>
      <c r="C383" s="45" t="s">
        <v>126</v>
      </c>
      <c r="D383" s="44">
        <v>1</v>
      </c>
      <c r="E383" s="43">
        <v>3.6509675063891931E-5</v>
      </c>
    </row>
    <row r="384" spans="2:5" ht="15" customHeight="1" x14ac:dyDescent="0.25">
      <c r="B384" s="89"/>
      <c r="C384" s="45" t="s">
        <v>127</v>
      </c>
      <c r="D384" s="44">
        <v>1</v>
      </c>
      <c r="E384" s="43">
        <v>3.6509675063891931E-5</v>
      </c>
    </row>
    <row r="385" spans="2:5" ht="15" customHeight="1" x14ac:dyDescent="0.25">
      <c r="B385" s="89"/>
      <c r="C385" s="45" t="s">
        <v>129</v>
      </c>
      <c r="D385" s="44">
        <v>4</v>
      </c>
      <c r="E385" s="43">
        <v>1.4603870025556772E-4</v>
      </c>
    </row>
    <row r="386" spans="2:5" ht="15" customHeight="1" x14ac:dyDescent="0.25">
      <c r="B386" s="89"/>
      <c r="C386" s="45" t="s">
        <v>123</v>
      </c>
      <c r="D386" s="44">
        <v>1</v>
      </c>
      <c r="E386" s="43">
        <v>3.6509675063891931E-5</v>
      </c>
    </row>
    <row r="387" spans="2:5" ht="15" customHeight="1" x14ac:dyDescent="0.25">
      <c r="B387" s="90"/>
      <c r="C387" s="42" t="s">
        <v>20</v>
      </c>
      <c r="D387" s="41">
        <v>141</v>
      </c>
      <c r="E387" s="40">
        <v>5.1478641840087625E-3</v>
      </c>
    </row>
    <row r="388" spans="2:5" ht="15" customHeight="1" x14ac:dyDescent="0.25">
      <c r="B388" s="88" t="s">
        <v>115</v>
      </c>
      <c r="C388" s="45" t="s">
        <v>134</v>
      </c>
      <c r="D388" s="44">
        <v>87</v>
      </c>
      <c r="E388" s="43">
        <v>3.1763417305585981E-3</v>
      </c>
    </row>
    <row r="389" spans="2:5" ht="15" customHeight="1" x14ac:dyDescent="0.25">
      <c r="B389" s="89"/>
      <c r="C389" s="45" t="s">
        <v>132</v>
      </c>
      <c r="D389" s="44">
        <v>294</v>
      </c>
      <c r="E389" s="43">
        <v>1.0733844468784228E-2</v>
      </c>
    </row>
    <row r="390" spans="2:5" ht="15" customHeight="1" x14ac:dyDescent="0.25">
      <c r="B390" s="89"/>
      <c r="C390" s="45" t="s">
        <v>130</v>
      </c>
      <c r="D390" s="44">
        <v>183</v>
      </c>
      <c r="E390" s="43">
        <v>6.6812705366922232E-3</v>
      </c>
    </row>
    <row r="391" spans="2:5" ht="15" customHeight="1" x14ac:dyDescent="0.25">
      <c r="B391" s="89"/>
      <c r="C391" s="45" t="s">
        <v>128</v>
      </c>
      <c r="D391" s="44">
        <v>67</v>
      </c>
      <c r="E391" s="43">
        <v>2.4461482292807593E-3</v>
      </c>
    </row>
    <row r="392" spans="2:5" ht="15" customHeight="1" x14ac:dyDescent="0.25">
      <c r="B392" s="89"/>
      <c r="C392" s="45" t="s">
        <v>124</v>
      </c>
      <c r="D392" s="44">
        <v>4</v>
      </c>
      <c r="E392" s="43">
        <v>1.4603870025556772E-4</v>
      </c>
    </row>
    <row r="393" spans="2:5" ht="15" customHeight="1" x14ac:dyDescent="0.25">
      <c r="B393" s="89"/>
      <c r="C393" s="45" t="s">
        <v>136</v>
      </c>
      <c r="D393" s="44">
        <v>227</v>
      </c>
      <c r="E393" s="43">
        <v>8.2876962395034681E-3</v>
      </c>
    </row>
    <row r="394" spans="2:5" ht="15" customHeight="1" x14ac:dyDescent="0.25">
      <c r="B394" s="89"/>
      <c r="C394" s="45" t="s">
        <v>137</v>
      </c>
      <c r="D394" s="44">
        <v>324</v>
      </c>
      <c r="E394" s="43">
        <v>1.1829134720700987E-2</v>
      </c>
    </row>
    <row r="395" spans="2:5" ht="15" customHeight="1" x14ac:dyDescent="0.25">
      <c r="B395" s="89"/>
      <c r="C395" s="45" t="s">
        <v>131</v>
      </c>
      <c r="D395" s="44">
        <v>106</v>
      </c>
      <c r="E395" s="43">
        <v>3.8700255567725448E-3</v>
      </c>
    </row>
    <row r="396" spans="2:5" ht="15" customHeight="1" x14ac:dyDescent="0.25">
      <c r="B396" s="89"/>
      <c r="C396" s="45" t="s">
        <v>135</v>
      </c>
      <c r="D396" s="44">
        <v>240</v>
      </c>
      <c r="E396" s="43">
        <v>8.7623220153340634E-3</v>
      </c>
    </row>
    <row r="397" spans="2:5" ht="15" customHeight="1" x14ac:dyDescent="0.25">
      <c r="B397" s="89"/>
      <c r="C397" s="45" t="s">
        <v>125</v>
      </c>
      <c r="D397" s="44">
        <v>85</v>
      </c>
      <c r="E397" s="43">
        <v>3.103322380430814E-3</v>
      </c>
    </row>
    <row r="398" spans="2:5" ht="15" customHeight="1" x14ac:dyDescent="0.25">
      <c r="B398" s="89"/>
      <c r="C398" s="45" t="s">
        <v>133</v>
      </c>
      <c r="D398" s="44">
        <v>160</v>
      </c>
      <c r="E398" s="43">
        <v>5.8415480102227092E-3</v>
      </c>
    </row>
    <row r="399" spans="2:5" ht="15" customHeight="1" x14ac:dyDescent="0.25">
      <c r="B399" s="89"/>
      <c r="C399" s="45" t="s">
        <v>122</v>
      </c>
      <c r="D399" s="44">
        <v>3</v>
      </c>
      <c r="E399" s="43">
        <v>1.095290251916758E-4</v>
      </c>
    </row>
    <row r="400" spans="2:5" ht="15" customHeight="1" x14ac:dyDescent="0.25">
      <c r="B400" s="89"/>
      <c r="C400" s="45" t="s">
        <v>126</v>
      </c>
      <c r="D400" s="44">
        <v>76</v>
      </c>
      <c r="E400" s="43">
        <v>2.7747353048557868E-3</v>
      </c>
    </row>
    <row r="401" spans="2:5" ht="15" customHeight="1" x14ac:dyDescent="0.25">
      <c r="B401" s="89"/>
      <c r="C401" s="45" t="s">
        <v>127</v>
      </c>
      <c r="D401" s="44">
        <v>30</v>
      </c>
      <c r="E401" s="43">
        <v>1.0952902519167579E-3</v>
      </c>
    </row>
    <row r="402" spans="2:5" ht="15" customHeight="1" x14ac:dyDescent="0.25">
      <c r="B402" s="89"/>
      <c r="C402" s="45" t="s">
        <v>129</v>
      </c>
      <c r="D402" s="44">
        <v>49</v>
      </c>
      <c r="E402" s="43">
        <v>1.7889740781307046E-3</v>
      </c>
    </row>
    <row r="403" spans="2:5" ht="15" customHeight="1" x14ac:dyDescent="0.25">
      <c r="B403" s="90"/>
      <c r="C403" s="42" t="s">
        <v>20</v>
      </c>
      <c r="D403" s="41">
        <v>1935</v>
      </c>
      <c r="E403" s="40">
        <v>7.0646221248630889E-2</v>
      </c>
    </row>
    <row r="404" spans="2:5" ht="15" customHeight="1" x14ac:dyDescent="0.25">
      <c r="B404" s="88" t="s">
        <v>88</v>
      </c>
      <c r="C404" s="45" t="s">
        <v>134</v>
      </c>
      <c r="D404" s="44">
        <v>17</v>
      </c>
      <c r="E404" s="43">
        <v>6.2066447608616284E-4</v>
      </c>
    </row>
    <row r="405" spans="2:5" ht="15" customHeight="1" x14ac:dyDescent="0.25">
      <c r="B405" s="89"/>
      <c r="C405" s="45" t="s">
        <v>132</v>
      </c>
      <c r="D405" s="44">
        <v>11</v>
      </c>
      <c r="E405" s="43">
        <v>4.0160642570281126E-4</v>
      </c>
    </row>
    <row r="406" spans="2:5" ht="15" customHeight="1" x14ac:dyDescent="0.25">
      <c r="B406" s="89"/>
      <c r="C406" s="45" t="s">
        <v>130</v>
      </c>
      <c r="D406" s="44">
        <v>17</v>
      </c>
      <c r="E406" s="43">
        <v>6.2066447608616284E-4</v>
      </c>
    </row>
    <row r="407" spans="2:5" ht="15" customHeight="1" x14ac:dyDescent="0.25">
      <c r="B407" s="89"/>
      <c r="C407" s="45" t="s">
        <v>128</v>
      </c>
      <c r="D407" s="44">
        <v>4</v>
      </c>
      <c r="E407" s="43">
        <v>1.4603870025556772E-4</v>
      </c>
    </row>
    <row r="408" spans="2:5" ht="15" customHeight="1" x14ac:dyDescent="0.25">
      <c r="B408" s="89"/>
      <c r="C408" s="45" t="s">
        <v>124</v>
      </c>
      <c r="D408" s="44">
        <v>1</v>
      </c>
      <c r="E408" s="43">
        <v>3.6509675063891931E-5</v>
      </c>
    </row>
    <row r="409" spans="2:5" ht="15" customHeight="1" x14ac:dyDescent="0.25">
      <c r="B409" s="89"/>
      <c r="C409" s="45" t="s">
        <v>136</v>
      </c>
      <c r="D409" s="44">
        <v>55</v>
      </c>
      <c r="E409" s="43">
        <v>2.008032128514056E-3</v>
      </c>
    </row>
    <row r="410" spans="2:5" ht="15" customHeight="1" x14ac:dyDescent="0.25">
      <c r="B410" s="89"/>
      <c r="C410" s="45" t="s">
        <v>137</v>
      </c>
      <c r="D410" s="44">
        <v>43</v>
      </c>
      <c r="E410" s="43">
        <v>1.569916027747353E-3</v>
      </c>
    </row>
    <row r="411" spans="2:5" ht="15" customHeight="1" x14ac:dyDescent="0.25">
      <c r="B411" s="89"/>
      <c r="C411" s="45" t="s">
        <v>131</v>
      </c>
      <c r="D411" s="44">
        <v>54</v>
      </c>
      <c r="E411" s="43">
        <v>1.9715224534501644E-3</v>
      </c>
    </row>
    <row r="412" spans="2:5" ht="15" customHeight="1" x14ac:dyDescent="0.25">
      <c r="B412" s="89"/>
      <c r="C412" s="45" t="s">
        <v>135</v>
      </c>
      <c r="D412" s="44">
        <v>8</v>
      </c>
      <c r="E412" s="43">
        <v>2.9207740051113545E-4</v>
      </c>
    </row>
    <row r="413" spans="2:5" ht="15" customHeight="1" x14ac:dyDescent="0.25">
      <c r="B413" s="89"/>
      <c r="C413" s="45" t="s">
        <v>125</v>
      </c>
      <c r="D413" s="44">
        <v>2</v>
      </c>
      <c r="E413" s="43">
        <v>7.3019350127783862E-5</v>
      </c>
    </row>
    <row r="414" spans="2:5" ht="15" customHeight="1" x14ac:dyDescent="0.25">
      <c r="B414" s="89"/>
      <c r="C414" s="45" t="s">
        <v>133</v>
      </c>
      <c r="D414" s="44">
        <v>7</v>
      </c>
      <c r="E414" s="43">
        <v>2.5556772544724351E-4</v>
      </c>
    </row>
    <row r="415" spans="2:5" ht="15" customHeight="1" x14ac:dyDescent="0.25">
      <c r="B415" s="89"/>
      <c r="C415" s="45" t="s">
        <v>126</v>
      </c>
      <c r="D415" s="44">
        <v>2</v>
      </c>
      <c r="E415" s="43">
        <v>7.3019350127783862E-5</v>
      </c>
    </row>
    <row r="416" spans="2:5" ht="15" customHeight="1" x14ac:dyDescent="0.25">
      <c r="B416" s="89"/>
      <c r="C416" s="45" t="s">
        <v>127</v>
      </c>
      <c r="D416" s="44">
        <v>7</v>
      </c>
      <c r="E416" s="43">
        <v>2.5556772544724351E-4</v>
      </c>
    </row>
    <row r="417" spans="2:5" ht="15" customHeight="1" x14ac:dyDescent="0.25">
      <c r="B417" s="89"/>
      <c r="C417" s="45" t="s">
        <v>129</v>
      </c>
      <c r="D417" s="44">
        <v>8</v>
      </c>
      <c r="E417" s="43">
        <v>2.9207740051113545E-4</v>
      </c>
    </row>
    <row r="418" spans="2:5" ht="15" customHeight="1" x14ac:dyDescent="0.25">
      <c r="B418" s="90"/>
      <c r="C418" s="42" t="s">
        <v>20</v>
      </c>
      <c r="D418" s="41">
        <v>236</v>
      </c>
      <c r="E418" s="40">
        <v>8.6162833150784952E-3</v>
      </c>
    </row>
    <row r="419" spans="2:5" ht="15" customHeight="1" x14ac:dyDescent="0.25">
      <c r="B419" s="88" t="s">
        <v>107</v>
      </c>
      <c r="C419" s="45" t="s">
        <v>134</v>
      </c>
      <c r="D419" s="44">
        <v>140</v>
      </c>
      <c r="E419" s="43">
        <v>5.11135450894487E-3</v>
      </c>
    </row>
    <row r="420" spans="2:5" ht="15" customHeight="1" x14ac:dyDescent="0.25">
      <c r="B420" s="89"/>
      <c r="C420" s="45" t="s">
        <v>132</v>
      </c>
      <c r="D420" s="44">
        <v>58</v>
      </c>
      <c r="E420" s="43">
        <v>2.1175611537057322E-3</v>
      </c>
    </row>
    <row r="421" spans="2:5" ht="15" customHeight="1" x14ac:dyDescent="0.25">
      <c r="B421" s="89"/>
      <c r="C421" s="45" t="s">
        <v>130</v>
      </c>
      <c r="D421" s="44">
        <v>53</v>
      </c>
      <c r="E421" s="43">
        <v>1.9350127783862724E-3</v>
      </c>
    </row>
    <row r="422" spans="2:5" ht="15" customHeight="1" x14ac:dyDescent="0.25">
      <c r="B422" s="89"/>
      <c r="C422" s="45" t="s">
        <v>128</v>
      </c>
      <c r="D422" s="44">
        <v>39</v>
      </c>
      <c r="E422" s="43">
        <v>1.4238773274917853E-3</v>
      </c>
    </row>
    <row r="423" spans="2:5" ht="15" customHeight="1" x14ac:dyDescent="0.25">
      <c r="B423" s="89"/>
      <c r="C423" s="45" t="s">
        <v>124</v>
      </c>
      <c r="D423" s="44">
        <v>2</v>
      </c>
      <c r="E423" s="43">
        <v>7.3019350127783862E-5</v>
      </c>
    </row>
    <row r="424" spans="2:5" ht="15" customHeight="1" x14ac:dyDescent="0.25">
      <c r="B424" s="89"/>
      <c r="C424" s="45" t="s">
        <v>136</v>
      </c>
      <c r="D424" s="44">
        <v>55</v>
      </c>
      <c r="E424" s="43">
        <v>2.008032128514056E-3</v>
      </c>
    </row>
    <row r="425" spans="2:5" ht="15" customHeight="1" x14ac:dyDescent="0.25">
      <c r="B425" s="89"/>
      <c r="C425" s="45" t="s">
        <v>137</v>
      </c>
      <c r="D425" s="44">
        <v>137</v>
      </c>
      <c r="E425" s="43">
        <v>5.0018254837531943E-3</v>
      </c>
    </row>
    <row r="426" spans="2:5" ht="15" customHeight="1" x14ac:dyDescent="0.25">
      <c r="B426" s="89"/>
      <c r="C426" s="45" t="s">
        <v>131</v>
      </c>
      <c r="D426" s="44">
        <v>15</v>
      </c>
      <c r="E426" s="43">
        <v>5.4764512595837896E-4</v>
      </c>
    </row>
    <row r="427" spans="2:5" ht="15" customHeight="1" x14ac:dyDescent="0.25">
      <c r="B427" s="89"/>
      <c r="C427" s="45" t="s">
        <v>135</v>
      </c>
      <c r="D427" s="44">
        <v>37</v>
      </c>
      <c r="E427" s="43">
        <v>1.3508579773640014E-3</v>
      </c>
    </row>
    <row r="428" spans="2:5" ht="15" customHeight="1" x14ac:dyDescent="0.25">
      <c r="B428" s="89"/>
      <c r="C428" s="45" t="s">
        <v>125</v>
      </c>
      <c r="D428" s="44">
        <v>2</v>
      </c>
      <c r="E428" s="43">
        <v>7.3019350127783862E-5</v>
      </c>
    </row>
    <row r="429" spans="2:5" ht="15" customHeight="1" x14ac:dyDescent="0.25">
      <c r="B429" s="89"/>
      <c r="C429" s="45" t="s">
        <v>133</v>
      </c>
      <c r="D429" s="44">
        <v>17</v>
      </c>
      <c r="E429" s="43">
        <v>6.2066447608616284E-4</v>
      </c>
    </row>
    <row r="430" spans="2:5" ht="15" customHeight="1" x14ac:dyDescent="0.25">
      <c r="B430" s="89"/>
      <c r="C430" s="45" t="s">
        <v>122</v>
      </c>
      <c r="D430" s="44">
        <v>1</v>
      </c>
      <c r="E430" s="43">
        <v>3.6509675063891931E-5</v>
      </c>
    </row>
    <row r="431" spans="2:5" ht="15" customHeight="1" x14ac:dyDescent="0.25">
      <c r="B431" s="89"/>
      <c r="C431" s="45" t="s">
        <v>126</v>
      </c>
      <c r="D431" s="44">
        <v>4</v>
      </c>
      <c r="E431" s="43">
        <v>1.4603870025556772E-4</v>
      </c>
    </row>
    <row r="432" spans="2:5" ht="15" customHeight="1" x14ac:dyDescent="0.25">
      <c r="B432" s="89"/>
      <c r="C432" s="45" t="s">
        <v>127</v>
      </c>
      <c r="D432" s="44">
        <v>18</v>
      </c>
      <c r="E432" s="43">
        <v>6.5717415115005477E-4</v>
      </c>
    </row>
    <row r="433" spans="2:5" ht="15" customHeight="1" x14ac:dyDescent="0.25">
      <c r="B433" s="89"/>
      <c r="C433" s="45" t="s">
        <v>129</v>
      </c>
      <c r="D433" s="44">
        <v>13</v>
      </c>
      <c r="E433" s="43">
        <v>4.7462577583059508E-4</v>
      </c>
    </row>
    <row r="434" spans="2:5" ht="15" customHeight="1" x14ac:dyDescent="0.25">
      <c r="B434" s="89"/>
      <c r="C434" s="45" t="s">
        <v>123</v>
      </c>
      <c r="D434" s="44">
        <v>3</v>
      </c>
      <c r="E434" s="43">
        <v>1.095290251916758E-4</v>
      </c>
    </row>
    <row r="435" spans="2:5" ht="15" customHeight="1" x14ac:dyDescent="0.25">
      <c r="B435" s="90"/>
      <c r="C435" s="42" t="s">
        <v>20</v>
      </c>
      <c r="D435" s="41">
        <v>594</v>
      </c>
      <c r="E435" s="40">
        <v>2.1686746987951807E-2</v>
      </c>
    </row>
    <row r="436" spans="2:5" ht="15" customHeight="1" x14ac:dyDescent="0.25">
      <c r="B436" s="88" t="s">
        <v>103</v>
      </c>
      <c r="C436" s="45" t="s">
        <v>134</v>
      </c>
      <c r="D436" s="44">
        <v>27</v>
      </c>
      <c r="E436" s="43">
        <v>9.8576122672508221E-4</v>
      </c>
    </row>
    <row r="437" spans="2:5" ht="15" customHeight="1" x14ac:dyDescent="0.25">
      <c r="B437" s="89"/>
      <c r="C437" s="45" t="s">
        <v>132</v>
      </c>
      <c r="D437" s="44">
        <v>13</v>
      </c>
      <c r="E437" s="43">
        <v>4.7462577583059508E-4</v>
      </c>
    </row>
    <row r="438" spans="2:5" ht="15" customHeight="1" x14ac:dyDescent="0.25">
      <c r="B438" s="89"/>
      <c r="C438" s="45" t="s">
        <v>130</v>
      </c>
      <c r="D438" s="44">
        <v>20</v>
      </c>
      <c r="E438" s="43">
        <v>7.3019350127783865E-4</v>
      </c>
    </row>
    <row r="439" spans="2:5" ht="15" customHeight="1" x14ac:dyDescent="0.25">
      <c r="B439" s="89"/>
      <c r="C439" s="45" t="s">
        <v>128</v>
      </c>
      <c r="D439" s="44">
        <v>18</v>
      </c>
      <c r="E439" s="43">
        <v>6.5717415115005477E-4</v>
      </c>
    </row>
    <row r="440" spans="2:5" ht="15" customHeight="1" x14ac:dyDescent="0.25">
      <c r="B440" s="89"/>
      <c r="C440" s="45" t="s">
        <v>124</v>
      </c>
      <c r="D440" s="44">
        <v>11</v>
      </c>
      <c r="E440" s="43">
        <v>4.0160642570281126E-4</v>
      </c>
    </row>
    <row r="441" spans="2:5" ht="15" customHeight="1" x14ac:dyDescent="0.25">
      <c r="B441" s="89"/>
      <c r="C441" s="45" t="s">
        <v>136</v>
      </c>
      <c r="D441" s="44">
        <v>31</v>
      </c>
      <c r="E441" s="43">
        <v>1.13179992698065E-3</v>
      </c>
    </row>
    <row r="442" spans="2:5" ht="15" customHeight="1" x14ac:dyDescent="0.25">
      <c r="B442" s="89"/>
      <c r="C442" s="45" t="s">
        <v>137</v>
      </c>
      <c r="D442" s="44">
        <v>45</v>
      </c>
      <c r="E442" s="43">
        <v>1.6429353778751369E-3</v>
      </c>
    </row>
    <row r="443" spans="2:5" ht="15" customHeight="1" x14ac:dyDescent="0.25">
      <c r="B443" s="89"/>
      <c r="C443" s="45" t="s">
        <v>131</v>
      </c>
      <c r="D443" s="44">
        <v>43</v>
      </c>
      <c r="E443" s="43">
        <v>1.569916027747353E-3</v>
      </c>
    </row>
    <row r="444" spans="2:5" ht="15" customHeight="1" x14ac:dyDescent="0.25">
      <c r="B444" s="89"/>
      <c r="C444" s="45" t="s">
        <v>135</v>
      </c>
      <c r="D444" s="44">
        <v>44</v>
      </c>
      <c r="E444" s="43">
        <v>1.606425702811245E-3</v>
      </c>
    </row>
    <row r="445" spans="2:5" ht="15" customHeight="1" x14ac:dyDescent="0.25">
      <c r="B445" s="89"/>
      <c r="C445" s="45" t="s">
        <v>125</v>
      </c>
      <c r="D445" s="44">
        <v>1</v>
      </c>
      <c r="E445" s="43">
        <v>3.6509675063891931E-5</v>
      </c>
    </row>
    <row r="446" spans="2:5" ht="15" customHeight="1" x14ac:dyDescent="0.25">
      <c r="B446" s="89"/>
      <c r="C446" s="45" t="s">
        <v>133</v>
      </c>
      <c r="D446" s="44">
        <v>75</v>
      </c>
      <c r="E446" s="43">
        <v>2.7382256297918948E-3</v>
      </c>
    </row>
    <row r="447" spans="2:5" ht="15" customHeight="1" x14ac:dyDescent="0.25">
      <c r="B447" s="89"/>
      <c r="C447" s="45" t="s">
        <v>122</v>
      </c>
      <c r="D447" s="44">
        <v>1</v>
      </c>
      <c r="E447" s="43">
        <v>3.6509675063891931E-5</v>
      </c>
    </row>
    <row r="448" spans="2:5" ht="15" customHeight="1" x14ac:dyDescent="0.25">
      <c r="B448" s="89"/>
      <c r="C448" s="45" t="s">
        <v>126</v>
      </c>
      <c r="D448" s="44">
        <v>15</v>
      </c>
      <c r="E448" s="43">
        <v>5.4764512595837896E-4</v>
      </c>
    </row>
    <row r="449" spans="2:5" ht="15" customHeight="1" x14ac:dyDescent="0.25">
      <c r="B449" s="89"/>
      <c r="C449" s="45" t="s">
        <v>127</v>
      </c>
      <c r="D449" s="44">
        <v>25</v>
      </c>
      <c r="E449" s="43">
        <v>9.1274187659729834E-4</v>
      </c>
    </row>
    <row r="450" spans="2:5" ht="15" customHeight="1" x14ac:dyDescent="0.25">
      <c r="B450" s="89"/>
      <c r="C450" s="45" t="s">
        <v>129</v>
      </c>
      <c r="D450" s="44">
        <v>17</v>
      </c>
      <c r="E450" s="43">
        <v>6.2066447608616284E-4</v>
      </c>
    </row>
    <row r="451" spans="2:5" ht="15" customHeight="1" x14ac:dyDescent="0.25">
      <c r="B451" s="89"/>
      <c r="C451" s="45" t="s">
        <v>123</v>
      </c>
      <c r="D451" s="44">
        <v>1</v>
      </c>
      <c r="E451" s="43">
        <v>3.6509675063891931E-5</v>
      </c>
    </row>
    <row r="452" spans="2:5" ht="15" customHeight="1" x14ac:dyDescent="0.25">
      <c r="B452" s="90"/>
      <c r="C452" s="42" t="s">
        <v>20</v>
      </c>
      <c r="D452" s="41">
        <v>387</v>
      </c>
      <c r="E452" s="40">
        <v>1.4129244249726178E-2</v>
      </c>
    </row>
    <row r="453" spans="2:5" ht="15" customHeight="1" x14ac:dyDescent="0.25">
      <c r="B453" s="88" t="s">
        <v>91</v>
      </c>
      <c r="C453" s="45" t="s">
        <v>134</v>
      </c>
      <c r="D453" s="44">
        <v>85</v>
      </c>
      <c r="E453" s="43">
        <v>3.103322380430814E-3</v>
      </c>
    </row>
    <row r="454" spans="2:5" ht="15" customHeight="1" x14ac:dyDescent="0.25">
      <c r="B454" s="89"/>
      <c r="C454" s="45" t="s">
        <v>132</v>
      </c>
      <c r="D454" s="44">
        <v>41</v>
      </c>
      <c r="E454" s="43">
        <v>1.4968966776195691E-3</v>
      </c>
    </row>
    <row r="455" spans="2:5" ht="15" customHeight="1" x14ac:dyDescent="0.25">
      <c r="B455" s="89"/>
      <c r="C455" s="45" t="s">
        <v>130</v>
      </c>
      <c r="D455" s="44">
        <v>20</v>
      </c>
      <c r="E455" s="43">
        <v>7.3019350127783865E-4</v>
      </c>
    </row>
    <row r="456" spans="2:5" ht="15" customHeight="1" x14ac:dyDescent="0.25">
      <c r="B456" s="89"/>
      <c r="C456" s="45" t="s">
        <v>128</v>
      </c>
      <c r="D456" s="44">
        <v>9</v>
      </c>
      <c r="E456" s="43">
        <v>3.2858707557502739E-4</v>
      </c>
    </row>
    <row r="457" spans="2:5" ht="15" customHeight="1" x14ac:dyDescent="0.25">
      <c r="B457" s="89"/>
      <c r="C457" s="45" t="s">
        <v>124</v>
      </c>
      <c r="D457" s="44">
        <v>14</v>
      </c>
      <c r="E457" s="43">
        <v>5.1113545089448702E-4</v>
      </c>
    </row>
    <row r="458" spans="2:5" ht="15" customHeight="1" x14ac:dyDescent="0.25">
      <c r="B458" s="89"/>
      <c r="C458" s="45" t="s">
        <v>136</v>
      </c>
      <c r="D458" s="44">
        <v>56</v>
      </c>
      <c r="E458" s="43">
        <v>2.0445418035779481E-3</v>
      </c>
    </row>
    <row r="459" spans="2:5" ht="15" customHeight="1" x14ac:dyDescent="0.25">
      <c r="B459" s="89"/>
      <c r="C459" s="45" t="s">
        <v>137</v>
      </c>
      <c r="D459" s="44">
        <v>13</v>
      </c>
      <c r="E459" s="43">
        <v>4.7462577583059508E-4</v>
      </c>
    </row>
    <row r="460" spans="2:5" ht="15" customHeight="1" x14ac:dyDescent="0.25">
      <c r="B460" s="89"/>
      <c r="C460" s="45" t="s">
        <v>131</v>
      </c>
      <c r="D460" s="44">
        <v>4</v>
      </c>
      <c r="E460" s="43">
        <v>1.4603870025556772E-4</v>
      </c>
    </row>
    <row r="461" spans="2:5" ht="15" customHeight="1" x14ac:dyDescent="0.25">
      <c r="B461" s="89"/>
      <c r="C461" s="45" t="s">
        <v>135</v>
      </c>
      <c r="D461" s="44">
        <v>5</v>
      </c>
      <c r="E461" s="43">
        <v>1.8254837531945966E-4</v>
      </c>
    </row>
    <row r="462" spans="2:5" ht="15" customHeight="1" x14ac:dyDescent="0.25">
      <c r="B462" s="89"/>
      <c r="C462" s="45" t="s">
        <v>133</v>
      </c>
      <c r="D462" s="44">
        <v>5</v>
      </c>
      <c r="E462" s="43">
        <v>1.8254837531945966E-4</v>
      </c>
    </row>
    <row r="463" spans="2:5" ht="15" customHeight="1" x14ac:dyDescent="0.25">
      <c r="B463" s="89"/>
      <c r="C463" s="45" t="s">
        <v>122</v>
      </c>
      <c r="D463" s="44">
        <v>2</v>
      </c>
      <c r="E463" s="43">
        <v>7.3019350127783862E-5</v>
      </c>
    </row>
    <row r="464" spans="2:5" ht="15" customHeight="1" x14ac:dyDescent="0.25">
      <c r="B464" s="89"/>
      <c r="C464" s="45" t="s">
        <v>127</v>
      </c>
      <c r="D464" s="44">
        <v>1</v>
      </c>
      <c r="E464" s="43">
        <v>3.6509675063891931E-5</v>
      </c>
    </row>
    <row r="465" spans="2:5" ht="15" customHeight="1" x14ac:dyDescent="0.25">
      <c r="B465" s="89"/>
      <c r="C465" s="45" t="s">
        <v>129</v>
      </c>
      <c r="D465" s="44">
        <v>4</v>
      </c>
      <c r="E465" s="43">
        <v>1.4603870025556772E-4</v>
      </c>
    </row>
    <row r="466" spans="2:5" ht="15" customHeight="1" x14ac:dyDescent="0.25">
      <c r="B466" s="89"/>
      <c r="C466" s="45" t="s">
        <v>123</v>
      </c>
      <c r="D466" s="44">
        <v>1</v>
      </c>
      <c r="E466" s="43">
        <v>3.6509675063891931E-5</v>
      </c>
    </row>
    <row r="467" spans="2:5" ht="15" customHeight="1" x14ac:dyDescent="0.25">
      <c r="B467" s="90"/>
      <c r="C467" s="42" t="s">
        <v>20</v>
      </c>
      <c r="D467" s="41">
        <v>260</v>
      </c>
      <c r="E467" s="40">
        <v>9.4925155166119025E-3</v>
      </c>
    </row>
    <row r="468" spans="2:5" ht="15" customHeight="1" x14ac:dyDescent="0.25">
      <c r="B468" s="88" t="s">
        <v>95</v>
      </c>
      <c r="C468" s="45" t="s">
        <v>134</v>
      </c>
      <c r="D468" s="44">
        <v>2</v>
      </c>
      <c r="E468" s="43">
        <v>7.3019350127783862E-5</v>
      </c>
    </row>
    <row r="469" spans="2:5" ht="15" customHeight="1" x14ac:dyDescent="0.25">
      <c r="B469" s="89"/>
      <c r="C469" s="45" t="s">
        <v>132</v>
      </c>
      <c r="D469" s="44">
        <v>13</v>
      </c>
      <c r="E469" s="43">
        <v>4.7462577583059508E-4</v>
      </c>
    </row>
    <row r="470" spans="2:5" ht="15" customHeight="1" x14ac:dyDescent="0.25">
      <c r="B470" s="89"/>
      <c r="C470" s="45" t="s">
        <v>130</v>
      </c>
      <c r="D470" s="44">
        <v>5</v>
      </c>
      <c r="E470" s="43">
        <v>1.8254837531945966E-4</v>
      </c>
    </row>
    <row r="471" spans="2:5" ht="15" customHeight="1" x14ac:dyDescent="0.25">
      <c r="B471" s="89"/>
      <c r="C471" s="45" t="s">
        <v>128</v>
      </c>
      <c r="D471" s="44">
        <v>10</v>
      </c>
      <c r="E471" s="43">
        <v>3.6509675063891932E-4</v>
      </c>
    </row>
    <row r="472" spans="2:5" ht="15" customHeight="1" x14ac:dyDescent="0.25">
      <c r="B472" s="89"/>
      <c r="C472" s="45" t="s">
        <v>136</v>
      </c>
      <c r="D472" s="44">
        <v>1</v>
      </c>
      <c r="E472" s="43">
        <v>3.6509675063891931E-5</v>
      </c>
    </row>
    <row r="473" spans="2:5" ht="15" customHeight="1" x14ac:dyDescent="0.25">
      <c r="B473" s="89"/>
      <c r="C473" s="45" t="s">
        <v>137</v>
      </c>
      <c r="D473" s="44">
        <v>70</v>
      </c>
      <c r="E473" s="43">
        <v>2.555677254472435E-3</v>
      </c>
    </row>
    <row r="474" spans="2:5" ht="15" customHeight="1" x14ac:dyDescent="0.25">
      <c r="B474" s="89"/>
      <c r="C474" s="45" t="s">
        <v>131</v>
      </c>
      <c r="D474" s="44">
        <v>8</v>
      </c>
      <c r="E474" s="43">
        <v>2.9207740051113545E-4</v>
      </c>
    </row>
    <row r="475" spans="2:5" ht="15" customHeight="1" x14ac:dyDescent="0.25">
      <c r="B475" s="89"/>
      <c r="C475" s="45" t="s">
        <v>135</v>
      </c>
      <c r="D475" s="44">
        <v>30</v>
      </c>
      <c r="E475" s="43">
        <v>1.0952902519167579E-3</v>
      </c>
    </row>
    <row r="476" spans="2:5" ht="15" customHeight="1" x14ac:dyDescent="0.25">
      <c r="B476" s="89"/>
      <c r="C476" s="45" t="s">
        <v>133</v>
      </c>
      <c r="D476" s="44">
        <v>3</v>
      </c>
      <c r="E476" s="43">
        <v>1.095290251916758E-4</v>
      </c>
    </row>
    <row r="477" spans="2:5" ht="15" customHeight="1" x14ac:dyDescent="0.25">
      <c r="B477" s="89"/>
      <c r="C477" s="45" t="s">
        <v>129</v>
      </c>
      <c r="D477" s="44">
        <v>43</v>
      </c>
      <c r="E477" s="43">
        <v>1.569916027747353E-3</v>
      </c>
    </row>
    <row r="478" spans="2:5" ht="15" customHeight="1" x14ac:dyDescent="0.25">
      <c r="B478" s="90"/>
      <c r="C478" s="42" t="s">
        <v>20</v>
      </c>
      <c r="D478" s="41">
        <v>185</v>
      </c>
      <c r="E478" s="40">
        <v>6.7542898868200073E-3</v>
      </c>
    </row>
    <row r="479" spans="2:5" ht="15" customHeight="1" x14ac:dyDescent="0.25">
      <c r="B479" s="88" t="s">
        <v>79</v>
      </c>
      <c r="C479" s="45" t="s">
        <v>132</v>
      </c>
      <c r="D479" s="44">
        <v>2</v>
      </c>
      <c r="E479" s="43">
        <v>7.3019350127783862E-5</v>
      </c>
    </row>
    <row r="480" spans="2:5" ht="15" customHeight="1" x14ac:dyDescent="0.25">
      <c r="B480" s="89"/>
      <c r="C480" s="45" t="s">
        <v>128</v>
      </c>
      <c r="D480" s="44">
        <v>1</v>
      </c>
      <c r="E480" s="43">
        <v>3.6509675063891931E-5</v>
      </c>
    </row>
    <row r="481" spans="2:5" ht="15" customHeight="1" x14ac:dyDescent="0.25">
      <c r="B481" s="89"/>
      <c r="C481" s="45" t="s">
        <v>131</v>
      </c>
      <c r="D481" s="44">
        <v>2</v>
      </c>
      <c r="E481" s="43">
        <v>7.3019350127783862E-5</v>
      </c>
    </row>
    <row r="482" spans="2:5" ht="15" customHeight="1" x14ac:dyDescent="0.25">
      <c r="B482" s="90"/>
      <c r="C482" s="42" t="s">
        <v>20</v>
      </c>
      <c r="D482" s="41">
        <v>5</v>
      </c>
      <c r="E482" s="40">
        <v>1.8254837531945966E-4</v>
      </c>
    </row>
    <row r="483" spans="2:5" ht="15" customHeight="1" x14ac:dyDescent="0.25">
      <c r="B483" s="88" t="s">
        <v>113</v>
      </c>
      <c r="C483" s="45" t="s">
        <v>134</v>
      </c>
      <c r="D483" s="44">
        <v>82</v>
      </c>
      <c r="E483" s="43">
        <v>2.9937933552391383E-3</v>
      </c>
    </row>
    <row r="484" spans="2:5" ht="15" customHeight="1" x14ac:dyDescent="0.25">
      <c r="B484" s="89"/>
      <c r="C484" s="45" t="s">
        <v>132</v>
      </c>
      <c r="D484" s="44">
        <v>117</v>
      </c>
      <c r="E484" s="43">
        <v>4.271631982475356E-3</v>
      </c>
    </row>
    <row r="485" spans="2:5" ht="15" customHeight="1" x14ac:dyDescent="0.25">
      <c r="B485" s="89"/>
      <c r="C485" s="45" t="s">
        <v>130</v>
      </c>
      <c r="D485" s="44">
        <v>94</v>
      </c>
      <c r="E485" s="43">
        <v>3.4319094560058415E-3</v>
      </c>
    </row>
    <row r="486" spans="2:5" ht="15" customHeight="1" x14ac:dyDescent="0.25">
      <c r="B486" s="89"/>
      <c r="C486" s="45" t="s">
        <v>128</v>
      </c>
      <c r="D486" s="44">
        <v>43</v>
      </c>
      <c r="E486" s="43">
        <v>1.569916027747353E-3</v>
      </c>
    </row>
    <row r="487" spans="2:5" ht="15" customHeight="1" x14ac:dyDescent="0.25">
      <c r="B487" s="89"/>
      <c r="C487" s="45" t="s">
        <v>124</v>
      </c>
      <c r="D487" s="44">
        <v>7</v>
      </c>
      <c r="E487" s="43">
        <v>2.5556772544724351E-4</v>
      </c>
    </row>
    <row r="488" spans="2:5" ht="15" customHeight="1" x14ac:dyDescent="0.25">
      <c r="B488" s="89"/>
      <c r="C488" s="45" t="s">
        <v>136</v>
      </c>
      <c r="D488" s="44">
        <v>163</v>
      </c>
      <c r="E488" s="43">
        <v>5.9510770354143849E-3</v>
      </c>
    </row>
    <row r="489" spans="2:5" ht="15" customHeight="1" x14ac:dyDescent="0.25">
      <c r="B489" s="89"/>
      <c r="C489" s="45" t="s">
        <v>137</v>
      </c>
      <c r="D489" s="44">
        <v>291</v>
      </c>
      <c r="E489" s="43">
        <v>1.0624315443592552E-2</v>
      </c>
    </row>
    <row r="490" spans="2:5" ht="15" customHeight="1" x14ac:dyDescent="0.25">
      <c r="B490" s="89"/>
      <c r="C490" s="45" t="s">
        <v>131</v>
      </c>
      <c r="D490" s="44">
        <v>111</v>
      </c>
      <c r="E490" s="43">
        <v>4.0525739320920046E-3</v>
      </c>
    </row>
    <row r="491" spans="2:5" ht="15" customHeight="1" x14ac:dyDescent="0.25">
      <c r="B491" s="89"/>
      <c r="C491" s="45" t="s">
        <v>135</v>
      </c>
      <c r="D491" s="44">
        <v>141</v>
      </c>
      <c r="E491" s="43">
        <v>5.1478641840087625E-3</v>
      </c>
    </row>
    <row r="492" spans="2:5" ht="15" customHeight="1" x14ac:dyDescent="0.25">
      <c r="B492" s="89"/>
      <c r="C492" s="45" t="s">
        <v>125</v>
      </c>
      <c r="D492" s="44">
        <v>13</v>
      </c>
      <c r="E492" s="43">
        <v>4.7462577583059508E-4</v>
      </c>
    </row>
    <row r="493" spans="2:5" ht="15" customHeight="1" x14ac:dyDescent="0.25">
      <c r="B493" s="89"/>
      <c r="C493" s="45" t="s">
        <v>133</v>
      </c>
      <c r="D493" s="44">
        <v>140</v>
      </c>
      <c r="E493" s="43">
        <v>5.11135450894487E-3</v>
      </c>
    </row>
    <row r="494" spans="2:5" ht="15" customHeight="1" x14ac:dyDescent="0.25">
      <c r="B494" s="89"/>
      <c r="C494" s="45" t="s">
        <v>122</v>
      </c>
      <c r="D494" s="44">
        <v>12</v>
      </c>
      <c r="E494" s="43">
        <v>4.381161007667032E-4</v>
      </c>
    </row>
    <row r="495" spans="2:5" ht="15" customHeight="1" x14ac:dyDescent="0.25">
      <c r="B495" s="89"/>
      <c r="C495" s="45" t="s">
        <v>126</v>
      </c>
      <c r="D495" s="44">
        <v>28</v>
      </c>
      <c r="E495" s="43">
        <v>1.022270901788974E-3</v>
      </c>
    </row>
    <row r="496" spans="2:5" ht="15" customHeight="1" x14ac:dyDescent="0.25">
      <c r="B496" s="89"/>
      <c r="C496" s="45" t="s">
        <v>127</v>
      </c>
      <c r="D496" s="44">
        <v>35</v>
      </c>
      <c r="E496" s="43">
        <v>1.2778386272362175E-3</v>
      </c>
    </row>
    <row r="497" spans="2:5" ht="15" customHeight="1" x14ac:dyDescent="0.25">
      <c r="B497" s="89"/>
      <c r="C497" s="45" t="s">
        <v>129</v>
      </c>
      <c r="D497" s="44">
        <v>71</v>
      </c>
      <c r="E497" s="43">
        <v>2.592186929536327E-3</v>
      </c>
    </row>
    <row r="498" spans="2:5" ht="15" customHeight="1" x14ac:dyDescent="0.25">
      <c r="B498" s="89"/>
      <c r="C498" s="45" t="s">
        <v>123</v>
      </c>
      <c r="D498" s="44">
        <v>14</v>
      </c>
      <c r="E498" s="43">
        <v>5.1113545089448702E-4</v>
      </c>
    </row>
    <row r="499" spans="2:5" ht="15" customHeight="1" x14ac:dyDescent="0.25">
      <c r="B499" s="90"/>
      <c r="C499" s="42" t="s">
        <v>20</v>
      </c>
      <c r="D499" s="41">
        <v>1362</v>
      </c>
      <c r="E499" s="40">
        <v>4.9726177437020812E-2</v>
      </c>
    </row>
    <row r="500" spans="2:5" ht="15" customHeight="1" x14ac:dyDescent="0.25">
      <c r="B500" s="88" t="s">
        <v>105</v>
      </c>
      <c r="C500" s="45" t="s">
        <v>134</v>
      </c>
      <c r="D500" s="44">
        <v>32</v>
      </c>
      <c r="E500" s="43">
        <v>1.1683096020445418E-3</v>
      </c>
    </row>
    <row r="501" spans="2:5" ht="15" customHeight="1" x14ac:dyDescent="0.25">
      <c r="B501" s="89"/>
      <c r="C501" s="45" t="s">
        <v>132</v>
      </c>
      <c r="D501" s="44">
        <v>28</v>
      </c>
      <c r="E501" s="43">
        <v>1.022270901788974E-3</v>
      </c>
    </row>
    <row r="502" spans="2:5" ht="15" customHeight="1" x14ac:dyDescent="0.25">
      <c r="B502" s="89"/>
      <c r="C502" s="45" t="s">
        <v>130</v>
      </c>
      <c r="D502" s="44">
        <v>10</v>
      </c>
      <c r="E502" s="43">
        <v>3.6509675063891932E-4</v>
      </c>
    </row>
    <row r="503" spans="2:5" ht="15" customHeight="1" x14ac:dyDescent="0.25">
      <c r="B503" s="89"/>
      <c r="C503" s="45" t="s">
        <v>128</v>
      </c>
      <c r="D503" s="44">
        <v>8</v>
      </c>
      <c r="E503" s="43">
        <v>2.9207740051113545E-4</v>
      </c>
    </row>
    <row r="504" spans="2:5" ht="15" customHeight="1" x14ac:dyDescent="0.25">
      <c r="B504" s="89"/>
      <c r="C504" s="45" t="s">
        <v>124</v>
      </c>
      <c r="D504" s="44">
        <v>2</v>
      </c>
      <c r="E504" s="43">
        <v>7.3019350127783862E-5</v>
      </c>
    </row>
    <row r="505" spans="2:5" ht="15" customHeight="1" x14ac:dyDescent="0.25">
      <c r="B505" s="89"/>
      <c r="C505" s="45" t="s">
        <v>136</v>
      </c>
      <c r="D505" s="44">
        <v>27</v>
      </c>
      <c r="E505" s="43">
        <v>9.8576122672508221E-4</v>
      </c>
    </row>
    <row r="506" spans="2:5" ht="15" customHeight="1" x14ac:dyDescent="0.25">
      <c r="B506" s="89"/>
      <c r="C506" s="45" t="s">
        <v>137</v>
      </c>
      <c r="D506" s="44">
        <v>156</v>
      </c>
      <c r="E506" s="43">
        <v>5.695509309967141E-3</v>
      </c>
    </row>
    <row r="507" spans="2:5" ht="15" customHeight="1" x14ac:dyDescent="0.25">
      <c r="B507" s="89"/>
      <c r="C507" s="45" t="s">
        <v>131</v>
      </c>
      <c r="D507" s="44">
        <v>9</v>
      </c>
      <c r="E507" s="43">
        <v>3.2858707557502739E-4</v>
      </c>
    </row>
    <row r="508" spans="2:5" ht="15" customHeight="1" x14ac:dyDescent="0.25">
      <c r="B508" s="89"/>
      <c r="C508" s="45" t="s">
        <v>135</v>
      </c>
      <c r="D508" s="44">
        <v>38</v>
      </c>
      <c r="E508" s="43">
        <v>1.3873676524278934E-3</v>
      </c>
    </row>
    <row r="509" spans="2:5" ht="15" customHeight="1" x14ac:dyDescent="0.25">
      <c r="B509" s="89"/>
      <c r="C509" s="45" t="s">
        <v>125</v>
      </c>
      <c r="D509" s="44">
        <v>13</v>
      </c>
      <c r="E509" s="43">
        <v>4.7462577583059508E-4</v>
      </c>
    </row>
    <row r="510" spans="2:5" ht="15" customHeight="1" x14ac:dyDescent="0.25">
      <c r="B510" s="89"/>
      <c r="C510" s="45" t="s">
        <v>133</v>
      </c>
      <c r="D510" s="44">
        <v>9</v>
      </c>
      <c r="E510" s="43">
        <v>3.2858707557502739E-4</v>
      </c>
    </row>
    <row r="511" spans="2:5" ht="15" customHeight="1" x14ac:dyDescent="0.25">
      <c r="B511" s="89"/>
      <c r="C511" s="45" t="s">
        <v>122</v>
      </c>
      <c r="D511" s="44">
        <v>1</v>
      </c>
      <c r="E511" s="43">
        <v>3.6509675063891931E-5</v>
      </c>
    </row>
    <row r="512" spans="2:5" ht="15" customHeight="1" x14ac:dyDescent="0.25">
      <c r="B512" s="89"/>
      <c r="C512" s="45" t="s">
        <v>126</v>
      </c>
      <c r="D512" s="44">
        <v>6</v>
      </c>
      <c r="E512" s="43">
        <v>2.190580503833516E-4</v>
      </c>
    </row>
    <row r="513" spans="2:5" ht="15" customHeight="1" x14ac:dyDescent="0.25">
      <c r="B513" s="89"/>
      <c r="C513" s="45" t="s">
        <v>127</v>
      </c>
      <c r="D513" s="44">
        <v>7</v>
      </c>
      <c r="E513" s="43">
        <v>2.5556772544724351E-4</v>
      </c>
    </row>
    <row r="514" spans="2:5" ht="15" customHeight="1" x14ac:dyDescent="0.25">
      <c r="B514" s="89"/>
      <c r="C514" s="45" t="s">
        <v>129</v>
      </c>
      <c r="D514" s="44">
        <v>5</v>
      </c>
      <c r="E514" s="43">
        <v>1.8254837531945966E-4</v>
      </c>
    </row>
    <row r="515" spans="2:5" ht="15" customHeight="1" x14ac:dyDescent="0.25">
      <c r="B515" s="89"/>
      <c r="C515" s="45" t="s">
        <v>123</v>
      </c>
      <c r="D515" s="44">
        <v>3</v>
      </c>
      <c r="E515" s="43">
        <v>1.095290251916758E-4</v>
      </c>
    </row>
    <row r="516" spans="2:5" ht="15" customHeight="1" x14ac:dyDescent="0.25">
      <c r="B516" s="90"/>
      <c r="C516" s="42" t="s">
        <v>20</v>
      </c>
      <c r="D516" s="41">
        <v>354</v>
      </c>
      <c r="E516" s="40">
        <v>1.2924424972617744E-2</v>
      </c>
    </row>
    <row r="517" spans="2:5" ht="15" customHeight="1" x14ac:dyDescent="0.25">
      <c r="B517" s="88" t="s">
        <v>90</v>
      </c>
      <c r="C517" s="45" t="s">
        <v>134</v>
      </c>
      <c r="D517" s="44">
        <v>25</v>
      </c>
      <c r="E517" s="43">
        <v>9.1274187659729834E-4</v>
      </c>
    </row>
    <row r="518" spans="2:5" ht="15" customHeight="1" x14ac:dyDescent="0.25">
      <c r="B518" s="89"/>
      <c r="C518" s="45" t="s">
        <v>132</v>
      </c>
      <c r="D518" s="44">
        <v>45</v>
      </c>
      <c r="E518" s="43">
        <v>1.6429353778751369E-3</v>
      </c>
    </row>
    <row r="519" spans="2:5" ht="15" customHeight="1" x14ac:dyDescent="0.25">
      <c r="B519" s="89"/>
      <c r="C519" s="45" t="s">
        <v>130</v>
      </c>
      <c r="D519" s="44">
        <v>33</v>
      </c>
      <c r="E519" s="43">
        <v>1.2048192771084338E-3</v>
      </c>
    </row>
    <row r="520" spans="2:5" ht="15" customHeight="1" x14ac:dyDescent="0.25">
      <c r="B520" s="89"/>
      <c r="C520" s="45" t="s">
        <v>128</v>
      </c>
      <c r="D520" s="44">
        <v>6</v>
      </c>
      <c r="E520" s="43">
        <v>2.190580503833516E-4</v>
      </c>
    </row>
    <row r="521" spans="2:5" ht="15" customHeight="1" x14ac:dyDescent="0.25">
      <c r="B521" s="89"/>
      <c r="C521" s="45" t="s">
        <v>136</v>
      </c>
      <c r="D521" s="44">
        <v>31</v>
      </c>
      <c r="E521" s="43">
        <v>1.13179992698065E-3</v>
      </c>
    </row>
    <row r="522" spans="2:5" ht="15" customHeight="1" x14ac:dyDescent="0.25">
      <c r="B522" s="89"/>
      <c r="C522" s="45" t="s">
        <v>137</v>
      </c>
      <c r="D522" s="44">
        <v>33</v>
      </c>
      <c r="E522" s="43">
        <v>1.2048192771084338E-3</v>
      </c>
    </row>
    <row r="523" spans="2:5" ht="15" customHeight="1" x14ac:dyDescent="0.25">
      <c r="B523" s="89"/>
      <c r="C523" s="45" t="s">
        <v>131</v>
      </c>
      <c r="D523" s="44">
        <v>11</v>
      </c>
      <c r="E523" s="43">
        <v>4.0160642570281126E-4</v>
      </c>
    </row>
    <row r="524" spans="2:5" ht="15" customHeight="1" x14ac:dyDescent="0.25">
      <c r="B524" s="89"/>
      <c r="C524" s="45" t="s">
        <v>135</v>
      </c>
      <c r="D524" s="44">
        <v>29</v>
      </c>
      <c r="E524" s="43">
        <v>1.0587805768528661E-3</v>
      </c>
    </row>
    <row r="525" spans="2:5" ht="15" customHeight="1" x14ac:dyDescent="0.25">
      <c r="B525" s="89"/>
      <c r="C525" s="45" t="s">
        <v>125</v>
      </c>
      <c r="D525" s="44">
        <v>5</v>
      </c>
      <c r="E525" s="43">
        <v>1.8254837531945966E-4</v>
      </c>
    </row>
    <row r="526" spans="2:5" ht="15" customHeight="1" x14ac:dyDescent="0.25">
      <c r="B526" s="89"/>
      <c r="C526" s="45" t="s">
        <v>133</v>
      </c>
      <c r="D526" s="44">
        <v>19</v>
      </c>
      <c r="E526" s="43">
        <v>6.9368382621394671E-4</v>
      </c>
    </row>
    <row r="527" spans="2:5" ht="15" customHeight="1" x14ac:dyDescent="0.25">
      <c r="B527" s="89"/>
      <c r="C527" s="45" t="s">
        <v>122</v>
      </c>
      <c r="D527" s="44">
        <v>3</v>
      </c>
      <c r="E527" s="43">
        <v>1.095290251916758E-4</v>
      </c>
    </row>
    <row r="528" spans="2:5" ht="15" customHeight="1" x14ac:dyDescent="0.25">
      <c r="B528" s="89"/>
      <c r="C528" s="45" t="s">
        <v>126</v>
      </c>
      <c r="D528" s="44">
        <v>3</v>
      </c>
      <c r="E528" s="43">
        <v>1.095290251916758E-4</v>
      </c>
    </row>
    <row r="529" spans="2:5" ht="15" customHeight="1" x14ac:dyDescent="0.25">
      <c r="B529" s="89"/>
      <c r="C529" s="45" t="s">
        <v>127</v>
      </c>
      <c r="D529" s="44">
        <v>52</v>
      </c>
      <c r="E529" s="43">
        <v>1.8985031033223803E-3</v>
      </c>
    </row>
    <row r="530" spans="2:5" ht="15" customHeight="1" x14ac:dyDescent="0.25">
      <c r="B530" s="89"/>
      <c r="C530" s="45" t="s">
        <v>129</v>
      </c>
      <c r="D530" s="44">
        <v>75</v>
      </c>
      <c r="E530" s="43">
        <v>2.7382256297918948E-3</v>
      </c>
    </row>
    <row r="531" spans="2:5" ht="15" customHeight="1" x14ac:dyDescent="0.25">
      <c r="B531" s="89"/>
      <c r="C531" s="45" t="s">
        <v>123</v>
      </c>
      <c r="D531" s="44">
        <v>2</v>
      </c>
      <c r="E531" s="43">
        <v>7.3019350127783862E-5</v>
      </c>
    </row>
    <row r="532" spans="2:5" ht="15" customHeight="1" x14ac:dyDescent="0.25">
      <c r="B532" s="90"/>
      <c r="C532" s="42" t="s">
        <v>20</v>
      </c>
      <c r="D532" s="41">
        <v>372</v>
      </c>
      <c r="E532" s="40">
        <v>1.3581599123767798E-2</v>
      </c>
    </row>
    <row r="533" spans="2:5" ht="15" customHeight="1" x14ac:dyDescent="0.25">
      <c r="B533" s="88" t="s">
        <v>92</v>
      </c>
      <c r="C533" s="45" t="s">
        <v>134</v>
      </c>
      <c r="D533" s="44">
        <v>11</v>
      </c>
      <c r="E533" s="43">
        <v>4.0160642570281126E-4</v>
      </c>
    </row>
    <row r="534" spans="2:5" ht="15" customHeight="1" x14ac:dyDescent="0.25">
      <c r="B534" s="89"/>
      <c r="C534" s="45" t="s">
        <v>132</v>
      </c>
      <c r="D534" s="44">
        <v>8</v>
      </c>
      <c r="E534" s="43">
        <v>2.9207740051113545E-4</v>
      </c>
    </row>
    <row r="535" spans="2:5" ht="15" customHeight="1" x14ac:dyDescent="0.25">
      <c r="B535" s="89"/>
      <c r="C535" s="45" t="s">
        <v>130</v>
      </c>
      <c r="D535" s="44">
        <v>17</v>
      </c>
      <c r="E535" s="43">
        <v>6.2066447608616284E-4</v>
      </c>
    </row>
    <row r="536" spans="2:5" ht="15" customHeight="1" x14ac:dyDescent="0.25">
      <c r="B536" s="89"/>
      <c r="C536" s="45" t="s">
        <v>128</v>
      </c>
      <c r="D536" s="44">
        <v>5</v>
      </c>
      <c r="E536" s="43">
        <v>1.8254837531945966E-4</v>
      </c>
    </row>
    <row r="537" spans="2:5" ht="15" customHeight="1" x14ac:dyDescent="0.25">
      <c r="B537" s="89"/>
      <c r="C537" s="45" t="s">
        <v>124</v>
      </c>
      <c r="D537" s="44">
        <v>3</v>
      </c>
      <c r="E537" s="43">
        <v>1.095290251916758E-4</v>
      </c>
    </row>
    <row r="538" spans="2:5" ht="15" customHeight="1" x14ac:dyDescent="0.25">
      <c r="B538" s="89"/>
      <c r="C538" s="45" t="s">
        <v>136</v>
      </c>
      <c r="D538" s="44">
        <v>46</v>
      </c>
      <c r="E538" s="43">
        <v>1.6794450529390289E-3</v>
      </c>
    </row>
    <row r="539" spans="2:5" ht="15" customHeight="1" x14ac:dyDescent="0.25">
      <c r="B539" s="89"/>
      <c r="C539" s="45" t="s">
        <v>137</v>
      </c>
      <c r="D539" s="44">
        <v>44</v>
      </c>
      <c r="E539" s="43">
        <v>1.606425702811245E-3</v>
      </c>
    </row>
    <row r="540" spans="2:5" ht="15" customHeight="1" x14ac:dyDescent="0.25">
      <c r="B540" s="89"/>
      <c r="C540" s="45" t="s">
        <v>131</v>
      </c>
      <c r="D540" s="44">
        <v>6</v>
      </c>
      <c r="E540" s="43">
        <v>2.190580503833516E-4</v>
      </c>
    </row>
    <row r="541" spans="2:5" ht="15" customHeight="1" x14ac:dyDescent="0.25">
      <c r="B541" s="89"/>
      <c r="C541" s="45" t="s">
        <v>135</v>
      </c>
      <c r="D541" s="44">
        <v>124</v>
      </c>
      <c r="E541" s="43">
        <v>4.5271997079225999E-3</v>
      </c>
    </row>
    <row r="542" spans="2:5" ht="15" customHeight="1" x14ac:dyDescent="0.25">
      <c r="B542" s="89"/>
      <c r="C542" s="45" t="s">
        <v>125</v>
      </c>
      <c r="D542" s="44">
        <v>23</v>
      </c>
      <c r="E542" s="43">
        <v>8.3972252646951446E-4</v>
      </c>
    </row>
    <row r="543" spans="2:5" ht="15" customHeight="1" x14ac:dyDescent="0.25">
      <c r="B543" s="89"/>
      <c r="C543" s="45" t="s">
        <v>133</v>
      </c>
      <c r="D543" s="44">
        <v>133</v>
      </c>
      <c r="E543" s="43">
        <v>4.855786783497627E-3</v>
      </c>
    </row>
    <row r="544" spans="2:5" ht="15" customHeight="1" x14ac:dyDescent="0.25">
      <c r="B544" s="89"/>
      <c r="C544" s="45" t="s">
        <v>122</v>
      </c>
      <c r="D544" s="44">
        <v>1</v>
      </c>
      <c r="E544" s="43">
        <v>3.6509675063891931E-5</v>
      </c>
    </row>
    <row r="545" spans="2:5" ht="15" customHeight="1" x14ac:dyDescent="0.25">
      <c r="B545" s="89"/>
      <c r="C545" s="45" t="s">
        <v>126</v>
      </c>
      <c r="D545" s="44">
        <v>1</v>
      </c>
      <c r="E545" s="43">
        <v>3.6509675063891931E-5</v>
      </c>
    </row>
    <row r="546" spans="2:5" ht="15" customHeight="1" x14ac:dyDescent="0.25">
      <c r="B546" s="89"/>
      <c r="C546" s="45" t="s">
        <v>127</v>
      </c>
      <c r="D546" s="44">
        <v>24</v>
      </c>
      <c r="E546" s="43">
        <v>8.762322015334064E-4</v>
      </c>
    </row>
    <row r="547" spans="2:5" ht="15" customHeight="1" x14ac:dyDescent="0.25">
      <c r="B547" s="89"/>
      <c r="C547" s="45" t="s">
        <v>129</v>
      </c>
      <c r="D547" s="44">
        <v>9</v>
      </c>
      <c r="E547" s="43">
        <v>3.2858707557502739E-4</v>
      </c>
    </row>
    <row r="548" spans="2:5" ht="15" customHeight="1" x14ac:dyDescent="0.25">
      <c r="B548" s="89"/>
      <c r="C548" s="45" t="s">
        <v>123</v>
      </c>
      <c r="D548" s="44">
        <v>1</v>
      </c>
      <c r="E548" s="43">
        <v>3.6509675063891931E-5</v>
      </c>
    </row>
    <row r="549" spans="2:5" ht="15" customHeight="1" x14ac:dyDescent="0.25">
      <c r="B549" s="90"/>
      <c r="C549" s="42" t="s">
        <v>20</v>
      </c>
      <c r="D549" s="41">
        <v>456</v>
      </c>
      <c r="E549" s="40">
        <v>1.6648411829134721E-2</v>
      </c>
    </row>
    <row r="550" spans="2:5" ht="15" customHeight="1" x14ac:dyDescent="0.25">
      <c r="B550" s="88" t="s">
        <v>100</v>
      </c>
      <c r="C550" s="45" t="s">
        <v>134</v>
      </c>
      <c r="D550" s="44">
        <v>6</v>
      </c>
      <c r="E550" s="43">
        <v>2.190580503833516E-4</v>
      </c>
    </row>
    <row r="551" spans="2:5" ht="15" customHeight="1" x14ac:dyDescent="0.25">
      <c r="B551" s="89"/>
      <c r="C551" s="45" t="s">
        <v>132</v>
      </c>
      <c r="D551" s="44">
        <v>1</v>
      </c>
      <c r="E551" s="43">
        <v>3.6509675063891931E-5</v>
      </c>
    </row>
    <row r="552" spans="2:5" ht="15" customHeight="1" x14ac:dyDescent="0.25">
      <c r="B552" s="89"/>
      <c r="C552" s="45" t="s">
        <v>130</v>
      </c>
      <c r="D552" s="44">
        <v>11</v>
      </c>
      <c r="E552" s="43">
        <v>4.0160642570281126E-4</v>
      </c>
    </row>
    <row r="553" spans="2:5" ht="15" customHeight="1" x14ac:dyDescent="0.25">
      <c r="B553" s="89"/>
      <c r="C553" s="45" t="s">
        <v>128</v>
      </c>
      <c r="D553" s="44">
        <v>7</v>
      </c>
      <c r="E553" s="43">
        <v>2.5556772544724351E-4</v>
      </c>
    </row>
    <row r="554" spans="2:5" ht="15" customHeight="1" x14ac:dyDescent="0.25">
      <c r="B554" s="89"/>
      <c r="C554" s="45" t="s">
        <v>124</v>
      </c>
      <c r="D554" s="44">
        <v>1</v>
      </c>
      <c r="E554" s="43">
        <v>3.6509675063891931E-5</v>
      </c>
    </row>
    <row r="555" spans="2:5" ht="15" customHeight="1" x14ac:dyDescent="0.25">
      <c r="B555" s="89"/>
      <c r="C555" s="45" t="s">
        <v>136</v>
      </c>
      <c r="D555" s="44">
        <v>38</v>
      </c>
      <c r="E555" s="43">
        <v>1.3873676524278934E-3</v>
      </c>
    </row>
    <row r="556" spans="2:5" ht="15" customHeight="1" x14ac:dyDescent="0.25">
      <c r="B556" s="89"/>
      <c r="C556" s="45" t="s">
        <v>137</v>
      </c>
      <c r="D556" s="44">
        <v>66</v>
      </c>
      <c r="E556" s="43">
        <v>2.4096385542168677E-3</v>
      </c>
    </row>
    <row r="557" spans="2:5" ht="15" customHeight="1" x14ac:dyDescent="0.25">
      <c r="B557" s="89"/>
      <c r="C557" s="45" t="s">
        <v>131</v>
      </c>
      <c r="D557" s="44">
        <v>50</v>
      </c>
      <c r="E557" s="43">
        <v>1.8254837531945967E-3</v>
      </c>
    </row>
    <row r="558" spans="2:5" ht="15" customHeight="1" x14ac:dyDescent="0.25">
      <c r="B558" s="89"/>
      <c r="C558" s="45" t="s">
        <v>135</v>
      </c>
      <c r="D558" s="44">
        <v>58</v>
      </c>
      <c r="E558" s="43">
        <v>2.1175611537057322E-3</v>
      </c>
    </row>
    <row r="559" spans="2:5" ht="15" customHeight="1" x14ac:dyDescent="0.25">
      <c r="B559" s="89"/>
      <c r="C559" s="45" t="s">
        <v>133</v>
      </c>
      <c r="D559" s="44">
        <v>10</v>
      </c>
      <c r="E559" s="43">
        <v>3.6509675063891932E-4</v>
      </c>
    </row>
    <row r="560" spans="2:5" ht="15" customHeight="1" x14ac:dyDescent="0.25">
      <c r="B560" s="89"/>
      <c r="C560" s="45" t="s">
        <v>126</v>
      </c>
      <c r="D560" s="44">
        <v>2</v>
      </c>
      <c r="E560" s="43">
        <v>7.3019350127783862E-5</v>
      </c>
    </row>
    <row r="561" spans="2:5" ht="15" customHeight="1" x14ac:dyDescent="0.25">
      <c r="B561" s="89"/>
      <c r="C561" s="45" t="s">
        <v>127</v>
      </c>
      <c r="D561" s="44">
        <v>2</v>
      </c>
      <c r="E561" s="43">
        <v>7.3019350127783862E-5</v>
      </c>
    </row>
    <row r="562" spans="2:5" ht="15" customHeight="1" x14ac:dyDescent="0.25">
      <c r="B562" s="89"/>
      <c r="C562" s="45" t="s">
        <v>129</v>
      </c>
      <c r="D562" s="44">
        <v>9</v>
      </c>
      <c r="E562" s="43">
        <v>3.2858707557502739E-4</v>
      </c>
    </row>
    <row r="563" spans="2:5" ht="15" customHeight="1" x14ac:dyDescent="0.25">
      <c r="B563" s="90"/>
      <c r="C563" s="42" t="s">
        <v>20</v>
      </c>
      <c r="D563" s="41">
        <v>261</v>
      </c>
      <c r="E563" s="40">
        <v>9.5290251916757933E-3</v>
      </c>
    </row>
    <row r="564" spans="2:5" ht="15" customHeight="1" x14ac:dyDescent="0.25">
      <c r="B564" s="88" t="s">
        <v>112</v>
      </c>
      <c r="C564" s="45" t="s">
        <v>134</v>
      </c>
      <c r="D564" s="44">
        <v>108</v>
      </c>
      <c r="E564" s="43">
        <v>3.9430449069003289E-3</v>
      </c>
    </row>
    <row r="565" spans="2:5" ht="15" customHeight="1" x14ac:dyDescent="0.25">
      <c r="B565" s="89"/>
      <c r="C565" s="45" t="s">
        <v>132</v>
      </c>
      <c r="D565" s="44">
        <v>82</v>
      </c>
      <c r="E565" s="43">
        <v>2.9937933552391383E-3</v>
      </c>
    </row>
    <row r="566" spans="2:5" ht="15" customHeight="1" x14ac:dyDescent="0.25">
      <c r="B566" s="89"/>
      <c r="C566" s="45" t="s">
        <v>130</v>
      </c>
      <c r="D566" s="44">
        <v>158</v>
      </c>
      <c r="E566" s="43">
        <v>5.7685286600949251E-3</v>
      </c>
    </row>
    <row r="567" spans="2:5" ht="15" customHeight="1" x14ac:dyDescent="0.25">
      <c r="B567" s="89"/>
      <c r="C567" s="45" t="s">
        <v>128</v>
      </c>
      <c r="D567" s="44">
        <v>96</v>
      </c>
      <c r="E567" s="43">
        <v>3.5049288061336256E-3</v>
      </c>
    </row>
    <row r="568" spans="2:5" ht="15" customHeight="1" x14ac:dyDescent="0.25">
      <c r="B568" s="89"/>
      <c r="C568" s="45" t="s">
        <v>124</v>
      </c>
      <c r="D568" s="44">
        <v>17</v>
      </c>
      <c r="E568" s="43">
        <v>6.2066447608616284E-4</v>
      </c>
    </row>
    <row r="569" spans="2:5" ht="15" customHeight="1" x14ac:dyDescent="0.25">
      <c r="B569" s="89"/>
      <c r="C569" s="45" t="s">
        <v>136</v>
      </c>
      <c r="D569" s="44">
        <v>279</v>
      </c>
      <c r="E569" s="43">
        <v>1.0186199342825849E-2</v>
      </c>
    </row>
    <row r="570" spans="2:5" ht="15" customHeight="1" x14ac:dyDescent="0.25">
      <c r="B570" s="89"/>
      <c r="C570" s="45" t="s">
        <v>137</v>
      </c>
      <c r="D570" s="44">
        <v>81</v>
      </c>
      <c r="E570" s="43">
        <v>2.9572836801752466E-3</v>
      </c>
    </row>
    <row r="571" spans="2:5" ht="15" customHeight="1" x14ac:dyDescent="0.25">
      <c r="B571" s="89"/>
      <c r="C571" s="45" t="s">
        <v>131</v>
      </c>
      <c r="D571" s="44">
        <v>34</v>
      </c>
      <c r="E571" s="43">
        <v>1.2413289521723257E-3</v>
      </c>
    </row>
    <row r="572" spans="2:5" ht="15" customHeight="1" x14ac:dyDescent="0.25">
      <c r="B572" s="89"/>
      <c r="C572" s="45" t="s">
        <v>135</v>
      </c>
      <c r="D572" s="44">
        <v>51</v>
      </c>
      <c r="E572" s="43">
        <v>1.8619934282584885E-3</v>
      </c>
    </row>
    <row r="573" spans="2:5" ht="15" customHeight="1" x14ac:dyDescent="0.25">
      <c r="B573" s="89"/>
      <c r="C573" s="45" t="s">
        <v>125</v>
      </c>
      <c r="D573" s="44">
        <v>1</v>
      </c>
      <c r="E573" s="43">
        <v>3.6509675063891931E-5</v>
      </c>
    </row>
    <row r="574" spans="2:5" ht="15" customHeight="1" x14ac:dyDescent="0.25">
      <c r="B574" s="89"/>
      <c r="C574" s="45" t="s">
        <v>133</v>
      </c>
      <c r="D574" s="44">
        <v>30</v>
      </c>
      <c r="E574" s="43">
        <v>1.0952902519167579E-3</v>
      </c>
    </row>
    <row r="575" spans="2:5" ht="15" customHeight="1" x14ac:dyDescent="0.25">
      <c r="B575" s="89"/>
      <c r="C575" s="45" t="s">
        <v>122</v>
      </c>
      <c r="D575" s="44">
        <v>2</v>
      </c>
      <c r="E575" s="43">
        <v>7.3019350127783862E-5</v>
      </c>
    </row>
    <row r="576" spans="2:5" ht="15" customHeight="1" x14ac:dyDescent="0.25">
      <c r="B576" s="89"/>
      <c r="C576" s="45" t="s">
        <v>126</v>
      </c>
      <c r="D576" s="44">
        <v>7</v>
      </c>
      <c r="E576" s="43">
        <v>2.5556772544724351E-4</v>
      </c>
    </row>
    <row r="577" spans="2:5" ht="15" customHeight="1" x14ac:dyDescent="0.25">
      <c r="B577" s="89"/>
      <c r="C577" s="45" t="s">
        <v>127</v>
      </c>
      <c r="D577" s="44">
        <v>7</v>
      </c>
      <c r="E577" s="43">
        <v>2.5556772544724351E-4</v>
      </c>
    </row>
    <row r="578" spans="2:5" ht="15" customHeight="1" x14ac:dyDescent="0.25">
      <c r="B578" s="89"/>
      <c r="C578" s="45" t="s">
        <v>129</v>
      </c>
      <c r="D578" s="44">
        <v>15</v>
      </c>
      <c r="E578" s="43">
        <v>5.4764512595837896E-4</v>
      </c>
    </row>
    <row r="579" spans="2:5" ht="15" customHeight="1" x14ac:dyDescent="0.25">
      <c r="B579" s="89"/>
      <c r="C579" s="45" t="s">
        <v>123</v>
      </c>
      <c r="D579" s="44">
        <v>4</v>
      </c>
      <c r="E579" s="43">
        <v>1.4603870025556772E-4</v>
      </c>
    </row>
    <row r="580" spans="2:5" ht="15" customHeight="1" x14ac:dyDescent="0.25">
      <c r="B580" s="90"/>
      <c r="C580" s="42" t="s">
        <v>20</v>
      </c>
      <c r="D580" s="41">
        <v>972</v>
      </c>
      <c r="E580" s="40">
        <v>3.5487404162102956E-2</v>
      </c>
    </row>
    <row r="581" spans="2:5" ht="15" customHeight="1" x14ac:dyDescent="0.25">
      <c r="B581" s="88" t="s">
        <v>96</v>
      </c>
      <c r="C581" s="45" t="s">
        <v>134</v>
      </c>
      <c r="D581" s="44">
        <v>15</v>
      </c>
      <c r="E581" s="43">
        <v>5.4764512595837896E-4</v>
      </c>
    </row>
    <row r="582" spans="2:5" ht="15" customHeight="1" x14ac:dyDescent="0.25">
      <c r="B582" s="89"/>
      <c r="C582" s="45" t="s">
        <v>132</v>
      </c>
      <c r="D582" s="44">
        <v>22</v>
      </c>
      <c r="E582" s="43">
        <v>8.0321285140562252E-4</v>
      </c>
    </row>
    <row r="583" spans="2:5" ht="15" customHeight="1" x14ac:dyDescent="0.25">
      <c r="B583" s="89"/>
      <c r="C583" s="45" t="s">
        <v>130</v>
      </c>
      <c r="D583" s="44">
        <v>3</v>
      </c>
      <c r="E583" s="43">
        <v>1.095290251916758E-4</v>
      </c>
    </row>
    <row r="584" spans="2:5" ht="15" customHeight="1" x14ac:dyDescent="0.25">
      <c r="B584" s="89"/>
      <c r="C584" s="45" t="s">
        <v>128</v>
      </c>
      <c r="D584" s="44">
        <v>85</v>
      </c>
      <c r="E584" s="43">
        <v>3.103322380430814E-3</v>
      </c>
    </row>
    <row r="585" spans="2:5" ht="15" customHeight="1" x14ac:dyDescent="0.25">
      <c r="B585" s="89"/>
      <c r="C585" s="45" t="s">
        <v>124</v>
      </c>
      <c r="D585" s="44">
        <v>35</v>
      </c>
      <c r="E585" s="43">
        <v>1.2778386272362175E-3</v>
      </c>
    </row>
    <row r="586" spans="2:5" ht="15" customHeight="1" x14ac:dyDescent="0.25">
      <c r="B586" s="89"/>
      <c r="C586" s="45" t="s">
        <v>136</v>
      </c>
      <c r="D586" s="44">
        <v>228</v>
      </c>
      <c r="E586" s="43">
        <v>8.3242059145673605E-3</v>
      </c>
    </row>
    <row r="587" spans="2:5" ht="15" customHeight="1" x14ac:dyDescent="0.25">
      <c r="B587" s="89"/>
      <c r="C587" s="45" t="s">
        <v>137</v>
      </c>
      <c r="D587" s="44">
        <v>172</v>
      </c>
      <c r="E587" s="43">
        <v>6.279664110989412E-3</v>
      </c>
    </row>
    <row r="588" spans="2:5" ht="15" customHeight="1" x14ac:dyDescent="0.25">
      <c r="B588" s="89"/>
      <c r="C588" s="45" t="s">
        <v>131</v>
      </c>
      <c r="D588" s="44">
        <v>21</v>
      </c>
      <c r="E588" s="43">
        <v>7.6670317634173059E-4</v>
      </c>
    </row>
    <row r="589" spans="2:5" ht="15" customHeight="1" x14ac:dyDescent="0.25">
      <c r="B589" s="89"/>
      <c r="C589" s="45" t="s">
        <v>135</v>
      </c>
      <c r="D589" s="44">
        <v>5</v>
      </c>
      <c r="E589" s="43">
        <v>1.8254837531945966E-4</v>
      </c>
    </row>
    <row r="590" spans="2:5" ht="15" customHeight="1" x14ac:dyDescent="0.25">
      <c r="B590" s="89"/>
      <c r="C590" s="45" t="s">
        <v>133</v>
      </c>
      <c r="D590" s="44">
        <v>11</v>
      </c>
      <c r="E590" s="43">
        <v>4.0160642570281126E-4</v>
      </c>
    </row>
    <row r="591" spans="2:5" ht="15" customHeight="1" x14ac:dyDescent="0.25">
      <c r="B591" s="89"/>
      <c r="C591" s="45" t="s">
        <v>126</v>
      </c>
      <c r="D591" s="44">
        <v>2</v>
      </c>
      <c r="E591" s="43">
        <v>7.3019350127783862E-5</v>
      </c>
    </row>
    <row r="592" spans="2:5" ht="15" customHeight="1" x14ac:dyDescent="0.25">
      <c r="B592" s="89"/>
      <c r="C592" s="45" t="s">
        <v>127</v>
      </c>
      <c r="D592" s="44">
        <v>2</v>
      </c>
      <c r="E592" s="43">
        <v>7.3019350127783862E-5</v>
      </c>
    </row>
    <row r="593" spans="2:5" ht="15" customHeight="1" x14ac:dyDescent="0.25">
      <c r="B593" s="89"/>
      <c r="C593" s="45" t="s">
        <v>129</v>
      </c>
      <c r="D593" s="44">
        <v>2</v>
      </c>
      <c r="E593" s="43">
        <v>7.3019350127783862E-5</v>
      </c>
    </row>
    <row r="594" spans="2:5" ht="15" customHeight="1" x14ac:dyDescent="0.25">
      <c r="B594" s="89"/>
      <c r="C594" s="45" t="s">
        <v>123</v>
      </c>
      <c r="D594" s="44">
        <v>1</v>
      </c>
      <c r="E594" s="43">
        <v>3.6509675063891931E-5</v>
      </c>
    </row>
    <row r="595" spans="2:5" ht="15" customHeight="1" x14ac:dyDescent="0.25">
      <c r="B595" s="90"/>
      <c r="C595" s="42" t="s">
        <v>20</v>
      </c>
      <c r="D595" s="41">
        <v>604</v>
      </c>
      <c r="E595" s="40">
        <v>2.2051843738590725E-2</v>
      </c>
    </row>
    <row r="596" spans="2:5" ht="15" customHeight="1" x14ac:dyDescent="0.25">
      <c r="B596" s="88" t="s">
        <v>109</v>
      </c>
      <c r="C596" s="45" t="s">
        <v>134</v>
      </c>
      <c r="D596" s="44">
        <v>226</v>
      </c>
      <c r="E596" s="43">
        <v>8.2511865644395773E-3</v>
      </c>
    </row>
    <row r="597" spans="2:5" ht="15" customHeight="1" x14ac:dyDescent="0.25">
      <c r="B597" s="89"/>
      <c r="C597" s="45" t="s">
        <v>132</v>
      </c>
      <c r="D597" s="44">
        <v>37</v>
      </c>
      <c r="E597" s="43">
        <v>1.3508579773640014E-3</v>
      </c>
    </row>
    <row r="598" spans="2:5" ht="15" customHeight="1" x14ac:dyDescent="0.25">
      <c r="B598" s="89"/>
      <c r="C598" s="45" t="s">
        <v>130</v>
      </c>
      <c r="D598" s="44">
        <v>60</v>
      </c>
      <c r="E598" s="43">
        <v>2.1905805038335158E-3</v>
      </c>
    </row>
    <row r="599" spans="2:5" ht="15" customHeight="1" x14ac:dyDescent="0.25">
      <c r="B599" s="89"/>
      <c r="C599" s="45" t="s">
        <v>128</v>
      </c>
      <c r="D599" s="44">
        <v>47</v>
      </c>
      <c r="E599" s="43">
        <v>1.7159547280029208E-3</v>
      </c>
    </row>
    <row r="600" spans="2:5" ht="15" customHeight="1" x14ac:dyDescent="0.25">
      <c r="B600" s="89"/>
      <c r="C600" s="45" t="s">
        <v>124</v>
      </c>
      <c r="D600" s="44">
        <v>7</v>
      </c>
      <c r="E600" s="43">
        <v>2.5556772544724351E-4</v>
      </c>
    </row>
    <row r="601" spans="2:5" ht="15" customHeight="1" x14ac:dyDescent="0.25">
      <c r="B601" s="89"/>
      <c r="C601" s="45" t="s">
        <v>136</v>
      </c>
      <c r="D601" s="44">
        <v>31</v>
      </c>
      <c r="E601" s="43">
        <v>1.13179992698065E-3</v>
      </c>
    </row>
    <row r="602" spans="2:5" ht="15" customHeight="1" x14ac:dyDescent="0.25">
      <c r="B602" s="89"/>
      <c r="C602" s="45" t="s">
        <v>137</v>
      </c>
      <c r="D602" s="44">
        <v>12</v>
      </c>
      <c r="E602" s="43">
        <v>4.381161007667032E-4</v>
      </c>
    </row>
    <row r="603" spans="2:5" ht="15" customHeight="1" x14ac:dyDescent="0.25">
      <c r="B603" s="89"/>
      <c r="C603" s="45" t="s">
        <v>131</v>
      </c>
      <c r="D603" s="44">
        <v>49</v>
      </c>
      <c r="E603" s="43">
        <v>1.7889740781307046E-3</v>
      </c>
    </row>
    <row r="604" spans="2:5" ht="15" customHeight="1" x14ac:dyDescent="0.25">
      <c r="B604" s="89"/>
      <c r="C604" s="45" t="s">
        <v>135</v>
      </c>
      <c r="D604" s="44">
        <v>108</v>
      </c>
      <c r="E604" s="43">
        <v>3.9430449069003289E-3</v>
      </c>
    </row>
    <row r="605" spans="2:5" ht="15" customHeight="1" x14ac:dyDescent="0.25">
      <c r="B605" s="89"/>
      <c r="C605" s="45" t="s">
        <v>125</v>
      </c>
      <c r="D605" s="44">
        <v>16</v>
      </c>
      <c r="E605" s="43">
        <v>5.841548010222709E-4</v>
      </c>
    </row>
    <row r="606" spans="2:5" ht="15" customHeight="1" x14ac:dyDescent="0.25">
      <c r="B606" s="89"/>
      <c r="C606" s="45" t="s">
        <v>133</v>
      </c>
      <c r="D606" s="44">
        <v>25</v>
      </c>
      <c r="E606" s="43">
        <v>9.1274187659729834E-4</v>
      </c>
    </row>
    <row r="607" spans="2:5" ht="15" customHeight="1" x14ac:dyDescent="0.25">
      <c r="B607" s="89"/>
      <c r="C607" s="45" t="s">
        <v>122</v>
      </c>
      <c r="D607" s="44">
        <v>1</v>
      </c>
      <c r="E607" s="43">
        <v>3.6509675063891931E-5</v>
      </c>
    </row>
    <row r="608" spans="2:5" ht="15" customHeight="1" x14ac:dyDescent="0.25">
      <c r="B608" s="89"/>
      <c r="C608" s="45" t="s">
        <v>127</v>
      </c>
      <c r="D608" s="44">
        <v>4</v>
      </c>
      <c r="E608" s="43">
        <v>1.4603870025556772E-4</v>
      </c>
    </row>
    <row r="609" spans="2:5" ht="15" customHeight="1" x14ac:dyDescent="0.25">
      <c r="B609" s="89"/>
      <c r="C609" s="45" t="s">
        <v>129</v>
      </c>
      <c r="D609" s="44">
        <v>8</v>
      </c>
      <c r="E609" s="43">
        <v>2.9207740051113545E-4</v>
      </c>
    </row>
    <row r="610" spans="2:5" ht="15" customHeight="1" x14ac:dyDescent="0.25">
      <c r="B610" s="90"/>
      <c r="C610" s="42" t="s">
        <v>20</v>
      </c>
      <c r="D610" s="41">
        <v>631</v>
      </c>
      <c r="E610" s="40">
        <v>2.303760496531581E-2</v>
      </c>
    </row>
    <row r="611" spans="2:5" ht="15" customHeight="1" x14ac:dyDescent="0.25">
      <c r="B611" s="88" t="s">
        <v>110</v>
      </c>
      <c r="C611" s="45" t="s">
        <v>134</v>
      </c>
      <c r="D611" s="44">
        <v>142</v>
      </c>
      <c r="E611" s="43">
        <v>5.1843738590726541E-3</v>
      </c>
    </row>
    <row r="612" spans="2:5" ht="15" customHeight="1" x14ac:dyDescent="0.25">
      <c r="B612" s="89"/>
      <c r="C612" s="45" t="s">
        <v>132</v>
      </c>
      <c r="D612" s="44">
        <v>136</v>
      </c>
      <c r="E612" s="43">
        <v>4.9653158086893027E-3</v>
      </c>
    </row>
    <row r="613" spans="2:5" ht="15" customHeight="1" x14ac:dyDescent="0.25">
      <c r="B613" s="89"/>
      <c r="C613" s="45" t="s">
        <v>130</v>
      </c>
      <c r="D613" s="44">
        <v>160</v>
      </c>
      <c r="E613" s="43">
        <v>5.8415480102227092E-3</v>
      </c>
    </row>
    <row r="614" spans="2:5" ht="15" customHeight="1" x14ac:dyDescent="0.25">
      <c r="B614" s="89"/>
      <c r="C614" s="45" t="s">
        <v>128</v>
      </c>
      <c r="D614" s="44">
        <v>72</v>
      </c>
      <c r="E614" s="43">
        <v>2.6286966046002191E-3</v>
      </c>
    </row>
    <row r="615" spans="2:5" ht="15" customHeight="1" x14ac:dyDescent="0.25">
      <c r="B615" s="89"/>
      <c r="C615" s="45" t="s">
        <v>124</v>
      </c>
      <c r="D615" s="44">
        <v>17</v>
      </c>
      <c r="E615" s="43">
        <v>6.2066447608616284E-4</v>
      </c>
    </row>
    <row r="616" spans="2:5" ht="15" customHeight="1" x14ac:dyDescent="0.25">
      <c r="B616" s="89"/>
      <c r="C616" s="45" t="s">
        <v>136</v>
      </c>
      <c r="D616" s="44">
        <v>39</v>
      </c>
      <c r="E616" s="43">
        <v>1.4238773274917853E-3</v>
      </c>
    </row>
    <row r="617" spans="2:5" ht="15" customHeight="1" x14ac:dyDescent="0.25">
      <c r="B617" s="89"/>
      <c r="C617" s="45" t="s">
        <v>137</v>
      </c>
      <c r="D617" s="44">
        <v>11</v>
      </c>
      <c r="E617" s="43">
        <v>4.0160642570281126E-4</v>
      </c>
    </row>
    <row r="618" spans="2:5" ht="15" customHeight="1" x14ac:dyDescent="0.25">
      <c r="B618" s="89"/>
      <c r="C618" s="45" t="s">
        <v>131</v>
      </c>
      <c r="D618" s="44">
        <v>8</v>
      </c>
      <c r="E618" s="43">
        <v>2.9207740051113545E-4</v>
      </c>
    </row>
    <row r="619" spans="2:5" ht="15" customHeight="1" x14ac:dyDescent="0.25">
      <c r="B619" s="89"/>
      <c r="C619" s="45" t="s">
        <v>135</v>
      </c>
      <c r="D619" s="44">
        <v>12</v>
      </c>
      <c r="E619" s="43">
        <v>4.381161007667032E-4</v>
      </c>
    </row>
    <row r="620" spans="2:5" ht="15" customHeight="1" x14ac:dyDescent="0.25">
      <c r="B620" s="89"/>
      <c r="C620" s="45" t="s">
        <v>125</v>
      </c>
      <c r="D620" s="44">
        <v>2</v>
      </c>
      <c r="E620" s="43">
        <v>7.3019350127783862E-5</v>
      </c>
    </row>
    <row r="621" spans="2:5" ht="15" customHeight="1" x14ac:dyDescent="0.25">
      <c r="B621" s="89"/>
      <c r="C621" s="45" t="s">
        <v>133</v>
      </c>
      <c r="D621" s="44">
        <v>9</v>
      </c>
      <c r="E621" s="43">
        <v>3.2858707557502739E-4</v>
      </c>
    </row>
    <row r="622" spans="2:5" ht="15" customHeight="1" x14ac:dyDescent="0.25">
      <c r="B622" s="89"/>
      <c r="C622" s="45" t="s">
        <v>122</v>
      </c>
      <c r="D622" s="44">
        <v>1</v>
      </c>
      <c r="E622" s="43">
        <v>3.6509675063891931E-5</v>
      </c>
    </row>
    <row r="623" spans="2:5" ht="15" customHeight="1" x14ac:dyDescent="0.25">
      <c r="B623" s="89"/>
      <c r="C623" s="45" t="s">
        <v>126</v>
      </c>
      <c r="D623" s="44">
        <v>1</v>
      </c>
      <c r="E623" s="43">
        <v>3.6509675063891931E-5</v>
      </c>
    </row>
    <row r="624" spans="2:5" ht="15" customHeight="1" x14ac:dyDescent="0.25">
      <c r="B624" s="89"/>
      <c r="C624" s="45" t="s">
        <v>127</v>
      </c>
      <c r="D624" s="44">
        <v>6</v>
      </c>
      <c r="E624" s="43">
        <v>2.190580503833516E-4</v>
      </c>
    </row>
    <row r="625" spans="2:5" ht="15" customHeight="1" x14ac:dyDescent="0.25">
      <c r="B625" s="89"/>
      <c r="C625" s="45" t="s">
        <v>129</v>
      </c>
      <c r="D625" s="44">
        <v>6</v>
      </c>
      <c r="E625" s="43">
        <v>2.190580503833516E-4</v>
      </c>
    </row>
    <row r="626" spans="2:5" ht="15" customHeight="1" x14ac:dyDescent="0.25">
      <c r="B626" s="90"/>
      <c r="C626" s="42" t="s">
        <v>20</v>
      </c>
      <c r="D626" s="41">
        <v>622</v>
      </c>
      <c r="E626" s="40">
        <v>2.2709017889740783E-2</v>
      </c>
    </row>
    <row r="627" spans="2:5" ht="15" customHeight="1" x14ac:dyDescent="0.25">
      <c r="B627" s="88" t="s">
        <v>111</v>
      </c>
      <c r="C627" s="45" t="s">
        <v>134</v>
      </c>
      <c r="D627" s="44">
        <v>221</v>
      </c>
      <c r="E627" s="43">
        <v>8.0686381891201166E-3</v>
      </c>
    </row>
    <row r="628" spans="2:5" ht="15" customHeight="1" x14ac:dyDescent="0.25">
      <c r="B628" s="89"/>
      <c r="C628" s="45" t="s">
        <v>132</v>
      </c>
      <c r="D628" s="44">
        <v>89</v>
      </c>
      <c r="E628" s="43">
        <v>3.2493610806863817E-3</v>
      </c>
    </row>
    <row r="629" spans="2:5" ht="15" customHeight="1" x14ac:dyDescent="0.25">
      <c r="B629" s="89"/>
      <c r="C629" s="45" t="s">
        <v>130</v>
      </c>
      <c r="D629" s="44">
        <v>74</v>
      </c>
      <c r="E629" s="43">
        <v>2.7017159547280028E-3</v>
      </c>
    </row>
    <row r="630" spans="2:5" ht="15" customHeight="1" x14ac:dyDescent="0.25">
      <c r="B630" s="89"/>
      <c r="C630" s="45" t="s">
        <v>128</v>
      </c>
      <c r="D630" s="44">
        <v>67</v>
      </c>
      <c r="E630" s="43">
        <v>2.4461482292807593E-3</v>
      </c>
    </row>
    <row r="631" spans="2:5" ht="15" customHeight="1" x14ac:dyDescent="0.25">
      <c r="B631" s="89"/>
      <c r="C631" s="45" t="s">
        <v>124</v>
      </c>
      <c r="D631" s="44">
        <v>10</v>
      </c>
      <c r="E631" s="43">
        <v>3.6509675063891932E-4</v>
      </c>
    </row>
    <row r="632" spans="2:5" ht="15" customHeight="1" x14ac:dyDescent="0.25">
      <c r="B632" s="89"/>
      <c r="C632" s="45" t="s">
        <v>136</v>
      </c>
      <c r="D632" s="44">
        <v>326</v>
      </c>
      <c r="E632" s="43">
        <v>1.190215407082877E-2</v>
      </c>
    </row>
    <row r="633" spans="2:5" ht="15" customHeight="1" x14ac:dyDescent="0.25">
      <c r="B633" s="89"/>
      <c r="C633" s="45" t="s">
        <v>137</v>
      </c>
      <c r="D633" s="44">
        <v>157</v>
      </c>
      <c r="E633" s="43">
        <v>5.7320189850310335E-3</v>
      </c>
    </row>
    <row r="634" spans="2:5" ht="15" customHeight="1" x14ac:dyDescent="0.25">
      <c r="B634" s="89"/>
      <c r="C634" s="45" t="s">
        <v>131</v>
      </c>
      <c r="D634" s="44">
        <v>35</v>
      </c>
      <c r="E634" s="43">
        <v>1.2778386272362175E-3</v>
      </c>
    </row>
    <row r="635" spans="2:5" ht="15" customHeight="1" x14ac:dyDescent="0.25">
      <c r="B635" s="89"/>
      <c r="C635" s="45" t="s">
        <v>135</v>
      </c>
      <c r="D635" s="44">
        <v>69</v>
      </c>
      <c r="E635" s="43">
        <v>2.5191675794085434E-3</v>
      </c>
    </row>
    <row r="636" spans="2:5" ht="15" customHeight="1" x14ac:dyDescent="0.25">
      <c r="B636" s="89"/>
      <c r="C636" s="45" t="s">
        <v>133</v>
      </c>
      <c r="D636" s="44">
        <v>34</v>
      </c>
      <c r="E636" s="43">
        <v>1.2413289521723257E-3</v>
      </c>
    </row>
    <row r="637" spans="2:5" ht="15" customHeight="1" x14ac:dyDescent="0.25">
      <c r="B637" s="89"/>
      <c r="C637" s="45" t="s">
        <v>122</v>
      </c>
      <c r="D637" s="44">
        <v>4</v>
      </c>
      <c r="E637" s="43">
        <v>1.4603870025556772E-4</v>
      </c>
    </row>
    <row r="638" spans="2:5" ht="15" customHeight="1" x14ac:dyDescent="0.25">
      <c r="B638" s="89"/>
      <c r="C638" s="45" t="s">
        <v>126</v>
      </c>
      <c r="D638" s="44">
        <v>4</v>
      </c>
      <c r="E638" s="43">
        <v>1.4603870025556772E-4</v>
      </c>
    </row>
    <row r="639" spans="2:5" ht="15" customHeight="1" x14ac:dyDescent="0.25">
      <c r="B639" s="89"/>
      <c r="C639" s="45" t="s">
        <v>127</v>
      </c>
      <c r="D639" s="44">
        <v>13</v>
      </c>
      <c r="E639" s="43">
        <v>4.7462577583059508E-4</v>
      </c>
    </row>
    <row r="640" spans="2:5" ht="15" customHeight="1" x14ac:dyDescent="0.25">
      <c r="B640" s="89"/>
      <c r="C640" s="45" t="s">
        <v>129</v>
      </c>
      <c r="D640" s="44">
        <v>23</v>
      </c>
      <c r="E640" s="43">
        <v>8.3972252646951446E-4</v>
      </c>
    </row>
    <row r="641" spans="2:5" ht="15" customHeight="1" x14ac:dyDescent="0.25">
      <c r="B641" s="89"/>
      <c r="C641" s="45" t="s">
        <v>123</v>
      </c>
      <c r="D641" s="44">
        <v>6</v>
      </c>
      <c r="E641" s="43">
        <v>2.190580503833516E-4</v>
      </c>
    </row>
    <row r="642" spans="2:5" ht="15" customHeight="1" x14ac:dyDescent="0.25">
      <c r="B642" s="90"/>
      <c r="C642" s="42" t="s">
        <v>20</v>
      </c>
      <c r="D642" s="41">
        <v>1132</v>
      </c>
      <c r="E642" s="40">
        <v>4.132895217232567E-2</v>
      </c>
    </row>
    <row r="643" spans="2:5" ht="15" customHeight="1" x14ac:dyDescent="0.25">
      <c r="B643" s="88" t="s">
        <v>89</v>
      </c>
      <c r="C643" s="45" t="s">
        <v>134</v>
      </c>
      <c r="D643" s="44">
        <v>2</v>
      </c>
      <c r="E643" s="43">
        <v>7.3019350127783862E-5</v>
      </c>
    </row>
    <row r="644" spans="2:5" ht="15" customHeight="1" x14ac:dyDescent="0.25">
      <c r="B644" s="89"/>
      <c r="C644" s="45" t="s">
        <v>132</v>
      </c>
      <c r="D644" s="44">
        <v>4</v>
      </c>
      <c r="E644" s="43">
        <v>1.4603870025556772E-4</v>
      </c>
    </row>
    <row r="645" spans="2:5" ht="15" customHeight="1" x14ac:dyDescent="0.25">
      <c r="B645" s="89"/>
      <c r="C645" s="45" t="s">
        <v>130</v>
      </c>
      <c r="D645" s="44">
        <v>4</v>
      </c>
      <c r="E645" s="43">
        <v>1.4603870025556772E-4</v>
      </c>
    </row>
    <row r="646" spans="2:5" ht="15" customHeight="1" x14ac:dyDescent="0.25">
      <c r="B646" s="89"/>
      <c r="C646" s="45" t="s">
        <v>128</v>
      </c>
      <c r="D646" s="44">
        <v>3</v>
      </c>
      <c r="E646" s="43">
        <v>1.095290251916758E-4</v>
      </c>
    </row>
    <row r="647" spans="2:5" ht="15" customHeight="1" x14ac:dyDescent="0.25">
      <c r="B647" s="89"/>
      <c r="C647" s="45" t="s">
        <v>136</v>
      </c>
      <c r="D647" s="44">
        <v>13</v>
      </c>
      <c r="E647" s="43">
        <v>4.7462577583059508E-4</v>
      </c>
    </row>
    <row r="648" spans="2:5" ht="15" customHeight="1" x14ac:dyDescent="0.25">
      <c r="B648" s="89"/>
      <c r="C648" s="45" t="s">
        <v>137</v>
      </c>
      <c r="D648" s="44">
        <v>6</v>
      </c>
      <c r="E648" s="43">
        <v>2.190580503833516E-4</v>
      </c>
    </row>
    <row r="649" spans="2:5" ht="15" customHeight="1" x14ac:dyDescent="0.25">
      <c r="B649" s="89"/>
      <c r="C649" s="45" t="s">
        <v>131</v>
      </c>
      <c r="D649" s="44">
        <v>5</v>
      </c>
      <c r="E649" s="43">
        <v>1.8254837531945966E-4</v>
      </c>
    </row>
    <row r="650" spans="2:5" ht="15" customHeight="1" x14ac:dyDescent="0.25">
      <c r="B650" s="89"/>
      <c r="C650" s="45" t="s">
        <v>135</v>
      </c>
      <c r="D650" s="44">
        <v>21</v>
      </c>
      <c r="E650" s="43">
        <v>7.6670317634173059E-4</v>
      </c>
    </row>
    <row r="651" spans="2:5" ht="15" customHeight="1" x14ac:dyDescent="0.25">
      <c r="B651" s="89"/>
      <c r="C651" s="45" t="s">
        <v>133</v>
      </c>
      <c r="D651" s="44">
        <v>7</v>
      </c>
      <c r="E651" s="43">
        <v>2.5556772544724351E-4</v>
      </c>
    </row>
    <row r="652" spans="2:5" ht="15" customHeight="1" x14ac:dyDescent="0.25">
      <c r="B652" s="89"/>
      <c r="C652" s="45" t="s">
        <v>122</v>
      </c>
      <c r="D652" s="44">
        <v>1</v>
      </c>
      <c r="E652" s="43">
        <v>3.6509675063891931E-5</v>
      </c>
    </row>
    <row r="653" spans="2:5" ht="15" customHeight="1" x14ac:dyDescent="0.25">
      <c r="B653" s="89"/>
      <c r="C653" s="45" t="s">
        <v>127</v>
      </c>
      <c r="D653" s="44">
        <v>3</v>
      </c>
      <c r="E653" s="43">
        <v>1.095290251916758E-4</v>
      </c>
    </row>
    <row r="654" spans="2:5" ht="15" customHeight="1" x14ac:dyDescent="0.25">
      <c r="B654" s="89"/>
      <c r="C654" s="45" t="s">
        <v>129</v>
      </c>
      <c r="D654" s="44">
        <v>40</v>
      </c>
      <c r="E654" s="43">
        <v>1.4603870025556773E-3</v>
      </c>
    </row>
    <row r="655" spans="2:5" ht="15" customHeight="1" x14ac:dyDescent="0.25">
      <c r="B655" s="90"/>
      <c r="C655" s="42" t="s">
        <v>20</v>
      </c>
      <c r="D655" s="41">
        <v>109</v>
      </c>
      <c r="E655" s="40">
        <v>3.9795545819642205E-3</v>
      </c>
    </row>
    <row r="656" spans="2:5" ht="15" customHeight="1" x14ac:dyDescent="0.25">
      <c r="B656" s="88" t="s">
        <v>80</v>
      </c>
      <c r="C656" s="45" t="s">
        <v>134</v>
      </c>
      <c r="D656" s="44">
        <v>19</v>
      </c>
      <c r="E656" s="43">
        <v>6.9368382621394671E-4</v>
      </c>
    </row>
    <row r="657" spans="2:5" ht="15" customHeight="1" x14ac:dyDescent="0.25">
      <c r="B657" s="89"/>
      <c r="C657" s="45" t="s">
        <v>132</v>
      </c>
      <c r="D657" s="44">
        <v>10</v>
      </c>
      <c r="E657" s="43">
        <v>3.6509675063891932E-4</v>
      </c>
    </row>
    <row r="658" spans="2:5" ht="15" customHeight="1" x14ac:dyDescent="0.25">
      <c r="B658" s="89"/>
      <c r="C658" s="45" t="s">
        <v>130</v>
      </c>
      <c r="D658" s="44">
        <v>2</v>
      </c>
      <c r="E658" s="43">
        <v>7.3019350127783862E-5</v>
      </c>
    </row>
    <row r="659" spans="2:5" ht="15" customHeight="1" x14ac:dyDescent="0.25">
      <c r="B659" s="89"/>
      <c r="C659" s="45" t="s">
        <v>128</v>
      </c>
      <c r="D659" s="44">
        <v>2</v>
      </c>
      <c r="E659" s="43">
        <v>7.3019350127783862E-5</v>
      </c>
    </row>
    <row r="660" spans="2:5" ht="15" customHeight="1" x14ac:dyDescent="0.25">
      <c r="B660" s="89"/>
      <c r="C660" s="45" t="s">
        <v>136</v>
      </c>
      <c r="D660" s="44">
        <v>1</v>
      </c>
      <c r="E660" s="43">
        <v>3.6509675063891931E-5</v>
      </c>
    </row>
    <row r="661" spans="2:5" ht="15" customHeight="1" x14ac:dyDescent="0.25">
      <c r="B661" s="89"/>
      <c r="C661" s="45" t="s">
        <v>137</v>
      </c>
      <c r="D661" s="44">
        <v>2</v>
      </c>
      <c r="E661" s="43">
        <v>7.3019350127783862E-5</v>
      </c>
    </row>
    <row r="662" spans="2:5" ht="15" customHeight="1" x14ac:dyDescent="0.25">
      <c r="B662" s="89"/>
      <c r="C662" s="45" t="s">
        <v>133</v>
      </c>
      <c r="D662" s="44">
        <v>2</v>
      </c>
      <c r="E662" s="43">
        <v>7.3019350127783862E-5</v>
      </c>
    </row>
    <row r="663" spans="2:5" ht="15" customHeight="1" x14ac:dyDescent="0.25">
      <c r="B663" s="89"/>
      <c r="C663" s="45" t="s">
        <v>127</v>
      </c>
      <c r="D663" s="44">
        <v>3</v>
      </c>
      <c r="E663" s="43">
        <v>1.095290251916758E-4</v>
      </c>
    </row>
    <row r="664" spans="2:5" ht="15" customHeight="1" x14ac:dyDescent="0.25">
      <c r="B664" s="89"/>
      <c r="C664" s="45" t="s">
        <v>129</v>
      </c>
      <c r="D664" s="44">
        <v>1</v>
      </c>
      <c r="E664" s="43">
        <v>3.6509675063891931E-5</v>
      </c>
    </row>
    <row r="665" spans="2:5" ht="15" customHeight="1" x14ac:dyDescent="0.25">
      <c r="B665" s="90"/>
      <c r="C665" s="42" t="s">
        <v>20</v>
      </c>
      <c r="D665" s="41">
        <v>42</v>
      </c>
      <c r="E665" s="40">
        <v>1.5334063526834612E-3</v>
      </c>
    </row>
    <row r="666" spans="2:5" ht="15" customHeight="1" x14ac:dyDescent="0.25">
      <c r="B666" s="88" t="s">
        <v>50</v>
      </c>
      <c r="C666" s="45" t="s">
        <v>134</v>
      </c>
      <c r="D666" s="44">
        <v>20</v>
      </c>
      <c r="E666" s="43">
        <v>7.3019350127783865E-4</v>
      </c>
    </row>
    <row r="667" spans="2:5" ht="15" customHeight="1" x14ac:dyDescent="0.25">
      <c r="B667" s="89"/>
      <c r="C667" s="45" t="s">
        <v>132</v>
      </c>
      <c r="D667" s="44">
        <v>7</v>
      </c>
      <c r="E667" s="43">
        <v>2.5556772544724351E-4</v>
      </c>
    </row>
    <row r="668" spans="2:5" ht="15" customHeight="1" x14ac:dyDescent="0.25">
      <c r="B668" s="89"/>
      <c r="C668" s="45" t="s">
        <v>130</v>
      </c>
      <c r="D668" s="44">
        <v>17</v>
      </c>
      <c r="E668" s="43">
        <v>6.2066447608616284E-4</v>
      </c>
    </row>
    <row r="669" spans="2:5" ht="15" customHeight="1" x14ac:dyDescent="0.25">
      <c r="B669" s="89"/>
      <c r="C669" s="45" t="s">
        <v>128</v>
      </c>
      <c r="D669" s="44">
        <v>12</v>
      </c>
      <c r="E669" s="43">
        <v>4.381161007667032E-4</v>
      </c>
    </row>
    <row r="670" spans="2:5" ht="15" customHeight="1" x14ac:dyDescent="0.25">
      <c r="B670" s="89"/>
      <c r="C670" s="45" t="s">
        <v>124</v>
      </c>
      <c r="D670" s="44">
        <v>3</v>
      </c>
      <c r="E670" s="43">
        <v>1.095290251916758E-4</v>
      </c>
    </row>
    <row r="671" spans="2:5" ht="15" customHeight="1" x14ac:dyDescent="0.25">
      <c r="B671" s="89"/>
      <c r="C671" s="45" t="s">
        <v>136</v>
      </c>
      <c r="D671" s="44">
        <v>29</v>
      </c>
      <c r="E671" s="43">
        <v>1.0587805768528661E-3</v>
      </c>
    </row>
    <row r="672" spans="2:5" ht="15" customHeight="1" x14ac:dyDescent="0.25">
      <c r="B672" s="89"/>
      <c r="C672" s="45" t="s">
        <v>137</v>
      </c>
      <c r="D672" s="44">
        <v>27</v>
      </c>
      <c r="E672" s="43">
        <v>9.8576122672508221E-4</v>
      </c>
    </row>
    <row r="673" spans="2:5" ht="15" customHeight="1" x14ac:dyDescent="0.25">
      <c r="B673" s="89"/>
      <c r="C673" s="45" t="s">
        <v>131</v>
      </c>
      <c r="D673" s="44">
        <v>9</v>
      </c>
      <c r="E673" s="43">
        <v>3.2858707557502739E-4</v>
      </c>
    </row>
    <row r="674" spans="2:5" ht="15" customHeight="1" x14ac:dyDescent="0.25">
      <c r="B674" s="89"/>
      <c r="C674" s="45" t="s">
        <v>135</v>
      </c>
      <c r="D674" s="44">
        <v>26</v>
      </c>
      <c r="E674" s="43">
        <v>9.4925155166119017E-4</v>
      </c>
    </row>
    <row r="675" spans="2:5" ht="15" customHeight="1" x14ac:dyDescent="0.25">
      <c r="B675" s="89"/>
      <c r="C675" s="45" t="s">
        <v>133</v>
      </c>
      <c r="D675" s="44">
        <v>14</v>
      </c>
      <c r="E675" s="43">
        <v>5.1113545089448702E-4</v>
      </c>
    </row>
    <row r="676" spans="2:5" ht="15" customHeight="1" x14ac:dyDescent="0.25">
      <c r="B676" s="89"/>
      <c r="C676" s="45" t="s">
        <v>126</v>
      </c>
      <c r="D676" s="44">
        <v>2</v>
      </c>
      <c r="E676" s="43">
        <v>7.3019350127783862E-5</v>
      </c>
    </row>
    <row r="677" spans="2:5" ht="15" customHeight="1" x14ac:dyDescent="0.25">
      <c r="B677" s="89"/>
      <c r="C677" s="45" t="s">
        <v>127</v>
      </c>
      <c r="D677" s="44">
        <v>5</v>
      </c>
      <c r="E677" s="43">
        <v>1.8254837531945966E-4</v>
      </c>
    </row>
    <row r="678" spans="2:5" ht="15" customHeight="1" x14ac:dyDescent="0.25">
      <c r="B678" s="89"/>
      <c r="C678" s="45" t="s">
        <v>129</v>
      </c>
      <c r="D678" s="44">
        <v>29</v>
      </c>
      <c r="E678" s="43">
        <v>1.0587805768528661E-3</v>
      </c>
    </row>
    <row r="679" spans="2:5" ht="15" customHeight="1" x14ac:dyDescent="0.25">
      <c r="B679" s="89"/>
      <c r="C679" s="45" t="s">
        <v>123</v>
      </c>
      <c r="D679" s="44">
        <v>3</v>
      </c>
      <c r="E679" s="43">
        <v>1.095290251916758E-4</v>
      </c>
    </row>
    <row r="680" spans="2:5" ht="15" customHeight="1" x14ac:dyDescent="0.25">
      <c r="B680" s="90"/>
      <c r="C680" s="42" t="s">
        <v>20</v>
      </c>
      <c r="D680" s="41">
        <v>203</v>
      </c>
      <c r="E680" s="40">
        <v>7.4114640379700624E-3</v>
      </c>
    </row>
    <row r="681" spans="2:5" ht="15" customHeight="1" x14ac:dyDescent="0.25">
      <c r="B681" s="88" t="s">
        <v>77</v>
      </c>
      <c r="C681" s="45" t="s">
        <v>134</v>
      </c>
      <c r="D681" s="44">
        <v>3</v>
      </c>
      <c r="E681" s="43">
        <v>1.095290251916758E-4</v>
      </c>
    </row>
    <row r="682" spans="2:5" ht="15" customHeight="1" x14ac:dyDescent="0.25">
      <c r="B682" s="90"/>
      <c r="C682" s="42" t="s">
        <v>20</v>
      </c>
      <c r="D682" s="41">
        <v>3</v>
      </c>
      <c r="E682" s="40">
        <v>1.095290251916758E-4</v>
      </c>
    </row>
    <row r="683" spans="2:5" ht="15" customHeight="1" x14ac:dyDescent="0.25">
      <c r="B683" s="91" t="s">
        <v>176</v>
      </c>
      <c r="C683" s="92"/>
      <c r="D683" s="39">
        <v>27390</v>
      </c>
      <c r="E683" s="38">
        <v>1</v>
      </c>
    </row>
    <row r="685" spans="2:5" ht="15" customHeight="1" x14ac:dyDescent="0.25">
      <c r="B685" s="19" t="s">
        <v>220</v>
      </c>
    </row>
    <row r="686" spans="2:5" ht="15" customHeight="1" x14ac:dyDescent="0.25">
      <c r="B686" s="21" t="s">
        <v>19</v>
      </c>
    </row>
    <row r="687" spans="2:5" ht="15" customHeight="1" x14ac:dyDescent="0.25">
      <c r="B687" s="20" t="s">
        <v>18</v>
      </c>
    </row>
    <row r="688" spans="2:5" ht="15" customHeight="1" x14ac:dyDescent="0.25">
      <c r="B688" s="19" t="s">
        <v>17</v>
      </c>
    </row>
    <row r="689" spans="2:2" ht="15" customHeight="1" x14ac:dyDescent="0.25">
      <c r="B689" s="19" t="s">
        <v>221</v>
      </c>
    </row>
  </sheetData>
  <mergeCells count="52">
    <mergeCell ref="B7:E8"/>
    <mergeCell ref="B337:B352"/>
    <mergeCell ref="B79:B88"/>
    <mergeCell ref="B89:B94"/>
    <mergeCell ref="B95:B111"/>
    <mergeCell ref="B112:B128"/>
    <mergeCell ref="B129:B132"/>
    <mergeCell ref="B133:B149"/>
    <mergeCell ref="B150:B162"/>
    <mergeCell ref="B163:B164"/>
    <mergeCell ref="B165:B166"/>
    <mergeCell ref="B167:B178"/>
    <mergeCell ref="B260:B272"/>
    <mergeCell ref="B273:B288"/>
    <mergeCell ref="B289:B305"/>
    <mergeCell ref="B306:B322"/>
    <mergeCell ref="B323:B336"/>
    <mergeCell ref="B179:B193"/>
    <mergeCell ref="B194:B209"/>
    <mergeCell ref="B210:B226"/>
    <mergeCell ref="B227:B243"/>
    <mergeCell ref="B244:B259"/>
    <mergeCell ref="B10:B21"/>
    <mergeCell ref="B22:B38"/>
    <mergeCell ref="B39:B53"/>
    <mergeCell ref="B54:B67"/>
    <mergeCell ref="B68:B78"/>
    <mergeCell ref="B353:B369"/>
    <mergeCell ref="B370:B371"/>
    <mergeCell ref="B372:B387"/>
    <mergeCell ref="B388:B403"/>
    <mergeCell ref="B404:B418"/>
    <mergeCell ref="B419:B435"/>
    <mergeCell ref="B436:B452"/>
    <mergeCell ref="B453:B467"/>
    <mergeCell ref="B468:B478"/>
    <mergeCell ref="B479:B482"/>
    <mergeCell ref="B666:B680"/>
    <mergeCell ref="B681:B682"/>
    <mergeCell ref="B683:C683"/>
    <mergeCell ref="B483:B499"/>
    <mergeCell ref="B500:B516"/>
    <mergeCell ref="B517:B532"/>
    <mergeCell ref="B533:B549"/>
    <mergeCell ref="B550:B563"/>
    <mergeCell ref="B581:B595"/>
    <mergeCell ref="B596:B610"/>
    <mergeCell ref="B611:B626"/>
    <mergeCell ref="B627:B642"/>
    <mergeCell ref="B643:B655"/>
    <mergeCell ref="B656:B665"/>
    <mergeCell ref="B564:B58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Normal="100" zoomScaleSheetLayoutView="115" workbookViewId="0">
      <selection activeCell="C1" sqref="C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225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167</v>
      </c>
      <c r="C11" s="31" t="s">
        <v>166</v>
      </c>
      <c r="D11" s="30" t="s">
        <v>68</v>
      </c>
    </row>
    <row r="12" spans="1:4" x14ac:dyDescent="0.25">
      <c r="B12" s="27" t="s">
        <v>165</v>
      </c>
      <c r="C12" s="26">
        <v>113</v>
      </c>
      <c r="D12" s="25">
        <f t="shared" ref="D12:D36" si="0">C12/$C$36</f>
        <v>4.1255932822197887E-3</v>
      </c>
    </row>
    <row r="13" spans="1:4" x14ac:dyDescent="0.25">
      <c r="B13" s="27" t="s">
        <v>164</v>
      </c>
      <c r="C13" s="26">
        <v>48</v>
      </c>
      <c r="D13" s="25">
        <f t="shared" si="0"/>
        <v>1.7524644030668128E-3</v>
      </c>
    </row>
    <row r="14" spans="1:4" x14ac:dyDescent="0.25">
      <c r="B14" s="27" t="s">
        <v>163</v>
      </c>
      <c r="C14" s="26">
        <v>81</v>
      </c>
      <c r="D14" s="25">
        <f t="shared" si="0"/>
        <v>2.9572836801752466E-3</v>
      </c>
    </row>
    <row r="15" spans="1:4" x14ac:dyDescent="0.25">
      <c r="B15" s="27" t="s">
        <v>162</v>
      </c>
      <c r="C15" s="26">
        <v>138</v>
      </c>
      <c r="D15" s="25">
        <f t="shared" si="0"/>
        <v>5.0383351588170868E-3</v>
      </c>
    </row>
    <row r="16" spans="1:4" x14ac:dyDescent="0.25">
      <c r="B16" s="27" t="s">
        <v>161</v>
      </c>
      <c r="C16" s="26">
        <v>88</v>
      </c>
      <c r="D16" s="25">
        <f t="shared" si="0"/>
        <v>3.2128514056224901E-3</v>
      </c>
    </row>
    <row r="17" spans="2:4" x14ac:dyDescent="0.25">
      <c r="B17" s="27" t="s">
        <v>160</v>
      </c>
      <c r="C17" s="26">
        <v>156</v>
      </c>
      <c r="D17" s="25">
        <f t="shared" si="0"/>
        <v>5.695509309967141E-3</v>
      </c>
    </row>
    <row r="18" spans="2:4" x14ac:dyDescent="0.25">
      <c r="B18" s="27" t="s">
        <v>159</v>
      </c>
      <c r="C18" s="26">
        <v>1009</v>
      </c>
      <c r="D18" s="25">
        <f t="shared" si="0"/>
        <v>3.6838262139466955E-2</v>
      </c>
    </row>
    <row r="19" spans="2:4" ht="27" x14ac:dyDescent="0.25">
      <c r="B19" s="27" t="s">
        <v>158</v>
      </c>
      <c r="C19" s="26">
        <v>2308</v>
      </c>
      <c r="D19" s="25">
        <f t="shared" si="0"/>
        <v>8.4264330047462574E-2</v>
      </c>
    </row>
    <row r="20" spans="2:4" x14ac:dyDescent="0.25">
      <c r="B20" s="27" t="s">
        <v>157</v>
      </c>
      <c r="C20" s="26">
        <v>295</v>
      </c>
      <c r="D20" s="25">
        <f t="shared" si="0"/>
        <v>1.077035414384812E-2</v>
      </c>
    </row>
    <row r="21" spans="2:4" x14ac:dyDescent="0.25">
      <c r="B21" s="27" t="s">
        <v>156</v>
      </c>
      <c r="C21" s="26">
        <v>690</v>
      </c>
      <c r="D21" s="25">
        <f t="shared" si="0"/>
        <v>2.5191675794085433E-2</v>
      </c>
    </row>
    <row r="22" spans="2:4" x14ac:dyDescent="0.25">
      <c r="B22" s="27" t="s">
        <v>155</v>
      </c>
      <c r="C22" s="26">
        <v>746</v>
      </c>
      <c r="D22" s="25">
        <f t="shared" si="0"/>
        <v>2.7236217597663381E-2</v>
      </c>
    </row>
    <row r="23" spans="2:4" ht="27" x14ac:dyDescent="0.25">
      <c r="B23" s="27" t="s">
        <v>154</v>
      </c>
      <c r="C23" s="26">
        <v>9385</v>
      </c>
      <c r="D23" s="25">
        <f t="shared" si="0"/>
        <v>0.34264330047462577</v>
      </c>
    </row>
    <row r="24" spans="2:4" x14ac:dyDescent="0.25">
      <c r="B24" s="27" t="s">
        <v>153</v>
      </c>
      <c r="C24" s="26">
        <v>819</v>
      </c>
      <c r="D24" s="25">
        <f t="shared" si="0"/>
        <v>2.9901423877327492E-2</v>
      </c>
    </row>
    <row r="25" spans="2:4" ht="27" x14ac:dyDescent="0.25">
      <c r="B25" s="27" t="s">
        <v>152</v>
      </c>
      <c r="C25" s="26">
        <v>2071</v>
      </c>
      <c r="D25" s="25">
        <f t="shared" si="0"/>
        <v>7.5611537057320197E-2</v>
      </c>
    </row>
    <row r="26" spans="2:4" ht="27" x14ac:dyDescent="0.25">
      <c r="B26" s="27" t="s">
        <v>151</v>
      </c>
      <c r="C26" s="26">
        <v>6777</v>
      </c>
      <c r="D26" s="25">
        <f t="shared" si="0"/>
        <v>0.24742606790799562</v>
      </c>
    </row>
    <row r="27" spans="2:4" x14ac:dyDescent="0.25">
      <c r="B27" s="27" t="s">
        <v>150</v>
      </c>
      <c r="C27" s="26">
        <v>131</v>
      </c>
      <c r="D27" s="25">
        <f t="shared" si="0"/>
        <v>4.7827674333698429E-3</v>
      </c>
    </row>
    <row r="28" spans="2:4" x14ac:dyDescent="0.25">
      <c r="B28" s="27" t="s">
        <v>149</v>
      </c>
      <c r="C28" s="26">
        <v>131</v>
      </c>
      <c r="D28" s="25">
        <f t="shared" si="0"/>
        <v>4.7827674333698429E-3</v>
      </c>
    </row>
    <row r="29" spans="2:4" x14ac:dyDescent="0.25">
      <c r="B29" s="27" t="s">
        <v>148</v>
      </c>
      <c r="C29" s="26">
        <v>59</v>
      </c>
      <c r="D29" s="25">
        <f t="shared" si="0"/>
        <v>2.1540708287696238E-3</v>
      </c>
    </row>
    <row r="30" spans="2:4" x14ac:dyDescent="0.25">
      <c r="B30" s="27" t="s">
        <v>147</v>
      </c>
      <c r="C30" s="26">
        <v>27</v>
      </c>
      <c r="D30" s="25">
        <f t="shared" si="0"/>
        <v>9.8576122672508221E-4</v>
      </c>
    </row>
    <row r="31" spans="2:4" x14ac:dyDescent="0.25">
      <c r="B31" s="27" t="s">
        <v>146</v>
      </c>
      <c r="C31" s="26">
        <v>690</v>
      </c>
      <c r="D31" s="25">
        <f t="shared" si="0"/>
        <v>2.5191675794085433E-2</v>
      </c>
    </row>
    <row r="32" spans="2:4" x14ac:dyDescent="0.25">
      <c r="B32" s="27" t="s">
        <v>145</v>
      </c>
      <c r="C32" s="26">
        <v>1475</v>
      </c>
      <c r="D32" s="25">
        <f t="shared" si="0"/>
        <v>5.3851770719240598E-2</v>
      </c>
    </row>
    <row r="33" spans="1:4" x14ac:dyDescent="0.25">
      <c r="B33" s="27" t="s">
        <v>144</v>
      </c>
      <c r="C33" s="26">
        <v>22</v>
      </c>
      <c r="D33" s="25">
        <f t="shared" si="0"/>
        <v>8.0321285140562252E-4</v>
      </c>
    </row>
    <row r="34" spans="1:4" x14ac:dyDescent="0.25">
      <c r="B34" s="27" t="s">
        <v>143</v>
      </c>
      <c r="C34" s="26">
        <v>104</v>
      </c>
      <c r="D34" s="25">
        <f t="shared" si="0"/>
        <v>3.7970062066447607E-3</v>
      </c>
    </row>
    <row r="35" spans="1:4" x14ac:dyDescent="0.25">
      <c r="B35" s="27" t="s">
        <v>142</v>
      </c>
      <c r="C35" s="26">
        <v>27</v>
      </c>
      <c r="D35" s="25">
        <f t="shared" si="0"/>
        <v>9.8576122672508221E-4</v>
      </c>
    </row>
    <row r="36" spans="1:4" x14ac:dyDescent="0.25">
      <c r="B36" s="24" t="s">
        <v>20</v>
      </c>
      <c r="C36" s="23">
        <v>27390</v>
      </c>
      <c r="D36" s="22">
        <f t="shared" si="0"/>
        <v>1</v>
      </c>
    </row>
    <row r="38" spans="1:4" x14ac:dyDescent="0.25">
      <c r="A38" s="58" t="s">
        <v>220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29"/>
  <sheetViews>
    <sheetView zoomScaleNormal="100" zoomScaleSheetLayoutView="85" workbookViewId="0">
      <selection activeCell="C1" sqref="C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3"/>
      <c r="C7" s="93"/>
      <c r="D7" s="93"/>
      <c r="E7" s="93"/>
    </row>
    <row r="8" spans="1:5" s="50" customFormat="1" ht="33" customHeight="1" x14ac:dyDescent="0.3">
      <c r="A8" s="51"/>
      <c r="B8" s="93"/>
      <c r="C8" s="93"/>
      <c r="D8" s="93"/>
      <c r="E8" s="93"/>
    </row>
    <row r="9" spans="1:5" s="29" customFormat="1" ht="40.5" customHeight="1" x14ac:dyDescent="0.2">
      <c r="B9" s="47" t="s">
        <v>168</v>
      </c>
      <c r="C9" s="49" t="s">
        <v>140</v>
      </c>
      <c r="D9" s="48" t="s">
        <v>69</v>
      </c>
      <c r="E9" s="47" t="s">
        <v>68</v>
      </c>
    </row>
    <row r="10" spans="1:5" ht="15" customHeight="1" x14ac:dyDescent="0.25">
      <c r="B10" s="88" t="s">
        <v>165</v>
      </c>
      <c r="C10" s="45" t="s">
        <v>53</v>
      </c>
      <c r="D10" s="44">
        <v>1</v>
      </c>
      <c r="E10" s="43">
        <v>3.6509675063891931E-5</v>
      </c>
    </row>
    <row r="11" spans="1:5" ht="15" customHeight="1" x14ac:dyDescent="0.25">
      <c r="B11" s="89"/>
      <c r="C11" s="45" t="s">
        <v>47</v>
      </c>
      <c r="D11" s="44">
        <v>1</v>
      </c>
      <c r="E11" s="43">
        <v>3.6509675063891931E-5</v>
      </c>
    </row>
    <row r="12" spans="1:5" ht="15" customHeight="1" x14ac:dyDescent="0.25">
      <c r="B12" s="89"/>
      <c r="C12" s="45" t="s">
        <v>67</v>
      </c>
      <c r="D12" s="44">
        <v>40</v>
      </c>
      <c r="E12" s="43">
        <v>1.4603870025556773E-3</v>
      </c>
    </row>
    <row r="13" spans="1:5" ht="15" customHeight="1" x14ac:dyDescent="0.25">
      <c r="B13" s="89"/>
      <c r="C13" s="45" t="s">
        <v>56</v>
      </c>
      <c r="D13" s="44">
        <v>1</v>
      </c>
      <c r="E13" s="43">
        <v>3.6509675063891931E-5</v>
      </c>
    </row>
    <row r="14" spans="1:5" ht="15" customHeight="1" x14ac:dyDescent="0.25">
      <c r="B14" s="89"/>
      <c r="C14" s="45" t="s">
        <v>62</v>
      </c>
      <c r="D14" s="44">
        <v>5</v>
      </c>
      <c r="E14" s="43">
        <v>1.8254837531945966E-4</v>
      </c>
    </row>
    <row r="15" spans="1:5" ht="15" customHeight="1" x14ac:dyDescent="0.25">
      <c r="B15" s="89"/>
      <c r="C15" s="45" t="s">
        <v>63</v>
      </c>
      <c r="D15" s="44">
        <v>3</v>
      </c>
      <c r="E15" s="43">
        <v>1.095290251916758E-4</v>
      </c>
    </row>
    <row r="16" spans="1:5" ht="15" customHeight="1" x14ac:dyDescent="0.25">
      <c r="B16" s="89"/>
      <c r="C16" s="45" t="s">
        <v>65</v>
      </c>
      <c r="D16" s="44">
        <v>14</v>
      </c>
      <c r="E16" s="43">
        <v>5.1113545089448702E-4</v>
      </c>
    </row>
    <row r="17" spans="2:5" ht="15" customHeight="1" x14ac:dyDescent="0.25">
      <c r="B17" s="89"/>
      <c r="C17" s="45" t="s">
        <v>58</v>
      </c>
      <c r="D17" s="44">
        <v>2</v>
      </c>
      <c r="E17" s="43">
        <v>7.3019350127783862E-5</v>
      </c>
    </row>
    <row r="18" spans="2:5" ht="15" customHeight="1" x14ac:dyDescent="0.25">
      <c r="B18" s="89"/>
      <c r="C18" s="45" t="s">
        <v>35</v>
      </c>
      <c r="D18" s="44">
        <v>1</v>
      </c>
      <c r="E18" s="43">
        <v>3.6509675063891931E-5</v>
      </c>
    </row>
    <row r="19" spans="2:5" ht="15" customHeight="1" x14ac:dyDescent="0.25">
      <c r="B19" s="89"/>
      <c r="C19" s="45" t="s">
        <v>46</v>
      </c>
      <c r="D19" s="44">
        <v>3</v>
      </c>
      <c r="E19" s="43">
        <v>1.095290251916758E-4</v>
      </c>
    </row>
    <row r="20" spans="2:5" ht="15" customHeight="1" x14ac:dyDescent="0.25">
      <c r="B20" s="89"/>
      <c r="C20" s="45" t="s">
        <v>51</v>
      </c>
      <c r="D20" s="44">
        <v>1</v>
      </c>
      <c r="E20" s="43">
        <v>3.6509675063891931E-5</v>
      </c>
    </row>
    <row r="21" spans="2:5" ht="15" customHeight="1" x14ac:dyDescent="0.25">
      <c r="B21" s="89"/>
      <c r="C21" s="45" t="s">
        <v>61</v>
      </c>
      <c r="D21" s="44">
        <v>1</v>
      </c>
      <c r="E21" s="43">
        <v>3.6509675063891931E-5</v>
      </c>
    </row>
    <row r="22" spans="2:5" ht="15" customHeight="1" x14ac:dyDescent="0.25">
      <c r="B22" s="89"/>
      <c r="C22" s="45" t="s">
        <v>59</v>
      </c>
      <c r="D22" s="44">
        <v>2</v>
      </c>
      <c r="E22" s="43">
        <v>7.3019350127783862E-5</v>
      </c>
    </row>
    <row r="23" spans="2:5" ht="15" customHeight="1" x14ac:dyDescent="0.25">
      <c r="B23" s="89"/>
      <c r="C23" s="45" t="s">
        <v>64</v>
      </c>
      <c r="D23" s="44">
        <v>2</v>
      </c>
      <c r="E23" s="43">
        <v>7.3019350127783862E-5</v>
      </c>
    </row>
    <row r="24" spans="2:5" ht="15" customHeight="1" x14ac:dyDescent="0.25">
      <c r="B24" s="89"/>
      <c r="C24" s="45" t="s">
        <v>60</v>
      </c>
      <c r="D24" s="44">
        <v>4</v>
      </c>
      <c r="E24" s="43">
        <v>1.4603870025556772E-4</v>
      </c>
    </row>
    <row r="25" spans="2:5" ht="15" customHeight="1" x14ac:dyDescent="0.25">
      <c r="B25" s="89"/>
      <c r="C25" s="45" t="s">
        <v>48</v>
      </c>
      <c r="D25" s="44">
        <v>1</v>
      </c>
      <c r="E25" s="43">
        <v>3.6509675063891931E-5</v>
      </c>
    </row>
    <row r="26" spans="2:5" ht="15" customHeight="1" x14ac:dyDescent="0.25">
      <c r="B26" s="89"/>
      <c r="C26" s="45" t="s">
        <v>45</v>
      </c>
      <c r="D26" s="44">
        <v>1</v>
      </c>
      <c r="E26" s="43">
        <v>3.6509675063891931E-5</v>
      </c>
    </row>
    <row r="27" spans="2:5" ht="15" customHeight="1" x14ac:dyDescent="0.25">
      <c r="B27" s="89"/>
      <c r="C27" s="45" t="s">
        <v>44</v>
      </c>
      <c r="D27" s="44">
        <v>2</v>
      </c>
      <c r="E27" s="43">
        <v>7.3019350127783862E-5</v>
      </c>
    </row>
    <row r="28" spans="2:5" ht="15" customHeight="1" x14ac:dyDescent="0.25">
      <c r="B28" s="89"/>
      <c r="C28" s="45" t="s">
        <v>54</v>
      </c>
      <c r="D28" s="44">
        <v>1</v>
      </c>
      <c r="E28" s="43">
        <v>3.6509675063891931E-5</v>
      </c>
    </row>
    <row r="29" spans="2:5" ht="15" customHeight="1" x14ac:dyDescent="0.25">
      <c r="B29" s="89"/>
      <c r="C29" s="45" t="s">
        <v>66</v>
      </c>
      <c r="D29" s="44">
        <v>21</v>
      </c>
      <c r="E29" s="43">
        <v>7.6670317634173059E-4</v>
      </c>
    </row>
    <row r="30" spans="2:5" ht="15" customHeight="1" x14ac:dyDescent="0.25">
      <c r="B30" s="89"/>
      <c r="C30" s="45" t="s">
        <v>55</v>
      </c>
      <c r="D30" s="44">
        <v>2</v>
      </c>
      <c r="E30" s="43">
        <v>7.3019350127783862E-5</v>
      </c>
    </row>
    <row r="31" spans="2:5" ht="15" customHeight="1" x14ac:dyDescent="0.25">
      <c r="B31" s="89"/>
      <c r="C31" s="45" t="s">
        <v>57</v>
      </c>
      <c r="D31" s="44">
        <v>3</v>
      </c>
      <c r="E31" s="43">
        <v>1.095290251916758E-4</v>
      </c>
    </row>
    <row r="32" spans="2:5" ht="15" customHeight="1" x14ac:dyDescent="0.25">
      <c r="B32" s="89"/>
      <c r="C32" s="45" t="s">
        <v>29</v>
      </c>
      <c r="D32" s="44">
        <v>1</v>
      </c>
      <c r="E32" s="43">
        <v>3.6509675063891931E-5</v>
      </c>
    </row>
    <row r="33" spans="2:5" ht="15" customHeight="1" x14ac:dyDescent="0.25">
      <c r="B33" s="90"/>
      <c r="C33" s="42" t="s">
        <v>20</v>
      </c>
      <c r="D33" s="41">
        <v>113</v>
      </c>
      <c r="E33" s="40">
        <v>4.1255932822197887E-3</v>
      </c>
    </row>
    <row r="34" spans="2:5" ht="15" customHeight="1" x14ac:dyDescent="0.25">
      <c r="B34" s="88" t="s">
        <v>164</v>
      </c>
      <c r="C34" s="45" t="s">
        <v>67</v>
      </c>
      <c r="D34" s="44">
        <v>22</v>
      </c>
      <c r="E34" s="43">
        <v>8.0321285140562252E-4</v>
      </c>
    </row>
    <row r="35" spans="2:5" ht="15" customHeight="1" x14ac:dyDescent="0.25">
      <c r="B35" s="89"/>
      <c r="C35" s="45" t="s">
        <v>62</v>
      </c>
      <c r="D35" s="44">
        <v>2</v>
      </c>
      <c r="E35" s="43">
        <v>7.3019350127783862E-5</v>
      </c>
    </row>
    <row r="36" spans="2:5" ht="15" customHeight="1" x14ac:dyDescent="0.25">
      <c r="B36" s="89"/>
      <c r="C36" s="45" t="s">
        <v>63</v>
      </c>
      <c r="D36" s="44">
        <v>3</v>
      </c>
      <c r="E36" s="43">
        <v>1.095290251916758E-4</v>
      </c>
    </row>
    <row r="37" spans="2:5" ht="15" customHeight="1" x14ac:dyDescent="0.25">
      <c r="B37" s="89"/>
      <c r="C37" s="45" t="s">
        <v>65</v>
      </c>
      <c r="D37" s="44">
        <v>1</v>
      </c>
      <c r="E37" s="43">
        <v>3.6509675063891931E-5</v>
      </c>
    </row>
    <row r="38" spans="2:5" ht="15" customHeight="1" x14ac:dyDescent="0.25">
      <c r="B38" s="89"/>
      <c r="C38" s="45" t="s">
        <v>58</v>
      </c>
      <c r="D38" s="44">
        <v>3</v>
      </c>
      <c r="E38" s="43">
        <v>1.095290251916758E-4</v>
      </c>
    </row>
    <row r="39" spans="2:5" ht="15" customHeight="1" x14ac:dyDescent="0.25">
      <c r="B39" s="89"/>
      <c r="C39" s="45" t="s">
        <v>46</v>
      </c>
      <c r="D39" s="44">
        <v>1</v>
      </c>
      <c r="E39" s="43">
        <v>3.6509675063891931E-5</v>
      </c>
    </row>
    <row r="40" spans="2:5" ht="15" customHeight="1" x14ac:dyDescent="0.25">
      <c r="B40" s="89"/>
      <c r="C40" s="45" t="s">
        <v>61</v>
      </c>
      <c r="D40" s="44">
        <v>1</v>
      </c>
      <c r="E40" s="43">
        <v>3.6509675063891931E-5</v>
      </c>
    </row>
    <row r="41" spans="2:5" ht="15" customHeight="1" x14ac:dyDescent="0.25">
      <c r="B41" s="89"/>
      <c r="C41" s="45" t="s">
        <v>64</v>
      </c>
      <c r="D41" s="44">
        <v>1</v>
      </c>
      <c r="E41" s="43">
        <v>3.6509675063891931E-5</v>
      </c>
    </row>
    <row r="42" spans="2:5" ht="15" customHeight="1" x14ac:dyDescent="0.25">
      <c r="B42" s="89"/>
      <c r="C42" s="45" t="s">
        <v>48</v>
      </c>
      <c r="D42" s="44">
        <v>1</v>
      </c>
      <c r="E42" s="43">
        <v>3.6509675063891931E-5</v>
      </c>
    </row>
    <row r="43" spans="2:5" ht="15" customHeight="1" x14ac:dyDescent="0.25">
      <c r="B43" s="89"/>
      <c r="C43" s="45" t="s">
        <v>66</v>
      </c>
      <c r="D43" s="44">
        <v>12</v>
      </c>
      <c r="E43" s="43">
        <v>4.381161007667032E-4</v>
      </c>
    </row>
    <row r="44" spans="2:5" ht="15" customHeight="1" x14ac:dyDescent="0.25">
      <c r="B44" s="89"/>
      <c r="C44" s="45" t="s">
        <v>50</v>
      </c>
      <c r="D44" s="44">
        <v>1</v>
      </c>
      <c r="E44" s="43">
        <v>3.6509675063891931E-5</v>
      </c>
    </row>
    <row r="45" spans="2:5" ht="15" customHeight="1" x14ac:dyDescent="0.25">
      <c r="B45" s="90"/>
      <c r="C45" s="42" t="s">
        <v>20</v>
      </c>
      <c r="D45" s="41">
        <v>48</v>
      </c>
      <c r="E45" s="40">
        <v>1.7524644030668128E-3</v>
      </c>
    </row>
    <row r="46" spans="2:5" ht="15" customHeight="1" x14ac:dyDescent="0.25">
      <c r="B46" s="88" t="s">
        <v>163</v>
      </c>
      <c r="C46" s="45" t="s">
        <v>49</v>
      </c>
      <c r="D46" s="44">
        <v>1</v>
      </c>
      <c r="E46" s="43">
        <v>3.6509675063891931E-5</v>
      </c>
    </row>
    <row r="47" spans="2:5" ht="15" customHeight="1" x14ac:dyDescent="0.25">
      <c r="B47" s="89"/>
      <c r="C47" s="45" t="s">
        <v>53</v>
      </c>
      <c r="D47" s="44">
        <v>2</v>
      </c>
      <c r="E47" s="43">
        <v>7.3019350127783862E-5</v>
      </c>
    </row>
    <row r="48" spans="2:5" ht="15" customHeight="1" x14ac:dyDescent="0.25">
      <c r="B48" s="89"/>
      <c r="C48" s="45" t="s">
        <v>67</v>
      </c>
      <c r="D48" s="44">
        <v>18</v>
      </c>
      <c r="E48" s="43">
        <v>6.5717415115005477E-4</v>
      </c>
    </row>
    <row r="49" spans="2:5" ht="15" customHeight="1" x14ac:dyDescent="0.25">
      <c r="B49" s="89"/>
      <c r="C49" s="45" t="s">
        <v>31</v>
      </c>
      <c r="D49" s="44">
        <v>1</v>
      </c>
      <c r="E49" s="43">
        <v>3.6509675063891931E-5</v>
      </c>
    </row>
    <row r="50" spans="2:5" ht="15" customHeight="1" x14ac:dyDescent="0.25">
      <c r="B50" s="89"/>
      <c r="C50" s="45" t="s">
        <v>62</v>
      </c>
      <c r="D50" s="44">
        <v>8</v>
      </c>
      <c r="E50" s="43">
        <v>2.9207740051113545E-4</v>
      </c>
    </row>
    <row r="51" spans="2:5" ht="15" customHeight="1" x14ac:dyDescent="0.25">
      <c r="B51" s="89"/>
      <c r="C51" s="45" t="s">
        <v>63</v>
      </c>
      <c r="D51" s="44">
        <v>3</v>
      </c>
      <c r="E51" s="43">
        <v>1.095290251916758E-4</v>
      </c>
    </row>
    <row r="52" spans="2:5" ht="15" customHeight="1" x14ac:dyDescent="0.25">
      <c r="B52" s="89"/>
      <c r="C52" s="45" t="s">
        <v>32</v>
      </c>
      <c r="D52" s="44">
        <v>1</v>
      </c>
      <c r="E52" s="43">
        <v>3.6509675063891931E-5</v>
      </c>
    </row>
    <row r="53" spans="2:5" ht="15" customHeight="1" x14ac:dyDescent="0.25">
      <c r="B53" s="89"/>
      <c r="C53" s="45" t="s">
        <v>65</v>
      </c>
      <c r="D53" s="44">
        <v>8</v>
      </c>
      <c r="E53" s="43">
        <v>2.9207740051113545E-4</v>
      </c>
    </row>
    <row r="54" spans="2:5" ht="15" customHeight="1" x14ac:dyDescent="0.25">
      <c r="B54" s="89"/>
      <c r="C54" s="45" t="s">
        <v>58</v>
      </c>
      <c r="D54" s="44">
        <v>1</v>
      </c>
      <c r="E54" s="43">
        <v>3.6509675063891931E-5</v>
      </c>
    </row>
    <row r="55" spans="2:5" ht="15" customHeight="1" x14ac:dyDescent="0.25">
      <c r="B55" s="89"/>
      <c r="C55" s="45" t="s">
        <v>43</v>
      </c>
      <c r="D55" s="44">
        <v>1</v>
      </c>
      <c r="E55" s="43">
        <v>3.6509675063891931E-5</v>
      </c>
    </row>
    <row r="56" spans="2:5" ht="15" customHeight="1" x14ac:dyDescent="0.25">
      <c r="B56" s="89"/>
      <c r="C56" s="45" t="s">
        <v>37</v>
      </c>
      <c r="D56" s="44">
        <v>1</v>
      </c>
      <c r="E56" s="43">
        <v>3.6509675063891931E-5</v>
      </c>
    </row>
    <row r="57" spans="2:5" ht="15" customHeight="1" x14ac:dyDescent="0.25">
      <c r="B57" s="89"/>
      <c r="C57" s="45" t="s">
        <v>39</v>
      </c>
      <c r="D57" s="44">
        <v>1</v>
      </c>
      <c r="E57" s="43">
        <v>3.6509675063891931E-5</v>
      </c>
    </row>
    <row r="58" spans="2:5" ht="15" customHeight="1" x14ac:dyDescent="0.25">
      <c r="B58" s="89"/>
      <c r="C58" s="45" t="s">
        <v>61</v>
      </c>
      <c r="D58" s="44">
        <v>1</v>
      </c>
      <c r="E58" s="43">
        <v>3.6509675063891931E-5</v>
      </c>
    </row>
    <row r="59" spans="2:5" ht="15" customHeight="1" x14ac:dyDescent="0.25">
      <c r="B59" s="89"/>
      <c r="C59" s="45" t="s">
        <v>59</v>
      </c>
      <c r="D59" s="44">
        <v>2</v>
      </c>
      <c r="E59" s="43">
        <v>7.3019350127783862E-5</v>
      </c>
    </row>
    <row r="60" spans="2:5" ht="15" customHeight="1" x14ac:dyDescent="0.25">
      <c r="B60" s="89"/>
      <c r="C60" s="45" t="s">
        <v>64</v>
      </c>
      <c r="D60" s="44">
        <v>10</v>
      </c>
      <c r="E60" s="43">
        <v>3.6509675063891932E-4</v>
      </c>
    </row>
    <row r="61" spans="2:5" ht="15" customHeight="1" x14ac:dyDescent="0.25">
      <c r="B61" s="89"/>
      <c r="C61" s="45" t="s">
        <v>60</v>
      </c>
      <c r="D61" s="44">
        <v>7</v>
      </c>
      <c r="E61" s="43">
        <v>2.5556772544724351E-4</v>
      </c>
    </row>
    <row r="62" spans="2:5" ht="15" customHeight="1" x14ac:dyDescent="0.25">
      <c r="B62" s="89"/>
      <c r="C62" s="45" t="s">
        <v>52</v>
      </c>
      <c r="D62" s="44">
        <v>3</v>
      </c>
      <c r="E62" s="43">
        <v>1.095290251916758E-4</v>
      </c>
    </row>
    <row r="63" spans="2:5" ht="15" customHeight="1" x14ac:dyDescent="0.25">
      <c r="B63" s="89"/>
      <c r="C63" s="45" t="s">
        <v>45</v>
      </c>
      <c r="D63" s="44">
        <v>1</v>
      </c>
      <c r="E63" s="43">
        <v>3.6509675063891931E-5</v>
      </c>
    </row>
    <row r="64" spans="2:5" ht="15" customHeight="1" x14ac:dyDescent="0.25">
      <c r="B64" s="89"/>
      <c r="C64" s="45" t="s">
        <v>44</v>
      </c>
      <c r="D64" s="44">
        <v>1</v>
      </c>
      <c r="E64" s="43">
        <v>3.6509675063891931E-5</v>
      </c>
    </row>
    <row r="65" spans="2:5" ht="15" customHeight="1" x14ac:dyDescent="0.25">
      <c r="B65" s="89"/>
      <c r="C65" s="45" t="s">
        <v>54</v>
      </c>
      <c r="D65" s="44">
        <v>1</v>
      </c>
      <c r="E65" s="43">
        <v>3.6509675063891931E-5</v>
      </c>
    </row>
    <row r="66" spans="2:5" ht="15" customHeight="1" x14ac:dyDescent="0.25">
      <c r="B66" s="89"/>
      <c r="C66" s="45" t="s">
        <v>66</v>
      </c>
      <c r="D66" s="44">
        <v>9</v>
      </c>
      <c r="E66" s="43">
        <v>3.2858707557502739E-4</v>
      </c>
    </row>
    <row r="67" spans="2:5" ht="15" customHeight="1" x14ac:dyDescent="0.25">
      <c r="B67" s="90"/>
      <c r="C67" s="42" t="s">
        <v>20</v>
      </c>
      <c r="D67" s="41">
        <v>81</v>
      </c>
      <c r="E67" s="40">
        <v>2.9572836801752466E-3</v>
      </c>
    </row>
    <row r="68" spans="2:5" ht="15" customHeight="1" x14ac:dyDescent="0.25">
      <c r="B68" s="88" t="s">
        <v>162</v>
      </c>
      <c r="C68" s="45" t="s">
        <v>53</v>
      </c>
      <c r="D68" s="44">
        <v>2</v>
      </c>
      <c r="E68" s="43">
        <v>7.3019350127783862E-5</v>
      </c>
    </row>
    <row r="69" spans="2:5" ht="15" customHeight="1" x14ac:dyDescent="0.25">
      <c r="B69" s="89"/>
      <c r="C69" s="45" t="s">
        <v>67</v>
      </c>
      <c r="D69" s="44">
        <v>40</v>
      </c>
      <c r="E69" s="43">
        <v>1.4603870025556773E-3</v>
      </c>
    </row>
    <row r="70" spans="2:5" ht="15" customHeight="1" x14ac:dyDescent="0.25">
      <c r="B70" s="89"/>
      <c r="C70" s="45" t="s">
        <v>56</v>
      </c>
      <c r="D70" s="44">
        <v>3</v>
      </c>
      <c r="E70" s="43">
        <v>1.095290251916758E-4</v>
      </c>
    </row>
    <row r="71" spans="2:5" ht="15" customHeight="1" x14ac:dyDescent="0.25">
      <c r="B71" s="89"/>
      <c r="C71" s="45" t="s">
        <v>40</v>
      </c>
      <c r="D71" s="44">
        <v>1</v>
      </c>
      <c r="E71" s="43">
        <v>3.6509675063891931E-5</v>
      </c>
    </row>
    <row r="72" spans="2:5" ht="15" customHeight="1" x14ac:dyDescent="0.25">
      <c r="B72" s="89"/>
      <c r="C72" s="45" t="s">
        <v>31</v>
      </c>
      <c r="D72" s="44">
        <v>1</v>
      </c>
      <c r="E72" s="43">
        <v>3.6509675063891931E-5</v>
      </c>
    </row>
    <row r="73" spans="2:5" ht="15" customHeight="1" x14ac:dyDescent="0.25">
      <c r="B73" s="89"/>
      <c r="C73" s="45" t="s">
        <v>62</v>
      </c>
      <c r="D73" s="44">
        <v>8</v>
      </c>
      <c r="E73" s="43">
        <v>2.9207740051113545E-4</v>
      </c>
    </row>
    <row r="74" spans="2:5" ht="15" customHeight="1" x14ac:dyDescent="0.25">
      <c r="B74" s="89"/>
      <c r="C74" s="45" t="s">
        <v>63</v>
      </c>
      <c r="D74" s="44">
        <v>6</v>
      </c>
      <c r="E74" s="43">
        <v>2.190580503833516E-4</v>
      </c>
    </row>
    <row r="75" spans="2:5" ht="15" customHeight="1" x14ac:dyDescent="0.25">
      <c r="B75" s="89"/>
      <c r="C75" s="45" t="s">
        <v>32</v>
      </c>
      <c r="D75" s="44">
        <v>1</v>
      </c>
      <c r="E75" s="43">
        <v>3.6509675063891931E-5</v>
      </c>
    </row>
    <row r="76" spans="2:5" ht="15" customHeight="1" x14ac:dyDescent="0.25">
      <c r="B76" s="89"/>
      <c r="C76" s="45" t="s">
        <v>65</v>
      </c>
      <c r="D76" s="44">
        <v>8</v>
      </c>
      <c r="E76" s="43">
        <v>2.9207740051113545E-4</v>
      </c>
    </row>
    <row r="77" spans="2:5" ht="15" customHeight="1" x14ac:dyDescent="0.25">
      <c r="B77" s="89"/>
      <c r="C77" s="45" t="s">
        <v>58</v>
      </c>
      <c r="D77" s="44">
        <v>2</v>
      </c>
      <c r="E77" s="43">
        <v>7.3019350127783862E-5</v>
      </c>
    </row>
    <row r="78" spans="2:5" ht="15" customHeight="1" x14ac:dyDescent="0.25">
      <c r="B78" s="89"/>
      <c r="C78" s="45" t="s">
        <v>43</v>
      </c>
      <c r="D78" s="44">
        <v>1</v>
      </c>
      <c r="E78" s="43">
        <v>3.6509675063891931E-5</v>
      </c>
    </row>
    <row r="79" spans="2:5" ht="15" customHeight="1" x14ac:dyDescent="0.25">
      <c r="B79" s="89"/>
      <c r="C79" s="45" t="s">
        <v>35</v>
      </c>
      <c r="D79" s="44">
        <v>1</v>
      </c>
      <c r="E79" s="43">
        <v>3.6509675063891931E-5</v>
      </c>
    </row>
    <row r="80" spans="2:5" ht="15" customHeight="1" x14ac:dyDescent="0.25">
      <c r="B80" s="89"/>
      <c r="C80" s="45" t="s">
        <v>46</v>
      </c>
      <c r="D80" s="44">
        <v>1</v>
      </c>
      <c r="E80" s="43">
        <v>3.6509675063891931E-5</v>
      </c>
    </row>
    <row r="81" spans="2:5" ht="15" customHeight="1" x14ac:dyDescent="0.25">
      <c r="B81" s="89"/>
      <c r="C81" s="45" t="s">
        <v>51</v>
      </c>
      <c r="D81" s="44">
        <v>1</v>
      </c>
      <c r="E81" s="43">
        <v>3.6509675063891931E-5</v>
      </c>
    </row>
    <row r="82" spans="2:5" ht="15" customHeight="1" x14ac:dyDescent="0.25">
      <c r="B82" s="89"/>
      <c r="C82" s="45" t="s">
        <v>30</v>
      </c>
      <c r="D82" s="44">
        <v>1</v>
      </c>
      <c r="E82" s="43">
        <v>3.6509675063891931E-5</v>
      </c>
    </row>
    <row r="83" spans="2:5" ht="15" customHeight="1" x14ac:dyDescent="0.25">
      <c r="B83" s="89"/>
      <c r="C83" s="45" t="s">
        <v>59</v>
      </c>
      <c r="D83" s="44">
        <v>5</v>
      </c>
      <c r="E83" s="43">
        <v>1.8254837531945966E-4</v>
      </c>
    </row>
    <row r="84" spans="2:5" ht="15" customHeight="1" x14ac:dyDescent="0.25">
      <c r="B84" s="89"/>
      <c r="C84" s="45" t="s">
        <v>64</v>
      </c>
      <c r="D84" s="44">
        <v>12</v>
      </c>
      <c r="E84" s="43">
        <v>4.381161007667032E-4</v>
      </c>
    </row>
    <row r="85" spans="2:5" ht="15" customHeight="1" x14ac:dyDescent="0.25">
      <c r="B85" s="89"/>
      <c r="C85" s="45" t="s">
        <v>60</v>
      </c>
      <c r="D85" s="44">
        <v>6</v>
      </c>
      <c r="E85" s="43">
        <v>2.190580503833516E-4</v>
      </c>
    </row>
    <row r="86" spans="2:5" ht="15" customHeight="1" x14ac:dyDescent="0.25">
      <c r="B86" s="89"/>
      <c r="C86" s="45" t="s">
        <v>41</v>
      </c>
      <c r="D86" s="44">
        <v>1</v>
      </c>
      <c r="E86" s="43">
        <v>3.6509675063891931E-5</v>
      </c>
    </row>
    <row r="87" spans="2:5" ht="15" customHeight="1" x14ac:dyDescent="0.25">
      <c r="B87" s="89"/>
      <c r="C87" s="45" t="s">
        <v>52</v>
      </c>
      <c r="D87" s="44">
        <v>4</v>
      </c>
      <c r="E87" s="43">
        <v>1.4603870025556772E-4</v>
      </c>
    </row>
    <row r="88" spans="2:5" ht="15" customHeight="1" x14ac:dyDescent="0.25">
      <c r="B88" s="89"/>
      <c r="C88" s="45" t="s">
        <v>45</v>
      </c>
      <c r="D88" s="44">
        <v>1</v>
      </c>
      <c r="E88" s="43">
        <v>3.6509675063891931E-5</v>
      </c>
    </row>
    <row r="89" spans="2:5" ht="15" customHeight="1" x14ac:dyDescent="0.25">
      <c r="B89" s="89"/>
      <c r="C89" s="45" t="s">
        <v>44</v>
      </c>
      <c r="D89" s="44">
        <v>2</v>
      </c>
      <c r="E89" s="43">
        <v>7.3019350127783862E-5</v>
      </c>
    </row>
    <row r="90" spans="2:5" ht="15" customHeight="1" x14ac:dyDescent="0.25">
      <c r="B90" s="89"/>
      <c r="C90" s="45" t="s">
        <v>54</v>
      </c>
      <c r="D90" s="44">
        <v>1</v>
      </c>
      <c r="E90" s="43">
        <v>3.6509675063891931E-5</v>
      </c>
    </row>
    <row r="91" spans="2:5" ht="15" customHeight="1" x14ac:dyDescent="0.25">
      <c r="B91" s="89"/>
      <c r="C91" s="45" t="s">
        <v>66</v>
      </c>
      <c r="D91" s="44">
        <v>21</v>
      </c>
      <c r="E91" s="43">
        <v>7.6670317634173059E-4</v>
      </c>
    </row>
    <row r="92" spans="2:5" ht="15" customHeight="1" x14ac:dyDescent="0.25">
      <c r="B92" s="89"/>
      <c r="C92" s="45" t="s">
        <v>55</v>
      </c>
      <c r="D92" s="44">
        <v>4</v>
      </c>
      <c r="E92" s="43">
        <v>1.4603870025556772E-4</v>
      </c>
    </row>
    <row r="93" spans="2:5" ht="15" customHeight="1" x14ac:dyDescent="0.25">
      <c r="B93" s="89"/>
      <c r="C93" s="45" t="s">
        <v>42</v>
      </c>
      <c r="D93" s="44">
        <v>1</v>
      </c>
      <c r="E93" s="43">
        <v>3.6509675063891931E-5</v>
      </c>
    </row>
    <row r="94" spans="2:5" ht="15" customHeight="1" x14ac:dyDescent="0.25">
      <c r="B94" s="89"/>
      <c r="C94" s="45" t="s">
        <v>50</v>
      </c>
      <c r="D94" s="44">
        <v>1</v>
      </c>
      <c r="E94" s="43">
        <v>3.6509675063891931E-5</v>
      </c>
    </row>
    <row r="95" spans="2:5" ht="15" customHeight="1" x14ac:dyDescent="0.25">
      <c r="B95" s="89"/>
      <c r="C95" s="45" t="s">
        <v>57</v>
      </c>
      <c r="D95" s="44">
        <v>2</v>
      </c>
      <c r="E95" s="43">
        <v>7.3019350127783862E-5</v>
      </c>
    </row>
    <row r="96" spans="2:5" ht="15" customHeight="1" x14ac:dyDescent="0.25">
      <c r="B96" s="90"/>
      <c r="C96" s="42" t="s">
        <v>20</v>
      </c>
      <c r="D96" s="41">
        <v>138</v>
      </c>
      <c r="E96" s="40">
        <v>5.0383351588170868E-3</v>
      </c>
    </row>
    <row r="97" spans="2:5" ht="15" customHeight="1" x14ac:dyDescent="0.25">
      <c r="B97" s="88" t="s">
        <v>161</v>
      </c>
      <c r="C97" s="45" t="s">
        <v>53</v>
      </c>
      <c r="D97" s="44">
        <v>1</v>
      </c>
      <c r="E97" s="43">
        <v>3.6509675063891931E-5</v>
      </c>
    </row>
    <row r="98" spans="2:5" ht="15" customHeight="1" x14ac:dyDescent="0.25">
      <c r="B98" s="89"/>
      <c r="C98" s="45" t="s">
        <v>67</v>
      </c>
      <c r="D98" s="44">
        <v>31</v>
      </c>
      <c r="E98" s="43">
        <v>1.13179992698065E-3</v>
      </c>
    </row>
    <row r="99" spans="2:5" ht="15" customHeight="1" x14ac:dyDescent="0.25">
      <c r="B99" s="89"/>
      <c r="C99" s="45" t="s">
        <v>56</v>
      </c>
      <c r="D99" s="44">
        <v>1</v>
      </c>
      <c r="E99" s="43">
        <v>3.6509675063891931E-5</v>
      </c>
    </row>
    <row r="100" spans="2:5" ht="15" customHeight="1" x14ac:dyDescent="0.25">
      <c r="B100" s="89"/>
      <c r="C100" s="45" t="s">
        <v>40</v>
      </c>
      <c r="D100" s="44">
        <v>3</v>
      </c>
      <c r="E100" s="43">
        <v>1.095290251916758E-4</v>
      </c>
    </row>
    <row r="101" spans="2:5" ht="15" customHeight="1" x14ac:dyDescent="0.25">
      <c r="B101" s="89"/>
      <c r="C101" s="45" t="s">
        <v>62</v>
      </c>
      <c r="D101" s="44">
        <v>3</v>
      </c>
      <c r="E101" s="43">
        <v>1.095290251916758E-4</v>
      </c>
    </row>
    <row r="102" spans="2:5" ht="15" customHeight="1" x14ac:dyDescent="0.25">
      <c r="B102" s="89"/>
      <c r="C102" s="45" t="s">
        <v>63</v>
      </c>
      <c r="D102" s="44">
        <v>1</v>
      </c>
      <c r="E102" s="43">
        <v>3.6509675063891931E-5</v>
      </c>
    </row>
    <row r="103" spans="2:5" ht="15" customHeight="1" x14ac:dyDescent="0.25">
      <c r="B103" s="89"/>
      <c r="C103" s="45" t="s">
        <v>65</v>
      </c>
      <c r="D103" s="44">
        <v>5</v>
      </c>
      <c r="E103" s="43">
        <v>1.8254837531945966E-4</v>
      </c>
    </row>
    <row r="104" spans="2:5" ht="15" customHeight="1" x14ac:dyDescent="0.25">
      <c r="B104" s="89"/>
      <c r="C104" s="45" t="s">
        <v>58</v>
      </c>
      <c r="D104" s="44">
        <v>4</v>
      </c>
      <c r="E104" s="43">
        <v>1.4603870025556772E-4</v>
      </c>
    </row>
    <row r="105" spans="2:5" ht="15" customHeight="1" x14ac:dyDescent="0.25">
      <c r="B105" s="89"/>
      <c r="C105" s="45" t="s">
        <v>37</v>
      </c>
      <c r="D105" s="44">
        <v>1</v>
      </c>
      <c r="E105" s="43">
        <v>3.6509675063891931E-5</v>
      </c>
    </row>
    <row r="106" spans="2:5" ht="15" customHeight="1" x14ac:dyDescent="0.25">
      <c r="B106" s="89"/>
      <c r="C106" s="45" t="s">
        <v>33</v>
      </c>
      <c r="D106" s="44">
        <v>1</v>
      </c>
      <c r="E106" s="43">
        <v>3.6509675063891931E-5</v>
      </c>
    </row>
    <row r="107" spans="2:5" ht="15" customHeight="1" x14ac:dyDescent="0.25">
      <c r="B107" s="89"/>
      <c r="C107" s="45" t="s">
        <v>51</v>
      </c>
      <c r="D107" s="44">
        <v>1</v>
      </c>
      <c r="E107" s="43">
        <v>3.6509675063891931E-5</v>
      </c>
    </row>
    <row r="108" spans="2:5" ht="15" customHeight="1" x14ac:dyDescent="0.25">
      <c r="B108" s="89"/>
      <c r="C108" s="45" t="s">
        <v>38</v>
      </c>
      <c r="D108" s="44">
        <v>2</v>
      </c>
      <c r="E108" s="43">
        <v>7.3019350127783862E-5</v>
      </c>
    </row>
    <row r="109" spans="2:5" ht="15" customHeight="1" x14ac:dyDescent="0.25">
      <c r="B109" s="89"/>
      <c r="C109" s="45" t="s">
        <v>61</v>
      </c>
      <c r="D109" s="44">
        <v>3</v>
      </c>
      <c r="E109" s="43">
        <v>1.095290251916758E-4</v>
      </c>
    </row>
    <row r="110" spans="2:5" ht="15" customHeight="1" x14ac:dyDescent="0.25">
      <c r="B110" s="89"/>
      <c r="C110" s="45" t="s">
        <v>64</v>
      </c>
      <c r="D110" s="44">
        <v>7</v>
      </c>
      <c r="E110" s="43">
        <v>2.5556772544724351E-4</v>
      </c>
    </row>
    <row r="111" spans="2:5" ht="15" customHeight="1" x14ac:dyDescent="0.25">
      <c r="B111" s="89"/>
      <c r="C111" s="45" t="s">
        <v>60</v>
      </c>
      <c r="D111" s="44">
        <v>4</v>
      </c>
      <c r="E111" s="43">
        <v>1.4603870025556772E-4</v>
      </c>
    </row>
    <row r="112" spans="2:5" ht="15" customHeight="1" x14ac:dyDescent="0.25">
      <c r="B112" s="89"/>
      <c r="C112" s="45" t="s">
        <v>41</v>
      </c>
      <c r="D112" s="44">
        <v>1</v>
      </c>
      <c r="E112" s="43">
        <v>3.6509675063891931E-5</v>
      </c>
    </row>
    <row r="113" spans="2:5" ht="15" customHeight="1" x14ac:dyDescent="0.25">
      <c r="B113" s="89"/>
      <c r="C113" s="45" t="s">
        <v>48</v>
      </c>
      <c r="D113" s="44">
        <v>1</v>
      </c>
      <c r="E113" s="43">
        <v>3.6509675063891931E-5</v>
      </c>
    </row>
    <row r="114" spans="2:5" ht="15" customHeight="1" x14ac:dyDescent="0.25">
      <c r="B114" s="89"/>
      <c r="C114" s="45" t="s">
        <v>52</v>
      </c>
      <c r="D114" s="44">
        <v>2</v>
      </c>
      <c r="E114" s="43">
        <v>7.3019350127783862E-5</v>
      </c>
    </row>
    <row r="115" spans="2:5" ht="15" customHeight="1" x14ac:dyDescent="0.25">
      <c r="B115" s="89"/>
      <c r="C115" s="45" t="s">
        <v>54</v>
      </c>
      <c r="D115" s="44">
        <v>1</v>
      </c>
      <c r="E115" s="43">
        <v>3.6509675063891931E-5</v>
      </c>
    </row>
    <row r="116" spans="2:5" ht="15" customHeight="1" x14ac:dyDescent="0.25">
      <c r="B116" s="89"/>
      <c r="C116" s="45" t="s">
        <v>66</v>
      </c>
      <c r="D116" s="44">
        <v>13</v>
      </c>
      <c r="E116" s="43">
        <v>4.7462577583059508E-4</v>
      </c>
    </row>
    <row r="117" spans="2:5" ht="15" customHeight="1" x14ac:dyDescent="0.25">
      <c r="B117" s="89"/>
      <c r="C117" s="45" t="s">
        <v>42</v>
      </c>
      <c r="D117" s="44">
        <v>1</v>
      </c>
      <c r="E117" s="43">
        <v>3.6509675063891931E-5</v>
      </c>
    </row>
    <row r="118" spans="2:5" ht="15" customHeight="1" x14ac:dyDescent="0.25">
      <c r="B118" s="89"/>
      <c r="C118" s="45" t="s">
        <v>57</v>
      </c>
      <c r="D118" s="44">
        <v>1</v>
      </c>
      <c r="E118" s="43">
        <v>3.6509675063891931E-5</v>
      </c>
    </row>
    <row r="119" spans="2:5" ht="15" customHeight="1" x14ac:dyDescent="0.25">
      <c r="B119" s="90"/>
      <c r="C119" s="42" t="s">
        <v>20</v>
      </c>
      <c r="D119" s="41">
        <v>88</v>
      </c>
      <c r="E119" s="40">
        <v>3.2128514056224901E-3</v>
      </c>
    </row>
    <row r="120" spans="2:5" ht="15" customHeight="1" x14ac:dyDescent="0.25">
      <c r="B120" s="88" t="s">
        <v>160</v>
      </c>
      <c r="C120" s="45" t="s">
        <v>49</v>
      </c>
      <c r="D120" s="44">
        <v>2</v>
      </c>
      <c r="E120" s="43">
        <v>7.3019350127783862E-5</v>
      </c>
    </row>
    <row r="121" spans="2:5" ht="15" customHeight="1" x14ac:dyDescent="0.25">
      <c r="B121" s="89"/>
      <c r="C121" s="45" t="s">
        <v>53</v>
      </c>
      <c r="D121" s="44">
        <v>2</v>
      </c>
      <c r="E121" s="43">
        <v>7.3019350127783862E-5</v>
      </c>
    </row>
    <row r="122" spans="2:5" ht="15" customHeight="1" x14ac:dyDescent="0.25">
      <c r="B122" s="89"/>
      <c r="C122" s="45" t="s">
        <v>47</v>
      </c>
      <c r="D122" s="44">
        <v>3</v>
      </c>
      <c r="E122" s="43">
        <v>1.095290251916758E-4</v>
      </c>
    </row>
    <row r="123" spans="2:5" ht="15" customHeight="1" x14ac:dyDescent="0.25">
      <c r="B123" s="89"/>
      <c r="C123" s="45" t="s">
        <v>67</v>
      </c>
      <c r="D123" s="44">
        <v>51</v>
      </c>
      <c r="E123" s="43">
        <v>1.8619934282584885E-3</v>
      </c>
    </row>
    <row r="124" spans="2:5" ht="15" customHeight="1" x14ac:dyDescent="0.25">
      <c r="B124" s="89"/>
      <c r="C124" s="45" t="s">
        <v>56</v>
      </c>
      <c r="D124" s="44">
        <v>3</v>
      </c>
      <c r="E124" s="43">
        <v>1.095290251916758E-4</v>
      </c>
    </row>
    <row r="125" spans="2:5" ht="15" customHeight="1" x14ac:dyDescent="0.25">
      <c r="B125" s="89"/>
      <c r="C125" s="45" t="s">
        <v>62</v>
      </c>
      <c r="D125" s="44">
        <v>8</v>
      </c>
      <c r="E125" s="43">
        <v>2.9207740051113545E-4</v>
      </c>
    </row>
    <row r="126" spans="2:5" ht="15" customHeight="1" x14ac:dyDescent="0.25">
      <c r="B126" s="89"/>
      <c r="C126" s="45" t="s">
        <v>63</v>
      </c>
      <c r="D126" s="44">
        <v>11</v>
      </c>
      <c r="E126" s="43">
        <v>4.0160642570281126E-4</v>
      </c>
    </row>
    <row r="127" spans="2:5" ht="15" customHeight="1" x14ac:dyDescent="0.25">
      <c r="B127" s="89"/>
      <c r="C127" s="45" t="s">
        <v>65</v>
      </c>
      <c r="D127" s="44">
        <v>12</v>
      </c>
      <c r="E127" s="43">
        <v>4.381161007667032E-4</v>
      </c>
    </row>
    <row r="128" spans="2:5" ht="15" customHeight="1" x14ac:dyDescent="0.25">
      <c r="B128" s="89"/>
      <c r="C128" s="45" t="s">
        <v>58</v>
      </c>
      <c r="D128" s="44">
        <v>1</v>
      </c>
      <c r="E128" s="43">
        <v>3.6509675063891931E-5</v>
      </c>
    </row>
    <row r="129" spans="2:5" ht="15" customHeight="1" x14ac:dyDescent="0.25">
      <c r="B129" s="89"/>
      <c r="C129" s="45" t="s">
        <v>43</v>
      </c>
      <c r="D129" s="44">
        <v>1</v>
      </c>
      <c r="E129" s="43">
        <v>3.6509675063891931E-5</v>
      </c>
    </row>
    <row r="130" spans="2:5" ht="15" customHeight="1" x14ac:dyDescent="0.25">
      <c r="B130" s="89"/>
      <c r="C130" s="45" t="s">
        <v>46</v>
      </c>
      <c r="D130" s="44">
        <v>1</v>
      </c>
      <c r="E130" s="43">
        <v>3.6509675063891931E-5</v>
      </c>
    </row>
    <row r="131" spans="2:5" ht="15" customHeight="1" x14ac:dyDescent="0.25">
      <c r="B131" s="89"/>
      <c r="C131" s="45" t="s">
        <v>38</v>
      </c>
      <c r="D131" s="44">
        <v>1</v>
      </c>
      <c r="E131" s="43">
        <v>3.6509675063891931E-5</v>
      </c>
    </row>
    <row r="132" spans="2:5" ht="15" customHeight="1" x14ac:dyDescent="0.25">
      <c r="B132" s="89"/>
      <c r="C132" s="45" t="s">
        <v>61</v>
      </c>
      <c r="D132" s="44">
        <v>5</v>
      </c>
      <c r="E132" s="43">
        <v>1.8254837531945966E-4</v>
      </c>
    </row>
    <row r="133" spans="2:5" ht="15" customHeight="1" x14ac:dyDescent="0.25">
      <c r="B133" s="89"/>
      <c r="C133" s="45" t="s">
        <v>59</v>
      </c>
      <c r="D133" s="44">
        <v>7</v>
      </c>
      <c r="E133" s="43">
        <v>2.5556772544724351E-4</v>
      </c>
    </row>
    <row r="134" spans="2:5" ht="15" customHeight="1" x14ac:dyDescent="0.25">
      <c r="B134" s="89"/>
      <c r="C134" s="45" t="s">
        <v>36</v>
      </c>
      <c r="D134" s="44">
        <v>1</v>
      </c>
      <c r="E134" s="43">
        <v>3.6509675063891931E-5</v>
      </c>
    </row>
    <row r="135" spans="2:5" ht="15" customHeight="1" x14ac:dyDescent="0.25">
      <c r="B135" s="89"/>
      <c r="C135" s="45" t="s">
        <v>64</v>
      </c>
      <c r="D135" s="44">
        <v>7</v>
      </c>
      <c r="E135" s="43">
        <v>2.5556772544724351E-4</v>
      </c>
    </row>
    <row r="136" spans="2:5" ht="15" customHeight="1" x14ac:dyDescent="0.25">
      <c r="B136" s="89"/>
      <c r="C136" s="45" t="s">
        <v>60</v>
      </c>
      <c r="D136" s="44">
        <v>7</v>
      </c>
      <c r="E136" s="43">
        <v>2.5556772544724351E-4</v>
      </c>
    </row>
    <row r="137" spans="2:5" ht="15" customHeight="1" x14ac:dyDescent="0.25">
      <c r="B137" s="89"/>
      <c r="C137" s="45" t="s">
        <v>41</v>
      </c>
      <c r="D137" s="44">
        <v>3</v>
      </c>
      <c r="E137" s="43">
        <v>1.095290251916758E-4</v>
      </c>
    </row>
    <row r="138" spans="2:5" ht="15" customHeight="1" x14ac:dyDescent="0.25">
      <c r="B138" s="89"/>
      <c r="C138" s="45" t="s">
        <v>48</v>
      </c>
      <c r="D138" s="44">
        <v>2</v>
      </c>
      <c r="E138" s="43">
        <v>7.3019350127783862E-5</v>
      </c>
    </row>
    <row r="139" spans="2:5" ht="15" customHeight="1" x14ac:dyDescent="0.25">
      <c r="B139" s="89"/>
      <c r="C139" s="45" t="s">
        <v>45</v>
      </c>
      <c r="D139" s="44">
        <v>2</v>
      </c>
      <c r="E139" s="43">
        <v>7.3019350127783862E-5</v>
      </c>
    </row>
    <row r="140" spans="2:5" ht="15" customHeight="1" x14ac:dyDescent="0.25">
      <c r="B140" s="89"/>
      <c r="C140" s="45" t="s">
        <v>44</v>
      </c>
      <c r="D140" s="44">
        <v>3</v>
      </c>
      <c r="E140" s="43">
        <v>1.095290251916758E-4</v>
      </c>
    </row>
    <row r="141" spans="2:5" ht="15" customHeight="1" x14ac:dyDescent="0.25">
      <c r="B141" s="89"/>
      <c r="C141" s="45" t="s">
        <v>66</v>
      </c>
      <c r="D141" s="44">
        <v>20</v>
      </c>
      <c r="E141" s="43">
        <v>7.3019350127783865E-4</v>
      </c>
    </row>
    <row r="142" spans="2:5" ht="15" customHeight="1" x14ac:dyDescent="0.25">
      <c r="B142" s="89"/>
      <c r="C142" s="45" t="s">
        <v>55</v>
      </c>
      <c r="D142" s="44">
        <v>1</v>
      </c>
      <c r="E142" s="43">
        <v>3.6509675063891931E-5</v>
      </c>
    </row>
    <row r="143" spans="2:5" ht="15" customHeight="1" x14ac:dyDescent="0.25">
      <c r="B143" s="89"/>
      <c r="C143" s="45" t="s">
        <v>57</v>
      </c>
      <c r="D143" s="44">
        <v>2</v>
      </c>
      <c r="E143" s="43">
        <v>7.3019350127783862E-5</v>
      </c>
    </row>
    <row r="144" spans="2:5" ht="15" customHeight="1" x14ac:dyDescent="0.25">
      <c r="B144" s="90"/>
      <c r="C144" s="42" t="s">
        <v>20</v>
      </c>
      <c r="D144" s="41">
        <v>156</v>
      </c>
      <c r="E144" s="40">
        <v>5.695509309967141E-3</v>
      </c>
    </row>
    <row r="145" spans="2:5" ht="15" customHeight="1" x14ac:dyDescent="0.25">
      <c r="B145" s="88" t="s">
        <v>159</v>
      </c>
      <c r="C145" s="45" t="s">
        <v>49</v>
      </c>
      <c r="D145" s="44">
        <v>5</v>
      </c>
      <c r="E145" s="43">
        <v>1.8254837531945966E-4</v>
      </c>
    </row>
    <row r="146" spans="2:5" ht="15" customHeight="1" x14ac:dyDescent="0.25">
      <c r="B146" s="89"/>
      <c r="C146" s="45" t="s">
        <v>53</v>
      </c>
      <c r="D146" s="44">
        <v>12</v>
      </c>
      <c r="E146" s="43">
        <v>4.381161007667032E-4</v>
      </c>
    </row>
    <row r="147" spans="2:5" ht="15" customHeight="1" x14ac:dyDescent="0.25">
      <c r="B147" s="89"/>
      <c r="C147" s="45" t="s">
        <v>47</v>
      </c>
      <c r="D147" s="44">
        <v>9</v>
      </c>
      <c r="E147" s="43">
        <v>3.2858707557502739E-4</v>
      </c>
    </row>
    <row r="148" spans="2:5" ht="15" customHeight="1" x14ac:dyDescent="0.25">
      <c r="B148" s="89"/>
      <c r="C148" s="45" t="s">
        <v>67</v>
      </c>
      <c r="D148" s="44">
        <v>358</v>
      </c>
      <c r="E148" s="43">
        <v>1.3070463672873312E-2</v>
      </c>
    </row>
    <row r="149" spans="2:5" ht="15" customHeight="1" x14ac:dyDescent="0.25">
      <c r="B149" s="89"/>
      <c r="C149" s="45" t="s">
        <v>56</v>
      </c>
      <c r="D149" s="44">
        <v>11</v>
      </c>
      <c r="E149" s="43">
        <v>4.0160642570281126E-4</v>
      </c>
    </row>
    <row r="150" spans="2:5" ht="15" customHeight="1" x14ac:dyDescent="0.25">
      <c r="B150" s="89"/>
      <c r="C150" s="45" t="s">
        <v>40</v>
      </c>
      <c r="D150" s="44">
        <v>3</v>
      </c>
      <c r="E150" s="43">
        <v>1.095290251916758E-4</v>
      </c>
    </row>
    <row r="151" spans="2:5" ht="15" customHeight="1" x14ac:dyDescent="0.25">
      <c r="B151" s="89"/>
      <c r="C151" s="45" t="s">
        <v>62</v>
      </c>
      <c r="D151" s="44">
        <v>37</v>
      </c>
      <c r="E151" s="43">
        <v>1.3508579773640014E-3</v>
      </c>
    </row>
    <row r="152" spans="2:5" ht="15" customHeight="1" x14ac:dyDescent="0.25">
      <c r="B152" s="89"/>
      <c r="C152" s="45" t="s">
        <v>63</v>
      </c>
      <c r="D152" s="44">
        <v>29</v>
      </c>
      <c r="E152" s="43">
        <v>1.0587805768528661E-3</v>
      </c>
    </row>
    <row r="153" spans="2:5" ht="15" customHeight="1" x14ac:dyDescent="0.25">
      <c r="B153" s="89"/>
      <c r="C153" s="45" t="s">
        <v>32</v>
      </c>
      <c r="D153" s="44">
        <v>7</v>
      </c>
      <c r="E153" s="43">
        <v>2.5556772544724351E-4</v>
      </c>
    </row>
    <row r="154" spans="2:5" ht="15" customHeight="1" x14ac:dyDescent="0.25">
      <c r="B154" s="89"/>
      <c r="C154" s="45" t="s">
        <v>65</v>
      </c>
      <c r="D154" s="44">
        <v>81</v>
      </c>
      <c r="E154" s="43">
        <v>2.9572836801752466E-3</v>
      </c>
    </row>
    <row r="155" spans="2:5" ht="15" customHeight="1" x14ac:dyDescent="0.25">
      <c r="B155" s="89"/>
      <c r="C155" s="45" t="s">
        <v>58</v>
      </c>
      <c r="D155" s="44">
        <v>23</v>
      </c>
      <c r="E155" s="43">
        <v>8.3972252646951446E-4</v>
      </c>
    </row>
    <row r="156" spans="2:5" ht="15" customHeight="1" x14ac:dyDescent="0.25">
      <c r="B156" s="89"/>
      <c r="C156" s="45" t="s">
        <v>34</v>
      </c>
      <c r="D156" s="44">
        <v>3</v>
      </c>
      <c r="E156" s="43">
        <v>1.095290251916758E-4</v>
      </c>
    </row>
    <row r="157" spans="2:5" ht="15" customHeight="1" x14ac:dyDescent="0.25">
      <c r="B157" s="89"/>
      <c r="C157" s="45" t="s">
        <v>43</v>
      </c>
      <c r="D157" s="44">
        <v>6</v>
      </c>
      <c r="E157" s="43">
        <v>2.190580503833516E-4</v>
      </c>
    </row>
    <row r="158" spans="2:5" ht="15" customHeight="1" x14ac:dyDescent="0.25">
      <c r="B158" s="89"/>
      <c r="C158" s="45" t="s">
        <v>37</v>
      </c>
      <c r="D158" s="44">
        <v>6</v>
      </c>
      <c r="E158" s="43">
        <v>2.190580503833516E-4</v>
      </c>
    </row>
    <row r="159" spans="2:5" ht="15" customHeight="1" x14ac:dyDescent="0.25">
      <c r="B159" s="89"/>
      <c r="C159" s="45" t="s">
        <v>33</v>
      </c>
      <c r="D159" s="44">
        <v>6</v>
      </c>
      <c r="E159" s="43">
        <v>2.190580503833516E-4</v>
      </c>
    </row>
    <row r="160" spans="2:5" ht="15" customHeight="1" x14ac:dyDescent="0.25">
      <c r="B160" s="89"/>
      <c r="C160" s="45" t="s">
        <v>28</v>
      </c>
      <c r="D160" s="44">
        <v>1</v>
      </c>
      <c r="E160" s="43">
        <v>3.6509675063891931E-5</v>
      </c>
    </row>
    <row r="161" spans="2:5" ht="15" customHeight="1" x14ac:dyDescent="0.25">
      <c r="B161" s="89"/>
      <c r="C161" s="45" t="s">
        <v>46</v>
      </c>
      <c r="D161" s="44">
        <v>17</v>
      </c>
      <c r="E161" s="43">
        <v>6.2066447608616284E-4</v>
      </c>
    </row>
    <row r="162" spans="2:5" ht="15" customHeight="1" x14ac:dyDescent="0.25">
      <c r="B162" s="89"/>
      <c r="C162" s="45" t="s">
        <v>51</v>
      </c>
      <c r="D162" s="44">
        <v>6</v>
      </c>
      <c r="E162" s="43">
        <v>2.190580503833516E-4</v>
      </c>
    </row>
    <row r="163" spans="2:5" ht="15" customHeight="1" x14ac:dyDescent="0.25">
      <c r="B163" s="89"/>
      <c r="C163" s="45" t="s">
        <v>39</v>
      </c>
      <c r="D163" s="44">
        <v>9</v>
      </c>
      <c r="E163" s="43">
        <v>3.2858707557502739E-4</v>
      </c>
    </row>
    <row r="164" spans="2:5" ht="15" customHeight="1" x14ac:dyDescent="0.25">
      <c r="B164" s="89"/>
      <c r="C164" s="45" t="s">
        <v>38</v>
      </c>
      <c r="D164" s="44">
        <v>4</v>
      </c>
      <c r="E164" s="43">
        <v>1.4603870025556772E-4</v>
      </c>
    </row>
    <row r="165" spans="2:5" ht="15" customHeight="1" x14ac:dyDescent="0.25">
      <c r="B165" s="89"/>
      <c r="C165" s="45" t="s">
        <v>61</v>
      </c>
      <c r="D165" s="44">
        <v>15</v>
      </c>
      <c r="E165" s="43">
        <v>5.4764512595837896E-4</v>
      </c>
    </row>
    <row r="166" spans="2:5" ht="15" customHeight="1" x14ac:dyDescent="0.25">
      <c r="B166" s="89"/>
      <c r="C166" s="45" t="s">
        <v>59</v>
      </c>
      <c r="D166" s="44">
        <v>28</v>
      </c>
      <c r="E166" s="43">
        <v>1.022270901788974E-3</v>
      </c>
    </row>
    <row r="167" spans="2:5" ht="15" customHeight="1" x14ac:dyDescent="0.25">
      <c r="B167" s="89"/>
      <c r="C167" s="45" t="s">
        <v>36</v>
      </c>
      <c r="D167" s="44">
        <v>3</v>
      </c>
      <c r="E167" s="43">
        <v>1.095290251916758E-4</v>
      </c>
    </row>
    <row r="168" spans="2:5" ht="15" customHeight="1" x14ac:dyDescent="0.25">
      <c r="B168" s="89"/>
      <c r="C168" s="45" t="s">
        <v>64</v>
      </c>
      <c r="D168" s="44">
        <v>74</v>
      </c>
      <c r="E168" s="43">
        <v>2.7017159547280028E-3</v>
      </c>
    </row>
    <row r="169" spans="2:5" ht="15" customHeight="1" x14ac:dyDescent="0.25">
      <c r="B169" s="89"/>
      <c r="C169" s="45" t="s">
        <v>60</v>
      </c>
      <c r="D169" s="44">
        <v>25</v>
      </c>
      <c r="E169" s="43">
        <v>9.1274187659729834E-4</v>
      </c>
    </row>
    <row r="170" spans="2:5" ht="15" customHeight="1" x14ac:dyDescent="0.25">
      <c r="B170" s="89"/>
      <c r="C170" s="45" t="s">
        <v>41</v>
      </c>
      <c r="D170" s="44">
        <v>13</v>
      </c>
      <c r="E170" s="43">
        <v>4.7462577583059508E-4</v>
      </c>
    </row>
    <row r="171" spans="2:5" ht="15" customHeight="1" x14ac:dyDescent="0.25">
      <c r="B171" s="89"/>
      <c r="C171" s="45" t="s">
        <v>48</v>
      </c>
      <c r="D171" s="44">
        <v>2</v>
      </c>
      <c r="E171" s="43">
        <v>7.3019350127783862E-5</v>
      </c>
    </row>
    <row r="172" spans="2:5" ht="15" customHeight="1" x14ac:dyDescent="0.25">
      <c r="B172" s="89"/>
      <c r="C172" s="45" t="s">
        <v>52</v>
      </c>
      <c r="D172" s="44">
        <v>12</v>
      </c>
      <c r="E172" s="43">
        <v>4.381161007667032E-4</v>
      </c>
    </row>
    <row r="173" spans="2:5" ht="15" customHeight="1" x14ac:dyDescent="0.25">
      <c r="B173" s="89"/>
      <c r="C173" s="45" t="s">
        <v>45</v>
      </c>
      <c r="D173" s="44">
        <v>9</v>
      </c>
      <c r="E173" s="43">
        <v>3.2858707557502739E-4</v>
      </c>
    </row>
    <row r="174" spans="2:5" ht="15" customHeight="1" x14ac:dyDescent="0.25">
      <c r="B174" s="89"/>
      <c r="C174" s="45" t="s">
        <v>44</v>
      </c>
      <c r="D174" s="44">
        <v>7</v>
      </c>
      <c r="E174" s="43">
        <v>2.5556772544724351E-4</v>
      </c>
    </row>
    <row r="175" spans="2:5" ht="15" customHeight="1" x14ac:dyDescent="0.25">
      <c r="B175" s="89"/>
      <c r="C175" s="45" t="s">
        <v>54</v>
      </c>
      <c r="D175" s="44">
        <v>7</v>
      </c>
      <c r="E175" s="43">
        <v>2.5556772544724351E-4</v>
      </c>
    </row>
    <row r="176" spans="2:5" ht="15" customHeight="1" x14ac:dyDescent="0.25">
      <c r="B176" s="89"/>
      <c r="C176" s="45" t="s">
        <v>66</v>
      </c>
      <c r="D176" s="44">
        <v>160</v>
      </c>
      <c r="E176" s="43">
        <v>5.8415480102227092E-3</v>
      </c>
    </row>
    <row r="177" spans="2:5" ht="15" customHeight="1" x14ac:dyDescent="0.25">
      <c r="B177" s="89"/>
      <c r="C177" s="45" t="s">
        <v>55</v>
      </c>
      <c r="D177" s="44">
        <v>7</v>
      </c>
      <c r="E177" s="43">
        <v>2.5556772544724351E-4</v>
      </c>
    </row>
    <row r="178" spans="2:5" ht="15" customHeight="1" x14ac:dyDescent="0.25">
      <c r="B178" s="89"/>
      <c r="C178" s="45" t="s">
        <v>42</v>
      </c>
      <c r="D178" s="44">
        <v>5</v>
      </c>
      <c r="E178" s="43">
        <v>1.8254837531945966E-4</v>
      </c>
    </row>
    <row r="179" spans="2:5" ht="15" customHeight="1" x14ac:dyDescent="0.25">
      <c r="B179" s="89"/>
      <c r="C179" s="45" t="s">
        <v>50</v>
      </c>
      <c r="D179" s="44">
        <v>2</v>
      </c>
      <c r="E179" s="43">
        <v>7.3019350127783862E-5</v>
      </c>
    </row>
    <row r="180" spans="2:5" ht="15" customHeight="1" x14ac:dyDescent="0.25">
      <c r="B180" s="89"/>
      <c r="C180" s="45" t="s">
        <v>57</v>
      </c>
      <c r="D180" s="44">
        <v>7</v>
      </c>
      <c r="E180" s="43">
        <v>2.5556772544724351E-4</v>
      </c>
    </row>
    <row r="181" spans="2:5" ht="15" customHeight="1" x14ac:dyDescent="0.25">
      <c r="B181" s="90"/>
      <c r="C181" s="42" t="s">
        <v>20</v>
      </c>
      <c r="D181" s="41">
        <v>1009</v>
      </c>
      <c r="E181" s="40">
        <v>3.6838262139466955E-2</v>
      </c>
    </row>
    <row r="182" spans="2:5" ht="15" customHeight="1" x14ac:dyDescent="0.25">
      <c r="B182" s="88" t="s">
        <v>158</v>
      </c>
      <c r="C182" s="45" t="s">
        <v>49</v>
      </c>
      <c r="D182" s="44">
        <v>10</v>
      </c>
      <c r="E182" s="43">
        <v>3.6509675063891932E-4</v>
      </c>
    </row>
    <row r="183" spans="2:5" ht="15" customHeight="1" x14ac:dyDescent="0.25">
      <c r="B183" s="89"/>
      <c r="C183" s="45" t="s">
        <v>53</v>
      </c>
      <c r="D183" s="44">
        <v>21</v>
      </c>
      <c r="E183" s="43">
        <v>7.6670317634173059E-4</v>
      </c>
    </row>
    <row r="184" spans="2:5" ht="15" customHeight="1" x14ac:dyDescent="0.25">
      <c r="B184" s="89"/>
      <c r="C184" s="45" t="s">
        <v>47</v>
      </c>
      <c r="D184" s="44">
        <v>19</v>
      </c>
      <c r="E184" s="43">
        <v>6.9368382621394671E-4</v>
      </c>
    </row>
    <row r="185" spans="2:5" ht="15" customHeight="1" x14ac:dyDescent="0.25">
      <c r="B185" s="89"/>
      <c r="C185" s="45" t="s">
        <v>67</v>
      </c>
      <c r="D185" s="44">
        <v>698</v>
      </c>
      <c r="E185" s="43">
        <v>2.5483753194596569E-2</v>
      </c>
    </row>
    <row r="186" spans="2:5" ht="15" customHeight="1" x14ac:dyDescent="0.25">
      <c r="B186" s="89"/>
      <c r="C186" s="45" t="s">
        <v>56</v>
      </c>
      <c r="D186" s="44">
        <v>43</v>
      </c>
      <c r="E186" s="43">
        <v>1.569916027747353E-3</v>
      </c>
    </row>
    <row r="187" spans="2:5" ht="15" customHeight="1" x14ac:dyDescent="0.25">
      <c r="B187" s="89"/>
      <c r="C187" s="45" t="s">
        <v>40</v>
      </c>
      <c r="D187" s="44">
        <v>8</v>
      </c>
      <c r="E187" s="43">
        <v>2.9207740051113545E-4</v>
      </c>
    </row>
    <row r="188" spans="2:5" ht="15" customHeight="1" x14ac:dyDescent="0.25">
      <c r="B188" s="89"/>
      <c r="C188" s="45" t="s">
        <v>31</v>
      </c>
      <c r="D188" s="44">
        <v>3</v>
      </c>
      <c r="E188" s="43">
        <v>1.095290251916758E-4</v>
      </c>
    </row>
    <row r="189" spans="2:5" ht="15" customHeight="1" x14ac:dyDescent="0.25">
      <c r="B189" s="89"/>
      <c r="C189" s="45" t="s">
        <v>62</v>
      </c>
      <c r="D189" s="44">
        <v>73</v>
      </c>
      <c r="E189" s="43">
        <v>2.6652062796641111E-3</v>
      </c>
    </row>
    <row r="190" spans="2:5" ht="15" customHeight="1" x14ac:dyDescent="0.25">
      <c r="B190" s="89"/>
      <c r="C190" s="45" t="s">
        <v>63</v>
      </c>
      <c r="D190" s="44">
        <v>79</v>
      </c>
      <c r="E190" s="43">
        <v>2.8842643300474625E-3</v>
      </c>
    </row>
    <row r="191" spans="2:5" ht="15" customHeight="1" x14ac:dyDescent="0.25">
      <c r="B191" s="89"/>
      <c r="C191" s="45" t="s">
        <v>32</v>
      </c>
      <c r="D191" s="44">
        <v>14</v>
      </c>
      <c r="E191" s="43">
        <v>5.1113545089448702E-4</v>
      </c>
    </row>
    <row r="192" spans="2:5" ht="15" customHeight="1" x14ac:dyDescent="0.25">
      <c r="B192" s="89"/>
      <c r="C192" s="45" t="s">
        <v>65</v>
      </c>
      <c r="D192" s="44">
        <v>357</v>
      </c>
      <c r="E192" s="43">
        <v>1.3033953997809419E-2</v>
      </c>
    </row>
    <row r="193" spans="2:5" ht="15" customHeight="1" x14ac:dyDescent="0.25">
      <c r="B193" s="89"/>
      <c r="C193" s="45" t="s">
        <v>58</v>
      </c>
      <c r="D193" s="44">
        <v>47</v>
      </c>
      <c r="E193" s="43">
        <v>1.7159547280029208E-3</v>
      </c>
    </row>
    <row r="194" spans="2:5" ht="15" customHeight="1" x14ac:dyDescent="0.25">
      <c r="B194" s="89"/>
      <c r="C194" s="45" t="s">
        <v>34</v>
      </c>
      <c r="D194" s="44">
        <v>10</v>
      </c>
      <c r="E194" s="43">
        <v>3.6509675063891932E-4</v>
      </c>
    </row>
    <row r="195" spans="2:5" ht="15" customHeight="1" x14ac:dyDescent="0.25">
      <c r="B195" s="89"/>
      <c r="C195" s="45" t="s">
        <v>43</v>
      </c>
      <c r="D195" s="44">
        <v>11</v>
      </c>
      <c r="E195" s="43">
        <v>4.0160642570281126E-4</v>
      </c>
    </row>
    <row r="196" spans="2:5" ht="15" customHeight="1" x14ac:dyDescent="0.25">
      <c r="B196" s="89"/>
      <c r="C196" s="45" t="s">
        <v>37</v>
      </c>
      <c r="D196" s="44">
        <v>6</v>
      </c>
      <c r="E196" s="43">
        <v>2.190580503833516E-4</v>
      </c>
    </row>
    <row r="197" spans="2:5" ht="15" customHeight="1" x14ac:dyDescent="0.25">
      <c r="B197" s="89"/>
      <c r="C197" s="45" t="s">
        <v>33</v>
      </c>
      <c r="D197" s="44">
        <v>5</v>
      </c>
      <c r="E197" s="43">
        <v>1.8254837531945966E-4</v>
      </c>
    </row>
    <row r="198" spans="2:5" ht="15" customHeight="1" x14ac:dyDescent="0.25">
      <c r="B198" s="89"/>
      <c r="C198" s="45" t="s">
        <v>35</v>
      </c>
      <c r="D198" s="44">
        <v>5</v>
      </c>
      <c r="E198" s="43">
        <v>1.8254837531945966E-4</v>
      </c>
    </row>
    <row r="199" spans="2:5" ht="15" customHeight="1" x14ac:dyDescent="0.25">
      <c r="B199" s="89"/>
      <c r="C199" s="45" t="s">
        <v>28</v>
      </c>
      <c r="D199" s="44">
        <v>4</v>
      </c>
      <c r="E199" s="43">
        <v>1.4603870025556772E-4</v>
      </c>
    </row>
    <row r="200" spans="2:5" ht="15" customHeight="1" x14ac:dyDescent="0.25">
      <c r="B200" s="89"/>
      <c r="C200" s="45" t="s">
        <v>46</v>
      </c>
      <c r="D200" s="44">
        <v>19</v>
      </c>
      <c r="E200" s="43">
        <v>6.9368382621394671E-4</v>
      </c>
    </row>
    <row r="201" spans="2:5" ht="15" customHeight="1" x14ac:dyDescent="0.25">
      <c r="B201" s="89"/>
      <c r="C201" s="45" t="s">
        <v>51</v>
      </c>
      <c r="D201" s="44">
        <v>29</v>
      </c>
      <c r="E201" s="43">
        <v>1.0587805768528661E-3</v>
      </c>
    </row>
    <row r="202" spans="2:5" ht="15" customHeight="1" x14ac:dyDescent="0.25">
      <c r="B202" s="89"/>
      <c r="C202" s="45" t="s">
        <v>30</v>
      </c>
      <c r="D202" s="44">
        <v>3</v>
      </c>
      <c r="E202" s="43">
        <v>1.095290251916758E-4</v>
      </c>
    </row>
    <row r="203" spans="2:5" ht="15" customHeight="1" x14ac:dyDescent="0.25">
      <c r="B203" s="89"/>
      <c r="C203" s="45" t="s">
        <v>39</v>
      </c>
      <c r="D203" s="44">
        <v>7</v>
      </c>
      <c r="E203" s="43">
        <v>2.5556772544724351E-4</v>
      </c>
    </row>
    <row r="204" spans="2:5" ht="15" customHeight="1" x14ac:dyDescent="0.25">
      <c r="B204" s="89"/>
      <c r="C204" s="45" t="s">
        <v>21</v>
      </c>
      <c r="D204" s="44">
        <v>1</v>
      </c>
      <c r="E204" s="43">
        <v>3.6509675063891931E-5</v>
      </c>
    </row>
    <row r="205" spans="2:5" ht="15" customHeight="1" x14ac:dyDescent="0.25">
      <c r="B205" s="89"/>
      <c r="C205" s="45" t="s">
        <v>38</v>
      </c>
      <c r="D205" s="44">
        <v>11</v>
      </c>
      <c r="E205" s="43">
        <v>4.0160642570281126E-4</v>
      </c>
    </row>
    <row r="206" spans="2:5" ht="15" customHeight="1" x14ac:dyDescent="0.25">
      <c r="B206" s="89"/>
      <c r="C206" s="45" t="s">
        <v>61</v>
      </c>
      <c r="D206" s="44">
        <v>39</v>
      </c>
      <c r="E206" s="43">
        <v>1.4238773274917853E-3</v>
      </c>
    </row>
    <row r="207" spans="2:5" ht="15" customHeight="1" x14ac:dyDescent="0.25">
      <c r="B207" s="89"/>
      <c r="C207" s="45" t="s">
        <v>59</v>
      </c>
      <c r="D207" s="44">
        <v>46</v>
      </c>
      <c r="E207" s="43">
        <v>1.6794450529390289E-3</v>
      </c>
    </row>
    <row r="208" spans="2:5" ht="15" customHeight="1" x14ac:dyDescent="0.25">
      <c r="B208" s="89"/>
      <c r="C208" s="45" t="s">
        <v>36</v>
      </c>
      <c r="D208" s="44">
        <v>9</v>
      </c>
      <c r="E208" s="43">
        <v>3.2858707557502739E-4</v>
      </c>
    </row>
    <row r="209" spans="2:5" ht="15" customHeight="1" x14ac:dyDescent="0.25">
      <c r="B209" s="89"/>
      <c r="C209" s="45" t="s">
        <v>64</v>
      </c>
      <c r="D209" s="44">
        <v>109</v>
      </c>
      <c r="E209" s="43">
        <v>3.9795545819642205E-3</v>
      </c>
    </row>
    <row r="210" spans="2:5" ht="15" customHeight="1" x14ac:dyDescent="0.25">
      <c r="B210" s="89"/>
      <c r="C210" s="45" t="s">
        <v>60</v>
      </c>
      <c r="D210" s="44">
        <v>105</v>
      </c>
      <c r="E210" s="43">
        <v>3.8335158817086527E-3</v>
      </c>
    </row>
    <row r="211" spans="2:5" ht="15" customHeight="1" x14ac:dyDescent="0.25">
      <c r="B211" s="89"/>
      <c r="C211" s="45" t="s">
        <v>41</v>
      </c>
      <c r="D211" s="44">
        <v>15</v>
      </c>
      <c r="E211" s="43">
        <v>5.4764512595837896E-4</v>
      </c>
    </row>
    <row r="212" spans="2:5" ht="15" customHeight="1" x14ac:dyDescent="0.25">
      <c r="B212" s="89"/>
      <c r="C212" s="45" t="s">
        <v>48</v>
      </c>
      <c r="D212" s="44">
        <v>23</v>
      </c>
      <c r="E212" s="43">
        <v>8.3972252646951446E-4</v>
      </c>
    </row>
    <row r="213" spans="2:5" ht="15" customHeight="1" x14ac:dyDescent="0.25">
      <c r="B213" s="89"/>
      <c r="C213" s="45" t="s">
        <v>52</v>
      </c>
      <c r="D213" s="44">
        <v>8</v>
      </c>
      <c r="E213" s="43">
        <v>2.9207740051113545E-4</v>
      </c>
    </row>
    <row r="214" spans="2:5" ht="15" customHeight="1" x14ac:dyDescent="0.25">
      <c r="B214" s="89"/>
      <c r="C214" s="45" t="s">
        <v>45</v>
      </c>
      <c r="D214" s="44">
        <v>15</v>
      </c>
      <c r="E214" s="43">
        <v>5.4764512595837896E-4</v>
      </c>
    </row>
    <row r="215" spans="2:5" ht="15" customHeight="1" x14ac:dyDescent="0.25">
      <c r="B215" s="89"/>
      <c r="C215" s="45" t="s">
        <v>26</v>
      </c>
      <c r="D215" s="44">
        <v>1</v>
      </c>
      <c r="E215" s="43">
        <v>3.6509675063891931E-5</v>
      </c>
    </row>
    <row r="216" spans="2:5" ht="15" customHeight="1" x14ac:dyDescent="0.25">
      <c r="B216" s="89"/>
      <c r="C216" s="45" t="s">
        <v>44</v>
      </c>
      <c r="D216" s="44">
        <v>35</v>
      </c>
      <c r="E216" s="43">
        <v>1.2778386272362175E-3</v>
      </c>
    </row>
    <row r="217" spans="2:5" ht="15" customHeight="1" x14ac:dyDescent="0.25">
      <c r="B217" s="89"/>
      <c r="C217" s="45" t="s">
        <v>54</v>
      </c>
      <c r="D217" s="44">
        <v>27</v>
      </c>
      <c r="E217" s="43">
        <v>9.8576122672508221E-4</v>
      </c>
    </row>
    <row r="218" spans="2:5" ht="15" customHeight="1" x14ac:dyDescent="0.25">
      <c r="B218" s="89"/>
      <c r="C218" s="45" t="s">
        <v>66</v>
      </c>
      <c r="D218" s="44">
        <v>291</v>
      </c>
      <c r="E218" s="43">
        <v>1.0624315443592552E-2</v>
      </c>
    </row>
    <row r="219" spans="2:5" ht="15" customHeight="1" x14ac:dyDescent="0.25">
      <c r="B219" s="89"/>
      <c r="C219" s="45" t="s">
        <v>55</v>
      </c>
      <c r="D219" s="44">
        <v>25</v>
      </c>
      <c r="E219" s="43">
        <v>9.1274187659729834E-4</v>
      </c>
    </row>
    <row r="220" spans="2:5" ht="15" customHeight="1" x14ac:dyDescent="0.25">
      <c r="B220" s="89"/>
      <c r="C220" s="45" t="s">
        <v>42</v>
      </c>
      <c r="D220" s="44">
        <v>12</v>
      </c>
      <c r="E220" s="43">
        <v>4.381161007667032E-4</v>
      </c>
    </row>
    <row r="221" spans="2:5" ht="15" customHeight="1" x14ac:dyDescent="0.25">
      <c r="B221" s="89"/>
      <c r="C221" s="45" t="s">
        <v>50</v>
      </c>
      <c r="D221" s="44">
        <v>5</v>
      </c>
      <c r="E221" s="43">
        <v>1.8254837531945966E-4</v>
      </c>
    </row>
    <row r="222" spans="2:5" ht="15" customHeight="1" x14ac:dyDescent="0.25">
      <c r="B222" s="89"/>
      <c r="C222" s="45" t="s">
        <v>57</v>
      </c>
      <c r="D222" s="44">
        <v>57</v>
      </c>
      <c r="E222" s="43">
        <v>2.0810514786418401E-3</v>
      </c>
    </row>
    <row r="223" spans="2:5" ht="15" customHeight="1" x14ac:dyDescent="0.25">
      <c r="B223" s="89"/>
      <c r="C223" s="45" t="s">
        <v>29</v>
      </c>
      <c r="D223" s="44">
        <v>3</v>
      </c>
      <c r="E223" s="43">
        <v>1.095290251916758E-4</v>
      </c>
    </row>
    <row r="224" spans="2:5" ht="15" customHeight="1" x14ac:dyDescent="0.25">
      <c r="B224" s="90"/>
      <c r="C224" s="42" t="s">
        <v>20</v>
      </c>
      <c r="D224" s="41">
        <v>2308</v>
      </c>
      <c r="E224" s="40">
        <v>8.4264330047462574E-2</v>
      </c>
    </row>
    <row r="225" spans="2:5" ht="15" customHeight="1" x14ac:dyDescent="0.25">
      <c r="B225" s="88" t="s">
        <v>157</v>
      </c>
      <c r="C225" s="45" t="s">
        <v>53</v>
      </c>
      <c r="D225" s="44">
        <v>3</v>
      </c>
      <c r="E225" s="43">
        <v>1.095290251916758E-4</v>
      </c>
    </row>
    <row r="226" spans="2:5" ht="15" customHeight="1" x14ac:dyDescent="0.25">
      <c r="B226" s="89"/>
      <c r="C226" s="45" t="s">
        <v>47</v>
      </c>
      <c r="D226" s="44">
        <v>1</v>
      </c>
      <c r="E226" s="43">
        <v>3.6509675063891931E-5</v>
      </c>
    </row>
    <row r="227" spans="2:5" ht="15" customHeight="1" x14ac:dyDescent="0.25">
      <c r="B227" s="89"/>
      <c r="C227" s="45" t="s">
        <v>67</v>
      </c>
      <c r="D227" s="44">
        <v>98</v>
      </c>
      <c r="E227" s="43">
        <v>3.5779481562614093E-3</v>
      </c>
    </row>
    <row r="228" spans="2:5" ht="15" customHeight="1" x14ac:dyDescent="0.25">
      <c r="B228" s="89"/>
      <c r="C228" s="45" t="s">
        <v>56</v>
      </c>
      <c r="D228" s="44">
        <v>7</v>
      </c>
      <c r="E228" s="43">
        <v>2.5556772544724351E-4</v>
      </c>
    </row>
    <row r="229" spans="2:5" ht="15" customHeight="1" x14ac:dyDescent="0.25">
      <c r="B229" s="89"/>
      <c r="C229" s="45" t="s">
        <v>40</v>
      </c>
      <c r="D229" s="44">
        <v>1</v>
      </c>
      <c r="E229" s="43">
        <v>3.6509675063891931E-5</v>
      </c>
    </row>
    <row r="230" spans="2:5" ht="15" customHeight="1" x14ac:dyDescent="0.25">
      <c r="B230" s="89"/>
      <c r="C230" s="45" t="s">
        <v>62</v>
      </c>
      <c r="D230" s="44">
        <v>20</v>
      </c>
      <c r="E230" s="43">
        <v>7.3019350127783865E-4</v>
      </c>
    </row>
    <row r="231" spans="2:5" ht="15" customHeight="1" x14ac:dyDescent="0.25">
      <c r="B231" s="89"/>
      <c r="C231" s="45" t="s">
        <v>63</v>
      </c>
      <c r="D231" s="44">
        <v>13</v>
      </c>
      <c r="E231" s="43">
        <v>4.7462577583059508E-4</v>
      </c>
    </row>
    <row r="232" spans="2:5" ht="15" customHeight="1" x14ac:dyDescent="0.25">
      <c r="B232" s="89"/>
      <c r="C232" s="45" t="s">
        <v>65</v>
      </c>
      <c r="D232" s="44">
        <v>19</v>
      </c>
      <c r="E232" s="43">
        <v>6.9368382621394671E-4</v>
      </c>
    </row>
    <row r="233" spans="2:5" ht="15" customHeight="1" x14ac:dyDescent="0.25">
      <c r="B233" s="89"/>
      <c r="C233" s="45" t="s">
        <v>58</v>
      </c>
      <c r="D233" s="44">
        <v>2</v>
      </c>
      <c r="E233" s="43">
        <v>7.3019350127783862E-5</v>
      </c>
    </row>
    <row r="234" spans="2:5" ht="15" customHeight="1" x14ac:dyDescent="0.25">
      <c r="B234" s="89"/>
      <c r="C234" s="45" t="s">
        <v>43</v>
      </c>
      <c r="D234" s="44">
        <v>1</v>
      </c>
      <c r="E234" s="43">
        <v>3.6509675063891931E-5</v>
      </c>
    </row>
    <row r="235" spans="2:5" ht="15" customHeight="1" x14ac:dyDescent="0.25">
      <c r="B235" s="89"/>
      <c r="C235" s="45" t="s">
        <v>37</v>
      </c>
      <c r="D235" s="44">
        <v>1</v>
      </c>
      <c r="E235" s="43">
        <v>3.6509675063891931E-5</v>
      </c>
    </row>
    <row r="236" spans="2:5" ht="15" customHeight="1" x14ac:dyDescent="0.25">
      <c r="B236" s="89"/>
      <c r="C236" s="45" t="s">
        <v>35</v>
      </c>
      <c r="D236" s="44">
        <v>1</v>
      </c>
      <c r="E236" s="43">
        <v>3.6509675063891931E-5</v>
      </c>
    </row>
    <row r="237" spans="2:5" ht="15" customHeight="1" x14ac:dyDescent="0.25">
      <c r="B237" s="89"/>
      <c r="C237" s="45" t="s">
        <v>46</v>
      </c>
      <c r="D237" s="44">
        <v>4</v>
      </c>
      <c r="E237" s="43">
        <v>1.4603870025556772E-4</v>
      </c>
    </row>
    <row r="238" spans="2:5" ht="15" customHeight="1" x14ac:dyDescent="0.25">
      <c r="B238" s="89"/>
      <c r="C238" s="45" t="s">
        <v>51</v>
      </c>
      <c r="D238" s="44">
        <v>1</v>
      </c>
      <c r="E238" s="43">
        <v>3.6509675063891931E-5</v>
      </c>
    </row>
    <row r="239" spans="2:5" ht="15" customHeight="1" x14ac:dyDescent="0.25">
      <c r="B239" s="89"/>
      <c r="C239" s="45" t="s">
        <v>30</v>
      </c>
      <c r="D239" s="44">
        <v>2</v>
      </c>
      <c r="E239" s="43">
        <v>7.3019350127783862E-5</v>
      </c>
    </row>
    <row r="240" spans="2:5" ht="15" customHeight="1" x14ac:dyDescent="0.25">
      <c r="B240" s="89"/>
      <c r="C240" s="45" t="s">
        <v>39</v>
      </c>
      <c r="D240" s="44">
        <v>1</v>
      </c>
      <c r="E240" s="43">
        <v>3.6509675063891931E-5</v>
      </c>
    </row>
    <row r="241" spans="2:5" ht="15" customHeight="1" x14ac:dyDescent="0.25">
      <c r="B241" s="89"/>
      <c r="C241" s="45" t="s">
        <v>38</v>
      </c>
      <c r="D241" s="44">
        <v>2</v>
      </c>
      <c r="E241" s="43">
        <v>7.3019350127783862E-5</v>
      </c>
    </row>
    <row r="242" spans="2:5" ht="15" customHeight="1" x14ac:dyDescent="0.25">
      <c r="B242" s="89"/>
      <c r="C242" s="45" t="s">
        <v>61</v>
      </c>
      <c r="D242" s="44">
        <v>6</v>
      </c>
      <c r="E242" s="43">
        <v>2.190580503833516E-4</v>
      </c>
    </row>
    <row r="243" spans="2:5" ht="15" customHeight="1" x14ac:dyDescent="0.25">
      <c r="B243" s="89"/>
      <c r="C243" s="45" t="s">
        <v>59</v>
      </c>
      <c r="D243" s="44">
        <v>2</v>
      </c>
      <c r="E243" s="43">
        <v>7.3019350127783862E-5</v>
      </c>
    </row>
    <row r="244" spans="2:5" ht="15" customHeight="1" x14ac:dyDescent="0.25">
      <c r="B244" s="89"/>
      <c r="C244" s="45" t="s">
        <v>36</v>
      </c>
      <c r="D244" s="44">
        <v>2</v>
      </c>
      <c r="E244" s="43">
        <v>7.3019350127783862E-5</v>
      </c>
    </row>
    <row r="245" spans="2:5" ht="15" customHeight="1" x14ac:dyDescent="0.25">
      <c r="B245" s="89"/>
      <c r="C245" s="45" t="s">
        <v>64</v>
      </c>
      <c r="D245" s="44">
        <v>22</v>
      </c>
      <c r="E245" s="43">
        <v>8.0321285140562252E-4</v>
      </c>
    </row>
    <row r="246" spans="2:5" ht="15" customHeight="1" x14ac:dyDescent="0.25">
      <c r="B246" s="89"/>
      <c r="C246" s="45" t="s">
        <v>60</v>
      </c>
      <c r="D246" s="44">
        <v>23</v>
      </c>
      <c r="E246" s="43">
        <v>8.3972252646951446E-4</v>
      </c>
    </row>
    <row r="247" spans="2:5" ht="15" customHeight="1" x14ac:dyDescent="0.25">
      <c r="B247" s="89"/>
      <c r="C247" s="45" t="s">
        <v>41</v>
      </c>
      <c r="D247" s="44">
        <v>2</v>
      </c>
      <c r="E247" s="43">
        <v>7.3019350127783862E-5</v>
      </c>
    </row>
    <row r="248" spans="2:5" ht="15" customHeight="1" x14ac:dyDescent="0.25">
      <c r="B248" s="89"/>
      <c r="C248" s="45" t="s">
        <v>48</v>
      </c>
      <c r="D248" s="44">
        <v>1</v>
      </c>
      <c r="E248" s="43">
        <v>3.6509675063891931E-5</v>
      </c>
    </row>
    <row r="249" spans="2:5" ht="15" customHeight="1" x14ac:dyDescent="0.25">
      <c r="B249" s="89"/>
      <c r="C249" s="45" t="s">
        <v>52</v>
      </c>
      <c r="D249" s="44">
        <v>3</v>
      </c>
      <c r="E249" s="43">
        <v>1.095290251916758E-4</v>
      </c>
    </row>
    <row r="250" spans="2:5" ht="15" customHeight="1" x14ac:dyDescent="0.25">
      <c r="B250" s="89"/>
      <c r="C250" s="45" t="s">
        <v>45</v>
      </c>
      <c r="D250" s="44">
        <v>2</v>
      </c>
      <c r="E250" s="43">
        <v>7.3019350127783862E-5</v>
      </c>
    </row>
    <row r="251" spans="2:5" ht="15" customHeight="1" x14ac:dyDescent="0.25">
      <c r="B251" s="89"/>
      <c r="C251" s="45" t="s">
        <v>44</v>
      </c>
      <c r="D251" s="44">
        <v>5</v>
      </c>
      <c r="E251" s="43">
        <v>1.8254837531945966E-4</v>
      </c>
    </row>
    <row r="252" spans="2:5" ht="15" customHeight="1" x14ac:dyDescent="0.25">
      <c r="B252" s="89"/>
      <c r="C252" s="45" t="s">
        <v>54</v>
      </c>
      <c r="D252" s="44">
        <v>4</v>
      </c>
      <c r="E252" s="43">
        <v>1.4603870025556772E-4</v>
      </c>
    </row>
    <row r="253" spans="2:5" ht="15" customHeight="1" x14ac:dyDescent="0.25">
      <c r="B253" s="89"/>
      <c r="C253" s="45" t="s">
        <v>66</v>
      </c>
      <c r="D253" s="44">
        <v>37</v>
      </c>
      <c r="E253" s="43">
        <v>1.3508579773640014E-3</v>
      </c>
    </row>
    <row r="254" spans="2:5" ht="15" customHeight="1" x14ac:dyDescent="0.25">
      <c r="B254" s="89"/>
      <c r="C254" s="45" t="s">
        <v>55</v>
      </c>
      <c r="D254" s="44">
        <v>6</v>
      </c>
      <c r="E254" s="43">
        <v>2.190580503833516E-4</v>
      </c>
    </row>
    <row r="255" spans="2:5" ht="15" customHeight="1" x14ac:dyDescent="0.25">
      <c r="B255" s="89"/>
      <c r="C255" s="45" t="s">
        <v>42</v>
      </c>
      <c r="D255" s="44">
        <v>1</v>
      </c>
      <c r="E255" s="43">
        <v>3.6509675063891931E-5</v>
      </c>
    </row>
    <row r="256" spans="2:5" ht="15" customHeight="1" x14ac:dyDescent="0.25">
      <c r="B256" s="89"/>
      <c r="C256" s="45" t="s">
        <v>57</v>
      </c>
      <c r="D256" s="44">
        <v>1</v>
      </c>
      <c r="E256" s="43">
        <v>3.6509675063891931E-5</v>
      </c>
    </row>
    <row r="257" spans="2:5" ht="15" customHeight="1" x14ac:dyDescent="0.25">
      <c r="B257" s="89"/>
      <c r="C257" s="45" t="s">
        <v>29</v>
      </c>
      <c r="D257" s="44">
        <v>1</v>
      </c>
      <c r="E257" s="43">
        <v>3.6509675063891931E-5</v>
      </c>
    </row>
    <row r="258" spans="2:5" ht="15" customHeight="1" x14ac:dyDescent="0.25">
      <c r="B258" s="90"/>
      <c r="C258" s="42" t="s">
        <v>20</v>
      </c>
      <c r="D258" s="41">
        <v>295</v>
      </c>
      <c r="E258" s="40">
        <v>1.077035414384812E-2</v>
      </c>
    </row>
    <row r="259" spans="2:5" ht="15" customHeight="1" x14ac:dyDescent="0.25">
      <c r="B259" s="88" t="s">
        <v>156</v>
      </c>
      <c r="C259" s="45" t="s">
        <v>49</v>
      </c>
      <c r="D259" s="44">
        <v>11</v>
      </c>
      <c r="E259" s="43">
        <v>4.0160642570281126E-4</v>
      </c>
    </row>
    <row r="260" spans="2:5" ht="15" customHeight="1" x14ac:dyDescent="0.25">
      <c r="B260" s="89"/>
      <c r="C260" s="45" t="s">
        <v>53</v>
      </c>
      <c r="D260" s="44">
        <v>11</v>
      </c>
      <c r="E260" s="43">
        <v>4.0160642570281126E-4</v>
      </c>
    </row>
    <row r="261" spans="2:5" ht="15" customHeight="1" x14ac:dyDescent="0.25">
      <c r="B261" s="89"/>
      <c r="C261" s="45" t="s">
        <v>47</v>
      </c>
      <c r="D261" s="44">
        <v>7</v>
      </c>
      <c r="E261" s="43">
        <v>2.5556772544724351E-4</v>
      </c>
    </row>
    <row r="262" spans="2:5" ht="15" customHeight="1" x14ac:dyDescent="0.25">
      <c r="B262" s="89"/>
      <c r="C262" s="45" t="s">
        <v>67</v>
      </c>
      <c r="D262" s="44">
        <v>209</v>
      </c>
      <c r="E262" s="43">
        <v>7.6305220883534138E-3</v>
      </c>
    </row>
    <row r="263" spans="2:5" ht="15" customHeight="1" x14ac:dyDescent="0.25">
      <c r="B263" s="89"/>
      <c r="C263" s="45" t="s">
        <v>56</v>
      </c>
      <c r="D263" s="44">
        <v>15</v>
      </c>
      <c r="E263" s="43">
        <v>5.4764512595837896E-4</v>
      </c>
    </row>
    <row r="264" spans="2:5" ht="15" customHeight="1" x14ac:dyDescent="0.25">
      <c r="B264" s="89"/>
      <c r="C264" s="45" t="s">
        <v>31</v>
      </c>
      <c r="D264" s="44">
        <v>2</v>
      </c>
      <c r="E264" s="43">
        <v>7.3019350127783862E-5</v>
      </c>
    </row>
    <row r="265" spans="2:5" ht="15" customHeight="1" x14ac:dyDescent="0.25">
      <c r="B265" s="89"/>
      <c r="C265" s="45" t="s">
        <v>62</v>
      </c>
      <c r="D265" s="44">
        <v>43</v>
      </c>
      <c r="E265" s="43">
        <v>1.569916027747353E-3</v>
      </c>
    </row>
    <row r="266" spans="2:5" ht="15" customHeight="1" x14ac:dyDescent="0.25">
      <c r="B266" s="89"/>
      <c r="C266" s="45" t="s">
        <v>63</v>
      </c>
      <c r="D266" s="44">
        <v>30</v>
      </c>
      <c r="E266" s="43">
        <v>1.0952902519167579E-3</v>
      </c>
    </row>
    <row r="267" spans="2:5" ht="15" customHeight="1" x14ac:dyDescent="0.25">
      <c r="B267" s="89"/>
      <c r="C267" s="45" t="s">
        <v>32</v>
      </c>
      <c r="D267" s="44">
        <v>2</v>
      </c>
      <c r="E267" s="43">
        <v>7.3019350127783862E-5</v>
      </c>
    </row>
    <row r="268" spans="2:5" ht="15" customHeight="1" x14ac:dyDescent="0.25">
      <c r="B268" s="89"/>
      <c r="C268" s="45" t="s">
        <v>65</v>
      </c>
      <c r="D268" s="44">
        <v>52</v>
      </c>
      <c r="E268" s="43">
        <v>1.8985031033223803E-3</v>
      </c>
    </row>
    <row r="269" spans="2:5" ht="15" customHeight="1" x14ac:dyDescent="0.25">
      <c r="B269" s="89"/>
      <c r="C269" s="45" t="s">
        <v>58</v>
      </c>
      <c r="D269" s="44">
        <v>14</v>
      </c>
      <c r="E269" s="43">
        <v>5.1113545089448702E-4</v>
      </c>
    </row>
    <row r="270" spans="2:5" ht="15" customHeight="1" x14ac:dyDescent="0.25">
      <c r="B270" s="89"/>
      <c r="C270" s="45" t="s">
        <v>34</v>
      </c>
      <c r="D270" s="44">
        <v>2</v>
      </c>
      <c r="E270" s="43">
        <v>7.3019350127783862E-5</v>
      </c>
    </row>
    <row r="271" spans="2:5" ht="15" customHeight="1" x14ac:dyDescent="0.25">
      <c r="B271" s="89"/>
      <c r="C271" s="45" t="s">
        <v>43</v>
      </c>
      <c r="D271" s="44">
        <v>9</v>
      </c>
      <c r="E271" s="43">
        <v>3.2858707557502739E-4</v>
      </c>
    </row>
    <row r="272" spans="2:5" ht="15" customHeight="1" x14ac:dyDescent="0.25">
      <c r="B272" s="89"/>
      <c r="C272" s="45" t="s">
        <v>37</v>
      </c>
      <c r="D272" s="44">
        <v>5</v>
      </c>
      <c r="E272" s="43">
        <v>1.8254837531945966E-4</v>
      </c>
    </row>
    <row r="273" spans="2:5" ht="15" customHeight="1" x14ac:dyDescent="0.25">
      <c r="B273" s="89"/>
      <c r="C273" s="45" t="s">
        <v>33</v>
      </c>
      <c r="D273" s="44">
        <v>2</v>
      </c>
      <c r="E273" s="43">
        <v>7.3019350127783862E-5</v>
      </c>
    </row>
    <row r="274" spans="2:5" ht="15" customHeight="1" x14ac:dyDescent="0.25">
      <c r="B274" s="89"/>
      <c r="C274" s="45" t="s">
        <v>35</v>
      </c>
      <c r="D274" s="44">
        <v>1</v>
      </c>
      <c r="E274" s="43">
        <v>3.6509675063891931E-5</v>
      </c>
    </row>
    <row r="275" spans="2:5" ht="15" customHeight="1" x14ac:dyDescent="0.25">
      <c r="B275" s="89"/>
      <c r="C275" s="45" t="s">
        <v>46</v>
      </c>
      <c r="D275" s="44">
        <v>3</v>
      </c>
      <c r="E275" s="43">
        <v>1.095290251916758E-4</v>
      </c>
    </row>
    <row r="276" spans="2:5" ht="15" customHeight="1" x14ac:dyDescent="0.25">
      <c r="B276" s="89"/>
      <c r="C276" s="45" t="s">
        <v>51</v>
      </c>
      <c r="D276" s="44">
        <v>3</v>
      </c>
      <c r="E276" s="43">
        <v>1.095290251916758E-4</v>
      </c>
    </row>
    <row r="277" spans="2:5" ht="15" customHeight="1" x14ac:dyDescent="0.25">
      <c r="B277" s="89"/>
      <c r="C277" s="45" t="s">
        <v>30</v>
      </c>
      <c r="D277" s="44">
        <v>1</v>
      </c>
      <c r="E277" s="43">
        <v>3.6509675063891931E-5</v>
      </c>
    </row>
    <row r="278" spans="2:5" ht="15" customHeight="1" x14ac:dyDescent="0.25">
      <c r="B278" s="89"/>
      <c r="C278" s="45" t="s">
        <v>39</v>
      </c>
      <c r="D278" s="44">
        <v>6</v>
      </c>
      <c r="E278" s="43">
        <v>2.190580503833516E-4</v>
      </c>
    </row>
    <row r="279" spans="2:5" ht="15" customHeight="1" x14ac:dyDescent="0.25">
      <c r="B279" s="89"/>
      <c r="C279" s="45" t="s">
        <v>38</v>
      </c>
      <c r="D279" s="44">
        <v>9</v>
      </c>
      <c r="E279" s="43">
        <v>3.2858707557502739E-4</v>
      </c>
    </row>
    <row r="280" spans="2:5" ht="15" customHeight="1" x14ac:dyDescent="0.25">
      <c r="B280" s="89"/>
      <c r="C280" s="45" t="s">
        <v>61</v>
      </c>
      <c r="D280" s="44">
        <v>16</v>
      </c>
      <c r="E280" s="43">
        <v>5.841548010222709E-4</v>
      </c>
    </row>
    <row r="281" spans="2:5" ht="15" customHeight="1" x14ac:dyDescent="0.25">
      <c r="B281" s="89"/>
      <c r="C281" s="45" t="s">
        <v>59</v>
      </c>
      <c r="D281" s="44">
        <v>21</v>
      </c>
      <c r="E281" s="43">
        <v>7.6670317634173059E-4</v>
      </c>
    </row>
    <row r="282" spans="2:5" ht="15" customHeight="1" x14ac:dyDescent="0.25">
      <c r="B282" s="89"/>
      <c r="C282" s="45" t="s">
        <v>36</v>
      </c>
      <c r="D282" s="44">
        <v>2</v>
      </c>
      <c r="E282" s="43">
        <v>7.3019350127783862E-5</v>
      </c>
    </row>
    <row r="283" spans="2:5" ht="15" customHeight="1" x14ac:dyDescent="0.25">
      <c r="B283" s="89"/>
      <c r="C283" s="45" t="s">
        <v>64</v>
      </c>
      <c r="D283" s="44">
        <v>38</v>
      </c>
      <c r="E283" s="43">
        <v>1.3873676524278934E-3</v>
      </c>
    </row>
    <row r="284" spans="2:5" ht="15" customHeight="1" x14ac:dyDescent="0.25">
      <c r="B284" s="89"/>
      <c r="C284" s="45" t="s">
        <v>60</v>
      </c>
      <c r="D284" s="44">
        <v>25</v>
      </c>
      <c r="E284" s="43">
        <v>9.1274187659729834E-4</v>
      </c>
    </row>
    <row r="285" spans="2:5" ht="15" customHeight="1" x14ac:dyDescent="0.25">
      <c r="B285" s="89"/>
      <c r="C285" s="45" t="s">
        <v>41</v>
      </c>
      <c r="D285" s="44">
        <v>7</v>
      </c>
      <c r="E285" s="43">
        <v>2.5556772544724351E-4</v>
      </c>
    </row>
    <row r="286" spans="2:5" ht="15" customHeight="1" x14ac:dyDescent="0.25">
      <c r="B286" s="89"/>
      <c r="C286" s="45" t="s">
        <v>48</v>
      </c>
      <c r="D286" s="44">
        <v>2</v>
      </c>
      <c r="E286" s="43">
        <v>7.3019350127783862E-5</v>
      </c>
    </row>
    <row r="287" spans="2:5" ht="15" customHeight="1" x14ac:dyDescent="0.25">
      <c r="B287" s="89"/>
      <c r="C287" s="45" t="s">
        <v>52</v>
      </c>
      <c r="D287" s="44">
        <v>7</v>
      </c>
      <c r="E287" s="43">
        <v>2.5556772544724351E-4</v>
      </c>
    </row>
    <row r="288" spans="2:5" ht="15" customHeight="1" x14ac:dyDescent="0.25">
      <c r="B288" s="89"/>
      <c r="C288" s="45" t="s">
        <v>45</v>
      </c>
      <c r="D288" s="44">
        <v>10</v>
      </c>
      <c r="E288" s="43">
        <v>3.6509675063891932E-4</v>
      </c>
    </row>
    <row r="289" spans="2:5" ht="15" customHeight="1" x14ac:dyDescent="0.25">
      <c r="B289" s="89"/>
      <c r="C289" s="45" t="s">
        <v>44</v>
      </c>
      <c r="D289" s="44">
        <v>6</v>
      </c>
      <c r="E289" s="43">
        <v>2.190580503833516E-4</v>
      </c>
    </row>
    <row r="290" spans="2:5" ht="15" customHeight="1" x14ac:dyDescent="0.25">
      <c r="B290" s="89"/>
      <c r="C290" s="45" t="s">
        <v>54</v>
      </c>
      <c r="D290" s="44">
        <v>8</v>
      </c>
      <c r="E290" s="43">
        <v>2.9207740051113545E-4</v>
      </c>
    </row>
    <row r="291" spans="2:5" ht="15" customHeight="1" x14ac:dyDescent="0.25">
      <c r="B291" s="89"/>
      <c r="C291" s="45" t="s">
        <v>66</v>
      </c>
      <c r="D291" s="44">
        <v>78</v>
      </c>
      <c r="E291" s="43">
        <v>2.8477546549835705E-3</v>
      </c>
    </row>
    <row r="292" spans="2:5" ht="15" customHeight="1" x14ac:dyDescent="0.25">
      <c r="B292" s="89"/>
      <c r="C292" s="45" t="s">
        <v>55</v>
      </c>
      <c r="D292" s="44">
        <v>12</v>
      </c>
      <c r="E292" s="43">
        <v>4.381161007667032E-4</v>
      </c>
    </row>
    <row r="293" spans="2:5" ht="15" customHeight="1" x14ac:dyDescent="0.25">
      <c r="B293" s="89"/>
      <c r="C293" s="45" t="s">
        <v>42</v>
      </c>
      <c r="D293" s="44">
        <v>3</v>
      </c>
      <c r="E293" s="43">
        <v>1.095290251916758E-4</v>
      </c>
    </row>
    <row r="294" spans="2:5" ht="15" customHeight="1" x14ac:dyDescent="0.25">
      <c r="B294" s="89"/>
      <c r="C294" s="45" t="s">
        <v>50</v>
      </c>
      <c r="D294" s="44">
        <v>2</v>
      </c>
      <c r="E294" s="43">
        <v>7.3019350127783862E-5</v>
      </c>
    </row>
    <row r="295" spans="2:5" ht="15" customHeight="1" x14ac:dyDescent="0.25">
      <c r="B295" s="89"/>
      <c r="C295" s="45" t="s">
        <v>57</v>
      </c>
      <c r="D295" s="44">
        <v>15</v>
      </c>
      <c r="E295" s="43">
        <v>5.4764512595837896E-4</v>
      </c>
    </row>
    <row r="296" spans="2:5" ht="15" customHeight="1" x14ac:dyDescent="0.25">
      <c r="B296" s="89"/>
      <c r="C296" s="45" t="s">
        <v>29</v>
      </c>
      <c r="D296" s="44">
        <v>1</v>
      </c>
      <c r="E296" s="43">
        <v>3.6509675063891931E-5</v>
      </c>
    </row>
    <row r="297" spans="2:5" ht="15" customHeight="1" x14ac:dyDescent="0.25">
      <c r="B297" s="90"/>
      <c r="C297" s="42" t="s">
        <v>20</v>
      </c>
      <c r="D297" s="41">
        <v>690</v>
      </c>
      <c r="E297" s="40">
        <v>2.5191675794085433E-2</v>
      </c>
    </row>
    <row r="298" spans="2:5" ht="15" customHeight="1" x14ac:dyDescent="0.25">
      <c r="B298" s="88" t="s">
        <v>155</v>
      </c>
      <c r="C298" s="45" t="s">
        <v>49</v>
      </c>
      <c r="D298" s="44">
        <v>2</v>
      </c>
      <c r="E298" s="43">
        <v>7.3019350127783862E-5</v>
      </c>
    </row>
    <row r="299" spans="2:5" ht="15" customHeight="1" x14ac:dyDescent="0.25">
      <c r="B299" s="89"/>
      <c r="C299" s="45" t="s">
        <v>53</v>
      </c>
      <c r="D299" s="44">
        <v>5</v>
      </c>
      <c r="E299" s="43">
        <v>1.8254837531945966E-4</v>
      </c>
    </row>
    <row r="300" spans="2:5" ht="15" customHeight="1" x14ac:dyDescent="0.25">
      <c r="B300" s="89"/>
      <c r="C300" s="45" t="s">
        <v>47</v>
      </c>
      <c r="D300" s="44">
        <v>6</v>
      </c>
      <c r="E300" s="43">
        <v>2.190580503833516E-4</v>
      </c>
    </row>
    <row r="301" spans="2:5" ht="15" customHeight="1" x14ac:dyDescent="0.25">
      <c r="B301" s="89"/>
      <c r="C301" s="45" t="s">
        <v>67</v>
      </c>
      <c r="D301" s="44">
        <v>237</v>
      </c>
      <c r="E301" s="43">
        <v>8.6527929901423876E-3</v>
      </c>
    </row>
    <row r="302" spans="2:5" ht="15" customHeight="1" x14ac:dyDescent="0.25">
      <c r="B302" s="89"/>
      <c r="C302" s="45" t="s">
        <v>56</v>
      </c>
      <c r="D302" s="44">
        <v>17</v>
      </c>
      <c r="E302" s="43">
        <v>6.2066447608616284E-4</v>
      </c>
    </row>
    <row r="303" spans="2:5" ht="15" customHeight="1" x14ac:dyDescent="0.25">
      <c r="B303" s="89"/>
      <c r="C303" s="45" t="s">
        <v>40</v>
      </c>
      <c r="D303" s="44">
        <v>1</v>
      </c>
      <c r="E303" s="43">
        <v>3.6509675063891931E-5</v>
      </c>
    </row>
    <row r="304" spans="2:5" ht="15" customHeight="1" x14ac:dyDescent="0.25">
      <c r="B304" s="89"/>
      <c r="C304" s="45" t="s">
        <v>31</v>
      </c>
      <c r="D304" s="44">
        <v>3</v>
      </c>
      <c r="E304" s="43">
        <v>1.095290251916758E-4</v>
      </c>
    </row>
    <row r="305" spans="2:5" ht="15" customHeight="1" x14ac:dyDescent="0.25">
      <c r="B305" s="89"/>
      <c r="C305" s="45" t="s">
        <v>27</v>
      </c>
      <c r="D305" s="44">
        <v>1</v>
      </c>
      <c r="E305" s="43">
        <v>3.6509675063891931E-5</v>
      </c>
    </row>
    <row r="306" spans="2:5" ht="15" customHeight="1" x14ac:dyDescent="0.25">
      <c r="B306" s="89"/>
      <c r="C306" s="45" t="s">
        <v>62</v>
      </c>
      <c r="D306" s="44">
        <v>28</v>
      </c>
      <c r="E306" s="43">
        <v>1.022270901788974E-3</v>
      </c>
    </row>
    <row r="307" spans="2:5" ht="15" customHeight="1" x14ac:dyDescent="0.25">
      <c r="B307" s="89"/>
      <c r="C307" s="45" t="s">
        <v>63</v>
      </c>
      <c r="D307" s="44">
        <v>21</v>
      </c>
      <c r="E307" s="43">
        <v>7.6670317634173059E-4</v>
      </c>
    </row>
    <row r="308" spans="2:5" ht="15" customHeight="1" x14ac:dyDescent="0.25">
      <c r="B308" s="89"/>
      <c r="C308" s="45" t="s">
        <v>32</v>
      </c>
      <c r="D308" s="44">
        <v>5</v>
      </c>
      <c r="E308" s="43">
        <v>1.8254837531945966E-4</v>
      </c>
    </row>
    <row r="309" spans="2:5" ht="15" customHeight="1" x14ac:dyDescent="0.25">
      <c r="B309" s="89"/>
      <c r="C309" s="45" t="s">
        <v>65</v>
      </c>
      <c r="D309" s="44">
        <v>48</v>
      </c>
      <c r="E309" s="43">
        <v>1.7524644030668128E-3</v>
      </c>
    </row>
    <row r="310" spans="2:5" ht="15" customHeight="1" x14ac:dyDescent="0.25">
      <c r="B310" s="89"/>
      <c r="C310" s="45" t="s">
        <v>58</v>
      </c>
      <c r="D310" s="44">
        <v>16</v>
      </c>
      <c r="E310" s="43">
        <v>5.841548010222709E-4</v>
      </c>
    </row>
    <row r="311" spans="2:5" ht="15" customHeight="1" x14ac:dyDescent="0.25">
      <c r="B311" s="89"/>
      <c r="C311" s="45" t="s">
        <v>34</v>
      </c>
      <c r="D311" s="44">
        <v>6</v>
      </c>
      <c r="E311" s="43">
        <v>2.190580503833516E-4</v>
      </c>
    </row>
    <row r="312" spans="2:5" ht="15" customHeight="1" x14ac:dyDescent="0.25">
      <c r="B312" s="89"/>
      <c r="C312" s="45" t="s">
        <v>43</v>
      </c>
      <c r="D312" s="44">
        <v>5</v>
      </c>
      <c r="E312" s="43">
        <v>1.8254837531945966E-4</v>
      </c>
    </row>
    <row r="313" spans="2:5" ht="15" customHeight="1" x14ac:dyDescent="0.25">
      <c r="B313" s="89"/>
      <c r="C313" s="45" t="s">
        <v>37</v>
      </c>
      <c r="D313" s="44">
        <v>2</v>
      </c>
      <c r="E313" s="43">
        <v>7.3019350127783862E-5</v>
      </c>
    </row>
    <row r="314" spans="2:5" ht="15" customHeight="1" x14ac:dyDescent="0.25">
      <c r="B314" s="89"/>
      <c r="C314" s="45" t="s">
        <v>33</v>
      </c>
      <c r="D314" s="44">
        <v>2</v>
      </c>
      <c r="E314" s="43">
        <v>7.3019350127783862E-5</v>
      </c>
    </row>
    <row r="315" spans="2:5" ht="15" customHeight="1" x14ac:dyDescent="0.25">
      <c r="B315" s="89"/>
      <c r="C315" s="45" t="s">
        <v>35</v>
      </c>
      <c r="D315" s="44">
        <v>1</v>
      </c>
      <c r="E315" s="43">
        <v>3.6509675063891931E-5</v>
      </c>
    </row>
    <row r="316" spans="2:5" ht="15" customHeight="1" x14ac:dyDescent="0.25">
      <c r="B316" s="89"/>
      <c r="C316" s="45" t="s">
        <v>46</v>
      </c>
      <c r="D316" s="44">
        <v>21</v>
      </c>
      <c r="E316" s="43">
        <v>7.6670317634173059E-4</v>
      </c>
    </row>
    <row r="317" spans="2:5" ht="15" customHeight="1" x14ac:dyDescent="0.25">
      <c r="B317" s="89"/>
      <c r="C317" s="45" t="s">
        <v>51</v>
      </c>
      <c r="D317" s="44">
        <v>3</v>
      </c>
      <c r="E317" s="43">
        <v>1.095290251916758E-4</v>
      </c>
    </row>
    <row r="318" spans="2:5" ht="15" customHeight="1" x14ac:dyDescent="0.25">
      <c r="B318" s="89"/>
      <c r="C318" s="45" t="s">
        <v>30</v>
      </c>
      <c r="D318" s="44">
        <v>2</v>
      </c>
      <c r="E318" s="43">
        <v>7.3019350127783862E-5</v>
      </c>
    </row>
    <row r="319" spans="2:5" ht="15" customHeight="1" x14ac:dyDescent="0.25">
      <c r="B319" s="89"/>
      <c r="C319" s="45" t="s">
        <v>39</v>
      </c>
      <c r="D319" s="44">
        <v>5</v>
      </c>
      <c r="E319" s="43">
        <v>1.8254837531945966E-4</v>
      </c>
    </row>
    <row r="320" spans="2:5" ht="15" customHeight="1" x14ac:dyDescent="0.25">
      <c r="B320" s="89"/>
      <c r="C320" s="45" t="s">
        <v>38</v>
      </c>
      <c r="D320" s="44">
        <v>7</v>
      </c>
      <c r="E320" s="43">
        <v>2.5556772544724351E-4</v>
      </c>
    </row>
    <row r="321" spans="2:5" ht="15" customHeight="1" x14ac:dyDescent="0.25">
      <c r="B321" s="89"/>
      <c r="C321" s="45" t="s">
        <v>61</v>
      </c>
      <c r="D321" s="44">
        <v>24</v>
      </c>
      <c r="E321" s="43">
        <v>8.762322015334064E-4</v>
      </c>
    </row>
    <row r="322" spans="2:5" ht="15" customHeight="1" x14ac:dyDescent="0.25">
      <c r="B322" s="89"/>
      <c r="C322" s="45" t="s">
        <v>59</v>
      </c>
      <c r="D322" s="44">
        <v>18</v>
      </c>
      <c r="E322" s="43">
        <v>6.5717415115005477E-4</v>
      </c>
    </row>
    <row r="323" spans="2:5" ht="15" customHeight="1" x14ac:dyDescent="0.25">
      <c r="B323" s="89"/>
      <c r="C323" s="45" t="s">
        <v>36</v>
      </c>
      <c r="D323" s="44">
        <v>3</v>
      </c>
      <c r="E323" s="43">
        <v>1.095290251916758E-4</v>
      </c>
    </row>
    <row r="324" spans="2:5" ht="15" customHeight="1" x14ac:dyDescent="0.25">
      <c r="B324" s="89"/>
      <c r="C324" s="45" t="s">
        <v>64</v>
      </c>
      <c r="D324" s="44">
        <v>25</v>
      </c>
      <c r="E324" s="43">
        <v>9.1274187659729834E-4</v>
      </c>
    </row>
    <row r="325" spans="2:5" ht="15" customHeight="1" x14ac:dyDescent="0.25">
      <c r="B325" s="89"/>
      <c r="C325" s="45" t="s">
        <v>60</v>
      </c>
      <c r="D325" s="44">
        <v>31</v>
      </c>
      <c r="E325" s="43">
        <v>1.13179992698065E-3</v>
      </c>
    </row>
    <row r="326" spans="2:5" ht="15" customHeight="1" x14ac:dyDescent="0.25">
      <c r="B326" s="89"/>
      <c r="C326" s="45" t="s">
        <v>41</v>
      </c>
      <c r="D326" s="44">
        <v>4</v>
      </c>
      <c r="E326" s="43">
        <v>1.4603870025556772E-4</v>
      </c>
    </row>
    <row r="327" spans="2:5" ht="15" customHeight="1" x14ac:dyDescent="0.25">
      <c r="B327" s="89"/>
      <c r="C327" s="45" t="s">
        <v>48</v>
      </c>
      <c r="D327" s="44">
        <v>6</v>
      </c>
      <c r="E327" s="43">
        <v>2.190580503833516E-4</v>
      </c>
    </row>
    <row r="328" spans="2:5" ht="15" customHeight="1" x14ac:dyDescent="0.25">
      <c r="B328" s="89"/>
      <c r="C328" s="45" t="s">
        <v>52</v>
      </c>
      <c r="D328" s="44">
        <v>4</v>
      </c>
      <c r="E328" s="43">
        <v>1.4603870025556772E-4</v>
      </c>
    </row>
    <row r="329" spans="2:5" ht="15" customHeight="1" x14ac:dyDescent="0.25">
      <c r="B329" s="89"/>
      <c r="C329" s="45" t="s">
        <v>45</v>
      </c>
      <c r="D329" s="44">
        <v>9</v>
      </c>
      <c r="E329" s="43">
        <v>3.2858707557502739E-4</v>
      </c>
    </row>
    <row r="330" spans="2:5" ht="15" customHeight="1" x14ac:dyDescent="0.25">
      <c r="B330" s="89"/>
      <c r="C330" s="45" t="s">
        <v>44</v>
      </c>
      <c r="D330" s="44">
        <v>13</v>
      </c>
      <c r="E330" s="43">
        <v>4.7462577583059508E-4</v>
      </c>
    </row>
    <row r="331" spans="2:5" ht="15" customHeight="1" x14ac:dyDescent="0.25">
      <c r="B331" s="89"/>
      <c r="C331" s="45" t="s">
        <v>54</v>
      </c>
      <c r="D331" s="44">
        <v>4</v>
      </c>
      <c r="E331" s="43">
        <v>1.4603870025556772E-4</v>
      </c>
    </row>
    <row r="332" spans="2:5" ht="15" customHeight="1" x14ac:dyDescent="0.25">
      <c r="B332" s="89"/>
      <c r="C332" s="45" t="s">
        <v>66</v>
      </c>
      <c r="D332" s="44">
        <v>113</v>
      </c>
      <c r="E332" s="43">
        <v>4.1255932822197887E-3</v>
      </c>
    </row>
    <row r="333" spans="2:5" ht="15" customHeight="1" x14ac:dyDescent="0.25">
      <c r="B333" s="89"/>
      <c r="C333" s="45" t="s">
        <v>55</v>
      </c>
      <c r="D333" s="44">
        <v>17</v>
      </c>
      <c r="E333" s="43">
        <v>6.2066447608616284E-4</v>
      </c>
    </row>
    <row r="334" spans="2:5" ht="15" customHeight="1" x14ac:dyDescent="0.25">
      <c r="B334" s="89"/>
      <c r="C334" s="45" t="s">
        <v>42</v>
      </c>
      <c r="D334" s="44">
        <v>7</v>
      </c>
      <c r="E334" s="43">
        <v>2.5556772544724351E-4</v>
      </c>
    </row>
    <row r="335" spans="2:5" ht="15" customHeight="1" x14ac:dyDescent="0.25">
      <c r="B335" s="89"/>
      <c r="C335" s="45" t="s">
        <v>50</v>
      </c>
      <c r="D335" s="44">
        <v>6</v>
      </c>
      <c r="E335" s="43">
        <v>2.190580503833516E-4</v>
      </c>
    </row>
    <row r="336" spans="2:5" ht="15" customHeight="1" x14ac:dyDescent="0.25">
      <c r="B336" s="89"/>
      <c r="C336" s="45" t="s">
        <v>57</v>
      </c>
      <c r="D336" s="44">
        <v>17</v>
      </c>
      <c r="E336" s="43">
        <v>6.2066447608616284E-4</v>
      </c>
    </row>
    <row r="337" spans="2:5" ht="15" customHeight="1" x14ac:dyDescent="0.25">
      <c r="B337" s="89"/>
      <c r="C337" s="45" t="s">
        <v>29</v>
      </c>
      <c r="D337" s="44">
        <v>1</v>
      </c>
      <c r="E337" s="43">
        <v>3.6509675063891931E-5</v>
      </c>
    </row>
    <row r="338" spans="2:5" ht="15" customHeight="1" x14ac:dyDescent="0.25">
      <c r="B338" s="90"/>
      <c r="C338" s="42" t="s">
        <v>20</v>
      </c>
      <c r="D338" s="41">
        <v>746</v>
      </c>
      <c r="E338" s="40">
        <v>2.7236217597663381E-2</v>
      </c>
    </row>
    <row r="339" spans="2:5" ht="15" customHeight="1" x14ac:dyDescent="0.25">
      <c r="B339" s="88" t="s">
        <v>154</v>
      </c>
      <c r="C339" s="45" t="s">
        <v>49</v>
      </c>
      <c r="D339" s="44">
        <v>65</v>
      </c>
      <c r="E339" s="43">
        <v>2.3731288791529756E-3</v>
      </c>
    </row>
    <row r="340" spans="2:5" ht="15" customHeight="1" x14ac:dyDescent="0.25">
      <c r="B340" s="89"/>
      <c r="C340" s="45" t="s">
        <v>53</v>
      </c>
      <c r="D340" s="44">
        <v>95</v>
      </c>
      <c r="E340" s="43">
        <v>3.4684191310697336E-3</v>
      </c>
    </row>
    <row r="341" spans="2:5" ht="15" customHeight="1" x14ac:dyDescent="0.25">
      <c r="B341" s="89"/>
      <c r="C341" s="45" t="s">
        <v>47</v>
      </c>
      <c r="D341" s="44">
        <v>66</v>
      </c>
      <c r="E341" s="43">
        <v>2.4096385542168677E-3</v>
      </c>
    </row>
    <row r="342" spans="2:5" ht="15" customHeight="1" x14ac:dyDescent="0.25">
      <c r="B342" s="89"/>
      <c r="C342" s="45" t="s">
        <v>67</v>
      </c>
      <c r="D342" s="44">
        <v>2513</v>
      </c>
      <c r="E342" s="43">
        <v>9.174881343556042E-2</v>
      </c>
    </row>
    <row r="343" spans="2:5" ht="15" customHeight="1" x14ac:dyDescent="0.25">
      <c r="B343" s="89"/>
      <c r="C343" s="45" t="s">
        <v>56</v>
      </c>
      <c r="D343" s="44">
        <v>123</v>
      </c>
      <c r="E343" s="43">
        <v>4.4906900328587074E-3</v>
      </c>
    </row>
    <row r="344" spans="2:5" ht="15" customHeight="1" x14ac:dyDescent="0.25">
      <c r="B344" s="89"/>
      <c r="C344" s="45" t="s">
        <v>40</v>
      </c>
      <c r="D344" s="44">
        <v>36</v>
      </c>
      <c r="E344" s="43">
        <v>1.3143483023001095E-3</v>
      </c>
    </row>
    <row r="345" spans="2:5" ht="15" customHeight="1" x14ac:dyDescent="0.25">
      <c r="B345" s="89"/>
      <c r="C345" s="45" t="s">
        <v>31</v>
      </c>
      <c r="D345" s="44">
        <v>18</v>
      </c>
      <c r="E345" s="43">
        <v>6.5717415115005477E-4</v>
      </c>
    </row>
    <row r="346" spans="2:5" ht="15" customHeight="1" x14ac:dyDescent="0.25">
      <c r="B346" s="89"/>
      <c r="C346" s="45" t="s">
        <v>27</v>
      </c>
      <c r="D346" s="44">
        <v>2</v>
      </c>
      <c r="E346" s="43">
        <v>7.3019350127783862E-5</v>
      </c>
    </row>
    <row r="347" spans="2:5" ht="15" customHeight="1" x14ac:dyDescent="0.25">
      <c r="B347" s="89"/>
      <c r="C347" s="45" t="s">
        <v>62</v>
      </c>
      <c r="D347" s="44">
        <v>325</v>
      </c>
      <c r="E347" s="43">
        <v>1.1865644395764877E-2</v>
      </c>
    </row>
    <row r="348" spans="2:5" ht="15" customHeight="1" x14ac:dyDescent="0.25">
      <c r="B348" s="89"/>
      <c r="C348" s="45" t="s">
        <v>63</v>
      </c>
      <c r="D348" s="44">
        <v>323</v>
      </c>
      <c r="E348" s="43">
        <v>1.1792625045637094E-2</v>
      </c>
    </row>
    <row r="349" spans="2:5" ht="15" customHeight="1" x14ac:dyDescent="0.25">
      <c r="B349" s="89"/>
      <c r="C349" s="45" t="s">
        <v>32</v>
      </c>
      <c r="D349" s="44">
        <v>30</v>
      </c>
      <c r="E349" s="43">
        <v>1.0952902519167579E-3</v>
      </c>
    </row>
    <row r="350" spans="2:5" ht="15" customHeight="1" x14ac:dyDescent="0.25">
      <c r="B350" s="89"/>
      <c r="C350" s="45" t="s">
        <v>65</v>
      </c>
      <c r="D350" s="44">
        <v>1458</v>
      </c>
      <c r="E350" s="43">
        <v>5.3231106243154434E-2</v>
      </c>
    </row>
    <row r="351" spans="2:5" ht="15" customHeight="1" x14ac:dyDescent="0.25">
      <c r="B351" s="89"/>
      <c r="C351" s="45" t="s">
        <v>58</v>
      </c>
      <c r="D351" s="44">
        <v>190</v>
      </c>
      <c r="E351" s="43">
        <v>6.9368382621394671E-3</v>
      </c>
    </row>
    <row r="352" spans="2:5" ht="15" customHeight="1" x14ac:dyDescent="0.25">
      <c r="B352" s="89"/>
      <c r="C352" s="45" t="s">
        <v>34</v>
      </c>
      <c r="D352" s="44">
        <v>31</v>
      </c>
      <c r="E352" s="43">
        <v>1.13179992698065E-3</v>
      </c>
    </row>
    <row r="353" spans="2:5" ht="15" customHeight="1" x14ac:dyDescent="0.25">
      <c r="B353" s="89"/>
      <c r="C353" s="45" t="s">
        <v>43</v>
      </c>
      <c r="D353" s="44">
        <v>29</v>
      </c>
      <c r="E353" s="43">
        <v>1.0587805768528661E-3</v>
      </c>
    </row>
    <row r="354" spans="2:5" ht="15" customHeight="1" x14ac:dyDescent="0.25">
      <c r="B354" s="89"/>
      <c r="C354" s="45" t="s">
        <v>37</v>
      </c>
      <c r="D354" s="44">
        <v>31</v>
      </c>
      <c r="E354" s="43">
        <v>1.13179992698065E-3</v>
      </c>
    </row>
    <row r="355" spans="2:5" ht="15" customHeight="1" x14ac:dyDescent="0.25">
      <c r="B355" s="89"/>
      <c r="C355" s="45" t="s">
        <v>33</v>
      </c>
      <c r="D355" s="44">
        <v>26</v>
      </c>
      <c r="E355" s="43">
        <v>9.4925155166119017E-4</v>
      </c>
    </row>
    <row r="356" spans="2:5" ht="15" customHeight="1" x14ac:dyDescent="0.25">
      <c r="B356" s="89"/>
      <c r="C356" s="45" t="s">
        <v>219</v>
      </c>
      <c r="D356" s="44">
        <v>1</v>
      </c>
      <c r="E356" s="43">
        <v>3.6509675063891931E-5</v>
      </c>
    </row>
    <row r="357" spans="2:5" ht="15" customHeight="1" x14ac:dyDescent="0.25">
      <c r="B357" s="89"/>
      <c r="C357" s="45" t="s">
        <v>35</v>
      </c>
      <c r="D357" s="44">
        <v>23</v>
      </c>
      <c r="E357" s="43">
        <v>8.3972252646951446E-4</v>
      </c>
    </row>
    <row r="358" spans="2:5" ht="15" customHeight="1" x14ac:dyDescent="0.25">
      <c r="B358" s="89"/>
      <c r="C358" s="45" t="s">
        <v>28</v>
      </c>
      <c r="D358" s="44">
        <v>10</v>
      </c>
      <c r="E358" s="43">
        <v>3.6509675063891932E-4</v>
      </c>
    </row>
    <row r="359" spans="2:5" ht="15" customHeight="1" x14ac:dyDescent="0.25">
      <c r="B359" s="89"/>
      <c r="C359" s="45" t="s">
        <v>46</v>
      </c>
      <c r="D359" s="44">
        <v>65</v>
      </c>
      <c r="E359" s="43">
        <v>2.3731288791529756E-3</v>
      </c>
    </row>
    <row r="360" spans="2:5" ht="15" customHeight="1" x14ac:dyDescent="0.25">
      <c r="B360" s="89"/>
      <c r="C360" s="45" t="s">
        <v>51</v>
      </c>
      <c r="D360" s="44">
        <v>125</v>
      </c>
      <c r="E360" s="43">
        <v>4.5637093829864915E-3</v>
      </c>
    </row>
    <row r="361" spans="2:5" ht="15" customHeight="1" x14ac:dyDescent="0.25">
      <c r="B361" s="89"/>
      <c r="C361" s="45" t="s">
        <v>30</v>
      </c>
      <c r="D361" s="44">
        <v>15</v>
      </c>
      <c r="E361" s="43">
        <v>5.4764512595837896E-4</v>
      </c>
    </row>
    <row r="362" spans="2:5" ht="15" customHeight="1" x14ac:dyDescent="0.25">
      <c r="B362" s="89"/>
      <c r="C362" s="45" t="s">
        <v>39</v>
      </c>
      <c r="D362" s="44">
        <v>24</v>
      </c>
      <c r="E362" s="43">
        <v>8.762322015334064E-4</v>
      </c>
    </row>
    <row r="363" spans="2:5" ht="15" customHeight="1" x14ac:dyDescent="0.25">
      <c r="B363" s="89"/>
      <c r="C363" s="45" t="s">
        <v>21</v>
      </c>
      <c r="D363" s="44">
        <v>1</v>
      </c>
      <c r="E363" s="43">
        <v>3.6509675063891931E-5</v>
      </c>
    </row>
    <row r="364" spans="2:5" ht="15" customHeight="1" x14ac:dyDescent="0.25">
      <c r="B364" s="89"/>
      <c r="C364" s="45" t="s">
        <v>38</v>
      </c>
      <c r="D364" s="44">
        <v>36</v>
      </c>
      <c r="E364" s="43">
        <v>1.3143483023001095E-3</v>
      </c>
    </row>
    <row r="365" spans="2:5" ht="15" customHeight="1" x14ac:dyDescent="0.25">
      <c r="B365" s="89"/>
      <c r="C365" s="45" t="s">
        <v>61</v>
      </c>
      <c r="D365" s="44">
        <v>191</v>
      </c>
      <c r="E365" s="43">
        <v>6.9733479372033587E-3</v>
      </c>
    </row>
    <row r="366" spans="2:5" ht="15" customHeight="1" x14ac:dyDescent="0.25">
      <c r="B366" s="89"/>
      <c r="C366" s="45" t="s">
        <v>59</v>
      </c>
      <c r="D366" s="44">
        <v>233</v>
      </c>
      <c r="E366" s="43">
        <v>8.5067542898868195E-3</v>
      </c>
    </row>
    <row r="367" spans="2:5" ht="15" customHeight="1" x14ac:dyDescent="0.25">
      <c r="B367" s="89"/>
      <c r="C367" s="45" t="s">
        <v>36</v>
      </c>
      <c r="D367" s="44">
        <v>19</v>
      </c>
      <c r="E367" s="43">
        <v>6.9368382621394671E-4</v>
      </c>
    </row>
    <row r="368" spans="2:5" ht="15" customHeight="1" x14ac:dyDescent="0.25">
      <c r="B368" s="89"/>
      <c r="C368" s="45" t="s">
        <v>64</v>
      </c>
      <c r="D368" s="44">
        <v>581</v>
      </c>
      <c r="E368" s="43">
        <v>2.1212121212121213E-2</v>
      </c>
    </row>
    <row r="369" spans="2:5" ht="15" customHeight="1" x14ac:dyDescent="0.25">
      <c r="B369" s="89"/>
      <c r="C369" s="45" t="s">
        <v>60</v>
      </c>
      <c r="D369" s="44">
        <v>390</v>
      </c>
      <c r="E369" s="43">
        <v>1.4238773274917854E-2</v>
      </c>
    </row>
    <row r="370" spans="2:5" ht="15" customHeight="1" x14ac:dyDescent="0.25">
      <c r="B370" s="89"/>
      <c r="C370" s="45" t="s">
        <v>24</v>
      </c>
      <c r="D370" s="44">
        <v>2</v>
      </c>
      <c r="E370" s="43">
        <v>7.3019350127783862E-5</v>
      </c>
    </row>
    <row r="371" spans="2:5" ht="15" customHeight="1" x14ac:dyDescent="0.25">
      <c r="B371" s="89"/>
      <c r="C371" s="45" t="s">
        <v>41</v>
      </c>
      <c r="D371" s="44">
        <v>45</v>
      </c>
      <c r="E371" s="43">
        <v>1.6429353778751369E-3</v>
      </c>
    </row>
    <row r="372" spans="2:5" ht="15" customHeight="1" x14ac:dyDescent="0.25">
      <c r="B372" s="89"/>
      <c r="C372" s="45" t="s">
        <v>48</v>
      </c>
      <c r="D372" s="44">
        <v>55</v>
      </c>
      <c r="E372" s="43">
        <v>2.008032128514056E-3</v>
      </c>
    </row>
    <row r="373" spans="2:5" ht="15" customHeight="1" x14ac:dyDescent="0.25">
      <c r="B373" s="89"/>
      <c r="C373" s="45" t="s">
        <v>52</v>
      </c>
      <c r="D373" s="44">
        <v>46</v>
      </c>
      <c r="E373" s="43">
        <v>1.6794450529390289E-3</v>
      </c>
    </row>
    <row r="374" spans="2:5" ht="15" customHeight="1" x14ac:dyDescent="0.25">
      <c r="B374" s="89"/>
      <c r="C374" s="45" t="s">
        <v>45</v>
      </c>
      <c r="D374" s="44">
        <v>58</v>
      </c>
      <c r="E374" s="43">
        <v>2.1175611537057322E-3</v>
      </c>
    </row>
    <row r="375" spans="2:5" ht="15" customHeight="1" x14ac:dyDescent="0.25">
      <c r="B375" s="89"/>
      <c r="C375" s="45" t="s">
        <v>26</v>
      </c>
      <c r="D375" s="44">
        <v>5</v>
      </c>
      <c r="E375" s="43">
        <v>1.8254837531945966E-4</v>
      </c>
    </row>
    <row r="376" spans="2:5" ht="15" customHeight="1" x14ac:dyDescent="0.25">
      <c r="B376" s="89"/>
      <c r="C376" s="45" t="s">
        <v>44</v>
      </c>
      <c r="D376" s="44">
        <v>110</v>
      </c>
      <c r="E376" s="43">
        <v>4.0160642570281121E-3</v>
      </c>
    </row>
    <row r="377" spans="2:5" ht="15" customHeight="1" x14ac:dyDescent="0.25">
      <c r="B377" s="89"/>
      <c r="C377" s="45" t="s">
        <v>25</v>
      </c>
      <c r="D377" s="44">
        <v>2</v>
      </c>
      <c r="E377" s="43">
        <v>7.3019350127783862E-5</v>
      </c>
    </row>
    <row r="378" spans="2:5" ht="15" customHeight="1" x14ac:dyDescent="0.25">
      <c r="B378" s="89"/>
      <c r="C378" s="45" t="s">
        <v>54</v>
      </c>
      <c r="D378" s="44">
        <v>108</v>
      </c>
      <c r="E378" s="43">
        <v>3.9430449069003289E-3</v>
      </c>
    </row>
    <row r="379" spans="2:5" ht="15" customHeight="1" x14ac:dyDescent="0.25">
      <c r="B379" s="89"/>
      <c r="C379" s="45" t="s">
        <v>66</v>
      </c>
      <c r="D379" s="44">
        <v>1439</v>
      </c>
      <c r="E379" s="43">
        <v>5.2537422416940489E-2</v>
      </c>
    </row>
    <row r="380" spans="2:5" ht="15" customHeight="1" x14ac:dyDescent="0.25">
      <c r="B380" s="89"/>
      <c r="C380" s="45" t="s">
        <v>55</v>
      </c>
      <c r="D380" s="44">
        <v>114</v>
      </c>
      <c r="E380" s="43">
        <v>4.1621029572836803E-3</v>
      </c>
    </row>
    <row r="381" spans="2:5" ht="15" customHeight="1" x14ac:dyDescent="0.25">
      <c r="B381" s="89"/>
      <c r="C381" s="45" t="s">
        <v>22</v>
      </c>
      <c r="D381" s="44">
        <v>1</v>
      </c>
      <c r="E381" s="43">
        <v>3.6509675063891931E-5</v>
      </c>
    </row>
    <row r="382" spans="2:5" ht="15" customHeight="1" x14ac:dyDescent="0.25">
      <c r="B382" s="89"/>
      <c r="C382" s="45" t="s">
        <v>42</v>
      </c>
      <c r="D382" s="44">
        <v>33</v>
      </c>
      <c r="E382" s="43">
        <v>1.2048192771084338E-3</v>
      </c>
    </row>
    <row r="383" spans="2:5" ht="15" customHeight="1" x14ac:dyDescent="0.25">
      <c r="B383" s="89"/>
      <c r="C383" s="45" t="s">
        <v>50</v>
      </c>
      <c r="D383" s="44">
        <v>43</v>
      </c>
      <c r="E383" s="43">
        <v>1.569916027747353E-3</v>
      </c>
    </row>
    <row r="384" spans="2:5" ht="15" customHeight="1" x14ac:dyDescent="0.25">
      <c r="B384" s="89"/>
      <c r="C384" s="45" t="s">
        <v>23</v>
      </c>
      <c r="D384" s="44">
        <v>2</v>
      </c>
      <c r="E384" s="43">
        <v>7.3019350127783862E-5</v>
      </c>
    </row>
    <row r="385" spans="2:5" ht="15" customHeight="1" x14ac:dyDescent="0.25">
      <c r="B385" s="89"/>
      <c r="C385" s="45" t="s">
        <v>57</v>
      </c>
      <c r="D385" s="44">
        <v>233</v>
      </c>
      <c r="E385" s="43">
        <v>8.5067542898868195E-3</v>
      </c>
    </row>
    <row r="386" spans="2:5" ht="15" customHeight="1" x14ac:dyDescent="0.25">
      <c r="B386" s="89"/>
      <c r="C386" s="45" t="s">
        <v>29</v>
      </c>
      <c r="D386" s="44">
        <v>14</v>
      </c>
      <c r="E386" s="43">
        <v>5.1113545089448702E-4</v>
      </c>
    </row>
    <row r="387" spans="2:5" ht="15" customHeight="1" x14ac:dyDescent="0.25">
      <c r="B387" s="90"/>
      <c r="C387" s="42" t="s">
        <v>20</v>
      </c>
      <c r="D387" s="41">
        <v>9385</v>
      </c>
      <c r="E387" s="40">
        <v>0.34264330047462577</v>
      </c>
    </row>
    <row r="388" spans="2:5" ht="15" customHeight="1" x14ac:dyDescent="0.25">
      <c r="B388" s="88" t="s">
        <v>153</v>
      </c>
      <c r="C388" s="45" t="s">
        <v>49</v>
      </c>
      <c r="D388" s="44">
        <v>3</v>
      </c>
      <c r="E388" s="43">
        <v>1.095290251916758E-4</v>
      </c>
    </row>
    <row r="389" spans="2:5" ht="15" customHeight="1" x14ac:dyDescent="0.25">
      <c r="B389" s="89"/>
      <c r="C389" s="45" t="s">
        <v>53</v>
      </c>
      <c r="D389" s="44">
        <v>7</v>
      </c>
      <c r="E389" s="43">
        <v>2.5556772544724351E-4</v>
      </c>
    </row>
    <row r="390" spans="2:5" ht="15" customHeight="1" x14ac:dyDescent="0.25">
      <c r="B390" s="89"/>
      <c r="C390" s="45" t="s">
        <v>47</v>
      </c>
      <c r="D390" s="44">
        <v>2</v>
      </c>
      <c r="E390" s="43">
        <v>7.3019350127783862E-5</v>
      </c>
    </row>
    <row r="391" spans="2:5" ht="15" customHeight="1" x14ac:dyDescent="0.25">
      <c r="B391" s="89"/>
      <c r="C391" s="45" t="s">
        <v>67</v>
      </c>
      <c r="D391" s="44">
        <v>251</v>
      </c>
      <c r="E391" s="43">
        <v>9.1639284410368754E-3</v>
      </c>
    </row>
    <row r="392" spans="2:5" ht="15" customHeight="1" x14ac:dyDescent="0.25">
      <c r="B392" s="89"/>
      <c r="C392" s="45" t="s">
        <v>56</v>
      </c>
      <c r="D392" s="44">
        <v>9</v>
      </c>
      <c r="E392" s="43">
        <v>3.2858707557502739E-4</v>
      </c>
    </row>
    <row r="393" spans="2:5" ht="15" customHeight="1" x14ac:dyDescent="0.25">
      <c r="B393" s="89"/>
      <c r="C393" s="45" t="s">
        <v>40</v>
      </c>
      <c r="D393" s="44">
        <v>2</v>
      </c>
      <c r="E393" s="43">
        <v>7.3019350127783862E-5</v>
      </c>
    </row>
    <row r="394" spans="2:5" ht="15" customHeight="1" x14ac:dyDescent="0.25">
      <c r="B394" s="89"/>
      <c r="C394" s="45" t="s">
        <v>62</v>
      </c>
      <c r="D394" s="44">
        <v>22</v>
      </c>
      <c r="E394" s="43">
        <v>8.0321285140562252E-4</v>
      </c>
    </row>
    <row r="395" spans="2:5" ht="15" customHeight="1" x14ac:dyDescent="0.25">
      <c r="B395" s="89"/>
      <c r="C395" s="45" t="s">
        <v>63</v>
      </c>
      <c r="D395" s="44">
        <v>30</v>
      </c>
      <c r="E395" s="43">
        <v>1.0952902519167579E-3</v>
      </c>
    </row>
    <row r="396" spans="2:5" ht="15" customHeight="1" x14ac:dyDescent="0.25">
      <c r="B396" s="89"/>
      <c r="C396" s="45" t="s">
        <v>65</v>
      </c>
      <c r="D396" s="44">
        <v>141</v>
      </c>
      <c r="E396" s="43">
        <v>5.1478641840087625E-3</v>
      </c>
    </row>
    <row r="397" spans="2:5" ht="15" customHeight="1" x14ac:dyDescent="0.25">
      <c r="B397" s="89"/>
      <c r="C397" s="45" t="s">
        <v>58</v>
      </c>
      <c r="D397" s="44">
        <v>21</v>
      </c>
      <c r="E397" s="43">
        <v>7.6670317634173059E-4</v>
      </c>
    </row>
    <row r="398" spans="2:5" ht="15" customHeight="1" x14ac:dyDescent="0.25">
      <c r="B398" s="89"/>
      <c r="C398" s="45" t="s">
        <v>34</v>
      </c>
      <c r="D398" s="44">
        <v>4</v>
      </c>
      <c r="E398" s="43">
        <v>1.4603870025556772E-4</v>
      </c>
    </row>
    <row r="399" spans="2:5" ht="15" customHeight="1" x14ac:dyDescent="0.25">
      <c r="B399" s="89"/>
      <c r="C399" s="45" t="s">
        <v>43</v>
      </c>
      <c r="D399" s="44">
        <v>6</v>
      </c>
      <c r="E399" s="43">
        <v>2.190580503833516E-4</v>
      </c>
    </row>
    <row r="400" spans="2:5" ht="15" customHeight="1" x14ac:dyDescent="0.25">
      <c r="B400" s="89"/>
      <c r="C400" s="45" t="s">
        <v>37</v>
      </c>
      <c r="D400" s="44">
        <v>5</v>
      </c>
      <c r="E400" s="43">
        <v>1.8254837531945966E-4</v>
      </c>
    </row>
    <row r="401" spans="2:5" ht="15" customHeight="1" x14ac:dyDescent="0.25">
      <c r="B401" s="89"/>
      <c r="C401" s="45" t="s">
        <v>33</v>
      </c>
      <c r="D401" s="44">
        <v>2</v>
      </c>
      <c r="E401" s="43">
        <v>7.3019350127783862E-5</v>
      </c>
    </row>
    <row r="402" spans="2:5" ht="15" customHeight="1" x14ac:dyDescent="0.25">
      <c r="B402" s="89"/>
      <c r="C402" s="45" t="s">
        <v>35</v>
      </c>
      <c r="D402" s="44">
        <v>1</v>
      </c>
      <c r="E402" s="43">
        <v>3.6509675063891931E-5</v>
      </c>
    </row>
    <row r="403" spans="2:5" ht="15" customHeight="1" x14ac:dyDescent="0.25">
      <c r="B403" s="89"/>
      <c r="C403" s="45" t="s">
        <v>46</v>
      </c>
      <c r="D403" s="44">
        <v>8</v>
      </c>
      <c r="E403" s="43">
        <v>2.9207740051113545E-4</v>
      </c>
    </row>
    <row r="404" spans="2:5" ht="15" customHeight="1" x14ac:dyDescent="0.25">
      <c r="B404" s="89"/>
      <c r="C404" s="45" t="s">
        <v>51</v>
      </c>
      <c r="D404" s="44">
        <v>8</v>
      </c>
      <c r="E404" s="43">
        <v>2.9207740051113545E-4</v>
      </c>
    </row>
    <row r="405" spans="2:5" ht="15" customHeight="1" x14ac:dyDescent="0.25">
      <c r="B405" s="89"/>
      <c r="C405" s="45" t="s">
        <v>30</v>
      </c>
      <c r="D405" s="44">
        <v>5</v>
      </c>
      <c r="E405" s="43">
        <v>1.8254837531945966E-4</v>
      </c>
    </row>
    <row r="406" spans="2:5" ht="15" customHeight="1" x14ac:dyDescent="0.25">
      <c r="B406" s="89"/>
      <c r="C406" s="45" t="s">
        <v>39</v>
      </c>
      <c r="D406" s="44">
        <v>2</v>
      </c>
      <c r="E406" s="43">
        <v>7.3019350127783862E-5</v>
      </c>
    </row>
    <row r="407" spans="2:5" ht="15" customHeight="1" x14ac:dyDescent="0.25">
      <c r="B407" s="89"/>
      <c r="C407" s="45" t="s">
        <v>38</v>
      </c>
      <c r="D407" s="44">
        <v>3</v>
      </c>
      <c r="E407" s="43">
        <v>1.095290251916758E-4</v>
      </c>
    </row>
    <row r="408" spans="2:5" ht="15" customHeight="1" x14ac:dyDescent="0.25">
      <c r="B408" s="89"/>
      <c r="C408" s="45" t="s">
        <v>61</v>
      </c>
      <c r="D408" s="44">
        <v>20</v>
      </c>
      <c r="E408" s="43">
        <v>7.3019350127783865E-4</v>
      </c>
    </row>
    <row r="409" spans="2:5" ht="15" customHeight="1" x14ac:dyDescent="0.25">
      <c r="B409" s="89"/>
      <c r="C409" s="45" t="s">
        <v>59</v>
      </c>
      <c r="D409" s="44">
        <v>15</v>
      </c>
      <c r="E409" s="43">
        <v>5.4764512595837896E-4</v>
      </c>
    </row>
    <row r="410" spans="2:5" ht="15" customHeight="1" x14ac:dyDescent="0.25">
      <c r="B410" s="89"/>
      <c r="C410" s="45" t="s">
        <v>36</v>
      </c>
      <c r="D410" s="44">
        <v>3</v>
      </c>
      <c r="E410" s="43">
        <v>1.095290251916758E-4</v>
      </c>
    </row>
    <row r="411" spans="2:5" ht="15" customHeight="1" x14ac:dyDescent="0.25">
      <c r="B411" s="89"/>
      <c r="C411" s="45" t="s">
        <v>64</v>
      </c>
      <c r="D411" s="44">
        <v>24</v>
      </c>
      <c r="E411" s="43">
        <v>8.762322015334064E-4</v>
      </c>
    </row>
    <row r="412" spans="2:5" ht="15" customHeight="1" x14ac:dyDescent="0.25">
      <c r="B412" s="89"/>
      <c r="C412" s="45" t="s">
        <v>60</v>
      </c>
      <c r="D412" s="44">
        <v>18</v>
      </c>
      <c r="E412" s="43">
        <v>6.5717415115005477E-4</v>
      </c>
    </row>
    <row r="413" spans="2:5" ht="15" customHeight="1" x14ac:dyDescent="0.25">
      <c r="B413" s="89"/>
      <c r="C413" s="45" t="s">
        <v>41</v>
      </c>
      <c r="D413" s="44">
        <v>5</v>
      </c>
      <c r="E413" s="43">
        <v>1.8254837531945966E-4</v>
      </c>
    </row>
    <row r="414" spans="2:5" ht="15" customHeight="1" x14ac:dyDescent="0.25">
      <c r="B414" s="89"/>
      <c r="C414" s="45" t="s">
        <v>48</v>
      </c>
      <c r="D414" s="44">
        <v>5</v>
      </c>
      <c r="E414" s="43">
        <v>1.8254837531945966E-4</v>
      </c>
    </row>
    <row r="415" spans="2:5" ht="15" customHeight="1" x14ac:dyDescent="0.25">
      <c r="B415" s="89"/>
      <c r="C415" s="45" t="s">
        <v>52</v>
      </c>
      <c r="D415" s="44">
        <v>3</v>
      </c>
      <c r="E415" s="43">
        <v>1.095290251916758E-4</v>
      </c>
    </row>
    <row r="416" spans="2:5" ht="15" customHeight="1" x14ac:dyDescent="0.25">
      <c r="B416" s="89"/>
      <c r="C416" s="45" t="s">
        <v>45</v>
      </c>
      <c r="D416" s="44">
        <v>1</v>
      </c>
      <c r="E416" s="43">
        <v>3.6509675063891931E-5</v>
      </c>
    </row>
    <row r="417" spans="2:5" ht="15" customHeight="1" x14ac:dyDescent="0.25">
      <c r="B417" s="89"/>
      <c r="C417" s="45" t="s">
        <v>44</v>
      </c>
      <c r="D417" s="44">
        <v>8</v>
      </c>
      <c r="E417" s="43">
        <v>2.9207740051113545E-4</v>
      </c>
    </row>
    <row r="418" spans="2:5" ht="15" customHeight="1" x14ac:dyDescent="0.25">
      <c r="B418" s="89"/>
      <c r="C418" s="45" t="s">
        <v>54</v>
      </c>
      <c r="D418" s="44">
        <v>9</v>
      </c>
      <c r="E418" s="43">
        <v>3.2858707557502739E-4</v>
      </c>
    </row>
    <row r="419" spans="2:5" ht="15" customHeight="1" x14ac:dyDescent="0.25">
      <c r="B419" s="89"/>
      <c r="C419" s="45" t="s">
        <v>66</v>
      </c>
      <c r="D419" s="44">
        <v>128</v>
      </c>
      <c r="E419" s="43">
        <v>4.6732384081781672E-3</v>
      </c>
    </row>
    <row r="420" spans="2:5" ht="15" customHeight="1" x14ac:dyDescent="0.25">
      <c r="B420" s="89"/>
      <c r="C420" s="45" t="s">
        <v>55</v>
      </c>
      <c r="D420" s="44">
        <v>17</v>
      </c>
      <c r="E420" s="43">
        <v>6.2066447608616284E-4</v>
      </c>
    </row>
    <row r="421" spans="2:5" ht="15" customHeight="1" x14ac:dyDescent="0.25">
      <c r="B421" s="89"/>
      <c r="C421" s="45" t="s">
        <v>42</v>
      </c>
      <c r="D421" s="44">
        <v>3</v>
      </c>
      <c r="E421" s="43">
        <v>1.095290251916758E-4</v>
      </c>
    </row>
    <row r="422" spans="2:5" ht="15" customHeight="1" x14ac:dyDescent="0.25">
      <c r="B422" s="89"/>
      <c r="C422" s="45" t="s">
        <v>50</v>
      </c>
      <c r="D422" s="44">
        <v>6</v>
      </c>
      <c r="E422" s="43">
        <v>2.190580503833516E-4</v>
      </c>
    </row>
    <row r="423" spans="2:5" ht="15" customHeight="1" x14ac:dyDescent="0.25">
      <c r="B423" s="89"/>
      <c r="C423" s="45" t="s">
        <v>23</v>
      </c>
      <c r="D423" s="44">
        <v>1</v>
      </c>
      <c r="E423" s="43">
        <v>3.6509675063891931E-5</v>
      </c>
    </row>
    <row r="424" spans="2:5" ht="15" customHeight="1" x14ac:dyDescent="0.25">
      <c r="B424" s="89"/>
      <c r="C424" s="45" t="s">
        <v>57</v>
      </c>
      <c r="D424" s="44">
        <v>21</v>
      </c>
      <c r="E424" s="43">
        <v>7.6670317634173059E-4</v>
      </c>
    </row>
    <row r="425" spans="2:5" ht="15" customHeight="1" x14ac:dyDescent="0.25">
      <c r="B425" s="90"/>
      <c r="C425" s="42" t="s">
        <v>20</v>
      </c>
      <c r="D425" s="41">
        <v>819</v>
      </c>
      <c r="E425" s="40">
        <v>2.9901423877327492E-2</v>
      </c>
    </row>
    <row r="426" spans="2:5" ht="15" customHeight="1" x14ac:dyDescent="0.25">
      <c r="B426" s="88" t="s">
        <v>152</v>
      </c>
      <c r="C426" s="45" t="s">
        <v>49</v>
      </c>
      <c r="D426" s="44">
        <v>21</v>
      </c>
      <c r="E426" s="43">
        <v>7.6670317634173059E-4</v>
      </c>
    </row>
    <row r="427" spans="2:5" ht="15" customHeight="1" x14ac:dyDescent="0.25">
      <c r="B427" s="89"/>
      <c r="C427" s="45" t="s">
        <v>53</v>
      </c>
      <c r="D427" s="44">
        <v>27</v>
      </c>
      <c r="E427" s="43">
        <v>9.8576122672508221E-4</v>
      </c>
    </row>
    <row r="428" spans="2:5" ht="15" customHeight="1" x14ac:dyDescent="0.25">
      <c r="B428" s="89"/>
      <c r="C428" s="45" t="s">
        <v>47</v>
      </c>
      <c r="D428" s="44">
        <v>23</v>
      </c>
      <c r="E428" s="43">
        <v>8.3972252646951446E-4</v>
      </c>
    </row>
    <row r="429" spans="2:5" ht="15" customHeight="1" x14ac:dyDescent="0.25">
      <c r="B429" s="89"/>
      <c r="C429" s="45" t="s">
        <v>67</v>
      </c>
      <c r="D429" s="44">
        <v>642</v>
      </c>
      <c r="E429" s="43">
        <v>2.3439211391018618E-2</v>
      </c>
    </row>
    <row r="430" spans="2:5" ht="15" customHeight="1" x14ac:dyDescent="0.25">
      <c r="B430" s="89"/>
      <c r="C430" s="45" t="s">
        <v>56</v>
      </c>
      <c r="D430" s="44">
        <v>39</v>
      </c>
      <c r="E430" s="43">
        <v>1.4238773274917853E-3</v>
      </c>
    </row>
    <row r="431" spans="2:5" ht="15" customHeight="1" x14ac:dyDescent="0.25">
      <c r="B431" s="89"/>
      <c r="C431" s="45" t="s">
        <v>40</v>
      </c>
      <c r="D431" s="44">
        <v>4</v>
      </c>
      <c r="E431" s="43">
        <v>1.4603870025556772E-4</v>
      </c>
    </row>
    <row r="432" spans="2:5" ht="15" customHeight="1" x14ac:dyDescent="0.25">
      <c r="B432" s="89"/>
      <c r="C432" s="45" t="s">
        <v>31</v>
      </c>
      <c r="D432" s="44">
        <v>4</v>
      </c>
      <c r="E432" s="43">
        <v>1.4603870025556772E-4</v>
      </c>
    </row>
    <row r="433" spans="2:5" ht="15" customHeight="1" x14ac:dyDescent="0.25">
      <c r="B433" s="89"/>
      <c r="C433" s="45" t="s">
        <v>27</v>
      </c>
      <c r="D433" s="44">
        <v>2</v>
      </c>
      <c r="E433" s="43">
        <v>7.3019350127783862E-5</v>
      </c>
    </row>
    <row r="434" spans="2:5" ht="15" customHeight="1" x14ac:dyDescent="0.25">
      <c r="B434" s="89"/>
      <c r="C434" s="45" t="s">
        <v>62</v>
      </c>
      <c r="D434" s="44">
        <v>69</v>
      </c>
      <c r="E434" s="43">
        <v>2.5191675794085434E-3</v>
      </c>
    </row>
    <row r="435" spans="2:5" ht="15" customHeight="1" x14ac:dyDescent="0.25">
      <c r="B435" s="89"/>
      <c r="C435" s="45" t="s">
        <v>63</v>
      </c>
      <c r="D435" s="44">
        <v>73</v>
      </c>
      <c r="E435" s="43">
        <v>2.6652062796641111E-3</v>
      </c>
    </row>
    <row r="436" spans="2:5" ht="15" customHeight="1" x14ac:dyDescent="0.25">
      <c r="B436" s="89"/>
      <c r="C436" s="45" t="s">
        <v>32</v>
      </c>
      <c r="D436" s="44">
        <v>4</v>
      </c>
      <c r="E436" s="43">
        <v>1.4603870025556772E-4</v>
      </c>
    </row>
    <row r="437" spans="2:5" ht="15" customHeight="1" x14ac:dyDescent="0.25">
      <c r="B437" s="89"/>
      <c r="C437" s="45" t="s">
        <v>65</v>
      </c>
      <c r="D437" s="44">
        <v>191</v>
      </c>
      <c r="E437" s="43">
        <v>6.9733479372033587E-3</v>
      </c>
    </row>
    <row r="438" spans="2:5" ht="15" customHeight="1" x14ac:dyDescent="0.25">
      <c r="B438" s="89"/>
      <c r="C438" s="45" t="s">
        <v>58</v>
      </c>
      <c r="D438" s="44">
        <v>45</v>
      </c>
      <c r="E438" s="43">
        <v>1.6429353778751369E-3</v>
      </c>
    </row>
    <row r="439" spans="2:5" ht="15" customHeight="1" x14ac:dyDescent="0.25">
      <c r="B439" s="89"/>
      <c r="C439" s="45" t="s">
        <v>34</v>
      </c>
      <c r="D439" s="44">
        <v>10</v>
      </c>
      <c r="E439" s="43">
        <v>3.6509675063891932E-4</v>
      </c>
    </row>
    <row r="440" spans="2:5" ht="15" customHeight="1" x14ac:dyDescent="0.25">
      <c r="B440" s="89"/>
      <c r="C440" s="45" t="s">
        <v>43</v>
      </c>
      <c r="D440" s="44">
        <v>12</v>
      </c>
      <c r="E440" s="43">
        <v>4.381161007667032E-4</v>
      </c>
    </row>
    <row r="441" spans="2:5" ht="15" customHeight="1" x14ac:dyDescent="0.25">
      <c r="B441" s="89"/>
      <c r="C441" s="45" t="s">
        <v>37</v>
      </c>
      <c r="D441" s="44">
        <v>13</v>
      </c>
      <c r="E441" s="43">
        <v>4.7462577583059508E-4</v>
      </c>
    </row>
    <row r="442" spans="2:5" ht="15" customHeight="1" x14ac:dyDescent="0.25">
      <c r="B442" s="89"/>
      <c r="C442" s="45" t="s">
        <v>33</v>
      </c>
      <c r="D442" s="44">
        <v>12</v>
      </c>
      <c r="E442" s="43">
        <v>4.381161007667032E-4</v>
      </c>
    </row>
    <row r="443" spans="2:5" ht="15" customHeight="1" x14ac:dyDescent="0.25">
      <c r="B443" s="89"/>
      <c r="C443" s="45" t="s">
        <v>35</v>
      </c>
      <c r="D443" s="44">
        <v>7</v>
      </c>
      <c r="E443" s="43">
        <v>2.5556772544724351E-4</v>
      </c>
    </row>
    <row r="444" spans="2:5" ht="15" customHeight="1" x14ac:dyDescent="0.25">
      <c r="B444" s="89"/>
      <c r="C444" s="45" t="s">
        <v>28</v>
      </c>
      <c r="D444" s="44">
        <v>2</v>
      </c>
      <c r="E444" s="43">
        <v>7.3019350127783862E-5</v>
      </c>
    </row>
    <row r="445" spans="2:5" ht="15" customHeight="1" x14ac:dyDescent="0.25">
      <c r="B445" s="89"/>
      <c r="C445" s="45" t="s">
        <v>46</v>
      </c>
      <c r="D445" s="44">
        <v>16</v>
      </c>
      <c r="E445" s="43">
        <v>5.841548010222709E-4</v>
      </c>
    </row>
    <row r="446" spans="2:5" ht="15" customHeight="1" x14ac:dyDescent="0.25">
      <c r="B446" s="89"/>
      <c r="C446" s="45" t="s">
        <v>51</v>
      </c>
      <c r="D446" s="44">
        <v>18</v>
      </c>
      <c r="E446" s="43">
        <v>6.5717415115005477E-4</v>
      </c>
    </row>
    <row r="447" spans="2:5" ht="15" customHeight="1" x14ac:dyDescent="0.25">
      <c r="B447" s="89"/>
      <c r="C447" s="45" t="s">
        <v>30</v>
      </c>
      <c r="D447" s="44">
        <v>8</v>
      </c>
      <c r="E447" s="43">
        <v>2.9207740051113545E-4</v>
      </c>
    </row>
    <row r="448" spans="2:5" ht="15" customHeight="1" x14ac:dyDescent="0.25">
      <c r="B448" s="89"/>
      <c r="C448" s="45" t="s">
        <v>39</v>
      </c>
      <c r="D448" s="44">
        <v>9</v>
      </c>
      <c r="E448" s="43">
        <v>3.2858707557502739E-4</v>
      </c>
    </row>
    <row r="449" spans="2:5" ht="15" customHeight="1" x14ac:dyDescent="0.25">
      <c r="B449" s="89"/>
      <c r="C449" s="45" t="s">
        <v>38</v>
      </c>
      <c r="D449" s="44">
        <v>14</v>
      </c>
      <c r="E449" s="43">
        <v>5.1113545089448702E-4</v>
      </c>
    </row>
    <row r="450" spans="2:5" ht="15" customHeight="1" x14ac:dyDescent="0.25">
      <c r="B450" s="89"/>
      <c r="C450" s="45" t="s">
        <v>61</v>
      </c>
      <c r="D450" s="44">
        <v>52</v>
      </c>
      <c r="E450" s="43">
        <v>1.8985031033223803E-3</v>
      </c>
    </row>
    <row r="451" spans="2:5" ht="15" customHeight="1" x14ac:dyDescent="0.25">
      <c r="B451" s="89"/>
      <c r="C451" s="45" t="s">
        <v>59</v>
      </c>
      <c r="D451" s="44">
        <v>38</v>
      </c>
      <c r="E451" s="43">
        <v>1.3873676524278934E-3</v>
      </c>
    </row>
    <row r="452" spans="2:5" ht="15" customHeight="1" x14ac:dyDescent="0.25">
      <c r="B452" s="89"/>
      <c r="C452" s="45" t="s">
        <v>36</v>
      </c>
      <c r="D452" s="44">
        <v>7</v>
      </c>
      <c r="E452" s="43">
        <v>2.5556772544724351E-4</v>
      </c>
    </row>
    <row r="453" spans="2:5" ht="15" customHeight="1" x14ac:dyDescent="0.25">
      <c r="B453" s="89"/>
      <c r="C453" s="45" t="s">
        <v>64</v>
      </c>
      <c r="D453" s="44">
        <v>98</v>
      </c>
      <c r="E453" s="43">
        <v>3.5779481562614093E-3</v>
      </c>
    </row>
    <row r="454" spans="2:5" ht="15" customHeight="1" x14ac:dyDescent="0.25">
      <c r="B454" s="89"/>
      <c r="C454" s="45" t="s">
        <v>60</v>
      </c>
      <c r="D454" s="44">
        <v>99</v>
      </c>
      <c r="E454" s="43">
        <v>3.6144578313253013E-3</v>
      </c>
    </row>
    <row r="455" spans="2:5" ht="15" customHeight="1" x14ac:dyDescent="0.25">
      <c r="B455" s="89"/>
      <c r="C455" s="45" t="s">
        <v>41</v>
      </c>
      <c r="D455" s="44">
        <v>9</v>
      </c>
      <c r="E455" s="43">
        <v>3.2858707557502739E-4</v>
      </c>
    </row>
    <row r="456" spans="2:5" ht="15" customHeight="1" x14ac:dyDescent="0.25">
      <c r="B456" s="89"/>
      <c r="C456" s="45" t="s">
        <v>48</v>
      </c>
      <c r="D456" s="44">
        <v>16</v>
      </c>
      <c r="E456" s="43">
        <v>5.841548010222709E-4</v>
      </c>
    </row>
    <row r="457" spans="2:5" ht="15" customHeight="1" x14ac:dyDescent="0.25">
      <c r="B457" s="89"/>
      <c r="C457" s="45" t="s">
        <v>52</v>
      </c>
      <c r="D457" s="44">
        <v>17</v>
      </c>
      <c r="E457" s="43">
        <v>6.2066447608616284E-4</v>
      </c>
    </row>
    <row r="458" spans="2:5" ht="15" customHeight="1" x14ac:dyDescent="0.25">
      <c r="B458" s="89"/>
      <c r="C458" s="45" t="s">
        <v>45</v>
      </c>
      <c r="D458" s="44">
        <v>27</v>
      </c>
      <c r="E458" s="43">
        <v>9.8576122672508221E-4</v>
      </c>
    </row>
    <row r="459" spans="2:5" ht="15" customHeight="1" x14ac:dyDescent="0.25">
      <c r="B459" s="89"/>
      <c r="C459" s="45" t="s">
        <v>44</v>
      </c>
      <c r="D459" s="44">
        <v>29</v>
      </c>
      <c r="E459" s="43">
        <v>1.0587805768528661E-3</v>
      </c>
    </row>
    <row r="460" spans="2:5" ht="15" customHeight="1" x14ac:dyDescent="0.25">
      <c r="B460" s="89"/>
      <c r="C460" s="45" t="s">
        <v>54</v>
      </c>
      <c r="D460" s="44">
        <v>21</v>
      </c>
      <c r="E460" s="43">
        <v>7.6670317634173059E-4</v>
      </c>
    </row>
    <row r="461" spans="2:5" ht="15" customHeight="1" x14ac:dyDescent="0.25">
      <c r="B461" s="89"/>
      <c r="C461" s="45" t="s">
        <v>66</v>
      </c>
      <c r="D461" s="44">
        <v>292</v>
      </c>
      <c r="E461" s="43">
        <v>1.0660825118656445E-2</v>
      </c>
    </row>
    <row r="462" spans="2:5" ht="15" customHeight="1" x14ac:dyDescent="0.25">
      <c r="B462" s="89"/>
      <c r="C462" s="45" t="s">
        <v>55</v>
      </c>
      <c r="D462" s="44">
        <v>39</v>
      </c>
      <c r="E462" s="43">
        <v>1.4238773274917853E-3</v>
      </c>
    </row>
    <row r="463" spans="2:5" ht="15" customHeight="1" x14ac:dyDescent="0.25">
      <c r="B463" s="89"/>
      <c r="C463" s="45" t="s">
        <v>42</v>
      </c>
      <c r="D463" s="44">
        <v>14</v>
      </c>
      <c r="E463" s="43">
        <v>5.1113545089448702E-4</v>
      </c>
    </row>
    <row r="464" spans="2:5" ht="15" customHeight="1" x14ac:dyDescent="0.25">
      <c r="B464" s="89"/>
      <c r="C464" s="45" t="s">
        <v>50</v>
      </c>
      <c r="D464" s="44">
        <v>6</v>
      </c>
      <c r="E464" s="43">
        <v>2.190580503833516E-4</v>
      </c>
    </row>
    <row r="465" spans="2:5" ht="15" customHeight="1" x14ac:dyDescent="0.25">
      <c r="B465" s="89"/>
      <c r="C465" s="45" t="s">
        <v>23</v>
      </c>
      <c r="D465" s="44">
        <v>2</v>
      </c>
      <c r="E465" s="43">
        <v>7.3019350127783862E-5</v>
      </c>
    </row>
    <row r="466" spans="2:5" ht="15" customHeight="1" x14ac:dyDescent="0.25">
      <c r="B466" s="89"/>
      <c r="C466" s="45" t="s">
        <v>57</v>
      </c>
      <c r="D466" s="44">
        <v>37</v>
      </c>
      <c r="E466" s="43">
        <v>1.3508579773640014E-3</v>
      </c>
    </row>
    <row r="467" spans="2:5" ht="15" customHeight="1" x14ac:dyDescent="0.25">
      <c r="B467" s="89"/>
      <c r="C467" s="45" t="s">
        <v>29</v>
      </c>
      <c r="D467" s="44">
        <v>3</v>
      </c>
      <c r="E467" s="43">
        <v>1.095290251916758E-4</v>
      </c>
    </row>
    <row r="468" spans="2:5" ht="15" customHeight="1" x14ac:dyDescent="0.25">
      <c r="B468" s="90"/>
      <c r="C468" s="42" t="s">
        <v>20</v>
      </c>
      <c r="D468" s="41">
        <v>2071</v>
      </c>
      <c r="E468" s="40">
        <v>7.5611537057320197E-2</v>
      </c>
    </row>
    <row r="469" spans="2:5" ht="15" customHeight="1" x14ac:dyDescent="0.25">
      <c r="B469" s="88" t="s">
        <v>151</v>
      </c>
      <c r="C469" s="45" t="s">
        <v>49</v>
      </c>
      <c r="D469" s="44">
        <v>32</v>
      </c>
      <c r="E469" s="43">
        <v>1.1683096020445418E-3</v>
      </c>
    </row>
    <row r="470" spans="2:5" ht="15" customHeight="1" x14ac:dyDescent="0.25">
      <c r="B470" s="89"/>
      <c r="C470" s="45" t="s">
        <v>53</v>
      </c>
      <c r="D470" s="44">
        <v>72</v>
      </c>
      <c r="E470" s="43">
        <v>2.6286966046002191E-3</v>
      </c>
    </row>
    <row r="471" spans="2:5" ht="15" customHeight="1" x14ac:dyDescent="0.25">
      <c r="B471" s="89"/>
      <c r="C471" s="45" t="s">
        <v>47</v>
      </c>
      <c r="D471" s="44">
        <v>49</v>
      </c>
      <c r="E471" s="43">
        <v>1.7889740781307046E-3</v>
      </c>
    </row>
    <row r="472" spans="2:5" ht="15" customHeight="1" x14ac:dyDescent="0.25">
      <c r="B472" s="89"/>
      <c r="C472" s="45" t="s">
        <v>67</v>
      </c>
      <c r="D472" s="44">
        <v>2027</v>
      </c>
      <c r="E472" s="43">
        <v>7.4005111354508948E-2</v>
      </c>
    </row>
    <row r="473" spans="2:5" ht="15" customHeight="1" x14ac:dyDescent="0.25">
      <c r="B473" s="89"/>
      <c r="C473" s="45" t="s">
        <v>56</v>
      </c>
      <c r="D473" s="44">
        <v>101</v>
      </c>
      <c r="E473" s="43">
        <v>3.687477181453085E-3</v>
      </c>
    </row>
    <row r="474" spans="2:5" ht="15" customHeight="1" x14ac:dyDescent="0.25">
      <c r="B474" s="89"/>
      <c r="C474" s="45" t="s">
        <v>40</v>
      </c>
      <c r="D474" s="44">
        <v>25</v>
      </c>
      <c r="E474" s="43">
        <v>9.1274187659729834E-4</v>
      </c>
    </row>
    <row r="475" spans="2:5" ht="15" customHeight="1" x14ac:dyDescent="0.25">
      <c r="B475" s="89"/>
      <c r="C475" s="45" t="s">
        <v>31</v>
      </c>
      <c r="D475" s="44">
        <v>14</v>
      </c>
      <c r="E475" s="43">
        <v>5.1113545089448702E-4</v>
      </c>
    </row>
    <row r="476" spans="2:5" ht="15" customHeight="1" x14ac:dyDescent="0.25">
      <c r="B476" s="89"/>
      <c r="C476" s="45" t="s">
        <v>27</v>
      </c>
      <c r="D476" s="44">
        <v>3</v>
      </c>
      <c r="E476" s="43">
        <v>1.095290251916758E-4</v>
      </c>
    </row>
    <row r="477" spans="2:5" ht="15" customHeight="1" x14ac:dyDescent="0.25">
      <c r="B477" s="89"/>
      <c r="C477" s="45" t="s">
        <v>62</v>
      </c>
      <c r="D477" s="44">
        <v>208</v>
      </c>
      <c r="E477" s="43">
        <v>7.5940124132895213E-3</v>
      </c>
    </row>
    <row r="478" spans="2:5" ht="15" customHeight="1" x14ac:dyDescent="0.25">
      <c r="B478" s="89"/>
      <c r="C478" s="45" t="s">
        <v>63</v>
      </c>
      <c r="D478" s="44">
        <v>201</v>
      </c>
      <c r="E478" s="43">
        <v>7.3384446878422783E-3</v>
      </c>
    </row>
    <row r="479" spans="2:5" ht="15" customHeight="1" x14ac:dyDescent="0.25">
      <c r="B479" s="89"/>
      <c r="C479" s="45" t="s">
        <v>32</v>
      </c>
      <c r="D479" s="44">
        <v>28</v>
      </c>
      <c r="E479" s="43">
        <v>1.022270901788974E-3</v>
      </c>
    </row>
    <row r="480" spans="2:5" ht="15" customHeight="1" x14ac:dyDescent="0.25">
      <c r="B480" s="89"/>
      <c r="C480" s="45" t="s">
        <v>65</v>
      </c>
      <c r="D480" s="44">
        <v>842</v>
      </c>
      <c r="E480" s="43">
        <v>3.0741146403797007E-2</v>
      </c>
    </row>
    <row r="481" spans="2:5" ht="15" customHeight="1" x14ac:dyDescent="0.25">
      <c r="B481" s="89"/>
      <c r="C481" s="45" t="s">
        <v>58</v>
      </c>
      <c r="D481" s="44">
        <v>128</v>
      </c>
      <c r="E481" s="43">
        <v>4.6732384081781672E-3</v>
      </c>
    </row>
    <row r="482" spans="2:5" ht="15" customHeight="1" x14ac:dyDescent="0.25">
      <c r="B482" s="89"/>
      <c r="C482" s="45" t="s">
        <v>34</v>
      </c>
      <c r="D482" s="44">
        <v>16</v>
      </c>
      <c r="E482" s="43">
        <v>5.841548010222709E-4</v>
      </c>
    </row>
    <row r="483" spans="2:5" ht="15" customHeight="1" x14ac:dyDescent="0.25">
      <c r="B483" s="89"/>
      <c r="C483" s="45" t="s">
        <v>43</v>
      </c>
      <c r="D483" s="44">
        <v>38</v>
      </c>
      <c r="E483" s="43">
        <v>1.3873676524278934E-3</v>
      </c>
    </row>
    <row r="484" spans="2:5" ht="15" customHeight="1" x14ac:dyDescent="0.25">
      <c r="B484" s="89"/>
      <c r="C484" s="45" t="s">
        <v>37</v>
      </c>
      <c r="D484" s="44">
        <v>24</v>
      </c>
      <c r="E484" s="43">
        <v>8.762322015334064E-4</v>
      </c>
    </row>
    <row r="485" spans="2:5" ht="15" customHeight="1" x14ac:dyDescent="0.25">
      <c r="B485" s="89"/>
      <c r="C485" s="45" t="s">
        <v>33</v>
      </c>
      <c r="D485" s="44">
        <v>24</v>
      </c>
      <c r="E485" s="43">
        <v>8.762322015334064E-4</v>
      </c>
    </row>
    <row r="486" spans="2:5" ht="15" customHeight="1" x14ac:dyDescent="0.25">
      <c r="B486" s="89"/>
      <c r="C486" s="45" t="s">
        <v>35</v>
      </c>
      <c r="D486" s="44">
        <v>10</v>
      </c>
      <c r="E486" s="43">
        <v>3.6509675063891932E-4</v>
      </c>
    </row>
    <row r="487" spans="2:5" ht="15" customHeight="1" x14ac:dyDescent="0.25">
      <c r="B487" s="89"/>
      <c r="C487" s="45" t="s">
        <v>28</v>
      </c>
      <c r="D487" s="44">
        <v>8</v>
      </c>
      <c r="E487" s="43">
        <v>2.9207740051113545E-4</v>
      </c>
    </row>
    <row r="488" spans="2:5" ht="15" customHeight="1" x14ac:dyDescent="0.25">
      <c r="B488" s="89"/>
      <c r="C488" s="45" t="s">
        <v>46</v>
      </c>
      <c r="D488" s="44">
        <v>52</v>
      </c>
      <c r="E488" s="43">
        <v>1.8985031033223803E-3</v>
      </c>
    </row>
    <row r="489" spans="2:5" ht="15" customHeight="1" x14ac:dyDescent="0.25">
      <c r="B489" s="89"/>
      <c r="C489" s="45" t="s">
        <v>51</v>
      </c>
      <c r="D489" s="44">
        <v>100</v>
      </c>
      <c r="E489" s="43">
        <v>3.6509675063891934E-3</v>
      </c>
    </row>
    <row r="490" spans="2:5" ht="15" customHeight="1" x14ac:dyDescent="0.25">
      <c r="B490" s="89"/>
      <c r="C490" s="45" t="s">
        <v>30</v>
      </c>
      <c r="D490" s="44">
        <v>18</v>
      </c>
      <c r="E490" s="43">
        <v>6.5717415115005477E-4</v>
      </c>
    </row>
    <row r="491" spans="2:5" ht="15" customHeight="1" x14ac:dyDescent="0.25">
      <c r="B491" s="89"/>
      <c r="C491" s="45" t="s">
        <v>39</v>
      </c>
      <c r="D491" s="44">
        <v>23</v>
      </c>
      <c r="E491" s="43">
        <v>8.3972252646951446E-4</v>
      </c>
    </row>
    <row r="492" spans="2:5" ht="15" customHeight="1" x14ac:dyDescent="0.25">
      <c r="B492" s="89"/>
      <c r="C492" s="45" t="s">
        <v>21</v>
      </c>
      <c r="D492" s="44">
        <v>2</v>
      </c>
      <c r="E492" s="43">
        <v>7.3019350127783862E-5</v>
      </c>
    </row>
    <row r="493" spans="2:5" ht="15" customHeight="1" x14ac:dyDescent="0.25">
      <c r="B493" s="89"/>
      <c r="C493" s="45" t="s">
        <v>38</v>
      </c>
      <c r="D493" s="44">
        <v>38</v>
      </c>
      <c r="E493" s="43">
        <v>1.3873676524278934E-3</v>
      </c>
    </row>
    <row r="494" spans="2:5" ht="15" customHeight="1" x14ac:dyDescent="0.25">
      <c r="B494" s="89"/>
      <c r="C494" s="45" t="s">
        <v>61</v>
      </c>
      <c r="D494" s="44">
        <v>123</v>
      </c>
      <c r="E494" s="43">
        <v>4.4906900328587074E-3</v>
      </c>
    </row>
    <row r="495" spans="2:5" ht="15" customHeight="1" x14ac:dyDescent="0.25">
      <c r="B495" s="89"/>
      <c r="C495" s="45" t="s">
        <v>59</v>
      </c>
      <c r="D495" s="44">
        <v>138</v>
      </c>
      <c r="E495" s="43">
        <v>5.0383351588170868E-3</v>
      </c>
    </row>
    <row r="496" spans="2:5" ht="15" customHeight="1" x14ac:dyDescent="0.25">
      <c r="B496" s="89"/>
      <c r="C496" s="45" t="s">
        <v>36</v>
      </c>
      <c r="D496" s="44">
        <v>37</v>
      </c>
      <c r="E496" s="43">
        <v>1.3508579773640014E-3</v>
      </c>
    </row>
    <row r="497" spans="2:5" ht="15" customHeight="1" x14ac:dyDescent="0.25">
      <c r="B497" s="89"/>
      <c r="C497" s="45" t="s">
        <v>64</v>
      </c>
      <c r="D497" s="44">
        <v>291</v>
      </c>
      <c r="E497" s="43">
        <v>1.0624315443592552E-2</v>
      </c>
    </row>
    <row r="498" spans="2:5" ht="15" customHeight="1" x14ac:dyDescent="0.25">
      <c r="B498" s="89"/>
      <c r="C498" s="45" t="s">
        <v>60</v>
      </c>
      <c r="D498" s="44">
        <v>233</v>
      </c>
      <c r="E498" s="43">
        <v>8.5067542898868195E-3</v>
      </c>
    </row>
    <row r="499" spans="2:5" ht="15" customHeight="1" x14ac:dyDescent="0.25">
      <c r="B499" s="89"/>
      <c r="C499" s="45" t="s">
        <v>41</v>
      </c>
      <c r="D499" s="44">
        <v>36</v>
      </c>
      <c r="E499" s="43">
        <v>1.3143483023001095E-3</v>
      </c>
    </row>
    <row r="500" spans="2:5" ht="15" customHeight="1" x14ac:dyDescent="0.25">
      <c r="B500" s="89"/>
      <c r="C500" s="45" t="s">
        <v>48</v>
      </c>
      <c r="D500" s="44">
        <v>52</v>
      </c>
      <c r="E500" s="43">
        <v>1.8985031033223803E-3</v>
      </c>
    </row>
    <row r="501" spans="2:5" ht="15" customHeight="1" x14ac:dyDescent="0.25">
      <c r="B501" s="89"/>
      <c r="C501" s="45" t="s">
        <v>52</v>
      </c>
      <c r="D501" s="44">
        <v>54</v>
      </c>
      <c r="E501" s="43">
        <v>1.9715224534501644E-3</v>
      </c>
    </row>
    <row r="502" spans="2:5" ht="15" customHeight="1" x14ac:dyDescent="0.25">
      <c r="B502" s="89"/>
      <c r="C502" s="45" t="s">
        <v>45</v>
      </c>
      <c r="D502" s="44">
        <v>52</v>
      </c>
      <c r="E502" s="43">
        <v>1.8985031033223803E-3</v>
      </c>
    </row>
    <row r="503" spans="2:5" ht="15" customHeight="1" x14ac:dyDescent="0.25">
      <c r="B503" s="89"/>
      <c r="C503" s="45" t="s">
        <v>26</v>
      </c>
      <c r="D503" s="44">
        <v>2</v>
      </c>
      <c r="E503" s="43">
        <v>7.3019350127783862E-5</v>
      </c>
    </row>
    <row r="504" spans="2:5" ht="15" customHeight="1" x14ac:dyDescent="0.25">
      <c r="B504" s="89"/>
      <c r="C504" s="45" t="s">
        <v>44</v>
      </c>
      <c r="D504" s="44">
        <v>67</v>
      </c>
      <c r="E504" s="43">
        <v>2.4461482292807593E-3</v>
      </c>
    </row>
    <row r="505" spans="2:5" ht="15" customHeight="1" x14ac:dyDescent="0.25">
      <c r="B505" s="89"/>
      <c r="C505" s="45" t="s">
        <v>25</v>
      </c>
      <c r="D505" s="44">
        <v>3</v>
      </c>
      <c r="E505" s="43">
        <v>1.095290251916758E-4</v>
      </c>
    </row>
    <row r="506" spans="2:5" ht="15" customHeight="1" x14ac:dyDescent="0.25">
      <c r="B506" s="89"/>
      <c r="C506" s="45" t="s">
        <v>54</v>
      </c>
      <c r="D506" s="44">
        <v>73</v>
      </c>
      <c r="E506" s="43">
        <v>2.6652062796641111E-3</v>
      </c>
    </row>
    <row r="507" spans="2:5" ht="15" customHeight="1" x14ac:dyDescent="0.25">
      <c r="B507" s="89"/>
      <c r="C507" s="45" t="s">
        <v>66</v>
      </c>
      <c r="D507" s="44">
        <v>1202</v>
      </c>
      <c r="E507" s="43">
        <v>4.3884629426798098E-2</v>
      </c>
    </row>
    <row r="508" spans="2:5" ht="15" customHeight="1" x14ac:dyDescent="0.25">
      <c r="B508" s="89"/>
      <c r="C508" s="45" t="s">
        <v>55</v>
      </c>
      <c r="D508" s="44">
        <v>120</v>
      </c>
      <c r="E508" s="43">
        <v>4.3811610076670317E-3</v>
      </c>
    </row>
    <row r="509" spans="2:5" ht="15" customHeight="1" x14ac:dyDescent="0.25">
      <c r="B509" s="89"/>
      <c r="C509" s="45" t="s">
        <v>42</v>
      </c>
      <c r="D509" s="44">
        <v>25</v>
      </c>
      <c r="E509" s="43">
        <v>9.1274187659729834E-4</v>
      </c>
    </row>
    <row r="510" spans="2:5" ht="15" customHeight="1" x14ac:dyDescent="0.25">
      <c r="B510" s="89"/>
      <c r="C510" s="45" t="s">
        <v>50</v>
      </c>
      <c r="D510" s="44">
        <v>35</v>
      </c>
      <c r="E510" s="43">
        <v>1.2778386272362175E-3</v>
      </c>
    </row>
    <row r="511" spans="2:5" ht="15" customHeight="1" x14ac:dyDescent="0.25">
      <c r="B511" s="89"/>
      <c r="C511" s="45" t="s">
        <v>23</v>
      </c>
      <c r="D511" s="44">
        <v>1</v>
      </c>
      <c r="E511" s="43">
        <v>3.6509675063891931E-5</v>
      </c>
    </row>
    <row r="512" spans="2:5" ht="15" customHeight="1" x14ac:dyDescent="0.25">
      <c r="B512" s="89"/>
      <c r="C512" s="45" t="s">
        <v>57</v>
      </c>
      <c r="D512" s="44">
        <v>143</v>
      </c>
      <c r="E512" s="43">
        <v>5.2208835341365466E-3</v>
      </c>
    </row>
    <row r="513" spans="2:5" ht="15" customHeight="1" x14ac:dyDescent="0.25">
      <c r="B513" s="89"/>
      <c r="C513" s="45" t="s">
        <v>29</v>
      </c>
      <c r="D513" s="44">
        <v>7</v>
      </c>
      <c r="E513" s="43">
        <v>2.5556772544724351E-4</v>
      </c>
    </row>
    <row r="514" spans="2:5" ht="15" customHeight="1" x14ac:dyDescent="0.25">
      <c r="B514" s="90"/>
      <c r="C514" s="42" t="s">
        <v>20</v>
      </c>
      <c r="D514" s="41">
        <v>6777</v>
      </c>
      <c r="E514" s="40">
        <v>0.24742606790799562</v>
      </c>
    </row>
    <row r="515" spans="2:5" ht="15" customHeight="1" x14ac:dyDescent="0.25">
      <c r="B515" s="88" t="s">
        <v>150</v>
      </c>
      <c r="C515" s="45" t="s">
        <v>53</v>
      </c>
      <c r="D515" s="44">
        <v>1</v>
      </c>
      <c r="E515" s="43">
        <v>3.6509675063891931E-5</v>
      </c>
    </row>
    <row r="516" spans="2:5" ht="15" customHeight="1" x14ac:dyDescent="0.25">
      <c r="B516" s="89"/>
      <c r="C516" s="45" t="s">
        <v>67</v>
      </c>
      <c r="D516" s="44">
        <v>55</v>
      </c>
      <c r="E516" s="43">
        <v>2.008032128514056E-3</v>
      </c>
    </row>
    <row r="517" spans="2:5" ht="15" customHeight="1" x14ac:dyDescent="0.25">
      <c r="B517" s="89"/>
      <c r="C517" s="45" t="s">
        <v>56</v>
      </c>
      <c r="D517" s="44">
        <v>2</v>
      </c>
      <c r="E517" s="43">
        <v>7.3019350127783862E-5</v>
      </c>
    </row>
    <row r="518" spans="2:5" ht="15" customHeight="1" x14ac:dyDescent="0.25">
      <c r="B518" s="89"/>
      <c r="C518" s="45" t="s">
        <v>62</v>
      </c>
      <c r="D518" s="44">
        <v>3</v>
      </c>
      <c r="E518" s="43">
        <v>1.095290251916758E-4</v>
      </c>
    </row>
    <row r="519" spans="2:5" ht="15" customHeight="1" x14ac:dyDescent="0.25">
      <c r="B519" s="89"/>
      <c r="C519" s="45" t="s">
        <v>63</v>
      </c>
      <c r="D519" s="44">
        <v>6</v>
      </c>
      <c r="E519" s="43">
        <v>2.190580503833516E-4</v>
      </c>
    </row>
    <row r="520" spans="2:5" ht="15" customHeight="1" x14ac:dyDescent="0.25">
      <c r="B520" s="89"/>
      <c r="C520" s="45" t="s">
        <v>65</v>
      </c>
      <c r="D520" s="44">
        <v>7</v>
      </c>
      <c r="E520" s="43">
        <v>2.5556772544724351E-4</v>
      </c>
    </row>
    <row r="521" spans="2:5" ht="15" customHeight="1" x14ac:dyDescent="0.25">
      <c r="B521" s="89"/>
      <c r="C521" s="45" t="s">
        <v>58</v>
      </c>
      <c r="D521" s="44">
        <v>2</v>
      </c>
      <c r="E521" s="43">
        <v>7.3019350127783862E-5</v>
      </c>
    </row>
    <row r="522" spans="2:5" ht="15" customHeight="1" x14ac:dyDescent="0.25">
      <c r="B522" s="89"/>
      <c r="C522" s="45" t="s">
        <v>43</v>
      </c>
      <c r="D522" s="44">
        <v>2</v>
      </c>
      <c r="E522" s="43">
        <v>7.3019350127783862E-5</v>
      </c>
    </row>
    <row r="523" spans="2:5" ht="15" customHeight="1" x14ac:dyDescent="0.25">
      <c r="B523" s="89"/>
      <c r="C523" s="45" t="s">
        <v>37</v>
      </c>
      <c r="D523" s="44">
        <v>1</v>
      </c>
      <c r="E523" s="43">
        <v>3.6509675063891931E-5</v>
      </c>
    </row>
    <row r="524" spans="2:5" ht="15" customHeight="1" x14ac:dyDescent="0.25">
      <c r="B524" s="89"/>
      <c r="C524" s="45" t="s">
        <v>28</v>
      </c>
      <c r="D524" s="44">
        <v>1</v>
      </c>
      <c r="E524" s="43">
        <v>3.6509675063891931E-5</v>
      </c>
    </row>
    <row r="525" spans="2:5" ht="15" customHeight="1" x14ac:dyDescent="0.25">
      <c r="B525" s="89"/>
      <c r="C525" s="45" t="s">
        <v>51</v>
      </c>
      <c r="D525" s="44">
        <v>1</v>
      </c>
      <c r="E525" s="43">
        <v>3.6509675063891931E-5</v>
      </c>
    </row>
    <row r="526" spans="2:5" ht="15" customHeight="1" x14ac:dyDescent="0.25">
      <c r="B526" s="89"/>
      <c r="C526" s="45" t="s">
        <v>39</v>
      </c>
      <c r="D526" s="44">
        <v>2</v>
      </c>
      <c r="E526" s="43">
        <v>7.3019350127783862E-5</v>
      </c>
    </row>
    <row r="527" spans="2:5" ht="15" customHeight="1" x14ac:dyDescent="0.25">
      <c r="B527" s="89"/>
      <c r="C527" s="45" t="s">
        <v>38</v>
      </c>
      <c r="D527" s="44">
        <v>4</v>
      </c>
      <c r="E527" s="43">
        <v>1.4603870025556772E-4</v>
      </c>
    </row>
    <row r="528" spans="2:5" ht="15" customHeight="1" x14ac:dyDescent="0.25">
      <c r="B528" s="89"/>
      <c r="C528" s="45" t="s">
        <v>59</v>
      </c>
      <c r="D528" s="44">
        <v>4</v>
      </c>
      <c r="E528" s="43">
        <v>1.4603870025556772E-4</v>
      </c>
    </row>
    <row r="529" spans="2:5" ht="15" customHeight="1" x14ac:dyDescent="0.25">
      <c r="B529" s="89"/>
      <c r="C529" s="45" t="s">
        <v>64</v>
      </c>
      <c r="D529" s="44">
        <v>3</v>
      </c>
      <c r="E529" s="43">
        <v>1.095290251916758E-4</v>
      </c>
    </row>
    <row r="530" spans="2:5" ht="15" customHeight="1" x14ac:dyDescent="0.25">
      <c r="B530" s="89"/>
      <c r="C530" s="45" t="s">
        <v>60</v>
      </c>
      <c r="D530" s="44">
        <v>3</v>
      </c>
      <c r="E530" s="43">
        <v>1.095290251916758E-4</v>
      </c>
    </row>
    <row r="531" spans="2:5" ht="15" customHeight="1" x14ac:dyDescent="0.25">
      <c r="B531" s="89"/>
      <c r="C531" s="45" t="s">
        <v>48</v>
      </c>
      <c r="D531" s="44">
        <v>1</v>
      </c>
      <c r="E531" s="43">
        <v>3.6509675063891931E-5</v>
      </c>
    </row>
    <row r="532" spans="2:5" ht="15" customHeight="1" x14ac:dyDescent="0.25">
      <c r="B532" s="89"/>
      <c r="C532" s="45" t="s">
        <v>45</v>
      </c>
      <c r="D532" s="44">
        <v>1</v>
      </c>
      <c r="E532" s="43">
        <v>3.6509675063891931E-5</v>
      </c>
    </row>
    <row r="533" spans="2:5" ht="15" customHeight="1" x14ac:dyDescent="0.25">
      <c r="B533" s="89"/>
      <c r="C533" s="45" t="s">
        <v>44</v>
      </c>
      <c r="D533" s="44">
        <v>1</v>
      </c>
      <c r="E533" s="43">
        <v>3.6509675063891931E-5</v>
      </c>
    </row>
    <row r="534" spans="2:5" ht="15" customHeight="1" x14ac:dyDescent="0.25">
      <c r="B534" s="89"/>
      <c r="C534" s="45" t="s">
        <v>54</v>
      </c>
      <c r="D534" s="44">
        <v>2</v>
      </c>
      <c r="E534" s="43">
        <v>7.3019350127783862E-5</v>
      </c>
    </row>
    <row r="535" spans="2:5" ht="15" customHeight="1" x14ac:dyDescent="0.25">
      <c r="B535" s="89"/>
      <c r="C535" s="45" t="s">
        <v>66</v>
      </c>
      <c r="D535" s="44">
        <v>20</v>
      </c>
      <c r="E535" s="43">
        <v>7.3019350127783865E-4</v>
      </c>
    </row>
    <row r="536" spans="2:5" ht="15" customHeight="1" x14ac:dyDescent="0.25">
      <c r="B536" s="89"/>
      <c r="C536" s="45" t="s">
        <v>55</v>
      </c>
      <c r="D536" s="44">
        <v>5</v>
      </c>
      <c r="E536" s="43">
        <v>1.8254837531945966E-4</v>
      </c>
    </row>
    <row r="537" spans="2:5" ht="15" customHeight="1" x14ac:dyDescent="0.25">
      <c r="B537" s="89"/>
      <c r="C537" s="45" t="s">
        <v>50</v>
      </c>
      <c r="D537" s="44">
        <v>1</v>
      </c>
      <c r="E537" s="43">
        <v>3.6509675063891931E-5</v>
      </c>
    </row>
    <row r="538" spans="2:5" ht="15" customHeight="1" x14ac:dyDescent="0.25">
      <c r="B538" s="89"/>
      <c r="C538" s="45" t="s">
        <v>57</v>
      </c>
      <c r="D538" s="44">
        <v>2</v>
      </c>
      <c r="E538" s="43">
        <v>7.3019350127783862E-5</v>
      </c>
    </row>
    <row r="539" spans="2:5" ht="15" customHeight="1" x14ac:dyDescent="0.25">
      <c r="B539" s="89"/>
      <c r="C539" s="45" t="s">
        <v>29</v>
      </c>
      <c r="D539" s="44">
        <v>1</v>
      </c>
      <c r="E539" s="43">
        <v>3.6509675063891931E-5</v>
      </c>
    </row>
    <row r="540" spans="2:5" ht="15" customHeight="1" x14ac:dyDescent="0.25">
      <c r="B540" s="90"/>
      <c r="C540" s="42" t="s">
        <v>20</v>
      </c>
      <c r="D540" s="41">
        <v>131</v>
      </c>
      <c r="E540" s="40">
        <v>4.7827674333698429E-3</v>
      </c>
    </row>
    <row r="541" spans="2:5" ht="15" customHeight="1" x14ac:dyDescent="0.25">
      <c r="B541" s="88" t="s">
        <v>149</v>
      </c>
      <c r="C541" s="45" t="s">
        <v>53</v>
      </c>
      <c r="D541" s="44">
        <v>4</v>
      </c>
      <c r="E541" s="43">
        <v>1.4603870025556772E-4</v>
      </c>
    </row>
    <row r="542" spans="2:5" ht="15" customHeight="1" x14ac:dyDescent="0.25">
      <c r="B542" s="89"/>
      <c r="C542" s="45" t="s">
        <v>67</v>
      </c>
      <c r="D542" s="44">
        <v>43</v>
      </c>
      <c r="E542" s="43">
        <v>1.569916027747353E-3</v>
      </c>
    </row>
    <row r="543" spans="2:5" ht="15" customHeight="1" x14ac:dyDescent="0.25">
      <c r="B543" s="89"/>
      <c r="C543" s="45" t="s">
        <v>56</v>
      </c>
      <c r="D543" s="44">
        <v>3</v>
      </c>
      <c r="E543" s="43">
        <v>1.095290251916758E-4</v>
      </c>
    </row>
    <row r="544" spans="2:5" ht="15" customHeight="1" x14ac:dyDescent="0.25">
      <c r="B544" s="89"/>
      <c r="C544" s="45" t="s">
        <v>31</v>
      </c>
      <c r="D544" s="44">
        <v>2</v>
      </c>
      <c r="E544" s="43">
        <v>7.3019350127783862E-5</v>
      </c>
    </row>
    <row r="545" spans="2:5" ht="15" customHeight="1" x14ac:dyDescent="0.25">
      <c r="B545" s="89"/>
      <c r="C545" s="45" t="s">
        <v>62</v>
      </c>
      <c r="D545" s="44">
        <v>7</v>
      </c>
      <c r="E545" s="43">
        <v>2.5556772544724351E-4</v>
      </c>
    </row>
    <row r="546" spans="2:5" ht="15" customHeight="1" x14ac:dyDescent="0.25">
      <c r="B546" s="89"/>
      <c r="C546" s="45" t="s">
        <v>63</v>
      </c>
      <c r="D546" s="44">
        <v>5</v>
      </c>
      <c r="E546" s="43">
        <v>1.8254837531945966E-4</v>
      </c>
    </row>
    <row r="547" spans="2:5" ht="15" customHeight="1" x14ac:dyDescent="0.25">
      <c r="B547" s="89"/>
      <c r="C547" s="45" t="s">
        <v>65</v>
      </c>
      <c r="D547" s="44">
        <v>3</v>
      </c>
      <c r="E547" s="43">
        <v>1.095290251916758E-4</v>
      </c>
    </row>
    <row r="548" spans="2:5" ht="15" customHeight="1" x14ac:dyDescent="0.25">
      <c r="B548" s="89"/>
      <c r="C548" s="45" t="s">
        <v>34</v>
      </c>
      <c r="D548" s="44">
        <v>2</v>
      </c>
      <c r="E548" s="43">
        <v>7.3019350127783862E-5</v>
      </c>
    </row>
    <row r="549" spans="2:5" ht="15" customHeight="1" x14ac:dyDescent="0.25">
      <c r="B549" s="89"/>
      <c r="C549" s="45" t="s">
        <v>43</v>
      </c>
      <c r="D549" s="44">
        <v>2</v>
      </c>
      <c r="E549" s="43">
        <v>7.3019350127783862E-5</v>
      </c>
    </row>
    <row r="550" spans="2:5" ht="15" customHeight="1" x14ac:dyDescent="0.25">
      <c r="B550" s="89"/>
      <c r="C550" s="45" t="s">
        <v>37</v>
      </c>
      <c r="D550" s="44">
        <v>3</v>
      </c>
      <c r="E550" s="43">
        <v>1.095290251916758E-4</v>
      </c>
    </row>
    <row r="551" spans="2:5" ht="15" customHeight="1" x14ac:dyDescent="0.25">
      <c r="B551" s="89"/>
      <c r="C551" s="45" t="s">
        <v>46</v>
      </c>
      <c r="D551" s="44">
        <v>1</v>
      </c>
      <c r="E551" s="43">
        <v>3.6509675063891931E-5</v>
      </c>
    </row>
    <row r="552" spans="2:5" ht="15" customHeight="1" x14ac:dyDescent="0.25">
      <c r="B552" s="89"/>
      <c r="C552" s="45" t="s">
        <v>51</v>
      </c>
      <c r="D552" s="44">
        <v>1</v>
      </c>
      <c r="E552" s="43">
        <v>3.6509675063891931E-5</v>
      </c>
    </row>
    <row r="553" spans="2:5" ht="15" customHeight="1" x14ac:dyDescent="0.25">
      <c r="B553" s="89"/>
      <c r="C553" s="45" t="s">
        <v>39</v>
      </c>
      <c r="D553" s="44">
        <v>2</v>
      </c>
      <c r="E553" s="43">
        <v>7.3019350127783862E-5</v>
      </c>
    </row>
    <row r="554" spans="2:5" ht="15" customHeight="1" x14ac:dyDescent="0.25">
      <c r="B554" s="89"/>
      <c r="C554" s="45" t="s">
        <v>38</v>
      </c>
      <c r="D554" s="44">
        <v>3</v>
      </c>
      <c r="E554" s="43">
        <v>1.095290251916758E-4</v>
      </c>
    </row>
    <row r="555" spans="2:5" ht="15" customHeight="1" x14ac:dyDescent="0.25">
      <c r="B555" s="89"/>
      <c r="C555" s="45" t="s">
        <v>61</v>
      </c>
      <c r="D555" s="44">
        <v>5</v>
      </c>
      <c r="E555" s="43">
        <v>1.8254837531945966E-4</v>
      </c>
    </row>
    <row r="556" spans="2:5" ht="15" customHeight="1" x14ac:dyDescent="0.25">
      <c r="B556" s="89"/>
      <c r="C556" s="45" t="s">
        <v>59</v>
      </c>
      <c r="D556" s="44">
        <v>4</v>
      </c>
      <c r="E556" s="43">
        <v>1.4603870025556772E-4</v>
      </c>
    </row>
    <row r="557" spans="2:5" ht="15" customHeight="1" x14ac:dyDescent="0.25">
      <c r="B557" s="89"/>
      <c r="C557" s="45" t="s">
        <v>64</v>
      </c>
      <c r="D557" s="44">
        <v>6</v>
      </c>
      <c r="E557" s="43">
        <v>2.190580503833516E-4</v>
      </c>
    </row>
    <row r="558" spans="2:5" ht="15" customHeight="1" x14ac:dyDescent="0.25">
      <c r="B558" s="89"/>
      <c r="C558" s="45" t="s">
        <v>60</v>
      </c>
      <c r="D558" s="44">
        <v>3</v>
      </c>
      <c r="E558" s="43">
        <v>1.095290251916758E-4</v>
      </c>
    </row>
    <row r="559" spans="2:5" ht="15" customHeight="1" x14ac:dyDescent="0.25">
      <c r="B559" s="89"/>
      <c r="C559" s="45" t="s">
        <v>41</v>
      </c>
      <c r="D559" s="44">
        <v>2</v>
      </c>
      <c r="E559" s="43">
        <v>7.3019350127783862E-5</v>
      </c>
    </row>
    <row r="560" spans="2:5" ht="15" customHeight="1" x14ac:dyDescent="0.25">
      <c r="B560" s="89"/>
      <c r="C560" s="45" t="s">
        <v>45</v>
      </c>
      <c r="D560" s="44">
        <v>1</v>
      </c>
      <c r="E560" s="43">
        <v>3.6509675063891931E-5</v>
      </c>
    </row>
    <row r="561" spans="2:5" ht="15" customHeight="1" x14ac:dyDescent="0.25">
      <c r="B561" s="89"/>
      <c r="C561" s="45" t="s">
        <v>54</v>
      </c>
      <c r="D561" s="44">
        <v>1</v>
      </c>
      <c r="E561" s="43">
        <v>3.6509675063891931E-5</v>
      </c>
    </row>
    <row r="562" spans="2:5" ht="15" customHeight="1" x14ac:dyDescent="0.25">
      <c r="B562" s="89"/>
      <c r="C562" s="45" t="s">
        <v>66</v>
      </c>
      <c r="D562" s="44">
        <v>19</v>
      </c>
      <c r="E562" s="43">
        <v>6.9368382621394671E-4</v>
      </c>
    </row>
    <row r="563" spans="2:5" ht="15" customHeight="1" x14ac:dyDescent="0.25">
      <c r="B563" s="89"/>
      <c r="C563" s="45" t="s">
        <v>55</v>
      </c>
      <c r="D563" s="44">
        <v>1</v>
      </c>
      <c r="E563" s="43">
        <v>3.6509675063891931E-5</v>
      </c>
    </row>
    <row r="564" spans="2:5" ht="15" customHeight="1" x14ac:dyDescent="0.25">
      <c r="B564" s="89"/>
      <c r="C564" s="45" t="s">
        <v>42</v>
      </c>
      <c r="D564" s="44">
        <v>2</v>
      </c>
      <c r="E564" s="43">
        <v>7.3019350127783862E-5</v>
      </c>
    </row>
    <row r="565" spans="2:5" ht="15" customHeight="1" x14ac:dyDescent="0.25">
      <c r="B565" s="89"/>
      <c r="C565" s="45" t="s">
        <v>57</v>
      </c>
      <c r="D565" s="44">
        <v>6</v>
      </c>
      <c r="E565" s="43">
        <v>2.190580503833516E-4</v>
      </c>
    </row>
    <row r="566" spans="2:5" ht="15" customHeight="1" x14ac:dyDescent="0.25">
      <c r="B566" s="90"/>
      <c r="C566" s="42" t="s">
        <v>20</v>
      </c>
      <c r="D566" s="41">
        <v>131</v>
      </c>
      <c r="E566" s="40">
        <v>4.7827674333698429E-3</v>
      </c>
    </row>
    <row r="567" spans="2:5" ht="15" customHeight="1" x14ac:dyDescent="0.25">
      <c r="B567" s="88" t="s">
        <v>148</v>
      </c>
      <c r="C567" s="45" t="s">
        <v>53</v>
      </c>
      <c r="D567" s="44">
        <v>2</v>
      </c>
      <c r="E567" s="43">
        <v>7.3019350127783862E-5</v>
      </c>
    </row>
    <row r="568" spans="2:5" ht="15" customHeight="1" x14ac:dyDescent="0.25">
      <c r="B568" s="89"/>
      <c r="C568" s="45" t="s">
        <v>47</v>
      </c>
      <c r="D568" s="44">
        <v>3</v>
      </c>
      <c r="E568" s="43">
        <v>1.095290251916758E-4</v>
      </c>
    </row>
    <row r="569" spans="2:5" ht="15" customHeight="1" x14ac:dyDescent="0.25">
      <c r="B569" s="89"/>
      <c r="C569" s="45" t="s">
        <v>67</v>
      </c>
      <c r="D569" s="44">
        <v>20</v>
      </c>
      <c r="E569" s="43">
        <v>7.3019350127783865E-4</v>
      </c>
    </row>
    <row r="570" spans="2:5" ht="15" customHeight="1" x14ac:dyDescent="0.25">
      <c r="B570" s="89"/>
      <c r="C570" s="45" t="s">
        <v>56</v>
      </c>
      <c r="D570" s="44">
        <v>3</v>
      </c>
      <c r="E570" s="43">
        <v>1.095290251916758E-4</v>
      </c>
    </row>
    <row r="571" spans="2:5" ht="15" customHeight="1" x14ac:dyDescent="0.25">
      <c r="B571" s="89"/>
      <c r="C571" s="45" t="s">
        <v>63</v>
      </c>
      <c r="D571" s="44">
        <v>1</v>
      </c>
      <c r="E571" s="43">
        <v>3.6509675063891931E-5</v>
      </c>
    </row>
    <row r="572" spans="2:5" ht="15" customHeight="1" x14ac:dyDescent="0.25">
      <c r="B572" s="89"/>
      <c r="C572" s="45" t="s">
        <v>65</v>
      </c>
      <c r="D572" s="44">
        <v>3</v>
      </c>
      <c r="E572" s="43">
        <v>1.095290251916758E-4</v>
      </c>
    </row>
    <row r="573" spans="2:5" ht="15" customHeight="1" x14ac:dyDescent="0.25">
      <c r="B573" s="89"/>
      <c r="C573" s="45" t="s">
        <v>58</v>
      </c>
      <c r="D573" s="44">
        <v>1</v>
      </c>
      <c r="E573" s="43">
        <v>3.6509675063891931E-5</v>
      </c>
    </row>
    <row r="574" spans="2:5" ht="15" customHeight="1" x14ac:dyDescent="0.25">
      <c r="B574" s="89"/>
      <c r="C574" s="45" t="s">
        <v>61</v>
      </c>
      <c r="D574" s="44">
        <v>2</v>
      </c>
      <c r="E574" s="43">
        <v>7.3019350127783862E-5</v>
      </c>
    </row>
    <row r="575" spans="2:5" ht="15" customHeight="1" x14ac:dyDescent="0.25">
      <c r="B575" s="89"/>
      <c r="C575" s="45" t="s">
        <v>59</v>
      </c>
      <c r="D575" s="44">
        <v>1</v>
      </c>
      <c r="E575" s="43">
        <v>3.6509675063891931E-5</v>
      </c>
    </row>
    <row r="576" spans="2:5" ht="15" customHeight="1" x14ac:dyDescent="0.25">
      <c r="B576" s="89"/>
      <c r="C576" s="45" t="s">
        <v>64</v>
      </c>
      <c r="D576" s="44">
        <v>1</v>
      </c>
      <c r="E576" s="43">
        <v>3.6509675063891931E-5</v>
      </c>
    </row>
    <row r="577" spans="2:5" ht="15" customHeight="1" x14ac:dyDescent="0.25">
      <c r="B577" s="89"/>
      <c r="C577" s="45" t="s">
        <v>60</v>
      </c>
      <c r="D577" s="44">
        <v>4</v>
      </c>
      <c r="E577" s="43">
        <v>1.4603870025556772E-4</v>
      </c>
    </row>
    <row r="578" spans="2:5" ht="15" customHeight="1" x14ac:dyDescent="0.25">
      <c r="B578" s="89"/>
      <c r="C578" s="45" t="s">
        <v>48</v>
      </c>
      <c r="D578" s="44">
        <v>2</v>
      </c>
      <c r="E578" s="43">
        <v>7.3019350127783862E-5</v>
      </c>
    </row>
    <row r="579" spans="2:5" ht="15" customHeight="1" x14ac:dyDescent="0.25">
      <c r="B579" s="89"/>
      <c r="C579" s="45" t="s">
        <v>52</v>
      </c>
      <c r="D579" s="44">
        <v>1</v>
      </c>
      <c r="E579" s="43">
        <v>3.6509675063891931E-5</v>
      </c>
    </row>
    <row r="580" spans="2:5" ht="15" customHeight="1" x14ac:dyDescent="0.25">
      <c r="B580" s="89"/>
      <c r="C580" s="45" t="s">
        <v>54</v>
      </c>
      <c r="D580" s="44">
        <v>1</v>
      </c>
      <c r="E580" s="43">
        <v>3.6509675063891931E-5</v>
      </c>
    </row>
    <row r="581" spans="2:5" ht="15" customHeight="1" x14ac:dyDescent="0.25">
      <c r="B581" s="89"/>
      <c r="C581" s="45" t="s">
        <v>66</v>
      </c>
      <c r="D581" s="44">
        <v>11</v>
      </c>
      <c r="E581" s="43">
        <v>4.0160642570281126E-4</v>
      </c>
    </row>
    <row r="582" spans="2:5" ht="15" customHeight="1" x14ac:dyDescent="0.25">
      <c r="B582" s="89"/>
      <c r="C582" s="45" t="s">
        <v>55</v>
      </c>
      <c r="D582" s="44">
        <v>3</v>
      </c>
      <c r="E582" s="43">
        <v>1.095290251916758E-4</v>
      </c>
    </row>
    <row r="583" spans="2:5" ht="15" customHeight="1" x14ac:dyDescent="0.25">
      <c r="B583" s="90"/>
      <c r="C583" s="42" t="s">
        <v>20</v>
      </c>
      <c r="D583" s="41">
        <v>59</v>
      </c>
      <c r="E583" s="40">
        <v>2.1540708287696238E-3</v>
      </c>
    </row>
    <row r="584" spans="2:5" ht="15" customHeight="1" x14ac:dyDescent="0.25">
      <c r="B584" s="88" t="s">
        <v>147</v>
      </c>
      <c r="C584" s="45" t="s">
        <v>53</v>
      </c>
      <c r="D584" s="44">
        <v>1</v>
      </c>
      <c r="E584" s="43">
        <v>3.6509675063891931E-5</v>
      </c>
    </row>
    <row r="585" spans="2:5" ht="15" customHeight="1" x14ac:dyDescent="0.25">
      <c r="B585" s="89"/>
      <c r="C585" s="45" t="s">
        <v>67</v>
      </c>
      <c r="D585" s="44">
        <v>15</v>
      </c>
      <c r="E585" s="43">
        <v>5.4764512595837896E-4</v>
      </c>
    </row>
    <row r="586" spans="2:5" ht="15" customHeight="1" x14ac:dyDescent="0.25">
      <c r="B586" s="89"/>
      <c r="C586" s="45" t="s">
        <v>56</v>
      </c>
      <c r="D586" s="44">
        <v>1</v>
      </c>
      <c r="E586" s="43">
        <v>3.6509675063891931E-5</v>
      </c>
    </row>
    <row r="587" spans="2:5" ht="15" customHeight="1" x14ac:dyDescent="0.25">
      <c r="B587" s="89"/>
      <c r="C587" s="45" t="s">
        <v>62</v>
      </c>
      <c r="D587" s="44">
        <v>2</v>
      </c>
      <c r="E587" s="43">
        <v>7.3019350127783862E-5</v>
      </c>
    </row>
    <row r="588" spans="2:5" ht="15" customHeight="1" x14ac:dyDescent="0.25">
      <c r="B588" s="89"/>
      <c r="C588" s="45" t="s">
        <v>65</v>
      </c>
      <c r="D588" s="44">
        <v>1</v>
      </c>
      <c r="E588" s="43">
        <v>3.6509675063891931E-5</v>
      </c>
    </row>
    <row r="589" spans="2:5" ht="15" customHeight="1" x14ac:dyDescent="0.25">
      <c r="B589" s="89"/>
      <c r="C589" s="45" t="s">
        <v>64</v>
      </c>
      <c r="D589" s="44">
        <v>1</v>
      </c>
      <c r="E589" s="43">
        <v>3.6509675063891931E-5</v>
      </c>
    </row>
    <row r="590" spans="2:5" ht="15" customHeight="1" x14ac:dyDescent="0.25">
      <c r="B590" s="89"/>
      <c r="C590" s="45" t="s">
        <v>45</v>
      </c>
      <c r="D590" s="44">
        <v>1</v>
      </c>
      <c r="E590" s="43">
        <v>3.6509675063891931E-5</v>
      </c>
    </row>
    <row r="591" spans="2:5" ht="15" customHeight="1" x14ac:dyDescent="0.25">
      <c r="B591" s="89"/>
      <c r="C591" s="45" t="s">
        <v>25</v>
      </c>
      <c r="D591" s="44">
        <v>1</v>
      </c>
      <c r="E591" s="43">
        <v>3.6509675063891931E-5</v>
      </c>
    </row>
    <row r="592" spans="2:5" ht="15" customHeight="1" x14ac:dyDescent="0.25">
      <c r="B592" s="89"/>
      <c r="C592" s="45" t="s">
        <v>66</v>
      </c>
      <c r="D592" s="44">
        <v>4</v>
      </c>
      <c r="E592" s="43">
        <v>1.4603870025556772E-4</v>
      </c>
    </row>
    <row r="593" spans="2:5" ht="15" customHeight="1" x14ac:dyDescent="0.25">
      <c r="B593" s="90"/>
      <c r="C593" s="42" t="s">
        <v>20</v>
      </c>
      <c r="D593" s="41">
        <v>27</v>
      </c>
      <c r="E593" s="40">
        <v>9.8576122672508221E-4</v>
      </c>
    </row>
    <row r="594" spans="2:5" ht="15" customHeight="1" x14ac:dyDescent="0.25">
      <c r="B594" s="88" t="s">
        <v>146</v>
      </c>
      <c r="C594" s="45" t="s">
        <v>49</v>
      </c>
      <c r="D594" s="44">
        <v>5</v>
      </c>
      <c r="E594" s="43">
        <v>1.8254837531945966E-4</v>
      </c>
    </row>
    <row r="595" spans="2:5" ht="15" customHeight="1" x14ac:dyDescent="0.25">
      <c r="B595" s="89"/>
      <c r="C595" s="45" t="s">
        <v>53</v>
      </c>
      <c r="D595" s="44">
        <v>13</v>
      </c>
      <c r="E595" s="43">
        <v>4.7462577583059508E-4</v>
      </c>
    </row>
    <row r="596" spans="2:5" ht="15" customHeight="1" x14ac:dyDescent="0.25">
      <c r="B596" s="89"/>
      <c r="C596" s="45" t="s">
        <v>47</v>
      </c>
      <c r="D596" s="44">
        <v>3</v>
      </c>
      <c r="E596" s="43">
        <v>1.095290251916758E-4</v>
      </c>
    </row>
    <row r="597" spans="2:5" ht="15" customHeight="1" x14ac:dyDescent="0.25">
      <c r="B597" s="89"/>
      <c r="C597" s="45" t="s">
        <v>67</v>
      </c>
      <c r="D597" s="44">
        <v>185</v>
      </c>
      <c r="E597" s="43">
        <v>6.7542898868200073E-3</v>
      </c>
    </row>
    <row r="598" spans="2:5" ht="15" customHeight="1" x14ac:dyDescent="0.25">
      <c r="B598" s="89"/>
      <c r="C598" s="45" t="s">
        <v>56</v>
      </c>
      <c r="D598" s="44">
        <v>7</v>
      </c>
      <c r="E598" s="43">
        <v>2.5556772544724351E-4</v>
      </c>
    </row>
    <row r="599" spans="2:5" ht="15" customHeight="1" x14ac:dyDescent="0.25">
      <c r="B599" s="89"/>
      <c r="C599" s="45" t="s">
        <v>40</v>
      </c>
      <c r="D599" s="44">
        <v>1</v>
      </c>
      <c r="E599" s="43">
        <v>3.6509675063891931E-5</v>
      </c>
    </row>
    <row r="600" spans="2:5" ht="15" customHeight="1" x14ac:dyDescent="0.25">
      <c r="B600" s="89"/>
      <c r="C600" s="45" t="s">
        <v>31</v>
      </c>
      <c r="D600" s="44">
        <v>2</v>
      </c>
      <c r="E600" s="43">
        <v>7.3019350127783862E-5</v>
      </c>
    </row>
    <row r="601" spans="2:5" ht="15" customHeight="1" x14ac:dyDescent="0.25">
      <c r="B601" s="89"/>
      <c r="C601" s="45" t="s">
        <v>27</v>
      </c>
      <c r="D601" s="44">
        <v>1</v>
      </c>
      <c r="E601" s="43">
        <v>3.6509675063891931E-5</v>
      </c>
    </row>
    <row r="602" spans="2:5" ht="15" customHeight="1" x14ac:dyDescent="0.25">
      <c r="B602" s="89"/>
      <c r="C602" s="45" t="s">
        <v>62</v>
      </c>
      <c r="D602" s="44">
        <v>23</v>
      </c>
      <c r="E602" s="43">
        <v>8.3972252646951446E-4</v>
      </c>
    </row>
    <row r="603" spans="2:5" ht="15" customHeight="1" x14ac:dyDescent="0.25">
      <c r="B603" s="89"/>
      <c r="C603" s="45" t="s">
        <v>63</v>
      </c>
      <c r="D603" s="44">
        <v>11</v>
      </c>
      <c r="E603" s="43">
        <v>4.0160642570281126E-4</v>
      </c>
    </row>
    <row r="604" spans="2:5" ht="15" customHeight="1" x14ac:dyDescent="0.25">
      <c r="B604" s="89"/>
      <c r="C604" s="45" t="s">
        <v>32</v>
      </c>
      <c r="D604" s="44">
        <v>1</v>
      </c>
      <c r="E604" s="43">
        <v>3.6509675063891931E-5</v>
      </c>
    </row>
    <row r="605" spans="2:5" ht="15" customHeight="1" x14ac:dyDescent="0.25">
      <c r="B605" s="89"/>
      <c r="C605" s="45" t="s">
        <v>65</v>
      </c>
      <c r="D605" s="44">
        <v>104</v>
      </c>
      <c r="E605" s="43">
        <v>3.7970062066447607E-3</v>
      </c>
    </row>
    <row r="606" spans="2:5" ht="15" customHeight="1" x14ac:dyDescent="0.25">
      <c r="B606" s="89"/>
      <c r="C606" s="45" t="s">
        <v>58</v>
      </c>
      <c r="D606" s="44">
        <v>20</v>
      </c>
      <c r="E606" s="43">
        <v>7.3019350127783865E-4</v>
      </c>
    </row>
    <row r="607" spans="2:5" ht="15" customHeight="1" x14ac:dyDescent="0.25">
      <c r="B607" s="89"/>
      <c r="C607" s="45" t="s">
        <v>34</v>
      </c>
      <c r="D607" s="44">
        <v>1</v>
      </c>
      <c r="E607" s="43">
        <v>3.6509675063891931E-5</v>
      </c>
    </row>
    <row r="608" spans="2:5" ht="15" customHeight="1" x14ac:dyDescent="0.25">
      <c r="B608" s="89"/>
      <c r="C608" s="45" t="s">
        <v>43</v>
      </c>
      <c r="D608" s="44">
        <v>4</v>
      </c>
      <c r="E608" s="43">
        <v>1.4603870025556772E-4</v>
      </c>
    </row>
    <row r="609" spans="2:5" ht="15" customHeight="1" x14ac:dyDescent="0.25">
      <c r="B609" s="89"/>
      <c r="C609" s="45" t="s">
        <v>37</v>
      </c>
      <c r="D609" s="44">
        <v>1</v>
      </c>
      <c r="E609" s="43">
        <v>3.6509675063891931E-5</v>
      </c>
    </row>
    <row r="610" spans="2:5" ht="15" customHeight="1" x14ac:dyDescent="0.25">
      <c r="B610" s="89"/>
      <c r="C610" s="45" t="s">
        <v>28</v>
      </c>
      <c r="D610" s="44">
        <v>2</v>
      </c>
      <c r="E610" s="43">
        <v>7.3019350127783862E-5</v>
      </c>
    </row>
    <row r="611" spans="2:5" ht="15" customHeight="1" x14ac:dyDescent="0.25">
      <c r="B611" s="89"/>
      <c r="C611" s="45" t="s">
        <v>46</v>
      </c>
      <c r="D611" s="44">
        <v>4</v>
      </c>
      <c r="E611" s="43">
        <v>1.4603870025556772E-4</v>
      </c>
    </row>
    <row r="612" spans="2:5" ht="15" customHeight="1" x14ac:dyDescent="0.25">
      <c r="B612" s="89"/>
      <c r="C612" s="45" t="s">
        <v>51</v>
      </c>
      <c r="D612" s="44">
        <v>13</v>
      </c>
      <c r="E612" s="43">
        <v>4.7462577583059508E-4</v>
      </c>
    </row>
    <row r="613" spans="2:5" ht="15" customHeight="1" x14ac:dyDescent="0.25">
      <c r="B613" s="89"/>
      <c r="C613" s="45" t="s">
        <v>39</v>
      </c>
      <c r="D613" s="44">
        <v>2</v>
      </c>
      <c r="E613" s="43">
        <v>7.3019350127783862E-5</v>
      </c>
    </row>
    <row r="614" spans="2:5" ht="15" customHeight="1" x14ac:dyDescent="0.25">
      <c r="B614" s="89"/>
      <c r="C614" s="45" t="s">
        <v>21</v>
      </c>
      <c r="D614" s="44">
        <v>1</v>
      </c>
      <c r="E614" s="43">
        <v>3.6509675063891931E-5</v>
      </c>
    </row>
    <row r="615" spans="2:5" ht="15" customHeight="1" x14ac:dyDescent="0.25">
      <c r="B615" s="89"/>
      <c r="C615" s="45" t="s">
        <v>38</v>
      </c>
      <c r="D615" s="44">
        <v>5</v>
      </c>
      <c r="E615" s="43">
        <v>1.8254837531945966E-4</v>
      </c>
    </row>
    <row r="616" spans="2:5" ht="15" customHeight="1" x14ac:dyDescent="0.25">
      <c r="B616" s="89"/>
      <c r="C616" s="45" t="s">
        <v>61</v>
      </c>
      <c r="D616" s="44">
        <v>11</v>
      </c>
      <c r="E616" s="43">
        <v>4.0160642570281126E-4</v>
      </c>
    </row>
    <row r="617" spans="2:5" ht="15" customHeight="1" x14ac:dyDescent="0.25">
      <c r="B617" s="89"/>
      <c r="C617" s="45" t="s">
        <v>59</v>
      </c>
      <c r="D617" s="44">
        <v>17</v>
      </c>
      <c r="E617" s="43">
        <v>6.2066447608616284E-4</v>
      </c>
    </row>
    <row r="618" spans="2:5" ht="15" customHeight="1" x14ac:dyDescent="0.25">
      <c r="B618" s="89"/>
      <c r="C618" s="45" t="s">
        <v>36</v>
      </c>
      <c r="D618" s="44">
        <v>4</v>
      </c>
      <c r="E618" s="43">
        <v>1.4603870025556772E-4</v>
      </c>
    </row>
    <row r="619" spans="2:5" ht="15" customHeight="1" x14ac:dyDescent="0.25">
      <c r="B619" s="89"/>
      <c r="C619" s="45" t="s">
        <v>64</v>
      </c>
      <c r="D619" s="44">
        <v>40</v>
      </c>
      <c r="E619" s="43">
        <v>1.4603870025556773E-3</v>
      </c>
    </row>
    <row r="620" spans="2:5" ht="15" customHeight="1" x14ac:dyDescent="0.25">
      <c r="B620" s="89"/>
      <c r="C620" s="45" t="s">
        <v>60</v>
      </c>
      <c r="D620" s="44">
        <v>28</v>
      </c>
      <c r="E620" s="43">
        <v>1.022270901788974E-3</v>
      </c>
    </row>
    <row r="621" spans="2:5" ht="15" customHeight="1" x14ac:dyDescent="0.25">
      <c r="B621" s="89"/>
      <c r="C621" s="45" t="s">
        <v>41</v>
      </c>
      <c r="D621" s="44">
        <v>2</v>
      </c>
      <c r="E621" s="43">
        <v>7.3019350127783862E-5</v>
      </c>
    </row>
    <row r="622" spans="2:5" ht="15" customHeight="1" x14ac:dyDescent="0.25">
      <c r="B622" s="89"/>
      <c r="C622" s="45" t="s">
        <v>48</v>
      </c>
      <c r="D622" s="44">
        <v>1</v>
      </c>
      <c r="E622" s="43">
        <v>3.6509675063891931E-5</v>
      </c>
    </row>
    <row r="623" spans="2:5" ht="15" customHeight="1" x14ac:dyDescent="0.25">
      <c r="B623" s="89"/>
      <c r="C623" s="45" t="s">
        <v>52</v>
      </c>
      <c r="D623" s="44">
        <v>4</v>
      </c>
      <c r="E623" s="43">
        <v>1.4603870025556772E-4</v>
      </c>
    </row>
    <row r="624" spans="2:5" ht="15" customHeight="1" x14ac:dyDescent="0.25">
      <c r="B624" s="89"/>
      <c r="C624" s="45" t="s">
        <v>45</v>
      </c>
      <c r="D624" s="44">
        <v>4</v>
      </c>
      <c r="E624" s="43">
        <v>1.4603870025556772E-4</v>
      </c>
    </row>
    <row r="625" spans="2:5" ht="15" customHeight="1" x14ac:dyDescent="0.25">
      <c r="B625" s="89"/>
      <c r="C625" s="45" t="s">
        <v>26</v>
      </c>
      <c r="D625" s="44">
        <v>1</v>
      </c>
      <c r="E625" s="43">
        <v>3.6509675063891931E-5</v>
      </c>
    </row>
    <row r="626" spans="2:5" ht="15" customHeight="1" x14ac:dyDescent="0.25">
      <c r="B626" s="89"/>
      <c r="C626" s="45" t="s">
        <v>44</v>
      </c>
      <c r="D626" s="44">
        <v>7</v>
      </c>
      <c r="E626" s="43">
        <v>2.5556772544724351E-4</v>
      </c>
    </row>
    <row r="627" spans="2:5" ht="15" customHeight="1" x14ac:dyDescent="0.25">
      <c r="B627" s="89"/>
      <c r="C627" s="45" t="s">
        <v>54</v>
      </c>
      <c r="D627" s="44">
        <v>3</v>
      </c>
      <c r="E627" s="43">
        <v>1.095290251916758E-4</v>
      </c>
    </row>
    <row r="628" spans="2:5" ht="15" customHeight="1" x14ac:dyDescent="0.25">
      <c r="B628" s="89"/>
      <c r="C628" s="45" t="s">
        <v>66</v>
      </c>
      <c r="D628" s="44">
        <v>112</v>
      </c>
      <c r="E628" s="43">
        <v>4.0890836071558962E-3</v>
      </c>
    </row>
    <row r="629" spans="2:5" ht="15" customHeight="1" x14ac:dyDescent="0.25">
      <c r="B629" s="89"/>
      <c r="C629" s="45" t="s">
        <v>55</v>
      </c>
      <c r="D629" s="44">
        <v>21</v>
      </c>
      <c r="E629" s="43">
        <v>7.6670317634173059E-4</v>
      </c>
    </row>
    <row r="630" spans="2:5" ht="15" customHeight="1" x14ac:dyDescent="0.25">
      <c r="B630" s="89"/>
      <c r="C630" s="45" t="s">
        <v>50</v>
      </c>
      <c r="D630" s="44">
        <v>2</v>
      </c>
      <c r="E630" s="43">
        <v>7.3019350127783862E-5</v>
      </c>
    </row>
    <row r="631" spans="2:5" ht="15" customHeight="1" x14ac:dyDescent="0.25">
      <c r="B631" s="89"/>
      <c r="C631" s="45" t="s">
        <v>57</v>
      </c>
      <c r="D631" s="44">
        <v>24</v>
      </c>
      <c r="E631" s="43">
        <v>8.762322015334064E-4</v>
      </c>
    </row>
    <row r="632" spans="2:5" ht="15" customHeight="1" x14ac:dyDescent="0.25">
      <c r="B632" s="90"/>
      <c r="C632" s="42" t="s">
        <v>20</v>
      </c>
      <c r="D632" s="41">
        <v>690</v>
      </c>
      <c r="E632" s="40">
        <v>2.5191675794085433E-2</v>
      </c>
    </row>
    <row r="633" spans="2:5" ht="15" customHeight="1" x14ac:dyDescent="0.25">
      <c r="B633" s="88" t="s">
        <v>145</v>
      </c>
      <c r="C633" s="45" t="s">
        <v>49</v>
      </c>
      <c r="D633" s="44">
        <v>10</v>
      </c>
      <c r="E633" s="43">
        <v>3.6509675063891932E-4</v>
      </c>
    </row>
    <row r="634" spans="2:5" ht="15" customHeight="1" x14ac:dyDescent="0.25">
      <c r="B634" s="89"/>
      <c r="C634" s="45" t="s">
        <v>53</v>
      </c>
      <c r="D634" s="44">
        <v>23</v>
      </c>
      <c r="E634" s="43">
        <v>8.3972252646951446E-4</v>
      </c>
    </row>
    <row r="635" spans="2:5" ht="15" customHeight="1" x14ac:dyDescent="0.25">
      <c r="B635" s="89"/>
      <c r="C635" s="45" t="s">
        <v>47</v>
      </c>
      <c r="D635" s="44">
        <v>9</v>
      </c>
      <c r="E635" s="43">
        <v>3.2858707557502739E-4</v>
      </c>
    </row>
    <row r="636" spans="2:5" ht="15" customHeight="1" x14ac:dyDescent="0.25">
      <c r="B636" s="89"/>
      <c r="C636" s="45" t="s">
        <v>67</v>
      </c>
      <c r="D636" s="44">
        <v>390</v>
      </c>
      <c r="E636" s="43">
        <v>1.4238773274917854E-2</v>
      </c>
    </row>
    <row r="637" spans="2:5" ht="15" customHeight="1" x14ac:dyDescent="0.25">
      <c r="B637" s="89"/>
      <c r="C637" s="45" t="s">
        <v>56</v>
      </c>
      <c r="D637" s="44">
        <v>30</v>
      </c>
      <c r="E637" s="43">
        <v>1.0952902519167579E-3</v>
      </c>
    </row>
    <row r="638" spans="2:5" ht="15" customHeight="1" x14ac:dyDescent="0.25">
      <c r="B638" s="89"/>
      <c r="C638" s="45" t="s">
        <v>40</v>
      </c>
      <c r="D638" s="44">
        <v>1</v>
      </c>
      <c r="E638" s="43">
        <v>3.6509675063891931E-5</v>
      </c>
    </row>
    <row r="639" spans="2:5" ht="15" customHeight="1" x14ac:dyDescent="0.25">
      <c r="B639" s="89"/>
      <c r="C639" s="45" t="s">
        <v>31</v>
      </c>
      <c r="D639" s="44">
        <v>1</v>
      </c>
      <c r="E639" s="43">
        <v>3.6509675063891931E-5</v>
      </c>
    </row>
    <row r="640" spans="2:5" ht="15" customHeight="1" x14ac:dyDescent="0.25">
      <c r="B640" s="89"/>
      <c r="C640" s="45" t="s">
        <v>27</v>
      </c>
      <c r="D640" s="44">
        <v>2</v>
      </c>
      <c r="E640" s="43">
        <v>7.3019350127783862E-5</v>
      </c>
    </row>
    <row r="641" spans="2:5" ht="15" customHeight="1" x14ac:dyDescent="0.25">
      <c r="B641" s="89"/>
      <c r="C641" s="45" t="s">
        <v>62</v>
      </c>
      <c r="D641" s="44">
        <v>49</v>
      </c>
      <c r="E641" s="43">
        <v>1.7889740781307046E-3</v>
      </c>
    </row>
    <row r="642" spans="2:5" ht="15" customHeight="1" x14ac:dyDescent="0.25">
      <c r="B642" s="89"/>
      <c r="C642" s="45" t="s">
        <v>63</v>
      </c>
      <c r="D642" s="44">
        <v>35</v>
      </c>
      <c r="E642" s="43">
        <v>1.2778386272362175E-3</v>
      </c>
    </row>
    <row r="643" spans="2:5" ht="15" customHeight="1" x14ac:dyDescent="0.25">
      <c r="B643" s="89"/>
      <c r="C643" s="45" t="s">
        <v>32</v>
      </c>
      <c r="D643" s="44">
        <v>2</v>
      </c>
      <c r="E643" s="43">
        <v>7.3019350127783862E-5</v>
      </c>
    </row>
    <row r="644" spans="2:5" ht="15" customHeight="1" x14ac:dyDescent="0.25">
      <c r="B644" s="89"/>
      <c r="C644" s="45" t="s">
        <v>65</v>
      </c>
      <c r="D644" s="44">
        <v>146</v>
      </c>
      <c r="E644" s="43">
        <v>5.3304125593282223E-3</v>
      </c>
    </row>
    <row r="645" spans="2:5" ht="15" customHeight="1" x14ac:dyDescent="0.25">
      <c r="B645" s="89"/>
      <c r="C645" s="45" t="s">
        <v>58</v>
      </c>
      <c r="D645" s="44">
        <v>25</v>
      </c>
      <c r="E645" s="43">
        <v>9.1274187659729834E-4</v>
      </c>
    </row>
    <row r="646" spans="2:5" ht="15" customHeight="1" x14ac:dyDescent="0.25">
      <c r="B646" s="89"/>
      <c r="C646" s="45" t="s">
        <v>34</v>
      </c>
      <c r="D646" s="44">
        <v>5</v>
      </c>
      <c r="E646" s="43">
        <v>1.8254837531945966E-4</v>
      </c>
    </row>
    <row r="647" spans="2:5" ht="15" customHeight="1" x14ac:dyDescent="0.25">
      <c r="B647" s="89"/>
      <c r="C647" s="45" t="s">
        <v>43</v>
      </c>
      <c r="D647" s="44">
        <v>13</v>
      </c>
      <c r="E647" s="43">
        <v>4.7462577583059508E-4</v>
      </c>
    </row>
    <row r="648" spans="2:5" ht="15" customHeight="1" x14ac:dyDescent="0.25">
      <c r="B648" s="89"/>
      <c r="C648" s="45" t="s">
        <v>37</v>
      </c>
      <c r="D648" s="44">
        <v>1</v>
      </c>
      <c r="E648" s="43">
        <v>3.6509675063891931E-5</v>
      </c>
    </row>
    <row r="649" spans="2:5" ht="15" customHeight="1" x14ac:dyDescent="0.25">
      <c r="B649" s="89"/>
      <c r="C649" s="45" t="s">
        <v>33</v>
      </c>
      <c r="D649" s="44">
        <v>4</v>
      </c>
      <c r="E649" s="43">
        <v>1.4603870025556772E-4</v>
      </c>
    </row>
    <row r="650" spans="2:5" ht="15" customHeight="1" x14ac:dyDescent="0.25">
      <c r="B650" s="89"/>
      <c r="C650" s="45" t="s">
        <v>35</v>
      </c>
      <c r="D650" s="44">
        <v>3</v>
      </c>
      <c r="E650" s="43">
        <v>1.095290251916758E-4</v>
      </c>
    </row>
    <row r="651" spans="2:5" ht="15" customHeight="1" x14ac:dyDescent="0.25">
      <c r="B651" s="89"/>
      <c r="C651" s="45" t="s">
        <v>28</v>
      </c>
      <c r="D651" s="44">
        <v>7</v>
      </c>
      <c r="E651" s="43">
        <v>2.5556772544724351E-4</v>
      </c>
    </row>
    <row r="652" spans="2:5" ht="15" customHeight="1" x14ac:dyDescent="0.25">
      <c r="B652" s="89"/>
      <c r="C652" s="45" t="s">
        <v>46</v>
      </c>
      <c r="D652" s="44">
        <v>13</v>
      </c>
      <c r="E652" s="43">
        <v>4.7462577583059508E-4</v>
      </c>
    </row>
    <row r="653" spans="2:5" ht="15" customHeight="1" x14ac:dyDescent="0.25">
      <c r="B653" s="89"/>
      <c r="C653" s="45" t="s">
        <v>51</v>
      </c>
      <c r="D653" s="44">
        <v>26</v>
      </c>
      <c r="E653" s="43">
        <v>9.4925155166119017E-4</v>
      </c>
    </row>
    <row r="654" spans="2:5" ht="15" customHeight="1" x14ac:dyDescent="0.25">
      <c r="B654" s="89"/>
      <c r="C654" s="45" t="s">
        <v>30</v>
      </c>
      <c r="D654" s="44">
        <v>2</v>
      </c>
      <c r="E654" s="43">
        <v>7.3019350127783862E-5</v>
      </c>
    </row>
    <row r="655" spans="2:5" ht="15" customHeight="1" x14ac:dyDescent="0.25">
      <c r="B655" s="89"/>
      <c r="C655" s="45" t="s">
        <v>39</v>
      </c>
      <c r="D655" s="44">
        <v>3</v>
      </c>
      <c r="E655" s="43">
        <v>1.095290251916758E-4</v>
      </c>
    </row>
    <row r="656" spans="2:5" ht="15" customHeight="1" x14ac:dyDescent="0.25">
      <c r="B656" s="89"/>
      <c r="C656" s="45" t="s">
        <v>21</v>
      </c>
      <c r="D656" s="44">
        <v>1</v>
      </c>
      <c r="E656" s="43">
        <v>3.6509675063891931E-5</v>
      </c>
    </row>
    <row r="657" spans="2:5" ht="15" customHeight="1" x14ac:dyDescent="0.25">
      <c r="B657" s="89"/>
      <c r="C657" s="45" t="s">
        <v>38</v>
      </c>
      <c r="D657" s="44">
        <v>6</v>
      </c>
      <c r="E657" s="43">
        <v>2.190580503833516E-4</v>
      </c>
    </row>
    <row r="658" spans="2:5" ht="15" customHeight="1" x14ac:dyDescent="0.25">
      <c r="B658" s="89"/>
      <c r="C658" s="45" t="s">
        <v>61</v>
      </c>
      <c r="D658" s="44">
        <v>29</v>
      </c>
      <c r="E658" s="43">
        <v>1.0587805768528661E-3</v>
      </c>
    </row>
    <row r="659" spans="2:5" ht="15" customHeight="1" x14ac:dyDescent="0.25">
      <c r="B659" s="89"/>
      <c r="C659" s="45" t="s">
        <v>59</v>
      </c>
      <c r="D659" s="44">
        <v>20</v>
      </c>
      <c r="E659" s="43">
        <v>7.3019350127783865E-4</v>
      </c>
    </row>
    <row r="660" spans="2:5" ht="15" customHeight="1" x14ac:dyDescent="0.25">
      <c r="B660" s="89"/>
      <c r="C660" s="45" t="s">
        <v>36</v>
      </c>
      <c r="D660" s="44">
        <v>9</v>
      </c>
      <c r="E660" s="43">
        <v>3.2858707557502739E-4</v>
      </c>
    </row>
    <row r="661" spans="2:5" ht="15" customHeight="1" x14ac:dyDescent="0.25">
      <c r="B661" s="89"/>
      <c r="C661" s="45" t="s">
        <v>64</v>
      </c>
      <c r="D661" s="44">
        <v>51</v>
      </c>
      <c r="E661" s="43">
        <v>1.8619934282584885E-3</v>
      </c>
    </row>
    <row r="662" spans="2:5" ht="15" customHeight="1" x14ac:dyDescent="0.25">
      <c r="B662" s="89"/>
      <c r="C662" s="45" t="s">
        <v>60</v>
      </c>
      <c r="D662" s="44">
        <v>38</v>
      </c>
      <c r="E662" s="43">
        <v>1.3873676524278934E-3</v>
      </c>
    </row>
    <row r="663" spans="2:5" ht="15" customHeight="1" x14ac:dyDescent="0.25">
      <c r="B663" s="89"/>
      <c r="C663" s="45" t="s">
        <v>41</v>
      </c>
      <c r="D663" s="44">
        <v>7</v>
      </c>
      <c r="E663" s="43">
        <v>2.5556772544724351E-4</v>
      </c>
    </row>
    <row r="664" spans="2:5" ht="15" customHeight="1" x14ac:dyDescent="0.25">
      <c r="B664" s="89"/>
      <c r="C664" s="45" t="s">
        <v>48</v>
      </c>
      <c r="D664" s="44">
        <v>13</v>
      </c>
      <c r="E664" s="43">
        <v>4.7462577583059508E-4</v>
      </c>
    </row>
    <row r="665" spans="2:5" ht="15" customHeight="1" x14ac:dyDescent="0.25">
      <c r="B665" s="89"/>
      <c r="C665" s="45" t="s">
        <v>52</v>
      </c>
      <c r="D665" s="44">
        <v>7</v>
      </c>
      <c r="E665" s="43">
        <v>2.5556772544724351E-4</v>
      </c>
    </row>
    <row r="666" spans="2:5" ht="15" customHeight="1" x14ac:dyDescent="0.25">
      <c r="B666" s="89"/>
      <c r="C666" s="45" t="s">
        <v>45</v>
      </c>
      <c r="D666" s="44">
        <v>14</v>
      </c>
      <c r="E666" s="43">
        <v>5.1113545089448702E-4</v>
      </c>
    </row>
    <row r="667" spans="2:5" ht="15" customHeight="1" x14ac:dyDescent="0.25">
      <c r="B667" s="89"/>
      <c r="C667" s="45" t="s">
        <v>44</v>
      </c>
      <c r="D667" s="44">
        <v>9</v>
      </c>
      <c r="E667" s="43">
        <v>3.2858707557502739E-4</v>
      </c>
    </row>
    <row r="668" spans="2:5" ht="15" customHeight="1" x14ac:dyDescent="0.25">
      <c r="B668" s="89"/>
      <c r="C668" s="45" t="s">
        <v>54</v>
      </c>
      <c r="D668" s="44">
        <v>7</v>
      </c>
      <c r="E668" s="43">
        <v>2.5556772544724351E-4</v>
      </c>
    </row>
    <row r="669" spans="2:5" ht="15" customHeight="1" x14ac:dyDescent="0.25">
      <c r="B669" s="89"/>
      <c r="C669" s="45" t="s">
        <v>66</v>
      </c>
      <c r="D669" s="44">
        <v>375</v>
      </c>
      <c r="E669" s="43">
        <v>1.3691128148959474E-2</v>
      </c>
    </row>
    <row r="670" spans="2:5" ht="15" customHeight="1" x14ac:dyDescent="0.25">
      <c r="B670" s="89"/>
      <c r="C670" s="45" t="s">
        <v>55</v>
      </c>
      <c r="D670" s="44">
        <v>31</v>
      </c>
      <c r="E670" s="43">
        <v>1.13179992698065E-3</v>
      </c>
    </row>
    <row r="671" spans="2:5" ht="15" customHeight="1" x14ac:dyDescent="0.25">
      <c r="B671" s="89"/>
      <c r="C671" s="45" t="s">
        <v>42</v>
      </c>
      <c r="D671" s="44">
        <v>14</v>
      </c>
      <c r="E671" s="43">
        <v>5.1113545089448702E-4</v>
      </c>
    </row>
    <row r="672" spans="2:5" ht="15" customHeight="1" x14ac:dyDescent="0.25">
      <c r="B672" s="89"/>
      <c r="C672" s="45" t="s">
        <v>50</v>
      </c>
      <c r="D672" s="44">
        <v>9</v>
      </c>
      <c r="E672" s="43">
        <v>3.2858707557502739E-4</v>
      </c>
    </row>
    <row r="673" spans="2:5" ht="15" customHeight="1" x14ac:dyDescent="0.25">
      <c r="B673" s="89"/>
      <c r="C673" s="45" t="s">
        <v>57</v>
      </c>
      <c r="D673" s="44">
        <v>35</v>
      </c>
      <c r="E673" s="43">
        <v>1.2778386272362175E-3</v>
      </c>
    </row>
    <row r="674" spans="2:5" ht="15" customHeight="1" x14ac:dyDescent="0.25">
      <c r="B674" s="90"/>
      <c r="C674" s="42" t="s">
        <v>20</v>
      </c>
      <c r="D674" s="41">
        <v>1475</v>
      </c>
      <c r="E674" s="40">
        <v>5.3851770719240598E-2</v>
      </c>
    </row>
    <row r="675" spans="2:5" ht="15" customHeight="1" x14ac:dyDescent="0.25">
      <c r="B675" s="88" t="s">
        <v>144</v>
      </c>
      <c r="C675" s="45" t="s">
        <v>67</v>
      </c>
      <c r="D675" s="44">
        <v>7</v>
      </c>
      <c r="E675" s="43">
        <v>2.5556772544724351E-4</v>
      </c>
    </row>
    <row r="676" spans="2:5" ht="15" customHeight="1" x14ac:dyDescent="0.25">
      <c r="B676" s="89"/>
      <c r="C676" s="45" t="s">
        <v>62</v>
      </c>
      <c r="D676" s="44">
        <v>2</v>
      </c>
      <c r="E676" s="43">
        <v>7.3019350127783862E-5</v>
      </c>
    </row>
    <row r="677" spans="2:5" ht="15" customHeight="1" x14ac:dyDescent="0.25">
      <c r="B677" s="89"/>
      <c r="C677" s="45" t="s">
        <v>65</v>
      </c>
      <c r="D677" s="44">
        <v>6</v>
      </c>
      <c r="E677" s="43">
        <v>2.190580503833516E-4</v>
      </c>
    </row>
    <row r="678" spans="2:5" ht="15" customHeight="1" x14ac:dyDescent="0.25">
      <c r="B678" s="89"/>
      <c r="C678" s="45" t="s">
        <v>61</v>
      </c>
      <c r="D678" s="44">
        <v>1</v>
      </c>
      <c r="E678" s="43">
        <v>3.6509675063891931E-5</v>
      </c>
    </row>
    <row r="679" spans="2:5" ht="15" customHeight="1" x14ac:dyDescent="0.25">
      <c r="B679" s="89"/>
      <c r="C679" s="45" t="s">
        <v>59</v>
      </c>
      <c r="D679" s="44">
        <v>1</v>
      </c>
      <c r="E679" s="43">
        <v>3.6509675063891931E-5</v>
      </c>
    </row>
    <row r="680" spans="2:5" ht="15" customHeight="1" x14ac:dyDescent="0.25">
      <c r="B680" s="89"/>
      <c r="C680" s="45" t="s">
        <v>66</v>
      </c>
      <c r="D680" s="44">
        <v>3</v>
      </c>
      <c r="E680" s="43">
        <v>1.095290251916758E-4</v>
      </c>
    </row>
    <row r="681" spans="2:5" ht="15" customHeight="1" x14ac:dyDescent="0.25">
      <c r="B681" s="89"/>
      <c r="C681" s="45" t="s">
        <v>55</v>
      </c>
      <c r="D681" s="44">
        <v>1</v>
      </c>
      <c r="E681" s="43">
        <v>3.6509675063891931E-5</v>
      </c>
    </row>
    <row r="682" spans="2:5" ht="15" customHeight="1" x14ac:dyDescent="0.25">
      <c r="B682" s="89"/>
      <c r="C682" s="45" t="s">
        <v>42</v>
      </c>
      <c r="D682" s="44">
        <v>1</v>
      </c>
      <c r="E682" s="43">
        <v>3.6509675063891931E-5</v>
      </c>
    </row>
    <row r="683" spans="2:5" ht="15" customHeight="1" x14ac:dyDescent="0.25">
      <c r="B683" s="90"/>
      <c r="C683" s="42" t="s">
        <v>20</v>
      </c>
      <c r="D683" s="41">
        <v>22</v>
      </c>
      <c r="E683" s="40">
        <v>8.0321285140562252E-4</v>
      </c>
    </row>
    <row r="684" spans="2:5" ht="15" customHeight="1" x14ac:dyDescent="0.25">
      <c r="B684" s="88" t="s">
        <v>143</v>
      </c>
      <c r="C684" s="45" t="s">
        <v>53</v>
      </c>
      <c r="D684" s="44">
        <v>3</v>
      </c>
      <c r="E684" s="43">
        <v>1.095290251916758E-4</v>
      </c>
    </row>
    <row r="685" spans="2:5" ht="15" customHeight="1" x14ac:dyDescent="0.25">
      <c r="B685" s="89"/>
      <c r="C685" s="45" t="s">
        <v>47</v>
      </c>
      <c r="D685" s="44">
        <v>1</v>
      </c>
      <c r="E685" s="43">
        <v>3.6509675063891931E-5</v>
      </c>
    </row>
    <row r="686" spans="2:5" ht="15" customHeight="1" x14ac:dyDescent="0.25">
      <c r="B686" s="89"/>
      <c r="C686" s="45" t="s">
        <v>67</v>
      </c>
      <c r="D686" s="44">
        <v>25</v>
      </c>
      <c r="E686" s="43">
        <v>9.1274187659729834E-4</v>
      </c>
    </row>
    <row r="687" spans="2:5" ht="15" customHeight="1" x14ac:dyDescent="0.25">
      <c r="B687" s="89"/>
      <c r="C687" s="45" t="s">
        <v>56</v>
      </c>
      <c r="D687" s="44">
        <v>1</v>
      </c>
      <c r="E687" s="43">
        <v>3.6509675063891931E-5</v>
      </c>
    </row>
    <row r="688" spans="2:5" ht="15" customHeight="1" x14ac:dyDescent="0.25">
      <c r="B688" s="89"/>
      <c r="C688" s="45" t="s">
        <v>40</v>
      </c>
      <c r="D688" s="44">
        <v>1</v>
      </c>
      <c r="E688" s="43">
        <v>3.6509675063891931E-5</v>
      </c>
    </row>
    <row r="689" spans="2:5" ht="15" customHeight="1" x14ac:dyDescent="0.25">
      <c r="B689" s="89"/>
      <c r="C689" s="45" t="s">
        <v>27</v>
      </c>
      <c r="D689" s="44">
        <v>3</v>
      </c>
      <c r="E689" s="43">
        <v>1.095290251916758E-4</v>
      </c>
    </row>
    <row r="690" spans="2:5" ht="15" customHeight="1" x14ac:dyDescent="0.25">
      <c r="B690" s="89"/>
      <c r="C690" s="45" t="s">
        <v>62</v>
      </c>
      <c r="D690" s="44">
        <v>4</v>
      </c>
      <c r="E690" s="43">
        <v>1.4603870025556772E-4</v>
      </c>
    </row>
    <row r="691" spans="2:5" ht="15" customHeight="1" x14ac:dyDescent="0.25">
      <c r="B691" s="89"/>
      <c r="C691" s="45" t="s">
        <v>63</v>
      </c>
      <c r="D691" s="44">
        <v>4</v>
      </c>
      <c r="E691" s="43">
        <v>1.4603870025556772E-4</v>
      </c>
    </row>
    <row r="692" spans="2:5" ht="15" customHeight="1" x14ac:dyDescent="0.25">
      <c r="B692" s="89"/>
      <c r="C692" s="45" t="s">
        <v>65</v>
      </c>
      <c r="D692" s="44">
        <v>9</v>
      </c>
      <c r="E692" s="43">
        <v>3.2858707557502739E-4</v>
      </c>
    </row>
    <row r="693" spans="2:5" ht="15" customHeight="1" x14ac:dyDescent="0.25">
      <c r="B693" s="89"/>
      <c r="C693" s="45" t="s">
        <v>58</v>
      </c>
      <c r="D693" s="44">
        <v>1</v>
      </c>
      <c r="E693" s="43">
        <v>3.6509675063891931E-5</v>
      </c>
    </row>
    <row r="694" spans="2:5" ht="15" customHeight="1" x14ac:dyDescent="0.25">
      <c r="B694" s="89"/>
      <c r="C694" s="45" t="s">
        <v>43</v>
      </c>
      <c r="D694" s="44">
        <v>1</v>
      </c>
      <c r="E694" s="43">
        <v>3.6509675063891931E-5</v>
      </c>
    </row>
    <row r="695" spans="2:5" ht="15" customHeight="1" x14ac:dyDescent="0.25">
      <c r="B695" s="89"/>
      <c r="C695" s="45" t="s">
        <v>37</v>
      </c>
      <c r="D695" s="44">
        <v>1</v>
      </c>
      <c r="E695" s="43">
        <v>3.6509675063891931E-5</v>
      </c>
    </row>
    <row r="696" spans="2:5" ht="15" customHeight="1" x14ac:dyDescent="0.25">
      <c r="B696" s="89"/>
      <c r="C696" s="45" t="s">
        <v>33</v>
      </c>
      <c r="D696" s="44">
        <v>1</v>
      </c>
      <c r="E696" s="43">
        <v>3.6509675063891931E-5</v>
      </c>
    </row>
    <row r="697" spans="2:5" ht="15" customHeight="1" x14ac:dyDescent="0.25">
      <c r="B697" s="89"/>
      <c r="C697" s="45" t="s">
        <v>35</v>
      </c>
      <c r="D697" s="44">
        <v>2</v>
      </c>
      <c r="E697" s="43">
        <v>7.3019350127783862E-5</v>
      </c>
    </row>
    <row r="698" spans="2:5" ht="15" customHeight="1" x14ac:dyDescent="0.25">
      <c r="B698" s="89"/>
      <c r="C698" s="45" t="s">
        <v>28</v>
      </c>
      <c r="D698" s="44">
        <v>1</v>
      </c>
      <c r="E698" s="43">
        <v>3.6509675063891931E-5</v>
      </c>
    </row>
    <row r="699" spans="2:5" ht="15" customHeight="1" x14ac:dyDescent="0.25">
      <c r="B699" s="89"/>
      <c r="C699" s="45" t="s">
        <v>46</v>
      </c>
      <c r="D699" s="44">
        <v>4</v>
      </c>
      <c r="E699" s="43">
        <v>1.4603870025556772E-4</v>
      </c>
    </row>
    <row r="700" spans="2:5" ht="15" customHeight="1" x14ac:dyDescent="0.25">
      <c r="B700" s="89"/>
      <c r="C700" s="45" t="s">
        <v>51</v>
      </c>
      <c r="D700" s="44">
        <v>3</v>
      </c>
      <c r="E700" s="43">
        <v>1.095290251916758E-4</v>
      </c>
    </row>
    <row r="701" spans="2:5" ht="15" customHeight="1" x14ac:dyDescent="0.25">
      <c r="B701" s="89"/>
      <c r="C701" s="45" t="s">
        <v>59</v>
      </c>
      <c r="D701" s="44">
        <v>2</v>
      </c>
      <c r="E701" s="43">
        <v>7.3019350127783862E-5</v>
      </c>
    </row>
    <row r="702" spans="2:5" ht="15" customHeight="1" x14ac:dyDescent="0.25">
      <c r="B702" s="89"/>
      <c r="C702" s="45" t="s">
        <v>64</v>
      </c>
      <c r="D702" s="44">
        <v>6</v>
      </c>
      <c r="E702" s="43">
        <v>2.190580503833516E-4</v>
      </c>
    </row>
    <row r="703" spans="2:5" ht="15" customHeight="1" x14ac:dyDescent="0.25">
      <c r="B703" s="89"/>
      <c r="C703" s="45" t="s">
        <v>60</v>
      </c>
      <c r="D703" s="44">
        <v>1</v>
      </c>
      <c r="E703" s="43">
        <v>3.6509675063891931E-5</v>
      </c>
    </row>
    <row r="704" spans="2:5" ht="15" customHeight="1" x14ac:dyDescent="0.25">
      <c r="B704" s="89"/>
      <c r="C704" s="45" t="s">
        <v>41</v>
      </c>
      <c r="D704" s="44">
        <v>1</v>
      </c>
      <c r="E704" s="43">
        <v>3.6509675063891931E-5</v>
      </c>
    </row>
    <row r="705" spans="2:5" ht="15" customHeight="1" x14ac:dyDescent="0.25">
      <c r="B705" s="89"/>
      <c r="C705" s="45" t="s">
        <v>26</v>
      </c>
      <c r="D705" s="44">
        <v>2</v>
      </c>
      <c r="E705" s="43">
        <v>7.3019350127783862E-5</v>
      </c>
    </row>
    <row r="706" spans="2:5" ht="15" customHeight="1" x14ac:dyDescent="0.25">
      <c r="B706" s="89"/>
      <c r="C706" s="45" t="s">
        <v>66</v>
      </c>
      <c r="D706" s="44">
        <v>20</v>
      </c>
      <c r="E706" s="43">
        <v>7.3019350127783865E-4</v>
      </c>
    </row>
    <row r="707" spans="2:5" ht="15" customHeight="1" x14ac:dyDescent="0.25">
      <c r="B707" s="89"/>
      <c r="C707" s="45" t="s">
        <v>42</v>
      </c>
      <c r="D707" s="44">
        <v>2</v>
      </c>
      <c r="E707" s="43">
        <v>7.3019350127783862E-5</v>
      </c>
    </row>
    <row r="708" spans="2:5" ht="15" customHeight="1" x14ac:dyDescent="0.25">
      <c r="B708" s="89"/>
      <c r="C708" s="45" t="s">
        <v>50</v>
      </c>
      <c r="D708" s="44">
        <v>3</v>
      </c>
      <c r="E708" s="43">
        <v>1.095290251916758E-4</v>
      </c>
    </row>
    <row r="709" spans="2:5" ht="15" customHeight="1" x14ac:dyDescent="0.25">
      <c r="B709" s="89"/>
      <c r="C709" s="45" t="s">
        <v>57</v>
      </c>
      <c r="D709" s="44">
        <v>2</v>
      </c>
      <c r="E709" s="43">
        <v>7.3019350127783862E-5</v>
      </c>
    </row>
    <row r="710" spans="2:5" ht="15" customHeight="1" x14ac:dyDescent="0.25">
      <c r="B710" s="90"/>
      <c r="C710" s="42" t="s">
        <v>20</v>
      </c>
      <c r="D710" s="41">
        <v>104</v>
      </c>
      <c r="E710" s="40">
        <v>3.7970062066447607E-3</v>
      </c>
    </row>
    <row r="711" spans="2:5" ht="15" customHeight="1" x14ac:dyDescent="0.25">
      <c r="B711" s="88" t="s">
        <v>142</v>
      </c>
      <c r="C711" s="45" t="s">
        <v>53</v>
      </c>
      <c r="D711" s="44">
        <v>1</v>
      </c>
      <c r="E711" s="43">
        <v>3.6509675063891931E-5</v>
      </c>
    </row>
    <row r="712" spans="2:5" ht="15" customHeight="1" x14ac:dyDescent="0.25">
      <c r="B712" s="89"/>
      <c r="C712" s="45" t="s">
        <v>67</v>
      </c>
      <c r="D712" s="44">
        <v>10</v>
      </c>
      <c r="E712" s="43">
        <v>3.6509675063891932E-4</v>
      </c>
    </row>
    <row r="713" spans="2:5" ht="15" customHeight="1" x14ac:dyDescent="0.25">
      <c r="B713" s="89"/>
      <c r="C713" s="45" t="s">
        <v>27</v>
      </c>
      <c r="D713" s="44">
        <v>1</v>
      </c>
      <c r="E713" s="43">
        <v>3.6509675063891931E-5</v>
      </c>
    </row>
    <row r="714" spans="2:5" ht="15" customHeight="1" x14ac:dyDescent="0.25">
      <c r="B714" s="89"/>
      <c r="C714" s="45" t="s">
        <v>46</v>
      </c>
      <c r="D714" s="44">
        <v>1</v>
      </c>
      <c r="E714" s="43">
        <v>3.6509675063891931E-5</v>
      </c>
    </row>
    <row r="715" spans="2:5" ht="15" customHeight="1" x14ac:dyDescent="0.25">
      <c r="B715" s="89"/>
      <c r="C715" s="45" t="s">
        <v>36</v>
      </c>
      <c r="D715" s="44">
        <v>1</v>
      </c>
      <c r="E715" s="43">
        <v>3.6509675063891931E-5</v>
      </c>
    </row>
    <row r="716" spans="2:5" ht="15" customHeight="1" x14ac:dyDescent="0.25">
      <c r="B716" s="89"/>
      <c r="C716" s="45" t="s">
        <v>64</v>
      </c>
      <c r="D716" s="44">
        <v>2</v>
      </c>
      <c r="E716" s="43">
        <v>7.3019350127783862E-5</v>
      </c>
    </row>
    <row r="717" spans="2:5" ht="15" customHeight="1" x14ac:dyDescent="0.25">
      <c r="B717" s="89"/>
      <c r="C717" s="45" t="s">
        <v>66</v>
      </c>
      <c r="D717" s="44">
        <v>5</v>
      </c>
      <c r="E717" s="43">
        <v>1.8254837531945966E-4</v>
      </c>
    </row>
    <row r="718" spans="2:5" ht="15" customHeight="1" x14ac:dyDescent="0.25">
      <c r="B718" s="89"/>
      <c r="C718" s="45" t="s">
        <v>55</v>
      </c>
      <c r="D718" s="44">
        <v>2</v>
      </c>
      <c r="E718" s="43">
        <v>7.3019350127783862E-5</v>
      </c>
    </row>
    <row r="719" spans="2:5" ht="15" customHeight="1" x14ac:dyDescent="0.25">
      <c r="B719" s="89"/>
      <c r="C719" s="45" t="s">
        <v>42</v>
      </c>
      <c r="D719" s="44">
        <v>2</v>
      </c>
      <c r="E719" s="43">
        <v>7.3019350127783862E-5</v>
      </c>
    </row>
    <row r="720" spans="2:5" ht="15" customHeight="1" x14ac:dyDescent="0.25">
      <c r="B720" s="89"/>
      <c r="C720" s="45" t="s">
        <v>50</v>
      </c>
      <c r="D720" s="44">
        <v>1</v>
      </c>
      <c r="E720" s="43">
        <v>3.6509675063891931E-5</v>
      </c>
    </row>
    <row r="721" spans="2:5" ht="15" customHeight="1" x14ac:dyDescent="0.25">
      <c r="B721" s="89"/>
      <c r="C721" s="45" t="s">
        <v>57</v>
      </c>
      <c r="D721" s="44">
        <v>1</v>
      </c>
      <c r="E721" s="43">
        <v>3.6509675063891931E-5</v>
      </c>
    </row>
    <row r="722" spans="2:5" ht="15" customHeight="1" x14ac:dyDescent="0.25">
      <c r="B722" s="90"/>
      <c r="C722" s="42" t="s">
        <v>20</v>
      </c>
      <c r="D722" s="41">
        <v>27</v>
      </c>
      <c r="E722" s="40">
        <v>9.8576122672508221E-4</v>
      </c>
    </row>
    <row r="723" spans="2:5" ht="15" customHeight="1" x14ac:dyDescent="0.25">
      <c r="B723" s="91" t="s">
        <v>20</v>
      </c>
      <c r="C723" s="92"/>
      <c r="D723" s="39">
        <v>27390</v>
      </c>
      <c r="E723" s="38">
        <v>1</v>
      </c>
    </row>
    <row r="725" spans="2:5" ht="15" customHeight="1" x14ac:dyDescent="0.25">
      <c r="B725" s="19" t="s">
        <v>220</v>
      </c>
    </row>
    <row r="726" spans="2:5" ht="15" customHeight="1" x14ac:dyDescent="0.25">
      <c r="B726" s="21" t="s">
        <v>19</v>
      </c>
    </row>
    <row r="727" spans="2:5" ht="15" customHeight="1" x14ac:dyDescent="0.25">
      <c r="B727" s="20" t="s">
        <v>18</v>
      </c>
    </row>
    <row r="728" spans="2:5" ht="15" customHeight="1" x14ac:dyDescent="0.25">
      <c r="B728" s="19" t="s">
        <v>17</v>
      </c>
    </row>
    <row r="729" spans="2:5" ht="15" customHeight="1" x14ac:dyDescent="0.25">
      <c r="B729" s="19" t="s">
        <v>221</v>
      </c>
    </row>
  </sheetData>
  <mergeCells count="26">
    <mergeCell ref="B7:E8"/>
    <mergeCell ref="B10:B33"/>
    <mergeCell ref="B34:B45"/>
    <mergeCell ref="B46:B67"/>
    <mergeCell ref="B68:B96"/>
    <mergeCell ref="B97:B119"/>
    <mergeCell ref="B120:B144"/>
    <mergeCell ref="B145:B181"/>
    <mergeCell ref="B182:B224"/>
    <mergeCell ref="B225:B258"/>
    <mergeCell ref="B259:B297"/>
    <mergeCell ref="B675:B683"/>
    <mergeCell ref="B684:B710"/>
    <mergeCell ref="B711:B722"/>
    <mergeCell ref="B723:C723"/>
    <mergeCell ref="B298:B338"/>
    <mergeCell ref="B339:B387"/>
    <mergeCell ref="B388:B425"/>
    <mergeCell ref="B426:B468"/>
    <mergeCell ref="B469:B514"/>
    <mergeCell ref="B515:B540"/>
    <mergeCell ref="B541:B566"/>
    <mergeCell ref="B567:B583"/>
    <mergeCell ref="B584:B593"/>
    <mergeCell ref="B594:B632"/>
    <mergeCell ref="B633:B67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79"/>
  <sheetViews>
    <sheetView zoomScaleNormal="100" zoomScaleSheetLayoutView="85" workbookViewId="0">
      <selection activeCell="D1" sqref="D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3"/>
      <c r="C7" s="93"/>
      <c r="D7" s="93"/>
      <c r="E7" s="93"/>
    </row>
    <row r="8" spans="1:5" s="50" customFormat="1" ht="33" customHeight="1" x14ac:dyDescent="0.3">
      <c r="A8" s="51"/>
      <c r="B8" s="93"/>
      <c r="C8" s="93"/>
      <c r="D8" s="93"/>
      <c r="E8" s="93"/>
    </row>
    <row r="9" spans="1:5" s="29" customFormat="1" ht="40.5" customHeight="1" x14ac:dyDescent="0.2">
      <c r="B9" s="47" t="s">
        <v>121</v>
      </c>
      <c r="C9" s="49" t="s">
        <v>167</v>
      </c>
      <c r="D9" s="48" t="s">
        <v>69</v>
      </c>
      <c r="E9" s="47" t="s">
        <v>68</v>
      </c>
    </row>
    <row r="10" spans="1:5" ht="15" customHeight="1" x14ac:dyDescent="0.25">
      <c r="B10" s="88" t="s">
        <v>84</v>
      </c>
      <c r="C10" s="45" t="s">
        <v>160</v>
      </c>
      <c r="D10" s="44">
        <v>1</v>
      </c>
      <c r="E10" s="43">
        <v>3.6509675063891931E-5</v>
      </c>
    </row>
    <row r="11" spans="1:5" ht="15" customHeight="1" x14ac:dyDescent="0.25">
      <c r="B11" s="89"/>
      <c r="C11" s="45" t="s">
        <v>159</v>
      </c>
      <c r="D11" s="44">
        <v>3</v>
      </c>
      <c r="E11" s="43">
        <v>1.095290251916758E-4</v>
      </c>
    </row>
    <row r="12" spans="1:5" ht="15" customHeight="1" x14ac:dyDescent="0.25">
      <c r="B12" s="89"/>
      <c r="C12" s="45" t="s">
        <v>158</v>
      </c>
      <c r="D12" s="44">
        <v>7</v>
      </c>
      <c r="E12" s="43">
        <v>2.5556772544724351E-4</v>
      </c>
    </row>
    <row r="13" spans="1:5" ht="15" customHeight="1" x14ac:dyDescent="0.25">
      <c r="B13" s="89"/>
      <c r="C13" s="45" t="s">
        <v>157</v>
      </c>
      <c r="D13" s="44">
        <v>2</v>
      </c>
      <c r="E13" s="43">
        <v>7.3019350127783862E-5</v>
      </c>
    </row>
    <row r="14" spans="1:5" ht="15" customHeight="1" x14ac:dyDescent="0.25">
      <c r="B14" s="89"/>
      <c r="C14" s="45" t="s">
        <v>156</v>
      </c>
      <c r="D14" s="44">
        <v>1</v>
      </c>
      <c r="E14" s="43">
        <v>3.6509675063891931E-5</v>
      </c>
    </row>
    <row r="15" spans="1:5" ht="15" customHeight="1" x14ac:dyDescent="0.25">
      <c r="B15" s="89"/>
      <c r="C15" s="45" t="s">
        <v>155</v>
      </c>
      <c r="D15" s="44">
        <v>2</v>
      </c>
      <c r="E15" s="43">
        <v>7.3019350127783862E-5</v>
      </c>
    </row>
    <row r="16" spans="1:5" ht="15" customHeight="1" x14ac:dyDescent="0.25">
      <c r="B16" s="89"/>
      <c r="C16" s="45" t="s">
        <v>154</v>
      </c>
      <c r="D16" s="44">
        <v>17</v>
      </c>
      <c r="E16" s="43">
        <v>6.2066447608616284E-4</v>
      </c>
    </row>
    <row r="17" spans="2:5" ht="15" customHeight="1" x14ac:dyDescent="0.25">
      <c r="B17" s="89"/>
      <c r="C17" s="45" t="s">
        <v>153</v>
      </c>
      <c r="D17" s="44">
        <v>3</v>
      </c>
      <c r="E17" s="43">
        <v>1.095290251916758E-4</v>
      </c>
    </row>
    <row r="18" spans="2:5" ht="15" customHeight="1" x14ac:dyDescent="0.25">
      <c r="B18" s="89"/>
      <c r="C18" s="45" t="s">
        <v>152</v>
      </c>
      <c r="D18" s="44">
        <v>6</v>
      </c>
      <c r="E18" s="43">
        <v>2.190580503833516E-4</v>
      </c>
    </row>
    <row r="19" spans="2:5" ht="15" customHeight="1" x14ac:dyDescent="0.25">
      <c r="B19" s="89"/>
      <c r="C19" s="45" t="s">
        <v>151</v>
      </c>
      <c r="D19" s="44">
        <v>30</v>
      </c>
      <c r="E19" s="43">
        <v>1.0952902519167579E-3</v>
      </c>
    </row>
    <row r="20" spans="2:5" ht="15" customHeight="1" x14ac:dyDescent="0.25">
      <c r="B20" s="89"/>
      <c r="C20" s="45" t="s">
        <v>146</v>
      </c>
      <c r="D20" s="44">
        <v>4</v>
      </c>
      <c r="E20" s="43">
        <v>1.4603870025556772E-4</v>
      </c>
    </row>
    <row r="21" spans="2:5" ht="15" customHeight="1" x14ac:dyDescent="0.25">
      <c r="B21" s="89"/>
      <c r="C21" s="45" t="s">
        <v>145</v>
      </c>
      <c r="D21" s="44">
        <v>8</v>
      </c>
      <c r="E21" s="43">
        <v>2.9207740051113545E-4</v>
      </c>
    </row>
    <row r="22" spans="2:5" ht="15" customHeight="1" x14ac:dyDescent="0.25">
      <c r="B22" s="89"/>
      <c r="C22" s="45" t="s">
        <v>142</v>
      </c>
      <c r="D22" s="44">
        <v>1</v>
      </c>
      <c r="E22" s="43">
        <v>3.6509675063891931E-5</v>
      </c>
    </row>
    <row r="23" spans="2:5" ht="15" customHeight="1" x14ac:dyDescent="0.25">
      <c r="B23" s="90"/>
      <c r="C23" s="42" t="s">
        <v>20</v>
      </c>
      <c r="D23" s="41">
        <v>85</v>
      </c>
      <c r="E23" s="40">
        <v>3.103322380430814E-3</v>
      </c>
    </row>
    <row r="24" spans="2:5" ht="15" customHeight="1" x14ac:dyDescent="0.25">
      <c r="B24" s="88" t="s">
        <v>116</v>
      </c>
      <c r="C24" s="45" t="s">
        <v>165</v>
      </c>
      <c r="D24" s="44">
        <v>3</v>
      </c>
      <c r="E24" s="43">
        <v>1.095290251916758E-4</v>
      </c>
    </row>
    <row r="25" spans="2:5" ht="15" customHeight="1" x14ac:dyDescent="0.25">
      <c r="B25" s="89"/>
      <c r="C25" s="45" t="s">
        <v>164</v>
      </c>
      <c r="D25" s="44">
        <v>3</v>
      </c>
      <c r="E25" s="43">
        <v>1.095290251916758E-4</v>
      </c>
    </row>
    <row r="26" spans="2:5" ht="15" customHeight="1" x14ac:dyDescent="0.25">
      <c r="B26" s="89"/>
      <c r="C26" s="45" t="s">
        <v>163</v>
      </c>
      <c r="D26" s="44">
        <v>5</v>
      </c>
      <c r="E26" s="43">
        <v>1.8254837531945966E-4</v>
      </c>
    </row>
    <row r="27" spans="2:5" ht="15" customHeight="1" x14ac:dyDescent="0.25">
      <c r="B27" s="89"/>
      <c r="C27" s="45" t="s">
        <v>162</v>
      </c>
      <c r="D27" s="44">
        <v>6</v>
      </c>
      <c r="E27" s="43">
        <v>2.190580503833516E-4</v>
      </c>
    </row>
    <row r="28" spans="2:5" ht="15" customHeight="1" x14ac:dyDescent="0.25">
      <c r="B28" s="89"/>
      <c r="C28" s="45" t="s">
        <v>161</v>
      </c>
      <c r="D28" s="44">
        <v>2</v>
      </c>
      <c r="E28" s="43">
        <v>7.3019350127783862E-5</v>
      </c>
    </row>
    <row r="29" spans="2:5" ht="15" customHeight="1" x14ac:dyDescent="0.25">
      <c r="B29" s="89"/>
      <c r="C29" s="45" t="s">
        <v>160</v>
      </c>
      <c r="D29" s="44">
        <v>12</v>
      </c>
      <c r="E29" s="43">
        <v>4.381161007667032E-4</v>
      </c>
    </row>
    <row r="30" spans="2:5" ht="15" customHeight="1" x14ac:dyDescent="0.25">
      <c r="B30" s="89"/>
      <c r="C30" s="45" t="s">
        <v>159</v>
      </c>
      <c r="D30" s="44">
        <v>40</v>
      </c>
      <c r="E30" s="43">
        <v>1.4603870025556773E-3</v>
      </c>
    </row>
    <row r="31" spans="2:5" ht="15" customHeight="1" x14ac:dyDescent="0.25">
      <c r="B31" s="89"/>
      <c r="C31" s="45" t="s">
        <v>158</v>
      </c>
      <c r="D31" s="44">
        <v>107</v>
      </c>
      <c r="E31" s="43">
        <v>3.9065352318364364E-3</v>
      </c>
    </row>
    <row r="32" spans="2:5" ht="15" customHeight="1" x14ac:dyDescent="0.25">
      <c r="B32" s="89"/>
      <c r="C32" s="45" t="s">
        <v>157</v>
      </c>
      <c r="D32" s="44">
        <v>16</v>
      </c>
      <c r="E32" s="43">
        <v>5.841548010222709E-4</v>
      </c>
    </row>
    <row r="33" spans="2:5" ht="15" customHeight="1" x14ac:dyDescent="0.25">
      <c r="B33" s="89"/>
      <c r="C33" s="45" t="s">
        <v>156</v>
      </c>
      <c r="D33" s="44">
        <v>48</v>
      </c>
      <c r="E33" s="43">
        <v>1.7524644030668128E-3</v>
      </c>
    </row>
    <row r="34" spans="2:5" ht="15" customHeight="1" x14ac:dyDescent="0.25">
      <c r="B34" s="89"/>
      <c r="C34" s="45" t="s">
        <v>155</v>
      </c>
      <c r="D34" s="44">
        <v>26</v>
      </c>
      <c r="E34" s="43">
        <v>9.4925155166119017E-4</v>
      </c>
    </row>
    <row r="35" spans="2:5" ht="15" customHeight="1" x14ac:dyDescent="0.25">
      <c r="B35" s="89"/>
      <c r="C35" s="45" t="s">
        <v>154</v>
      </c>
      <c r="D35" s="44">
        <v>466</v>
      </c>
      <c r="E35" s="43">
        <v>1.7013508579773639E-2</v>
      </c>
    </row>
    <row r="36" spans="2:5" ht="15" customHeight="1" x14ac:dyDescent="0.25">
      <c r="B36" s="89"/>
      <c r="C36" s="45" t="s">
        <v>153</v>
      </c>
      <c r="D36" s="44">
        <v>41</v>
      </c>
      <c r="E36" s="43">
        <v>1.4968966776195691E-3</v>
      </c>
    </row>
    <row r="37" spans="2:5" ht="15" customHeight="1" x14ac:dyDescent="0.25">
      <c r="B37" s="89"/>
      <c r="C37" s="45" t="s">
        <v>152</v>
      </c>
      <c r="D37" s="44">
        <v>112</v>
      </c>
      <c r="E37" s="43">
        <v>4.0890836071558962E-3</v>
      </c>
    </row>
    <row r="38" spans="2:5" ht="15" customHeight="1" x14ac:dyDescent="0.25">
      <c r="B38" s="89"/>
      <c r="C38" s="45" t="s">
        <v>151</v>
      </c>
      <c r="D38" s="44">
        <v>286</v>
      </c>
      <c r="E38" s="43">
        <v>1.0441767068273093E-2</v>
      </c>
    </row>
    <row r="39" spans="2:5" ht="15" customHeight="1" x14ac:dyDescent="0.25">
      <c r="B39" s="89"/>
      <c r="C39" s="45" t="s">
        <v>150</v>
      </c>
      <c r="D39" s="44">
        <v>8</v>
      </c>
      <c r="E39" s="43">
        <v>2.9207740051113545E-4</v>
      </c>
    </row>
    <row r="40" spans="2:5" ht="15" customHeight="1" x14ac:dyDescent="0.25">
      <c r="B40" s="89"/>
      <c r="C40" s="45" t="s">
        <v>149</v>
      </c>
      <c r="D40" s="44">
        <v>6</v>
      </c>
      <c r="E40" s="43">
        <v>2.190580503833516E-4</v>
      </c>
    </row>
    <row r="41" spans="2:5" ht="15" customHeight="1" x14ac:dyDescent="0.25">
      <c r="B41" s="89"/>
      <c r="C41" s="45" t="s">
        <v>148</v>
      </c>
      <c r="D41" s="44">
        <v>2</v>
      </c>
      <c r="E41" s="43">
        <v>7.3019350127783862E-5</v>
      </c>
    </row>
    <row r="42" spans="2:5" ht="15" customHeight="1" x14ac:dyDescent="0.25">
      <c r="B42" s="89"/>
      <c r="C42" s="45" t="s">
        <v>146</v>
      </c>
      <c r="D42" s="44">
        <v>19</v>
      </c>
      <c r="E42" s="43">
        <v>6.9368382621394671E-4</v>
      </c>
    </row>
    <row r="43" spans="2:5" ht="15" customHeight="1" x14ac:dyDescent="0.25">
      <c r="B43" s="89"/>
      <c r="C43" s="45" t="s">
        <v>145</v>
      </c>
      <c r="D43" s="44">
        <v>49</v>
      </c>
      <c r="E43" s="43">
        <v>1.7889740781307046E-3</v>
      </c>
    </row>
    <row r="44" spans="2:5" ht="15" customHeight="1" x14ac:dyDescent="0.25">
      <c r="B44" s="89"/>
      <c r="C44" s="45" t="s">
        <v>143</v>
      </c>
      <c r="D44" s="44">
        <v>4</v>
      </c>
      <c r="E44" s="43">
        <v>1.4603870025556772E-4</v>
      </c>
    </row>
    <row r="45" spans="2:5" ht="15" customHeight="1" x14ac:dyDescent="0.25">
      <c r="B45" s="90"/>
      <c r="C45" s="42" t="s">
        <v>20</v>
      </c>
      <c r="D45" s="41">
        <v>1261</v>
      </c>
      <c r="E45" s="40">
        <v>4.6038700255567729E-2</v>
      </c>
    </row>
    <row r="46" spans="2:5" ht="15" customHeight="1" x14ac:dyDescent="0.25">
      <c r="B46" s="88" t="s">
        <v>106</v>
      </c>
      <c r="C46" s="45" t="s">
        <v>165</v>
      </c>
      <c r="D46" s="44">
        <v>1</v>
      </c>
      <c r="E46" s="43">
        <v>3.6509675063891931E-5</v>
      </c>
    </row>
    <row r="47" spans="2:5" ht="15" customHeight="1" x14ac:dyDescent="0.25">
      <c r="B47" s="89"/>
      <c r="C47" s="45" t="s">
        <v>163</v>
      </c>
      <c r="D47" s="44">
        <v>1</v>
      </c>
      <c r="E47" s="43">
        <v>3.6509675063891931E-5</v>
      </c>
    </row>
    <row r="48" spans="2:5" ht="15" customHeight="1" x14ac:dyDescent="0.25">
      <c r="B48" s="89"/>
      <c r="C48" s="45" t="s">
        <v>162</v>
      </c>
      <c r="D48" s="44">
        <v>2</v>
      </c>
      <c r="E48" s="43">
        <v>7.3019350127783862E-5</v>
      </c>
    </row>
    <row r="49" spans="2:5" ht="15" customHeight="1" x14ac:dyDescent="0.25">
      <c r="B49" s="89"/>
      <c r="C49" s="45" t="s">
        <v>161</v>
      </c>
      <c r="D49" s="44">
        <v>1</v>
      </c>
      <c r="E49" s="43">
        <v>3.6509675063891931E-5</v>
      </c>
    </row>
    <row r="50" spans="2:5" ht="15" customHeight="1" x14ac:dyDescent="0.25">
      <c r="B50" s="89"/>
      <c r="C50" s="45" t="s">
        <v>160</v>
      </c>
      <c r="D50" s="44">
        <v>3</v>
      </c>
      <c r="E50" s="43">
        <v>1.095290251916758E-4</v>
      </c>
    </row>
    <row r="51" spans="2:5" ht="15" customHeight="1" x14ac:dyDescent="0.25">
      <c r="B51" s="89"/>
      <c r="C51" s="45" t="s">
        <v>159</v>
      </c>
      <c r="D51" s="44">
        <v>10</v>
      </c>
      <c r="E51" s="43">
        <v>3.6509675063891932E-4</v>
      </c>
    </row>
    <row r="52" spans="2:5" ht="15" customHeight="1" x14ac:dyDescent="0.25">
      <c r="B52" s="89"/>
      <c r="C52" s="45" t="s">
        <v>158</v>
      </c>
      <c r="D52" s="44">
        <v>34</v>
      </c>
      <c r="E52" s="43">
        <v>1.2413289521723257E-3</v>
      </c>
    </row>
    <row r="53" spans="2:5" ht="15" customHeight="1" x14ac:dyDescent="0.25">
      <c r="B53" s="89"/>
      <c r="C53" s="45" t="s">
        <v>157</v>
      </c>
      <c r="D53" s="44">
        <v>3</v>
      </c>
      <c r="E53" s="43">
        <v>1.095290251916758E-4</v>
      </c>
    </row>
    <row r="54" spans="2:5" ht="15" customHeight="1" x14ac:dyDescent="0.25">
      <c r="B54" s="89"/>
      <c r="C54" s="45" t="s">
        <v>156</v>
      </c>
      <c r="D54" s="44">
        <v>8</v>
      </c>
      <c r="E54" s="43">
        <v>2.9207740051113545E-4</v>
      </c>
    </row>
    <row r="55" spans="2:5" ht="15" customHeight="1" x14ac:dyDescent="0.25">
      <c r="B55" s="89"/>
      <c r="C55" s="45" t="s">
        <v>155</v>
      </c>
      <c r="D55" s="44">
        <v>11</v>
      </c>
      <c r="E55" s="43">
        <v>4.0160642570281126E-4</v>
      </c>
    </row>
    <row r="56" spans="2:5" ht="15" customHeight="1" x14ac:dyDescent="0.25">
      <c r="B56" s="89"/>
      <c r="C56" s="45" t="s">
        <v>154</v>
      </c>
      <c r="D56" s="44">
        <v>92</v>
      </c>
      <c r="E56" s="43">
        <v>3.3588901058780578E-3</v>
      </c>
    </row>
    <row r="57" spans="2:5" ht="15" customHeight="1" x14ac:dyDescent="0.25">
      <c r="B57" s="89"/>
      <c r="C57" s="45" t="s">
        <v>153</v>
      </c>
      <c r="D57" s="44">
        <v>5</v>
      </c>
      <c r="E57" s="43">
        <v>1.8254837531945966E-4</v>
      </c>
    </row>
    <row r="58" spans="2:5" ht="15" customHeight="1" x14ac:dyDescent="0.25">
      <c r="B58" s="89"/>
      <c r="C58" s="45" t="s">
        <v>152</v>
      </c>
      <c r="D58" s="44">
        <v>17</v>
      </c>
      <c r="E58" s="43">
        <v>6.2066447608616284E-4</v>
      </c>
    </row>
    <row r="59" spans="2:5" ht="15" customHeight="1" x14ac:dyDescent="0.25">
      <c r="B59" s="89"/>
      <c r="C59" s="45" t="s">
        <v>151</v>
      </c>
      <c r="D59" s="44">
        <v>94</v>
      </c>
      <c r="E59" s="43">
        <v>3.4319094560058415E-3</v>
      </c>
    </row>
    <row r="60" spans="2:5" ht="15" customHeight="1" x14ac:dyDescent="0.25">
      <c r="B60" s="89"/>
      <c r="C60" s="45" t="s">
        <v>150</v>
      </c>
      <c r="D60" s="44">
        <v>2</v>
      </c>
      <c r="E60" s="43">
        <v>7.3019350127783862E-5</v>
      </c>
    </row>
    <row r="61" spans="2:5" ht="15" customHeight="1" x14ac:dyDescent="0.25">
      <c r="B61" s="89"/>
      <c r="C61" s="45" t="s">
        <v>149</v>
      </c>
      <c r="D61" s="44">
        <v>4</v>
      </c>
      <c r="E61" s="43">
        <v>1.4603870025556772E-4</v>
      </c>
    </row>
    <row r="62" spans="2:5" ht="15" customHeight="1" x14ac:dyDescent="0.25">
      <c r="B62" s="89"/>
      <c r="C62" s="45" t="s">
        <v>148</v>
      </c>
      <c r="D62" s="44">
        <v>2</v>
      </c>
      <c r="E62" s="43">
        <v>7.3019350127783862E-5</v>
      </c>
    </row>
    <row r="63" spans="2:5" ht="15" customHeight="1" x14ac:dyDescent="0.25">
      <c r="B63" s="89"/>
      <c r="C63" s="45" t="s">
        <v>146</v>
      </c>
      <c r="D63" s="44">
        <v>11</v>
      </c>
      <c r="E63" s="43">
        <v>4.0160642570281126E-4</v>
      </c>
    </row>
    <row r="64" spans="2:5" ht="15" customHeight="1" x14ac:dyDescent="0.25">
      <c r="B64" s="89"/>
      <c r="C64" s="45" t="s">
        <v>145</v>
      </c>
      <c r="D64" s="44">
        <v>23</v>
      </c>
      <c r="E64" s="43">
        <v>8.3972252646951446E-4</v>
      </c>
    </row>
    <row r="65" spans="2:5" ht="15" customHeight="1" x14ac:dyDescent="0.25">
      <c r="B65" s="90"/>
      <c r="C65" s="42" t="s">
        <v>20</v>
      </c>
      <c r="D65" s="41">
        <v>324</v>
      </c>
      <c r="E65" s="40">
        <v>1.1829134720700987E-2</v>
      </c>
    </row>
    <row r="66" spans="2:5" ht="15" customHeight="1" x14ac:dyDescent="0.25">
      <c r="B66" s="88" t="s">
        <v>82</v>
      </c>
      <c r="C66" s="45" t="s">
        <v>163</v>
      </c>
      <c r="D66" s="44">
        <v>1</v>
      </c>
      <c r="E66" s="43">
        <v>3.6509675063891931E-5</v>
      </c>
    </row>
    <row r="67" spans="2:5" ht="15" customHeight="1" x14ac:dyDescent="0.25">
      <c r="B67" s="89"/>
      <c r="C67" s="45" t="s">
        <v>162</v>
      </c>
      <c r="D67" s="44">
        <v>1</v>
      </c>
      <c r="E67" s="43">
        <v>3.6509675063891931E-5</v>
      </c>
    </row>
    <row r="68" spans="2:5" ht="15" customHeight="1" x14ac:dyDescent="0.25">
      <c r="B68" s="89"/>
      <c r="C68" s="45" t="s">
        <v>159</v>
      </c>
      <c r="D68" s="44">
        <v>7</v>
      </c>
      <c r="E68" s="43">
        <v>2.5556772544724351E-4</v>
      </c>
    </row>
    <row r="69" spans="2:5" ht="15" customHeight="1" x14ac:dyDescent="0.25">
      <c r="B69" s="89"/>
      <c r="C69" s="45" t="s">
        <v>158</v>
      </c>
      <c r="D69" s="44">
        <v>15</v>
      </c>
      <c r="E69" s="43">
        <v>5.4764512595837896E-4</v>
      </c>
    </row>
    <row r="70" spans="2:5" ht="15" customHeight="1" x14ac:dyDescent="0.25">
      <c r="B70" s="89"/>
      <c r="C70" s="45" t="s">
        <v>156</v>
      </c>
      <c r="D70" s="44">
        <v>2</v>
      </c>
      <c r="E70" s="43">
        <v>7.3019350127783862E-5</v>
      </c>
    </row>
    <row r="71" spans="2:5" ht="15" customHeight="1" x14ac:dyDescent="0.25">
      <c r="B71" s="89"/>
      <c r="C71" s="45" t="s">
        <v>155</v>
      </c>
      <c r="D71" s="44">
        <v>6</v>
      </c>
      <c r="E71" s="43">
        <v>2.190580503833516E-4</v>
      </c>
    </row>
    <row r="72" spans="2:5" ht="15" customHeight="1" x14ac:dyDescent="0.25">
      <c r="B72" s="89"/>
      <c r="C72" s="45" t="s">
        <v>154</v>
      </c>
      <c r="D72" s="44">
        <v>30</v>
      </c>
      <c r="E72" s="43">
        <v>1.0952902519167579E-3</v>
      </c>
    </row>
    <row r="73" spans="2:5" ht="15" customHeight="1" x14ac:dyDescent="0.25">
      <c r="B73" s="89"/>
      <c r="C73" s="45" t="s">
        <v>153</v>
      </c>
      <c r="D73" s="44">
        <v>1</v>
      </c>
      <c r="E73" s="43">
        <v>3.6509675063891931E-5</v>
      </c>
    </row>
    <row r="74" spans="2:5" ht="15" customHeight="1" x14ac:dyDescent="0.25">
      <c r="B74" s="89"/>
      <c r="C74" s="45" t="s">
        <v>152</v>
      </c>
      <c r="D74" s="44">
        <v>5</v>
      </c>
      <c r="E74" s="43">
        <v>1.8254837531945966E-4</v>
      </c>
    </row>
    <row r="75" spans="2:5" ht="15" customHeight="1" x14ac:dyDescent="0.25">
      <c r="B75" s="89"/>
      <c r="C75" s="45" t="s">
        <v>151</v>
      </c>
      <c r="D75" s="44">
        <v>34</v>
      </c>
      <c r="E75" s="43">
        <v>1.2413289521723257E-3</v>
      </c>
    </row>
    <row r="76" spans="2:5" ht="15" customHeight="1" x14ac:dyDescent="0.25">
      <c r="B76" s="89"/>
      <c r="C76" s="45" t="s">
        <v>146</v>
      </c>
      <c r="D76" s="44">
        <v>2</v>
      </c>
      <c r="E76" s="43">
        <v>7.3019350127783862E-5</v>
      </c>
    </row>
    <row r="77" spans="2:5" ht="15" customHeight="1" x14ac:dyDescent="0.25">
      <c r="B77" s="89"/>
      <c r="C77" s="45" t="s">
        <v>145</v>
      </c>
      <c r="D77" s="44">
        <v>3</v>
      </c>
      <c r="E77" s="43">
        <v>1.095290251916758E-4</v>
      </c>
    </row>
    <row r="78" spans="2:5" ht="15" customHeight="1" x14ac:dyDescent="0.25">
      <c r="B78" s="90"/>
      <c r="C78" s="42" t="s">
        <v>20</v>
      </c>
      <c r="D78" s="41">
        <v>107</v>
      </c>
      <c r="E78" s="40">
        <v>3.9065352318364364E-3</v>
      </c>
    </row>
    <row r="79" spans="2:5" ht="15" customHeight="1" x14ac:dyDescent="0.25">
      <c r="B79" s="88" t="s">
        <v>78</v>
      </c>
      <c r="C79" s="45" t="s">
        <v>159</v>
      </c>
      <c r="D79" s="44">
        <v>1</v>
      </c>
      <c r="E79" s="43">
        <v>3.6509675063891931E-5</v>
      </c>
    </row>
    <row r="80" spans="2:5" ht="15" customHeight="1" x14ac:dyDescent="0.25">
      <c r="B80" s="89"/>
      <c r="C80" s="45" t="s">
        <v>158</v>
      </c>
      <c r="D80" s="44">
        <v>5</v>
      </c>
      <c r="E80" s="43">
        <v>1.8254837531945966E-4</v>
      </c>
    </row>
    <row r="81" spans="2:5" ht="15" customHeight="1" x14ac:dyDescent="0.25">
      <c r="B81" s="89"/>
      <c r="C81" s="45" t="s">
        <v>154</v>
      </c>
      <c r="D81" s="44">
        <v>16</v>
      </c>
      <c r="E81" s="43">
        <v>5.841548010222709E-4</v>
      </c>
    </row>
    <row r="82" spans="2:5" ht="15" customHeight="1" x14ac:dyDescent="0.25">
      <c r="B82" s="89"/>
      <c r="C82" s="45" t="s">
        <v>152</v>
      </c>
      <c r="D82" s="44">
        <v>2</v>
      </c>
      <c r="E82" s="43">
        <v>7.3019350127783862E-5</v>
      </c>
    </row>
    <row r="83" spans="2:5" ht="15" customHeight="1" x14ac:dyDescent="0.25">
      <c r="B83" s="89"/>
      <c r="C83" s="45" t="s">
        <v>151</v>
      </c>
      <c r="D83" s="44">
        <v>10</v>
      </c>
      <c r="E83" s="43">
        <v>3.6509675063891932E-4</v>
      </c>
    </row>
    <row r="84" spans="2:5" ht="15" customHeight="1" x14ac:dyDescent="0.25">
      <c r="B84" s="89"/>
      <c r="C84" s="45" t="s">
        <v>150</v>
      </c>
      <c r="D84" s="44">
        <v>1</v>
      </c>
      <c r="E84" s="43">
        <v>3.6509675063891931E-5</v>
      </c>
    </row>
    <row r="85" spans="2:5" ht="15" customHeight="1" x14ac:dyDescent="0.25">
      <c r="B85" s="89"/>
      <c r="C85" s="45" t="s">
        <v>146</v>
      </c>
      <c r="D85" s="44">
        <v>3</v>
      </c>
      <c r="E85" s="43">
        <v>1.095290251916758E-4</v>
      </c>
    </row>
    <row r="86" spans="2:5" ht="15" customHeight="1" x14ac:dyDescent="0.25">
      <c r="B86" s="89"/>
      <c r="C86" s="45" t="s">
        <v>145</v>
      </c>
      <c r="D86" s="44">
        <v>7</v>
      </c>
      <c r="E86" s="43">
        <v>2.5556772544724351E-4</v>
      </c>
    </row>
    <row r="87" spans="2:5" ht="15" customHeight="1" x14ac:dyDescent="0.25">
      <c r="B87" s="89"/>
      <c r="C87" s="45" t="s">
        <v>143</v>
      </c>
      <c r="D87" s="44">
        <v>3</v>
      </c>
      <c r="E87" s="43">
        <v>1.095290251916758E-4</v>
      </c>
    </row>
    <row r="88" spans="2:5" ht="15" customHeight="1" x14ac:dyDescent="0.25">
      <c r="B88" s="90"/>
      <c r="C88" s="42" t="s">
        <v>20</v>
      </c>
      <c r="D88" s="41">
        <v>48</v>
      </c>
      <c r="E88" s="40">
        <v>1.7524644030668128E-3</v>
      </c>
    </row>
    <row r="89" spans="2:5" ht="15" customHeight="1" x14ac:dyDescent="0.25">
      <c r="B89" s="88" t="s">
        <v>83</v>
      </c>
      <c r="C89" s="45" t="s">
        <v>161</v>
      </c>
      <c r="D89" s="44">
        <v>1</v>
      </c>
      <c r="E89" s="43">
        <v>3.6509675063891931E-5</v>
      </c>
    </row>
    <row r="90" spans="2:5" ht="15" customHeight="1" x14ac:dyDescent="0.25">
      <c r="B90" s="89"/>
      <c r="C90" s="45" t="s">
        <v>159</v>
      </c>
      <c r="D90" s="44">
        <v>2</v>
      </c>
      <c r="E90" s="43">
        <v>7.3019350127783862E-5</v>
      </c>
    </row>
    <row r="91" spans="2:5" ht="15" customHeight="1" x14ac:dyDescent="0.25">
      <c r="B91" s="89"/>
      <c r="C91" s="45" t="s">
        <v>158</v>
      </c>
      <c r="D91" s="44">
        <v>4</v>
      </c>
      <c r="E91" s="43">
        <v>1.4603870025556772E-4</v>
      </c>
    </row>
    <row r="92" spans="2:5" ht="15" customHeight="1" x14ac:dyDescent="0.25">
      <c r="B92" s="89"/>
      <c r="C92" s="45" t="s">
        <v>157</v>
      </c>
      <c r="D92" s="44">
        <v>4</v>
      </c>
      <c r="E92" s="43">
        <v>1.4603870025556772E-4</v>
      </c>
    </row>
    <row r="93" spans="2:5" ht="15" customHeight="1" x14ac:dyDescent="0.25">
      <c r="B93" s="89"/>
      <c r="C93" s="45" t="s">
        <v>156</v>
      </c>
      <c r="D93" s="44">
        <v>2</v>
      </c>
      <c r="E93" s="43">
        <v>7.3019350127783862E-5</v>
      </c>
    </row>
    <row r="94" spans="2:5" ht="15" customHeight="1" x14ac:dyDescent="0.25">
      <c r="B94" s="89"/>
      <c r="C94" s="45" t="s">
        <v>155</v>
      </c>
      <c r="D94" s="44">
        <v>5</v>
      </c>
      <c r="E94" s="43">
        <v>1.8254837531945966E-4</v>
      </c>
    </row>
    <row r="95" spans="2:5" ht="15" customHeight="1" x14ac:dyDescent="0.25">
      <c r="B95" s="89"/>
      <c r="C95" s="45" t="s">
        <v>154</v>
      </c>
      <c r="D95" s="44">
        <v>14</v>
      </c>
      <c r="E95" s="43">
        <v>5.1113545089448702E-4</v>
      </c>
    </row>
    <row r="96" spans="2:5" ht="15" customHeight="1" x14ac:dyDescent="0.25">
      <c r="B96" s="89"/>
      <c r="C96" s="45" t="s">
        <v>153</v>
      </c>
      <c r="D96" s="44">
        <v>2</v>
      </c>
      <c r="E96" s="43">
        <v>7.3019350127783862E-5</v>
      </c>
    </row>
    <row r="97" spans="2:5" ht="15" customHeight="1" x14ac:dyDescent="0.25">
      <c r="B97" s="89"/>
      <c r="C97" s="45" t="s">
        <v>152</v>
      </c>
      <c r="D97" s="44">
        <v>3</v>
      </c>
      <c r="E97" s="43">
        <v>1.095290251916758E-4</v>
      </c>
    </row>
    <row r="98" spans="2:5" ht="15" customHeight="1" x14ac:dyDescent="0.25">
      <c r="B98" s="89"/>
      <c r="C98" s="45" t="s">
        <v>151</v>
      </c>
      <c r="D98" s="44">
        <v>17</v>
      </c>
      <c r="E98" s="43">
        <v>6.2066447608616284E-4</v>
      </c>
    </row>
    <row r="99" spans="2:5" ht="15" customHeight="1" x14ac:dyDescent="0.25">
      <c r="B99" s="89"/>
      <c r="C99" s="45" t="s">
        <v>150</v>
      </c>
      <c r="D99" s="44">
        <v>1</v>
      </c>
      <c r="E99" s="43">
        <v>3.6509675063891931E-5</v>
      </c>
    </row>
    <row r="100" spans="2:5" ht="15" customHeight="1" x14ac:dyDescent="0.25">
      <c r="B100" s="89"/>
      <c r="C100" s="45" t="s">
        <v>149</v>
      </c>
      <c r="D100" s="44">
        <v>1</v>
      </c>
      <c r="E100" s="43">
        <v>3.6509675063891931E-5</v>
      </c>
    </row>
    <row r="101" spans="2:5" ht="15" customHeight="1" x14ac:dyDescent="0.25">
      <c r="B101" s="89"/>
      <c r="C101" s="45" t="s">
        <v>148</v>
      </c>
      <c r="D101" s="44">
        <v>1</v>
      </c>
      <c r="E101" s="43">
        <v>3.6509675063891931E-5</v>
      </c>
    </row>
    <row r="102" spans="2:5" ht="15" customHeight="1" x14ac:dyDescent="0.25">
      <c r="B102" s="89"/>
      <c r="C102" s="45" t="s">
        <v>147</v>
      </c>
      <c r="D102" s="44">
        <v>1</v>
      </c>
      <c r="E102" s="43">
        <v>3.6509675063891931E-5</v>
      </c>
    </row>
    <row r="103" spans="2:5" ht="15" customHeight="1" x14ac:dyDescent="0.25">
      <c r="B103" s="89"/>
      <c r="C103" s="45" t="s">
        <v>146</v>
      </c>
      <c r="D103" s="44">
        <v>1</v>
      </c>
      <c r="E103" s="43">
        <v>3.6509675063891931E-5</v>
      </c>
    </row>
    <row r="104" spans="2:5" ht="15" customHeight="1" x14ac:dyDescent="0.25">
      <c r="B104" s="89"/>
      <c r="C104" s="45" t="s">
        <v>145</v>
      </c>
      <c r="D104" s="44">
        <v>14</v>
      </c>
      <c r="E104" s="43">
        <v>5.1113545089448702E-4</v>
      </c>
    </row>
    <row r="105" spans="2:5" ht="15" customHeight="1" x14ac:dyDescent="0.25">
      <c r="B105" s="90"/>
      <c r="C105" s="42" t="s">
        <v>20</v>
      </c>
      <c r="D105" s="41">
        <v>73</v>
      </c>
      <c r="E105" s="40">
        <v>2.6652062796641111E-3</v>
      </c>
    </row>
    <row r="106" spans="2:5" ht="15" customHeight="1" x14ac:dyDescent="0.25">
      <c r="B106" s="88" t="s">
        <v>175</v>
      </c>
      <c r="C106" s="45" t="s">
        <v>154</v>
      </c>
      <c r="D106" s="44">
        <v>2</v>
      </c>
      <c r="E106" s="43">
        <v>7.3019350127783862E-5</v>
      </c>
    </row>
    <row r="107" spans="2:5" ht="15" customHeight="1" x14ac:dyDescent="0.25">
      <c r="B107" s="89"/>
      <c r="C107" s="45" t="s">
        <v>152</v>
      </c>
      <c r="D107" s="44">
        <v>2</v>
      </c>
      <c r="E107" s="43">
        <v>7.3019350127783862E-5</v>
      </c>
    </row>
    <row r="108" spans="2:5" ht="15" customHeight="1" x14ac:dyDescent="0.25">
      <c r="B108" s="89"/>
      <c r="C108" s="45" t="s">
        <v>151</v>
      </c>
      <c r="D108" s="44">
        <v>3</v>
      </c>
      <c r="E108" s="43">
        <v>1.095290251916758E-4</v>
      </c>
    </row>
    <row r="109" spans="2:5" ht="15" customHeight="1" x14ac:dyDescent="0.25">
      <c r="B109" s="89"/>
      <c r="C109" s="45" t="s">
        <v>145</v>
      </c>
      <c r="D109" s="44">
        <v>1</v>
      </c>
      <c r="E109" s="43">
        <v>3.6509675063891931E-5</v>
      </c>
    </row>
    <row r="110" spans="2:5" ht="15" customHeight="1" x14ac:dyDescent="0.25">
      <c r="B110" s="90"/>
      <c r="C110" s="42" t="s">
        <v>20</v>
      </c>
      <c r="D110" s="41">
        <v>8</v>
      </c>
      <c r="E110" s="40">
        <v>2.9207740051113545E-4</v>
      </c>
    </row>
    <row r="111" spans="2:5" ht="15" customHeight="1" x14ac:dyDescent="0.25">
      <c r="B111" s="88" t="s">
        <v>119</v>
      </c>
      <c r="C111" s="45" t="s">
        <v>165</v>
      </c>
      <c r="D111" s="44">
        <v>16</v>
      </c>
      <c r="E111" s="43">
        <v>5.841548010222709E-4</v>
      </c>
    </row>
    <row r="112" spans="2:5" ht="15" customHeight="1" x14ac:dyDescent="0.25">
      <c r="B112" s="89"/>
      <c r="C112" s="45" t="s">
        <v>164</v>
      </c>
      <c r="D112" s="44">
        <v>1</v>
      </c>
      <c r="E112" s="43">
        <v>3.6509675063891931E-5</v>
      </c>
    </row>
    <row r="113" spans="2:5" ht="15" customHeight="1" x14ac:dyDescent="0.25">
      <c r="B113" s="89"/>
      <c r="C113" s="45" t="s">
        <v>163</v>
      </c>
      <c r="D113" s="44">
        <v>8</v>
      </c>
      <c r="E113" s="43">
        <v>2.9207740051113545E-4</v>
      </c>
    </row>
    <row r="114" spans="2:5" ht="15" customHeight="1" x14ac:dyDescent="0.25">
      <c r="B114" s="89"/>
      <c r="C114" s="45" t="s">
        <v>162</v>
      </c>
      <c r="D114" s="44">
        <v>8</v>
      </c>
      <c r="E114" s="43">
        <v>2.9207740051113545E-4</v>
      </c>
    </row>
    <row r="115" spans="2:5" ht="15" customHeight="1" x14ac:dyDescent="0.25">
      <c r="B115" s="89"/>
      <c r="C115" s="45" t="s">
        <v>161</v>
      </c>
      <c r="D115" s="44">
        <v>6</v>
      </c>
      <c r="E115" s="43">
        <v>2.190580503833516E-4</v>
      </c>
    </row>
    <row r="116" spans="2:5" ht="15" customHeight="1" x14ac:dyDescent="0.25">
      <c r="B116" s="89"/>
      <c r="C116" s="45" t="s">
        <v>160</v>
      </c>
      <c r="D116" s="44">
        <v>13</v>
      </c>
      <c r="E116" s="43">
        <v>4.7462577583059508E-4</v>
      </c>
    </row>
    <row r="117" spans="2:5" ht="15" customHeight="1" x14ac:dyDescent="0.25">
      <c r="B117" s="89"/>
      <c r="C117" s="45" t="s">
        <v>159</v>
      </c>
      <c r="D117" s="44">
        <v>85</v>
      </c>
      <c r="E117" s="43">
        <v>3.103322380430814E-3</v>
      </c>
    </row>
    <row r="118" spans="2:5" ht="15" customHeight="1" x14ac:dyDescent="0.25">
      <c r="B118" s="89"/>
      <c r="C118" s="45" t="s">
        <v>158</v>
      </c>
      <c r="D118" s="44">
        <v>382</v>
      </c>
      <c r="E118" s="43">
        <v>1.3946695874406717E-2</v>
      </c>
    </row>
    <row r="119" spans="2:5" ht="15" customHeight="1" x14ac:dyDescent="0.25">
      <c r="B119" s="89"/>
      <c r="C119" s="45" t="s">
        <v>157</v>
      </c>
      <c r="D119" s="44">
        <v>19</v>
      </c>
      <c r="E119" s="43">
        <v>6.9368382621394671E-4</v>
      </c>
    </row>
    <row r="120" spans="2:5" ht="15" customHeight="1" x14ac:dyDescent="0.25">
      <c r="B120" s="89"/>
      <c r="C120" s="45" t="s">
        <v>156</v>
      </c>
      <c r="D120" s="44">
        <v>53</v>
      </c>
      <c r="E120" s="43">
        <v>1.9350127783862724E-3</v>
      </c>
    </row>
    <row r="121" spans="2:5" ht="15" customHeight="1" x14ac:dyDescent="0.25">
      <c r="B121" s="89"/>
      <c r="C121" s="45" t="s">
        <v>155</v>
      </c>
      <c r="D121" s="44">
        <v>49</v>
      </c>
      <c r="E121" s="43">
        <v>1.7889740781307046E-3</v>
      </c>
    </row>
    <row r="122" spans="2:5" ht="15" customHeight="1" x14ac:dyDescent="0.25">
      <c r="B122" s="89"/>
      <c r="C122" s="45" t="s">
        <v>154</v>
      </c>
      <c r="D122" s="44">
        <v>1496</v>
      </c>
      <c r="E122" s="43">
        <v>5.4618473895582331E-2</v>
      </c>
    </row>
    <row r="123" spans="2:5" ht="15" customHeight="1" x14ac:dyDescent="0.25">
      <c r="B123" s="89"/>
      <c r="C123" s="45" t="s">
        <v>153</v>
      </c>
      <c r="D123" s="44">
        <v>153</v>
      </c>
      <c r="E123" s="43">
        <v>5.5859802847754653E-3</v>
      </c>
    </row>
    <row r="124" spans="2:5" ht="15" customHeight="1" x14ac:dyDescent="0.25">
      <c r="B124" s="89"/>
      <c r="C124" s="45" t="s">
        <v>152</v>
      </c>
      <c r="D124" s="44">
        <v>198</v>
      </c>
      <c r="E124" s="43">
        <v>7.2289156626506026E-3</v>
      </c>
    </row>
    <row r="125" spans="2:5" ht="15" customHeight="1" x14ac:dyDescent="0.25">
      <c r="B125" s="89"/>
      <c r="C125" s="45" t="s">
        <v>151</v>
      </c>
      <c r="D125" s="44">
        <v>877</v>
      </c>
      <c r="E125" s="43">
        <v>3.2018985031033224E-2</v>
      </c>
    </row>
    <row r="126" spans="2:5" ht="15" customHeight="1" x14ac:dyDescent="0.25">
      <c r="B126" s="89"/>
      <c r="C126" s="45" t="s">
        <v>150</v>
      </c>
      <c r="D126" s="44">
        <v>8</v>
      </c>
      <c r="E126" s="43">
        <v>2.9207740051113545E-4</v>
      </c>
    </row>
    <row r="127" spans="2:5" ht="15" customHeight="1" x14ac:dyDescent="0.25">
      <c r="B127" s="89"/>
      <c r="C127" s="45" t="s">
        <v>149</v>
      </c>
      <c r="D127" s="44">
        <v>3</v>
      </c>
      <c r="E127" s="43">
        <v>1.095290251916758E-4</v>
      </c>
    </row>
    <row r="128" spans="2:5" ht="15" customHeight="1" x14ac:dyDescent="0.25">
      <c r="B128" s="89"/>
      <c r="C128" s="45" t="s">
        <v>148</v>
      </c>
      <c r="D128" s="44">
        <v>3</v>
      </c>
      <c r="E128" s="43">
        <v>1.095290251916758E-4</v>
      </c>
    </row>
    <row r="129" spans="2:5" ht="15" customHeight="1" x14ac:dyDescent="0.25">
      <c r="B129" s="89"/>
      <c r="C129" s="45" t="s">
        <v>147</v>
      </c>
      <c r="D129" s="44">
        <v>1</v>
      </c>
      <c r="E129" s="43">
        <v>3.6509675063891931E-5</v>
      </c>
    </row>
    <row r="130" spans="2:5" ht="15" customHeight="1" x14ac:dyDescent="0.25">
      <c r="B130" s="89"/>
      <c r="C130" s="45" t="s">
        <v>146</v>
      </c>
      <c r="D130" s="44">
        <v>106</v>
      </c>
      <c r="E130" s="43">
        <v>3.8700255567725448E-3</v>
      </c>
    </row>
    <row r="131" spans="2:5" ht="15" customHeight="1" x14ac:dyDescent="0.25">
      <c r="B131" s="89"/>
      <c r="C131" s="45" t="s">
        <v>145</v>
      </c>
      <c r="D131" s="44">
        <v>152</v>
      </c>
      <c r="E131" s="43">
        <v>5.5494706097115737E-3</v>
      </c>
    </row>
    <row r="132" spans="2:5" ht="15" customHeight="1" x14ac:dyDescent="0.25">
      <c r="B132" s="89"/>
      <c r="C132" s="45" t="s">
        <v>169</v>
      </c>
      <c r="D132" s="44">
        <v>6</v>
      </c>
      <c r="E132" s="43">
        <v>2.190580503833516E-4</v>
      </c>
    </row>
    <row r="133" spans="2:5" ht="15" customHeight="1" x14ac:dyDescent="0.25">
      <c r="B133" s="89"/>
      <c r="C133" s="45" t="s">
        <v>143</v>
      </c>
      <c r="D133" s="44">
        <v>9</v>
      </c>
      <c r="E133" s="43">
        <v>3.2858707557502739E-4</v>
      </c>
    </row>
    <row r="134" spans="2:5" ht="15" customHeight="1" x14ac:dyDescent="0.25">
      <c r="B134" s="90"/>
      <c r="C134" s="42" t="s">
        <v>20</v>
      </c>
      <c r="D134" s="41">
        <v>3652</v>
      </c>
      <c r="E134" s="40">
        <v>0.13333333333333333</v>
      </c>
    </row>
    <row r="135" spans="2:5" ht="15" customHeight="1" x14ac:dyDescent="0.25">
      <c r="B135" s="88" t="s">
        <v>117</v>
      </c>
      <c r="C135" s="45" t="s">
        <v>165</v>
      </c>
      <c r="D135" s="44">
        <v>10</v>
      </c>
      <c r="E135" s="43">
        <v>3.6509675063891932E-4</v>
      </c>
    </row>
    <row r="136" spans="2:5" ht="15" customHeight="1" x14ac:dyDescent="0.25">
      <c r="B136" s="89"/>
      <c r="C136" s="45" t="s">
        <v>164</v>
      </c>
      <c r="D136" s="44">
        <v>4</v>
      </c>
      <c r="E136" s="43">
        <v>1.4603870025556772E-4</v>
      </c>
    </row>
    <row r="137" spans="2:5" ht="15" customHeight="1" x14ac:dyDescent="0.25">
      <c r="B137" s="89"/>
      <c r="C137" s="45" t="s">
        <v>163</v>
      </c>
      <c r="D137" s="44">
        <v>2</v>
      </c>
      <c r="E137" s="43">
        <v>7.3019350127783862E-5</v>
      </c>
    </row>
    <row r="138" spans="2:5" ht="15" customHeight="1" x14ac:dyDescent="0.25">
      <c r="B138" s="89"/>
      <c r="C138" s="45" t="s">
        <v>162</v>
      </c>
      <c r="D138" s="44">
        <v>7</v>
      </c>
      <c r="E138" s="43">
        <v>2.5556772544724351E-4</v>
      </c>
    </row>
    <row r="139" spans="2:5" ht="15" customHeight="1" x14ac:dyDescent="0.25">
      <c r="B139" s="89"/>
      <c r="C139" s="45" t="s">
        <v>161</v>
      </c>
      <c r="D139" s="44">
        <v>3</v>
      </c>
      <c r="E139" s="43">
        <v>1.095290251916758E-4</v>
      </c>
    </row>
    <row r="140" spans="2:5" ht="15" customHeight="1" x14ac:dyDescent="0.25">
      <c r="B140" s="89"/>
      <c r="C140" s="45" t="s">
        <v>160</v>
      </c>
      <c r="D140" s="44">
        <v>5</v>
      </c>
      <c r="E140" s="43">
        <v>1.8254837531945966E-4</v>
      </c>
    </row>
    <row r="141" spans="2:5" ht="15" customHeight="1" x14ac:dyDescent="0.25">
      <c r="B141" s="89"/>
      <c r="C141" s="45" t="s">
        <v>159</v>
      </c>
      <c r="D141" s="44">
        <v>64</v>
      </c>
      <c r="E141" s="43">
        <v>2.3366192040890836E-3</v>
      </c>
    </row>
    <row r="142" spans="2:5" ht="15" customHeight="1" x14ac:dyDescent="0.25">
      <c r="B142" s="89"/>
      <c r="C142" s="45" t="s">
        <v>158</v>
      </c>
      <c r="D142" s="44">
        <v>115</v>
      </c>
      <c r="E142" s="43">
        <v>4.1986126323475719E-3</v>
      </c>
    </row>
    <row r="143" spans="2:5" ht="15" customHeight="1" x14ac:dyDescent="0.25">
      <c r="B143" s="89"/>
      <c r="C143" s="45" t="s">
        <v>157</v>
      </c>
      <c r="D143" s="44">
        <v>8</v>
      </c>
      <c r="E143" s="43">
        <v>2.9207740051113545E-4</v>
      </c>
    </row>
    <row r="144" spans="2:5" ht="15" customHeight="1" x14ac:dyDescent="0.25">
      <c r="B144" s="89"/>
      <c r="C144" s="45" t="s">
        <v>156</v>
      </c>
      <c r="D144" s="44">
        <v>23</v>
      </c>
      <c r="E144" s="43">
        <v>8.3972252646951446E-4</v>
      </c>
    </row>
    <row r="145" spans="2:5" ht="15" customHeight="1" x14ac:dyDescent="0.25">
      <c r="B145" s="89"/>
      <c r="C145" s="45" t="s">
        <v>155</v>
      </c>
      <c r="D145" s="44">
        <v>30</v>
      </c>
      <c r="E145" s="43">
        <v>1.0952902519167579E-3</v>
      </c>
    </row>
    <row r="146" spans="2:5" ht="15" customHeight="1" x14ac:dyDescent="0.25">
      <c r="B146" s="89"/>
      <c r="C146" s="45" t="s">
        <v>154</v>
      </c>
      <c r="D146" s="44">
        <v>647</v>
      </c>
      <c r="E146" s="43">
        <v>2.3621759766338079E-2</v>
      </c>
    </row>
    <row r="147" spans="2:5" ht="15" customHeight="1" x14ac:dyDescent="0.25">
      <c r="B147" s="89"/>
      <c r="C147" s="45" t="s">
        <v>153</v>
      </c>
      <c r="D147" s="44">
        <v>42</v>
      </c>
      <c r="E147" s="43">
        <v>1.5334063526834612E-3</v>
      </c>
    </row>
    <row r="148" spans="2:5" ht="15" customHeight="1" x14ac:dyDescent="0.25">
      <c r="B148" s="89"/>
      <c r="C148" s="45" t="s">
        <v>152</v>
      </c>
      <c r="D148" s="44">
        <v>108</v>
      </c>
      <c r="E148" s="43">
        <v>3.9430449069003289E-3</v>
      </c>
    </row>
    <row r="149" spans="2:5" ht="15" customHeight="1" x14ac:dyDescent="0.25">
      <c r="B149" s="89"/>
      <c r="C149" s="45" t="s">
        <v>151</v>
      </c>
      <c r="D149" s="44">
        <v>452</v>
      </c>
      <c r="E149" s="43">
        <v>1.6502373128879155E-2</v>
      </c>
    </row>
    <row r="150" spans="2:5" ht="15" customHeight="1" x14ac:dyDescent="0.25">
      <c r="B150" s="89"/>
      <c r="C150" s="45" t="s">
        <v>150</v>
      </c>
      <c r="D150" s="44">
        <v>5</v>
      </c>
      <c r="E150" s="43">
        <v>1.8254837531945966E-4</v>
      </c>
    </row>
    <row r="151" spans="2:5" ht="15" customHeight="1" x14ac:dyDescent="0.25">
      <c r="B151" s="89"/>
      <c r="C151" s="45" t="s">
        <v>149</v>
      </c>
      <c r="D151" s="44">
        <v>6</v>
      </c>
      <c r="E151" s="43">
        <v>2.190580503833516E-4</v>
      </c>
    </row>
    <row r="152" spans="2:5" ht="15" customHeight="1" x14ac:dyDescent="0.25">
      <c r="B152" s="89"/>
      <c r="C152" s="45" t="s">
        <v>148</v>
      </c>
      <c r="D152" s="44">
        <v>1</v>
      </c>
      <c r="E152" s="43">
        <v>3.6509675063891931E-5</v>
      </c>
    </row>
    <row r="153" spans="2:5" ht="15" customHeight="1" x14ac:dyDescent="0.25">
      <c r="B153" s="89"/>
      <c r="C153" s="45" t="s">
        <v>146</v>
      </c>
      <c r="D153" s="44">
        <v>33</v>
      </c>
      <c r="E153" s="43">
        <v>1.2048192771084338E-3</v>
      </c>
    </row>
    <row r="154" spans="2:5" ht="15" customHeight="1" x14ac:dyDescent="0.25">
      <c r="B154" s="89"/>
      <c r="C154" s="45" t="s">
        <v>145</v>
      </c>
      <c r="D154" s="44">
        <v>85</v>
      </c>
      <c r="E154" s="43">
        <v>3.103322380430814E-3</v>
      </c>
    </row>
    <row r="155" spans="2:5" ht="15" customHeight="1" x14ac:dyDescent="0.25">
      <c r="B155" s="89"/>
      <c r="C155" s="45" t="s">
        <v>169</v>
      </c>
      <c r="D155" s="44">
        <v>3</v>
      </c>
      <c r="E155" s="43">
        <v>1.095290251916758E-4</v>
      </c>
    </row>
    <row r="156" spans="2:5" ht="15" customHeight="1" x14ac:dyDescent="0.25">
      <c r="B156" s="89"/>
      <c r="C156" s="45" t="s">
        <v>143</v>
      </c>
      <c r="D156" s="44">
        <v>7</v>
      </c>
      <c r="E156" s="43">
        <v>2.5556772544724351E-4</v>
      </c>
    </row>
    <row r="157" spans="2:5" ht="15" customHeight="1" x14ac:dyDescent="0.25">
      <c r="B157" s="89"/>
      <c r="C157" s="45" t="s">
        <v>142</v>
      </c>
      <c r="D157" s="44">
        <v>2</v>
      </c>
      <c r="E157" s="43">
        <v>7.3019350127783862E-5</v>
      </c>
    </row>
    <row r="158" spans="2:5" ht="15" customHeight="1" x14ac:dyDescent="0.25">
      <c r="B158" s="90"/>
      <c r="C158" s="42" t="s">
        <v>20</v>
      </c>
      <c r="D158" s="41">
        <v>1662</v>
      </c>
      <c r="E158" s="40">
        <v>6.0679079956188389E-2</v>
      </c>
    </row>
    <row r="159" spans="2:5" ht="15" customHeight="1" x14ac:dyDescent="0.25">
      <c r="B159" s="88" t="s">
        <v>174</v>
      </c>
      <c r="C159" s="45" t="s">
        <v>158</v>
      </c>
      <c r="D159" s="44">
        <v>1</v>
      </c>
      <c r="E159" s="43">
        <v>3.6509675063891931E-5</v>
      </c>
    </row>
    <row r="160" spans="2:5" ht="15" customHeight="1" x14ac:dyDescent="0.25">
      <c r="B160" s="89"/>
      <c r="C160" s="45" t="s">
        <v>157</v>
      </c>
      <c r="D160" s="44">
        <v>1</v>
      </c>
      <c r="E160" s="43">
        <v>3.6509675063891931E-5</v>
      </c>
    </row>
    <row r="161" spans="2:5" ht="15" customHeight="1" x14ac:dyDescent="0.25">
      <c r="B161" s="89"/>
      <c r="C161" s="45" t="s">
        <v>154</v>
      </c>
      <c r="D161" s="44">
        <v>2</v>
      </c>
      <c r="E161" s="43">
        <v>7.3019350127783862E-5</v>
      </c>
    </row>
    <row r="162" spans="2:5" ht="15" customHeight="1" x14ac:dyDescent="0.25">
      <c r="B162" s="89"/>
      <c r="C162" s="45" t="s">
        <v>151</v>
      </c>
      <c r="D162" s="44">
        <v>2</v>
      </c>
      <c r="E162" s="43">
        <v>7.3019350127783862E-5</v>
      </c>
    </row>
    <row r="163" spans="2:5" ht="15" customHeight="1" x14ac:dyDescent="0.25">
      <c r="B163" s="90"/>
      <c r="C163" s="42" t="s">
        <v>20</v>
      </c>
      <c r="D163" s="41">
        <v>6</v>
      </c>
      <c r="E163" s="40">
        <v>2.190580503833516E-4</v>
      </c>
    </row>
    <row r="164" spans="2:5" ht="15" customHeight="1" x14ac:dyDescent="0.25">
      <c r="B164" s="88" t="s">
        <v>101</v>
      </c>
      <c r="C164" s="45" t="s">
        <v>165</v>
      </c>
      <c r="D164" s="44">
        <v>1</v>
      </c>
      <c r="E164" s="43">
        <v>3.6509675063891931E-5</v>
      </c>
    </row>
    <row r="165" spans="2:5" ht="15" customHeight="1" x14ac:dyDescent="0.25">
      <c r="B165" s="89"/>
      <c r="C165" s="45" t="s">
        <v>162</v>
      </c>
      <c r="D165" s="44">
        <v>3</v>
      </c>
      <c r="E165" s="43">
        <v>1.095290251916758E-4</v>
      </c>
    </row>
    <row r="166" spans="2:5" ht="15" customHeight="1" x14ac:dyDescent="0.25">
      <c r="B166" s="89"/>
      <c r="C166" s="45" t="s">
        <v>161</v>
      </c>
      <c r="D166" s="44">
        <v>1</v>
      </c>
      <c r="E166" s="43">
        <v>3.6509675063891931E-5</v>
      </c>
    </row>
    <row r="167" spans="2:5" ht="15" customHeight="1" x14ac:dyDescent="0.25">
      <c r="B167" s="89"/>
      <c r="C167" s="45" t="s">
        <v>160</v>
      </c>
      <c r="D167" s="44">
        <v>3</v>
      </c>
      <c r="E167" s="43">
        <v>1.095290251916758E-4</v>
      </c>
    </row>
    <row r="168" spans="2:5" ht="15" customHeight="1" x14ac:dyDescent="0.25">
      <c r="B168" s="89"/>
      <c r="C168" s="45" t="s">
        <v>159</v>
      </c>
      <c r="D168" s="44">
        <v>11</v>
      </c>
      <c r="E168" s="43">
        <v>4.0160642570281126E-4</v>
      </c>
    </row>
    <row r="169" spans="2:5" ht="15" customHeight="1" x14ac:dyDescent="0.25">
      <c r="B169" s="89"/>
      <c r="C169" s="45" t="s">
        <v>158</v>
      </c>
      <c r="D169" s="44">
        <v>44</v>
      </c>
      <c r="E169" s="43">
        <v>1.606425702811245E-3</v>
      </c>
    </row>
    <row r="170" spans="2:5" ht="15" customHeight="1" x14ac:dyDescent="0.25">
      <c r="B170" s="89"/>
      <c r="C170" s="45" t="s">
        <v>157</v>
      </c>
      <c r="D170" s="44">
        <v>7</v>
      </c>
      <c r="E170" s="43">
        <v>2.5556772544724351E-4</v>
      </c>
    </row>
    <row r="171" spans="2:5" ht="15" customHeight="1" x14ac:dyDescent="0.25">
      <c r="B171" s="89"/>
      <c r="C171" s="45" t="s">
        <v>156</v>
      </c>
      <c r="D171" s="44">
        <v>15</v>
      </c>
      <c r="E171" s="43">
        <v>5.4764512595837896E-4</v>
      </c>
    </row>
    <row r="172" spans="2:5" ht="15" customHeight="1" x14ac:dyDescent="0.25">
      <c r="B172" s="89"/>
      <c r="C172" s="45" t="s">
        <v>155</v>
      </c>
      <c r="D172" s="44">
        <v>18</v>
      </c>
      <c r="E172" s="43">
        <v>6.5717415115005477E-4</v>
      </c>
    </row>
    <row r="173" spans="2:5" ht="15" customHeight="1" x14ac:dyDescent="0.25">
      <c r="B173" s="89"/>
      <c r="C173" s="45" t="s">
        <v>154</v>
      </c>
      <c r="D173" s="44">
        <v>126</v>
      </c>
      <c r="E173" s="43">
        <v>4.6002190580503831E-3</v>
      </c>
    </row>
    <row r="174" spans="2:5" ht="15" customHeight="1" x14ac:dyDescent="0.25">
      <c r="B174" s="89"/>
      <c r="C174" s="45" t="s">
        <v>153</v>
      </c>
      <c r="D174" s="44">
        <v>9</v>
      </c>
      <c r="E174" s="43">
        <v>3.2858707557502739E-4</v>
      </c>
    </row>
    <row r="175" spans="2:5" ht="15" customHeight="1" x14ac:dyDescent="0.25">
      <c r="B175" s="89"/>
      <c r="C175" s="45" t="s">
        <v>152</v>
      </c>
      <c r="D175" s="44">
        <v>39</v>
      </c>
      <c r="E175" s="43">
        <v>1.4238773274917853E-3</v>
      </c>
    </row>
    <row r="176" spans="2:5" ht="15" customHeight="1" x14ac:dyDescent="0.25">
      <c r="B176" s="89"/>
      <c r="C176" s="45" t="s">
        <v>151</v>
      </c>
      <c r="D176" s="44">
        <v>102</v>
      </c>
      <c r="E176" s="43">
        <v>3.723986856516977E-3</v>
      </c>
    </row>
    <row r="177" spans="2:5" ht="15" customHeight="1" x14ac:dyDescent="0.25">
      <c r="B177" s="89"/>
      <c r="C177" s="45" t="s">
        <v>150</v>
      </c>
      <c r="D177" s="44">
        <v>2</v>
      </c>
      <c r="E177" s="43">
        <v>7.3019350127783862E-5</v>
      </c>
    </row>
    <row r="178" spans="2:5" ht="15" customHeight="1" x14ac:dyDescent="0.25">
      <c r="B178" s="89"/>
      <c r="C178" s="45" t="s">
        <v>149</v>
      </c>
      <c r="D178" s="44">
        <v>3</v>
      </c>
      <c r="E178" s="43">
        <v>1.095290251916758E-4</v>
      </c>
    </row>
    <row r="179" spans="2:5" ht="15" customHeight="1" x14ac:dyDescent="0.25">
      <c r="B179" s="89"/>
      <c r="C179" s="45" t="s">
        <v>148</v>
      </c>
      <c r="D179" s="44">
        <v>3</v>
      </c>
      <c r="E179" s="43">
        <v>1.095290251916758E-4</v>
      </c>
    </row>
    <row r="180" spans="2:5" ht="15" customHeight="1" x14ac:dyDescent="0.25">
      <c r="B180" s="89"/>
      <c r="C180" s="45" t="s">
        <v>147</v>
      </c>
      <c r="D180" s="44">
        <v>1</v>
      </c>
      <c r="E180" s="43">
        <v>3.6509675063891931E-5</v>
      </c>
    </row>
    <row r="181" spans="2:5" ht="15" customHeight="1" x14ac:dyDescent="0.25">
      <c r="B181" s="89"/>
      <c r="C181" s="45" t="s">
        <v>146</v>
      </c>
      <c r="D181" s="44">
        <v>7</v>
      </c>
      <c r="E181" s="43">
        <v>2.5556772544724351E-4</v>
      </c>
    </row>
    <row r="182" spans="2:5" ht="15" customHeight="1" x14ac:dyDescent="0.25">
      <c r="B182" s="89"/>
      <c r="C182" s="45" t="s">
        <v>145</v>
      </c>
      <c r="D182" s="44">
        <v>30</v>
      </c>
      <c r="E182" s="43">
        <v>1.0952902519167579E-3</v>
      </c>
    </row>
    <row r="183" spans="2:5" ht="15" customHeight="1" x14ac:dyDescent="0.25">
      <c r="B183" s="89"/>
      <c r="C183" s="45" t="s">
        <v>143</v>
      </c>
      <c r="D183" s="44">
        <v>1</v>
      </c>
      <c r="E183" s="43">
        <v>3.6509675063891931E-5</v>
      </c>
    </row>
    <row r="184" spans="2:5" ht="15" customHeight="1" x14ac:dyDescent="0.25">
      <c r="B184" s="90"/>
      <c r="C184" s="42" t="s">
        <v>20</v>
      </c>
      <c r="D184" s="41">
        <v>426</v>
      </c>
      <c r="E184" s="40">
        <v>1.5553121577217962E-2</v>
      </c>
    </row>
    <row r="185" spans="2:5" ht="15" customHeight="1" x14ac:dyDescent="0.25">
      <c r="B185" s="88" t="s">
        <v>87</v>
      </c>
      <c r="C185" s="45" t="s">
        <v>165</v>
      </c>
      <c r="D185" s="44">
        <v>3</v>
      </c>
      <c r="E185" s="43">
        <v>1.095290251916758E-4</v>
      </c>
    </row>
    <row r="186" spans="2:5" ht="15" customHeight="1" x14ac:dyDescent="0.25">
      <c r="B186" s="89"/>
      <c r="C186" s="45" t="s">
        <v>164</v>
      </c>
      <c r="D186" s="44">
        <v>1</v>
      </c>
      <c r="E186" s="43">
        <v>3.6509675063891931E-5</v>
      </c>
    </row>
    <row r="187" spans="2:5" ht="15" customHeight="1" x14ac:dyDescent="0.25">
      <c r="B187" s="89"/>
      <c r="C187" s="45" t="s">
        <v>162</v>
      </c>
      <c r="D187" s="44">
        <v>1</v>
      </c>
      <c r="E187" s="43">
        <v>3.6509675063891931E-5</v>
      </c>
    </row>
    <row r="188" spans="2:5" ht="15" customHeight="1" x14ac:dyDescent="0.25">
      <c r="B188" s="89"/>
      <c r="C188" s="45" t="s">
        <v>160</v>
      </c>
      <c r="D188" s="44">
        <v>3</v>
      </c>
      <c r="E188" s="43">
        <v>1.095290251916758E-4</v>
      </c>
    </row>
    <row r="189" spans="2:5" ht="15" customHeight="1" x14ac:dyDescent="0.25">
      <c r="B189" s="89"/>
      <c r="C189" s="45" t="s">
        <v>159</v>
      </c>
      <c r="D189" s="44">
        <v>20</v>
      </c>
      <c r="E189" s="43">
        <v>7.3019350127783865E-4</v>
      </c>
    </row>
    <row r="190" spans="2:5" ht="15" customHeight="1" x14ac:dyDescent="0.25">
      <c r="B190" s="89"/>
      <c r="C190" s="45" t="s">
        <v>158</v>
      </c>
      <c r="D190" s="44">
        <v>21</v>
      </c>
      <c r="E190" s="43">
        <v>7.6670317634173059E-4</v>
      </c>
    </row>
    <row r="191" spans="2:5" ht="15" customHeight="1" x14ac:dyDescent="0.25">
      <c r="B191" s="89"/>
      <c r="C191" s="45" t="s">
        <v>157</v>
      </c>
      <c r="D191" s="44">
        <v>4</v>
      </c>
      <c r="E191" s="43">
        <v>1.4603870025556772E-4</v>
      </c>
    </row>
    <row r="192" spans="2:5" ht="15" customHeight="1" x14ac:dyDescent="0.25">
      <c r="B192" s="89"/>
      <c r="C192" s="45" t="s">
        <v>156</v>
      </c>
      <c r="D192" s="44">
        <v>6</v>
      </c>
      <c r="E192" s="43">
        <v>2.190580503833516E-4</v>
      </c>
    </row>
    <row r="193" spans="2:5" ht="15" customHeight="1" x14ac:dyDescent="0.25">
      <c r="B193" s="89"/>
      <c r="C193" s="45" t="s">
        <v>155</v>
      </c>
      <c r="D193" s="44">
        <v>23</v>
      </c>
      <c r="E193" s="43">
        <v>8.3972252646951446E-4</v>
      </c>
    </row>
    <row r="194" spans="2:5" ht="15" customHeight="1" x14ac:dyDescent="0.25">
      <c r="B194" s="89"/>
      <c r="C194" s="45" t="s">
        <v>154</v>
      </c>
      <c r="D194" s="44">
        <v>71</v>
      </c>
      <c r="E194" s="43">
        <v>2.592186929536327E-3</v>
      </c>
    </row>
    <row r="195" spans="2:5" ht="15" customHeight="1" x14ac:dyDescent="0.25">
      <c r="B195" s="89"/>
      <c r="C195" s="45" t="s">
        <v>153</v>
      </c>
      <c r="D195" s="44">
        <v>9</v>
      </c>
      <c r="E195" s="43">
        <v>3.2858707557502739E-4</v>
      </c>
    </row>
    <row r="196" spans="2:5" ht="15" customHeight="1" x14ac:dyDescent="0.25">
      <c r="B196" s="89"/>
      <c r="C196" s="45" t="s">
        <v>152</v>
      </c>
      <c r="D196" s="44">
        <v>16</v>
      </c>
      <c r="E196" s="43">
        <v>5.841548010222709E-4</v>
      </c>
    </row>
    <row r="197" spans="2:5" ht="15" customHeight="1" x14ac:dyDescent="0.25">
      <c r="B197" s="89"/>
      <c r="C197" s="45" t="s">
        <v>151</v>
      </c>
      <c r="D197" s="44">
        <v>58</v>
      </c>
      <c r="E197" s="43">
        <v>2.1175611537057322E-3</v>
      </c>
    </row>
    <row r="198" spans="2:5" ht="15" customHeight="1" x14ac:dyDescent="0.25">
      <c r="B198" s="89"/>
      <c r="C198" s="45" t="s">
        <v>149</v>
      </c>
      <c r="D198" s="44">
        <v>1</v>
      </c>
      <c r="E198" s="43">
        <v>3.6509675063891931E-5</v>
      </c>
    </row>
    <row r="199" spans="2:5" ht="15" customHeight="1" x14ac:dyDescent="0.25">
      <c r="B199" s="89"/>
      <c r="C199" s="45" t="s">
        <v>146</v>
      </c>
      <c r="D199" s="44">
        <v>4</v>
      </c>
      <c r="E199" s="43">
        <v>1.4603870025556772E-4</v>
      </c>
    </row>
    <row r="200" spans="2:5" ht="15" customHeight="1" x14ac:dyDescent="0.25">
      <c r="B200" s="89"/>
      <c r="C200" s="45" t="s">
        <v>145</v>
      </c>
      <c r="D200" s="44">
        <v>15</v>
      </c>
      <c r="E200" s="43">
        <v>5.4764512595837896E-4</v>
      </c>
    </row>
    <row r="201" spans="2:5" ht="15" customHeight="1" x14ac:dyDescent="0.25">
      <c r="B201" s="89"/>
      <c r="C201" s="45" t="s">
        <v>143</v>
      </c>
      <c r="D201" s="44">
        <v>3</v>
      </c>
      <c r="E201" s="43">
        <v>1.095290251916758E-4</v>
      </c>
    </row>
    <row r="202" spans="2:5" ht="15" customHeight="1" x14ac:dyDescent="0.25">
      <c r="B202" s="89"/>
      <c r="C202" s="45" t="s">
        <v>142</v>
      </c>
      <c r="D202" s="44">
        <v>1</v>
      </c>
      <c r="E202" s="43">
        <v>3.6509675063891931E-5</v>
      </c>
    </row>
    <row r="203" spans="2:5" ht="15" customHeight="1" x14ac:dyDescent="0.25">
      <c r="B203" s="90"/>
      <c r="C203" s="42" t="s">
        <v>20</v>
      </c>
      <c r="D203" s="41">
        <v>260</v>
      </c>
      <c r="E203" s="40">
        <v>9.4925155166119025E-3</v>
      </c>
    </row>
    <row r="204" spans="2:5" ht="15" customHeight="1" x14ac:dyDescent="0.25">
      <c r="B204" s="88" t="s">
        <v>73</v>
      </c>
      <c r="C204" s="45" t="s">
        <v>151</v>
      </c>
      <c r="D204" s="44">
        <v>1</v>
      </c>
      <c r="E204" s="43">
        <v>3.6509675063891931E-5</v>
      </c>
    </row>
    <row r="205" spans="2:5" ht="15" customHeight="1" x14ac:dyDescent="0.25">
      <c r="B205" s="90"/>
      <c r="C205" s="42" t="s">
        <v>20</v>
      </c>
      <c r="D205" s="41">
        <v>1</v>
      </c>
      <c r="E205" s="40">
        <v>3.6509675063891931E-5</v>
      </c>
    </row>
    <row r="206" spans="2:5" ht="15" customHeight="1" x14ac:dyDescent="0.25">
      <c r="B206" s="88" t="s">
        <v>72</v>
      </c>
      <c r="C206" s="45" t="s">
        <v>151</v>
      </c>
      <c r="D206" s="44">
        <v>1</v>
      </c>
      <c r="E206" s="43">
        <v>3.6509675063891931E-5</v>
      </c>
    </row>
    <row r="207" spans="2:5" ht="15" customHeight="1" x14ac:dyDescent="0.25">
      <c r="B207" s="90"/>
      <c r="C207" s="42" t="s">
        <v>20</v>
      </c>
      <c r="D207" s="41">
        <v>1</v>
      </c>
      <c r="E207" s="40">
        <v>3.6509675063891931E-5</v>
      </c>
    </row>
    <row r="208" spans="2:5" ht="15" customHeight="1" x14ac:dyDescent="0.25">
      <c r="B208" s="88" t="s">
        <v>85</v>
      </c>
      <c r="C208" s="45" t="s">
        <v>162</v>
      </c>
      <c r="D208" s="44">
        <v>1</v>
      </c>
      <c r="E208" s="43">
        <v>3.6509675063891931E-5</v>
      </c>
    </row>
    <row r="209" spans="2:5" ht="15" customHeight="1" x14ac:dyDescent="0.25">
      <c r="B209" s="89"/>
      <c r="C209" s="45" t="s">
        <v>160</v>
      </c>
      <c r="D209" s="44">
        <v>1</v>
      </c>
      <c r="E209" s="43">
        <v>3.6509675063891931E-5</v>
      </c>
    </row>
    <row r="210" spans="2:5" ht="15" customHeight="1" x14ac:dyDescent="0.25">
      <c r="B210" s="89"/>
      <c r="C210" s="45" t="s">
        <v>159</v>
      </c>
      <c r="D210" s="44">
        <v>2</v>
      </c>
      <c r="E210" s="43">
        <v>7.3019350127783862E-5</v>
      </c>
    </row>
    <row r="211" spans="2:5" ht="15" customHeight="1" x14ac:dyDescent="0.25">
      <c r="B211" s="89"/>
      <c r="C211" s="45" t="s">
        <v>158</v>
      </c>
      <c r="D211" s="44">
        <v>5</v>
      </c>
      <c r="E211" s="43">
        <v>1.8254837531945966E-4</v>
      </c>
    </row>
    <row r="212" spans="2:5" ht="15" customHeight="1" x14ac:dyDescent="0.25">
      <c r="B212" s="89"/>
      <c r="C212" s="45" t="s">
        <v>156</v>
      </c>
      <c r="D212" s="44">
        <v>2</v>
      </c>
      <c r="E212" s="43">
        <v>7.3019350127783862E-5</v>
      </c>
    </row>
    <row r="213" spans="2:5" ht="15" customHeight="1" x14ac:dyDescent="0.25">
      <c r="B213" s="89"/>
      <c r="C213" s="45" t="s">
        <v>155</v>
      </c>
      <c r="D213" s="44">
        <v>2</v>
      </c>
      <c r="E213" s="43">
        <v>7.3019350127783862E-5</v>
      </c>
    </row>
    <row r="214" spans="2:5" ht="15" customHeight="1" x14ac:dyDescent="0.25">
      <c r="B214" s="89"/>
      <c r="C214" s="45" t="s">
        <v>154</v>
      </c>
      <c r="D214" s="44">
        <v>7</v>
      </c>
      <c r="E214" s="43">
        <v>2.5556772544724351E-4</v>
      </c>
    </row>
    <row r="215" spans="2:5" ht="15" customHeight="1" x14ac:dyDescent="0.25">
      <c r="B215" s="89"/>
      <c r="C215" s="45" t="s">
        <v>153</v>
      </c>
      <c r="D215" s="44">
        <v>3</v>
      </c>
      <c r="E215" s="43">
        <v>1.095290251916758E-4</v>
      </c>
    </row>
    <row r="216" spans="2:5" ht="15" customHeight="1" x14ac:dyDescent="0.25">
      <c r="B216" s="89"/>
      <c r="C216" s="45" t="s">
        <v>152</v>
      </c>
      <c r="D216" s="44">
        <v>6</v>
      </c>
      <c r="E216" s="43">
        <v>2.190580503833516E-4</v>
      </c>
    </row>
    <row r="217" spans="2:5" ht="15" customHeight="1" x14ac:dyDescent="0.25">
      <c r="B217" s="89"/>
      <c r="C217" s="45" t="s">
        <v>151</v>
      </c>
      <c r="D217" s="44">
        <v>19</v>
      </c>
      <c r="E217" s="43">
        <v>6.9368382621394671E-4</v>
      </c>
    </row>
    <row r="218" spans="2:5" ht="15" customHeight="1" x14ac:dyDescent="0.25">
      <c r="B218" s="89"/>
      <c r="C218" s="45" t="s">
        <v>146</v>
      </c>
      <c r="D218" s="44">
        <v>2</v>
      </c>
      <c r="E218" s="43">
        <v>7.3019350127783862E-5</v>
      </c>
    </row>
    <row r="219" spans="2:5" ht="15" customHeight="1" x14ac:dyDescent="0.25">
      <c r="B219" s="89"/>
      <c r="C219" s="45" t="s">
        <v>145</v>
      </c>
      <c r="D219" s="44">
        <v>14</v>
      </c>
      <c r="E219" s="43">
        <v>5.1113545089448702E-4</v>
      </c>
    </row>
    <row r="220" spans="2:5" ht="15" customHeight="1" x14ac:dyDescent="0.25">
      <c r="B220" s="89"/>
      <c r="C220" s="45" t="s">
        <v>143</v>
      </c>
      <c r="D220" s="44">
        <v>4</v>
      </c>
      <c r="E220" s="43">
        <v>1.4603870025556772E-4</v>
      </c>
    </row>
    <row r="221" spans="2:5" ht="15" customHeight="1" x14ac:dyDescent="0.25">
      <c r="B221" s="90"/>
      <c r="C221" s="42" t="s">
        <v>20</v>
      </c>
      <c r="D221" s="41">
        <v>68</v>
      </c>
      <c r="E221" s="40">
        <v>2.4826579043446513E-3</v>
      </c>
    </row>
    <row r="222" spans="2:5" ht="15" customHeight="1" x14ac:dyDescent="0.25">
      <c r="B222" s="88" t="s">
        <v>98</v>
      </c>
      <c r="C222" s="45" t="s">
        <v>165</v>
      </c>
      <c r="D222" s="44">
        <v>2</v>
      </c>
      <c r="E222" s="43">
        <v>7.3019350127783862E-5</v>
      </c>
    </row>
    <row r="223" spans="2:5" ht="15" customHeight="1" x14ac:dyDescent="0.25">
      <c r="B223" s="89"/>
      <c r="C223" s="45" t="s">
        <v>163</v>
      </c>
      <c r="D223" s="44">
        <v>3</v>
      </c>
      <c r="E223" s="43">
        <v>1.095290251916758E-4</v>
      </c>
    </row>
    <row r="224" spans="2:5" ht="15" customHeight="1" x14ac:dyDescent="0.25">
      <c r="B224" s="89"/>
      <c r="C224" s="45" t="s">
        <v>162</v>
      </c>
      <c r="D224" s="44">
        <v>5</v>
      </c>
      <c r="E224" s="43">
        <v>1.8254837531945966E-4</v>
      </c>
    </row>
    <row r="225" spans="2:5" ht="15" customHeight="1" x14ac:dyDescent="0.25">
      <c r="B225" s="89"/>
      <c r="C225" s="45" t="s">
        <v>160</v>
      </c>
      <c r="D225" s="44">
        <v>6</v>
      </c>
      <c r="E225" s="43">
        <v>2.190580503833516E-4</v>
      </c>
    </row>
    <row r="226" spans="2:5" ht="15" customHeight="1" x14ac:dyDescent="0.25">
      <c r="B226" s="89"/>
      <c r="C226" s="45" t="s">
        <v>159</v>
      </c>
      <c r="D226" s="44">
        <v>17</v>
      </c>
      <c r="E226" s="43">
        <v>6.2066447608616284E-4</v>
      </c>
    </row>
    <row r="227" spans="2:5" ht="15" customHeight="1" x14ac:dyDescent="0.25">
      <c r="B227" s="89"/>
      <c r="C227" s="45" t="s">
        <v>158</v>
      </c>
      <c r="D227" s="44">
        <v>27</v>
      </c>
      <c r="E227" s="43">
        <v>9.8576122672508221E-4</v>
      </c>
    </row>
    <row r="228" spans="2:5" ht="15" customHeight="1" x14ac:dyDescent="0.25">
      <c r="B228" s="89"/>
      <c r="C228" s="45" t="s">
        <v>157</v>
      </c>
      <c r="D228" s="44">
        <v>2</v>
      </c>
      <c r="E228" s="43">
        <v>7.3019350127783862E-5</v>
      </c>
    </row>
    <row r="229" spans="2:5" ht="15" customHeight="1" x14ac:dyDescent="0.25">
      <c r="B229" s="89"/>
      <c r="C229" s="45" t="s">
        <v>156</v>
      </c>
      <c r="D229" s="44">
        <v>18</v>
      </c>
      <c r="E229" s="43">
        <v>6.5717415115005477E-4</v>
      </c>
    </row>
    <row r="230" spans="2:5" ht="15" customHeight="1" x14ac:dyDescent="0.25">
      <c r="B230" s="89"/>
      <c r="C230" s="45" t="s">
        <v>155</v>
      </c>
      <c r="D230" s="44">
        <v>18</v>
      </c>
      <c r="E230" s="43">
        <v>6.5717415115005477E-4</v>
      </c>
    </row>
    <row r="231" spans="2:5" ht="15" customHeight="1" x14ac:dyDescent="0.25">
      <c r="B231" s="89"/>
      <c r="C231" s="45" t="s">
        <v>154</v>
      </c>
      <c r="D231" s="44">
        <v>145</v>
      </c>
      <c r="E231" s="43">
        <v>5.2939028842643298E-3</v>
      </c>
    </row>
    <row r="232" spans="2:5" ht="15" customHeight="1" x14ac:dyDescent="0.25">
      <c r="B232" s="89"/>
      <c r="C232" s="45" t="s">
        <v>153</v>
      </c>
      <c r="D232" s="44">
        <v>7</v>
      </c>
      <c r="E232" s="43">
        <v>2.5556772544724351E-4</v>
      </c>
    </row>
    <row r="233" spans="2:5" ht="15" customHeight="1" x14ac:dyDescent="0.25">
      <c r="B233" s="89"/>
      <c r="C233" s="45" t="s">
        <v>152</v>
      </c>
      <c r="D233" s="44">
        <v>42</v>
      </c>
      <c r="E233" s="43">
        <v>1.5334063526834612E-3</v>
      </c>
    </row>
    <row r="234" spans="2:5" ht="15" customHeight="1" x14ac:dyDescent="0.25">
      <c r="B234" s="89"/>
      <c r="C234" s="45" t="s">
        <v>151</v>
      </c>
      <c r="D234" s="44">
        <v>95</v>
      </c>
      <c r="E234" s="43">
        <v>3.4684191310697336E-3</v>
      </c>
    </row>
    <row r="235" spans="2:5" ht="15" customHeight="1" x14ac:dyDescent="0.25">
      <c r="B235" s="89"/>
      <c r="C235" s="45" t="s">
        <v>150</v>
      </c>
      <c r="D235" s="44">
        <v>3</v>
      </c>
      <c r="E235" s="43">
        <v>1.095290251916758E-4</v>
      </c>
    </row>
    <row r="236" spans="2:5" ht="15" customHeight="1" x14ac:dyDescent="0.25">
      <c r="B236" s="89"/>
      <c r="C236" s="45" t="s">
        <v>149</v>
      </c>
      <c r="D236" s="44">
        <v>5</v>
      </c>
      <c r="E236" s="43">
        <v>1.8254837531945966E-4</v>
      </c>
    </row>
    <row r="237" spans="2:5" ht="15" customHeight="1" x14ac:dyDescent="0.25">
      <c r="B237" s="89"/>
      <c r="C237" s="45" t="s">
        <v>148</v>
      </c>
      <c r="D237" s="44">
        <v>1</v>
      </c>
      <c r="E237" s="43">
        <v>3.6509675063891931E-5</v>
      </c>
    </row>
    <row r="238" spans="2:5" ht="15" customHeight="1" x14ac:dyDescent="0.25">
      <c r="B238" s="89"/>
      <c r="C238" s="45" t="s">
        <v>147</v>
      </c>
      <c r="D238" s="44">
        <v>1</v>
      </c>
      <c r="E238" s="43">
        <v>3.6509675063891931E-5</v>
      </c>
    </row>
    <row r="239" spans="2:5" ht="15" customHeight="1" x14ac:dyDescent="0.25">
      <c r="B239" s="89"/>
      <c r="C239" s="45" t="s">
        <v>146</v>
      </c>
      <c r="D239" s="44">
        <v>7</v>
      </c>
      <c r="E239" s="43">
        <v>2.5556772544724351E-4</v>
      </c>
    </row>
    <row r="240" spans="2:5" ht="15" customHeight="1" x14ac:dyDescent="0.25">
      <c r="B240" s="89"/>
      <c r="C240" s="45" t="s">
        <v>145</v>
      </c>
      <c r="D240" s="44">
        <v>21</v>
      </c>
      <c r="E240" s="43">
        <v>7.6670317634173059E-4</v>
      </c>
    </row>
    <row r="241" spans="2:5" ht="15" customHeight="1" x14ac:dyDescent="0.25">
      <c r="B241" s="89"/>
      <c r="C241" s="45" t="s">
        <v>143</v>
      </c>
      <c r="D241" s="44">
        <v>1</v>
      </c>
      <c r="E241" s="43">
        <v>3.6509675063891931E-5</v>
      </c>
    </row>
    <row r="242" spans="2:5" ht="15" customHeight="1" x14ac:dyDescent="0.25">
      <c r="B242" s="90"/>
      <c r="C242" s="42" t="s">
        <v>20</v>
      </c>
      <c r="D242" s="41">
        <v>426</v>
      </c>
      <c r="E242" s="40">
        <v>1.5553121577217962E-2</v>
      </c>
    </row>
    <row r="243" spans="2:5" ht="15" customHeight="1" x14ac:dyDescent="0.25">
      <c r="B243" s="88" t="s">
        <v>114</v>
      </c>
      <c r="C243" s="45" t="s">
        <v>165</v>
      </c>
      <c r="D243" s="44">
        <v>7</v>
      </c>
      <c r="E243" s="43">
        <v>2.5556772544724351E-4</v>
      </c>
    </row>
    <row r="244" spans="2:5" ht="15" customHeight="1" x14ac:dyDescent="0.25">
      <c r="B244" s="89"/>
      <c r="C244" s="45" t="s">
        <v>164</v>
      </c>
      <c r="D244" s="44">
        <v>1</v>
      </c>
      <c r="E244" s="43">
        <v>3.6509675063891931E-5</v>
      </c>
    </row>
    <row r="245" spans="2:5" ht="15" customHeight="1" x14ac:dyDescent="0.25">
      <c r="B245" s="89"/>
      <c r="C245" s="45" t="s">
        <v>163</v>
      </c>
      <c r="D245" s="44">
        <v>4</v>
      </c>
      <c r="E245" s="43">
        <v>1.4603870025556772E-4</v>
      </c>
    </row>
    <row r="246" spans="2:5" ht="15" customHeight="1" x14ac:dyDescent="0.25">
      <c r="B246" s="89"/>
      <c r="C246" s="45" t="s">
        <v>162</v>
      </c>
      <c r="D246" s="44">
        <v>3</v>
      </c>
      <c r="E246" s="43">
        <v>1.095290251916758E-4</v>
      </c>
    </row>
    <row r="247" spans="2:5" ht="15" customHeight="1" x14ac:dyDescent="0.25">
      <c r="B247" s="89"/>
      <c r="C247" s="45" t="s">
        <v>161</v>
      </c>
      <c r="D247" s="44">
        <v>4</v>
      </c>
      <c r="E247" s="43">
        <v>1.4603870025556772E-4</v>
      </c>
    </row>
    <row r="248" spans="2:5" ht="15" customHeight="1" x14ac:dyDescent="0.25">
      <c r="B248" s="89"/>
      <c r="C248" s="45" t="s">
        <v>160</v>
      </c>
      <c r="D248" s="44">
        <v>7</v>
      </c>
      <c r="E248" s="43">
        <v>2.5556772544724351E-4</v>
      </c>
    </row>
    <row r="249" spans="2:5" ht="15" customHeight="1" x14ac:dyDescent="0.25">
      <c r="B249" s="89"/>
      <c r="C249" s="45" t="s">
        <v>159</v>
      </c>
      <c r="D249" s="44">
        <v>37</v>
      </c>
      <c r="E249" s="43">
        <v>1.3508579773640014E-3</v>
      </c>
    </row>
    <row r="250" spans="2:5" ht="15" customHeight="1" x14ac:dyDescent="0.25">
      <c r="B250" s="89"/>
      <c r="C250" s="45" t="s">
        <v>158</v>
      </c>
      <c r="D250" s="44">
        <v>29</v>
      </c>
      <c r="E250" s="43">
        <v>1.0587805768528661E-3</v>
      </c>
    </row>
    <row r="251" spans="2:5" ht="15" customHeight="1" x14ac:dyDescent="0.25">
      <c r="B251" s="89"/>
      <c r="C251" s="45" t="s">
        <v>157</v>
      </c>
      <c r="D251" s="44">
        <v>11</v>
      </c>
      <c r="E251" s="43">
        <v>4.0160642570281126E-4</v>
      </c>
    </row>
    <row r="252" spans="2:5" ht="15" customHeight="1" x14ac:dyDescent="0.25">
      <c r="B252" s="89"/>
      <c r="C252" s="45" t="s">
        <v>156</v>
      </c>
      <c r="D252" s="44">
        <v>13</v>
      </c>
      <c r="E252" s="43">
        <v>4.7462577583059508E-4</v>
      </c>
    </row>
    <row r="253" spans="2:5" ht="15" customHeight="1" x14ac:dyDescent="0.25">
      <c r="B253" s="89"/>
      <c r="C253" s="45" t="s">
        <v>155</v>
      </c>
      <c r="D253" s="44">
        <v>15</v>
      </c>
      <c r="E253" s="43">
        <v>5.4764512595837896E-4</v>
      </c>
    </row>
    <row r="254" spans="2:5" ht="15" customHeight="1" x14ac:dyDescent="0.25">
      <c r="B254" s="89"/>
      <c r="C254" s="45" t="s">
        <v>154</v>
      </c>
      <c r="D254" s="44">
        <v>93</v>
      </c>
      <c r="E254" s="43">
        <v>3.3953997809419495E-3</v>
      </c>
    </row>
    <row r="255" spans="2:5" ht="15" customHeight="1" x14ac:dyDescent="0.25">
      <c r="B255" s="89"/>
      <c r="C255" s="45" t="s">
        <v>153</v>
      </c>
      <c r="D255" s="44">
        <v>10</v>
      </c>
      <c r="E255" s="43">
        <v>3.6509675063891932E-4</v>
      </c>
    </row>
    <row r="256" spans="2:5" ht="15" customHeight="1" x14ac:dyDescent="0.25">
      <c r="B256" s="89"/>
      <c r="C256" s="45" t="s">
        <v>152</v>
      </c>
      <c r="D256" s="44">
        <v>31</v>
      </c>
      <c r="E256" s="43">
        <v>1.13179992698065E-3</v>
      </c>
    </row>
    <row r="257" spans="2:5" ht="15" customHeight="1" x14ac:dyDescent="0.25">
      <c r="B257" s="89"/>
      <c r="C257" s="45" t="s">
        <v>151</v>
      </c>
      <c r="D257" s="44">
        <v>91</v>
      </c>
      <c r="E257" s="43">
        <v>3.3223804308141658E-3</v>
      </c>
    </row>
    <row r="258" spans="2:5" ht="15" customHeight="1" x14ac:dyDescent="0.25">
      <c r="B258" s="89"/>
      <c r="C258" s="45" t="s">
        <v>150</v>
      </c>
      <c r="D258" s="44">
        <v>2</v>
      </c>
      <c r="E258" s="43">
        <v>7.3019350127783862E-5</v>
      </c>
    </row>
    <row r="259" spans="2:5" ht="15" customHeight="1" x14ac:dyDescent="0.25">
      <c r="B259" s="89"/>
      <c r="C259" s="45" t="s">
        <v>149</v>
      </c>
      <c r="D259" s="44">
        <v>2</v>
      </c>
      <c r="E259" s="43">
        <v>7.3019350127783862E-5</v>
      </c>
    </row>
    <row r="260" spans="2:5" ht="15" customHeight="1" x14ac:dyDescent="0.25">
      <c r="B260" s="89"/>
      <c r="C260" s="45" t="s">
        <v>148</v>
      </c>
      <c r="D260" s="44">
        <v>2</v>
      </c>
      <c r="E260" s="43">
        <v>7.3019350127783862E-5</v>
      </c>
    </row>
    <row r="261" spans="2:5" ht="15" customHeight="1" x14ac:dyDescent="0.25">
      <c r="B261" s="89"/>
      <c r="C261" s="45" t="s">
        <v>147</v>
      </c>
      <c r="D261" s="44">
        <v>1</v>
      </c>
      <c r="E261" s="43">
        <v>3.6509675063891931E-5</v>
      </c>
    </row>
    <row r="262" spans="2:5" ht="15" customHeight="1" x14ac:dyDescent="0.25">
      <c r="B262" s="89"/>
      <c r="C262" s="45" t="s">
        <v>146</v>
      </c>
      <c r="D262" s="44">
        <v>9</v>
      </c>
      <c r="E262" s="43">
        <v>3.2858707557502739E-4</v>
      </c>
    </row>
    <row r="263" spans="2:5" ht="15" customHeight="1" x14ac:dyDescent="0.25">
      <c r="B263" s="89"/>
      <c r="C263" s="45" t="s">
        <v>145</v>
      </c>
      <c r="D263" s="44">
        <v>16</v>
      </c>
      <c r="E263" s="43">
        <v>5.841548010222709E-4</v>
      </c>
    </row>
    <row r="264" spans="2:5" ht="15" customHeight="1" x14ac:dyDescent="0.25">
      <c r="B264" s="89"/>
      <c r="C264" s="45" t="s">
        <v>169</v>
      </c>
      <c r="D264" s="44">
        <v>1</v>
      </c>
      <c r="E264" s="43">
        <v>3.6509675063891931E-5</v>
      </c>
    </row>
    <row r="265" spans="2:5" ht="15" customHeight="1" x14ac:dyDescent="0.25">
      <c r="B265" s="89"/>
      <c r="C265" s="45" t="s">
        <v>143</v>
      </c>
      <c r="D265" s="44">
        <v>1</v>
      </c>
      <c r="E265" s="43">
        <v>3.6509675063891931E-5</v>
      </c>
    </row>
    <row r="266" spans="2:5" ht="15" customHeight="1" x14ac:dyDescent="0.25">
      <c r="B266" s="90"/>
      <c r="C266" s="42" t="s">
        <v>20</v>
      </c>
      <c r="D266" s="41">
        <v>390</v>
      </c>
      <c r="E266" s="40">
        <v>1.4238773274917854E-2</v>
      </c>
    </row>
    <row r="267" spans="2:5" ht="15" customHeight="1" x14ac:dyDescent="0.25">
      <c r="B267" s="88" t="s">
        <v>118</v>
      </c>
      <c r="C267" s="45" t="s">
        <v>165</v>
      </c>
      <c r="D267" s="44">
        <v>9</v>
      </c>
      <c r="E267" s="43">
        <v>3.2858707557502739E-4</v>
      </c>
    </row>
    <row r="268" spans="2:5" ht="15" customHeight="1" x14ac:dyDescent="0.25">
      <c r="B268" s="89"/>
      <c r="C268" s="45" t="s">
        <v>164</v>
      </c>
      <c r="D268" s="44">
        <v>5</v>
      </c>
      <c r="E268" s="43">
        <v>1.8254837531945966E-4</v>
      </c>
    </row>
    <row r="269" spans="2:5" ht="15" customHeight="1" x14ac:dyDescent="0.25">
      <c r="B269" s="89"/>
      <c r="C269" s="45" t="s">
        <v>163</v>
      </c>
      <c r="D269" s="44">
        <v>4</v>
      </c>
      <c r="E269" s="43">
        <v>1.4603870025556772E-4</v>
      </c>
    </row>
    <row r="270" spans="2:5" ht="15" customHeight="1" x14ac:dyDescent="0.25">
      <c r="B270" s="89"/>
      <c r="C270" s="45" t="s">
        <v>162</v>
      </c>
      <c r="D270" s="44">
        <v>9</v>
      </c>
      <c r="E270" s="43">
        <v>3.2858707557502739E-4</v>
      </c>
    </row>
    <row r="271" spans="2:5" ht="15" customHeight="1" x14ac:dyDescent="0.25">
      <c r="B271" s="89"/>
      <c r="C271" s="45" t="s">
        <v>161</v>
      </c>
      <c r="D271" s="44">
        <v>6</v>
      </c>
      <c r="E271" s="43">
        <v>2.190580503833516E-4</v>
      </c>
    </row>
    <row r="272" spans="2:5" ht="15" customHeight="1" x14ac:dyDescent="0.25">
      <c r="B272" s="89"/>
      <c r="C272" s="45" t="s">
        <v>160</v>
      </c>
      <c r="D272" s="44">
        <v>8</v>
      </c>
      <c r="E272" s="43">
        <v>2.9207740051113545E-4</v>
      </c>
    </row>
    <row r="273" spans="2:5" ht="15" customHeight="1" x14ac:dyDescent="0.25">
      <c r="B273" s="89"/>
      <c r="C273" s="45" t="s">
        <v>159</v>
      </c>
      <c r="D273" s="44">
        <v>66</v>
      </c>
      <c r="E273" s="43">
        <v>2.4096385542168677E-3</v>
      </c>
    </row>
    <row r="274" spans="2:5" ht="15" customHeight="1" x14ac:dyDescent="0.25">
      <c r="B274" s="89"/>
      <c r="C274" s="45" t="s">
        <v>158</v>
      </c>
      <c r="D274" s="44">
        <v>113</v>
      </c>
      <c r="E274" s="43">
        <v>4.1255932822197887E-3</v>
      </c>
    </row>
    <row r="275" spans="2:5" ht="15" customHeight="1" x14ac:dyDescent="0.25">
      <c r="B275" s="89"/>
      <c r="C275" s="45" t="s">
        <v>157</v>
      </c>
      <c r="D275" s="44">
        <v>13</v>
      </c>
      <c r="E275" s="43">
        <v>4.7462577583059508E-4</v>
      </c>
    </row>
    <row r="276" spans="2:5" ht="15" customHeight="1" x14ac:dyDescent="0.25">
      <c r="B276" s="89"/>
      <c r="C276" s="45" t="s">
        <v>156</v>
      </c>
      <c r="D276" s="44">
        <v>37</v>
      </c>
      <c r="E276" s="43">
        <v>1.3508579773640014E-3</v>
      </c>
    </row>
    <row r="277" spans="2:5" ht="15" customHeight="1" x14ac:dyDescent="0.25">
      <c r="B277" s="89"/>
      <c r="C277" s="45" t="s">
        <v>155</v>
      </c>
      <c r="D277" s="44">
        <v>50</v>
      </c>
      <c r="E277" s="43">
        <v>1.8254837531945967E-3</v>
      </c>
    </row>
    <row r="278" spans="2:5" ht="15" customHeight="1" x14ac:dyDescent="0.25">
      <c r="B278" s="89"/>
      <c r="C278" s="45" t="s">
        <v>154</v>
      </c>
      <c r="D278" s="44">
        <v>573</v>
      </c>
      <c r="E278" s="43">
        <v>2.0920043811610077E-2</v>
      </c>
    </row>
    <row r="279" spans="2:5" ht="15" customHeight="1" x14ac:dyDescent="0.25">
      <c r="B279" s="89"/>
      <c r="C279" s="45" t="s">
        <v>153</v>
      </c>
      <c r="D279" s="44">
        <v>43</v>
      </c>
      <c r="E279" s="43">
        <v>1.569916027747353E-3</v>
      </c>
    </row>
    <row r="280" spans="2:5" ht="15" customHeight="1" x14ac:dyDescent="0.25">
      <c r="B280" s="89"/>
      <c r="C280" s="45" t="s">
        <v>152</v>
      </c>
      <c r="D280" s="44">
        <v>123</v>
      </c>
      <c r="E280" s="43">
        <v>4.4906900328587074E-3</v>
      </c>
    </row>
    <row r="281" spans="2:5" ht="15" customHeight="1" x14ac:dyDescent="0.25">
      <c r="B281" s="89"/>
      <c r="C281" s="45" t="s">
        <v>151</v>
      </c>
      <c r="D281" s="44">
        <v>500</v>
      </c>
      <c r="E281" s="43">
        <v>1.8254837531945966E-2</v>
      </c>
    </row>
    <row r="282" spans="2:5" ht="15" customHeight="1" x14ac:dyDescent="0.25">
      <c r="B282" s="89"/>
      <c r="C282" s="45" t="s">
        <v>150</v>
      </c>
      <c r="D282" s="44">
        <v>6</v>
      </c>
      <c r="E282" s="43">
        <v>2.190580503833516E-4</v>
      </c>
    </row>
    <row r="283" spans="2:5" ht="15" customHeight="1" x14ac:dyDescent="0.25">
      <c r="B283" s="89"/>
      <c r="C283" s="45" t="s">
        <v>149</v>
      </c>
      <c r="D283" s="44">
        <v>6</v>
      </c>
      <c r="E283" s="43">
        <v>2.190580503833516E-4</v>
      </c>
    </row>
    <row r="284" spans="2:5" ht="15" customHeight="1" x14ac:dyDescent="0.25">
      <c r="B284" s="89"/>
      <c r="C284" s="45" t="s">
        <v>148</v>
      </c>
      <c r="D284" s="44">
        <v>3</v>
      </c>
      <c r="E284" s="43">
        <v>1.095290251916758E-4</v>
      </c>
    </row>
    <row r="285" spans="2:5" ht="15" customHeight="1" x14ac:dyDescent="0.25">
      <c r="B285" s="89"/>
      <c r="C285" s="45" t="s">
        <v>147</v>
      </c>
      <c r="D285" s="44">
        <v>3</v>
      </c>
      <c r="E285" s="43">
        <v>1.095290251916758E-4</v>
      </c>
    </row>
    <row r="286" spans="2:5" ht="15" customHeight="1" x14ac:dyDescent="0.25">
      <c r="B286" s="89"/>
      <c r="C286" s="45" t="s">
        <v>146</v>
      </c>
      <c r="D286" s="44">
        <v>51</v>
      </c>
      <c r="E286" s="43">
        <v>1.8619934282584885E-3</v>
      </c>
    </row>
    <row r="287" spans="2:5" ht="15" customHeight="1" x14ac:dyDescent="0.25">
      <c r="B287" s="89"/>
      <c r="C287" s="45" t="s">
        <v>145</v>
      </c>
      <c r="D287" s="44">
        <v>136</v>
      </c>
      <c r="E287" s="43">
        <v>4.9653158086893027E-3</v>
      </c>
    </row>
    <row r="288" spans="2:5" ht="15" customHeight="1" x14ac:dyDescent="0.25">
      <c r="B288" s="89"/>
      <c r="C288" s="45" t="s">
        <v>143</v>
      </c>
      <c r="D288" s="44">
        <v>7</v>
      </c>
      <c r="E288" s="43">
        <v>2.5556772544724351E-4</v>
      </c>
    </row>
    <row r="289" spans="2:5" ht="15" customHeight="1" x14ac:dyDescent="0.25">
      <c r="B289" s="89"/>
      <c r="C289" s="45" t="s">
        <v>142</v>
      </c>
      <c r="D289" s="44">
        <v>2</v>
      </c>
      <c r="E289" s="43">
        <v>7.3019350127783862E-5</v>
      </c>
    </row>
    <row r="290" spans="2:5" ht="15" customHeight="1" x14ac:dyDescent="0.25">
      <c r="B290" s="90"/>
      <c r="C290" s="42" t="s">
        <v>20</v>
      </c>
      <c r="D290" s="41">
        <v>1773</v>
      </c>
      <c r="E290" s="40">
        <v>6.4731653888280394E-2</v>
      </c>
    </row>
    <row r="291" spans="2:5" ht="15" customHeight="1" x14ac:dyDescent="0.25">
      <c r="B291" s="88" t="s">
        <v>173</v>
      </c>
      <c r="C291" s="45" t="s">
        <v>164</v>
      </c>
      <c r="D291" s="44">
        <v>3</v>
      </c>
      <c r="E291" s="43">
        <v>1.095290251916758E-4</v>
      </c>
    </row>
    <row r="292" spans="2:5" ht="15" customHeight="1" x14ac:dyDescent="0.25">
      <c r="B292" s="89"/>
      <c r="C292" s="45" t="s">
        <v>163</v>
      </c>
      <c r="D292" s="44">
        <v>2</v>
      </c>
      <c r="E292" s="43">
        <v>7.3019350127783862E-5</v>
      </c>
    </row>
    <row r="293" spans="2:5" ht="15" customHeight="1" x14ac:dyDescent="0.25">
      <c r="B293" s="89"/>
      <c r="C293" s="45" t="s">
        <v>162</v>
      </c>
      <c r="D293" s="44">
        <v>3</v>
      </c>
      <c r="E293" s="43">
        <v>1.095290251916758E-4</v>
      </c>
    </row>
    <row r="294" spans="2:5" ht="15" customHeight="1" x14ac:dyDescent="0.25">
      <c r="B294" s="89"/>
      <c r="C294" s="45" t="s">
        <v>161</v>
      </c>
      <c r="D294" s="44">
        <v>5</v>
      </c>
      <c r="E294" s="43">
        <v>1.8254837531945966E-4</v>
      </c>
    </row>
    <row r="295" spans="2:5" ht="15" customHeight="1" x14ac:dyDescent="0.25">
      <c r="B295" s="89"/>
      <c r="C295" s="45" t="s">
        <v>160</v>
      </c>
      <c r="D295" s="44">
        <v>1</v>
      </c>
      <c r="E295" s="43">
        <v>3.6509675063891931E-5</v>
      </c>
    </row>
    <row r="296" spans="2:5" ht="15" customHeight="1" x14ac:dyDescent="0.25">
      <c r="B296" s="89"/>
      <c r="C296" s="45" t="s">
        <v>159</v>
      </c>
      <c r="D296" s="44">
        <v>35</v>
      </c>
      <c r="E296" s="43">
        <v>1.2778386272362175E-3</v>
      </c>
    </row>
    <row r="297" spans="2:5" ht="15" customHeight="1" x14ac:dyDescent="0.25">
      <c r="B297" s="89"/>
      <c r="C297" s="45" t="s">
        <v>158</v>
      </c>
      <c r="D297" s="44">
        <v>41</v>
      </c>
      <c r="E297" s="43">
        <v>1.4968966776195691E-3</v>
      </c>
    </row>
    <row r="298" spans="2:5" ht="15" customHeight="1" x14ac:dyDescent="0.25">
      <c r="B298" s="89"/>
      <c r="C298" s="45" t="s">
        <v>157</v>
      </c>
      <c r="D298" s="44">
        <v>5</v>
      </c>
      <c r="E298" s="43">
        <v>1.8254837531945966E-4</v>
      </c>
    </row>
    <row r="299" spans="2:5" ht="15" customHeight="1" x14ac:dyDescent="0.25">
      <c r="B299" s="89"/>
      <c r="C299" s="45" t="s">
        <v>156</v>
      </c>
      <c r="D299" s="44">
        <v>22</v>
      </c>
      <c r="E299" s="43">
        <v>8.0321285140562252E-4</v>
      </c>
    </row>
    <row r="300" spans="2:5" ht="15" customHeight="1" x14ac:dyDescent="0.25">
      <c r="B300" s="89"/>
      <c r="C300" s="45" t="s">
        <v>155</v>
      </c>
      <c r="D300" s="44">
        <v>18</v>
      </c>
      <c r="E300" s="43">
        <v>6.5717415115005477E-4</v>
      </c>
    </row>
    <row r="301" spans="2:5" ht="15" customHeight="1" x14ac:dyDescent="0.25">
      <c r="B301" s="89"/>
      <c r="C301" s="45" t="s">
        <v>154</v>
      </c>
      <c r="D301" s="44">
        <v>221</v>
      </c>
      <c r="E301" s="43">
        <v>8.0686381891201166E-3</v>
      </c>
    </row>
    <row r="302" spans="2:5" ht="15" customHeight="1" x14ac:dyDescent="0.25">
      <c r="B302" s="89"/>
      <c r="C302" s="45" t="s">
        <v>153</v>
      </c>
      <c r="D302" s="44">
        <v>18</v>
      </c>
      <c r="E302" s="43">
        <v>6.5717415115005477E-4</v>
      </c>
    </row>
    <row r="303" spans="2:5" ht="15" customHeight="1" x14ac:dyDescent="0.25">
      <c r="B303" s="89"/>
      <c r="C303" s="45" t="s">
        <v>152</v>
      </c>
      <c r="D303" s="44">
        <v>60</v>
      </c>
      <c r="E303" s="43">
        <v>2.1905805038335158E-3</v>
      </c>
    </row>
    <row r="304" spans="2:5" ht="15" customHeight="1" x14ac:dyDescent="0.25">
      <c r="B304" s="89"/>
      <c r="C304" s="45" t="s">
        <v>151</v>
      </c>
      <c r="D304" s="44">
        <v>148</v>
      </c>
      <c r="E304" s="43">
        <v>5.4034319094560055E-3</v>
      </c>
    </row>
    <row r="305" spans="2:5" ht="15" customHeight="1" x14ac:dyDescent="0.25">
      <c r="B305" s="89"/>
      <c r="C305" s="45" t="s">
        <v>150</v>
      </c>
      <c r="D305" s="44">
        <v>2</v>
      </c>
      <c r="E305" s="43">
        <v>7.3019350127783862E-5</v>
      </c>
    </row>
    <row r="306" spans="2:5" ht="15" customHeight="1" x14ac:dyDescent="0.25">
      <c r="B306" s="89"/>
      <c r="C306" s="45" t="s">
        <v>149</v>
      </c>
      <c r="D306" s="44">
        <v>5</v>
      </c>
      <c r="E306" s="43">
        <v>1.8254837531945966E-4</v>
      </c>
    </row>
    <row r="307" spans="2:5" ht="15" customHeight="1" x14ac:dyDescent="0.25">
      <c r="B307" s="89"/>
      <c r="C307" s="45" t="s">
        <v>148</v>
      </c>
      <c r="D307" s="44">
        <v>1</v>
      </c>
      <c r="E307" s="43">
        <v>3.6509675063891931E-5</v>
      </c>
    </row>
    <row r="308" spans="2:5" ht="15" customHeight="1" x14ac:dyDescent="0.25">
      <c r="B308" s="89"/>
      <c r="C308" s="45" t="s">
        <v>146</v>
      </c>
      <c r="D308" s="44">
        <v>21</v>
      </c>
      <c r="E308" s="43">
        <v>7.6670317634173059E-4</v>
      </c>
    </row>
    <row r="309" spans="2:5" ht="15" customHeight="1" x14ac:dyDescent="0.25">
      <c r="B309" s="89"/>
      <c r="C309" s="45" t="s">
        <v>145</v>
      </c>
      <c r="D309" s="44">
        <v>25</v>
      </c>
      <c r="E309" s="43">
        <v>9.1274187659729834E-4</v>
      </c>
    </row>
    <row r="310" spans="2:5" ht="15" customHeight="1" x14ac:dyDescent="0.25">
      <c r="B310" s="89"/>
      <c r="C310" s="45" t="s">
        <v>143</v>
      </c>
      <c r="D310" s="44">
        <v>3</v>
      </c>
      <c r="E310" s="43">
        <v>1.095290251916758E-4</v>
      </c>
    </row>
    <row r="311" spans="2:5" ht="15" customHeight="1" x14ac:dyDescent="0.25">
      <c r="B311" s="90"/>
      <c r="C311" s="42" t="s">
        <v>20</v>
      </c>
      <c r="D311" s="41">
        <v>639</v>
      </c>
      <c r="E311" s="40">
        <v>2.3329682365826943E-2</v>
      </c>
    </row>
    <row r="312" spans="2:5" ht="15" customHeight="1" x14ac:dyDescent="0.25">
      <c r="B312" s="88" t="s">
        <v>97</v>
      </c>
      <c r="C312" s="45" t="s">
        <v>163</v>
      </c>
      <c r="D312" s="44">
        <v>2</v>
      </c>
      <c r="E312" s="43">
        <v>7.3019350127783862E-5</v>
      </c>
    </row>
    <row r="313" spans="2:5" ht="15" customHeight="1" x14ac:dyDescent="0.25">
      <c r="B313" s="89"/>
      <c r="C313" s="45" t="s">
        <v>162</v>
      </c>
      <c r="D313" s="44">
        <v>1</v>
      </c>
      <c r="E313" s="43">
        <v>3.6509675063891931E-5</v>
      </c>
    </row>
    <row r="314" spans="2:5" ht="15" customHeight="1" x14ac:dyDescent="0.25">
      <c r="B314" s="89"/>
      <c r="C314" s="45" t="s">
        <v>160</v>
      </c>
      <c r="D314" s="44">
        <v>1</v>
      </c>
      <c r="E314" s="43">
        <v>3.6509675063891931E-5</v>
      </c>
    </row>
    <row r="315" spans="2:5" ht="15" customHeight="1" x14ac:dyDescent="0.25">
      <c r="B315" s="89"/>
      <c r="C315" s="45" t="s">
        <v>159</v>
      </c>
      <c r="D315" s="44">
        <v>15</v>
      </c>
      <c r="E315" s="43">
        <v>5.4764512595837896E-4</v>
      </c>
    </row>
    <row r="316" spans="2:5" ht="15" customHeight="1" x14ac:dyDescent="0.25">
      <c r="B316" s="89"/>
      <c r="C316" s="45" t="s">
        <v>158</v>
      </c>
      <c r="D316" s="44">
        <v>19</v>
      </c>
      <c r="E316" s="43">
        <v>6.9368382621394671E-4</v>
      </c>
    </row>
    <row r="317" spans="2:5" ht="15" customHeight="1" x14ac:dyDescent="0.25">
      <c r="B317" s="89"/>
      <c r="C317" s="45" t="s">
        <v>157</v>
      </c>
      <c r="D317" s="44">
        <v>2</v>
      </c>
      <c r="E317" s="43">
        <v>7.3019350127783862E-5</v>
      </c>
    </row>
    <row r="318" spans="2:5" ht="15" customHeight="1" x14ac:dyDescent="0.25">
      <c r="B318" s="89"/>
      <c r="C318" s="45" t="s">
        <v>156</v>
      </c>
      <c r="D318" s="44">
        <v>15</v>
      </c>
      <c r="E318" s="43">
        <v>5.4764512595837896E-4</v>
      </c>
    </row>
    <row r="319" spans="2:5" ht="15" customHeight="1" x14ac:dyDescent="0.25">
      <c r="B319" s="89"/>
      <c r="C319" s="45" t="s">
        <v>155</v>
      </c>
      <c r="D319" s="44">
        <v>10</v>
      </c>
      <c r="E319" s="43">
        <v>3.6509675063891932E-4</v>
      </c>
    </row>
    <row r="320" spans="2:5" ht="15" customHeight="1" x14ac:dyDescent="0.25">
      <c r="B320" s="89"/>
      <c r="C320" s="45" t="s">
        <v>154</v>
      </c>
      <c r="D320" s="44">
        <v>54</v>
      </c>
      <c r="E320" s="43">
        <v>1.9715224534501644E-3</v>
      </c>
    </row>
    <row r="321" spans="2:5" ht="15" customHeight="1" x14ac:dyDescent="0.25">
      <c r="B321" s="89"/>
      <c r="C321" s="45" t="s">
        <v>153</v>
      </c>
      <c r="D321" s="44">
        <v>8</v>
      </c>
      <c r="E321" s="43">
        <v>2.9207740051113545E-4</v>
      </c>
    </row>
    <row r="322" spans="2:5" ht="15" customHeight="1" x14ac:dyDescent="0.25">
      <c r="B322" s="89"/>
      <c r="C322" s="45" t="s">
        <v>152</v>
      </c>
      <c r="D322" s="44">
        <v>21</v>
      </c>
      <c r="E322" s="43">
        <v>7.6670317634173059E-4</v>
      </c>
    </row>
    <row r="323" spans="2:5" ht="15" customHeight="1" x14ac:dyDescent="0.25">
      <c r="B323" s="89"/>
      <c r="C323" s="45" t="s">
        <v>151</v>
      </c>
      <c r="D323" s="44">
        <v>62</v>
      </c>
      <c r="E323" s="43">
        <v>2.2635998539612999E-3</v>
      </c>
    </row>
    <row r="324" spans="2:5" ht="15" customHeight="1" x14ac:dyDescent="0.25">
      <c r="B324" s="89"/>
      <c r="C324" s="45" t="s">
        <v>150</v>
      </c>
      <c r="D324" s="44">
        <v>4</v>
      </c>
      <c r="E324" s="43">
        <v>1.4603870025556772E-4</v>
      </c>
    </row>
    <row r="325" spans="2:5" ht="15" customHeight="1" x14ac:dyDescent="0.25">
      <c r="B325" s="89"/>
      <c r="C325" s="45" t="s">
        <v>149</v>
      </c>
      <c r="D325" s="44">
        <v>4</v>
      </c>
      <c r="E325" s="43">
        <v>1.4603870025556772E-4</v>
      </c>
    </row>
    <row r="326" spans="2:5" ht="15" customHeight="1" x14ac:dyDescent="0.25">
      <c r="B326" s="89"/>
      <c r="C326" s="45" t="s">
        <v>146</v>
      </c>
      <c r="D326" s="44">
        <v>6</v>
      </c>
      <c r="E326" s="43">
        <v>2.190580503833516E-4</v>
      </c>
    </row>
    <row r="327" spans="2:5" ht="15" customHeight="1" x14ac:dyDescent="0.25">
      <c r="B327" s="89"/>
      <c r="C327" s="45" t="s">
        <v>145</v>
      </c>
      <c r="D327" s="44">
        <v>16</v>
      </c>
      <c r="E327" s="43">
        <v>5.841548010222709E-4</v>
      </c>
    </row>
    <row r="328" spans="2:5" ht="15" customHeight="1" x14ac:dyDescent="0.25">
      <c r="B328" s="89"/>
      <c r="C328" s="45" t="s">
        <v>143</v>
      </c>
      <c r="D328" s="44">
        <v>1</v>
      </c>
      <c r="E328" s="43">
        <v>3.6509675063891931E-5</v>
      </c>
    </row>
    <row r="329" spans="2:5" ht="15" customHeight="1" x14ac:dyDescent="0.25">
      <c r="B329" s="90"/>
      <c r="C329" s="42" t="s">
        <v>20</v>
      </c>
      <c r="D329" s="41">
        <v>241</v>
      </c>
      <c r="E329" s="40">
        <v>8.7988316903979558E-3</v>
      </c>
    </row>
    <row r="330" spans="2:5" ht="15" customHeight="1" x14ac:dyDescent="0.25">
      <c r="B330" s="88" t="s">
        <v>81</v>
      </c>
      <c r="C330" s="45" t="s">
        <v>163</v>
      </c>
      <c r="D330" s="44">
        <v>1</v>
      </c>
      <c r="E330" s="43">
        <v>3.6509675063891931E-5</v>
      </c>
    </row>
    <row r="331" spans="2:5" ht="15" customHeight="1" x14ac:dyDescent="0.25">
      <c r="B331" s="89"/>
      <c r="C331" s="45" t="s">
        <v>159</v>
      </c>
      <c r="D331" s="44">
        <v>2</v>
      </c>
      <c r="E331" s="43">
        <v>7.3019350127783862E-5</v>
      </c>
    </row>
    <row r="332" spans="2:5" ht="15" customHeight="1" x14ac:dyDescent="0.25">
      <c r="B332" s="89"/>
      <c r="C332" s="45" t="s">
        <v>158</v>
      </c>
      <c r="D332" s="44">
        <v>1</v>
      </c>
      <c r="E332" s="43">
        <v>3.6509675063891931E-5</v>
      </c>
    </row>
    <row r="333" spans="2:5" ht="15" customHeight="1" x14ac:dyDescent="0.25">
      <c r="B333" s="89"/>
      <c r="C333" s="45" t="s">
        <v>157</v>
      </c>
      <c r="D333" s="44">
        <v>1</v>
      </c>
      <c r="E333" s="43">
        <v>3.6509675063891931E-5</v>
      </c>
    </row>
    <row r="334" spans="2:5" ht="15" customHeight="1" x14ac:dyDescent="0.25">
      <c r="B334" s="89"/>
      <c r="C334" s="45" t="s">
        <v>156</v>
      </c>
      <c r="D334" s="44">
        <v>3</v>
      </c>
      <c r="E334" s="43">
        <v>1.095290251916758E-4</v>
      </c>
    </row>
    <row r="335" spans="2:5" ht="15" customHeight="1" x14ac:dyDescent="0.25">
      <c r="B335" s="89"/>
      <c r="C335" s="45" t="s">
        <v>155</v>
      </c>
      <c r="D335" s="44">
        <v>2</v>
      </c>
      <c r="E335" s="43">
        <v>7.3019350127783862E-5</v>
      </c>
    </row>
    <row r="336" spans="2:5" ht="15" customHeight="1" x14ac:dyDescent="0.25">
      <c r="B336" s="89"/>
      <c r="C336" s="45" t="s">
        <v>154</v>
      </c>
      <c r="D336" s="44">
        <v>9</v>
      </c>
      <c r="E336" s="43">
        <v>3.2858707557502739E-4</v>
      </c>
    </row>
    <row r="337" spans="2:5" ht="15" customHeight="1" x14ac:dyDescent="0.25">
      <c r="B337" s="89"/>
      <c r="C337" s="45" t="s">
        <v>153</v>
      </c>
      <c r="D337" s="44">
        <v>2</v>
      </c>
      <c r="E337" s="43">
        <v>7.3019350127783862E-5</v>
      </c>
    </row>
    <row r="338" spans="2:5" ht="15" customHeight="1" x14ac:dyDescent="0.25">
      <c r="B338" s="89"/>
      <c r="C338" s="45" t="s">
        <v>152</v>
      </c>
      <c r="D338" s="44">
        <v>7</v>
      </c>
      <c r="E338" s="43">
        <v>2.5556772544724351E-4</v>
      </c>
    </row>
    <row r="339" spans="2:5" ht="15" customHeight="1" x14ac:dyDescent="0.25">
      <c r="B339" s="89"/>
      <c r="C339" s="45" t="s">
        <v>151</v>
      </c>
      <c r="D339" s="44">
        <v>13</v>
      </c>
      <c r="E339" s="43">
        <v>4.7462577583059508E-4</v>
      </c>
    </row>
    <row r="340" spans="2:5" ht="15" customHeight="1" x14ac:dyDescent="0.25">
      <c r="B340" s="89"/>
      <c r="C340" s="45" t="s">
        <v>149</v>
      </c>
      <c r="D340" s="44">
        <v>2</v>
      </c>
      <c r="E340" s="43">
        <v>7.3019350127783862E-5</v>
      </c>
    </row>
    <row r="341" spans="2:5" ht="15" customHeight="1" x14ac:dyDescent="0.25">
      <c r="B341" s="89"/>
      <c r="C341" s="45" t="s">
        <v>148</v>
      </c>
      <c r="D341" s="44">
        <v>1</v>
      </c>
      <c r="E341" s="43">
        <v>3.6509675063891931E-5</v>
      </c>
    </row>
    <row r="342" spans="2:5" ht="15" customHeight="1" x14ac:dyDescent="0.25">
      <c r="B342" s="89"/>
      <c r="C342" s="45" t="s">
        <v>146</v>
      </c>
      <c r="D342" s="44">
        <v>3</v>
      </c>
      <c r="E342" s="43">
        <v>1.095290251916758E-4</v>
      </c>
    </row>
    <row r="343" spans="2:5" ht="15" customHeight="1" x14ac:dyDescent="0.25">
      <c r="B343" s="89"/>
      <c r="C343" s="45" t="s">
        <v>145</v>
      </c>
      <c r="D343" s="44">
        <v>15</v>
      </c>
      <c r="E343" s="43">
        <v>5.4764512595837896E-4</v>
      </c>
    </row>
    <row r="344" spans="2:5" ht="15" customHeight="1" x14ac:dyDescent="0.25">
      <c r="B344" s="89"/>
      <c r="C344" s="45" t="s">
        <v>143</v>
      </c>
      <c r="D344" s="44">
        <v>1</v>
      </c>
      <c r="E344" s="43">
        <v>3.6509675063891931E-5</v>
      </c>
    </row>
    <row r="345" spans="2:5" ht="15" customHeight="1" x14ac:dyDescent="0.25">
      <c r="B345" s="90"/>
      <c r="C345" s="42" t="s">
        <v>20</v>
      </c>
      <c r="D345" s="41">
        <v>63</v>
      </c>
      <c r="E345" s="40">
        <v>2.3001095290251915E-3</v>
      </c>
    </row>
    <row r="346" spans="2:5" ht="15" customHeight="1" x14ac:dyDescent="0.25">
      <c r="B346" s="88" t="s">
        <v>104</v>
      </c>
      <c r="C346" s="45" t="s">
        <v>165</v>
      </c>
      <c r="D346" s="44">
        <v>1</v>
      </c>
      <c r="E346" s="43">
        <v>3.6509675063891931E-5</v>
      </c>
    </row>
    <row r="347" spans="2:5" ht="15" customHeight="1" x14ac:dyDescent="0.25">
      <c r="B347" s="89"/>
      <c r="C347" s="45" t="s">
        <v>164</v>
      </c>
      <c r="D347" s="44">
        <v>1</v>
      </c>
      <c r="E347" s="43">
        <v>3.6509675063891931E-5</v>
      </c>
    </row>
    <row r="348" spans="2:5" ht="15" customHeight="1" x14ac:dyDescent="0.25">
      <c r="B348" s="89"/>
      <c r="C348" s="45" t="s">
        <v>163</v>
      </c>
      <c r="D348" s="44">
        <v>1</v>
      </c>
      <c r="E348" s="43">
        <v>3.6509675063891931E-5</v>
      </c>
    </row>
    <row r="349" spans="2:5" ht="15" customHeight="1" x14ac:dyDescent="0.25">
      <c r="B349" s="89"/>
      <c r="C349" s="45" t="s">
        <v>161</v>
      </c>
      <c r="D349" s="44">
        <v>3</v>
      </c>
      <c r="E349" s="43">
        <v>1.095290251916758E-4</v>
      </c>
    </row>
    <row r="350" spans="2:5" ht="15" customHeight="1" x14ac:dyDescent="0.25">
      <c r="B350" s="89"/>
      <c r="C350" s="45" t="s">
        <v>160</v>
      </c>
      <c r="D350" s="44">
        <v>5</v>
      </c>
      <c r="E350" s="43">
        <v>1.8254837531945966E-4</v>
      </c>
    </row>
    <row r="351" spans="2:5" ht="15" customHeight="1" x14ac:dyDescent="0.25">
      <c r="B351" s="89"/>
      <c r="C351" s="45" t="s">
        <v>159</v>
      </c>
      <c r="D351" s="44">
        <v>15</v>
      </c>
      <c r="E351" s="43">
        <v>5.4764512595837896E-4</v>
      </c>
    </row>
    <row r="352" spans="2:5" ht="15" customHeight="1" x14ac:dyDescent="0.25">
      <c r="B352" s="89"/>
      <c r="C352" s="45" t="s">
        <v>158</v>
      </c>
      <c r="D352" s="44">
        <v>39</v>
      </c>
      <c r="E352" s="43">
        <v>1.4238773274917853E-3</v>
      </c>
    </row>
    <row r="353" spans="2:5" ht="15" customHeight="1" x14ac:dyDescent="0.25">
      <c r="B353" s="89"/>
      <c r="C353" s="45" t="s">
        <v>157</v>
      </c>
      <c r="D353" s="44">
        <v>6</v>
      </c>
      <c r="E353" s="43">
        <v>2.190580503833516E-4</v>
      </c>
    </row>
    <row r="354" spans="2:5" ht="15" customHeight="1" x14ac:dyDescent="0.25">
      <c r="B354" s="89"/>
      <c r="C354" s="45" t="s">
        <v>156</v>
      </c>
      <c r="D354" s="44">
        <v>16</v>
      </c>
      <c r="E354" s="43">
        <v>5.841548010222709E-4</v>
      </c>
    </row>
    <row r="355" spans="2:5" ht="15" customHeight="1" x14ac:dyDescent="0.25">
      <c r="B355" s="89"/>
      <c r="C355" s="45" t="s">
        <v>155</v>
      </c>
      <c r="D355" s="44">
        <v>23</v>
      </c>
      <c r="E355" s="43">
        <v>8.3972252646951446E-4</v>
      </c>
    </row>
    <row r="356" spans="2:5" ht="15" customHeight="1" x14ac:dyDescent="0.25">
      <c r="B356" s="89"/>
      <c r="C356" s="45" t="s">
        <v>154</v>
      </c>
      <c r="D356" s="44">
        <v>190</v>
      </c>
      <c r="E356" s="43">
        <v>6.9368382621394671E-3</v>
      </c>
    </row>
    <row r="357" spans="2:5" ht="15" customHeight="1" x14ac:dyDescent="0.25">
      <c r="B357" s="89"/>
      <c r="C357" s="45" t="s">
        <v>153</v>
      </c>
      <c r="D357" s="44">
        <v>20</v>
      </c>
      <c r="E357" s="43">
        <v>7.3019350127783865E-4</v>
      </c>
    </row>
    <row r="358" spans="2:5" ht="15" customHeight="1" x14ac:dyDescent="0.25">
      <c r="B358" s="89"/>
      <c r="C358" s="45" t="s">
        <v>152</v>
      </c>
      <c r="D358" s="44">
        <v>52</v>
      </c>
      <c r="E358" s="43">
        <v>1.8985031033223803E-3</v>
      </c>
    </row>
    <row r="359" spans="2:5" ht="15" customHeight="1" x14ac:dyDescent="0.25">
      <c r="B359" s="89"/>
      <c r="C359" s="45" t="s">
        <v>151</v>
      </c>
      <c r="D359" s="44">
        <v>120</v>
      </c>
      <c r="E359" s="43">
        <v>4.3811610076670317E-3</v>
      </c>
    </row>
    <row r="360" spans="2:5" ht="15" customHeight="1" x14ac:dyDescent="0.25">
      <c r="B360" s="89"/>
      <c r="C360" s="45" t="s">
        <v>149</v>
      </c>
      <c r="D360" s="44">
        <v>5</v>
      </c>
      <c r="E360" s="43">
        <v>1.8254837531945966E-4</v>
      </c>
    </row>
    <row r="361" spans="2:5" ht="15" customHeight="1" x14ac:dyDescent="0.25">
      <c r="B361" s="89"/>
      <c r="C361" s="45" t="s">
        <v>148</v>
      </c>
      <c r="D361" s="44">
        <v>2</v>
      </c>
      <c r="E361" s="43">
        <v>7.3019350127783862E-5</v>
      </c>
    </row>
    <row r="362" spans="2:5" ht="15" customHeight="1" x14ac:dyDescent="0.25">
      <c r="B362" s="89"/>
      <c r="C362" s="45" t="s">
        <v>146</v>
      </c>
      <c r="D362" s="44">
        <v>11</v>
      </c>
      <c r="E362" s="43">
        <v>4.0160642570281126E-4</v>
      </c>
    </row>
    <row r="363" spans="2:5" ht="15" customHeight="1" x14ac:dyDescent="0.25">
      <c r="B363" s="89"/>
      <c r="C363" s="45" t="s">
        <v>145</v>
      </c>
      <c r="D363" s="44">
        <v>29</v>
      </c>
      <c r="E363" s="43">
        <v>1.0587805768528661E-3</v>
      </c>
    </row>
    <row r="364" spans="2:5" ht="15" customHeight="1" x14ac:dyDescent="0.25">
      <c r="B364" s="89"/>
      <c r="C364" s="45" t="s">
        <v>169</v>
      </c>
      <c r="D364" s="44">
        <v>1</v>
      </c>
      <c r="E364" s="43">
        <v>3.6509675063891931E-5</v>
      </c>
    </row>
    <row r="365" spans="2:5" ht="15" customHeight="1" x14ac:dyDescent="0.25">
      <c r="B365" s="90"/>
      <c r="C365" s="42" t="s">
        <v>20</v>
      </c>
      <c r="D365" s="41">
        <v>540</v>
      </c>
      <c r="E365" s="40">
        <v>1.9715224534501644E-2</v>
      </c>
    </row>
    <row r="366" spans="2:5" ht="15" customHeight="1" x14ac:dyDescent="0.25">
      <c r="B366" s="88" t="s">
        <v>108</v>
      </c>
      <c r="C366" s="45" t="s">
        <v>165</v>
      </c>
      <c r="D366" s="44">
        <v>3</v>
      </c>
      <c r="E366" s="43">
        <v>1.095290251916758E-4</v>
      </c>
    </row>
    <row r="367" spans="2:5" ht="15" customHeight="1" x14ac:dyDescent="0.25">
      <c r="B367" s="89"/>
      <c r="C367" s="45" t="s">
        <v>164</v>
      </c>
      <c r="D367" s="44">
        <v>1</v>
      </c>
      <c r="E367" s="43">
        <v>3.6509675063891931E-5</v>
      </c>
    </row>
    <row r="368" spans="2:5" ht="15" customHeight="1" x14ac:dyDescent="0.25">
      <c r="B368" s="89"/>
      <c r="C368" s="45" t="s">
        <v>162</v>
      </c>
      <c r="D368" s="44">
        <v>1</v>
      </c>
      <c r="E368" s="43">
        <v>3.6509675063891931E-5</v>
      </c>
    </row>
    <row r="369" spans="2:5" ht="15" customHeight="1" x14ac:dyDescent="0.25">
      <c r="B369" s="89"/>
      <c r="C369" s="45" t="s">
        <v>161</v>
      </c>
      <c r="D369" s="44">
        <v>1</v>
      </c>
      <c r="E369" s="43">
        <v>3.6509675063891931E-5</v>
      </c>
    </row>
    <row r="370" spans="2:5" ht="15" customHeight="1" x14ac:dyDescent="0.25">
      <c r="B370" s="89"/>
      <c r="C370" s="45" t="s">
        <v>160</v>
      </c>
      <c r="D370" s="44">
        <v>5</v>
      </c>
      <c r="E370" s="43">
        <v>1.8254837531945966E-4</v>
      </c>
    </row>
    <row r="371" spans="2:5" ht="15" customHeight="1" x14ac:dyDescent="0.25">
      <c r="B371" s="89"/>
      <c r="C371" s="45" t="s">
        <v>159</v>
      </c>
      <c r="D371" s="44">
        <v>12</v>
      </c>
      <c r="E371" s="43">
        <v>4.381161007667032E-4</v>
      </c>
    </row>
    <row r="372" spans="2:5" ht="15" customHeight="1" x14ac:dyDescent="0.25">
      <c r="B372" s="89"/>
      <c r="C372" s="45" t="s">
        <v>158</v>
      </c>
      <c r="D372" s="44">
        <v>50</v>
      </c>
      <c r="E372" s="43">
        <v>1.8254837531945967E-3</v>
      </c>
    </row>
    <row r="373" spans="2:5" ht="15" customHeight="1" x14ac:dyDescent="0.25">
      <c r="B373" s="89"/>
      <c r="C373" s="45" t="s">
        <v>157</v>
      </c>
      <c r="D373" s="44">
        <v>3</v>
      </c>
      <c r="E373" s="43">
        <v>1.095290251916758E-4</v>
      </c>
    </row>
    <row r="374" spans="2:5" ht="15" customHeight="1" x14ac:dyDescent="0.25">
      <c r="B374" s="89"/>
      <c r="C374" s="45" t="s">
        <v>156</v>
      </c>
      <c r="D374" s="44">
        <v>10</v>
      </c>
      <c r="E374" s="43">
        <v>3.6509675063891932E-4</v>
      </c>
    </row>
    <row r="375" spans="2:5" ht="15" customHeight="1" x14ac:dyDescent="0.25">
      <c r="B375" s="89"/>
      <c r="C375" s="45" t="s">
        <v>155</v>
      </c>
      <c r="D375" s="44">
        <v>13</v>
      </c>
      <c r="E375" s="43">
        <v>4.7462577583059508E-4</v>
      </c>
    </row>
    <row r="376" spans="2:5" ht="15" customHeight="1" x14ac:dyDescent="0.25">
      <c r="B376" s="89"/>
      <c r="C376" s="45" t="s">
        <v>154</v>
      </c>
      <c r="D376" s="44">
        <v>149</v>
      </c>
      <c r="E376" s="43">
        <v>5.439941584519898E-3</v>
      </c>
    </row>
    <row r="377" spans="2:5" ht="15" customHeight="1" x14ac:dyDescent="0.25">
      <c r="B377" s="89"/>
      <c r="C377" s="45" t="s">
        <v>153</v>
      </c>
      <c r="D377" s="44">
        <v>8</v>
      </c>
      <c r="E377" s="43">
        <v>2.9207740051113545E-4</v>
      </c>
    </row>
    <row r="378" spans="2:5" ht="15" customHeight="1" x14ac:dyDescent="0.25">
      <c r="B378" s="89"/>
      <c r="C378" s="45" t="s">
        <v>152</v>
      </c>
      <c r="D378" s="44">
        <v>42</v>
      </c>
      <c r="E378" s="43">
        <v>1.5334063526834612E-3</v>
      </c>
    </row>
    <row r="379" spans="2:5" ht="15" customHeight="1" x14ac:dyDescent="0.25">
      <c r="B379" s="89"/>
      <c r="C379" s="45" t="s">
        <v>151</v>
      </c>
      <c r="D379" s="44">
        <v>120</v>
      </c>
      <c r="E379" s="43">
        <v>4.3811610076670317E-3</v>
      </c>
    </row>
    <row r="380" spans="2:5" ht="15" customHeight="1" x14ac:dyDescent="0.25">
      <c r="B380" s="89"/>
      <c r="C380" s="45" t="s">
        <v>150</v>
      </c>
      <c r="D380" s="44">
        <v>1</v>
      </c>
      <c r="E380" s="43">
        <v>3.6509675063891931E-5</v>
      </c>
    </row>
    <row r="381" spans="2:5" ht="15" customHeight="1" x14ac:dyDescent="0.25">
      <c r="B381" s="89"/>
      <c r="C381" s="45" t="s">
        <v>148</v>
      </c>
      <c r="D381" s="44">
        <v>5</v>
      </c>
      <c r="E381" s="43">
        <v>1.8254837531945966E-4</v>
      </c>
    </row>
    <row r="382" spans="2:5" ht="15" customHeight="1" x14ac:dyDescent="0.25">
      <c r="B382" s="89"/>
      <c r="C382" s="45" t="s">
        <v>146</v>
      </c>
      <c r="D382" s="44">
        <v>4</v>
      </c>
      <c r="E382" s="43">
        <v>1.4603870025556772E-4</v>
      </c>
    </row>
    <row r="383" spans="2:5" ht="15" customHeight="1" x14ac:dyDescent="0.25">
      <c r="B383" s="89"/>
      <c r="C383" s="45" t="s">
        <v>145</v>
      </c>
      <c r="D383" s="44">
        <v>23</v>
      </c>
      <c r="E383" s="43">
        <v>8.3972252646951446E-4</v>
      </c>
    </row>
    <row r="384" spans="2:5" ht="15" customHeight="1" x14ac:dyDescent="0.25">
      <c r="B384" s="89"/>
      <c r="C384" s="45" t="s">
        <v>143</v>
      </c>
      <c r="D384" s="44">
        <v>1</v>
      </c>
      <c r="E384" s="43">
        <v>3.6509675063891931E-5</v>
      </c>
    </row>
    <row r="385" spans="2:5" ht="15" customHeight="1" x14ac:dyDescent="0.25">
      <c r="B385" s="90"/>
      <c r="C385" s="42" t="s">
        <v>20</v>
      </c>
      <c r="D385" s="41">
        <v>452</v>
      </c>
      <c r="E385" s="40">
        <v>1.6502373128879155E-2</v>
      </c>
    </row>
    <row r="386" spans="2:5" ht="15" customHeight="1" x14ac:dyDescent="0.25">
      <c r="B386" s="88" t="s">
        <v>172</v>
      </c>
      <c r="C386" s="45" t="s">
        <v>165</v>
      </c>
      <c r="D386" s="44">
        <v>16</v>
      </c>
      <c r="E386" s="43">
        <v>5.841548010222709E-4</v>
      </c>
    </row>
    <row r="387" spans="2:5" ht="15" customHeight="1" x14ac:dyDescent="0.25">
      <c r="B387" s="89"/>
      <c r="C387" s="45" t="s">
        <v>164</v>
      </c>
      <c r="D387" s="44">
        <v>7</v>
      </c>
      <c r="E387" s="43">
        <v>2.5556772544724351E-4</v>
      </c>
    </row>
    <row r="388" spans="2:5" ht="15" customHeight="1" x14ac:dyDescent="0.25">
      <c r="B388" s="89"/>
      <c r="C388" s="45" t="s">
        <v>163</v>
      </c>
      <c r="D388" s="44">
        <v>4</v>
      </c>
      <c r="E388" s="43">
        <v>1.4603870025556772E-4</v>
      </c>
    </row>
    <row r="389" spans="2:5" ht="15" customHeight="1" x14ac:dyDescent="0.25">
      <c r="B389" s="89"/>
      <c r="C389" s="45" t="s">
        <v>162</v>
      </c>
      <c r="D389" s="44">
        <v>11</v>
      </c>
      <c r="E389" s="43">
        <v>4.0160642570281126E-4</v>
      </c>
    </row>
    <row r="390" spans="2:5" ht="15" customHeight="1" x14ac:dyDescent="0.25">
      <c r="B390" s="89"/>
      <c r="C390" s="45" t="s">
        <v>161</v>
      </c>
      <c r="D390" s="44">
        <v>7</v>
      </c>
      <c r="E390" s="43">
        <v>2.5556772544724351E-4</v>
      </c>
    </row>
    <row r="391" spans="2:5" ht="15" customHeight="1" x14ac:dyDescent="0.25">
      <c r="B391" s="89"/>
      <c r="C391" s="45" t="s">
        <v>160</v>
      </c>
      <c r="D391" s="44">
        <v>16</v>
      </c>
      <c r="E391" s="43">
        <v>5.841548010222709E-4</v>
      </c>
    </row>
    <row r="392" spans="2:5" ht="15" customHeight="1" x14ac:dyDescent="0.25">
      <c r="B392" s="89"/>
      <c r="C392" s="45" t="s">
        <v>159</v>
      </c>
      <c r="D392" s="44">
        <v>93</v>
      </c>
      <c r="E392" s="43">
        <v>3.3953997809419495E-3</v>
      </c>
    </row>
    <row r="393" spans="2:5" ht="15" customHeight="1" x14ac:dyDescent="0.25">
      <c r="B393" s="89"/>
      <c r="C393" s="45" t="s">
        <v>158</v>
      </c>
      <c r="D393" s="44">
        <v>296</v>
      </c>
      <c r="E393" s="43">
        <v>1.0806863818912011E-2</v>
      </c>
    </row>
    <row r="394" spans="2:5" ht="15" customHeight="1" x14ac:dyDescent="0.25">
      <c r="B394" s="89"/>
      <c r="C394" s="45" t="s">
        <v>157</v>
      </c>
      <c r="D394" s="44">
        <v>29</v>
      </c>
      <c r="E394" s="43">
        <v>1.0587805768528661E-3</v>
      </c>
    </row>
    <row r="395" spans="2:5" ht="15" customHeight="1" x14ac:dyDescent="0.25">
      <c r="B395" s="89"/>
      <c r="C395" s="45" t="s">
        <v>156</v>
      </c>
      <c r="D395" s="44">
        <v>68</v>
      </c>
      <c r="E395" s="43">
        <v>2.4826579043446513E-3</v>
      </c>
    </row>
    <row r="396" spans="2:5" ht="15" customHeight="1" x14ac:dyDescent="0.25">
      <c r="B396" s="89"/>
      <c r="C396" s="45" t="s">
        <v>155</v>
      </c>
      <c r="D396" s="44">
        <v>55</v>
      </c>
      <c r="E396" s="43">
        <v>2.008032128514056E-3</v>
      </c>
    </row>
    <row r="397" spans="2:5" ht="15" customHeight="1" x14ac:dyDescent="0.25">
      <c r="B397" s="89"/>
      <c r="C397" s="45" t="s">
        <v>154</v>
      </c>
      <c r="D397" s="44">
        <v>976</v>
      </c>
      <c r="E397" s="43">
        <v>3.5633442862358526E-2</v>
      </c>
    </row>
    <row r="398" spans="2:5" ht="15" customHeight="1" x14ac:dyDescent="0.25">
      <c r="B398" s="89"/>
      <c r="C398" s="45" t="s">
        <v>153</v>
      </c>
      <c r="D398" s="44">
        <v>56</v>
      </c>
      <c r="E398" s="43">
        <v>2.0445418035779481E-3</v>
      </c>
    </row>
    <row r="399" spans="2:5" ht="15" customHeight="1" x14ac:dyDescent="0.25">
      <c r="B399" s="89"/>
      <c r="C399" s="45" t="s">
        <v>152</v>
      </c>
      <c r="D399" s="44">
        <v>207</v>
      </c>
      <c r="E399" s="43">
        <v>7.5575027382256297E-3</v>
      </c>
    </row>
    <row r="400" spans="2:5" ht="15" customHeight="1" x14ac:dyDescent="0.25">
      <c r="B400" s="89"/>
      <c r="C400" s="45" t="s">
        <v>151</v>
      </c>
      <c r="D400" s="44">
        <v>785</v>
      </c>
      <c r="E400" s="43">
        <v>2.8660094925155165E-2</v>
      </c>
    </row>
    <row r="401" spans="2:5" ht="15" customHeight="1" x14ac:dyDescent="0.25">
      <c r="B401" s="89"/>
      <c r="C401" s="45" t="s">
        <v>150</v>
      </c>
      <c r="D401" s="44">
        <v>20</v>
      </c>
      <c r="E401" s="43">
        <v>7.3019350127783865E-4</v>
      </c>
    </row>
    <row r="402" spans="2:5" ht="15" customHeight="1" x14ac:dyDescent="0.25">
      <c r="B402" s="89"/>
      <c r="C402" s="45" t="s">
        <v>149</v>
      </c>
      <c r="D402" s="44">
        <v>11</v>
      </c>
      <c r="E402" s="43">
        <v>4.0160642570281126E-4</v>
      </c>
    </row>
    <row r="403" spans="2:5" ht="15" customHeight="1" x14ac:dyDescent="0.25">
      <c r="B403" s="89"/>
      <c r="C403" s="45" t="s">
        <v>148</v>
      </c>
      <c r="D403" s="44">
        <v>9</v>
      </c>
      <c r="E403" s="43">
        <v>3.2858707557502739E-4</v>
      </c>
    </row>
    <row r="404" spans="2:5" ht="15" customHeight="1" x14ac:dyDescent="0.25">
      <c r="B404" s="89"/>
      <c r="C404" s="45" t="s">
        <v>147</v>
      </c>
      <c r="D404" s="44">
        <v>3</v>
      </c>
      <c r="E404" s="43">
        <v>1.095290251916758E-4</v>
      </c>
    </row>
    <row r="405" spans="2:5" ht="15" customHeight="1" x14ac:dyDescent="0.25">
      <c r="B405" s="89"/>
      <c r="C405" s="45" t="s">
        <v>146</v>
      </c>
      <c r="D405" s="44">
        <v>86</v>
      </c>
      <c r="E405" s="43">
        <v>3.139832055494706E-3</v>
      </c>
    </row>
    <row r="406" spans="2:5" ht="15" customHeight="1" x14ac:dyDescent="0.25">
      <c r="B406" s="89"/>
      <c r="C406" s="45" t="s">
        <v>145</v>
      </c>
      <c r="D406" s="44">
        <v>127</v>
      </c>
      <c r="E406" s="43">
        <v>4.6367287331142756E-3</v>
      </c>
    </row>
    <row r="407" spans="2:5" ht="15" customHeight="1" x14ac:dyDescent="0.25">
      <c r="B407" s="89"/>
      <c r="C407" s="45" t="s">
        <v>169</v>
      </c>
      <c r="D407" s="44">
        <v>1</v>
      </c>
      <c r="E407" s="43">
        <v>3.6509675063891931E-5</v>
      </c>
    </row>
    <row r="408" spans="2:5" ht="15" customHeight="1" x14ac:dyDescent="0.25">
      <c r="B408" s="89"/>
      <c r="C408" s="45" t="s">
        <v>143</v>
      </c>
      <c r="D408" s="44">
        <v>2</v>
      </c>
      <c r="E408" s="43">
        <v>7.3019350127783862E-5</v>
      </c>
    </row>
    <row r="409" spans="2:5" ht="15" customHeight="1" x14ac:dyDescent="0.25">
      <c r="B409" s="89"/>
      <c r="C409" s="45" t="s">
        <v>142</v>
      </c>
      <c r="D409" s="44">
        <v>2</v>
      </c>
      <c r="E409" s="43">
        <v>7.3019350127783862E-5</v>
      </c>
    </row>
    <row r="410" spans="2:5" ht="15" customHeight="1" x14ac:dyDescent="0.25">
      <c r="B410" s="90"/>
      <c r="C410" s="42" t="s">
        <v>20</v>
      </c>
      <c r="D410" s="41">
        <v>2887</v>
      </c>
      <c r="E410" s="40">
        <v>0.105403431909456</v>
      </c>
    </row>
    <row r="411" spans="2:5" ht="15" customHeight="1" x14ac:dyDescent="0.25">
      <c r="B411" s="88" t="s">
        <v>171</v>
      </c>
      <c r="C411" s="45" t="s">
        <v>165</v>
      </c>
      <c r="D411" s="44">
        <v>1</v>
      </c>
      <c r="E411" s="43">
        <v>3.6509675063891931E-5</v>
      </c>
    </row>
    <row r="412" spans="2:5" ht="15" customHeight="1" x14ac:dyDescent="0.25">
      <c r="B412" s="89"/>
      <c r="C412" s="45" t="s">
        <v>163</v>
      </c>
      <c r="D412" s="44">
        <v>1</v>
      </c>
      <c r="E412" s="43">
        <v>3.6509675063891931E-5</v>
      </c>
    </row>
    <row r="413" spans="2:5" ht="15" customHeight="1" x14ac:dyDescent="0.25">
      <c r="B413" s="89"/>
      <c r="C413" s="45" t="s">
        <v>162</v>
      </c>
      <c r="D413" s="44">
        <v>2</v>
      </c>
      <c r="E413" s="43">
        <v>7.3019350127783862E-5</v>
      </c>
    </row>
    <row r="414" spans="2:5" ht="15" customHeight="1" x14ac:dyDescent="0.25">
      <c r="B414" s="89"/>
      <c r="C414" s="45" t="s">
        <v>161</v>
      </c>
      <c r="D414" s="44">
        <v>1</v>
      </c>
      <c r="E414" s="43">
        <v>3.6509675063891931E-5</v>
      </c>
    </row>
    <row r="415" spans="2:5" ht="15" customHeight="1" x14ac:dyDescent="0.25">
      <c r="B415" s="89"/>
      <c r="C415" s="45" t="s">
        <v>160</v>
      </c>
      <c r="D415" s="44">
        <v>2</v>
      </c>
      <c r="E415" s="43">
        <v>7.3019350127783862E-5</v>
      </c>
    </row>
    <row r="416" spans="2:5" ht="15" customHeight="1" x14ac:dyDescent="0.25">
      <c r="B416" s="89"/>
      <c r="C416" s="45" t="s">
        <v>159</v>
      </c>
      <c r="D416" s="44">
        <v>4</v>
      </c>
      <c r="E416" s="43">
        <v>1.4603870025556772E-4</v>
      </c>
    </row>
    <row r="417" spans="2:5" ht="15" customHeight="1" x14ac:dyDescent="0.25">
      <c r="B417" s="89"/>
      <c r="C417" s="45" t="s">
        <v>158</v>
      </c>
      <c r="D417" s="44">
        <v>14</v>
      </c>
      <c r="E417" s="43">
        <v>5.1113545089448702E-4</v>
      </c>
    </row>
    <row r="418" spans="2:5" ht="15" customHeight="1" x14ac:dyDescent="0.25">
      <c r="B418" s="89"/>
      <c r="C418" s="45" t="s">
        <v>157</v>
      </c>
      <c r="D418" s="44">
        <v>4</v>
      </c>
      <c r="E418" s="43">
        <v>1.4603870025556772E-4</v>
      </c>
    </row>
    <row r="419" spans="2:5" ht="15" customHeight="1" x14ac:dyDescent="0.25">
      <c r="B419" s="89"/>
      <c r="C419" s="45" t="s">
        <v>156</v>
      </c>
      <c r="D419" s="44">
        <v>2</v>
      </c>
      <c r="E419" s="43">
        <v>7.3019350127783862E-5</v>
      </c>
    </row>
    <row r="420" spans="2:5" ht="15" customHeight="1" x14ac:dyDescent="0.25">
      <c r="B420" s="89"/>
      <c r="C420" s="45" t="s">
        <v>155</v>
      </c>
      <c r="D420" s="44">
        <v>7</v>
      </c>
      <c r="E420" s="43">
        <v>2.5556772544724351E-4</v>
      </c>
    </row>
    <row r="421" spans="2:5" ht="15" customHeight="1" x14ac:dyDescent="0.25">
      <c r="B421" s="89"/>
      <c r="C421" s="45" t="s">
        <v>154</v>
      </c>
      <c r="D421" s="44">
        <v>34</v>
      </c>
      <c r="E421" s="43">
        <v>1.2413289521723257E-3</v>
      </c>
    </row>
    <row r="422" spans="2:5" ht="15" customHeight="1" x14ac:dyDescent="0.25">
      <c r="B422" s="89"/>
      <c r="C422" s="45" t="s">
        <v>153</v>
      </c>
      <c r="D422" s="44">
        <v>12</v>
      </c>
      <c r="E422" s="43">
        <v>4.381161007667032E-4</v>
      </c>
    </row>
    <row r="423" spans="2:5" ht="15" customHeight="1" x14ac:dyDescent="0.25">
      <c r="B423" s="89"/>
      <c r="C423" s="45" t="s">
        <v>152</v>
      </c>
      <c r="D423" s="44">
        <v>19</v>
      </c>
      <c r="E423" s="43">
        <v>6.9368382621394671E-4</v>
      </c>
    </row>
    <row r="424" spans="2:5" ht="15" customHeight="1" x14ac:dyDescent="0.25">
      <c r="B424" s="89"/>
      <c r="C424" s="45" t="s">
        <v>151</v>
      </c>
      <c r="D424" s="44">
        <v>42</v>
      </c>
      <c r="E424" s="43">
        <v>1.5334063526834612E-3</v>
      </c>
    </row>
    <row r="425" spans="2:5" ht="15" customHeight="1" x14ac:dyDescent="0.25">
      <c r="B425" s="89"/>
      <c r="C425" s="45" t="s">
        <v>150</v>
      </c>
      <c r="D425" s="44">
        <v>3</v>
      </c>
      <c r="E425" s="43">
        <v>1.095290251916758E-4</v>
      </c>
    </row>
    <row r="426" spans="2:5" ht="15" customHeight="1" x14ac:dyDescent="0.25">
      <c r="B426" s="89"/>
      <c r="C426" s="45" t="s">
        <v>148</v>
      </c>
      <c r="D426" s="44">
        <v>3</v>
      </c>
      <c r="E426" s="43">
        <v>1.095290251916758E-4</v>
      </c>
    </row>
    <row r="427" spans="2:5" ht="15" customHeight="1" x14ac:dyDescent="0.25">
      <c r="B427" s="89"/>
      <c r="C427" s="45" t="s">
        <v>146</v>
      </c>
      <c r="D427" s="44">
        <v>3</v>
      </c>
      <c r="E427" s="43">
        <v>1.095290251916758E-4</v>
      </c>
    </row>
    <row r="428" spans="2:5" ht="15" customHeight="1" x14ac:dyDescent="0.25">
      <c r="B428" s="89"/>
      <c r="C428" s="45" t="s">
        <v>145</v>
      </c>
      <c r="D428" s="44">
        <v>33</v>
      </c>
      <c r="E428" s="43">
        <v>1.2048192771084338E-3</v>
      </c>
    </row>
    <row r="429" spans="2:5" ht="15" customHeight="1" x14ac:dyDescent="0.25">
      <c r="B429" s="89"/>
      <c r="C429" s="45" t="s">
        <v>143</v>
      </c>
      <c r="D429" s="44">
        <v>1</v>
      </c>
      <c r="E429" s="43">
        <v>3.6509675063891931E-5</v>
      </c>
    </row>
    <row r="430" spans="2:5" ht="15" customHeight="1" x14ac:dyDescent="0.25">
      <c r="B430" s="90"/>
      <c r="C430" s="42" t="s">
        <v>20</v>
      </c>
      <c r="D430" s="41">
        <v>188</v>
      </c>
      <c r="E430" s="40">
        <v>6.863818912011683E-3</v>
      </c>
    </row>
    <row r="431" spans="2:5" ht="15" customHeight="1" x14ac:dyDescent="0.25">
      <c r="B431" s="88" t="s">
        <v>94</v>
      </c>
      <c r="C431" s="45" t="s">
        <v>164</v>
      </c>
      <c r="D431" s="44">
        <v>1</v>
      </c>
      <c r="E431" s="43">
        <v>3.6509675063891931E-5</v>
      </c>
    </row>
    <row r="432" spans="2:5" ht="15" customHeight="1" x14ac:dyDescent="0.25">
      <c r="B432" s="89"/>
      <c r="C432" s="45" t="s">
        <v>163</v>
      </c>
      <c r="D432" s="44">
        <v>2</v>
      </c>
      <c r="E432" s="43">
        <v>7.3019350127783862E-5</v>
      </c>
    </row>
    <row r="433" spans="2:5" ht="15" customHeight="1" x14ac:dyDescent="0.25">
      <c r="B433" s="89"/>
      <c r="C433" s="45" t="s">
        <v>162</v>
      </c>
      <c r="D433" s="44">
        <v>6</v>
      </c>
      <c r="E433" s="43">
        <v>2.190580503833516E-4</v>
      </c>
    </row>
    <row r="434" spans="2:5" ht="15" customHeight="1" x14ac:dyDescent="0.25">
      <c r="B434" s="89"/>
      <c r="C434" s="45" t="s">
        <v>161</v>
      </c>
      <c r="D434" s="44">
        <v>2</v>
      </c>
      <c r="E434" s="43">
        <v>7.3019350127783862E-5</v>
      </c>
    </row>
    <row r="435" spans="2:5" ht="15" customHeight="1" x14ac:dyDescent="0.25">
      <c r="B435" s="89"/>
      <c r="C435" s="45" t="s">
        <v>160</v>
      </c>
      <c r="D435" s="44">
        <v>3</v>
      </c>
      <c r="E435" s="43">
        <v>1.095290251916758E-4</v>
      </c>
    </row>
    <row r="436" spans="2:5" ht="15" customHeight="1" x14ac:dyDescent="0.25">
      <c r="B436" s="89"/>
      <c r="C436" s="45" t="s">
        <v>159</v>
      </c>
      <c r="D436" s="44">
        <v>13</v>
      </c>
      <c r="E436" s="43">
        <v>4.7462577583059508E-4</v>
      </c>
    </row>
    <row r="437" spans="2:5" ht="15" customHeight="1" x14ac:dyDescent="0.25">
      <c r="B437" s="89"/>
      <c r="C437" s="45" t="s">
        <v>158</v>
      </c>
      <c r="D437" s="44">
        <v>29</v>
      </c>
      <c r="E437" s="43">
        <v>1.0587805768528661E-3</v>
      </c>
    </row>
    <row r="438" spans="2:5" ht="15" customHeight="1" x14ac:dyDescent="0.25">
      <c r="B438" s="89"/>
      <c r="C438" s="45" t="s">
        <v>157</v>
      </c>
      <c r="D438" s="44">
        <v>7</v>
      </c>
      <c r="E438" s="43">
        <v>2.5556772544724351E-4</v>
      </c>
    </row>
    <row r="439" spans="2:5" ht="15" customHeight="1" x14ac:dyDescent="0.25">
      <c r="B439" s="89"/>
      <c r="C439" s="45" t="s">
        <v>156</v>
      </c>
      <c r="D439" s="44">
        <v>16</v>
      </c>
      <c r="E439" s="43">
        <v>5.841548010222709E-4</v>
      </c>
    </row>
    <row r="440" spans="2:5" ht="15" customHeight="1" x14ac:dyDescent="0.25">
      <c r="B440" s="89"/>
      <c r="C440" s="45" t="s">
        <v>155</v>
      </c>
      <c r="D440" s="44">
        <v>8</v>
      </c>
      <c r="E440" s="43">
        <v>2.9207740051113545E-4</v>
      </c>
    </row>
    <row r="441" spans="2:5" ht="15" customHeight="1" x14ac:dyDescent="0.25">
      <c r="B441" s="89"/>
      <c r="C441" s="45" t="s">
        <v>154</v>
      </c>
      <c r="D441" s="44">
        <v>109</v>
      </c>
      <c r="E441" s="43">
        <v>3.9795545819642205E-3</v>
      </c>
    </row>
    <row r="442" spans="2:5" ht="15" customHeight="1" x14ac:dyDescent="0.25">
      <c r="B442" s="89"/>
      <c r="C442" s="45" t="s">
        <v>153</v>
      </c>
      <c r="D442" s="44">
        <v>9</v>
      </c>
      <c r="E442" s="43">
        <v>3.2858707557502739E-4</v>
      </c>
    </row>
    <row r="443" spans="2:5" ht="15" customHeight="1" x14ac:dyDescent="0.25">
      <c r="B443" s="89"/>
      <c r="C443" s="45" t="s">
        <v>152</v>
      </c>
      <c r="D443" s="44">
        <v>27</v>
      </c>
      <c r="E443" s="43">
        <v>9.8576122672508221E-4</v>
      </c>
    </row>
    <row r="444" spans="2:5" ht="15" customHeight="1" x14ac:dyDescent="0.25">
      <c r="B444" s="89"/>
      <c r="C444" s="45" t="s">
        <v>151</v>
      </c>
      <c r="D444" s="44">
        <v>81</v>
      </c>
      <c r="E444" s="43">
        <v>2.9572836801752466E-3</v>
      </c>
    </row>
    <row r="445" spans="2:5" ht="15" customHeight="1" x14ac:dyDescent="0.25">
      <c r="B445" s="89"/>
      <c r="C445" s="45" t="s">
        <v>150</v>
      </c>
      <c r="D445" s="44">
        <v>1</v>
      </c>
      <c r="E445" s="43">
        <v>3.6509675063891931E-5</v>
      </c>
    </row>
    <row r="446" spans="2:5" ht="15" customHeight="1" x14ac:dyDescent="0.25">
      <c r="B446" s="89"/>
      <c r="C446" s="45" t="s">
        <v>149</v>
      </c>
      <c r="D446" s="44">
        <v>3</v>
      </c>
      <c r="E446" s="43">
        <v>1.095290251916758E-4</v>
      </c>
    </row>
    <row r="447" spans="2:5" ht="15" customHeight="1" x14ac:dyDescent="0.25">
      <c r="B447" s="89"/>
      <c r="C447" s="45" t="s">
        <v>147</v>
      </c>
      <c r="D447" s="44">
        <v>1</v>
      </c>
      <c r="E447" s="43">
        <v>3.6509675063891931E-5</v>
      </c>
    </row>
    <row r="448" spans="2:5" ht="15" customHeight="1" x14ac:dyDescent="0.25">
      <c r="B448" s="89"/>
      <c r="C448" s="45" t="s">
        <v>146</v>
      </c>
      <c r="D448" s="44">
        <v>11</v>
      </c>
      <c r="E448" s="43">
        <v>4.0160642570281126E-4</v>
      </c>
    </row>
    <row r="449" spans="2:5" ht="15" customHeight="1" x14ac:dyDescent="0.25">
      <c r="B449" s="89"/>
      <c r="C449" s="45" t="s">
        <v>145</v>
      </c>
      <c r="D449" s="44">
        <v>22</v>
      </c>
      <c r="E449" s="43">
        <v>8.0321285140562252E-4</v>
      </c>
    </row>
    <row r="450" spans="2:5" ht="15" customHeight="1" x14ac:dyDescent="0.25">
      <c r="B450" s="89"/>
      <c r="C450" s="45" t="s">
        <v>169</v>
      </c>
      <c r="D450" s="44">
        <v>1</v>
      </c>
      <c r="E450" s="43">
        <v>3.6509675063891931E-5</v>
      </c>
    </row>
    <row r="451" spans="2:5" ht="15" customHeight="1" x14ac:dyDescent="0.25">
      <c r="B451" s="89"/>
      <c r="C451" s="45" t="s">
        <v>143</v>
      </c>
      <c r="D451" s="44">
        <v>4</v>
      </c>
      <c r="E451" s="43">
        <v>1.4603870025556772E-4</v>
      </c>
    </row>
    <row r="452" spans="2:5" ht="15" customHeight="1" x14ac:dyDescent="0.25">
      <c r="B452" s="90"/>
      <c r="C452" s="42" t="s">
        <v>20</v>
      </c>
      <c r="D452" s="41">
        <v>356</v>
      </c>
      <c r="E452" s="40">
        <v>1.2997444322745527E-2</v>
      </c>
    </row>
    <row r="453" spans="2:5" ht="15" customHeight="1" x14ac:dyDescent="0.25">
      <c r="B453" s="88" t="s">
        <v>93</v>
      </c>
      <c r="C453" s="45" t="s">
        <v>165</v>
      </c>
      <c r="D453" s="44">
        <v>3</v>
      </c>
      <c r="E453" s="43">
        <v>1.095290251916758E-4</v>
      </c>
    </row>
    <row r="454" spans="2:5" ht="15" customHeight="1" x14ac:dyDescent="0.25">
      <c r="B454" s="89"/>
      <c r="C454" s="45" t="s">
        <v>162</v>
      </c>
      <c r="D454" s="44">
        <v>1</v>
      </c>
      <c r="E454" s="43">
        <v>3.6509675063891931E-5</v>
      </c>
    </row>
    <row r="455" spans="2:5" ht="15" customHeight="1" x14ac:dyDescent="0.25">
      <c r="B455" s="89"/>
      <c r="C455" s="45" t="s">
        <v>161</v>
      </c>
      <c r="D455" s="44">
        <v>1</v>
      </c>
      <c r="E455" s="43">
        <v>3.6509675063891931E-5</v>
      </c>
    </row>
    <row r="456" spans="2:5" ht="15" customHeight="1" x14ac:dyDescent="0.25">
      <c r="B456" s="89"/>
      <c r="C456" s="45" t="s">
        <v>160</v>
      </c>
      <c r="D456" s="44">
        <v>2</v>
      </c>
      <c r="E456" s="43">
        <v>7.3019350127783862E-5</v>
      </c>
    </row>
    <row r="457" spans="2:5" ht="15" customHeight="1" x14ac:dyDescent="0.25">
      <c r="B457" s="89"/>
      <c r="C457" s="45" t="s">
        <v>159</v>
      </c>
      <c r="D457" s="44">
        <v>7</v>
      </c>
      <c r="E457" s="43">
        <v>2.5556772544724351E-4</v>
      </c>
    </row>
    <row r="458" spans="2:5" ht="15" customHeight="1" x14ac:dyDescent="0.25">
      <c r="B458" s="89"/>
      <c r="C458" s="45" t="s">
        <v>158</v>
      </c>
      <c r="D458" s="44">
        <v>55</v>
      </c>
      <c r="E458" s="43">
        <v>2.008032128514056E-3</v>
      </c>
    </row>
    <row r="459" spans="2:5" ht="15" customHeight="1" x14ac:dyDescent="0.25">
      <c r="B459" s="89"/>
      <c r="C459" s="45" t="s">
        <v>157</v>
      </c>
      <c r="D459" s="44">
        <v>1</v>
      </c>
      <c r="E459" s="43">
        <v>3.6509675063891931E-5</v>
      </c>
    </row>
    <row r="460" spans="2:5" ht="15" customHeight="1" x14ac:dyDescent="0.25">
      <c r="B460" s="89"/>
      <c r="C460" s="45" t="s">
        <v>156</v>
      </c>
      <c r="D460" s="44">
        <v>15</v>
      </c>
      <c r="E460" s="43">
        <v>5.4764512595837896E-4</v>
      </c>
    </row>
    <row r="461" spans="2:5" ht="15" customHeight="1" x14ac:dyDescent="0.25">
      <c r="B461" s="89"/>
      <c r="C461" s="45" t="s">
        <v>155</v>
      </c>
      <c r="D461" s="44">
        <v>17</v>
      </c>
      <c r="E461" s="43">
        <v>6.2066447608616284E-4</v>
      </c>
    </row>
    <row r="462" spans="2:5" ht="15" customHeight="1" x14ac:dyDescent="0.25">
      <c r="B462" s="89"/>
      <c r="C462" s="45" t="s">
        <v>154</v>
      </c>
      <c r="D462" s="44">
        <v>219</v>
      </c>
      <c r="E462" s="43">
        <v>7.9956188389923334E-3</v>
      </c>
    </row>
    <row r="463" spans="2:5" ht="15" customHeight="1" x14ac:dyDescent="0.25">
      <c r="B463" s="89"/>
      <c r="C463" s="45" t="s">
        <v>153</v>
      </c>
      <c r="D463" s="44">
        <v>20</v>
      </c>
      <c r="E463" s="43">
        <v>7.3019350127783865E-4</v>
      </c>
    </row>
    <row r="464" spans="2:5" ht="15" customHeight="1" x14ac:dyDescent="0.25">
      <c r="B464" s="89"/>
      <c r="C464" s="45" t="s">
        <v>152</v>
      </c>
      <c r="D464" s="44">
        <v>34</v>
      </c>
      <c r="E464" s="43">
        <v>1.2413289521723257E-3</v>
      </c>
    </row>
    <row r="465" spans="2:5" ht="15" customHeight="1" x14ac:dyDescent="0.25">
      <c r="B465" s="89"/>
      <c r="C465" s="45" t="s">
        <v>151</v>
      </c>
      <c r="D465" s="44">
        <v>140</v>
      </c>
      <c r="E465" s="43">
        <v>5.11135450894487E-3</v>
      </c>
    </row>
    <row r="466" spans="2:5" ht="15" customHeight="1" x14ac:dyDescent="0.25">
      <c r="B466" s="89"/>
      <c r="C466" s="45" t="s">
        <v>150</v>
      </c>
      <c r="D466" s="44">
        <v>2</v>
      </c>
      <c r="E466" s="43">
        <v>7.3019350127783862E-5</v>
      </c>
    </row>
    <row r="467" spans="2:5" ht="15" customHeight="1" x14ac:dyDescent="0.25">
      <c r="B467" s="89"/>
      <c r="C467" s="45" t="s">
        <v>149</v>
      </c>
      <c r="D467" s="44">
        <v>6</v>
      </c>
      <c r="E467" s="43">
        <v>2.190580503833516E-4</v>
      </c>
    </row>
    <row r="468" spans="2:5" ht="15" customHeight="1" x14ac:dyDescent="0.25">
      <c r="B468" s="89"/>
      <c r="C468" s="45" t="s">
        <v>146</v>
      </c>
      <c r="D468" s="44">
        <v>24</v>
      </c>
      <c r="E468" s="43">
        <v>8.762322015334064E-4</v>
      </c>
    </row>
    <row r="469" spans="2:5" ht="15" customHeight="1" x14ac:dyDescent="0.25">
      <c r="B469" s="89"/>
      <c r="C469" s="45" t="s">
        <v>145</v>
      </c>
      <c r="D469" s="44">
        <v>34</v>
      </c>
      <c r="E469" s="43">
        <v>1.2413289521723257E-3</v>
      </c>
    </row>
    <row r="470" spans="2:5" ht="15" customHeight="1" x14ac:dyDescent="0.25">
      <c r="B470" s="89"/>
      <c r="C470" s="45" t="s">
        <v>143</v>
      </c>
      <c r="D470" s="44">
        <v>2</v>
      </c>
      <c r="E470" s="43">
        <v>7.3019350127783862E-5</v>
      </c>
    </row>
    <row r="471" spans="2:5" ht="15" customHeight="1" x14ac:dyDescent="0.25">
      <c r="B471" s="89"/>
      <c r="C471" s="45" t="s">
        <v>142</v>
      </c>
      <c r="D471" s="44">
        <v>1</v>
      </c>
      <c r="E471" s="43">
        <v>3.6509675063891931E-5</v>
      </c>
    </row>
    <row r="472" spans="2:5" ht="15" customHeight="1" x14ac:dyDescent="0.25">
      <c r="B472" s="90"/>
      <c r="C472" s="42" t="s">
        <v>20</v>
      </c>
      <c r="D472" s="41">
        <v>584</v>
      </c>
      <c r="E472" s="40">
        <v>2.1321650237312889E-2</v>
      </c>
    </row>
    <row r="473" spans="2:5" ht="15" customHeight="1" x14ac:dyDescent="0.25">
      <c r="B473" s="88" t="s">
        <v>74</v>
      </c>
      <c r="C473" s="45" t="s">
        <v>151</v>
      </c>
      <c r="D473" s="44">
        <v>2</v>
      </c>
      <c r="E473" s="43">
        <v>7.3019350127783862E-5</v>
      </c>
    </row>
    <row r="474" spans="2:5" ht="15" customHeight="1" x14ac:dyDescent="0.25">
      <c r="B474" s="89"/>
      <c r="C474" s="45" t="s">
        <v>145</v>
      </c>
      <c r="D474" s="44">
        <v>1</v>
      </c>
      <c r="E474" s="43">
        <v>3.6509675063891931E-5</v>
      </c>
    </row>
    <row r="475" spans="2:5" ht="15" customHeight="1" x14ac:dyDescent="0.25">
      <c r="B475" s="90"/>
      <c r="C475" s="42" t="s">
        <v>20</v>
      </c>
      <c r="D475" s="41">
        <v>3</v>
      </c>
      <c r="E475" s="40">
        <v>1.095290251916758E-4</v>
      </c>
    </row>
    <row r="476" spans="2:5" ht="15" customHeight="1" x14ac:dyDescent="0.25">
      <c r="B476" s="88" t="s">
        <v>86</v>
      </c>
      <c r="C476" s="45" t="s">
        <v>162</v>
      </c>
      <c r="D476" s="44">
        <v>1</v>
      </c>
      <c r="E476" s="43">
        <v>3.6509675063891931E-5</v>
      </c>
    </row>
    <row r="477" spans="2:5" ht="15" customHeight="1" x14ac:dyDescent="0.25">
      <c r="B477" s="89"/>
      <c r="C477" s="45" t="s">
        <v>161</v>
      </c>
      <c r="D477" s="44">
        <v>1</v>
      </c>
      <c r="E477" s="43">
        <v>3.6509675063891931E-5</v>
      </c>
    </row>
    <row r="478" spans="2:5" ht="15" customHeight="1" x14ac:dyDescent="0.25">
      <c r="B478" s="89"/>
      <c r="C478" s="45" t="s">
        <v>159</v>
      </c>
      <c r="D478" s="44">
        <v>6</v>
      </c>
      <c r="E478" s="43">
        <v>2.190580503833516E-4</v>
      </c>
    </row>
    <row r="479" spans="2:5" ht="15" customHeight="1" x14ac:dyDescent="0.25">
      <c r="B479" s="89"/>
      <c r="C479" s="45" t="s">
        <v>158</v>
      </c>
      <c r="D479" s="44">
        <v>8</v>
      </c>
      <c r="E479" s="43">
        <v>2.9207740051113545E-4</v>
      </c>
    </row>
    <row r="480" spans="2:5" ht="15" customHeight="1" x14ac:dyDescent="0.25">
      <c r="B480" s="89"/>
      <c r="C480" s="45" t="s">
        <v>157</v>
      </c>
      <c r="D480" s="44">
        <v>2</v>
      </c>
      <c r="E480" s="43">
        <v>7.3019350127783862E-5</v>
      </c>
    </row>
    <row r="481" spans="2:5" ht="15" customHeight="1" x14ac:dyDescent="0.25">
      <c r="B481" s="89"/>
      <c r="C481" s="45" t="s">
        <v>156</v>
      </c>
      <c r="D481" s="44">
        <v>3</v>
      </c>
      <c r="E481" s="43">
        <v>1.095290251916758E-4</v>
      </c>
    </row>
    <row r="482" spans="2:5" ht="15" customHeight="1" x14ac:dyDescent="0.25">
      <c r="B482" s="89"/>
      <c r="C482" s="45" t="s">
        <v>155</v>
      </c>
      <c r="D482" s="44">
        <v>4</v>
      </c>
      <c r="E482" s="43">
        <v>1.4603870025556772E-4</v>
      </c>
    </row>
    <row r="483" spans="2:5" ht="15" customHeight="1" x14ac:dyDescent="0.25">
      <c r="B483" s="89"/>
      <c r="C483" s="45" t="s">
        <v>154</v>
      </c>
      <c r="D483" s="44">
        <v>41</v>
      </c>
      <c r="E483" s="43">
        <v>1.4968966776195691E-3</v>
      </c>
    </row>
    <row r="484" spans="2:5" ht="15" customHeight="1" x14ac:dyDescent="0.25">
      <c r="B484" s="89"/>
      <c r="C484" s="45" t="s">
        <v>153</v>
      </c>
      <c r="D484" s="44">
        <v>7</v>
      </c>
      <c r="E484" s="43">
        <v>2.5556772544724351E-4</v>
      </c>
    </row>
    <row r="485" spans="2:5" ht="15" customHeight="1" x14ac:dyDescent="0.25">
      <c r="B485" s="89"/>
      <c r="C485" s="45" t="s">
        <v>152</v>
      </c>
      <c r="D485" s="44">
        <v>20</v>
      </c>
      <c r="E485" s="43">
        <v>7.3019350127783865E-4</v>
      </c>
    </row>
    <row r="486" spans="2:5" ht="15" customHeight="1" x14ac:dyDescent="0.25">
      <c r="B486" s="89"/>
      <c r="C486" s="45" t="s">
        <v>151</v>
      </c>
      <c r="D486" s="44">
        <v>41</v>
      </c>
      <c r="E486" s="43">
        <v>1.4968966776195691E-3</v>
      </c>
    </row>
    <row r="487" spans="2:5" ht="15" customHeight="1" x14ac:dyDescent="0.25">
      <c r="B487" s="89"/>
      <c r="C487" s="45" t="s">
        <v>145</v>
      </c>
      <c r="D487" s="44">
        <v>6</v>
      </c>
      <c r="E487" s="43">
        <v>2.190580503833516E-4</v>
      </c>
    </row>
    <row r="488" spans="2:5" ht="15" customHeight="1" x14ac:dyDescent="0.25">
      <c r="B488" s="89"/>
      <c r="C488" s="45" t="s">
        <v>143</v>
      </c>
      <c r="D488" s="44">
        <v>1</v>
      </c>
      <c r="E488" s="43">
        <v>3.6509675063891931E-5</v>
      </c>
    </row>
    <row r="489" spans="2:5" ht="15" customHeight="1" x14ac:dyDescent="0.25">
      <c r="B489" s="90"/>
      <c r="C489" s="42" t="s">
        <v>20</v>
      </c>
      <c r="D489" s="41">
        <v>141</v>
      </c>
      <c r="E489" s="40">
        <v>5.1478641840087625E-3</v>
      </c>
    </row>
    <row r="490" spans="2:5" ht="15" customHeight="1" x14ac:dyDescent="0.25">
      <c r="B490" s="88" t="s">
        <v>115</v>
      </c>
      <c r="C490" s="45" t="s">
        <v>165</v>
      </c>
      <c r="D490" s="44">
        <v>3</v>
      </c>
      <c r="E490" s="43">
        <v>1.095290251916758E-4</v>
      </c>
    </row>
    <row r="491" spans="2:5" ht="15" customHeight="1" x14ac:dyDescent="0.25">
      <c r="B491" s="89"/>
      <c r="C491" s="45" t="s">
        <v>164</v>
      </c>
      <c r="D491" s="44">
        <v>1</v>
      </c>
      <c r="E491" s="43">
        <v>3.6509675063891931E-5</v>
      </c>
    </row>
    <row r="492" spans="2:5" ht="15" customHeight="1" x14ac:dyDescent="0.25">
      <c r="B492" s="89"/>
      <c r="C492" s="45" t="s">
        <v>163</v>
      </c>
      <c r="D492" s="44">
        <v>11</v>
      </c>
      <c r="E492" s="43">
        <v>4.0160642570281126E-4</v>
      </c>
    </row>
    <row r="493" spans="2:5" ht="15" customHeight="1" x14ac:dyDescent="0.25">
      <c r="B493" s="89"/>
      <c r="C493" s="45" t="s">
        <v>162</v>
      </c>
      <c r="D493" s="44">
        <v>15</v>
      </c>
      <c r="E493" s="43">
        <v>5.4764512595837896E-4</v>
      </c>
    </row>
    <row r="494" spans="2:5" ht="15" customHeight="1" x14ac:dyDescent="0.25">
      <c r="B494" s="89"/>
      <c r="C494" s="45" t="s">
        <v>161</v>
      </c>
      <c r="D494" s="44">
        <v>10</v>
      </c>
      <c r="E494" s="43">
        <v>3.6509675063891932E-4</v>
      </c>
    </row>
    <row r="495" spans="2:5" ht="15" customHeight="1" x14ac:dyDescent="0.25">
      <c r="B495" s="89"/>
      <c r="C495" s="45" t="s">
        <v>160</v>
      </c>
      <c r="D495" s="44">
        <v>10</v>
      </c>
      <c r="E495" s="43">
        <v>3.6509675063891932E-4</v>
      </c>
    </row>
    <row r="496" spans="2:5" ht="15" customHeight="1" x14ac:dyDescent="0.25">
      <c r="B496" s="89"/>
      <c r="C496" s="45" t="s">
        <v>159</v>
      </c>
      <c r="D496" s="44">
        <v>97</v>
      </c>
      <c r="E496" s="43">
        <v>3.5414384811975172E-3</v>
      </c>
    </row>
    <row r="497" spans="2:5" ht="15" customHeight="1" x14ac:dyDescent="0.25">
      <c r="B497" s="89"/>
      <c r="C497" s="45" t="s">
        <v>158</v>
      </c>
      <c r="D497" s="44">
        <v>154</v>
      </c>
      <c r="E497" s="43">
        <v>5.6224899598393578E-3</v>
      </c>
    </row>
    <row r="498" spans="2:5" ht="15" customHeight="1" x14ac:dyDescent="0.25">
      <c r="B498" s="89"/>
      <c r="C498" s="45" t="s">
        <v>157</v>
      </c>
      <c r="D498" s="44">
        <v>25</v>
      </c>
      <c r="E498" s="43">
        <v>9.1274187659729834E-4</v>
      </c>
    </row>
    <row r="499" spans="2:5" ht="15" customHeight="1" x14ac:dyDescent="0.25">
      <c r="B499" s="89"/>
      <c r="C499" s="45" t="s">
        <v>156</v>
      </c>
      <c r="D499" s="44">
        <v>53</v>
      </c>
      <c r="E499" s="43">
        <v>1.9350127783862724E-3</v>
      </c>
    </row>
    <row r="500" spans="2:5" ht="15" customHeight="1" x14ac:dyDescent="0.25">
      <c r="B500" s="89"/>
      <c r="C500" s="45" t="s">
        <v>155</v>
      </c>
      <c r="D500" s="44">
        <v>38</v>
      </c>
      <c r="E500" s="43">
        <v>1.3873676524278934E-3</v>
      </c>
    </row>
    <row r="501" spans="2:5" ht="15" customHeight="1" x14ac:dyDescent="0.25">
      <c r="B501" s="89"/>
      <c r="C501" s="45" t="s">
        <v>154</v>
      </c>
      <c r="D501" s="44">
        <v>781</v>
      </c>
      <c r="E501" s="43">
        <v>2.8514056224899598E-2</v>
      </c>
    </row>
    <row r="502" spans="2:5" ht="15" customHeight="1" x14ac:dyDescent="0.25">
      <c r="B502" s="89"/>
      <c r="C502" s="45" t="s">
        <v>153</v>
      </c>
      <c r="D502" s="44">
        <v>35</v>
      </c>
      <c r="E502" s="43">
        <v>1.2778386272362175E-3</v>
      </c>
    </row>
    <row r="503" spans="2:5" ht="15" customHeight="1" x14ac:dyDescent="0.25">
      <c r="B503" s="89"/>
      <c r="C503" s="45" t="s">
        <v>152</v>
      </c>
      <c r="D503" s="44">
        <v>129</v>
      </c>
      <c r="E503" s="43">
        <v>4.7097480832420588E-3</v>
      </c>
    </row>
    <row r="504" spans="2:5" ht="15" customHeight="1" x14ac:dyDescent="0.25">
      <c r="B504" s="89"/>
      <c r="C504" s="45" t="s">
        <v>151</v>
      </c>
      <c r="D504" s="44">
        <v>424</v>
      </c>
      <c r="E504" s="43">
        <v>1.5480102227090179E-2</v>
      </c>
    </row>
    <row r="505" spans="2:5" ht="15" customHeight="1" x14ac:dyDescent="0.25">
      <c r="B505" s="89"/>
      <c r="C505" s="45" t="s">
        <v>150</v>
      </c>
      <c r="D505" s="44">
        <v>5</v>
      </c>
      <c r="E505" s="43">
        <v>1.8254837531945966E-4</v>
      </c>
    </row>
    <row r="506" spans="2:5" ht="15" customHeight="1" x14ac:dyDescent="0.25">
      <c r="B506" s="89"/>
      <c r="C506" s="45" t="s">
        <v>149</v>
      </c>
      <c r="D506" s="44">
        <v>8</v>
      </c>
      <c r="E506" s="43">
        <v>2.9207740051113545E-4</v>
      </c>
    </row>
    <row r="507" spans="2:5" ht="15" customHeight="1" x14ac:dyDescent="0.25">
      <c r="B507" s="89"/>
      <c r="C507" s="45" t="s">
        <v>148</v>
      </c>
      <c r="D507" s="44">
        <v>1</v>
      </c>
      <c r="E507" s="43">
        <v>3.6509675063891931E-5</v>
      </c>
    </row>
    <row r="508" spans="2:5" ht="15" customHeight="1" x14ac:dyDescent="0.25">
      <c r="B508" s="89"/>
      <c r="C508" s="45" t="s">
        <v>147</v>
      </c>
      <c r="D508" s="44">
        <v>1</v>
      </c>
      <c r="E508" s="43">
        <v>3.6509675063891931E-5</v>
      </c>
    </row>
    <row r="509" spans="2:5" ht="15" customHeight="1" x14ac:dyDescent="0.25">
      <c r="B509" s="89"/>
      <c r="C509" s="45" t="s">
        <v>146</v>
      </c>
      <c r="D509" s="44">
        <v>57</v>
      </c>
      <c r="E509" s="43">
        <v>2.0810514786418401E-3</v>
      </c>
    </row>
    <row r="510" spans="2:5" ht="15" customHeight="1" x14ac:dyDescent="0.25">
      <c r="B510" s="89"/>
      <c r="C510" s="45" t="s">
        <v>145</v>
      </c>
      <c r="D510" s="44">
        <v>66</v>
      </c>
      <c r="E510" s="43">
        <v>2.4096385542168677E-3</v>
      </c>
    </row>
    <row r="511" spans="2:5" ht="15" customHeight="1" x14ac:dyDescent="0.25">
      <c r="B511" s="89"/>
      <c r="C511" s="45" t="s">
        <v>169</v>
      </c>
      <c r="D511" s="44">
        <v>1</v>
      </c>
      <c r="E511" s="43">
        <v>3.6509675063891931E-5</v>
      </c>
    </row>
    <row r="512" spans="2:5" ht="15" customHeight="1" x14ac:dyDescent="0.25">
      <c r="B512" s="89"/>
      <c r="C512" s="45" t="s">
        <v>143</v>
      </c>
      <c r="D512" s="44">
        <v>8</v>
      </c>
      <c r="E512" s="43">
        <v>2.9207740051113545E-4</v>
      </c>
    </row>
    <row r="513" spans="2:5" ht="15" customHeight="1" x14ac:dyDescent="0.25">
      <c r="B513" s="89"/>
      <c r="C513" s="45" t="s">
        <v>142</v>
      </c>
      <c r="D513" s="44">
        <v>2</v>
      </c>
      <c r="E513" s="43">
        <v>7.3019350127783862E-5</v>
      </c>
    </row>
    <row r="514" spans="2:5" ht="15" customHeight="1" x14ac:dyDescent="0.25">
      <c r="B514" s="90"/>
      <c r="C514" s="42" t="s">
        <v>20</v>
      </c>
      <c r="D514" s="41">
        <v>1935</v>
      </c>
      <c r="E514" s="40">
        <v>7.0646221248630889E-2</v>
      </c>
    </row>
    <row r="515" spans="2:5" ht="15" customHeight="1" x14ac:dyDescent="0.25">
      <c r="B515" s="88" t="s">
        <v>88</v>
      </c>
      <c r="C515" s="45" t="s">
        <v>161</v>
      </c>
      <c r="D515" s="44">
        <v>2</v>
      </c>
      <c r="E515" s="43">
        <v>7.3019350127783862E-5</v>
      </c>
    </row>
    <row r="516" spans="2:5" ht="15" customHeight="1" x14ac:dyDescent="0.25">
      <c r="B516" s="89"/>
      <c r="C516" s="45" t="s">
        <v>160</v>
      </c>
      <c r="D516" s="44">
        <v>1</v>
      </c>
      <c r="E516" s="43">
        <v>3.6509675063891931E-5</v>
      </c>
    </row>
    <row r="517" spans="2:5" ht="15" customHeight="1" x14ac:dyDescent="0.25">
      <c r="B517" s="89"/>
      <c r="C517" s="45" t="s">
        <v>159</v>
      </c>
      <c r="D517" s="44">
        <v>7</v>
      </c>
      <c r="E517" s="43">
        <v>2.5556772544724351E-4</v>
      </c>
    </row>
    <row r="518" spans="2:5" ht="15" customHeight="1" x14ac:dyDescent="0.25">
      <c r="B518" s="89"/>
      <c r="C518" s="45" t="s">
        <v>158</v>
      </c>
      <c r="D518" s="44">
        <v>21</v>
      </c>
      <c r="E518" s="43">
        <v>7.6670317634173059E-4</v>
      </c>
    </row>
    <row r="519" spans="2:5" ht="15" customHeight="1" x14ac:dyDescent="0.25">
      <c r="B519" s="89"/>
      <c r="C519" s="45" t="s">
        <v>157</v>
      </c>
      <c r="D519" s="44">
        <v>2</v>
      </c>
      <c r="E519" s="43">
        <v>7.3019350127783862E-5</v>
      </c>
    </row>
    <row r="520" spans="2:5" ht="15" customHeight="1" x14ac:dyDescent="0.25">
      <c r="B520" s="89"/>
      <c r="C520" s="45" t="s">
        <v>156</v>
      </c>
      <c r="D520" s="44">
        <v>11</v>
      </c>
      <c r="E520" s="43">
        <v>4.0160642570281126E-4</v>
      </c>
    </row>
    <row r="521" spans="2:5" ht="15" customHeight="1" x14ac:dyDescent="0.25">
      <c r="B521" s="89"/>
      <c r="C521" s="45" t="s">
        <v>155</v>
      </c>
      <c r="D521" s="44">
        <v>13</v>
      </c>
      <c r="E521" s="43">
        <v>4.7462577583059508E-4</v>
      </c>
    </row>
    <row r="522" spans="2:5" ht="15" customHeight="1" x14ac:dyDescent="0.25">
      <c r="B522" s="89"/>
      <c r="C522" s="45" t="s">
        <v>154</v>
      </c>
      <c r="D522" s="44">
        <v>68</v>
      </c>
      <c r="E522" s="43">
        <v>2.4826579043446513E-3</v>
      </c>
    </row>
    <row r="523" spans="2:5" ht="15" customHeight="1" x14ac:dyDescent="0.25">
      <c r="B523" s="89"/>
      <c r="C523" s="45" t="s">
        <v>153</v>
      </c>
      <c r="D523" s="44">
        <v>7</v>
      </c>
      <c r="E523" s="43">
        <v>2.5556772544724351E-4</v>
      </c>
    </row>
    <row r="524" spans="2:5" ht="15" customHeight="1" x14ac:dyDescent="0.25">
      <c r="B524" s="89"/>
      <c r="C524" s="45" t="s">
        <v>152</v>
      </c>
      <c r="D524" s="44">
        <v>24</v>
      </c>
      <c r="E524" s="43">
        <v>8.762322015334064E-4</v>
      </c>
    </row>
    <row r="525" spans="2:5" ht="15" customHeight="1" x14ac:dyDescent="0.25">
      <c r="B525" s="89"/>
      <c r="C525" s="45" t="s">
        <v>151</v>
      </c>
      <c r="D525" s="44">
        <v>54</v>
      </c>
      <c r="E525" s="43">
        <v>1.9715224534501644E-3</v>
      </c>
    </row>
    <row r="526" spans="2:5" ht="15" customHeight="1" x14ac:dyDescent="0.25">
      <c r="B526" s="89"/>
      <c r="C526" s="45" t="s">
        <v>150</v>
      </c>
      <c r="D526" s="44">
        <v>4</v>
      </c>
      <c r="E526" s="43">
        <v>1.4603870025556772E-4</v>
      </c>
    </row>
    <row r="527" spans="2:5" ht="15" customHeight="1" x14ac:dyDescent="0.25">
      <c r="B527" s="89"/>
      <c r="C527" s="45" t="s">
        <v>149</v>
      </c>
      <c r="D527" s="44">
        <v>5</v>
      </c>
      <c r="E527" s="43">
        <v>1.8254837531945966E-4</v>
      </c>
    </row>
    <row r="528" spans="2:5" ht="15" customHeight="1" x14ac:dyDescent="0.25">
      <c r="B528" s="89"/>
      <c r="C528" s="45" t="s">
        <v>146</v>
      </c>
      <c r="D528" s="44">
        <v>6</v>
      </c>
      <c r="E528" s="43">
        <v>2.190580503833516E-4</v>
      </c>
    </row>
    <row r="529" spans="2:5" ht="15" customHeight="1" x14ac:dyDescent="0.25">
      <c r="B529" s="89"/>
      <c r="C529" s="45" t="s">
        <v>145</v>
      </c>
      <c r="D529" s="44">
        <v>11</v>
      </c>
      <c r="E529" s="43">
        <v>4.0160642570281126E-4</v>
      </c>
    </row>
    <row r="530" spans="2:5" ht="15" customHeight="1" x14ac:dyDescent="0.25">
      <c r="B530" s="90"/>
      <c r="C530" s="42" t="s">
        <v>20</v>
      </c>
      <c r="D530" s="41">
        <v>236</v>
      </c>
      <c r="E530" s="40">
        <v>8.6162833150784952E-3</v>
      </c>
    </row>
    <row r="531" spans="2:5" ht="15" customHeight="1" x14ac:dyDescent="0.25">
      <c r="B531" s="88" t="s">
        <v>107</v>
      </c>
      <c r="C531" s="45" t="s">
        <v>165</v>
      </c>
      <c r="D531" s="44">
        <v>5</v>
      </c>
      <c r="E531" s="43">
        <v>1.8254837531945966E-4</v>
      </c>
    </row>
    <row r="532" spans="2:5" ht="15" customHeight="1" x14ac:dyDescent="0.25">
      <c r="B532" s="89"/>
      <c r="C532" s="45" t="s">
        <v>164</v>
      </c>
      <c r="D532" s="44">
        <v>1</v>
      </c>
      <c r="E532" s="43">
        <v>3.6509675063891931E-5</v>
      </c>
    </row>
    <row r="533" spans="2:5" ht="15" customHeight="1" x14ac:dyDescent="0.25">
      <c r="B533" s="89"/>
      <c r="C533" s="45" t="s">
        <v>163</v>
      </c>
      <c r="D533" s="44">
        <v>6</v>
      </c>
      <c r="E533" s="43">
        <v>2.190580503833516E-4</v>
      </c>
    </row>
    <row r="534" spans="2:5" ht="15" customHeight="1" x14ac:dyDescent="0.25">
      <c r="B534" s="89"/>
      <c r="C534" s="45" t="s">
        <v>162</v>
      </c>
      <c r="D534" s="44">
        <v>2</v>
      </c>
      <c r="E534" s="43">
        <v>7.3019350127783862E-5</v>
      </c>
    </row>
    <row r="535" spans="2:5" ht="15" customHeight="1" x14ac:dyDescent="0.25">
      <c r="B535" s="89"/>
      <c r="C535" s="45" t="s">
        <v>161</v>
      </c>
      <c r="D535" s="44">
        <v>1</v>
      </c>
      <c r="E535" s="43">
        <v>3.6509675063891931E-5</v>
      </c>
    </row>
    <row r="536" spans="2:5" ht="15" customHeight="1" x14ac:dyDescent="0.25">
      <c r="B536" s="89"/>
      <c r="C536" s="45" t="s">
        <v>160</v>
      </c>
      <c r="D536" s="44">
        <v>6</v>
      </c>
      <c r="E536" s="43">
        <v>2.190580503833516E-4</v>
      </c>
    </row>
    <row r="537" spans="2:5" ht="15" customHeight="1" x14ac:dyDescent="0.25">
      <c r="B537" s="89"/>
      <c r="C537" s="45" t="s">
        <v>159</v>
      </c>
      <c r="D537" s="44">
        <v>24</v>
      </c>
      <c r="E537" s="43">
        <v>8.762322015334064E-4</v>
      </c>
    </row>
    <row r="538" spans="2:5" ht="15" customHeight="1" x14ac:dyDescent="0.25">
      <c r="B538" s="89"/>
      <c r="C538" s="45" t="s">
        <v>158</v>
      </c>
      <c r="D538" s="44">
        <v>44</v>
      </c>
      <c r="E538" s="43">
        <v>1.606425702811245E-3</v>
      </c>
    </row>
    <row r="539" spans="2:5" ht="15" customHeight="1" x14ac:dyDescent="0.25">
      <c r="B539" s="89"/>
      <c r="C539" s="45" t="s">
        <v>157</v>
      </c>
      <c r="D539" s="44">
        <v>13</v>
      </c>
      <c r="E539" s="43">
        <v>4.7462577583059508E-4</v>
      </c>
    </row>
    <row r="540" spans="2:5" ht="15" customHeight="1" x14ac:dyDescent="0.25">
      <c r="B540" s="89"/>
      <c r="C540" s="45" t="s">
        <v>156</v>
      </c>
      <c r="D540" s="44">
        <v>27</v>
      </c>
      <c r="E540" s="43">
        <v>9.8576122672508221E-4</v>
      </c>
    </row>
    <row r="541" spans="2:5" ht="15" customHeight="1" x14ac:dyDescent="0.25">
      <c r="B541" s="89"/>
      <c r="C541" s="45" t="s">
        <v>155</v>
      </c>
      <c r="D541" s="44">
        <v>20</v>
      </c>
      <c r="E541" s="43">
        <v>7.3019350127783865E-4</v>
      </c>
    </row>
    <row r="542" spans="2:5" ht="15" customHeight="1" x14ac:dyDescent="0.25">
      <c r="B542" s="89"/>
      <c r="C542" s="45" t="s">
        <v>154</v>
      </c>
      <c r="D542" s="44">
        <v>216</v>
      </c>
      <c r="E542" s="43">
        <v>7.8860898138006577E-3</v>
      </c>
    </row>
    <row r="543" spans="2:5" ht="15" customHeight="1" x14ac:dyDescent="0.25">
      <c r="B543" s="89"/>
      <c r="C543" s="45" t="s">
        <v>153</v>
      </c>
      <c r="D543" s="44">
        <v>13</v>
      </c>
      <c r="E543" s="43">
        <v>4.7462577583059508E-4</v>
      </c>
    </row>
    <row r="544" spans="2:5" ht="15" customHeight="1" x14ac:dyDescent="0.25">
      <c r="B544" s="89"/>
      <c r="C544" s="45" t="s">
        <v>152</v>
      </c>
      <c r="D544" s="44">
        <v>42</v>
      </c>
      <c r="E544" s="43">
        <v>1.5334063526834612E-3</v>
      </c>
    </row>
    <row r="545" spans="2:5" ht="15" customHeight="1" x14ac:dyDescent="0.25">
      <c r="B545" s="89"/>
      <c r="C545" s="45" t="s">
        <v>151</v>
      </c>
      <c r="D545" s="44">
        <v>127</v>
      </c>
      <c r="E545" s="43">
        <v>4.6367287331142756E-3</v>
      </c>
    </row>
    <row r="546" spans="2:5" ht="15" customHeight="1" x14ac:dyDescent="0.25">
      <c r="B546" s="89"/>
      <c r="C546" s="45" t="s">
        <v>150</v>
      </c>
      <c r="D546" s="44">
        <v>2</v>
      </c>
      <c r="E546" s="43">
        <v>7.3019350127783862E-5</v>
      </c>
    </row>
    <row r="547" spans="2:5" ht="15" customHeight="1" x14ac:dyDescent="0.25">
      <c r="B547" s="89"/>
      <c r="C547" s="45" t="s">
        <v>149</v>
      </c>
      <c r="D547" s="44">
        <v>4</v>
      </c>
      <c r="E547" s="43">
        <v>1.4603870025556772E-4</v>
      </c>
    </row>
    <row r="548" spans="2:5" ht="15" customHeight="1" x14ac:dyDescent="0.25">
      <c r="B548" s="89"/>
      <c r="C548" s="45" t="s">
        <v>147</v>
      </c>
      <c r="D548" s="44">
        <v>1</v>
      </c>
      <c r="E548" s="43">
        <v>3.6509675063891931E-5</v>
      </c>
    </row>
    <row r="549" spans="2:5" ht="15" customHeight="1" x14ac:dyDescent="0.25">
      <c r="B549" s="89"/>
      <c r="C549" s="45" t="s">
        <v>146</v>
      </c>
      <c r="D549" s="44">
        <v>12</v>
      </c>
      <c r="E549" s="43">
        <v>4.381161007667032E-4</v>
      </c>
    </row>
    <row r="550" spans="2:5" ht="15" customHeight="1" x14ac:dyDescent="0.25">
      <c r="B550" s="89"/>
      <c r="C550" s="45" t="s">
        <v>145</v>
      </c>
      <c r="D550" s="44">
        <v>27</v>
      </c>
      <c r="E550" s="43">
        <v>9.8576122672508221E-4</v>
      </c>
    </row>
    <row r="551" spans="2:5" ht="15" customHeight="1" x14ac:dyDescent="0.25">
      <c r="B551" s="89"/>
      <c r="C551" s="45" t="s">
        <v>169</v>
      </c>
      <c r="D551" s="44">
        <v>1</v>
      </c>
      <c r="E551" s="43">
        <v>3.6509675063891931E-5</v>
      </c>
    </row>
    <row r="552" spans="2:5" ht="15" customHeight="1" x14ac:dyDescent="0.25">
      <c r="B552" s="90"/>
      <c r="C552" s="42" t="s">
        <v>20</v>
      </c>
      <c r="D552" s="41">
        <v>594</v>
      </c>
      <c r="E552" s="40">
        <v>2.1686746987951807E-2</v>
      </c>
    </row>
    <row r="553" spans="2:5" ht="15" customHeight="1" x14ac:dyDescent="0.25">
      <c r="B553" s="88" t="s">
        <v>103</v>
      </c>
      <c r="C553" s="45" t="s">
        <v>164</v>
      </c>
      <c r="D553" s="44">
        <v>3</v>
      </c>
      <c r="E553" s="43">
        <v>1.095290251916758E-4</v>
      </c>
    </row>
    <row r="554" spans="2:5" ht="15" customHeight="1" x14ac:dyDescent="0.25">
      <c r="B554" s="89"/>
      <c r="C554" s="45" t="s">
        <v>163</v>
      </c>
      <c r="D554" s="44">
        <v>2</v>
      </c>
      <c r="E554" s="43">
        <v>7.3019350127783862E-5</v>
      </c>
    </row>
    <row r="555" spans="2:5" ht="15" customHeight="1" x14ac:dyDescent="0.25">
      <c r="B555" s="89"/>
      <c r="C555" s="45" t="s">
        <v>162</v>
      </c>
      <c r="D555" s="44">
        <v>2</v>
      </c>
      <c r="E555" s="43">
        <v>7.3019350127783862E-5</v>
      </c>
    </row>
    <row r="556" spans="2:5" ht="15" customHeight="1" x14ac:dyDescent="0.25">
      <c r="B556" s="89"/>
      <c r="C556" s="45" t="s">
        <v>161</v>
      </c>
      <c r="D556" s="44">
        <v>3</v>
      </c>
      <c r="E556" s="43">
        <v>1.095290251916758E-4</v>
      </c>
    </row>
    <row r="557" spans="2:5" ht="15" customHeight="1" x14ac:dyDescent="0.25">
      <c r="B557" s="89"/>
      <c r="C557" s="45" t="s">
        <v>160</v>
      </c>
      <c r="D557" s="44">
        <v>3</v>
      </c>
      <c r="E557" s="43">
        <v>1.095290251916758E-4</v>
      </c>
    </row>
    <row r="558" spans="2:5" ht="15" customHeight="1" x14ac:dyDescent="0.25">
      <c r="B558" s="89"/>
      <c r="C558" s="45" t="s">
        <v>159</v>
      </c>
      <c r="D558" s="44">
        <v>15</v>
      </c>
      <c r="E558" s="43">
        <v>5.4764512595837896E-4</v>
      </c>
    </row>
    <row r="559" spans="2:5" ht="15" customHeight="1" x14ac:dyDescent="0.25">
      <c r="B559" s="89"/>
      <c r="C559" s="45" t="s">
        <v>158</v>
      </c>
      <c r="D559" s="44">
        <v>27</v>
      </c>
      <c r="E559" s="43">
        <v>9.8576122672508221E-4</v>
      </c>
    </row>
    <row r="560" spans="2:5" ht="15" customHeight="1" x14ac:dyDescent="0.25">
      <c r="B560" s="89"/>
      <c r="C560" s="45" t="s">
        <v>157</v>
      </c>
      <c r="D560" s="44">
        <v>8</v>
      </c>
      <c r="E560" s="43">
        <v>2.9207740051113545E-4</v>
      </c>
    </row>
    <row r="561" spans="2:5" ht="15" customHeight="1" x14ac:dyDescent="0.25">
      <c r="B561" s="89"/>
      <c r="C561" s="45" t="s">
        <v>156</v>
      </c>
      <c r="D561" s="44">
        <v>11</v>
      </c>
      <c r="E561" s="43">
        <v>4.0160642570281126E-4</v>
      </c>
    </row>
    <row r="562" spans="2:5" ht="15" customHeight="1" x14ac:dyDescent="0.25">
      <c r="B562" s="89"/>
      <c r="C562" s="45" t="s">
        <v>155</v>
      </c>
      <c r="D562" s="44">
        <v>12</v>
      </c>
      <c r="E562" s="43">
        <v>4.381161007667032E-4</v>
      </c>
    </row>
    <row r="563" spans="2:5" ht="15" customHeight="1" x14ac:dyDescent="0.25">
      <c r="B563" s="89"/>
      <c r="C563" s="45" t="s">
        <v>154</v>
      </c>
      <c r="D563" s="44">
        <v>140</v>
      </c>
      <c r="E563" s="43">
        <v>5.11135450894487E-3</v>
      </c>
    </row>
    <row r="564" spans="2:5" ht="15" customHeight="1" x14ac:dyDescent="0.25">
      <c r="B564" s="89"/>
      <c r="C564" s="45" t="s">
        <v>153</v>
      </c>
      <c r="D564" s="44">
        <v>11</v>
      </c>
      <c r="E564" s="43">
        <v>4.0160642570281126E-4</v>
      </c>
    </row>
    <row r="565" spans="2:5" ht="15" customHeight="1" x14ac:dyDescent="0.25">
      <c r="B565" s="89"/>
      <c r="C565" s="45" t="s">
        <v>152</v>
      </c>
      <c r="D565" s="44">
        <v>31</v>
      </c>
      <c r="E565" s="43">
        <v>1.13179992698065E-3</v>
      </c>
    </row>
    <row r="566" spans="2:5" ht="15" customHeight="1" x14ac:dyDescent="0.25">
      <c r="B566" s="89"/>
      <c r="C566" s="45" t="s">
        <v>151</v>
      </c>
      <c r="D566" s="44">
        <v>88</v>
      </c>
      <c r="E566" s="43">
        <v>3.2128514056224901E-3</v>
      </c>
    </row>
    <row r="567" spans="2:5" ht="15" customHeight="1" x14ac:dyDescent="0.25">
      <c r="B567" s="89"/>
      <c r="C567" s="45" t="s">
        <v>150</v>
      </c>
      <c r="D567" s="44">
        <v>4</v>
      </c>
      <c r="E567" s="43">
        <v>1.4603870025556772E-4</v>
      </c>
    </row>
    <row r="568" spans="2:5" ht="15" customHeight="1" x14ac:dyDescent="0.25">
      <c r="B568" s="89"/>
      <c r="C568" s="45" t="s">
        <v>149</v>
      </c>
      <c r="D568" s="44">
        <v>1</v>
      </c>
      <c r="E568" s="43">
        <v>3.6509675063891931E-5</v>
      </c>
    </row>
    <row r="569" spans="2:5" ht="15" customHeight="1" x14ac:dyDescent="0.25">
      <c r="B569" s="89"/>
      <c r="C569" s="45" t="s">
        <v>148</v>
      </c>
      <c r="D569" s="44">
        <v>1</v>
      </c>
      <c r="E569" s="43">
        <v>3.6509675063891931E-5</v>
      </c>
    </row>
    <row r="570" spans="2:5" ht="15" customHeight="1" x14ac:dyDescent="0.25">
      <c r="B570" s="89"/>
      <c r="C570" s="45" t="s">
        <v>146</v>
      </c>
      <c r="D570" s="44">
        <v>5</v>
      </c>
      <c r="E570" s="43">
        <v>1.8254837531945966E-4</v>
      </c>
    </row>
    <row r="571" spans="2:5" ht="15" customHeight="1" x14ac:dyDescent="0.25">
      <c r="B571" s="89"/>
      <c r="C571" s="45" t="s">
        <v>145</v>
      </c>
      <c r="D571" s="44">
        <v>19</v>
      </c>
      <c r="E571" s="43">
        <v>6.9368382621394671E-4</v>
      </c>
    </row>
    <row r="572" spans="2:5" ht="15" customHeight="1" x14ac:dyDescent="0.25">
      <c r="B572" s="89"/>
      <c r="C572" s="45" t="s">
        <v>143</v>
      </c>
      <c r="D572" s="44">
        <v>1</v>
      </c>
      <c r="E572" s="43">
        <v>3.6509675063891931E-5</v>
      </c>
    </row>
    <row r="573" spans="2:5" ht="15" customHeight="1" x14ac:dyDescent="0.25">
      <c r="B573" s="90"/>
      <c r="C573" s="42" t="s">
        <v>20</v>
      </c>
      <c r="D573" s="41">
        <v>387</v>
      </c>
      <c r="E573" s="40">
        <v>1.4129244249726178E-2</v>
      </c>
    </row>
    <row r="574" spans="2:5" ht="15" customHeight="1" x14ac:dyDescent="0.25">
      <c r="B574" s="88" t="s">
        <v>91</v>
      </c>
      <c r="C574" s="45" t="s">
        <v>165</v>
      </c>
      <c r="D574" s="44">
        <v>1</v>
      </c>
      <c r="E574" s="43">
        <v>3.6509675063891931E-5</v>
      </c>
    </row>
    <row r="575" spans="2:5" ht="15" customHeight="1" x14ac:dyDescent="0.25">
      <c r="B575" s="89"/>
      <c r="C575" s="45" t="s">
        <v>163</v>
      </c>
      <c r="D575" s="44">
        <v>2</v>
      </c>
      <c r="E575" s="43">
        <v>7.3019350127783862E-5</v>
      </c>
    </row>
    <row r="576" spans="2:5" ht="15" customHeight="1" x14ac:dyDescent="0.25">
      <c r="B576" s="89"/>
      <c r="C576" s="45" t="s">
        <v>162</v>
      </c>
      <c r="D576" s="44">
        <v>2</v>
      </c>
      <c r="E576" s="43">
        <v>7.3019350127783862E-5</v>
      </c>
    </row>
    <row r="577" spans="2:5" ht="15" customHeight="1" x14ac:dyDescent="0.25">
      <c r="B577" s="89"/>
      <c r="C577" s="45" t="s">
        <v>160</v>
      </c>
      <c r="D577" s="44">
        <v>2</v>
      </c>
      <c r="E577" s="43">
        <v>7.3019350127783862E-5</v>
      </c>
    </row>
    <row r="578" spans="2:5" ht="15" customHeight="1" x14ac:dyDescent="0.25">
      <c r="B578" s="89"/>
      <c r="C578" s="45" t="s">
        <v>159</v>
      </c>
      <c r="D578" s="44">
        <v>12</v>
      </c>
      <c r="E578" s="43">
        <v>4.381161007667032E-4</v>
      </c>
    </row>
    <row r="579" spans="2:5" ht="15" customHeight="1" x14ac:dyDescent="0.25">
      <c r="B579" s="89"/>
      <c r="C579" s="45" t="s">
        <v>158</v>
      </c>
      <c r="D579" s="44">
        <v>17</v>
      </c>
      <c r="E579" s="43">
        <v>6.2066447608616284E-4</v>
      </c>
    </row>
    <row r="580" spans="2:5" ht="15" customHeight="1" x14ac:dyDescent="0.25">
      <c r="B580" s="89"/>
      <c r="C580" s="45" t="s">
        <v>157</v>
      </c>
      <c r="D580" s="44">
        <v>3</v>
      </c>
      <c r="E580" s="43">
        <v>1.095290251916758E-4</v>
      </c>
    </row>
    <row r="581" spans="2:5" ht="15" customHeight="1" x14ac:dyDescent="0.25">
      <c r="B581" s="89"/>
      <c r="C581" s="45" t="s">
        <v>156</v>
      </c>
      <c r="D581" s="44">
        <v>10</v>
      </c>
      <c r="E581" s="43">
        <v>3.6509675063891932E-4</v>
      </c>
    </row>
    <row r="582" spans="2:5" ht="15" customHeight="1" x14ac:dyDescent="0.25">
      <c r="B582" s="89"/>
      <c r="C582" s="45" t="s">
        <v>155</v>
      </c>
      <c r="D582" s="44">
        <v>2</v>
      </c>
      <c r="E582" s="43">
        <v>7.3019350127783862E-5</v>
      </c>
    </row>
    <row r="583" spans="2:5" ht="15" customHeight="1" x14ac:dyDescent="0.25">
      <c r="B583" s="89"/>
      <c r="C583" s="45" t="s">
        <v>154</v>
      </c>
      <c r="D583" s="44">
        <v>85</v>
      </c>
      <c r="E583" s="43">
        <v>3.103322380430814E-3</v>
      </c>
    </row>
    <row r="584" spans="2:5" ht="15" customHeight="1" x14ac:dyDescent="0.25">
      <c r="B584" s="89"/>
      <c r="C584" s="45" t="s">
        <v>153</v>
      </c>
      <c r="D584" s="44">
        <v>7</v>
      </c>
      <c r="E584" s="43">
        <v>2.5556772544724351E-4</v>
      </c>
    </row>
    <row r="585" spans="2:5" ht="15" customHeight="1" x14ac:dyDescent="0.25">
      <c r="B585" s="89"/>
      <c r="C585" s="45" t="s">
        <v>152</v>
      </c>
      <c r="D585" s="44">
        <v>25</v>
      </c>
      <c r="E585" s="43">
        <v>9.1274187659729834E-4</v>
      </c>
    </row>
    <row r="586" spans="2:5" ht="15" customHeight="1" x14ac:dyDescent="0.25">
      <c r="B586" s="89"/>
      <c r="C586" s="45" t="s">
        <v>151</v>
      </c>
      <c r="D586" s="44">
        <v>59</v>
      </c>
      <c r="E586" s="43">
        <v>2.1540708287696238E-3</v>
      </c>
    </row>
    <row r="587" spans="2:5" ht="15" customHeight="1" x14ac:dyDescent="0.25">
      <c r="B587" s="89"/>
      <c r="C587" s="45" t="s">
        <v>150</v>
      </c>
      <c r="D587" s="44">
        <v>1</v>
      </c>
      <c r="E587" s="43">
        <v>3.6509675063891931E-5</v>
      </c>
    </row>
    <row r="588" spans="2:5" ht="15" customHeight="1" x14ac:dyDescent="0.25">
      <c r="B588" s="89"/>
      <c r="C588" s="45" t="s">
        <v>149</v>
      </c>
      <c r="D588" s="44">
        <v>3</v>
      </c>
      <c r="E588" s="43">
        <v>1.095290251916758E-4</v>
      </c>
    </row>
    <row r="589" spans="2:5" ht="15" customHeight="1" x14ac:dyDescent="0.25">
      <c r="B589" s="89"/>
      <c r="C589" s="45" t="s">
        <v>148</v>
      </c>
      <c r="D589" s="44">
        <v>2</v>
      </c>
      <c r="E589" s="43">
        <v>7.3019350127783862E-5</v>
      </c>
    </row>
    <row r="590" spans="2:5" ht="15" customHeight="1" x14ac:dyDescent="0.25">
      <c r="B590" s="89"/>
      <c r="C590" s="45" t="s">
        <v>147</v>
      </c>
      <c r="D590" s="44">
        <v>1</v>
      </c>
      <c r="E590" s="43">
        <v>3.6509675063891931E-5</v>
      </c>
    </row>
    <row r="591" spans="2:5" ht="15" customHeight="1" x14ac:dyDescent="0.25">
      <c r="B591" s="89"/>
      <c r="C591" s="45" t="s">
        <v>146</v>
      </c>
      <c r="D591" s="44">
        <v>8</v>
      </c>
      <c r="E591" s="43">
        <v>2.9207740051113545E-4</v>
      </c>
    </row>
    <row r="592" spans="2:5" ht="15" customHeight="1" x14ac:dyDescent="0.25">
      <c r="B592" s="89"/>
      <c r="C592" s="45" t="s">
        <v>145</v>
      </c>
      <c r="D592" s="44">
        <v>14</v>
      </c>
      <c r="E592" s="43">
        <v>5.1113545089448702E-4</v>
      </c>
    </row>
    <row r="593" spans="2:5" ht="15" customHeight="1" x14ac:dyDescent="0.25">
      <c r="B593" s="89"/>
      <c r="C593" s="45" t="s">
        <v>143</v>
      </c>
      <c r="D593" s="44">
        <v>3</v>
      </c>
      <c r="E593" s="43">
        <v>1.095290251916758E-4</v>
      </c>
    </row>
    <row r="594" spans="2:5" ht="15" customHeight="1" x14ac:dyDescent="0.25">
      <c r="B594" s="89"/>
      <c r="C594" s="45" t="s">
        <v>142</v>
      </c>
      <c r="D594" s="44">
        <v>1</v>
      </c>
      <c r="E594" s="43">
        <v>3.6509675063891931E-5</v>
      </c>
    </row>
    <row r="595" spans="2:5" ht="15" customHeight="1" x14ac:dyDescent="0.25">
      <c r="B595" s="90"/>
      <c r="C595" s="42" t="s">
        <v>20</v>
      </c>
      <c r="D595" s="41">
        <v>260</v>
      </c>
      <c r="E595" s="40">
        <v>9.4925155166119025E-3</v>
      </c>
    </row>
    <row r="596" spans="2:5" ht="15" customHeight="1" x14ac:dyDescent="0.25">
      <c r="B596" s="88" t="s">
        <v>95</v>
      </c>
      <c r="C596" s="45" t="s">
        <v>163</v>
      </c>
      <c r="D596" s="44">
        <v>3</v>
      </c>
      <c r="E596" s="43">
        <v>1.095290251916758E-4</v>
      </c>
    </row>
    <row r="597" spans="2:5" ht="15" customHeight="1" x14ac:dyDescent="0.25">
      <c r="B597" s="89"/>
      <c r="C597" s="45" t="s">
        <v>162</v>
      </c>
      <c r="D597" s="44">
        <v>4</v>
      </c>
      <c r="E597" s="43">
        <v>1.4603870025556772E-4</v>
      </c>
    </row>
    <row r="598" spans="2:5" ht="15" customHeight="1" x14ac:dyDescent="0.25">
      <c r="B598" s="89"/>
      <c r="C598" s="45" t="s">
        <v>161</v>
      </c>
      <c r="D598" s="44">
        <v>2</v>
      </c>
      <c r="E598" s="43">
        <v>7.3019350127783862E-5</v>
      </c>
    </row>
    <row r="599" spans="2:5" ht="15" customHeight="1" x14ac:dyDescent="0.25">
      <c r="B599" s="89"/>
      <c r="C599" s="45" t="s">
        <v>159</v>
      </c>
      <c r="D599" s="44">
        <v>14</v>
      </c>
      <c r="E599" s="43">
        <v>5.1113545089448702E-4</v>
      </c>
    </row>
    <row r="600" spans="2:5" ht="15" customHeight="1" x14ac:dyDescent="0.25">
      <c r="B600" s="89"/>
      <c r="C600" s="45" t="s">
        <v>158</v>
      </c>
      <c r="D600" s="44">
        <v>8</v>
      </c>
      <c r="E600" s="43">
        <v>2.9207740051113545E-4</v>
      </c>
    </row>
    <row r="601" spans="2:5" ht="15" customHeight="1" x14ac:dyDescent="0.25">
      <c r="B601" s="89"/>
      <c r="C601" s="45" t="s">
        <v>157</v>
      </c>
      <c r="D601" s="44">
        <v>3</v>
      </c>
      <c r="E601" s="43">
        <v>1.095290251916758E-4</v>
      </c>
    </row>
    <row r="602" spans="2:5" ht="15" customHeight="1" x14ac:dyDescent="0.25">
      <c r="B602" s="89"/>
      <c r="C602" s="45" t="s">
        <v>156</v>
      </c>
      <c r="D602" s="44">
        <v>8</v>
      </c>
      <c r="E602" s="43">
        <v>2.9207740051113545E-4</v>
      </c>
    </row>
    <row r="603" spans="2:5" ht="15" customHeight="1" x14ac:dyDescent="0.25">
      <c r="B603" s="89"/>
      <c r="C603" s="45" t="s">
        <v>155</v>
      </c>
      <c r="D603" s="44">
        <v>6</v>
      </c>
      <c r="E603" s="43">
        <v>2.190580503833516E-4</v>
      </c>
    </row>
    <row r="604" spans="2:5" ht="15" customHeight="1" x14ac:dyDescent="0.25">
      <c r="B604" s="89"/>
      <c r="C604" s="45" t="s">
        <v>154</v>
      </c>
      <c r="D604" s="44">
        <v>51</v>
      </c>
      <c r="E604" s="43">
        <v>1.8619934282584885E-3</v>
      </c>
    </row>
    <row r="605" spans="2:5" ht="15" customHeight="1" x14ac:dyDescent="0.25">
      <c r="B605" s="89"/>
      <c r="C605" s="45" t="s">
        <v>153</v>
      </c>
      <c r="D605" s="44">
        <v>2</v>
      </c>
      <c r="E605" s="43">
        <v>7.3019350127783862E-5</v>
      </c>
    </row>
    <row r="606" spans="2:5" ht="15" customHeight="1" x14ac:dyDescent="0.25">
      <c r="B606" s="89"/>
      <c r="C606" s="45" t="s">
        <v>152</v>
      </c>
      <c r="D606" s="44">
        <v>17</v>
      </c>
      <c r="E606" s="43">
        <v>6.2066447608616284E-4</v>
      </c>
    </row>
    <row r="607" spans="2:5" ht="15" customHeight="1" x14ac:dyDescent="0.25">
      <c r="B607" s="89"/>
      <c r="C607" s="45" t="s">
        <v>151</v>
      </c>
      <c r="D607" s="44">
        <v>54</v>
      </c>
      <c r="E607" s="43">
        <v>1.9715224534501644E-3</v>
      </c>
    </row>
    <row r="608" spans="2:5" ht="15" customHeight="1" x14ac:dyDescent="0.25">
      <c r="B608" s="89"/>
      <c r="C608" s="45" t="s">
        <v>148</v>
      </c>
      <c r="D608" s="44">
        <v>1</v>
      </c>
      <c r="E608" s="43">
        <v>3.6509675063891931E-5</v>
      </c>
    </row>
    <row r="609" spans="2:5" ht="15" customHeight="1" x14ac:dyDescent="0.25">
      <c r="B609" s="89"/>
      <c r="C609" s="45" t="s">
        <v>146</v>
      </c>
      <c r="D609" s="44">
        <v>4</v>
      </c>
      <c r="E609" s="43">
        <v>1.4603870025556772E-4</v>
      </c>
    </row>
    <row r="610" spans="2:5" ht="15" customHeight="1" x14ac:dyDescent="0.25">
      <c r="B610" s="89"/>
      <c r="C610" s="45" t="s">
        <v>145</v>
      </c>
      <c r="D610" s="44">
        <v>8</v>
      </c>
      <c r="E610" s="43">
        <v>2.9207740051113545E-4</v>
      </c>
    </row>
    <row r="611" spans="2:5" ht="15" customHeight="1" x14ac:dyDescent="0.25">
      <c r="B611" s="90"/>
      <c r="C611" s="42" t="s">
        <v>20</v>
      </c>
      <c r="D611" s="41">
        <v>185</v>
      </c>
      <c r="E611" s="40">
        <v>6.7542898868200073E-3</v>
      </c>
    </row>
    <row r="612" spans="2:5" ht="15" customHeight="1" x14ac:dyDescent="0.25">
      <c r="B612" s="88" t="s">
        <v>79</v>
      </c>
      <c r="C612" s="45" t="s">
        <v>154</v>
      </c>
      <c r="D612" s="44">
        <v>2</v>
      </c>
      <c r="E612" s="43">
        <v>7.3019350127783862E-5</v>
      </c>
    </row>
    <row r="613" spans="2:5" ht="15" customHeight="1" x14ac:dyDescent="0.25">
      <c r="B613" s="89"/>
      <c r="C613" s="45" t="s">
        <v>151</v>
      </c>
      <c r="D613" s="44">
        <v>2</v>
      </c>
      <c r="E613" s="43">
        <v>7.3019350127783862E-5</v>
      </c>
    </row>
    <row r="614" spans="2:5" ht="15" customHeight="1" x14ac:dyDescent="0.25">
      <c r="B614" s="89"/>
      <c r="C614" s="45" t="s">
        <v>146</v>
      </c>
      <c r="D614" s="44">
        <v>1</v>
      </c>
      <c r="E614" s="43">
        <v>3.6509675063891931E-5</v>
      </c>
    </row>
    <row r="615" spans="2:5" ht="15" customHeight="1" x14ac:dyDescent="0.25">
      <c r="B615" s="90"/>
      <c r="C615" s="42" t="s">
        <v>20</v>
      </c>
      <c r="D615" s="41">
        <v>5</v>
      </c>
      <c r="E615" s="40">
        <v>1.8254837531945966E-4</v>
      </c>
    </row>
    <row r="616" spans="2:5" ht="15" customHeight="1" x14ac:dyDescent="0.25">
      <c r="B616" s="88" t="s">
        <v>113</v>
      </c>
      <c r="C616" s="45" t="s">
        <v>165</v>
      </c>
      <c r="D616" s="44">
        <v>6</v>
      </c>
      <c r="E616" s="43">
        <v>2.190580503833516E-4</v>
      </c>
    </row>
    <row r="617" spans="2:5" ht="15" customHeight="1" x14ac:dyDescent="0.25">
      <c r="B617" s="89"/>
      <c r="C617" s="45" t="s">
        <v>163</v>
      </c>
      <c r="D617" s="44">
        <v>8</v>
      </c>
      <c r="E617" s="43">
        <v>2.9207740051113545E-4</v>
      </c>
    </row>
    <row r="618" spans="2:5" ht="15" customHeight="1" x14ac:dyDescent="0.25">
      <c r="B618" s="89"/>
      <c r="C618" s="45" t="s">
        <v>162</v>
      </c>
      <c r="D618" s="44">
        <v>8</v>
      </c>
      <c r="E618" s="43">
        <v>2.9207740051113545E-4</v>
      </c>
    </row>
    <row r="619" spans="2:5" ht="15" customHeight="1" x14ac:dyDescent="0.25">
      <c r="B619" s="89"/>
      <c r="C619" s="45" t="s">
        <v>161</v>
      </c>
      <c r="D619" s="44">
        <v>4</v>
      </c>
      <c r="E619" s="43">
        <v>1.4603870025556772E-4</v>
      </c>
    </row>
    <row r="620" spans="2:5" ht="15" customHeight="1" x14ac:dyDescent="0.25">
      <c r="B620" s="89"/>
      <c r="C620" s="45" t="s">
        <v>160</v>
      </c>
      <c r="D620" s="44">
        <v>10</v>
      </c>
      <c r="E620" s="43">
        <v>3.6509675063891932E-4</v>
      </c>
    </row>
    <row r="621" spans="2:5" ht="15" customHeight="1" x14ac:dyDescent="0.25">
      <c r="B621" s="89"/>
      <c r="C621" s="45" t="s">
        <v>159</v>
      </c>
      <c r="D621" s="44">
        <v>32</v>
      </c>
      <c r="E621" s="43">
        <v>1.1683096020445418E-3</v>
      </c>
    </row>
    <row r="622" spans="2:5" ht="15" customHeight="1" x14ac:dyDescent="0.25">
      <c r="B622" s="89"/>
      <c r="C622" s="45" t="s">
        <v>158</v>
      </c>
      <c r="D622" s="44">
        <v>140</v>
      </c>
      <c r="E622" s="43">
        <v>5.11135450894487E-3</v>
      </c>
    </row>
    <row r="623" spans="2:5" ht="15" customHeight="1" x14ac:dyDescent="0.25">
      <c r="B623" s="89"/>
      <c r="C623" s="45" t="s">
        <v>157</v>
      </c>
      <c r="D623" s="44">
        <v>28</v>
      </c>
      <c r="E623" s="43">
        <v>1.022270901788974E-3</v>
      </c>
    </row>
    <row r="624" spans="2:5" ht="15" customHeight="1" x14ac:dyDescent="0.25">
      <c r="B624" s="89"/>
      <c r="C624" s="45" t="s">
        <v>156</v>
      </c>
      <c r="D624" s="44">
        <v>31</v>
      </c>
      <c r="E624" s="43">
        <v>1.13179992698065E-3</v>
      </c>
    </row>
    <row r="625" spans="2:5" ht="15" customHeight="1" x14ac:dyDescent="0.25">
      <c r="B625" s="89"/>
      <c r="C625" s="45" t="s">
        <v>155</v>
      </c>
      <c r="D625" s="44">
        <v>44</v>
      </c>
      <c r="E625" s="43">
        <v>1.606425702811245E-3</v>
      </c>
    </row>
    <row r="626" spans="2:5" ht="15" customHeight="1" x14ac:dyDescent="0.25">
      <c r="B626" s="89"/>
      <c r="C626" s="45" t="s">
        <v>154</v>
      </c>
      <c r="D626" s="44">
        <v>501</v>
      </c>
      <c r="E626" s="43">
        <v>1.8291347207009857E-2</v>
      </c>
    </row>
    <row r="627" spans="2:5" ht="15" customHeight="1" x14ac:dyDescent="0.25">
      <c r="B627" s="89"/>
      <c r="C627" s="45" t="s">
        <v>153</v>
      </c>
      <c r="D627" s="44">
        <v>26</v>
      </c>
      <c r="E627" s="43">
        <v>9.4925155166119017E-4</v>
      </c>
    </row>
    <row r="628" spans="2:5" ht="15" customHeight="1" x14ac:dyDescent="0.25">
      <c r="B628" s="89"/>
      <c r="C628" s="45" t="s">
        <v>152</v>
      </c>
      <c r="D628" s="44">
        <v>129</v>
      </c>
      <c r="E628" s="43">
        <v>4.7097480832420588E-3</v>
      </c>
    </row>
    <row r="629" spans="2:5" ht="15" customHeight="1" x14ac:dyDescent="0.25">
      <c r="B629" s="89"/>
      <c r="C629" s="45" t="s">
        <v>151</v>
      </c>
      <c r="D629" s="44">
        <v>301</v>
      </c>
      <c r="E629" s="43">
        <v>1.0989412194231472E-2</v>
      </c>
    </row>
    <row r="630" spans="2:5" ht="15" customHeight="1" x14ac:dyDescent="0.25">
      <c r="B630" s="89"/>
      <c r="C630" s="45" t="s">
        <v>150</v>
      </c>
      <c r="D630" s="44">
        <v>4</v>
      </c>
      <c r="E630" s="43">
        <v>1.4603870025556772E-4</v>
      </c>
    </row>
    <row r="631" spans="2:5" ht="15" customHeight="1" x14ac:dyDescent="0.25">
      <c r="B631" s="89"/>
      <c r="C631" s="45" t="s">
        <v>149</v>
      </c>
      <c r="D631" s="44">
        <v>3</v>
      </c>
      <c r="E631" s="43">
        <v>1.095290251916758E-4</v>
      </c>
    </row>
    <row r="632" spans="2:5" ht="15" customHeight="1" x14ac:dyDescent="0.25">
      <c r="B632" s="89"/>
      <c r="C632" s="45" t="s">
        <v>148</v>
      </c>
      <c r="D632" s="44">
        <v>4</v>
      </c>
      <c r="E632" s="43">
        <v>1.4603870025556772E-4</v>
      </c>
    </row>
    <row r="633" spans="2:5" ht="15" customHeight="1" x14ac:dyDescent="0.25">
      <c r="B633" s="89"/>
      <c r="C633" s="45" t="s">
        <v>146</v>
      </c>
      <c r="D633" s="44">
        <v>35</v>
      </c>
      <c r="E633" s="43">
        <v>1.2778386272362175E-3</v>
      </c>
    </row>
    <row r="634" spans="2:5" ht="15" customHeight="1" x14ac:dyDescent="0.25">
      <c r="B634" s="89"/>
      <c r="C634" s="45" t="s">
        <v>145</v>
      </c>
      <c r="D634" s="44">
        <v>47</v>
      </c>
      <c r="E634" s="43">
        <v>1.7159547280029208E-3</v>
      </c>
    </row>
    <row r="635" spans="2:5" ht="15" customHeight="1" x14ac:dyDescent="0.25">
      <c r="B635" s="89"/>
      <c r="C635" s="45" t="s">
        <v>143</v>
      </c>
      <c r="D635" s="44">
        <v>1</v>
      </c>
      <c r="E635" s="43">
        <v>3.6509675063891931E-5</v>
      </c>
    </row>
    <row r="636" spans="2:5" ht="15" customHeight="1" x14ac:dyDescent="0.25">
      <c r="B636" s="90"/>
      <c r="C636" s="42" t="s">
        <v>20</v>
      </c>
      <c r="D636" s="41">
        <v>1362</v>
      </c>
      <c r="E636" s="40">
        <v>4.9726177437020812E-2</v>
      </c>
    </row>
    <row r="637" spans="2:5" ht="15" customHeight="1" x14ac:dyDescent="0.25">
      <c r="B637" s="88" t="s">
        <v>105</v>
      </c>
      <c r="C637" s="45" t="s">
        <v>163</v>
      </c>
      <c r="D637" s="44">
        <v>1</v>
      </c>
      <c r="E637" s="43">
        <v>3.6509675063891931E-5</v>
      </c>
    </row>
    <row r="638" spans="2:5" ht="15" customHeight="1" x14ac:dyDescent="0.25">
      <c r="B638" s="89"/>
      <c r="C638" s="45" t="s">
        <v>162</v>
      </c>
      <c r="D638" s="44">
        <v>2</v>
      </c>
      <c r="E638" s="43">
        <v>7.3019350127783862E-5</v>
      </c>
    </row>
    <row r="639" spans="2:5" ht="15" customHeight="1" x14ac:dyDescent="0.25">
      <c r="B639" s="89"/>
      <c r="C639" s="45" t="s">
        <v>161</v>
      </c>
      <c r="D639" s="44">
        <v>1</v>
      </c>
      <c r="E639" s="43">
        <v>3.6509675063891931E-5</v>
      </c>
    </row>
    <row r="640" spans="2:5" ht="15" customHeight="1" x14ac:dyDescent="0.25">
      <c r="B640" s="89"/>
      <c r="C640" s="45" t="s">
        <v>160</v>
      </c>
      <c r="D640" s="44">
        <v>1</v>
      </c>
      <c r="E640" s="43">
        <v>3.6509675063891931E-5</v>
      </c>
    </row>
    <row r="641" spans="2:5" ht="15" customHeight="1" x14ac:dyDescent="0.25">
      <c r="B641" s="89"/>
      <c r="C641" s="45" t="s">
        <v>159</v>
      </c>
      <c r="D641" s="44">
        <v>13</v>
      </c>
      <c r="E641" s="43">
        <v>4.7462577583059508E-4</v>
      </c>
    </row>
    <row r="642" spans="2:5" ht="15" customHeight="1" x14ac:dyDescent="0.25">
      <c r="B642" s="89"/>
      <c r="C642" s="45" t="s">
        <v>158</v>
      </c>
      <c r="D642" s="44">
        <v>49</v>
      </c>
      <c r="E642" s="43">
        <v>1.7889740781307046E-3</v>
      </c>
    </row>
    <row r="643" spans="2:5" ht="15" customHeight="1" x14ac:dyDescent="0.25">
      <c r="B643" s="89"/>
      <c r="C643" s="45" t="s">
        <v>157</v>
      </c>
      <c r="D643" s="44">
        <v>2</v>
      </c>
      <c r="E643" s="43">
        <v>7.3019350127783862E-5</v>
      </c>
    </row>
    <row r="644" spans="2:5" ht="15" customHeight="1" x14ac:dyDescent="0.25">
      <c r="B644" s="89"/>
      <c r="C644" s="45" t="s">
        <v>156</v>
      </c>
      <c r="D644" s="44">
        <v>7</v>
      </c>
      <c r="E644" s="43">
        <v>2.5556772544724351E-4</v>
      </c>
    </row>
    <row r="645" spans="2:5" ht="15" customHeight="1" x14ac:dyDescent="0.25">
      <c r="B645" s="89"/>
      <c r="C645" s="45" t="s">
        <v>155</v>
      </c>
      <c r="D645" s="44">
        <v>4</v>
      </c>
      <c r="E645" s="43">
        <v>1.4603870025556772E-4</v>
      </c>
    </row>
    <row r="646" spans="2:5" ht="15" customHeight="1" x14ac:dyDescent="0.25">
      <c r="B646" s="89"/>
      <c r="C646" s="45" t="s">
        <v>154</v>
      </c>
      <c r="D646" s="44">
        <v>113</v>
      </c>
      <c r="E646" s="43">
        <v>4.1255932822197887E-3</v>
      </c>
    </row>
    <row r="647" spans="2:5" ht="15" customHeight="1" x14ac:dyDescent="0.25">
      <c r="B647" s="89"/>
      <c r="C647" s="45" t="s">
        <v>153</v>
      </c>
      <c r="D647" s="44">
        <v>18</v>
      </c>
      <c r="E647" s="43">
        <v>6.5717415115005477E-4</v>
      </c>
    </row>
    <row r="648" spans="2:5" ht="15" customHeight="1" x14ac:dyDescent="0.25">
      <c r="B648" s="89"/>
      <c r="C648" s="45" t="s">
        <v>152</v>
      </c>
      <c r="D648" s="44">
        <v>23</v>
      </c>
      <c r="E648" s="43">
        <v>8.3972252646951446E-4</v>
      </c>
    </row>
    <row r="649" spans="2:5" ht="15" customHeight="1" x14ac:dyDescent="0.25">
      <c r="B649" s="89"/>
      <c r="C649" s="45" t="s">
        <v>151</v>
      </c>
      <c r="D649" s="44">
        <v>87</v>
      </c>
      <c r="E649" s="43">
        <v>3.1763417305585981E-3</v>
      </c>
    </row>
    <row r="650" spans="2:5" ht="15" customHeight="1" x14ac:dyDescent="0.25">
      <c r="B650" s="89"/>
      <c r="C650" s="45" t="s">
        <v>150</v>
      </c>
      <c r="D650" s="44">
        <v>2</v>
      </c>
      <c r="E650" s="43">
        <v>7.3019350127783862E-5</v>
      </c>
    </row>
    <row r="651" spans="2:5" ht="15" customHeight="1" x14ac:dyDescent="0.25">
      <c r="B651" s="89"/>
      <c r="C651" s="45" t="s">
        <v>146</v>
      </c>
      <c r="D651" s="44">
        <v>9</v>
      </c>
      <c r="E651" s="43">
        <v>3.2858707557502739E-4</v>
      </c>
    </row>
    <row r="652" spans="2:5" ht="15" customHeight="1" x14ac:dyDescent="0.25">
      <c r="B652" s="89"/>
      <c r="C652" s="45" t="s">
        <v>145</v>
      </c>
      <c r="D652" s="44">
        <v>21</v>
      </c>
      <c r="E652" s="43">
        <v>7.6670317634173059E-4</v>
      </c>
    </row>
    <row r="653" spans="2:5" ht="15" customHeight="1" x14ac:dyDescent="0.25">
      <c r="B653" s="89"/>
      <c r="C653" s="45" t="s">
        <v>143</v>
      </c>
      <c r="D653" s="44">
        <v>1</v>
      </c>
      <c r="E653" s="43">
        <v>3.6509675063891931E-5</v>
      </c>
    </row>
    <row r="654" spans="2:5" ht="15" customHeight="1" x14ac:dyDescent="0.25">
      <c r="B654" s="90"/>
      <c r="C654" s="42" t="s">
        <v>20</v>
      </c>
      <c r="D654" s="41">
        <v>354</v>
      </c>
      <c r="E654" s="40">
        <v>1.2924424972617744E-2</v>
      </c>
    </row>
    <row r="655" spans="2:5" ht="15" customHeight="1" x14ac:dyDescent="0.25">
      <c r="B655" s="88" t="s">
        <v>90</v>
      </c>
      <c r="C655" s="45" t="s">
        <v>165</v>
      </c>
      <c r="D655" s="44">
        <v>1</v>
      </c>
      <c r="E655" s="43">
        <v>3.6509675063891931E-5</v>
      </c>
    </row>
    <row r="656" spans="2:5" ht="15" customHeight="1" x14ac:dyDescent="0.25">
      <c r="B656" s="89"/>
      <c r="C656" s="45" t="s">
        <v>162</v>
      </c>
      <c r="D656" s="44">
        <v>2</v>
      </c>
      <c r="E656" s="43">
        <v>7.3019350127783862E-5</v>
      </c>
    </row>
    <row r="657" spans="2:5" ht="15" customHeight="1" x14ac:dyDescent="0.25">
      <c r="B657" s="89"/>
      <c r="C657" s="45" t="s">
        <v>161</v>
      </c>
      <c r="D657" s="44">
        <v>1</v>
      </c>
      <c r="E657" s="43">
        <v>3.6509675063891931E-5</v>
      </c>
    </row>
    <row r="658" spans="2:5" ht="15" customHeight="1" x14ac:dyDescent="0.25">
      <c r="B658" s="89"/>
      <c r="C658" s="45" t="s">
        <v>159</v>
      </c>
      <c r="D658" s="44">
        <v>6</v>
      </c>
      <c r="E658" s="43">
        <v>2.190580503833516E-4</v>
      </c>
    </row>
    <row r="659" spans="2:5" ht="15" customHeight="1" x14ac:dyDescent="0.25">
      <c r="B659" s="89"/>
      <c r="C659" s="45" t="s">
        <v>158</v>
      </c>
      <c r="D659" s="44">
        <v>31</v>
      </c>
      <c r="E659" s="43">
        <v>1.13179992698065E-3</v>
      </c>
    </row>
    <row r="660" spans="2:5" ht="15" customHeight="1" x14ac:dyDescent="0.25">
      <c r="B660" s="89"/>
      <c r="C660" s="45" t="s">
        <v>157</v>
      </c>
      <c r="D660" s="44">
        <v>1</v>
      </c>
      <c r="E660" s="43">
        <v>3.6509675063891931E-5</v>
      </c>
    </row>
    <row r="661" spans="2:5" ht="15" customHeight="1" x14ac:dyDescent="0.25">
      <c r="B661" s="89"/>
      <c r="C661" s="45" t="s">
        <v>156</v>
      </c>
      <c r="D661" s="44">
        <v>3</v>
      </c>
      <c r="E661" s="43">
        <v>1.095290251916758E-4</v>
      </c>
    </row>
    <row r="662" spans="2:5" ht="15" customHeight="1" x14ac:dyDescent="0.25">
      <c r="B662" s="89"/>
      <c r="C662" s="45" t="s">
        <v>155</v>
      </c>
      <c r="D662" s="44">
        <v>3</v>
      </c>
      <c r="E662" s="43">
        <v>1.095290251916758E-4</v>
      </c>
    </row>
    <row r="663" spans="2:5" ht="15" customHeight="1" x14ac:dyDescent="0.25">
      <c r="B663" s="89"/>
      <c r="C663" s="45" t="s">
        <v>154</v>
      </c>
      <c r="D663" s="44">
        <v>142</v>
      </c>
      <c r="E663" s="43">
        <v>5.1843738590726541E-3</v>
      </c>
    </row>
    <row r="664" spans="2:5" ht="15" customHeight="1" x14ac:dyDescent="0.25">
      <c r="B664" s="89"/>
      <c r="C664" s="45" t="s">
        <v>153</v>
      </c>
      <c r="D664" s="44">
        <v>9</v>
      </c>
      <c r="E664" s="43">
        <v>3.2858707557502739E-4</v>
      </c>
    </row>
    <row r="665" spans="2:5" ht="15" customHeight="1" x14ac:dyDescent="0.25">
      <c r="B665" s="89"/>
      <c r="C665" s="45" t="s">
        <v>152</v>
      </c>
      <c r="D665" s="44">
        <v>21</v>
      </c>
      <c r="E665" s="43">
        <v>7.6670317634173059E-4</v>
      </c>
    </row>
    <row r="666" spans="2:5" ht="15" customHeight="1" x14ac:dyDescent="0.25">
      <c r="B666" s="89"/>
      <c r="C666" s="45" t="s">
        <v>151</v>
      </c>
      <c r="D666" s="44">
        <v>106</v>
      </c>
      <c r="E666" s="43">
        <v>3.8700255567725448E-3</v>
      </c>
    </row>
    <row r="667" spans="2:5" ht="15" customHeight="1" x14ac:dyDescent="0.25">
      <c r="B667" s="89"/>
      <c r="C667" s="45" t="s">
        <v>150</v>
      </c>
      <c r="D667" s="44">
        <v>1</v>
      </c>
      <c r="E667" s="43">
        <v>3.6509675063891931E-5</v>
      </c>
    </row>
    <row r="668" spans="2:5" ht="15" customHeight="1" x14ac:dyDescent="0.25">
      <c r="B668" s="89"/>
      <c r="C668" s="45" t="s">
        <v>149</v>
      </c>
      <c r="D668" s="44">
        <v>1</v>
      </c>
      <c r="E668" s="43">
        <v>3.6509675063891931E-5</v>
      </c>
    </row>
    <row r="669" spans="2:5" ht="15" customHeight="1" x14ac:dyDescent="0.25">
      <c r="B669" s="89"/>
      <c r="C669" s="45" t="s">
        <v>147</v>
      </c>
      <c r="D669" s="44">
        <v>1</v>
      </c>
      <c r="E669" s="43">
        <v>3.6509675063891931E-5</v>
      </c>
    </row>
    <row r="670" spans="2:5" ht="15" customHeight="1" x14ac:dyDescent="0.25">
      <c r="B670" s="89"/>
      <c r="C670" s="45" t="s">
        <v>146</v>
      </c>
      <c r="D670" s="44">
        <v>13</v>
      </c>
      <c r="E670" s="43">
        <v>4.7462577583059508E-4</v>
      </c>
    </row>
    <row r="671" spans="2:5" ht="15" customHeight="1" x14ac:dyDescent="0.25">
      <c r="B671" s="89"/>
      <c r="C671" s="45" t="s">
        <v>145</v>
      </c>
      <c r="D671" s="44">
        <v>27</v>
      </c>
      <c r="E671" s="43">
        <v>9.8576122672508221E-4</v>
      </c>
    </row>
    <row r="672" spans="2:5" ht="15" customHeight="1" x14ac:dyDescent="0.25">
      <c r="B672" s="89"/>
      <c r="C672" s="45" t="s">
        <v>143</v>
      </c>
      <c r="D672" s="44">
        <v>3</v>
      </c>
      <c r="E672" s="43">
        <v>1.095290251916758E-4</v>
      </c>
    </row>
    <row r="673" spans="2:5" ht="15" customHeight="1" x14ac:dyDescent="0.25">
      <c r="B673" s="90"/>
      <c r="C673" s="42" t="s">
        <v>20</v>
      </c>
      <c r="D673" s="41">
        <v>372</v>
      </c>
      <c r="E673" s="40">
        <v>1.3581599123767798E-2</v>
      </c>
    </row>
    <row r="674" spans="2:5" ht="15" customHeight="1" x14ac:dyDescent="0.25">
      <c r="B674" s="88" t="s">
        <v>92</v>
      </c>
      <c r="C674" s="45" t="s">
        <v>165</v>
      </c>
      <c r="D674" s="44">
        <v>3</v>
      </c>
      <c r="E674" s="43">
        <v>1.095290251916758E-4</v>
      </c>
    </row>
    <row r="675" spans="2:5" ht="15" customHeight="1" x14ac:dyDescent="0.25">
      <c r="B675" s="89"/>
      <c r="C675" s="45" t="s">
        <v>162</v>
      </c>
      <c r="D675" s="44">
        <v>4</v>
      </c>
      <c r="E675" s="43">
        <v>1.4603870025556772E-4</v>
      </c>
    </row>
    <row r="676" spans="2:5" ht="15" customHeight="1" x14ac:dyDescent="0.25">
      <c r="B676" s="89"/>
      <c r="C676" s="45" t="s">
        <v>160</v>
      </c>
      <c r="D676" s="44">
        <v>1</v>
      </c>
      <c r="E676" s="43">
        <v>3.6509675063891931E-5</v>
      </c>
    </row>
    <row r="677" spans="2:5" ht="15" customHeight="1" x14ac:dyDescent="0.25">
      <c r="B677" s="89"/>
      <c r="C677" s="45" t="s">
        <v>159</v>
      </c>
      <c r="D677" s="44">
        <v>7</v>
      </c>
      <c r="E677" s="43">
        <v>2.5556772544724351E-4</v>
      </c>
    </row>
    <row r="678" spans="2:5" ht="15" customHeight="1" x14ac:dyDescent="0.25">
      <c r="B678" s="89"/>
      <c r="C678" s="45" t="s">
        <v>158</v>
      </c>
      <c r="D678" s="44">
        <v>27</v>
      </c>
      <c r="E678" s="43">
        <v>9.8576122672508221E-4</v>
      </c>
    </row>
    <row r="679" spans="2:5" ht="15" customHeight="1" x14ac:dyDescent="0.25">
      <c r="B679" s="89"/>
      <c r="C679" s="45" t="s">
        <v>157</v>
      </c>
      <c r="D679" s="44">
        <v>7</v>
      </c>
      <c r="E679" s="43">
        <v>2.5556772544724351E-4</v>
      </c>
    </row>
    <row r="680" spans="2:5" ht="15" customHeight="1" x14ac:dyDescent="0.25">
      <c r="B680" s="89"/>
      <c r="C680" s="45" t="s">
        <v>156</v>
      </c>
      <c r="D680" s="44">
        <v>13</v>
      </c>
      <c r="E680" s="43">
        <v>4.7462577583059508E-4</v>
      </c>
    </row>
    <row r="681" spans="2:5" ht="15" customHeight="1" x14ac:dyDescent="0.25">
      <c r="B681" s="89"/>
      <c r="C681" s="45" t="s">
        <v>155</v>
      </c>
      <c r="D681" s="44">
        <v>17</v>
      </c>
      <c r="E681" s="43">
        <v>6.2066447608616284E-4</v>
      </c>
    </row>
    <row r="682" spans="2:5" ht="15" customHeight="1" x14ac:dyDescent="0.25">
      <c r="B682" s="89"/>
      <c r="C682" s="45" t="s">
        <v>154</v>
      </c>
      <c r="D682" s="44">
        <v>125</v>
      </c>
      <c r="E682" s="43">
        <v>4.5637093829864915E-3</v>
      </c>
    </row>
    <row r="683" spans="2:5" ht="15" customHeight="1" x14ac:dyDescent="0.25">
      <c r="B683" s="89"/>
      <c r="C683" s="45" t="s">
        <v>153</v>
      </c>
      <c r="D683" s="44">
        <v>17</v>
      </c>
      <c r="E683" s="43">
        <v>6.2066447608616284E-4</v>
      </c>
    </row>
    <row r="684" spans="2:5" ht="15" customHeight="1" x14ac:dyDescent="0.25">
      <c r="B684" s="89"/>
      <c r="C684" s="45" t="s">
        <v>152</v>
      </c>
      <c r="D684" s="44">
        <v>42</v>
      </c>
      <c r="E684" s="43">
        <v>1.5334063526834612E-3</v>
      </c>
    </row>
    <row r="685" spans="2:5" ht="15" customHeight="1" x14ac:dyDescent="0.25">
      <c r="B685" s="89"/>
      <c r="C685" s="45" t="s">
        <v>151</v>
      </c>
      <c r="D685" s="44">
        <v>126</v>
      </c>
      <c r="E685" s="43">
        <v>4.6002190580503831E-3</v>
      </c>
    </row>
    <row r="686" spans="2:5" ht="15" customHeight="1" x14ac:dyDescent="0.25">
      <c r="B686" s="89"/>
      <c r="C686" s="45" t="s">
        <v>150</v>
      </c>
      <c r="D686" s="44">
        <v>6</v>
      </c>
      <c r="E686" s="43">
        <v>2.190580503833516E-4</v>
      </c>
    </row>
    <row r="687" spans="2:5" ht="15" customHeight="1" x14ac:dyDescent="0.25">
      <c r="B687" s="89"/>
      <c r="C687" s="45" t="s">
        <v>149</v>
      </c>
      <c r="D687" s="44">
        <v>1</v>
      </c>
      <c r="E687" s="43">
        <v>3.6509675063891931E-5</v>
      </c>
    </row>
    <row r="688" spans="2:5" ht="15" customHeight="1" x14ac:dyDescent="0.25">
      <c r="B688" s="89"/>
      <c r="C688" s="45" t="s">
        <v>148</v>
      </c>
      <c r="D688" s="44">
        <v>3</v>
      </c>
      <c r="E688" s="43">
        <v>1.095290251916758E-4</v>
      </c>
    </row>
    <row r="689" spans="2:5" ht="15" customHeight="1" x14ac:dyDescent="0.25">
      <c r="B689" s="89"/>
      <c r="C689" s="45" t="s">
        <v>146</v>
      </c>
      <c r="D689" s="44">
        <v>21</v>
      </c>
      <c r="E689" s="43">
        <v>7.6670317634173059E-4</v>
      </c>
    </row>
    <row r="690" spans="2:5" ht="15" customHeight="1" x14ac:dyDescent="0.25">
      <c r="B690" s="89"/>
      <c r="C690" s="45" t="s">
        <v>145</v>
      </c>
      <c r="D690" s="44">
        <v>33</v>
      </c>
      <c r="E690" s="43">
        <v>1.2048192771084338E-3</v>
      </c>
    </row>
    <row r="691" spans="2:5" ht="15" customHeight="1" x14ac:dyDescent="0.25">
      <c r="B691" s="89"/>
      <c r="C691" s="45" t="s">
        <v>169</v>
      </c>
      <c r="D691" s="44">
        <v>1</v>
      </c>
      <c r="E691" s="43">
        <v>3.6509675063891931E-5</v>
      </c>
    </row>
    <row r="692" spans="2:5" ht="15" customHeight="1" x14ac:dyDescent="0.25">
      <c r="B692" s="89"/>
      <c r="C692" s="45" t="s">
        <v>142</v>
      </c>
      <c r="D692" s="44">
        <v>2</v>
      </c>
      <c r="E692" s="43">
        <v>7.3019350127783862E-5</v>
      </c>
    </row>
    <row r="693" spans="2:5" ht="15" customHeight="1" x14ac:dyDescent="0.25">
      <c r="B693" s="90"/>
      <c r="C693" s="42" t="s">
        <v>20</v>
      </c>
      <c r="D693" s="41">
        <v>456</v>
      </c>
      <c r="E693" s="40">
        <v>1.6648411829134721E-2</v>
      </c>
    </row>
    <row r="694" spans="2:5" ht="15" customHeight="1" x14ac:dyDescent="0.25">
      <c r="B694" s="88" t="s">
        <v>100</v>
      </c>
      <c r="C694" s="45" t="s">
        <v>164</v>
      </c>
      <c r="D694" s="44">
        <v>3</v>
      </c>
      <c r="E694" s="43">
        <v>1.095290251916758E-4</v>
      </c>
    </row>
    <row r="695" spans="2:5" ht="15" customHeight="1" x14ac:dyDescent="0.25">
      <c r="B695" s="89"/>
      <c r="C695" s="45" t="s">
        <v>161</v>
      </c>
      <c r="D695" s="44">
        <v>1</v>
      </c>
      <c r="E695" s="43">
        <v>3.6509675063891931E-5</v>
      </c>
    </row>
    <row r="696" spans="2:5" ht="15" customHeight="1" x14ac:dyDescent="0.25">
      <c r="B696" s="89"/>
      <c r="C696" s="45" t="s">
        <v>160</v>
      </c>
      <c r="D696" s="44">
        <v>1</v>
      </c>
      <c r="E696" s="43">
        <v>3.6509675063891931E-5</v>
      </c>
    </row>
    <row r="697" spans="2:5" ht="15" customHeight="1" x14ac:dyDescent="0.25">
      <c r="B697" s="89"/>
      <c r="C697" s="45" t="s">
        <v>159</v>
      </c>
      <c r="D697" s="44">
        <v>10</v>
      </c>
      <c r="E697" s="43">
        <v>3.6509675063891932E-4</v>
      </c>
    </row>
    <row r="698" spans="2:5" ht="15" customHeight="1" x14ac:dyDescent="0.25">
      <c r="B698" s="89"/>
      <c r="C698" s="45" t="s">
        <v>158</v>
      </c>
      <c r="D698" s="44">
        <v>6</v>
      </c>
      <c r="E698" s="43">
        <v>2.190580503833516E-4</v>
      </c>
    </row>
    <row r="699" spans="2:5" ht="15" customHeight="1" x14ac:dyDescent="0.25">
      <c r="B699" s="89"/>
      <c r="C699" s="45" t="s">
        <v>157</v>
      </c>
      <c r="D699" s="44">
        <v>3</v>
      </c>
      <c r="E699" s="43">
        <v>1.095290251916758E-4</v>
      </c>
    </row>
    <row r="700" spans="2:5" ht="15" customHeight="1" x14ac:dyDescent="0.25">
      <c r="B700" s="89"/>
      <c r="C700" s="45" t="s">
        <v>156</v>
      </c>
      <c r="D700" s="44">
        <v>2</v>
      </c>
      <c r="E700" s="43">
        <v>7.3019350127783862E-5</v>
      </c>
    </row>
    <row r="701" spans="2:5" ht="15" customHeight="1" x14ac:dyDescent="0.25">
      <c r="B701" s="89"/>
      <c r="C701" s="45" t="s">
        <v>155</v>
      </c>
      <c r="D701" s="44">
        <v>8</v>
      </c>
      <c r="E701" s="43">
        <v>2.9207740051113545E-4</v>
      </c>
    </row>
    <row r="702" spans="2:5" ht="15" customHeight="1" x14ac:dyDescent="0.25">
      <c r="B702" s="89"/>
      <c r="C702" s="45" t="s">
        <v>154</v>
      </c>
      <c r="D702" s="44">
        <v>62</v>
      </c>
      <c r="E702" s="43">
        <v>2.2635998539612999E-3</v>
      </c>
    </row>
    <row r="703" spans="2:5" ht="15" customHeight="1" x14ac:dyDescent="0.25">
      <c r="B703" s="89"/>
      <c r="C703" s="45" t="s">
        <v>153</v>
      </c>
      <c r="D703" s="44">
        <v>19</v>
      </c>
      <c r="E703" s="43">
        <v>6.9368382621394671E-4</v>
      </c>
    </row>
    <row r="704" spans="2:5" ht="15" customHeight="1" x14ac:dyDescent="0.25">
      <c r="B704" s="89"/>
      <c r="C704" s="45" t="s">
        <v>152</v>
      </c>
      <c r="D704" s="44">
        <v>10</v>
      </c>
      <c r="E704" s="43">
        <v>3.6509675063891932E-4</v>
      </c>
    </row>
    <row r="705" spans="2:5" ht="15" customHeight="1" x14ac:dyDescent="0.25">
      <c r="B705" s="89"/>
      <c r="C705" s="45" t="s">
        <v>151</v>
      </c>
      <c r="D705" s="44">
        <v>68</v>
      </c>
      <c r="E705" s="43">
        <v>2.4826579043446513E-3</v>
      </c>
    </row>
    <row r="706" spans="2:5" ht="15" customHeight="1" x14ac:dyDescent="0.25">
      <c r="B706" s="89"/>
      <c r="C706" s="45" t="s">
        <v>150</v>
      </c>
      <c r="D706" s="44">
        <v>3</v>
      </c>
      <c r="E706" s="43">
        <v>1.095290251916758E-4</v>
      </c>
    </row>
    <row r="707" spans="2:5" ht="15" customHeight="1" x14ac:dyDescent="0.25">
      <c r="B707" s="89"/>
      <c r="C707" s="45" t="s">
        <v>146</v>
      </c>
      <c r="D707" s="44">
        <v>7</v>
      </c>
      <c r="E707" s="43">
        <v>2.5556772544724351E-4</v>
      </c>
    </row>
    <row r="708" spans="2:5" ht="15" customHeight="1" x14ac:dyDescent="0.25">
      <c r="B708" s="89"/>
      <c r="C708" s="45" t="s">
        <v>145</v>
      </c>
      <c r="D708" s="44">
        <v>56</v>
      </c>
      <c r="E708" s="43">
        <v>2.0445418035779481E-3</v>
      </c>
    </row>
    <row r="709" spans="2:5" ht="15" customHeight="1" x14ac:dyDescent="0.25">
      <c r="B709" s="89"/>
      <c r="C709" s="45" t="s">
        <v>143</v>
      </c>
      <c r="D709" s="44">
        <v>1</v>
      </c>
      <c r="E709" s="43">
        <v>3.6509675063891931E-5</v>
      </c>
    </row>
    <row r="710" spans="2:5" ht="15" customHeight="1" x14ac:dyDescent="0.25">
      <c r="B710" s="89"/>
      <c r="C710" s="45" t="s">
        <v>142</v>
      </c>
      <c r="D710" s="44">
        <v>1</v>
      </c>
      <c r="E710" s="43">
        <v>3.6509675063891931E-5</v>
      </c>
    </row>
    <row r="711" spans="2:5" ht="15" customHeight="1" x14ac:dyDescent="0.25">
      <c r="B711" s="90"/>
      <c r="C711" s="42" t="s">
        <v>20</v>
      </c>
      <c r="D711" s="41">
        <v>261</v>
      </c>
      <c r="E711" s="40">
        <v>9.5290251916757933E-3</v>
      </c>
    </row>
    <row r="712" spans="2:5" ht="15" customHeight="1" x14ac:dyDescent="0.25">
      <c r="B712" s="88" t="s">
        <v>112</v>
      </c>
      <c r="C712" s="45" t="s">
        <v>165</v>
      </c>
      <c r="D712" s="44">
        <v>6</v>
      </c>
      <c r="E712" s="43">
        <v>2.190580503833516E-4</v>
      </c>
    </row>
    <row r="713" spans="2:5" ht="15" customHeight="1" x14ac:dyDescent="0.25">
      <c r="B713" s="89"/>
      <c r="C713" s="45" t="s">
        <v>164</v>
      </c>
      <c r="D713" s="44">
        <v>2</v>
      </c>
      <c r="E713" s="43">
        <v>7.3019350127783862E-5</v>
      </c>
    </row>
    <row r="714" spans="2:5" ht="15" customHeight="1" x14ac:dyDescent="0.25">
      <c r="B714" s="89"/>
      <c r="C714" s="45" t="s">
        <v>163</v>
      </c>
      <c r="D714" s="44">
        <v>2</v>
      </c>
      <c r="E714" s="43">
        <v>7.3019350127783862E-5</v>
      </c>
    </row>
    <row r="715" spans="2:5" ht="15" customHeight="1" x14ac:dyDescent="0.25">
      <c r="B715" s="89"/>
      <c r="C715" s="45" t="s">
        <v>162</v>
      </c>
      <c r="D715" s="44">
        <v>5</v>
      </c>
      <c r="E715" s="43">
        <v>1.8254837531945966E-4</v>
      </c>
    </row>
    <row r="716" spans="2:5" ht="15" customHeight="1" x14ac:dyDescent="0.25">
      <c r="B716" s="89"/>
      <c r="C716" s="45" t="s">
        <v>161</v>
      </c>
      <c r="D716" s="44">
        <v>4</v>
      </c>
      <c r="E716" s="43">
        <v>1.4603870025556772E-4</v>
      </c>
    </row>
    <row r="717" spans="2:5" ht="15" customHeight="1" x14ac:dyDescent="0.25">
      <c r="B717" s="89"/>
      <c r="C717" s="45" t="s">
        <v>160</v>
      </c>
      <c r="D717" s="44">
        <v>5</v>
      </c>
      <c r="E717" s="43">
        <v>1.8254837531945966E-4</v>
      </c>
    </row>
    <row r="718" spans="2:5" ht="15" customHeight="1" x14ac:dyDescent="0.25">
      <c r="B718" s="89"/>
      <c r="C718" s="45" t="s">
        <v>159</v>
      </c>
      <c r="D718" s="44">
        <v>58</v>
      </c>
      <c r="E718" s="43">
        <v>2.1175611537057322E-3</v>
      </c>
    </row>
    <row r="719" spans="2:5" ht="15" customHeight="1" x14ac:dyDescent="0.25">
      <c r="B719" s="89"/>
      <c r="C719" s="45" t="s">
        <v>158</v>
      </c>
      <c r="D719" s="44">
        <v>60</v>
      </c>
      <c r="E719" s="43">
        <v>2.1905805038335158E-3</v>
      </c>
    </row>
    <row r="720" spans="2:5" ht="15" customHeight="1" x14ac:dyDescent="0.25">
      <c r="B720" s="89"/>
      <c r="C720" s="45" t="s">
        <v>157</v>
      </c>
      <c r="D720" s="44">
        <v>10</v>
      </c>
      <c r="E720" s="43">
        <v>3.6509675063891932E-4</v>
      </c>
    </row>
    <row r="721" spans="2:5" ht="15" customHeight="1" x14ac:dyDescent="0.25">
      <c r="B721" s="89"/>
      <c r="C721" s="45" t="s">
        <v>156</v>
      </c>
      <c r="D721" s="44">
        <v>22</v>
      </c>
      <c r="E721" s="43">
        <v>8.0321285140562252E-4</v>
      </c>
    </row>
    <row r="722" spans="2:5" ht="15" customHeight="1" x14ac:dyDescent="0.25">
      <c r="B722" s="89"/>
      <c r="C722" s="45" t="s">
        <v>155</v>
      </c>
      <c r="D722" s="44">
        <v>78</v>
      </c>
      <c r="E722" s="43">
        <v>2.8477546549835705E-3</v>
      </c>
    </row>
    <row r="723" spans="2:5" ht="15" customHeight="1" x14ac:dyDescent="0.25">
      <c r="B723" s="89"/>
      <c r="C723" s="45" t="s">
        <v>154</v>
      </c>
      <c r="D723" s="44">
        <v>243</v>
      </c>
      <c r="E723" s="43">
        <v>8.8718510405257391E-3</v>
      </c>
    </row>
    <row r="724" spans="2:5" ht="15" customHeight="1" x14ac:dyDescent="0.25">
      <c r="B724" s="89"/>
      <c r="C724" s="45" t="s">
        <v>153</v>
      </c>
      <c r="D724" s="44">
        <v>45</v>
      </c>
      <c r="E724" s="43">
        <v>1.6429353778751369E-3</v>
      </c>
    </row>
    <row r="725" spans="2:5" ht="15" customHeight="1" x14ac:dyDescent="0.25">
      <c r="B725" s="89"/>
      <c r="C725" s="45" t="s">
        <v>152</v>
      </c>
      <c r="D725" s="44">
        <v>73</v>
      </c>
      <c r="E725" s="43">
        <v>2.6652062796641111E-3</v>
      </c>
    </row>
    <row r="726" spans="2:5" ht="15" customHeight="1" x14ac:dyDescent="0.25">
      <c r="B726" s="89"/>
      <c r="C726" s="45" t="s">
        <v>151</v>
      </c>
      <c r="D726" s="44">
        <v>253</v>
      </c>
      <c r="E726" s="43">
        <v>9.2369477911646587E-3</v>
      </c>
    </row>
    <row r="727" spans="2:5" ht="15" customHeight="1" x14ac:dyDescent="0.25">
      <c r="B727" s="89"/>
      <c r="C727" s="45" t="s">
        <v>150</v>
      </c>
      <c r="D727" s="44">
        <v>6</v>
      </c>
      <c r="E727" s="43">
        <v>2.190580503833516E-4</v>
      </c>
    </row>
    <row r="728" spans="2:5" ht="15" customHeight="1" x14ac:dyDescent="0.25">
      <c r="B728" s="89"/>
      <c r="C728" s="45" t="s">
        <v>149</v>
      </c>
      <c r="D728" s="44">
        <v>7</v>
      </c>
      <c r="E728" s="43">
        <v>2.5556772544724351E-4</v>
      </c>
    </row>
    <row r="729" spans="2:5" ht="15" customHeight="1" x14ac:dyDescent="0.25">
      <c r="B729" s="89"/>
      <c r="C729" s="45" t="s">
        <v>148</v>
      </c>
      <c r="D729" s="44">
        <v>1</v>
      </c>
      <c r="E729" s="43">
        <v>3.6509675063891931E-5</v>
      </c>
    </row>
    <row r="730" spans="2:5" ht="15" customHeight="1" x14ac:dyDescent="0.25">
      <c r="B730" s="89"/>
      <c r="C730" s="45" t="s">
        <v>147</v>
      </c>
      <c r="D730" s="44">
        <v>4</v>
      </c>
      <c r="E730" s="43">
        <v>1.4603870025556772E-4</v>
      </c>
    </row>
    <row r="731" spans="2:5" ht="15" customHeight="1" x14ac:dyDescent="0.25">
      <c r="B731" s="89"/>
      <c r="C731" s="45" t="s">
        <v>146</v>
      </c>
      <c r="D731" s="44">
        <v>27</v>
      </c>
      <c r="E731" s="43">
        <v>9.8576122672508221E-4</v>
      </c>
    </row>
    <row r="732" spans="2:5" ht="15" customHeight="1" x14ac:dyDescent="0.25">
      <c r="B732" s="89"/>
      <c r="C732" s="45" t="s">
        <v>145</v>
      </c>
      <c r="D732" s="44">
        <v>55</v>
      </c>
      <c r="E732" s="43">
        <v>2.008032128514056E-3</v>
      </c>
    </row>
    <row r="733" spans="2:5" ht="15" customHeight="1" x14ac:dyDescent="0.25">
      <c r="B733" s="89"/>
      <c r="C733" s="45" t="s">
        <v>169</v>
      </c>
      <c r="D733" s="44">
        <v>3</v>
      </c>
      <c r="E733" s="43">
        <v>1.095290251916758E-4</v>
      </c>
    </row>
    <row r="734" spans="2:5" ht="15" customHeight="1" x14ac:dyDescent="0.25">
      <c r="B734" s="89"/>
      <c r="C734" s="45" t="s">
        <v>143</v>
      </c>
      <c r="D734" s="44">
        <v>3</v>
      </c>
      <c r="E734" s="43">
        <v>1.095290251916758E-4</v>
      </c>
    </row>
    <row r="735" spans="2:5" ht="15" customHeight="1" x14ac:dyDescent="0.25">
      <c r="B735" s="90"/>
      <c r="C735" s="42" t="s">
        <v>20</v>
      </c>
      <c r="D735" s="41">
        <v>972</v>
      </c>
      <c r="E735" s="40">
        <v>3.5487404162102956E-2</v>
      </c>
    </row>
    <row r="736" spans="2:5" ht="15" customHeight="1" x14ac:dyDescent="0.25">
      <c r="B736" s="88" t="s">
        <v>96</v>
      </c>
      <c r="C736" s="45" t="s">
        <v>165</v>
      </c>
      <c r="D736" s="44">
        <v>4</v>
      </c>
      <c r="E736" s="43">
        <v>1.4603870025556772E-4</v>
      </c>
    </row>
    <row r="737" spans="2:5" ht="15" customHeight="1" x14ac:dyDescent="0.25">
      <c r="B737" s="89"/>
      <c r="C737" s="45" t="s">
        <v>164</v>
      </c>
      <c r="D737" s="44">
        <v>2</v>
      </c>
      <c r="E737" s="43">
        <v>7.3019350127783862E-5</v>
      </c>
    </row>
    <row r="738" spans="2:5" ht="15" customHeight="1" x14ac:dyDescent="0.25">
      <c r="B738" s="89"/>
      <c r="C738" s="45" t="s">
        <v>162</v>
      </c>
      <c r="D738" s="44">
        <v>2</v>
      </c>
      <c r="E738" s="43">
        <v>7.3019350127783862E-5</v>
      </c>
    </row>
    <row r="739" spans="2:5" ht="15" customHeight="1" x14ac:dyDescent="0.25">
      <c r="B739" s="89"/>
      <c r="C739" s="45" t="s">
        <v>161</v>
      </c>
      <c r="D739" s="44">
        <v>2</v>
      </c>
      <c r="E739" s="43">
        <v>7.3019350127783862E-5</v>
      </c>
    </row>
    <row r="740" spans="2:5" ht="15" customHeight="1" x14ac:dyDescent="0.25">
      <c r="B740" s="89"/>
      <c r="C740" s="45" t="s">
        <v>160</v>
      </c>
      <c r="D740" s="44">
        <v>4</v>
      </c>
      <c r="E740" s="43">
        <v>1.4603870025556772E-4</v>
      </c>
    </row>
    <row r="741" spans="2:5" ht="15" customHeight="1" x14ac:dyDescent="0.25">
      <c r="B741" s="89"/>
      <c r="C741" s="45" t="s">
        <v>159</v>
      </c>
      <c r="D741" s="44">
        <v>15</v>
      </c>
      <c r="E741" s="43">
        <v>5.4764512595837896E-4</v>
      </c>
    </row>
    <row r="742" spans="2:5" ht="15" customHeight="1" x14ac:dyDescent="0.25">
      <c r="B742" s="89"/>
      <c r="C742" s="45" t="s">
        <v>158</v>
      </c>
      <c r="D742" s="44">
        <v>48</v>
      </c>
      <c r="E742" s="43">
        <v>1.7524644030668128E-3</v>
      </c>
    </row>
    <row r="743" spans="2:5" ht="15" customHeight="1" x14ac:dyDescent="0.25">
      <c r="B743" s="89"/>
      <c r="C743" s="45" t="s">
        <v>157</v>
      </c>
      <c r="D743" s="44">
        <v>8</v>
      </c>
      <c r="E743" s="43">
        <v>2.9207740051113545E-4</v>
      </c>
    </row>
    <row r="744" spans="2:5" ht="15" customHeight="1" x14ac:dyDescent="0.25">
      <c r="B744" s="89"/>
      <c r="C744" s="45" t="s">
        <v>156</v>
      </c>
      <c r="D744" s="44">
        <v>16</v>
      </c>
      <c r="E744" s="43">
        <v>5.841548010222709E-4</v>
      </c>
    </row>
    <row r="745" spans="2:5" ht="15" customHeight="1" x14ac:dyDescent="0.25">
      <c r="B745" s="89"/>
      <c r="C745" s="45" t="s">
        <v>155</v>
      </c>
      <c r="D745" s="44">
        <v>9</v>
      </c>
      <c r="E745" s="43">
        <v>3.2858707557502739E-4</v>
      </c>
    </row>
    <row r="746" spans="2:5" ht="15" customHeight="1" x14ac:dyDescent="0.25">
      <c r="B746" s="89"/>
      <c r="C746" s="45" t="s">
        <v>154</v>
      </c>
      <c r="D746" s="44">
        <v>183</v>
      </c>
      <c r="E746" s="43">
        <v>6.6812705366922232E-3</v>
      </c>
    </row>
    <row r="747" spans="2:5" ht="15" customHeight="1" x14ac:dyDescent="0.25">
      <c r="B747" s="89"/>
      <c r="C747" s="45" t="s">
        <v>153</v>
      </c>
      <c r="D747" s="44">
        <v>20</v>
      </c>
      <c r="E747" s="43">
        <v>7.3019350127783865E-4</v>
      </c>
    </row>
    <row r="748" spans="2:5" ht="15" customHeight="1" x14ac:dyDescent="0.25">
      <c r="B748" s="89"/>
      <c r="C748" s="45" t="s">
        <v>152</v>
      </c>
      <c r="D748" s="44">
        <v>45</v>
      </c>
      <c r="E748" s="43">
        <v>1.6429353778751369E-3</v>
      </c>
    </row>
    <row r="749" spans="2:5" ht="15" customHeight="1" x14ac:dyDescent="0.25">
      <c r="B749" s="89"/>
      <c r="C749" s="45" t="s">
        <v>151</v>
      </c>
      <c r="D749" s="44">
        <v>161</v>
      </c>
      <c r="E749" s="43">
        <v>5.8780576852866008E-3</v>
      </c>
    </row>
    <row r="750" spans="2:5" ht="15" customHeight="1" x14ac:dyDescent="0.25">
      <c r="B750" s="89"/>
      <c r="C750" s="45" t="s">
        <v>150</v>
      </c>
      <c r="D750" s="44">
        <v>5</v>
      </c>
      <c r="E750" s="43">
        <v>1.8254837531945966E-4</v>
      </c>
    </row>
    <row r="751" spans="2:5" ht="15" customHeight="1" x14ac:dyDescent="0.25">
      <c r="B751" s="89"/>
      <c r="C751" s="45" t="s">
        <v>149</v>
      </c>
      <c r="D751" s="44">
        <v>4</v>
      </c>
      <c r="E751" s="43">
        <v>1.4603870025556772E-4</v>
      </c>
    </row>
    <row r="752" spans="2:5" ht="15" customHeight="1" x14ac:dyDescent="0.25">
      <c r="B752" s="89"/>
      <c r="C752" s="45" t="s">
        <v>147</v>
      </c>
      <c r="D752" s="44">
        <v>2</v>
      </c>
      <c r="E752" s="43">
        <v>7.3019350127783862E-5</v>
      </c>
    </row>
    <row r="753" spans="2:5" ht="15" customHeight="1" x14ac:dyDescent="0.25">
      <c r="B753" s="89"/>
      <c r="C753" s="45" t="s">
        <v>146</v>
      </c>
      <c r="D753" s="44">
        <v>9</v>
      </c>
      <c r="E753" s="43">
        <v>3.2858707557502739E-4</v>
      </c>
    </row>
    <row r="754" spans="2:5" ht="15" customHeight="1" x14ac:dyDescent="0.25">
      <c r="B754" s="89"/>
      <c r="C754" s="45" t="s">
        <v>145</v>
      </c>
      <c r="D754" s="44">
        <v>52</v>
      </c>
      <c r="E754" s="43">
        <v>1.8985031033223803E-3</v>
      </c>
    </row>
    <row r="755" spans="2:5" ht="15" customHeight="1" x14ac:dyDescent="0.25">
      <c r="B755" s="89"/>
      <c r="C755" s="45" t="s">
        <v>143</v>
      </c>
      <c r="D755" s="44">
        <v>8</v>
      </c>
      <c r="E755" s="43">
        <v>2.9207740051113545E-4</v>
      </c>
    </row>
    <row r="756" spans="2:5" ht="15" customHeight="1" x14ac:dyDescent="0.25">
      <c r="B756" s="89"/>
      <c r="C756" s="45" t="s">
        <v>142</v>
      </c>
      <c r="D756" s="44">
        <v>5</v>
      </c>
      <c r="E756" s="43">
        <v>1.8254837531945966E-4</v>
      </c>
    </row>
    <row r="757" spans="2:5" ht="15" customHeight="1" x14ac:dyDescent="0.25">
      <c r="B757" s="90"/>
      <c r="C757" s="42" t="s">
        <v>20</v>
      </c>
      <c r="D757" s="41">
        <v>604</v>
      </c>
      <c r="E757" s="40">
        <v>2.2051843738590725E-2</v>
      </c>
    </row>
    <row r="758" spans="2:5" ht="15" customHeight="1" x14ac:dyDescent="0.25">
      <c r="B758" s="88" t="s">
        <v>109</v>
      </c>
      <c r="C758" s="45" t="s">
        <v>165</v>
      </c>
      <c r="D758" s="44">
        <v>3</v>
      </c>
      <c r="E758" s="43">
        <v>1.095290251916758E-4</v>
      </c>
    </row>
    <row r="759" spans="2:5" ht="15" customHeight="1" x14ac:dyDescent="0.25">
      <c r="B759" s="89"/>
      <c r="C759" s="45" t="s">
        <v>164</v>
      </c>
      <c r="D759" s="44">
        <v>3</v>
      </c>
      <c r="E759" s="43">
        <v>1.095290251916758E-4</v>
      </c>
    </row>
    <row r="760" spans="2:5" ht="15" customHeight="1" x14ac:dyDescent="0.25">
      <c r="B760" s="89"/>
      <c r="C760" s="45" t="s">
        <v>162</v>
      </c>
      <c r="D760" s="44">
        <v>5</v>
      </c>
      <c r="E760" s="43">
        <v>1.8254837531945966E-4</v>
      </c>
    </row>
    <row r="761" spans="2:5" ht="15" customHeight="1" x14ac:dyDescent="0.25">
      <c r="B761" s="89"/>
      <c r="C761" s="45" t="s">
        <v>161</v>
      </c>
      <c r="D761" s="44">
        <v>4</v>
      </c>
      <c r="E761" s="43">
        <v>1.4603870025556772E-4</v>
      </c>
    </row>
    <row r="762" spans="2:5" ht="15" customHeight="1" x14ac:dyDescent="0.25">
      <c r="B762" s="89"/>
      <c r="C762" s="45" t="s">
        <v>160</v>
      </c>
      <c r="D762" s="44">
        <v>1</v>
      </c>
      <c r="E762" s="43">
        <v>3.6509675063891931E-5</v>
      </c>
    </row>
    <row r="763" spans="2:5" ht="15" customHeight="1" x14ac:dyDescent="0.25">
      <c r="B763" s="89"/>
      <c r="C763" s="45" t="s">
        <v>159</v>
      </c>
      <c r="D763" s="44">
        <v>29</v>
      </c>
      <c r="E763" s="43">
        <v>1.0587805768528661E-3</v>
      </c>
    </row>
    <row r="764" spans="2:5" ht="15" customHeight="1" x14ac:dyDescent="0.25">
      <c r="B764" s="89"/>
      <c r="C764" s="45" t="s">
        <v>158</v>
      </c>
      <c r="D764" s="44">
        <v>46</v>
      </c>
      <c r="E764" s="43">
        <v>1.6794450529390289E-3</v>
      </c>
    </row>
    <row r="765" spans="2:5" ht="15" customHeight="1" x14ac:dyDescent="0.25">
      <c r="B765" s="89"/>
      <c r="C765" s="45" t="s">
        <v>157</v>
      </c>
      <c r="D765" s="44">
        <v>8</v>
      </c>
      <c r="E765" s="43">
        <v>2.9207740051113545E-4</v>
      </c>
    </row>
    <row r="766" spans="2:5" ht="15" customHeight="1" x14ac:dyDescent="0.25">
      <c r="B766" s="89"/>
      <c r="C766" s="45" t="s">
        <v>156</v>
      </c>
      <c r="D766" s="44">
        <v>12</v>
      </c>
      <c r="E766" s="43">
        <v>4.381161007667032E-4</v>
      </c>
    </row>
    <row r="767" spans="2:5" ht="15" customHeight="1" x14ac:dyDescent="0.25">
      <c r="B767" s="89"/>
      <c r="C767" s="45" t="s">
        <v>155</v>
      </c>
      <c r="D767" s="44">
        <v>19</v>
      </c>
      <c r="E767" s="43">
        <v>6.9368382621394671E-4</v>
      </c>
    </row>
    <row r="768" spans="2:5" ht="15" customHeight="1" x14ac:dyDescent="0.25">
      <c r="B768" s="89"/>
      <c r="C768" s="45" t="s">
        <v>154</v>
      </c>
      <c r="D768" s="44">
        <v>231</v>
      </c>
      <c r="E768" s="43">
        <v>8.4337349397590362E-3</v>
      </c>
    </row>
    <row r="769" spans="2:5" ht="15" customHeight="1" x14ac:dyDescent="0.25">
      <c r="B769" s="89"/>
      <c r="C769" s="45" t="s">
        <v>153</v>
      </c>
      <c r="D769" s="44">
        <v>21</v>
      </c>
      <c r="E769" s="43">
        <v>7.6670317634173059E-4</v>
      </c>
    </row>
    <row r="770" spans="2:5" ht="15" customHeight="1" x14ac:dyDescent="0.25">
      <c r="B770" s="89"/>
      <c r="C770" s="45" t="s">
        <v>152</v>
      </c>
      <c r="D770" s="44">
        <v>54</v>
      </c>
      <c r="E770" s="43">
        <v>1.9715224534501644E-3</v>
      </c>
    </row>
    <row r="771" spans="2:5" ht="15" customHeight="1" x14ac:dyDescent="0.25">
      <c r="B771" s="89"/>
      <c r="C771" s="45" t="s">
        <v>151</v>
      </c>
      <c r="D771" s="44">
        <v>130</v>
      </c>
      <c r="E771" s="43">
        <v>4.7462577583059513E-3</v>
      </c>
    </row>
    <row r="772" spans="2:5" ht="15" customHeight="1" x14ac:dyDescent="0.25">
      <c r="B772" s="89"/>
      <c r="C772" s="45" t="s">
        <v>150</v>
      </c>
      <c r="D772" s="44">
        <v>2</v>
      </c>
      <c r="E772" s="43">
        <v>7.3019350127783862E-5</v>
      </c>
    </row>
    <row r="773" spans="2:5" ht="15" customHeight="1" x14ac:dyDescent="0.25">
      <c r="B773" s="89"/>
      <c r="C773" s="45" t="s">
        <v>149</v>
      </c>
      <c r="D773" s="44">
        <v>2</v>
      </c>
      <c r="E773" s="43">
        <v>7.3019350127783862E-5</v>
      </c>
    </row>
    <row r="774" spans="2:5" ht="15" customHeight="1" x14ac:dyDescent="0.25">
      <c r="B774" s="89"/>
      <c r="C774" s="45" t="s">
        <v>146</v>
      </c>
      <c r="D774" s="44">
        <v>14</v>
      </c>
      <c r="E774" s="43">
        <v>5.1113545089448702E-4</v>
      </c>
    </row>
    <row r="775" spans="2:5" ht="15" customHeight="1" x14ac:dyDescent="0.25">
      <c r="B775" s="89"/>
      <c r="C775" s="45" t="s">
        <v>145</v>
      </c>
      <c r="D775" s="44">
        <v>38</v>
      </c>
      <c r="E775" s="43">
        <v>1.3873676524278934E-3</v>
      </c>
    </row>
    <row r="776" spans="2:5" ht="15" customHeight="1" x14ac:dyDescent="0.25">
      <c r="B776" s="89"/>
      <c r="C776" s="45" t="s">
        <v>169</v>
      </c>
      <c r="D776" s="44">
        <v>2</v>
      </c>
      <c r="E776" s="43">
        <v>7.3019350127783862E-5</v>
      </c>
    </row>
    <row r="777" spans="2:5" ht="15" customHeight="1" x14ac:dyDescent="0.25">
      <c r="B777" s="89"/>
      <c r="C777" s="45" t="s">
        <v>143</v>
      </c>
      <c r="D777" s="44">
        <v>5</v>
      </c>
      <c r="E777" s="43">
        <v>1.8254837531945966E-4</v>
      </c>
    </row>
    <row r="778" spans="2:5" ht="15" customHeight="1" x14ac:dyDescent="0.25">
      <c r="B778" s="89"/>
      <c r="C778" s="45" t="s">
        <v>142</v>
      </c>
      <c r="D778" s="44">
        <v>2</v>
      </c>
      <c r="E778" s="43">
        <v>7.3019350127783862E-5</v>
      </c>
    </row>
    <row r="779" spans="2:5" ht="15" customHeight="1" x14ac:dyDescent="0.25">
      <c r="B779" s="90"/>
      <c r="C779" s="42" t="s">
        <v>20</v>
      </c>
      <c r="D779" s="41">
        <v>631</v>
      </c>
      <c r="E779" s="40">
        <v>2.303760496531581E-2</v>
      </c>
    </row>
    <row r="780" spans="2:5" ht="15" customHeight="1" x14ac:dyDescent="0.25">
      <c r="B780" s="88" t="s">
        <v>170</v>
      </c>
      <c r="C780" s="45" t="s">
        <v>165</v>
      </c>
      <c r="D780" s="44">
        <v>2</v>
      </c>
      <c r="E780" s="43">
        <v>7.3019350127783862E-5</v>
      </c>
    </row>
    <row r="781" spans="2:5" ht="15" customHeight="1" x14ac:dyDescent="0.25">
      <c r="B781" s="89"/>
      <c r="C781" s="45" t="s">
        <v>164</v>
      </c>
      <c r="D781" s="44">
        <v>1</v>
      </c>
      <c r="E781" s="43">
        <v>3.6509675063891931E-5</v>
      </c>
    </row>
    <row r="782" spans="2:5" ht="15" customHeight="1" x14ac:dyDescent="0.25">
      <c r="B782" s="89"/>
      <c r="C782" s="45" t="s">
        <v>163</v>
      </c>
      <c r="D782" s="44">
        <v>2</v>
      </c>
      <c r="E782" s="43">
        <v>7.3019350127783862E-5</v>
      </c>
    </row>
    <row r="783" spans="2:5" ht="15" customHeight="1" x14ac:dyDescent="0.25">
      <c r="B783" s="89"/>
      <c r="C783" s="45" t="s">
        <v>162</v>
      </c>
      <c r="D783" s="44">
        <v>5</v>
      </c>
      <c r="E783" s="43">
        <v>1.8254837531945966E-4</v>
      </c>
    </row>
    <row r="784" spans="2:5" ht="15" customHeight="1" x14ac:dyDescent="0.25">
      <c r="B784" s="89"/>
      <c r="C784" s="45" t="s">
        <v>161</v>
      </c>
      <c r="D784" s="44">
        <v>3</v>
      </c>
      <c r="E784" s="43">
        <v>1.095290251916758E-4</v>
      </c>
    </row>
    <row r="785" spans="2:5" ht="15" customHeight="1" x14ac:dyDescent="0.25">
      <c r="B785" s="89"/>
      <c r="C785" s="45" t="s">
        <v>160</v>
      </c>
      <c r="D785" s="44">
        <v>5</v>
      </c>
      <c r="E785" s="43">
        <v>1.8254837531945966E-4</v>
      </c>
    </row>
    <row r="786" spans="2:5" ht="15" customHeight="1" x14ac:dyDescent="0.25">
      <c r="B786" s="89"/>
      <c r="C786" s="45" t="s">
        <v>159</v>
      </c>
      <c r="D786" s="44">
        <v>45</v>
      </c>
      <c r="E786" s="43">
        <v>1.6429353778751369E-3</v>
      </c>
    </row>
    <row r="787" spans="2:5" ht="15" customHeight="1" x14ac:dyDescent="0.25">
      <c r="B787" s="89"/>
      <c r="C787" s="45" t="s">
        <v>158</v>
      </c>
      <c r="D787" s="44">
        <v>46</v>
      </c>
      <c r="E787" s="43">
        <v>1.6794450529390289E-3</v>
      </c>
    </row>
    <row r="788" spans="2:5" ht="15" customHeight="1" x14ac:dyDescent="0.25">
      <c r="B788" s="89"/>
      <c r="C788" s="45" t="s">
        <v>157</v>
      </c>
      <c r="D788" s="44">
        <v>11</v>
      </c>
      <c r="E788" s="43">
        <v>4.0160642570281126E-4</v>
      </c>
    </row>
    <row r="789" spans="2:5" ht="15" customHeight="1" x14ac:dyDescent="0.25">
      <c r="B789" s="89"/>
      <c r="C789" s="45" t="s">
        <v>156</v>
      </c>
      <c r="D789" s="44">
        <v>23</v>
      </c>
      <c r="E789" s="43">
        <v>8.3972252646951446E-4</v>
      </c>
    </row>
    <row r="790" spans="2:5" ht="15" customHeight="1" x14ac:dyDescent="0.25">
      <c r="B790" s="89"/>
      <c r="C790" s="45" t="s">
        <v>155</v>
      </c>
      <c r="D790" s="44">
        <v>22</v>
      </c>
      <c r="E790" s="43">
        <v>8.0321285140562252E-4</v>
      </c>
    </row>
    <row r="791" spans="2:5" ht="15" customHeight="1" x14ac:dyDescent="0.25">
      <c r="B791" s="89"/>
      <c r="C791" s="45" t="s">
        <v>154</v>
      </c>
      <c r="D791" s="44">
        <v>177</v>
      </c>
      <c r="E791" s="43">
        <v>6.4622124863088718E-3</v>
      </c>
    </row>
    <row r="792" spans="2:5" ht="15" customHeight="1" x14ac:dyDescent="0.25">
      <c r="B792" s="89"/>
      <c r="C792" s="45" t="s">
        <v>153</v>
      </c>
      <c r="D792" s="44">
        <v>28</v>
      </c>
      <c r="E792" s="43">
        <v>1.022270901788974E-3</v>
      </c>
    </row>
    <row r="793" spans="2:5" ht="15" customHeight="1" x14ac:dyDescent="0.25">
      <c r="B793" s="89"/>
      <c r="C793" s="45" t="s">
        <v>152</v>
      </c>
      <c r="D793" s="44">
        <v>54</v>
      </c>
      <c r="E793" s="43">
        <v>1.9715224534501644E-3</v>
      </c>
    </row>
    <row r="794" spans="2:5" ht="15" customHeight="1" x14ac:dyDescent="0.25">
      <c r="B794" s="89"/>
      <c r="C794" s="45" t="s">
        <v>151</v>
      </c>
      <c r="D794" s="44">
        <v>157</v>
      </c>
      <c r="E794" s="43">
        <v>5.7320189850310335E-3</v>
      </c>
    </row>
    <row r="795" spans="2:5" ht="15" customHeight="1" x14ac:dyDescent="0.25">
      <c r="B795" s="89"/>
      <c r="C795" s="45" t="s">
        <v>150</v>
      </c>
      <c r="D795" s="44">
        <v>3</v>
      </c>
      <c r="E795" s="43">
        <v>1.095290251916758E-4</v>
      </c>
    </row>
    <row r="796" spans="2:5" ht="15" customHeight="1" x14ac:dyDescent="0.25">
      <c r="B796" s="89"/>
      <c r="C796" s="45" t="s">
        <v>149</v>
      </c>
      <c r="D796" s="44">
        <v>1</v>
      </c>
      <c r="E796" s="43">
        <v>3.6509675063891931E-5</v>
      </c>
    </row>
    <row r="797" spans="2:5" ht="15" customHeight="1" x14ac:dyDescent="0.25">
      <c r="B797" s="89"/>
      <c r="C797" s="45" t="s">
        <v>148</v>
      </c>
      <c r="D797" s="44">
        <v>1</v>
      </c>
      <c r="E797" s="43">
        <v>3.6509675063891931E-5</v>
      </c>
    </row>
    <row r="798" spans="2:5" ht="15" customHeight="1" x14ac:dyDescent="0.25">
      <c r="B798" s="89"/>
      <c r="C798" s="45" t="s">
        <v>146</v>
      </c>
      <c r="D798" s="44">
        <v>8</v>
      </c>
      <c r="E798" s="43">
        <v>2.9207740051113545E-4</v>
      </c>
    </row>
    <row r="799" spans="2:5" ht="15" customHeight="1" x14ac:dyDescent="0.25">
      <c r="B799" s="89"/>
      <c r="C799" s="45" t="s">
        <v>145</v>
      </c>
      <c r="D799" s="44">
        <v>26</v>
      </c>
      <c r="E799" s="43">
        <v>9.4925155166119017E-4</v>
      </c>
    </row>
    <row r="800" spans="2:5" ht="15" customHeight="1" x14ac:dyDescent="0.25">
      <c r="B800" s="89"/>
      <c r="C800" s="45" t="s">
        <v>143</v>
      </c>
      <c r="D800" s="44">
        <v>2</v>
      </c>
      <c r="E800" s="43">
        <v>7.3019350127783862E-5</v>
      </c>
    </row>
    <row r="801" spans="2:5" ht="15" customHeight="1" x14ac:dyDescent="0.25">
      <c r="B801" s="90"/>
      <c r="C801" s="42" t="s">
        <v>20</v>
      </c>
      <c r="D801" s="41">
        <v>622</v>
      </c>
      <c r="E801" s="40">
        <v>2.2709017889740783E-2</v>
      </c>
    </row>
    <row r="802" spans="2:5" ht="15" customHeight="1" x14ac:dyDescent="0.25">
      <c r="B802" s="88" t="s">
        <v>111</v>
      </c>
      <c r="C802" s="45" t="s">
        <v>165</v>
      </c>
      <c r="D802" s="44">
        <v>2</v>
      </c>
      <c r="E802" s="43">
        <v>7.3019350127783862E-5</v>
      </c>
    </row>
    <row r="803" spans="2:5" ht="15" customHeight="1" x14ac:dyDescent="0.25">
      <c r="B803" s="89"/>
      <c r="C803" s="45" t="s">
        <v>164</v>
      </c>
      <c r="D803" s="44">
        <v>3</v>
      </c>
      <c r="E803" s="43">
        <v>1.095290251916758E-4</v>
      </c>
    </row>
    <row r="804" spans="2:5" ht="15" customHeight="1" x14ac:dyDescent="0.25">
      <c r="B804" s="89"/>
      <c r="C804" s="45" t="s">
        <v>163</v>
      </c>
      <c r="D804" s="44">
        <v>3</v>
      </c>
      <c r="E804" s="43">
        <v>1.095290251916758E-4</v>
      </c>
    </row>
    <row r="805" spans="2:5" ht="15" customHeight="1" x14ac:dyDescent="0.25">
      <c r="B805" s="89"/>
      <c r="C805" s="45" t="s">
        <v>162</v>
      </c>
      <c r="D805" s="44">
        <v>5</v>
      </c>
      <c r="E805" s="43">
        <v>1.8254837531945966E-4</v>
      </c>
    </row>
    <row r="806" spans="2:5" ht="15" customHeight="1" x14ac:dyDescent="0.25">
      <c r="B806" s="89"/>
      <c r="C806" s="45" t="s">
        <v>161</v>
      </c>
      <c r="D806" s="44">
        <v>3</v>
      </c>
      <c r="E806" s="43">
        <v>1.095290251916758E-4</v>
      </c>
    </row>
    <row r="807" spans="2:5" ht="15" customHeight="1" x14ac:dyDescent="0.25">
      <c r="B807" s="89"/>
      <c r="C807" s="45" t="s">
        <v>160</v>
      </c>
      <c r="D807" s="44">
        <v>9</v>
      </c>
      <c r="E807" s="43">
        <v>3.2858707557502739E-4</v>
      </c>
    </row>
    <row r="808" spans="2:5" ht="15" customHeight="1" x14ac:dyDescent="0.25">
      <c r="B808" s="89"/>
      <c r="C808" s="45" t="s">
        <v>159</v>
      </c>
      <c r="D808" s="44">
        <v>53</v>
      </c>
      <c r="E808" s="43">
        <v>1.9350127783862724E-3</v>
      </c>
    </row>
    <row r="809" spans="2:5" ht="15" customHeight="1" x14ac:dyDescent="0.25">
      <c r="B809" s="89"/>
      <c r="C809" s="45" t="s">
        <v>158</v>
      </c>
      <c r="D809" s="44">
        <v>97</v>
      </c>
      <c r="E809" s="43">
        <v>3.5414384811975172E-3</v>
      </c>
    </row>
    <row r="810" spans="2:5" ht="15" customHeight="1" x14ac:dyDescent="0.25">
      <c r="B810" s="89"/>
      <c r="C810" s="45" t="s">
        <v>157</v>
      </c>
      <c r="D810" s="44">
        <v>11</v>
      </c>
      <c r="E810" s="43">
        <v>4.0160642570281126E-4</v>
      </c>
    </row>
    <row r="811" spans="2:5" ht="15" customHeight="1" x14ac:dyDescent="0.25">
      <c r="B811" s="89"/>
      <c r="C811" s="45" t="s">
        <v>156</v>
      </c>
      <c r="D811" s="44">
        <v>37</v>
      </c>
      <c r="E811" s="43">
        <v>1.3508579773640014E-3</v>
      </c>
    </row>
    <row r="812" spans="2:5" ht="15" customHeight="1" x14ac:dyDescent="0.25">
      <c r="B812" s="89"/>
      <c r="C812" s="45" t="s">
        <v>155</v>
      </c>
      <c r="D812" s="44">
        <v>23</v>
      </c>
      <c r="E812" s="43">
        <v>8.3972252646951446E-4</v>
      </c>
    </row>
    <row r="813" spans="2:5" ht="15" customHeight="1" x14ac:dyDescent="0.25">
      <c r="B813" s="89"/>
      <c r="C813" s="45" t="s">
        <v>154</v>
      </c>
      <c r="D813" s="44">
        <v>357</v>
      </c>
      <c r="E813" s="43">
        <v>1.3033953997809419E-2</v>
      </c>
    </row>
    <row r="814" spans="2:5" ht="15" customHeight="1" x14ac:dyDescent="0.25">
      <c r="B814" s="89"/>
      <c r="C814" s="45" t="s">
        <v>153</v>
      </c>
      <c r="D814" s="44">
        <v>42</v>
      </c>
      <c r="E814" s="43">
        <v>1.5334063526834612E-3</v>
      </c>
    </row>
    <row r="815" spans="2:5" ht="15" customHeight="1" x14ac:dyDescent="0.25">
      <c r="B815" s="89"/>
      <c r="C815" s="45" t="s">
        <v>152</v>
      </c>
      <c r="D815" s="44">
        <v>122</v>
      </c>
      <c r="E815" s="43">
        <v>4.4541803577948158E-3</v>
      </c>
    </row>
    <row r="816" spans="2:5" ht="15" customHeight="1" x14ac:dyDescent="0.25">
      <c r="B816" s="89"/>
      <c r="C816" s="45" t="s">
        <v>151</v>
      </c>
      <c r="D816" s="44">
        <v>272</v>
      </c>
      <c r="E816" s="43">
        <v>9.9306316173786054E-3</v>
      </c>
    </row>
    <row r="817" spans="2:5" ht="15" customHeight="1" x14ac:dyDescent="0.25">
      <c r="B817" s="89"/>
      <c r="C817" s="45" t="s">
        <v>150</v>
      </c>
      <c r="D817" s="44">
        <v>11</v>
      </c>
      <c r="E817" s="43">
        <v>4.0160642570281126E-4</v>
      </c>
    </row>
    <row r="818" spans="2:5" ht="15" customHeight="1" x14ac:dyDescent="0.25">
      <c r="B818" s="89"/>
      <c r="C818" s="45" t="s">
        <v>149</v>
      </c>
      <c r="D818" s="44">
        <v>15</v>
      </c>
      <c r="E818" s="43">
        <v>5.4764512595837896E-4</v>
      </c>
    </row>
    <row r="819" spans="2:5" ht="15" customHeight="1" x14ac:dyDescent="0.25">
      <c r="B819" s="89"/>
      <c r="C819" s="45" t="s">
        <v>148</v>
      </c>
      <c r="D819" s="44">
        <v>6</v>
      </c>
      <c r="E819" s="43">
        <v>2.190580503833516E-4</v>
      </c>
    </row>
    <row r="820" spans="2:5" ht="15" customHeight="1" x14ac:dyDescent="0.25">
      <c r="B820" s="89"/>
      <c r="C820" s="45" t="s">
        <v>147</v>
      </c>
      <c r="D820" s="44">
        <v>5</v>
      </c>
      <c r="E820" s="43">
        <v>1.8254837531945966E-4</v>
      </c>
    </row>
    <row r="821" spans="2:5" ht="15" customHeight="1" x14ac:dyDescent="0.25">
      <c r="B821" s="89"/>
      <c r="C821" s="45" t="s">
        <v>146</v>
      </c>
      <c r="D821" s="44">
        <v>18</v>
      </c>
      <c r="E821" s="43">
        <v>6.5717415115005477E-4</v>
      </c>
    </row>
    <row r="822" spans="2:5" ht="15" customHeight="1" x14ac:dyDescent="0.25">
      <c r="B822" s="89"/>
      <c r="C822" s="45" t="s">
        <v>145</v>
      </c>
      <c r="D822" s="44">
        <v>35</v>
      </c>
      <c r="E822" s="43">
        <v>1.2778386272362175E-3</v>
      </c>
    </row>
    <row r="823" spans="2:5" ht="15" customHeight="1" x14ac:dyDescent="0.25">
      <c r="B823" s="89"/>
      <c r="C823" s="45" t="s">
        <v>143</v>
      </c>
      <c r="D823" s="44">
        <v>2</v>
      </c>
      <c r="E823" s="43">
        <v>7.3019350127783862E-5</v>
      </c>
    </row>
    <row r="824" spans="2:5" ht="15" customHeight="1" x14ac:dyDescent="0.25">
      <c r="B824" s="89"/>
      <c r="C824" s="45" t="s">
        <v>142</v>
      </c>
      <c r="D824" s="44">
        <v>1</v>
      </c>
      <c r="E824" s="43">
        <v>3.6509675063891931E-5</v>
      </c>
    </row>
    <row r="825" spans="2:5" ht="15" customHeight="1" x14ac:dyDescent="0.25">
      <c r="B825" s="90"/>
      <c r="C825" s="42" t="s">
        <v>20</v>
      </c>
      <c r="D825" s="41">
        <v>1132</v>
      </c>
      <c r="E825" s="40">
        <v>4.132895217232567E-2</v>
      </c>
    </row>
    <row r="826" spans="2:5" ht="15" customHeight="1" x14ac:dyDescent="0.25">
      <c r="B826" s="88" t="s">
        <v>89</v>
      </c>
      <c r="C826" s="45" t="s">
        <v>164</v>
      </c>
      <c r="D826" s="44">
        <v>1</v>
      </c>
      <c r="E826" s="43">
        <v>3.6509675063891931E-5</v>
      </c>
    </row>
    <row r="827" spans="2:5" ht="15" customHeight="1" x14ac:dyDescent="0.25">
      <c r="B827" s="89"/>
      <c r="C827" s="45" t="s">
        <v>162</v>
      </c>
      <c r="D827" s="44">
        <v>1</v>
      </c>
      <c r="E827" s="43">
        <v>3.6509675063891931E-5</v>
      </c>
    </row>
    <row r="828" spans="2:5" ht="15" customHeight="1" x14ac:dyDescent="0.25">
      <c r="B828" s="89"/>
      <c r="C828" s="45" t="s">
        <v>158</v>
      </c>
      <c r="D828" s="44">
        <v>5</v>
      </c>
      <c r="E828" s="43">
        <v>1.8254837531945966E-4</v>
      </c>
    </row>
    <row r="829" spans="2:5" ht="15" customHeight="1" x14ac:dyDescent="0.25">
      <c r="B829" s="89"/>
      <c r="C829" s="45" t="s">
        <v>156</v>
      </c>
      <c r="D829" s="44">
        <v>1</v>
      </c>
      <c r="E829" s="43">
        <v>3.6509675063891931E-5</v>
      </c>
    </row>
    <row r="830" spans="2:5" ht="15" customHeight="1" x14ac:dyDescent="0.25">
      <c r="B830" s="89"/>
      <c r="C830" s="45" t="s">
        <v>155</v>
      </c>
      <c r="D830" s="44">
        <v>4</v>
      </c>
      <c r="E830" s="43">
        <v>1.4603870025556772E-4</v>
      </c>
    </row>
    <row r="831" spans="2:5" ht="15" customHeight="1" x14ac:dyDescent="0.25">
      <c r="B831" s="89"/>
      <c r="C831" s="45" t="s">
        <v>154</v>
      </c>
      <c r="D831" s="44">
        <v>38</v>
      </c>
      <c r="E831" s="43">
        <v>1.3873676524278934E-3</v>
      </c>
    </row>
    <row r="832" spans="2:5" ht="15" customHeight="1" x14ac:dyDescent="0.25">
      <c r="B832" s="89"/>
      <c r="C832" s="45" t="s">
        <v>153</v>
      </c>
      <c r="D832" s="44">
        <v>6</v>
      </c>
      <c r="E832" s="43">
        <v>2.190580503833516E-4</v>
      </c>
    </row>
    <row r="833" spans="2:5" ht="15" customHeight="1" x14ac:dyDescent="0.25">
      <c r="B833" s="89"/>
      <c r="C833" s="45" t="s">
        <v>152</v>
      </c>
      <c r="D833" s="44">
        <v>5</v>
      </c>
      <c r="E833" s="43">
        <v>1.8254837531945966E-4</v>
      </c>
    </row>
    <row r="834" spans="2:5" ht="15" customHeight="1" x14ac:dyDescent="0.25">
      <c r="B834" s="89"/>
      <c r="C834" s="45" t="s">
        <v>151</v>
      </c>
      <c r="D834" s="44">
        <v>33</v>
      </c>
      <c r="E834" s="43">
        <v>1.2048192771084338E-3</v>
      </c>
    </row>
    <row r="835" spans="2:5" ht="15" customHeight="1" x14ac:dyDescent="0.25">
      <c r="B835" s="89"/>
      <c r="C835" s="45" t="s">
        <v>150</v>
      </c>
      <c r="D835" s="44">
        <v>1</v>
      </c>
      <c r="E835" s="43">
        <v>3.6509675063891931E-5</v>
      </c>
    </row>
    <row r="836" spans="2:5" ht="15" customHeight="1" x14ac:dyDescent="0.25">
      <c r="B836" s="89"/>
      <c r="C836" s="45" t="s">
        <v>146</v>
      </c>
      <c r="D836" s="44">
        <v>2</v>
      </c>
      <c r="E836" s="43">
        <v>7.3019350127783862E-5</v>
      </c>
    </row>
    <row r="837" spans="2:5" ht="15" customHeight="1" x14ac:dyDescent="0.25">
      <c r="B837" s="89"/>
      <c r="C837" s="45" t="s">
        <v>145</v>
      </c>
      <c r="D837" s="44">
        <v>8</v>
      </c>
      <c r="E837" s="43">
        <v>2.9207740051113545E-4</v>
      </c>
    </row>
    <row r="838" spans="2:5" ht="15" customHeight="1" x14ac:dyDescent="0.25">
      <c r="B838" s="89"/>
      <c r="C838" s="45" t="s">
        <v>143</v>
      </c>
      <c r="D838" s="44">
        <v>3</v>
      </c>
      <c r="E838" s="43">
        <v>1.095290251916758E-4</v>
      </c>
    </row>
    <row r="839" spans="2:5" ht="15" customHeight="1" x14ac:dyDescent="0.25">
      <c r="B839" s="89"/>
      <c r="C839" s="45" t="s">
        <v>142</v>
      </c>
      <c r="D839" s="44">
        <v>1</v>
      </c>
      <c r="E839" s="43">
        <v>3.6509675063891931E-5</v>
      </c>
    </row>
    <row r="840" spans="2:5" ht="15" customHeight="1" x14ac:dyDescent="0.25">
      <c r="B840" s="90"/>
      <c r="C840" s="42" t="s">
        <v>20</v>
      </c>
      <c r="D840" s="41">
        <v>109</v>
      </c>
      <c r="E840" s="40">
        <v>3.9795545819642205E-3</v>
      </c>
    </row>
    <row r="841" spans="2:5" ht="15" customHeight="1" x14ac:dyDescent="0.25">
      <c r="B841" s="88" t="s">
        <v>80</v>
      </c>
      <c r="C841" s="45" t="s">
        <v>161</v>
      </c>
      <c r="D841" s="44">
        <v>1</v>
      </c>
      <c r="E841" s="43">
        <v>3.6509675063891931E-5</v>
      </c>
    </row>
    <row r="842" spans="2:5" ht="15" customHeight="1" x14ac:dyDescent="0.25">
      <c r="B842" s="89"/>
      <c r="C842" s="45" t="s">
        <v>158</v>
      </c>
      <c r="D842" s="44">
        <v>4</v>
      </c>
      <c r="E842" s="43">
        <v>1.4603870025556772E-4</v>
      </c>
    </row>
    <row r="843" spans="2:5" ht="15" customHeight="1" x14ac:dyDescent="0.25">
      <c r="B843" s="89"/>
      <c r="C843" s="45" t="s">
        <v>156</v>
      </c>
      <c r="D843" s="44">
        <v>1</v>
      </c>
      <c r="E843" s="43">
        <v>3.6509675063891931E-5</v>
      </c>
    </row>
    <row r="844" spans="2:5" ht="15" customHeight="1" x14ac:dyDescent="0.25">
      <c r="B844" s="89"/>
      <c r="C844" s="45" t="s">
        <v>155</v>
      </c>
      <c r="D844" s="44">
        <v>3</v>
      </c>
      <c r="E844" s="43">
        <v>1.095290251916758E-4</v>
      </c>
    </row>
    <row r="845" spans="2:5" ht="15" customHeight="1" x14ac:dyDescent="0.25">
      <c r="B845" s="89"/>
      <c r="C845" s="45" t="s">
        <v>154</v>
      </c>
      <c r="D845" s="44">
        <v>10</v>
      </c>
      <c r="E845" s="43">
        <v>3.6509675063891932E-4</v>
      </c>
    </row>
    <row r="846" spans="2:5" ht="15" customHeight="1" x14ac:dyDescent="0.25">
      <c r="B846" s="89"/>
      <c r="C846" s="45" t="s">
        <v>152</v>
      </c>
      <c r="D846" s="44">
        <v>2</v>
      </c>
      <c r="E846" s="43">
        <v>7.3019350127783862E-5</v>
      </c>
    </row>
    <row r="847" spans="2:5" ht="15" customHeight="1" x14ac:dyDescent="0.25">
      <c r="B847" s="89"/>
      <c r="C847" s="45" t="s">
        <v>151</v>
      </c>
      <c r="D847" s="44">
        <v>10</v>
      </c>
      <c r="E847" s="43">
        <v>3.6509675063891932E-4</v>
      </c>
    </row>
    <row r="848" spans="2:5" ht="15" customHeight="1" x14ac:dyDescent="0.25">
      <c r="B848" s="89"/>
      <c r="C848" s="45" t="s">
        <v>146</v>
      </c>
      <c r="D848" s="44">
        <v>3</v>
      </c>
      <c r="E848" s="43">
        <v>1.095290251916758E-4</v>
      </c>
    </row>
    <row r="849" spans="2:5" ht="15" customHeight="1" x14ac:dyDescent="0.25">
      <c r="B849" s="89"/>
      <c r="C849" s="45" t="s">
        <v>145</v>
      </c>
      <c r="D849" s="44">
        <v>8</v>
      </c>
      <c r="E849" s="43">
        <v>2.9207740051113545E-4</v>
      </c>
    </row>
    <row r="850" spans="2:5" ht="15" customHeight="1" x14ac:dyDescent="0.25">
      <c r="B850" s="90"/>
      <c r="C850" s="42" t="s">
        <v>20</v>
      </c>
      <c r="D850" s="41">
        <v>42</v>
      </c>
      <c r="E850" s="40">
        <v>1.5334063526834612E-3</v>
      </c>
    </row>
    <row r="851" spans="2:5" ht="15" customHeight="1" x14ac:dyDescent="0.25">
      <c r="B851" s="88" t="s">
        <v>50</v>
      </c>
      <c r="C851" s="45" t="s">
        <v>165</v>
      </c>
      <c r="D851" s="44">
        <v>1</v>
      </c>
      <c r="E851" s="43">
        <v>3.6509675063891931E-5</v>
      </c>
    </row>
    <row r="852" spans="2:5" ht="15" customHeight="1" x14ac:dyDescent="0.25">
      <c r="B852" s="89"/>
      <c r="C852" s="45" t="s">
        <v>162</v>
      </c>
      <c r="D852" s="44">
        <v>2</v>
      </c>
      <c r="E852" s="43">
        <v>7.3019350127783862E-5</v>
      </c>
    </row>
    <row r="853" spans="2:5" ht="15" customHeight="1" x14ac:dyDescent="0.25">
      <c r="B853" s="89"/>
      <c r="C853" s="45" t="s">
        <v>161</v>
      </c>
      <c r="D853" s="44">
        <v>1</v>
      </c>
      <c r="E853" s="43">
        <v>3.6509675063891931E-5</v>
      </c>
    </row>
    <row r="854" spans="2:5" ht="15" customHeight="1" x14ac:dyDescent="0.25">
      <c r="B854" s="89"/>
      <c r="C854" s="45" t="s">
        <v>159</v>
      </c>
      <c r="D854" s="44">
        <v>5</v>
      </c>
      <c r="E854" s="43">
        <v>1.8254837531945966E-4</v>
      </c>
    </row>
    <row r="855" spans="2:5" ht="15" customHeight="1" x14ac:dyDescent="0.25">
      <c r="B855" s="89"/>
      <c r="C855" s="45" t="s">
        <v>158</v>
      </c>
      <c r="D855" s="44">
        <v>17</v>
      </c>
      <c r="E855" s="43">
        <v>6.2066447608616284E-4</v>
      </c>
    </row>
    <row r="856" spans="2:5" ht="15" customHeight="1" x14ac:dyDescent="0.25">
      <c r="B856" s="89"/>
      <c r="C856" s="45" t="s">
        <v>157</v>
      </c>
      <c r="D856" s="44">
        <v>2</v>
      </c>
      <c r="E856" s="43">
        <v>7.3019350127783862E-5</v>
      </c>
    </row>
    <row r="857" spans="2:5" ht="15" customHeight="1" x14ac:dyDescent="0.25">
      <c r="B857" s="89"/>
      <c r="C857" s="45" t="s">
        <v>156</v>
      </c>
      <c r="D857" s="44">
        <v>4</v>
      </c>
      <c r="E857" s="43">
        <v>1.4603870025556772E-4</v>
      </c>
    </row>
    <row r="858" spans="2:5" ht="15" customHeight="1" x14ac:dyDescent="0.25">
      <c r="B858" s="89"/>
      <c r="C858" s="45" t="s">
        <v>155</v>
      </c>
      <c r="D858" s="44">
        <v>9</v>
      </c>
      <c r="E858" s="43">
        <v>3.2858707557502739E-4</v>
      </c>
    </row>
    <row r="859" spans="2:5" ht="15" customHeight="1" x14ac:dyDescent="0.25">
      <c r="B859" s="89"/>
      <c r="C859" s="45" t="s">
        <v>154</v>
      </c>
      <c r="D859" s="44">
        <v>61</v>
      </c>
      <c r="E859" s="43">
        <v>2.2270901788974079E-3</v>
      </c>
    </row>
    <row r="860" spans="2:5" ht="15" customHeight="1" x14ac:dyDescent="0.25">
      <c r="B860" s="89"/>
      <c r="C860" s="45" t="s">
        <v>153</v>
      </c>
      <c r="D860" s="44">
        <v>5</v>
      </c>
      <c r="E860" s="43">
        <v>1.8254837531945966E-4</v>
      </c>
    </row>
    <row r="861" spans="2:5" ht="15" customHeight="1" x14ac:dyDescent="0.25">
      <c r="B861" s="89"/>
      <c r="C861" s="45" t="s">
        <v>152</v>
      </c>
      <c r="D861" s="44">
        <v>24</v>
      </c>
      <c r="E861" s="43">
        <v>8.762322015334064E-4</v>
      </c>
    </row>
    <row r="862" spans="2:5" ht="15" customHeight="1" x14ac:dyDescent="0.25">
      <c r="B862" s="89"/>
      <c r="C862" s="45" t="s">
        <v>151</v>
      </c>
      <c r="D862" s="44">
        <v>39</v>
      </c>
      <c r="E862" s="43">
        <v>1.4238773274917853E-3</v>
      </c>
    </row>
    <row r="863" spans="2:5" ht="15" customHeight="1" x14ac:dyDescent="0.25">
      <c r="B863" s="89"/>
      <c r="C863" s="45" t="s">
        <v>149</v>
      </c>
      <c r="D863" s="44">
        <v>2</v>
      </c>
      <c r="E863" s="43">
        <v>7.3019350127783862E-5</v>
      </c>
    </row>
    <row r="864" spans="2:5" ht="15" customHeight="1" x14ac:dyDescent="0.25">
      <c r="B864" s="89"/>
      <c r="C864" s="45" t="s">
        <v>146</v>
      </c>
      <c r="D864" s="44">
        <v>1</v>
      </c>
      <c r="E864" s="43">
        <v>3.6509675063891931E-5</v>
      </c>
    </row>
    <row r="865" spans="2:5" ht="15" customHeight="1" x14ac:dyDescent="0.25">
      <c r="B865" s="89"/>
      <c r="C865" s="45" t="s">
        <v>145</v>
      </c>
      <c r="D865" s="44">
        <v>19</v>
      </c>
      <c r="E865" s="43">
        <v>6.9368382621394671E-4</v>
      </c>
    </row>
    <row r="866" spans="2:5" ht="15" customHeight="1" x14ac:dyDescent="0.25">
      <c r="B866" s="89"/>
      <c r="C866" s="45" t="s">
        <v>169</v>
      </c>
      <c r="D866" s="44">
        <v>1</v>
      </c>
      <c r="E866" s="43">
        <v>3.6509675063891931E-5</v>
      </c>
    </row>
    <row r="867" spans="2:5" ht="15" customHeight="1" x14ac:dyDescent="0.25">
      <c r="B867" s="89"/>
      <c r="C867" s="45" t="s">
        <v>143</v>
      </c>
      <c r="D867" s="44">
        <v>7</v>
      </c>
      <c r="E867" s="43">
        <v>2.5556772544724351E-4</v>
      </c>
    </row>
    <row r="868" spans="2:5" ht="15" customHeight="1" x14ac:dyDescent="0.25">
      <c r="B868" s="89"/>
      <c r="C868" s="45" t="s">
        <v>142</v>
      </c>
      <c r="D868" s="44">
        <v>3</v>
      </c>
      <c r="E868" s="43">
        <v>1.095290251916758E-4</v>
      </c>
    </row>
    <row r="869" spans="2:5" ht="15" customHeight="1" x14ac:dyDescent="0.25">
      <c r="B869" s="90"/>
      <c r="C869" s="42" t="s">
        <v>20</v>
      </c>
      <c r="D869" s="41">
        <v>203</v>
      </c>
      <c r="E869" s="40">
        <v>7.4114640379700624E-3</v>
      </c>
    </row>
    <row r="870" spans="2:5" ht="15" customHeight="1" x14ac:dyDescent="0.25">
      <c r="B870" s="88" t="s">
        <v>77</v>
      </c>
      <c r="C870" s="45" t="s">
        <v>149</v>
      </c>
      <c r="D870" s="44">
        <v>1</v>
      </c>
      <c r="E870" s="43">
        <v>3.6509675063891931E-5</v>
      </c>
    </row>
    <row r="871" spans="2:5" ht="15" customHeight="1" x14ac:dyDescent="0.25">
      <c r="B871" s="89"/>
      <c r="C871" s="45" t="s">
        <v>146</v>
      </c>
      <c r="D871" s="44">
        <v>2</v>
      </c>
      <c r="E871" s="43">
        <v>7.3019350127783862E-5</v>
      </c>
    </row>
    <row r="872" spans="2:5" ht="15" customHeight="1" x14ac:dyDescent="0.25">
      <c r="B872" s="90"/>
      <c r="C872" s="42" t="s">
        <v>20</v>
      </c>
      <c r="D872" s="41">
        <v>3</v>
      </c>
      <c r="E872" s="40">
        <v>1.095290251916758E-4</v>
      </c>
    </row>
    <row r="873" spans="2:5" ht="15" customHeight="1" x14ac:dyDescent="0.25">
      <c r="B873" s="91" t="s">
        <v>20</v>
      </c>
      <c r="C873" s="92"/>
      <c r="D873" s="39">
        <v>27390</v>
      </c>
      <c r="E873" s="38">
        <v>1</v>
      </c>
    </row>
    <row r="875" spans="2:5" ht="15" customHeight="1" x14ac:dyDescent="0.25">
      <c r="B875" s="19" t="s">
        <v>220</v>
      </c>
    </row>
    <row r="876" spans="2:5" ht="15" customHeight="1" x14ac:dyDescent="0.25">
      <c r="B876" s="21" t="s">
        <v>19</v>
      </c>
    </row>
    <row r="877" spans="2:5" ht="15" customHeight="1" x14ac:dyDescent="0.25">
      <c r="B877" s="20" t="s">
        <v>18</v>
      </c>
    </row>
    <row r="878" spans="2:5" ht="15" customHeight="1" x14ac:dyDescent="0.25">
      <c r="B878" s="19" t="s">
        <v>17</v>
      </c>
    </row>
    <row r="879" spans="2:5" ht="15" customHeight="1" x14ac:dyDescent="0.25">
      <c r="B879" s="19" t="s">
        <v>221</v>
      </c>
    </row>
  </sheetData>
  <mergeCells count="52">
    <mergeCell ref="B7:E8"/>
    <mergeCell ref="B411:B430"/>
    <mergeCell ref="B431:B452"/>
    <mergeCell ref="B89:B105"/>
    <mergeCell ref="B106:B110"/>
    <mergeCell ref="B111:B134"/>
    <mergeCell ref="B135:B158"/>
    <mergeCell ref="B159:B163"/>
    <mergeCell ref="B164:B184"/>
    <mergeCell ref="B185:B203"/>
    <mergeCell ref="B204:B205"/>
    <mergeCell ref="B206:B207"/>
    <mergeCell ref="B312:B329"/>
    <mergeCell ref="B330:B345"/>
    <mergeCell ref="B346:B365"/>
    <mergeCell ref="B366:B385"/>
    <mergeCell ref="B386:B410"/>
    <mergeCell ref="B208:B221"/>
    <mergeCell ref="B222:B242"/>
    <mergeCell ref="B243:B266"/>
    <mergeCell ref="B267:B290"/>
    <mergeCell ref="B291:B311"/>
    <mergeCell ref="B10:B23"/>
    <mergeCell ref="B24:B45"/>
    <mergeCell ref="B46:B65"/>
    <mergeCell ref="B66:B78"/>
    <mergeCell ref="B79:B88"/>
    <mergeCell ref="B453:B472"/>
    <mergeCell ref="B473:B475"/>
    <mergeCell ref="B476:B489"/>
    <mergeCell ref="B490:B514"/>
    <mergeCell ref="B515:B530"/>
    <mergeCell ref="B531:B552"/>
    <mergeCell ref="B553:B573"/>
    <mergeCell ref="B574:B595"/>
    <mergeCell ref="B596:B611"/>
    <mergeCell ref="B612:B615"/>
    <mergeCell ref="B841:B850"/>
    <mergeCell ref="B851:B869"/>
    <mergeCell ref="B870:B872"/>
    <mergeCell ref="B873:C873"/>
    <mergeCell ref="B616:B636"/>
    <mergeCell ref="B637:B654"/>
    <mergeCell ref="B655:B673"/>
    <mergeCell ref="B674:B693"/>
    <mergeCell ref="B694:B711"/>
    <mergeCell ref="B712:B735"/>
    <mergeCell ref="B736:B757"/>
    <mergeCell ref="B758:B779"/>
    <mergeCell ref="B780:B801"/>
    <mergeCell ref="B802:B825"/>
    <mergeCell ref="B826:B84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C18" sqref="C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4" t="s">
        <v>223</v>
      </c>
      <c r="C7" s="94"/>
      <c r="D7" s="94"/>
    </row>
    <row r="8" spans="1:4" s="29" customFormat="1" ht="15" customHeight="1" x14ac:dyDescent="0.2">
      <c r="B8" s="94"/>
      <c r="C8" s="94"/>
      <c r="D8" s="94"/>
    </row>
    <row r="9" spans="1:4" s="29" customFormat="1" ht="33" customHeight="1" x14ac:dyDescent="0.2">
      <c r="B9" s="94"/>
      <c r="C9" s="94"/>
      <c r="D9" s="9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179</v>
      </c>
      <c r="C11" s="31" t="s">
        <v>69</v>
      </c>
      <c r="D11" s="30" t="s">
        <v>68</v>
      </c>
    </row>
    <row r="12" spans="1:4" ht="15" customHeight="1" x14ac:dyDescent="0.25">
      <c r="B12" s="27" t="s">
        <v>178</v>
      </c>
      <c r="C12" s="26">
        <v>15750</v>
      </c>
      <c r="D12" s="25">
        <v>0.5750273822562979</v>
      </c>
    </row>
    <row r="13" spans="1:4" ht="15" customHeight="1" x14ac:dyDescent="0.25">
      <c r="B13" s="27" t="s">
        <v>177</v>
      </c>
      <c r="C13" s="26">
        <v>11640</v>
      </c>
      <c r="D13" s="25">
        <v>0.4249726177437021</v>
      </c>
    </row>
    <row r="14" spans="1:4" x14ac:dyDescent="0.25">
      <c r="B14" s="24" t="s">
        <v>176</v>
      </c>
      <c r="C14" s="23">
        <v>27390</v>
      </c>
      <c r="D14" s="22">
        <v>1</v>
      </c>
    </row>
    <row r="15" spans="1:4" s="28" customFormat="1" ht="15.75" x14ac:dyDescent="0.25">
      <c r="A15" s="17"/>
      <c r="C15" s="61"/>
      <c r="D15" s="61"/>
    </row>
    <row r="16" spans="1:4" s="28" customFormat="1" ht="15.75" x14ac:dyDescent="0.25">
      <c r="A16" s="17"/>
      <c r="B16" s="19" t="s">
        <v>220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6"/>
  <sheetViews>
    <sheetView showGridLines="0" zoomScale="98" zoomScaleNormal="98" zoomScaleSheetLayoutView="100" workbookViewId="0">
      <selection activeCell="E1" sqref="E1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8" t="s">
        <v>227</v>
      </c>
      <c r="C8" s="98"/>
      <c r="D8" s="98"/>
      <c r="E8" s="98"/>
    </row>
    <row r="9" spans="1:6" s="64" customFormat="1" ht="15" customHeight="1" x14ac:dyDescent="0.25">
      <c r="A9" s="66"/>
      <c r="B9" s="98"/>
      <c r="C9" s="98"/>
      <c r="D9" s="98"/>
      <c r="E9" s="98"/>
      <c r="F9" s="67"/>
    </row>
    <row r="10" spans="1:6" s="64" customFormat="1" ht="15" customHeight="1" x14ac:dyDescent="0.25">
      <c r="A10" s="66"/>
      <c r="B10" s="99"/>
      <c r="C10" s="99"/>
      <c r="D10" s="99"/>
      <c r="E10" s="99"/>
      <c r="F10" s="66"/>
    </row>
    <row r="11" spans="1:6" s="64" customFormat="1" ht="36.950000000000003" customHeight="1" x14ac:dyDescent="0.25">
      <c r="B11" s="65" t="s">
        <v>121</v>
      </c>
      <c r="C11" s="65" t="s">
        <v>179</v>
      </c>
      <c r="D11" s="65" t="s">
        <v>69</v>
      </c>
      <c r="E11" s="65" t="s">
        <v>68</v>
      </c>
    </row>
    <row r="12" spans="1:6" ht="15" customHeight="1" x14ac:dyDescent="0.2">
      <c r="B12" s="95" t="s">
        <v>84</v>
      </c>
      <c r="C12" s="63" t="s">
        <v>181</v>
      </c>
      <c r="D12" s="26">
        <v>46</v>
      </c>
      <c r="E12" s="25">
        <v>1.6794450529390289E-3</v>
      </c>
    </row>
    <row r="13" spans="1:6" ht="15" customHeight="1" x14ac:dyDescent="0.2">
      <c r="B13" s="96"/>
      <c r="C13" s="63" t="s">
        <v>180</v>
      </c>
      <c r="D13" s="26">
        <v>39</v>
      </c>
      <c r="E13" s="25">
        <v>1.4238773274917853E-3</v>
      </c>
    </row>
    <row r="14" spans="1:6" ht="15" customHeight="1" x14ac:dyDescent="0.2">
      <c r="B14" s="97"/>
      <c r="C14" s="75" t="s">
        <v>20</v>
      </c>
      <c r="D14" s="76">
        <v>85</v>
      </c>
      <c r="E14" s="77">
        <v>3.103322380430814E-3</v>
      </c>
    </row>
    <row r="15" spans="1:6" ht="15" customHeight="1" x14ac:dyDescent="0.2">
      <c r="B15" s="95" t="s">
        <v>116</v>
      </c>
      <c r="C15" s="63" t="s">
        <v>181</v>
      </c>
      <c r="D15" s="26">
        <v>730</v>
      </c>
      <c r="E15" s="25">
        <v>2.6652062796641111E-2</v>
      </c>
    </row>
    <row r="16" spans="1:6" ht="15" customHeight="1" x14ac:dyDescent="0.2">
      <c r="B16" s="96"/>
      <c r="C16" s="63" t="s">
        <v>180</v>
      </c>
      <c r="D16" s="26">
        <v>531</v>
      </c>
      <c r="E16" s="25">
        <v>1.9386637458926617E-2</v>
      </c>
    </row>
    <row r="17" spans="1:5" s="50" customFormat="1" ht="15" customHeight="1" x14ac:dyDescent="0.2">
      <c r="A17" s="29"/>
      <c r="B17" s="97"/>
      <c r="C17" s="75" t="s">
        <v>20</v>
      </c>
      <c r="D17" s="76">
        <v>1261</v>
      </c>
      <c r="E17" s="77">
        <v>4.6038700255567729E-2</v>
      </c>
    </row>
    <row r="18" spans="1:5" s="50" customFormat="1" ht="15" customHeight="1" x14ac:dyDescent="0.2">
      <c r="A18" s="29"/>
      <c r="B18" s="95" t="s">
        <v>106</v>
      </c>
      <c r="C18" s="63" t="s">
        <v>181</v>
      </c>
      <c r="D18" s="26">
        <v>189</v>
      </c>
      <c r="E18" s="25">
        <v>6.9003285870755746E-3</v>
      </c>
    </row>
    <row r="19" spans="1:5" s="50" customFormat="1" ht="15" customHeight="1" x14ac:dyDescent="0.2">
      <c r="A19" s="29"/>
      <c r="B19" s="96"/>
      <c r="C19" s="63" t="s">
        <v>180</v>
      </c>
      <c r="D19" s="26">
        <v>135</v>
      </c>
      <c r="E19" s="25">
        <v>4.9288061336254111E-3</v>
      </c>
    </row>
    <row r="20" spans="1:5" s="50" customFormat="1" ht="15" customHeight="1" x14ac:dyDescent="0.2">
      <c r="A20" s="29"/>
      <c r="B20" s="97"/>
      <c r="C20" s="75" t="s">
        <v>20</v>
      </c>
      <c r="D20" s="76">
        <v>324</v>
      </c>
      <c r="E20" s="77">
        <v>1.1829134720700987E-2</v>
      </c>
    </row>
    <row r="21" spans="1:5" s="50" customFormat="1" ht="15" customHeight="1" x14ac:dyDescent="0.2">
      <c r="A21" s="29"/>
      <c r="B21" s="95" t="s">
        <v>82</v>
      </c>
      <c r="C21" s="63" t="s">
        <v>181</v>
      </c>
      <c r="D21" s="26">
        <v>59</v>
      </c>
      <c r="E21" s="25">
        <v>2.1540708287696238E-3</v>
      </c>
    </row>
    <row r="22" spans="1:5" ht="13.5" x14ac:dyDescent="0.2">
      <c r="B22" s="96"/>
      <c r="C22" s="63" t="s">
        <v>180</v>
      </c>
      <c r="D22" s="26">
        <v>48</v>
      </c>
      <c r="E22" s="25">
        <v>1.7524644030668128E-3</v>
      </c>
    </row>
    <row r="23" spans="1:5" ht="13.5" x14ac:dyDescent="0.2">
      <c r="B23" s="97"/>
      <c r="C23" s="75" t="s">
        <v>20</v>
      </c>
      <c r="D23" s="76">
        <v>107</v>
      </c>
      <c r="E23" s="77">
        <v>3.9065352318364364E-3</v>
      </c>
    </row>
    <row r="24" spans="1:5" ht="13.5" x14ac:dyDescent="0.2">
      <c r="B24" s="95" t="s">
        <v>78</v>
      </c>
      <c r="C24" s="63" t="s">
        <v>181</v>
      </c>
      <c r="D24" s="26">
        <v>29</v>
      </c>
      <c r="E24" s="25">
        <v>1.0587805768528661E-3</v>
      </c>
    </row>
    <row r="25" spans="1:5" ht="13.5" x14ac:dyDescent="0.2">
      <c r="B25" s="96"/>
      <c r="C25" s="63" t="s">
        <v>180</v>
      </c>
      <c r="D25" s="26">
        <v>19</v>
      </c>
      <c r="E25" s="25">
        <v>6.9368382621394671E-4</v>
      </c>
    </row>
    <row r="26" spans="1:5" ht="13.5" x14ac:dyDescent="0.2">
      <c r="B26" s="97"/>
      <c r="C26" s="75" t="s">
        <v>20</v>
      </c>
      <c r="D26" s="76">
        <v>48</v>
      </c>
      <c r="E26" s="77">
        <v>1.7524644030668128E-3</v>
      </c>
    </row>
    <row r="27" spans="1:5" ht="13.5" x14ac:dyDescent="0.2">
      <c r="B27" s="95" t="s">
        <v>83</v>
      </c>
      <c r="C27" s="63" t="s">
        <v>181</v>
      </c>
      <c r="D27" s="26">
        <v>35</v>
      </c>
      <c r="E27" s="25">
        <v>1.2778386272362175E-3</v>
      </c>
    </row>
    <row r="28" spans="1:5" ht="13.5" x14ac:dyDescent="0.2">
      <c r="B28" s="96"/>
      <c r="C28" s="63" t="s">
        <v>180</v>
      </c>
      <c r="D28" s="26">
        <v>38</v>
      </c>
      <c r="E28" s="25">
        <v>1.3873676524278934E-3</v>
      </c>
    </row>
    <row r="29" spans="1:5" ht="13.5" x14ac:dyDescent="0.2">
      <c r="B29" s="97"/>
      <c r="C29" s="75" t="s">
        <v>20</v>
      </c>
      <c r="D29" s="76">
        <v>73</v>
      </c>
      <c r="E29" s="77">
        <v>2.6652062796641111E-3</v>
      </c>
    </row>
    <row r="30" spans="1:5" ht="13.5" x14ac:dyDescent="0.2">
      <c r="B30" s="95" t="s">
        <v>175</v>
      </c>
      <c r="C30" s="63" t="s">
        <v>181</v>
      </c>
      <c r="D30" s="26">
        <v>3</v>
      </c>
      <c r="E30" s="25">
        <v>1.095290251916758E-4</v>
      </c>
    </row>
    <row r="31" spans="1:5" ht="13.5" x14ac:dyDescent="0.2">
      <c r="B31" s="96"/>
      <c r="C31" s="63" t="s">
        <v>180</v>
      </c>
      <c r="D31" s="26">
        <v>5</v>
      </c>
      <c r="E31" s="25">
        <v>1.8254837531945966E-4</v>
      </c>
    </row>
    <row r="32" spans="1:5" ht="13.5" x14ac:dyDescent="0.2">
      <c r="B32" s="97"/>
      <c r="C32" s="75" t="s">
        <v>20</v>
      </c>
      <c r="D32" s="76">
        <v>8</v>
      </c>
      <c r="E32" s="77">
        <v>2.9207740051113545E-4</v>
      </c>
    </row>
    <row r="33" spans="2:5" ht="13.5" x14ac:dyDescent="0.2">
      <c r="B33" s="95" t="s">
        <v>119</v>
      </c>
      <c r="C33" s="63" t="s">
        <v>181</v>
      </c>
      <c r="D33" s="26">
        <v>2066</v>
      </c>
      <c r="E33" s="25">
        <v>7.5428988682000736E-2</v>
      </c>
    </row>
    <row r="34" spans="2:5" ht="13.5" x14ac:dyDescent="0.2">
      <c r="B34" s="96"/>
      <c r="C34" s="63" t="s">
        <v>180</v>
      </c>
      <c r="D34" s="26">
        <v>1586</v>
      </c>
      <c r="E34" s="25">
        <v>5.7904344651332602E-2</v>
      </c>
    </row>
    <row r="35" spans="2:5" ht="13.5" x14ac:dyDescent="0.2">
      <c r="B35" s="97"/>
      <c r="C35" s="75" t="s">
        <v>20</v>
      </c>
      <c r="D35" s="76">
        <v>3652</v>
      </c>
      <c r="E35" s="77">
        <v>0.13333333333333333</v>
      </c>
    </row>
    <row r="36" spans="2:5" ht="13.5" x14ac:dyDescent="0.2">
      <c r="B36" s="95" t="s">
        <v>117</v>
      </c>
      <c r="C36" s="63" t="s">
        <v>181</v>
      </c>
      <c r="D36" s="26">
        <v>959</v>
      </c>
      <c r="E36" s="25">
        <v>3.5012778386272363E-2</v>
      </c>
    </row>
    <row r="37" spans="2:5" ht="13.5" x14ac:dyDescent="0.2">
      <c r="B37" s="96"/>
      <c r="C37" s="63" t="s">
        <v>180</v>
      </c>
      <c r="D37" s="26">
        <v>703</v>
      </c>
      <c r="E37" s="25">
        <v>2.5666301569916027E-2</v>
      </c>
    </row>
    <row r="38" spans="2:5" ht="13.5" x14ac:dyDescent="0.2">
      <c r="B38" s="97"/>
      <c r="C38" s="75" t="s">
        <v>20</v>
      </c>
      <c r="D38" s="76">
        <v>1662</v>
      </c>
      <c r="E38" s="77">
        <v>6.0679079956188389E-2</v>
      </c>
    </row>
    <row r="39" spans="2:5" ht="13.5" x14ac:dyDescent="0.2">
      <c r="B39" s="95" t="s">
        <v>174</v>
      </c>
      <c r="C39" s="63" t="s">
        <v>181</v>
      </c>
      <c r="D39" s="26">
        <v>4</v>
      </c>
      <c r="E39" s="25">
        <v>1.4603870025556772E-4</v>
      </c>
    </row>
    <row r="40" spans="2:5" ht="13.5" x14ac:dyDescent="0.2">
      <c r="B40" s="96"/>
      <c r="C40" s="63" t="s">
        <v>180</v>
      </c>
      <c r="D40" s="26">
        <v>2</v>
      </c>
      <c r="E40" s="25">
        <v>7.3019350127783862E-5</v>
      </c>
    </row>
    <row r="41" spans="2:5" ht="13.5" x14ac:dyDescent="0.2">
      <c r="B41" s="97"/>
      <c r="C41" s="75" t="s">
        <v>20</v>
      </c>
      <c r="D41" s="76">
        <v>6</v>
      </c>
      <c r="E41" s="77">
        <v>2.190580503833516E-4</v>
      </c>
    </row>
    <row r="42" spans="2:5" ht="13.5" x14ac:dyDescent="0.2">
      <c r="B42" s="95" t="s">
        <v>101</v>
      </c>
      <c r="C42" s="63" t="s">
        <v>181</v>
      </c>
      <c r="D42" s="26">
        <v>269</v>
      </c>
      <c r="E42" s="25">
        <v>9.8211025921869297E-3</v>
      </c>
    </row>
    <row r="43" spans="2:5" ht="13.5" x14ac:dyDescent="0.2">
      <c r="B43" s="96"/>
      <c r="C43" s="63" t="s">
        <v>180</v>
      </c>
      <c r="D43" s="26">
        <v>157</v>
      </c>
      <c r="E43" s="25">
        <v>5.7320189850310335E-3</v>
      </c>
    </row>
    <row r="44" spans="2:5" ht="13.5" x14ac:dyDescent="0.2">
      <c r="B44" s="97"/>
      <c r="C44" s="75" t="s">
        <v>20</v>
      </c>
      <c r="D44" s="76">
        <v>426</v>
      </c>
      <c r="E44" s="77">
        <v>1.5553121577217962E-2</v>
      </c>
    </row>
    <row r="45" spans="2:5" ht="13.5" x14ac:dyDescent="0.2">
      <c r="B45" s="95" t="s">
        <v>87</v>
      </c>
      <c r="C45" s="63" t="s">
        <v>181</v>
      </c>
      <c r="D45" s="26">
        <v>147</v>
      </c>
      <c r="E45" s="25">
        <v>5.3669222343921139E-3</v>
      </c>
    </row>
    <row r="46" spans="2:5" ht="13.5" x14ac:dyDescent="0.2">
      <c r="B46" s="96"/>
      <c r="C46" s="63" t="s">
        <v>180</v>
      </c>
      <c r="D46" s="26">
        <v>113</v>
      </c>
      <c r="E46" s="25">
        <v>4.1255932822197887E-3</v>
      </c>
    </row>
    <row r="47" spans="2:5" ht="13.5" x14ac:dyDescent="0.2">
      <c r="B47" s="97"/>
      <c r="C47" s="75" t="s">
        <v>20</v>
      </c>
      <c r="D47" s="76">
        <v>260</v>
      </c>
      <c r="E47" s="77">
        <v>9.4925155166119025E-3</v>
      </c>
    </row>
    <row r="48" spans="2:5" ht="13.5" x14ac:dyDescent="0.2">
      <c r="B48" s="95" t="s">
        <v>73</v>
      </c>
      <c r="C48" s="63" t="s">
        <v>181</v>
      </c>
      <c r="D48" s="26">
        <v>1</v>
      </c>
      <c r="E48" s="25">
        <v>3.6509675063891931E-5</v>
      </c>
    </row>
    <row r="49" spans="2:5" ht="13.5" x14ac:dyDescent="0.2">
      <c r="B49" s="97"/>
      <c r="C49" s="75" t="s">
        <v>20</v>
      </c>
      <c r="D49" s="76">
        <v>1</v>
      </c>
      <c r="E49" s="77">
        <v>3.6509675063891931E-5</v>
      </c>
    </row>
    <row r="50" spans="2:5" ht="13.5" x14ac:dyDescent="0.2">
      <c r="B50" s="95" t="s">
        <v>72</v>
      </c>
      <c r="C50" s="63" t="s">
        <v>181</v>
      </c>
      <c r="D50" s="26">
        <v>1</v>
      </c>
      <c r="E50" s="25">
        <v>3.6509675063891931E-5</v>
      </c>
    </row>
    <row r="51" spans="2:5" ht="13.5" x14ac:dyDescent="0.2">
      <c r="B51" s="97"/>
      <c r="C51" s="75" t="s">
        <v>20</v>
      </c>
      <c r="D51" s="76">
        <v>1</v>
      </c>
      <c r="E51" s="77">
        <v>3.6509675063891931E-5</v>
      </c>
    </row>
    <row r="52" spans="2:5" ht="13.5" x14ac:dyDescent="0.2">
      <c r="B52" s="95" t="s">
        <v>85</v>
      </c>
      <c r="C52" s="63" t="s">
        <v>181</v>
      </c>
      <c r="D52" s="26">
        <v>34</v>
      </c>
      <c r="E52" s="25">
        <v>1.2413289521723257E-3</v>
      </c>
    </row>
    <row r="53" spans="2:5" ht="13.5" x14ac:dyDescent="0.2">
      <c r="B53" s="96"/>
      <c r="C53" s="63" t="s">
        <v>180</v>
      </c>
      <c r="D53" s="26">
        <v>34</v>
      </c>
      <c r="E53" s="25">
        <v>1.2413289521723257E-3</v>
      </c>
    </row>
    <row r="54" spans="2:5" ht="13.5" x14ac:dyDescent="0.2">
      <c r="B54" s="97"/>
      <c r="C54" s="75" t="s">
        <v>20</v>
      </c>
      <c r="D54" s="76">
        <v>68</v>
      </c>
      <c r="E54" s="77">
        <v>2.4826579043446513E-3</v>
      </c>
    </row>
    <row r="55" spans="2:5" ht="13.5" x14ac:dyDescent="0.2">
      <c r="B55" s="95" t="s">
        <v>98</v>
      </c>
      <c r="C55" s="63" t="s">
        <v>181</v>
      </c>
      <c r="D55" s="26">
        <v>250</v>
      </c>
      <c r="E55" s="25">
        <v>9.1274187659729829E-3</v>
      </c>
    </row>
    <row r="56" spans="2:5" ht="13.5" x14ac:dyDescent="0.2">
      <c r="B56" s="96"/>
      <c r="C56" s="63" t="s">
        <v>180</v>
      </c>
      <c r="D56" s="26">
        <v>176</v>
      </c>
      <c r="E56" s="25">
        <v>6.4257028112449802E-3</v>
      </c>
    </row>
    <row r="57" spans="2:5" ht="13.5" x14ac:dyDescent="0.2">
      <c r="B57" s="97"/>
      <c r="C57" s="75" t="s">
        <v>20</v>
      </c>
      <c r="D57" s="76">
        <v>426</v>
      </c>
      <c r="E57" s="77">
        <v>1.5553121577217962E-2</v>
      </c>
    </row>
    <row r="58" spans="2:5" ht="13.5" x14ac:dyDescent="0.2">
      <c r="B58" s="95" t="s">
        <v>114</v>
      </c>
      <c r="C58" s="63" t="s">
        <v>181</v>
      </c>
      <c r="D58" s="26">
        <v>215</v>
      </c>
      <c r="E58" s="25">
        <v>7.8495801387367652E-3</v>
      </c>
    </row>
    <row r="59" spans="2:5" ht="13.5" x14ac:dyDescent="0.2">
      <c r="B59" s="96"/>
      <c r="C59" s="63" t="s">
        <v>180</v>
      </c>
      <c r="D59" s="26">
        <v>175</v>
      </c>
      <c r="E59" s="25">
        <v>6.3891931361810877E-3</v>
      </c>
    </row>
    <row r="60" spans="2:5" ht="13.5" x14ac:dyDescent="0.2">
      <c r="B60" s="97"/>
      <c r="C60" s="75" t="s">
        <v>20</v>
      </c>
      <c r="D60" s="76">
        <v>390</v>
      </c>
      <c r="E60" s="77">
        <v>1.4238773274917854E-2</v>
      </c>
    </row>
    <row r="61" spans="2:5" ht="13.5" x14ac:dyDescent="0.2">
      <c r="B61" s="95" t="s">
        <v>118</v>
      </c>
      <c r="C61" s="63" t="s">
        <v>181</v>
      </c>
      <c r="D61" s="26">
        <v>973</v>
      </c>
      <c r="E61" s="25">
        <v>3.5523913837166847E-2</v>
      </c>
    </row>
    <row r="62" spans="2:5" ht="13.5" x14ac:dyDescent="0.2">
      <c r="B62" s="96"/>
      <c r="C62" s="63" t="s">
        <v>180</v>
      </c>
      <c r="D62" s="26">
        <v>800</v>
      </c>
      <c r="E62" s="25">
        <v>2.9207740051113547E-2</v>
      </c>
    </row>
    <row r="63" spans="2:5" ht="13.5" x14ac:dyDescent="0.2">
      <c r="B63" s="97"/>
      <c r="C63" s="75" t="s">
        <v>20</v>
      </c>
      <c r="D63" s="76">
        <v>1773</v>
      </c>
      <c r="E63" s="77">
        <v>6.4731653888280394E-2</v>
      </c>
    </row>
    <row r="64" spans="2:5" ht="13.5" x14ac:dyDescent="0.2">
      <c r="B64" s="95" t="s">
        <v>173</v>
      </c>
      <c r="C64" s="63" t="s">
        <v>181</v>
      </c>
      <c r="D64" s="26">
        <v>373</v>
      </c>
      <c r="E64" s="25">
        <v>1.361810879883169E-2</v>
      </c>
    </row>
    <row r="65" spans="2:5" ht="13.5" x14ac:dyDescent="0.2">
      <c r="B65" s="96"/>
      <c r="C65" s="63" t="s">
        <v>180</v>
      </c>
      <c r="D65" s="26">
        <v>266</v>
      </c>
      <c r="E65" s="25">
        <v>9.711573566995254E-3</v>
      </c>
    </row>
    <row r="66" spans="2:5" ht="13.5" x14ac:dyDescent="0.2">
      <c r="B66" s="97"/>
      <c r="C66" s="75" t="s">
        <v>20</v>
      </c>
      <c r="D66" s="76">
        <v>639</v>
      </c>
      <c r="E66" s="77">
        <v>2.3329682365826943E-2</v>
      </c>
    </row>
    <row r="67" spans="2:5" ht="13.5" x14ac:dyDescent="0.2">
      <c r="B67" s="95" t="s">
        <v>97</v>
      </c>
      <c r="C67" s="63" t="s">
        <v>181</v>
      </c>
      <c r="D67" s="26">
        <v>153</v>
      </c>
      <c r="E67" s="25">
        <v>5.5859802847754653E-3</v>
      </c>
    </row>
    <row r="68" spans="2:5" ht="13.5" x14ac:dyDescent="0.2">
      <c r="B68" s="96"/>
      <c r="C68" s="63" t="s">
        <v>180</v>
      </c>
      <c r="D68" s="26">
        <v>88</v>
      </c>
      <c r="E68" s="25">
        <v>3.2128514056224901E-3</v>
      </c>
    </row>
    <row r="69" spans="2:5" ht="13.5" x14ac:dyDescent="0.2">
      <c r="B69" s="97"/>
      <c r="C69" s="75" t="s">
        <v>20</v>
      </c>
      <c r="D69" s="76">
        <v>241</v>
      </c>
      <c r="E69" s="77">
        <v>8.7988316903979558E-3</v>
      </c>
    </row>
    <row r="70" spans="2:5" ht="13.5" x14ac:dyDescent="0.2">
      <c r="B70" s="95" t="s">
        <v>81</v>
      </c>
      <c r="C70" s="63" t="s">
        <v>181</v>
      </c>
      <c r="D70" s="26">
        <v>32</v>
      </c>
      <c r="E70" s="25">
        <v>1.1683096020445418E-3</v>
      </c>
    </row>
    <row r="71" spans="2:5" ht="13.5" x14ac:dyDescent="0.2">
      <c r="B71" s="96"/>
      <c r="C71" s="63" t="s">
        <v>180</v>
      </c>
      <c r="D71" s="26">
        <v>31</v>
      </c>
      <c r="E71" s="25">
        <v>1.13179992698065E-3</v>
      </c>
    </row>
    <row r="72" spans="2:5" ht="13.5" x14ac:dyDescent="0.2">
      <c r="B72" s="97"/>
      <c r="C72" s="75" t="s">
        <v>20</v>
      </c>
      <c r="D72" s="76">
        <v>63</v>
      </c>
      <c r="E72" s="77">
        <v>2.3001095290251915E-3</v>
      </c>
    </row>
    <row r="73" spans="2:5" ht="13.5" x14ac:dyDescent="0.2">
      <c r="B73" s="95" t="s">
        <v>104</v>
      </c>
      <c r="C73" s="63" t="s">
        <v>181</v>
      </c>
      <c r="D73" s="26">
        <v>313</v>
      </c>
      <c r="E73" s="25">
        <v>1.1427528294998174E-2</v>
      </c>
    </row>
    <row r="74" spans="2:5" ht="13.5" x14ac:dyDescent="0.2">
      <c r="B74" s="96"/>
      <c r="C74" s="63" t="s">
        <v>180</v>
      </c>
      <c r="D74" s="26">
        <v>227</v>
      </c>
      <c r="E74" s="25">
        <v>8.2876962395034681E-3</v>
      </c>
    </row>
    <row r="75" spans="2:5" ht="13.5" x14ac:dyDescent="0.2">
      <c r="B75" s="97"/>
      <c r="C75" s="75" t="s">
        <v>20</v>
      </c>
      <c r="D75" s="76">
        <v>540</v>
      </c>
      <c r="E75" s="77">
        <v>1.9715224534501644E-2</v>
      </c>
    </row>
    <row r="76" spans="2:5" ht="13.5" x14ac:dyDescent="0.2">
      <c r="B76" s="95" t="s">
        <v>108</v>
      </c>
      <c r="C76" s="63" t="s">
        <v>181</v>
      </c>
      <c r="D76" s="26">
        <v>268</v>
      </c>
      <c r="E76" s="25">
        <v>9.7845929171230372E-3</v>
      </c>
    </row>
    <row r="77" spans="2:5" ht="13.5" x14ac:dyDescent="0.2">
      <c r="B77" s="96"/>
      <c r="C77" s="63" t="s">
        <v>180</v>
      </c>
      <c r="D77" s="26">
        <v>184</v>
      </c>
      <c r="E77" s="25">
        <v>6.7177802117561157E-3</v>
      </c>
    </row>
    <row r="78" spans="2:5" ht="13.5" x14ac:dyDescent="0.2">
      <c r="B78" s="97"/>
      <c r="C78" s="75" t="s">
        <v>20</v>
      </c>
      <c r="D78" s="76">
        <v>452</v>
      </c>
      <c r="E78" s="77">
        <v>1.6502373128879155E-2</v>
      </c>
    </row>
    <row r="79" spans="2:5" ht="13.5" x14ac:dyDescent="0.2">
      <c r="B79" s="95" t="s">
        <v>172</v>
      </c>
      <c r="C79" s="63" t="s">
        <v>181</v>
      </c>
      <c r="D79" s="26">
        <v>1579</v>
      </c>
      <c r="E79" s="25">
        <v>5.764877692588536E-2</v>
      </c>
    </row>
    <row r="80" spans="2:5" ht="13.5" x14ac:dyDescent="0.2">
      <c r="B80" s="96"/>
      <c r="C80" s="63" t="s">
        <v>180</v>
      </c>
      <c r="D80" s="26">
        <v>1308</v>
      </c>
      <c r="E80" s="25">
        <v>4.7754654983570649E-2</v>
      </c>
    </row>
    <row r="81" spans="2:5" ht="13.5" x14ac:dyDescent="0.2">
      <c r="B81" s="97"/>
      <c r="C81" s="75" t="s">
        <v>20</v>
      </c>
      <c r="D81" s="76">
        <v>2887</v>
      </c>
      <c r="E81" s="77">
        <v>0.105403431909456</v>
      </c>
    </row>
    <row r="82" spans="2:5" ht="13.5" x14ac:dyDescent="0.2">
      <c r="B82" s="95" t="s">
        <v>171</v>
      </c>
      <c r="C82" s="63" t="s">
        <v>181</v>
      </c>
      <c r="D82" s="26">
        <v>101</v>
      </c>
      <c r="E82" s="25">
        <v>3.687477181453085E-3</v>
      </c>
    </row>
    <row r="83" spans="2:5" ht="13.5" x14ac:dyDescent="0.2">
      <c r="B83" s="96"/>
      <c r="C83" s="63" t="s">
        <v>180</v>
      </c>
      <c r="D83" s="26">
        <v>87</v>
      </c>
      <c r="E83" s="25">
        <v>3.1763417305585981E-3</v>
      </c>
    </row>
    <row r="84" spans="2:5" ht="13.5" x14ac:dyDescent="0.2">
      <c r="B84" s="97"/>
      <c r="C84" s="75" t="s">
        <v>20</v>
      </c>
      <c r="D84" s="76">
        <v>188</v>
      </c>
      <c r="E84" s="77">
        <v>6.863818912011683E-3</v>
      </c>
    </row>
    <row r="85" spans="2:5" ht="13.5" x14ac:dyDescent="0.2">
      <c r="B85" s="95" t="s">
        <v>94</v>
      </c>
      <c r="C85" s="63" t="s">
        <v>181</v>
      </c>
      <c r="D85" s="26">
        <v>221</v>
      </c>
      <c r="E85" s="25">
        <v>8.0686381891201166E-3</v>
      </c>
    </row>
    <row r="86" spans="2:5" ht="13.5" x14ac:dyDescent="0.2">
      <c r="B86" s="96"/>
      <c r="C86" s="63" t="s">
        <v>180</v>
      </c>
      <c r="D86" s="26">
        <v>135</v>
      </c>
      <c r="E86" s="25">
        <v>4.9288061336254111E-3</v>
      </c>
    </row>
    <row r="87" spans="2:5" ht="13.5" x14ac:dyDescent="0.2">
      <c r="B87" s="97"/>
      <c r="C87" s="75" t="s">
        <v>20</v>
      </c>
      <c r="D87" s="76">
        <v>356</v>
      </c>
      <c r="E87" s="77">
        <v>1.2997444322745527E-2</v>
      </c>
    </row>
    <row r="88" spans="2:5" ht="13.5" x14ac:dyDescent="0.2">
      <c r="B88" s="95" t="s">
        <v>93</v>
      </c>
      <c r="C88" s="63" t="s">
        <v>181</v>
      </c>
      <c r="D88" s="26">
        <v>318</v>
      </c>
      <c r="E88" s="25">
        <v>1.1610076670317633E-2</v>
      </c>
    </row>
    <row r="89" spans="2:5" ht="13.5" x14ac:dyDescent="0.2">
      <c r="B89" s="96"/>
      <c r="C89" s="63" t="s">
        <v>180</v>
      </c>
      <c r="D89" s="26">
        <v>266</v>
      </c>
      <c r="E89" s="25">
        <v>9.711573566995254E-3</v>
      </c>
    </row>
    <row r="90" spans="2:5" ht="13.5" x14ac:dyDescent="0.2">
      <c r="B90" s="97"/>
      <c r="C90" s="75" t="s">
        <v>20</v>
      </c>
      <c r="D90" s="76">
        <v>584</v>
      </c>
      <c r="E90" s="77">
        <v>2.1321650237312889E-2</v>
      </c>
    </row>
    <row r="91" spans="2:5" ht="13.5" x14ac:dyDescent="0.2">
      <c r="B91" s="95" t="s">
        <v>74</v>
      </c>
      <c r="C91" s="63" t="s">
        <v>181</v>
      </c>
      <c r="D91" s="26">
        <v>1</v>
      </c>
      <c r="E91" s="25">
        <v>3.6509675063891931E-5</v>
      </c>
    </row>
    <row r="92" spans="2:5" ht="13.5" x14ac:dyDescent="0.2">
      <c r="B92" s="96"/>
      <c r="C92" s="63" t="s">
        <v>180</v>
      </c>
      <c r="D92" s="26">
        <v>2</v>
      </c>
      <c r="E92" s="25">
        <v>7.3019350127783862E-5</v>
      </c>
    </row>
    <row r="93" spans="2:5" ht="13.5" x14ac:dyDescent="0.2">
      <c r="B93" s="97"/>
      <c r="C93" s="75" t="s">
        <v>20</v>
      </c>
      <c r="D93" s="76">
        <v>3</v>
      </c>
      <c r="E93" s="77">
        <v>1.095290251916758E-4</v>
      </c>
    </row>
    <row r="94" spans="2:5" ht="13.5" x14ac:dyDescent="0.2">
      <c r="B94" s="95" t="s">
        <v>86</v>
      </c>
      <c r="C94" s="63" t="s">
        <v>181</v>
      </c>
      <c r="D94" s="26">
        <v>89</v>
      </c>
      <c r="E94" s="25">
        <v>3.2493610806863817E-3</v>
      </c>
    </row>
    <row r="95" spans="2:5" ht="13.5" x14ac:dyDescent="0.2">
      <c r="B95" s="96"/>
      <c r="C95" s="63" t="s">
        <v>180</v>
      </c>
      <c r="D95" s="26">
        <v>52</v>
      </c>
      <c r="E95" s="25">
        <v>1.8985031033223803E-3</v>
      </c>
    </row>
    <row r="96" spans="2:5" ht="13.5" x14ac:dyDescent="0.2">
      <c r="B96" s="97"/>
      <c r="C96" s="75" t="s">
        <v>20</v>
      </c>
      <c r="D96" s="76">
        <v>141</v>
      </c>
      <c r="E96" s="77">
        <v>5.1478641840087625E-3</v>
      </c>
    </row>
    <row r="97" spans="2:5" ht="13.5" x14ac:dyDescent="0.2">
      <c r="B97" s="95" t="s">
        <v>115</v>
      </c>
      <c r="C97" s="63" t="s">
        <v>181</v>
      </c>
      <c r="D97" s="26">
        <v>1233</v>
      </c>
      <c r="E97" s="25">
        <v>4.5016429353778753E-2</v>
      </c>
    </row>
    <row r="98" spans="2:5" ht="13.5" x14ac:dyDescent="0.2">
      <c r="B98" s="96"/>
      <c r="C98" s="63" t="s">
        <v>180</v>
      </c>
      <c r="D98" s="26">
        <v>702</v>
      </c>
      <c r="E98" s="25">
        <v>2.5629791894852136E-2</v>
      </c>
    </row>
    <row r="99" spans="2:5" ht="13.5" x14ac:dyDescent="0.2">
      <c r="B99" s="97"/>
      <c r="C99" s="75" t="s">
        <v>20</v>
      </c>
      <c r="D99" s="76">
        <v>1935</v>
      </c>
      <c r="E99" s="77">
        <v>7.0646221248630889E-2</v>
      </c>
    </row>
    <row r="100" spans="2:5" ht="13.5" x14ac:dyDescent="0.2">
      <c r="B100" s="95" t="s">
        <v>88</v>
      </c>
      <c r="C100" s="63" t="s">
        <v>181</v>
      </c>
      <c r="D100" s="26">
        <v>148</v>
      </c>
      <c r="E100" s="25">
        <v>5.4034319094560055E-3</v>
      </c>
    </row>
    <row r="101" spans="2:5" ht="13.5" x14ac:dyDescent="0.2">
      <c r="B101" s="96"/>
      <c r="C101" s="63" t="s">
        <v>180</v>
      </c>
      <c r="D101" s="26">
        <v>88</v>
      </c>
      <c r="E101" s="25">
        <v>3.2128514056224901E-3</v>
      </c>
    </row>
    <row r="102" spans="2:5" ht="13.5" x14ac:dyDescent="0.2">
      <c r="B102" s="97"/>
      <c r="C102" s="75" t="s">
        <v>20</v>
      </c>
      <c r="D102" s="76">
        <v>236</v>
      </c>
      <c r="E102" s="77">
        <v>8.6162833150784952E-3</v>
      </c>
    </row>
    <row r="103" spans="2:5" ht="13.5" x14ac:dyDescent="0.2">
      <c r="B103" s="95" t="s">
        <v>107</v>
      </c>
      <c r="C103" s="63" t="s">
        <v>181</v>
      </c>
      <c r="D103" s="26">
        <v>382</v>
      </c>
      <c r="E103" s="25">
        <v>1.3946695874406717E-2</v>
      </c>
    </row>
    <row r="104" spans="2:5" ht="13.5" x14ac:dyDescent="0.2">
      <c r="B104" s="96"/>
      <c r="C104" s="63" t="s">
        <v>180</v>
      </c>
      <c r="D104" s="26">
        <v>212</v>
      </c>
      <c r="E104" s="25">
        <v>7.7400511135450895E-3</v>
      </c>
    </row>
    <row r="105" spans="2:5" ht="13.5" x14ac:dyDescent="0.2">
      <c r="B105" s="97"/>
      <c r="C105" s="75" t="s">
        <v>20</v>
      </c>
      <c r="D105" s="76">
        <v>594</v>
      </c>
      <c r="E105" s="77">
        <v>2.1686746987951807E-2</v>
      </c>
    </row>
    <row r="106" spans="2:5" ht="13.5" x14ac:dyDescent="0.2">
      <c r="B106" s="95" t="s">
        <v>103</v>
      </c>
      <c r="C106" s="63" t="s">
        <v>181</v>
      </c>
      <c r="D106" s="26">
        <v>223</v>
      </c>
      <c r="E106" s="25">
        <v>8.1416575392478999E-3</v>
      </c>
    </row>
    <row r="107" spans="2:5" ht="13.5" x14ac:dyDescent="0.2">
      <c r="B107" s="96"/>
      <c r="C107" s="63" t="s">
        <v>180</v>
      </c>
      <c r="D107" s="26">
        <v>164</v>
      </c>
      <c r="E107" s="25">
        <v>5.9875867104782765E-3</v>
      </c>
    </row>
    <row r="108" spans="2:5" ht="13.5" x14ac:dyDescent="0.2">
      <c r="B108" s="97"/>
      <c r="C108" s="75" t="s">
        <v>20</v>
      </c>
      <c r="D108" s="76">
        <v>387</v>
      </c>
      <c r="E108" s="77">
        <v>1.4129244249726178E-2</v>
      </c>
    </row>
    <row r="109" spans="2:5" ht="13.5" x14ac:dyDescent="0.2">
      <c r="B109" s="95" t="s">
        <v>91</v>
      </c>
      <c r="C109" s="63" t="s">
        <v>181</v>
      </c>
      <c r="D109" s="26">
        <v>157</v>
      </c>
      <c r="E109" s="25">
        <v>5.7320189850310335E-3</v>
      </c>
    </row>
    <row r="110" spans="2:5" ht="13.5" x14ac:dyDescent="0.2">
      <c r="B110" s="96"/>
      <c r="C110" s="63" t="s">
        <v>180</v>
      </c>
      <c r="D110" s="26">
        <v>103</v>
      </c>
      <c r="E110" s="25">
        <v>3.7604965315808691E-3</v>
      </c>
    </row>
    <row r="111" spans="2:5" ht="13.5" x14ac:dyDescent="0.2">
      <c r="B111" s="97"/>
      <c r="C111" s="75" t="s">
        <v>20</v>
      </c>
      <c r="D111" s="76">
        <v>260</v>
      </c>
      <c r="E111" s="77">
        <v>9.4925155166119025E-3</v>
      </c>
    </row>
    <row r="112" spans="2:5" ht="13.5" x14ac:dyDescent="0.2">
      <c r="B112" s="95" t="s">
        <v>95</v>
      </c>
      <c r="C112" s="63" t="s">
        <v>181</v>
      </c>
      <c r="D112" s="26">
        <v>104</v>
      </c>
      <c r="E112" s="25">
        <v>3.7970062066447607E-3</v>
      </c>
    </row>
    <row r="113" spans="2:5" ht="13.5" x14ac:dyDescent="0.2">
      <c r="B113" s="96"/>
      <c r="C113" s="63" t="s">
        <v>180</v>
      </c>
      <c r="D113" s="26">
        <v>81</v>
      </c>
      <c r="E113" s="25">
        <v>2.9572836801752466E-3</v>
      </c>
    </row>
    <row r="114" spans="2:5" ht="13.5" x14ac:dyDescent="0.2">
      <c r="B114" s="97"/>
      <c r="C114" s="75" t="s">
        <v>20</v>
      </c>
      <c r="D114" s="76">
        <v>185</v>
      </c>
      <c r="E114" s="77">
        <v>6.7542898868200073E-3</v>
      </c>
    </row>
    <row r="115" spans="2:5" ht="13.5" x14ac:dyDescent="0.2">
      <c r="B115" s="95" t="s">
        <v>79</v>
      </c>
      <c r="C115" s="63" t="s">
        <v>181</v>
      </c>
      <c r="D115" s="26">
        <v>4</v>
      </c>
      <c r="E115" s="25">
        <v>1.4603870025556772E-4</v>
      </c>
    </row>
    <row r="116" spans="2:5" ht="13.5" x14ac:dyDescent="0.2">
      <c r="B116" s="96"/>
      <c r="C116" s="63" t="s">
        <v>180</v>
      </c>
      <c r="D116" s="26">
        <v>1</v>
      </c>
      <c r="E116" s="25">
        <v>3.6509675063891931E-5</v>
      </c>
    </row>
    <row r="117" spans="2:5" ht="13.5" x14ac:dyDescent="0.2">
      <c r="B117" s="97"/>
      <c r="C117" s="75" t="s">
        <v>20</v>
      </c>
      <c r="D117" s="76">
        <v>5</v>
      </c>
      <c r="E117" s="77">
        <v>1.8254837531945966E-4</v>
      </c>
    </row>
    <row r="118" spans="2:5" ht="13.5" x14ac:dyDescent="0.2">
      <c r="B118" s="95" t="s">
        <v>113</v>
      </c>
      <c r="C118" s="63" t="s">
        <v>181</v>
      </c>
      <c r="D118" s="26">
        <v>826</v>
      </c>
      <c r="E118" s="25">
        <v>3.0156991602774734E-2</v>
      </c>
    </row>
    <row r="119" spans="2:5" ht="13.5" x14ac:dyDescent="0.2">
      <c r="B119" s="96"/>
      <c r="C119" s="63" t="s">
        <v>180</v>
      </c>
      <c r="D119" s="26">
        <v>536</v>
      </c>
      <c r="E119" s="25">
        <v>1.9569185834246074E-2</v>
      </c>
    </row>
    <row r="120" spans="2:5" ht="13.5" x14ac:dyDescent="0.2">
      <c r="B120" s="97"/>
      <c r="C120" s="75" t="s">
        <v>20</v>
      </c>
      <c r="D120" s="76">
        <v>1362</v>
      </c>
      <c r="E120" s="77">
        <v>4.9726177437020812E-2</v>
      </c>
    </row>
    <row r="121" spans="2:5" ht="13.5" x14ac:dyDescent="0.2">
      <c r="B121" s="95" t="s">
        <v>105</v>
      </c>
      <c r="C121" s="63" t="s">
        <v>181</v>
      </c>
      <c r="D121" s="26">
        <v>211</v>
      </c>
      <c r="E121" s="25">
        <v>7.7035414384811979E-3</v>
      </c>
    </row>
    <row r="122" spans="2:5" ht="13.5" x14ac:dyDescent="0.2">
      <c r="B122" s="96"/>
      <c r="C122" s="63" t="s">
        <v>180</v>
      </c>
      <c r="D122" s="26">
        <v>143</v>
      </c>
      <c r="E122" s="25">
        <v>5.2208835341365466E-3</v>
      </c>
    </row>
    <row r="123" spans="2:5" ht="13.5" x14ac:dyDescent="0.2">
      <c r="B123" s="97"/>
      <c r="C123" s="75" t="s">
        <v>20</v>
      </c>
      <c r="D123" s="76">
        <v>354</v>
      </c>
      <c r="E123" s="77">
        <v>1.2924424972617744E-2</v>
      </c>
    </row>
    <row r="124" spans="2:5" ht="13.5" x14ac:dyDescent="0.2">
      <c r="B124" s="95" t="s">
        <v>90</v>
      </c>
      <c r="C124" s="63" t="s">
        <v>181</v>
      </c>
      <c r="D124" s="26">
        <v>205</v>
      </c>
      <c r="E124" s="25">
        <v>7.4844833880978456E-3</v>
      </c>
    </row>
    <row r="125" spans="2:5" ht="13.5" x14ac:dyDescent="0.2">
      <c r="B125" s="96"/>
      <c r="C125" s="63" t="s">
        <v>180</v>
      </c>
      <c r="D125" s="26">
        <v>167</v>
      </c>
      <c r="E125" s="25">
        <v>6.0971157356699522E-3</v>
      </c>
    </row>
    <row r="126" spans="2:5" ht="13.5" x14ac:dyDescent="0.2">
      <c r="B126" s="97"/>
      <c r="C126" s="75" t="s">
        <v>20</v>
      </c>
      <c r="D126" s="76">
        <v>372</v>
      </c>
      <c r="E126" s="77">
        <v>1.3581599123767798E-2</v>
      </c>
    </row>
    <row r="127" spans="2:5" ht="13.5" x14ac:dyDescent="0.2">
      <c r="B127" s="95" t="s">
        <v>92</v>
      </c>
      <c r="C127" s="63" t="s">
        <v>181</v>
      </c>
      <c r="D127" s="26">
        <v>249</v>
      </c>
      <c r="E127" s="25">
        <v>9.0909090909090905E-3</v>
      </c>
    </row>
    <row r="128" spans="2:5" ht="13.5" x14ac:dyDescent="0.2">
      <c r="B128" s="96"/>
      <c r="C128" s="63" t="s">
        <v>180</v>
      </c>
      <c r="D128" s="26">
        <v>207</v>
      </c>
      <c r="E128" s="25">
        <v>7.5575027382256297E-3</v>
      </c>
    </row>
    <row r="129" spans="2:5" ht="13.5" x14ac:dyDescent="0.2">
      <c r="B129" s="97"/>
      <c r="C129" s="75" t="s">
        <v>20</v>
      </c>
      <c r="D129" s="76">
        <v>456</v>
      </c>
      <c r="E129" s="77">
        <v>1.6648411829134721E-2</v>
      </c>
    </row>
    <row r="130" spans="2:5" ht="13.5" x14ac:dyDescent="0.2">
      <c r="B130" s="95" t="s">
        <v>100</v>
      </c>
      <c r="C130" s="63" t="s">
        <v>181</v>
      </c>
      <c r="D130" s="26">
        <v>144</v>
      </c>
      <c r="E130" s="25">
        <v>5.2573932092004382E-3</v>
      </c>
    </row>
    <row r="131" spans="2:5" ht="13.5" x14ac:dyDescent="0.2">
      <c r="B131" s="96"/>
      <c r="C131" s="63" t="s">
        <v>180</v>
      </c>
      <c r="D131" s="26">
        <v>117</v>
      </c>
      <c r="E131" s="25">
        <v>4.271631982475356E-3</v>
      </c>
    </row>
    <row r="132" spans="2:5" ht="13.5" x14ac:dyDescent="0.2">
      <c r="B132" s="97"/>
      <c r="C132" s="75" t="s">
        <v>20</v>
      </c>
      <c r="D132" s="76">
        <v>261</v>
      </c>
      <c r="E132" s="77">
        <v>9.5290251916757933E-3</v>
      </c>
    </row>
    <row r="133" spans="2:5" ht="13.5" x14ac:dyDescent="0.2">
      <c r="B133" s="95" t="s">
        <v>112</v>
      </c>
      <c r="C133" s="63" t="s">
        <v>181</v>
      </c>
      <c r="D133" s="26">
        <v>515</v>
      </c>
      <c r="E133" s="25">
        <v>1.8802482657904344E-2</v>
      </c>
    </row>
    <row r="134" spans="2:5" ht="13.5" x14ac:dyDescent="0.2">
      <c r="B134" s="96"/>
      <c r="C134" s="63" t="s">
        <v>180</v>
      </c>
      <c r="D134" s="26">
        <v>457</v>
      </c>
      <c r="E134" s="25">
        <v>1.6684921504198612E-2</v>
      </c>
    </row>
    <row r="135" spans="2:5" ht="13.5" x14ac:dyDescent="0.2">
      <c r="B135" s="97"/>
      <c r="C135" s="75" t="s">
        <v>20</v>
      </c>
      <c r="D135" s="76">
        <v>972</v>
      </c>
      <c r="E135" s="77">
        <v>3.5487404162102956E-2</v>
      </c>
    </row>
    <row r="136" spans="2:5" ht="13.5" x14ac:dyDescent="0.2">
      <c r="B136" s="95" t="s">
        <v>96</v>
      </c>
      <c r="C136" s="63" t="s">
        <v>181</v>
      </c>
      <c r="D136" s="26">
        <v>319</v>
      </c>
      <c r="E136" s="25">
        <v>1.1646586345381526E-2</v>
      </c>
    </row>
    <row r="137" spans="2:5" ht="13.5" x14ac:dyDescent="0.2">
      <c r="B137" s="96"/>
      <c r="C137" s="63" t="s">
        <v>180</v>
      </c>
      <c r="D137" s="26">
        <v>285</v>
      </c>
      <c r="E137" s="25">
        <v>1.0405257393209201E-2</v>
      </c>
    </row>
    <row r="138" spans="2:5" ht="13.5" x14ac:dyDescent="0.2">
      <c r="B138" s="97"/>
      <c r="C138" s="75" t="s">
        <v>20</v>
      </c>
      <c r="D138" s="76">
        <v>604</v>
      </c>
      <c r="E138" s="77">
        <v>2.2051843738590725E-2</v>
      </c>
    </row>
    <row r="139" spans="2:5" ht="13.5" x14ac:dyDescent="0.2">
      <c r="B139" s="95" t="s">
        <v>109</v>
      </c>
      <c r="C139" s="63" t="s">
        <v>181</v>
      </c>
      <c r="D139" s="26">
        <v>373</v>
      </c>
      <c r="E139" s="25">
        <v>1.361810879883169E-2</v>
      </c>
    </row>
    <row r="140" spans="2:5" ht="13.5" x14ac:dyDescent="0.2">
      <c r="B140" s="96"/>
      <c r="C140" s="63" t="s">
        <v>180</v>
      </c>
      <c r="D140" s="26">
        <v>258</v>
      </c>
      <c r="E140" s="25">
        <v>9.4194961664841176E-3</v>
      </c>
    </row>
    <row r="141" spans="2:5" ht="13.5" x14ac:dyDescent="0.2">
      <c r="B141" s="97"/>
      <c r="C141" s="75" t="s">
        <v>20</v>
      </c>
      <c r="D141" s="76">
        <v>631</v>
      </c>
      <c r="E141" s="77">
        <v>2.303760496531581E-2</v>
      </c>
    </row>
    <row r="142" spans="2:5" ht="13.5" x14ac:dyDescent="0.2">
      <c r="B142" s="95" t="s">
        <v>170</v>
      </c>
      <c r="C142" s="63" t="s">
        <v>181</v>
      </c>
      <c r="D142" s="26">
        <v>371</v>
      </c>
      <c r="E142" s="25">
        <v>1.3545089448703907E-2</v>
      </c>
    </row>
    <row r="143" spans="2:5" ht="13.5" x14ac:dyDescent="0.2">
      <c r="B143" s="96"/>
      <c r="C143" s="63" t="s">
        <v>180</v>
      </c>
      <c r="D143" s="26">
        <v>251</v>
      </c>
      <c r="E143" s="25">
        <v>9.1639284410368754E-3</v>
      </c>
    </row>
    <row r="144" spans="2:5" ht="13.5" x14ac:dyDescent="0.2">
      <c r="B144" s="97"/>
      <c r="C144" s="75" t="s">
        <v>20</v>
      </c>
      <c r="D144" s="76">
        <v>622</v>
      </c>
      <c r="E144" s="77">
        <v>2.2709017889740783E-2</v>
      </c>
    </row>
    <row r="145" spans="2:5" ht="13.5" x14ac:dyDescent="0.2">
      <c r="B145" s="95" t="s">
        <v>111</v>
      </c>
      <c r="C145" s="63" t="s">
        <v>181</v>
      </c>
      <c r="D145" s="26">
        <v>596</v>
      </c>
      <c r="E145" s="25">
        <v>2.1759766338079592E-2</v>
      </c>
    </row>
    <row r="146" spans="2:5" ht="13.5" x14ac:dyDescent="0.2">
      <c r="B146" s="96"/>
      <c r="C146" s="63" t="s">
        <v>180</v>
      </c>
      <c r="D146" s="26">
        <v>536</v>
      </c>
      <c r="E146" s="25">
        <v>1.9569185834246074E-2</v>
      </c>
    </row>
    <row r="147" spans="2:5" ht="13.5" x14ac:dyDescent="0.2">
      <c r="B147" s="97"/>
      <c r="C147" s="75" t="s">
        <v>20</v>
      </c>
      <c r="D147" s="76">
        <v>1132</v>
      </c>
      <c r="E147" s="77">
        <v>4.132895217232567E-2</v>
      </c>
    </row>
    <row r="148" spans="2:5" ht="13.5" x14ac:dyDescent="0.2">
      <c r="B148" s="95" t="s">
        <v>89</v>
      </c>
      <c r="C148" s="63" t="s">
        <v>181</v>
      </c>
      <c r="D148" s="26">
        <v>76</v>
      </c>
      <c r="E148" s="25">
        <v>2.7747353048557868E-3</v>
      </c>
    </row>
    <row r="149" spans="2:5" ht="13.5" x14ac:dyDescent="0.2">
      <c r="B149" s="96"/>
      <c r="C149" s="63" t="s">
        <v>180</v>
      </c>
      <c r="D149" s="26">
        <v>33</v>
      </c>
      <c r="E149" s="25">
        <v>1.2048192771084338E-3</v>
      </c>
    </row>
    <row r="150" spans="2:5" ht="13.5" x14ac:dyDescent="0.2">
      <c r="B150" s="97"/>
      <c r="C150" s="75" t="s">
        <v>20</v>
      </c>
      <c r="D150" s="76">
        <v>109</v>
      </c>
      <c r="E150" s="77">
        <v>3.9795545819642205E-3</v>
      </c>
    </row>
    <row r="151" spans="2:5" ht="13.5" x14ac:dyDescent="0.2">
      <c r="B151" s="95" t="s">
        <v>80</v>
      </c>
      <c r="C151" s="63" t="s">
        <v>181</v>
      </c>
      <c r="D151" s="26">
        <v>23</v>
      </c>
      <c r="E151" s="25">
        <v>8.3972252646951446E-4</v>
      </c>
    </row>
    <row r="152" spans="2:5" ht="13.5" x14ac:dyDescent="0.2">
      <c r="B152" s="96"/>
      <c r="C152" s="63" t="s">
        <v>180</v>
      </c>
      <c r="D152" s="26">
        <v>19</v>
      </c>
      <c r="E152" s="25">
        <v>6.9368382621394671E-4</v>
      </c>
    </row>
    <row r="153" spans="2:5" ht="13.5" x14ac:dyDescent="0.2">
      <c r="B153" s="97"/>
      <c r="C153" s="75" t="s">
        <v>20</v>
      </c>
      <c r="D153" s="76">
        <v>42</v>
      </c>
      <c r="E153" s="77">
        <v>1.5334063526834612E-3</v>
      </c>
    </row>
    <row r="154" spans="2:5" ht="13.5" x14ac:dyDescent="0.2">
      <c r="B154" s="95" t="s">
        <v>50</v>
      </c>
      <c r="C154" s="63" t="s">
        <v>181</v>
      </c>
      <c r="D154" s="26">
        <v>131</v>
      </c>
      <c r="E154" s="25">
        <v>4.7827674333698429E-3</v>
      </c>
    </row>
    <row r="155" spans="2:5" ht="13.5" x14ac:dyDescent="0.2">
      <c r="B155" s="96"/>
      <c r="C155" s="63" t="s">
        <v>180</v>
      </c>
      <c r="D155" s="26">
        <v>72</v>
      </c>
      <c r="E155" s="25">
        <v>2.6286966046002191E-3</v>
      </c>
    </row>
    <row r="156" spans="2:5" ht="13.5" x14ac:dyDescent="0.2">
      <c r="B156" s="97"/>
      <c r="C156" s="75" t="s">
        <v>20</v>
      </c>
      <c r="D156" s="76">
        <v>203</v>
      </c>
      <c r="E156" s="77">
        <v>7.4114640379700624E-3</v>
      </c>
    </row>
    <row r="157" spans="2:5" ht="13.5" x14ac:dyDescent="0.2">
      <c r="B157" s="95" t="s">
        <v>77</v>
      </c>
      <c r="C157" s="63" t="s">
        <v>181</v>
      </c>
      <c r="D157" s="26">
        <v>2</v>
      </c>
      <c r="E157" s="25">
        <v>7.3019350127783862E-5</v>
      </c>
    </row>
    <row r="158" spans="2:5" ht="13.5" x14ac:dyDescent="0.2">
      <c r="B158" s="96"/>
      <c r="C158" s="63" t="s">
        <v>180</v>
      </c>
      <c r="D158" s="26">
        <v>1</v>
      </c>
      <c r="E158" s="25">
        <v>3.6509675063891931E-5</v>
      </c>
    </row>
    <row r="159" spans="2:5" ht="13.5" x14ac:dyDescent="0.2">
      <c r="B159" s="97"/>
      <c r="C159" s="75" t="s">
        <v>20</v>
      </c>
      <c r="D159" s="76">
        <v>3</v>
      </c>
      <c r="E159" s="77">
        <v>1.095290251916758E-4</v>
      </c>
    </row>
    <row r="160" spans="2:5" ht="13.5" x14ac:dyDescent="0.2">
      <c r="B160" s="91" t="s">
        <v>176</v>
      </c>
      <c r="C160" s="92"/>
      <c r="D160" s="73">
        <v>27390</v>
      </c>
      <c r="E160" s="74">
        <v>1</v>
      </c>
    </row>
    <row r="162" spans="2:2" x14ac:dyDescent="0.2">
      <c r="B162" s="19" t="s">
        <v>220</v>
      </c>
    </row>
    <row r="163" spans="2:2" x14ac:dyDescent="0.2">
      <c r="B163" s="21" t="s">
        <v>19</v>
      </c>
    </row>
    <row r="164" spans="2:2" x14ac:dyDescent="0.2">
      <c r="B164" s="20" t="s">
        <v>18</v>
      </c>
    </row>
    <row r="165" spans="2:2" x14ac:dyDescent="0.2">
      <c r="B165" s="19" t="s">
        <v>17</v>
      </c>
    </row>
    <row r="166" spans="2:2" x14ac:dyDescent="0.2">
      <c r="B166" s="19" t="s">
        <v>221</v>
      </c>
    </row>
  </sheetData>
  <mergeCells count="52">
    <mergeCell ref="B8:E10"/>
    <mergeCell ref="B12:B14"/>
    <mergeCell ref="B15:B17"/>
    <mergeCell ref="B18:B20"/>
    <mergeCell ref="B21:B23"/>
    <mergeCell ref="B39:B41"/>
    <mergeCell ref="B42:B44"/>
    <mergeCell ref="B45:B47"/>
    <mergeCell ref="B48:B49"/>
    <mergeCell ref="B50:B51"/>
    <mergeCell ref="B24:B26"/>
    <mergeCell ref="B27:B29"/>
    <mergeCell ref="B30:B32"/>
    <mergeCell ref="B33:B35"/>
    <mergeCell ref="B36:B38"/>
    <mergeCell ref="B145:B147"/>
    <mergeCell ref="B52:B54"/>
    <mergeCell ref="B55:B57"/>
    <mergeCell ref="B58:B60"/>
    <mergeCell ref="B61:B63"/>
    <mergeCell ref="B64:B66"/>
    <mergeCell ref="B67:B69"/>
    <mergeCell ref="B70:B72"/>
    <mergeCell ref="B73:B75"/>
    <mergeCell ref="B76:B78"/>
    <mergeCell ref="B79:B81"/>
    <mergeCell ref="B82:B84"/>
    <mergeCell ref="B130:B132"/>
    <mergeCell ref="B133:B135"/>
    <mergeCell ref="B136:B138"/>
    <mergeCell ref="B139:B141"/>
    <mergeCell ref="B142:B144"/>
    <mergeCell ref="B85:B87"/>
    <mergeCell ref="B88:B90"/>
    <mergeCell ref="B91:B93"/>
    <mergeCell ref="B94:B96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127:B129"/>
    <mergeCell ref="B148:B150"/>
    <mergeCell ref="B151:B153"/>
    <mergeCell ref="B154:B156"/>
    <mergeCell ref="B157:B159"/>
    <mergeCell ref="B160:C160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1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96" zoomScaleNormal="96" zoomScaleSheetLayoutView="100" workbookViewId="0">
      <selection activeCell="E1" sqref="E1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8" t="s">
        <v>193</v>
      </c>
      <c r="C8" s="98"/>
      <c r="D8" s="98"/>
      <c r="E8" s="98"/>
      <c r="F8" s="98"/>
    </row>
    <row r="9" spans="1:7" s="64" customFormat="1" ht="15" customHeight="1" x14ac:dyDescent="0.25">
      <c r="A9" s="66"/>
      <c r="B9" s="98"/>
      <c r="C9" s="98"/>
      <c r="D9" s="98"/>
      <c r="E9" s="98"/>
      <c r="F9" s="98"/>
      <c r="G9" s="67"/>
    </row>
    <row r="10" spans="1:7" s="64" customFormat="1" ht="15" customHeight="1" x14ac:dyDescent="0.25">
      <c r="A10" s="66"/>
      <c r="B10" s="99"/>
      <c r="C10" s="99"/>
      <c r="D10" s="99"/>
      <c r="E10" s="99"/>
      <c r="F10" s="99"/>
      <c r="G10" s="66"/>
    </row>
    <row r="11" spans="1:7" s="64" customFormat="1" ht="36.950000000000003" customHeight="1" x14ac:dyDescent="0.25">
      <c r="B11" s="65" t="s">
        <v>179</v>
      </c>
      <c r="C11" s="65" t="s">
        <v>192</v>
      </c>
      <c r="D11" s="65" t="s">
        <v>69</v>
      </c>
      <c r="E11" s="65" t="s">
        <v>191</v>
      </c>
      <c r="F11" s="65" t="s">
        <v>190</v>
      </c>
    </row>
    <row r="12" spans="1:7" ht="13.5" x14ac:dyDescent="0.2">
      <c r="B12" s="95" t="s">
        <v>181</v>
      </c>
      <c r="C12" s="63" t="s">
        <v>189</v>
      </c>
      <c r="D12" s="26">
        <v>12</v>
      </c>
      <c r="E12" s="70">
        <v>7.6190476190476193E-4</v>
      </c>
      <c r="F12" s="25">
        <f t="shared" ref="F12:F28" si="0">D12/$D$28</f>
        <v>4.381161007667032E-4</v>
      </c>
    </row>
    <row r="13" spans="1:7" ht="13.5" x14ac:dyDescent="0.2">
      <c r="B13" s="96"/>
      <c r="C13" s="63" t="s">
        <v>188</v>
      </c>
      <c r="D13" s="26">
        <v>124</v>
      </c>
      <c r="E13" s="70">
        <v>7.8730158730158737E-3</v>
      </c>
      <c r="F13" s="25">
        <f t="shared" si="0"/>
        <v>4.5271997079225999E-3</v>
      </c>
    </row>
    <row r="14" spans="1:7" ht="13.5" x14ac:dyDescent="0.2">
      <c r="B14" s="96"/>
      <c r="C14" s="63" t="s">
        <v>187</v>
      </c>
      <c r="D14" s="26">
        <v>1252</v>
      </c>
      <c r="E14" s="70">
        <v>7.9492063492063489E-2</v>
      </c>
      <c r="F14" s="25">
        <f t="shared" si="0"/>
        <v>4.5710113179992698E-2</v>
      </c>
    </row>
    <row r="15" spans="1:7" ht="13.5" x14ac:dyDescent="0.2">
      <c r="B15" s="96"/>
      <c r="C15" s="63" t="s">
        <v>186</v>
      </c>
      <c r="D15" s="26">
        <v>4504</v>
      </c>
      <c r="E15" s="70">
        <v>0.28596825396825398</v>
      </c>
      <c r="F15" s="25">
        <f t="shared" si="0"/>
        <v>0.16443957648776925</v>
      </c>
    </row>
    <row r="16" spans="1:7" ht="27" x14ac:dyDescent="0.2">
      <c r="B16" s="96"/>
      <c r="C16" s="63" t="s">
        <v>185</v>
      </c>
      <c r="D16" s="26">
        <v>6188</v>
      </c>
      <c r="E16" s="70">
        <v>0.3928888888888889</v>
      </c>
      <c r="F16" s="25">
        <f t="shared" si="0"/>
        <v>0.22592186929536326</v>
      </c>
    </row>
    <row r="17" spans="2:6" ht="13.5" x14ac:dyDescent="0.2">
      <c r="B17" s="96"/>
      <c r="C17" s="63" t="s">
        <v>184</v>
      </c>
      <c r="D17" s="26">
        <v>3405</v>
      </c>
      <c r="E17" s="70">
        <v>0.21619047619047618</v>
      </c>
      <c r="F17" s="25">
        <f t="shared" si="0"/>
        <v>0.12431544359255203</v>
      </c>
    </row>
    <row r="18" spans="2:6" ht="13.5" x14ac:dyDescent="0.2">
      <c r="B18" s="96"/>
      <c r="C18" s="63" t="s">
        <v>183</v>
      </c>
      <c r="D18" s="26">
        <v>236</v>
      </c>
      <c r="E18" s="70">
        <v>1.4984126984126983E-2</v>
      </c>
      <c r="F18" s="25">
        <f t="shared" si="0"/>
        <v>8.6162833150784952E-3</v>
      </c>
    </row>
    <row r="19" spans="2:6" ht="13.5" x14ac:dyDescent="0.2">
      <c r="B19" s="97"/>
      <c r="C19" s="63" t="s">
        <v>182</v>
      </c>
      <c r="D19" s="26">
        <v>29</v>
      </c>
      <c r="E19" s="70">
        <v>1.8412698412698413E-3</v>
      </c>
      <c r="F19" s="25">
        <f t="shared" si="0"/>
        <v>1.0587805768528661E-3</v>
      </c>
    </row>
    <row r="20" spans="2:6" ht="13.5" x14ac:dyDescent="0.2">
      <c r="B20" s="95" t="s">
        <v>180</v>
      </c>
      <c r="C20" s="63" t="s">
        <v>189</v>
      </c>
      <c r="D20" s="26">
        <v>15</v>
      </c>
      <c r="E20" s="71">
        <v>1.288659793814433E-3</v>
      </c>
      <c r="F20" s="25">
        <f t="shared" si="0"/>
        <v>5.4764512595837896E-4</v>
      </c>
    </row>
    <row r="21" spans="2:6" ht="13.5" x14ac:dyDescent="0.2">
      <c r="B21" s="96"/>
      <c r="C21" s="63" t="s">
        <v>188</v>
      </c>
      <c r="D21" s="26">
        <v>134</v>
      </c>
      <c r="E21" s="71">
        <v>1.1512027491408935E-2</v>
      </c>
      <c r="F21" s="25">
        <f t="shared" si="0"/>
        <v>4.8922964585615186E-3</v>
      </c>
    </row>
    <row r="22" spans="2:6" ht="13.5" x14ac:dyDescent="0.2">
      <c r="B22" s="96"/>
      <c r="C22" s="63" t="s">
        <v>187</v>
      </c>
      <c r="D22" s="26">
        <v>970</v>
      </c>
      <c r="E22" s="71">
        <v>8.3333333333333329E-2</v>
      </c>
      <c r="F22" s="25">
        <f t="shared" si="0"/>
        <v>3.5414384811975175E-2</v>
      </c>
    </row>
    <row r="23" spans="2:6" ht="13.5" x14ac:dyDescent="0.2">
      <c r="B23" s="96"/>
      <c r="C23" s="63" t="s">
        <v>186</v>
      </c>
      <c r="D23" s="26">
        <v>3026</v>
      </c>
      <c r="E23" s="71">
        <v>0.25996563573883164</v>
      </c>
      <c r="F23" s="25">
        <f t="shared" si="0"/>
        <v>0.11047827674333699</v>
      </c>
    </row>
    <row r="24" spans="2:6" ht="27" x14ac:dyDescent="0.2">
      <c r="B24" s="96"/>
      <c r="C24" s="63" t="s">
        <v>185</v>
      </c>
      <c r="D24" s="26">
        <v>4624</v>
      </c>
      <c r="E24" s="71">
        <v>0.39725085910652919</v>
      </c>
      <c r="F24" s="25">
        <f t="shared" si="0"/>
        <v>0.1688207374954363</v>
      </c>
    </row>
    <row r="25" spans="2:6" ht="13.5" x14ac:dyDescent="0.2">
      <c r="B25" s="96"/>
      <c r="C25" s="63" t="s">
        <v>184</v>
      </c>
      <c r="D25" s="26">
        <v>2680</v>
      </c>
      <c r="E25" s="71">
        <v>0.23024054982817868</v>
      </c>
      <c r="F25" s="25">
        <f t="shared" si="0"/>
        <v>9.7845929171230375E-2</v>
      </c>
    </row>
    <row r="26" spans="2:6" ht="13.5" x14ac:dyDescent="0.2">
      <c r="B26" s="96"/>
      <c r="C26" s="63" t="s">
        <v>183</v>
      </c>
      <c r="D26" s="26">
        <v>162</v>
      </c>
      <c r="E26" s="71">
        <v>1.3917525773195877E-2</v>
      </c>
      <c r="F26" s="25">
        <f t="shared" si="0"/>
        <v>5.9145673603504933E-3</v>
      </c>
    </row>
    <row r="27" spans="2:6" ht="13.5" x14ac:dyDescent="0.2">
      <c r="B27" s="97"/>
      <c r="C27" s="63" t="s">
        <v>182</v>
      </c>
      <c r="D27" s="26">
        <v>29</v>
      </c>
      <c r="E27" s="71">
        <v>2.4914089347079036E-3</v>
      </c>
      <c r="F27" s="25">
        <f t="shared" si="0"/>
        <v>1.0587805768528661E-3</v>
      </c>
    </row>
    <row r="28" spans="2:6" ht="13.5" x14ac:dyDescent="0.2">
      <c r="B28" s="72" t="s">
        <v>20</v>
      </c>
      <c r="C28" s="72"/>
      <c r="D28" s="73">
        <v>27390</v>
      </c>
      <c r="E28" s="74"/>
      <c r="F28" s="74">
        <f t="shared" si="0"/>
        <v>1</v>
      </c>
    </row>
    <row r="30" spans="2:6" x14ac:dyDescent="0.2">
      <c r="B30" s="19" t="s">
        <v>220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221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1"/>
  <sheetViews>
    <sheetView showGridLines="0" zoomScaleNormal="100" zoomScaleSheetLayoutView="115" workbookViewId="0">
      <selection activeCell="K19" sqref="K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71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226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217</v>
      </c>
      <c r="C11" s="31" t="s">
        <v>69</v>
      </c>
      <c r="D11" s="30" t="s">
        <v>68</v>
      </c>
    </row>
    <row r="12" spans="1:4" x14ac:dyDescent="0.25">
      <c r="B12" s="27" t="s">
        <v>216</v>
      </c>
      <c r="C12" s="26">
        <v>16348</v>
      </c>
      <c r="D12" s="25">
        <f t="shared" ref="D12:D35" si="0">C12/$C$35</f>
        <v>0.59686016794450525</v>
      </c>
    </row>
    <row r="13" spans="1:4" x14ac:dyDescent="0.25">
      <c r="B13" s="27" t="s">
        <v>215</v>
      </c>
      <c r="C13" s="26">
        <v>5435</v>
      </c>
      <c r="D13" s="25">
        <f t="shared" si="0"/>
        <v>0.19843008397225265</v>
      </c>
    </row>
    <row r="14" spans="1:4" x14ac:dyDescent="0.25">
      <c r="B14" s="27" t="s">
        <v>214</v>
      </c>
      <c r="C14" s="26">
        <v>1277</v>
      </c>
      <c r="D14" s="25">
        <f t="shared" si="0"/>
        <v>4.6622855056589994E-2</v>
      </c>
    </row>
    <row r="15" spans="1:4" x14ac:dyDescent="0.25">
      <c r="B15" s="27" t="s">
        <v>213</v>
      </c>
      <c r="C15" s="26">
        <v>1155</v>
      </c>
      <c r="D15" s="25">
        <f t="shared" si="0"/>
        <v>4.2168674698795178E-2</v>
      </c>
    </row>
    <row r="16" spans="1:4" x14ac:dyDescent="0.25">
      <c r="B16" s="27" t="s">
        <v>211</v>
      </c>
      <c r="C16" s="26">
        <v>730</v>
      </c>
      <c r="D16" s="25">
        <f t="shared" si="0"/>
        <v>2.6652062796641111E-2</v>
      </c>
    </row>
    <row r="17" spans="2:4" x14ac:dyDescent="0.25">
      <c r="B17" s="27" t="s">
        <v>212</v>
      </c>
      <c r="C17" s="26">
        <v>670</v>
      </c>
      <c r="D17" s="25">
        <f t="shared" si="0"/>
        <v>2.4461482292807594E-2</v>
      </c>
    </row>
    <row r="18" spans="2:4" x14ac:dyDescent="0.25">
      <c r="B18" s="27" t="s">
        <v>210</v>
      </c>
      <c r="C18" s="26">
        <v>326</v>
      </c>
      <c r="D18" s="25">
        <f t="shared" si="0"/>
        <v>1.190215407082877E-2</v>
      </c>
    </row>
    <row r="19" spans="2:4" x14ac:dyDescent="0.25">
      <c r="B19" s="27" t="s">
        <v>204</v>
      </c>
      <c r="C19" s="26">
        <v>210</v>
      </c>
      <c r="D19" s="25">
        <f t="shared" si="0"/>
        <v>7.6670317634173054E-3</v>
      </c>
    </row>
    <row r="20" spans="2:4" x14ac:dyDescent="0.25">
      <c r="B20" s="27" t="s">
        <v>208</v>
      </c>
      <c r="C20" s="26">
        <v>200</v>
      </c>
      <c r="D20" s="25">
        <f t="shared" si="0"/>
        <v>7.3019350127783867E-3</v>
      </c>
    </row>
    <row r="21" spans="2:4" x14ac:dyDescent="0.25">
      <c r="B21" s="27" t="s">
        <v>206</v>
      </c>
      <c r="C21" s="26">
        <v>196</v>
      </c>
      <c r="D21" s="25">
        <f t="shared" si="0"/>
        <v>7.1558963125228185E-3</v>
      </c>
    </row>
    <row r="22" spans="2:4" x14ac:dyDescent="0.25">
      <c r="B22" s="27" t="s">
        <v>205</v>
      </c>
      <c r="C22" s="26">
        <v>185</v>
      </c>
      <c r="D22" s="25">
        <f t="shared" si="0"/>
        <v>6.7542898868200073E-3</v>
      </c>
    </row>
    <row r="23" spans="2:4" x14ac:dyDescent="0.25">
      <c r="B23" s="27" t="s">
        <v>209</v>
      </c>
      <c r="C23" s="26">
        <v>176</v>
      </c>
      <c r="D23" s="25">
        <f t="shared" si="0"/>
        <v>6.4257028112449802E-3</v>
      </c>
    </row>
    <row r="24" spans="2:4" x14ac:dyDescent="0.25">
      <c r="B24" s="27" t="s">
        <v>207</v>
      </c>
      <c r="C24" s="26">
        <v>165</v>
      </c>
      <c r="D24" s="25">
        <f t="shared" si="0"/>
        <v>6.024096385542169E-3</v>
      </c>
    </row>
    <row r="25" spans="2:4" x14ac:dyDescent="0.25">
      <c r="B25" s="27" t="s">
        <v>203</v>
      </c>
      <c r="C25" s="26">
        <v>74</v>
      </c>
      <c r="D25" s="25">
        <f t="shared" si="0"/>
        <v>2.7017159547280028E-3</v>
      </c>
    </row>
    <row r="26" spans="2:4" x14ac:dyDescent="0.25">
      <c r="B26" s="27" t="s">
        <v>201</v>
      </c>
      <c r="C26" s="26">
        <v>68</v>
      </c>
      <c r="D26" s="25">
        <f t="shared" si="0"/>
        <v>2.4826579043446513E-3</v>
      </c>
    </row>
    <row r="27" spans="2:4" x14ac:dyDescent="0.25">
      <c r="B27" s="27" t="s">
        <v>202</v>
      </c>
      <c r="C27" s="26">
        <v>68</v>
      </c>
      <c r="D27" s="25">
        <f t="shared" si="0"/>
        <v>2.4826579043446513E-3</v>
      </c>
    </row>
    <row r="28" spans="2:4" x14ac:dyDescent="0.25">
      <c r="B28" s="27" t="s">
        <v>200</v>
      </c>
      <c r="C28" s="26">
        <v>58</v>
      </c>
      <c r="D28" s="25">
        <f t="shared" si="0"/>
        <v>2.1175611537057322E-3</v>
      </c>
    </row>
    <row r="29" spans="2:4" x14ac:dyDescent="0.25">
      <c r="B29" s="27" t="s">
        <v>199</v>
      </c>
      <c r="C29" s="26">
        <v>25</v>
      </c>
      <c r="D29" s="25">
        <f t="shared" si="0"/>
        <v>9.1274187659729834E-4</v>
      </c>
    </row>
    <row r="30" spans="2:4" x14ac:dyDescent="0.25">
      <c r="B30" s="27" t="s">
        <v>198</v>
      </c>
      <c r="C30" s="26">
        <v>14</v>
      </c>
      <c r="D30" s="25">
        <f t="shared" si="0"/>
        <v>5.1113545089448702E-4</v>
      </c>
    </row>
    <row r="31" spans="2:4" x14ac:dyDescent="0.25">
      <c r="B31" s="27" t="s">
        <v>197</v>
      </c>
      <c r="C31" s="26">
        <v>4</v>
      </c>
      <c r="D31" s="25">
        <f t="shared" si="0"/>
        <v>1.4603870025556772E-4</v>
      </c>
    </row>
    <row r="32" spans="2:4" x14ac:dyDescent="0.25">
      <c r="B32" s="27" t="s">
        <v>196</v>
      </c>
      <c r="C32" s="26">
        <v>3</v>
      </c>
      <c r="D32" s="25">
        <f t="shared" si="0"/>
        <v>1.095290251916758E-4</v>
      </c>
    </row>
    <row r="33" spans="1:4" x14ac:dyDescent="0.25">
      <c r="B33" s="27" t="s">
        <v>194</v>
      </c>
      <c r="C33" s="26">
        <v>2</v>
      </c>
      <c r="D33" s="25">
        <f t="shared" si="0"/>
        <v>7.3019350127783862E-5</v>
      </c>
    </row>
    <row r="34" spans="1:4" x14ac:dyDescent="0.25">
      <c r="B34" s="27" t="s">
        <v>195</v>
      </c>
      <c r="C34" s="26">
        <v>1</v>
      </c>
      <c r="D34" s="25">
        <f t="shared" si="0"/>
        <v>3.6509675063891931E-5</v>
      </c>
    </row>
    <row r="35" spans="1:4" x14ac:dyDescent="0.25">
      <c r="B35" s="24" t="s">
        <v>20</v>
      </c>
      <c r="C35" s="23">
        <v>27390</v>
      </c>
      <c r="D35" s="22">
        <f t="shared" si="0"/>
        <v>1</v>
      </c>
    </row>
    <row r="37" spans="1:4" x14ac:dyDescent="0.25">
      <c r="A37" s="58" t="s">
        <v>220</v>
      </c>
    </row>
    <row r="38" spans="1:4" x14ac:dyDescent="0.25">
      <c r="A38" s="58" t="s">
        <v>19</v>
      </c>
    </row>
    <row r="39" spans="1:4" x14ac:dyDescent="0.25">
      <c r="A39" s="58" t="s">
        <v>18</v>
      </c>
    </row>
    <row r="40" spans="1:4" x14ac:dyDescent="0.25">
      <c r="A40" s="58" t="s">
        <v>17</v>
      </c>
    </row>
    <row r="41" spans="1:4" x14ac:dyDescent="0.25">
      <c r="A41" s="58" t="s">
        <v>221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Ciudad de México_EdoUsa</vt:lpstr>
      <vt:lpstr>Ciudad de México_Cons</vt:lpstr>
      <vt:lpstr>Ciudad de MéxicoXCons</vt:lpstr>
      <vt:lpstr>Ciudad de México_EdoMun</vt:lpstr>
      <vt:lpstr>Ciudad de México_USAMuni</vt:lpstr>
      <vt:lpstr>Ciudad de México_MUNICIPIO</vt:lpstr>
      <vt:lpstr>Ciudad de México_educ_gral</vt:lpstr>
      <vt:lpstr>Ciudad de México_NivelE_Cons</vt:lpstr>
      <vt:lpstr>Ciudad de México_EducCons</vt:lpstr>
      <vt:lpstr>Ciudad de México_GenGral</vt:lpstr>
      <vt:lpstr>Ciudad de México_GENERO</vt:lpstr>
      <vt:lpstr>Ciudad de México_Gen_Edad</vt:lpstr>
      <vt:lpstr>Ciudad de México_ocup_gral</vt:lpstr>
      <vt:lpstr>'Ciudad de México_EducCons'!Área_de_impresión</vt:lpstr>
      <vt:lpstr>'Ciudad de México_MUNICIPIO'!Área_de_impresión</vt:lpstr>
      <vt:lpstr>'Ciudad de México_NivelE_Cons'!Área_de_impresión</vt:lpstr>
      <vt:lpstr>'Ciudad de México_USAMuni'!Área_de_impresión</vt:lpstr>
      <vt:lpstr>'Ciudad de México_Cons'!Títulos_a_imprimir</vt:lpstr>
      <vt:lpstr>'Ciudad de México_EdoMun'!Títulos_a_imprimir</vt:lpstr>
      <vt:lpstr>'Ciudad de México_EdoUsa'!Títulos_a_imprimir</vt:lpstr>
      <vt:lpstr>'Ciudad de México_educ_gral'!Títulos_a_imprimir</vt:lpstr>
      <vt:lpstr>'Ciudad de México_EducCons'!Títulos_a_imprimir</vt:lpstr>
      <vt:lpstr>'Ciudad de México_Gen_Edad'!Títulos_a_imprimir</vt:lpstr>
      <vt:lpstr>'Ciudad de México_GENERO'!Títulos_a_imprimir</vt:lpstr>
      <vt:lpstr>'Ciudad de México_GenGral'!Títulos_a_imprimir</vt:lpstr>
      <vt:lpstr>'Ciudad de México_MUNICIPIO'!Títulos_a_imprimir</vt:lpstr>
      <vt:lpstr>'Ciudad de México_NivelE_Cons'!Títulos_a_imprimir</vt:lpstr>
      <vt:lpstr>'Ciudad de México_ocup_gral'!Títulos_a_imprimir</vt:lpstr>
      <vt:lpstr>'Ciudad de México_USAMuni'!Títulos_a_imprimir</vt:lpstr>
      <vt:lpstr>'Ciudad de MéxicoXCons'!Títulos_a_imprimir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2020-06-02T21:59:58Z</dcterms:created>
  <dcterms:modified xsi:type="dcterms:W3CDTF">2021-10-29T17:06:14Z</dcterms:modified>
</cp:coreProperties>
</file>