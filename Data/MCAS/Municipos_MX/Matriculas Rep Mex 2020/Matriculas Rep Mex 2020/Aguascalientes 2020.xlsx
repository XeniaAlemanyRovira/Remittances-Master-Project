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álisisInfo2.7\Matrículas\Anual\Matrículas2020\República Mexicana\Finales_RM (F)\"/>
    </mc:Choice>
  </mc:AlternateContent>
  <bookViews>
    <workbookView xWindow="0" yWindow="0" windowWidth="23040" windowHeight="8805" tabRatio="866"/>
  </bookViews>
  <sheets>
    <sheet name="Índice" sheetId="14" r:id="rId1"/>
    <sheet name="Aguascalientes_EdoUsa" sheetId="1" r:id="rId2"/>
    <sheet name="Aguascalientes_Cons" sheetId="15" r:id="rId3"/>
    <sheet name="AguascalientesXCons" sheetId="16" r:id="rId4"/>
    <sheet name="Aguascalientes_EdoMun" sheetId="4" r:id="rId5"/>
    <sheet name="Aguascalientes_USAMuni" sheetId="5" r:id="rId6"/>
    <sheet name="Aguascalientes_MUNICIPIO" sheetId="6" r:id="rId7"/>
    <sheet name="Aguascalientes_educ_gral" sheetId="7" r:id="rId8"/>
    <sheet name="Aguascalientes_NivelE_Cons" sheetId="8" r:id="rId9"/>
    <sheet name="Aguascalientes_EducCons" sheetId="9" r:id="rId10"/>
    <sheet name="Aguascalientes_GenGral" sheetId="10" r:id="rId11"/>
    <sheet name="Aguascalientes_GENERO" sheetId="11" r:id="rId12"/>
    <sheet name="Aguascalientes_Gen_Edad" sheetId="12" r:id="rId13"/>
    <sheet name="Aguascalientes_ocup_gral" sheetId="13" r:id="rId14"/>
  </sheets>
  <definedNames>
    <definedName name="_xlnm._FilterDatabase" localSheetId="2" hidden="1">Aguascalientes_Cons!$B$11:$D$11</definedName>
    <definedName name="_xlnm._FilterDatabase" localSheetId="4" hidden="1">Aguascalientes_EdoMun!$B$11:$D$11</definedName>
    <definedName name="_xlnm._FilterDatabase" localSheetId="1" hidden="1">Aguascalientes_EdoUsa!$B$11:$D$11</definedName>
    <definedName name="_xlnm._FilterDatabase" localSheetId="7" hidden="1">Aguascalientes_educ_gral!$B$11:$D$11</definedName>
    <definedName name="_xlnm._FilterDatabase" localSheetId="9" hidden="1">Aguascalientes_EducCons!$B$9:$E$9</definedName>
    <definedName name="_xlnm._FilterDatabase" localSheetId="11" hidden="1">Aguascalientes_GENERO!$C$11:$E$151</definedName>
    <definedName name="_xlnm._FilterDatabase" localSheetId="10" hidden="1">Aguascalientes_GenGral!$B$11:$D$12</definedName>
    <definedName name="_xlnm._FilterDatabase" localSheetId="6" hidden="1">Aguascalientes_MUNICIPIO!$B$9:$E$9</definedName>
    <definedName name="_xlnm._FilterDatabase" localSheetId="8" hidden="1">Aguascalientes_NivelE_Cons!$B$9:$E$9</definedName>
    <definedName name="_xlnm._FilterDatabase" localSheetId="13" hidden="1">Aguascalientes_ocup_gral!$B$11:$D$11</definedName>
    <definedName name="_xlnm._FilterDatabase" localSheetId="5" hidden="1">Aguascalientes_USAMuni!$B$9:$E$9</definedName>
    <definedName name="_xlnm._FilterDatabase" localSheetId="3" hidden="1">AguascalientesXCons!$B$11:$D$12</definedName>
    <definedName name="_xlnm.Print_Area" localSheetId="9">Aguascalientes_EducCons!$A$1:$E$9</definedName>
    <definedName name="_xlnm.Print_Area" localSheetId="6">Aguascalientes_MUNICIPIO!$A$1:$E$9</definedName>
    <definedName name="_xlnm.Print_Area" localSheetId="8">Aguascalientes_NivelE_Cons!$A$1:$E$9</definedName>
    <definedName name="_xlnm.Print_Area" localSheetId="5">Aguascalientes_USAMuni!$A$1:$E$9</definedName>
    <definedName name="_xlnm.Print_Titles" localSheetId="2">Aguascalientes_Cons!$1:$11</definedName>
    <definedName name="_xlnm.Print_Titles" localSheetId="4">Aguascalientes_EdoMun!$1:$11</definedName>
    <definedName name="_xlnm.Print_Titles" localSheetId="1">Aguascalientes_EdoUsa!$1:$11</definedName>
    <definedName name="_xlnm.Print_Titles" localSheetId="7">Aguascalientes_educ_gral!$1:$11</definedName>
    <definedName name="_xlnm.Print_Titles" localSheetId="9">Aguascalientes_EducCons!$1:$9</definedName>
    <definedName name="_xlnm.Print_Titles" localSheetId="12">Aguascalientes_Gen_Edad!$1:$11</definedName>
    <definedName name="_xlnm.Print_Titles" localSheetId="11">Aguascalientes_GENERO!$1:$11</definedName>
    <definedName name="_xlnm.Print_Titles" localSheetId="10">Aguascalientes_GenGral!$1:$11</definedName>
    <definedName name="_xlnm.Print_Titles" localSheetId="6">Aguascalientes_MUNICIPIO!$1:$9</definedName>
    <definedName name="_xlnm.Print_Titles" localSheetId="8">Aguascalientes_NivelE_Cons!$1:$9</definedName>
    <definedName name="_xlnm.Print_Titles" localSheetId="13">Aguascalientes_ocup_gral!$1:$11</definedName>
    <definedName name="_xlnm.Print_Titles" localSheetId="5">Aguascalientes_USAMuni!$1:$9</definedName>
    <definedName name="_xlnm.Print_Titles" localSheetId="3">AguascalientesXCons!$1:$11</definedName>
  </definedNames>
  <calcPr calcId="152511"/>
</workbook>
</file>

<file path=xl/calcChain.xml><?xml version="1.0" encoding="utf-8"?>
<calcChain xmlns="http://schemas.openxmlformats.org/spreadsheetml/2006/main">
  <c r="D36" i="7" l="1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33" i="13" l="1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F28" i="12" l="1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D21" i="16" l="1"/>
  <c r="D20" i="16"/>
  <c r="D19" i="16"/>
  <c r="D18" i="16"/>
  <c r="D17" i="16"/>
  <c r="D16" i="16"/>
  <c r="D15" i="16"/>
  <c r="D14" i="16"/>
  <c r="D13" i="16"/>
  <c r="D12" i="16"/>
  <c r="C22" i="16" l="1"/>
  <c r="D22" i="16" l="1"/>
</calcChain>
</file>

<file path=xl/sharedStrings.xml><?xml version="1.0" encoding="utf-8"?>
<sst xmlns="http://schemas.openxmlformats.org/spreadsheetml/2006/main" count="2266" uniqueCount="209">
  <si>
    <t>Aguascalientes</t>
  </si>
  <si>
    <t xml:space="preserve">Estado </t>
  </si>
  <si>
    <t>Número de Matrículas</t>
  </si>
  <si>
    <t>Porcentaje de Matrículas</t>
  </si>
  <si>
    <t>California</t>
  </si>
  <si>
    <t>Texas</t>
  </si>
  <si>
    <t>Illinois</t>
  </si>
  <si>
    <t>Oklahoma</t>
  </si>
  <si>
    <t>Colorado</t>
  </si>
  <si>
    <t>Indiana</t>
  </si>
  <si>
    <t>Florida</t>
  </si>
  <si>
    <t>Nevada</t>
  </si>
  <si>
    <t>Georgia</t>
  </si>
  <si>
    <t>Arkansas</t>
  </si>
  <si>
    <t>Tennessee</t>
  </si>
  <si>
    <t>North Carolina</t>
  </si>
  <si>
    <t>Kansas</t>
  </si>
  <si>
    <t>Washington</t>
  </si>
  <si>
    <t>New Mexico</t>
  </si>
  <si>
    <t>Kentucky</t>
  </si>
  <si>
    <t>Utah</t>
  </si>
  <si>
    <t>Wisconsin</t>
  </si>
  <si>
    <t>Arizona</t>
  </si>
  <si>
    <t>Nebraska</t>
  </si>
  <si>
    <t>Iowa</t>
  </si>
  <si>
    <t>Missouri</t>
  </si>
  <si>
    <t>Idaho</t>
  </si>
  <si>
    <t>Virginia</t>
  </si>
  <si>
    <t>Michigan</t>
  </si>
  <si>
    <t>Louisiana</t>
  </si>
  <si>
    <t>Minnesota</t>
  </si>
  <si>
    <t>Oregon</t>
  </si>
  <si>
    <t>South Carolina</t>
  </si>
  <si>
    <t>New York</t>
  </si>
  <si>
    <t>Ohio</t>
  </si>
  <si>
    <t>Alabama</t>
  </si>
  <si>
    <t>Mississippi</t>
  </si>
  <si>
    <t>Pennsylvania</t>
  </si>
  <si>
    <t>Connecticut</t>
  </si>
  <si>
    <t>Maryland</t>
  </si>
  <si>
    <t>New Jersey</t>
  </si>
  <si>
    <t>Delaware</t>
  </si>
  <si>
    <t>Wyoming</t>
  </si>
  <si>
    <t>Massachusetts</t>
  </si>
  <si>
    <t>North Dakota</t>
  </si>
  <si>
    <t>South Dakota</t>
  </si>
  <si>
    <t>Total</t>
  </si>
  <si>
    <t>Fuente: Expedición de Matrículas Consulares de Alta Seguridad en los Consulados de México en E.E.U.U.</t>
  </si>
  <si>
    <t>Elaborado por: Análisis de Información, Instituto de los Mexicanos en el Exterior</t>
  </si>
  <si>
    <t xml:space="preserve">Secretaría de Relaciones Exteriores </t>
  </si>
  <si>
    <t>Douglas</t>
  </si>
  <si>
    <t>Del Río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</si>
  <si>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</si>
  <si>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</si>
  <si>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</si>
  <si>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</si>
  <si>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</si>
  <si>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</si>
  <si>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</si>
  <si>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</si>
  <si>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</si>
  <si>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</si>
  <si>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</si>
  <si>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</si>
  <si>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</si>
  <si>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</si>
  <si>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</si>
  <si>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</si>
  <si>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</si>
  <si>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</si>
  <si>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</si>
  <si>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</si>
  <si>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</si>
  <si>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</si>
  <si>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</si>
  <si>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</si>
  <si>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</si>
  <si>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</si>
  <si>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</si>
  <si>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</si>
  <si>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</si>
  <si>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</si>
  <si>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</si>
  <si>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</si>
  <si>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</si>
  <si>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</si>
  <si>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</si>
  <si>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</si>
  <si>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</si>
  <si>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</si>
  <si>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</si>
  <si>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</si>
  <si>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</si>
  <si>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</si>
  <si>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</si>
  <si>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</si>
  <si>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El Llano</t>
  </si>
  <si>
    <t>San José de Gracia</t>
  </si>
  <si>
    <t>Cosío</t>
  </si>
  <si>
    <t>San Francisco de los Romo</t>
  </si>
  <si>
    <t>Tepezalá</t>
  </si>
  <si>
    <t>Asientos</t>
  </si>
  <si>
    <t>Jesús María</t>
  </si>
  <si>
    <t>Pabellón de Arteaga</t>
  </si>
  <si>
    <t>Rincón de Romos</t>
  </si>
  <si>
    <t>Calvillo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</si>
  <si>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</si>
  <si>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</si>
  <si>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</si>
  <si>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</si>
  <si>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</si>
  <si>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</si>
  <si>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</si>
  <si>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</si>
  <si>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</si>
  <si>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</si>
  <si>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</si>
  <si>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</si>
  <si>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</si>
  <si>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</si>
  <si>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</si>
  <si>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</si>
  <si>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</si>
  <si>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</si>
  <si>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</si>
  <si>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</si>
  <si>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</si>
  <si>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</si>
  <si>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</si>
  <si>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</si>
  <si>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</si>
  <si>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</si>
  <si>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</si>
  <si>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</si>
  <si>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</si>
  <si>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</si>
  <si>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San Jose</t>
  </si>
  <si>
    <t>Menores de edad</t>
  </si>
  <si>
    <t>Mc Allen</t>
  </si>
  <si>
    <t>Los Angeles</t>
  </si>
  <si>
    <t>Indianapolis</t>
  </si>
  <si>
    <t>Del Rio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</si>
  <si>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</si>
  <si>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</si>
  <si>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</si>
  <si>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</si>
  <si>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</si>
  <si>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</si>
  <si>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</si>
  <si>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</si>
  <si>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</si>
  <si>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</si>
  <si>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</si>
  <si>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</si>
  <si>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</si>
  <si>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</si>
  <si>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</si>
  <si>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</si>
  <si>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</si>
  <si>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AGUASCALIENTES POR GÉNERO Y EDAD EN EE.UU.</t>
  </si>
  <si>
    <t>Carnicero</t>
  </si>
  <si>
    <t>Panadero(a)</t>
  </si>
  <si>
    <t>Cajero(a)</t>
  </si>
  <si>
    <t>Profesionista</t>
  </si>
  <si>
    <t>Chofer</t>
  </si>
  <si>
    <t>Jubilado(a)</t>
  </si>
  <si>
    <t>Comerciante</t>
  </si>
  <si>
    <t>Operario(a)</t>
  </si>
  <si>
    <t>Mesero(a)</t>
  </si>
  <si>
    <t>Campesino(a)</t>
  </si>
  <si>
    <t>Pintor(a)</t>
  </si>
  <si>
    <t>Jardinero(a)</t>
  </si>
  <si>
    <t>Albañil</t>
  </si>
  <si>
    <t>Cocinero(a)</t>
  </si>
  <si>
    <t>Otro</t>
  </si>
  <si>
    <t>Estudiante</t>
  </si>
  <si>
    <t>Obrero(a)</t>
  </si>
  <si>
    <t>Hogar</t>
  </si>
  <si>
    <t>Empleado(a)</t>
  </si>
  <si>
    <t>Ocupación</t>
  </si>
  <si>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</si>
  <si>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</si>
  <si>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</si>
  <si>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</si>
  <si>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</si>
  <si>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</si>
  <si>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</si>
  <si>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</si>
  <si>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</si>
  <si>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</si>
  <si>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</si>
  <si>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</si>
  <si>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</si>
  <si>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</si>
  <si>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</si>
  <si>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</si>
  <si>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</si>
  <si>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>Matrículas consulares expedidas a originarios de Aguascalientes en el 2020.</t>
  </si>
  <si>
    <t>MATRÍCULAS CONSULARES DE ALTA SEGURIDAD EXPEDIDAS A ORIGINARIOS DE AGUASCALIENTES POR ESTADO DE LA UNIÓN AMERICANA. DURANTE EL 2020</t>
  </si>
  <si>
    <t>Tamaño de la muestra: 497,795</t>
  </si>
  <si>
    <t>Octubre de 2021</t>
  </si>
  <si>
    <t>MATRÍCULAS CONSULARES DE ALTA SEGURIDAD EXPEDIDAS DURANTE EL 2020 A ORIGINARIOS DE AGUASCALIENTES EN LOS CONSULADOS DE MÉXICO EN EE.UU.</t>
  </si>
  <si>
    <t>MATRÍCULAS CONSULARES DE ALTA SEGURIDAD EXPEDIDAS POR MUNICIPIO A ORIGINARIOS DEL ESTADO DE AGUASCALIENTES EN LOS CONSULADOS DE MÉXICO EN EE.UU. 2020</t>
  </si>
  <si>
    <t>MATRÍCULAS CONSULARES EXPEDIDAS A ORIGINARIOS DE AGUASCALIENTES POR GÉNERO Y CONSULADO DE MÉXICO 2020.</t>
  </si>
  <si>
    <t>Sacerdote</t>
  </si>
  <si>
    <t>Cirujano(a)</t>
  </si>
  <si>
    <t>MATRÍCULAS CONSULARES EXPEDIDAS EN EE.UU. A ORIGINARIOS DE AGUASCALIENTES POR PERFIL OCUPACIONAL, 2020.</t>
  </si>
  <si>
    <t>MATRÍCULAS CONSULARES EXPEDIDAS EN EE.UU. A ORIGINARIOS DE AGUASCALIENTES POR NIVEL DE EDUCACIÓN, 2020.</t>
  </si>
  <si>
    <t>MATRÍCULAS CONSULARES EXPEDIDAS A ORIGINARIOS DE AGUASCALIENTES POR GÉNERO EN EE.UU DURANTE EL 2020.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</si>
</sst>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10"/>
      <color theme="1"/>
      <name val="Montserrat"/>
    </font>
    <font>
      <sz val="11"/>
      <color theme="1"/>
      <name val="Arial Narrow"/>
      <family val="2"/>
    </font>
    <font>
      <b/>
      <sz val="9"/>
      <color theme="0"/>
      <name val="Montserrat"/>
    </font>
    <font>
      <sz val="9"/>
      <color theme="1"/>
      <name val="Montserrat"/>
    </font>
    <font>
      <sz val="9"/>
      <color rgb="FF000000"/>
      <name val="Montserrat"/>
    </font>
    <font>
      <sz val="11"/>
      <color theme="1"/>
      <name val="Soberana Sans"/>
      <family val="3"/>
    </font>
    <font>
      <sz val="7"/>
      <color indexed="8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10"/>
      <name val="Arial"/>
      <family val="2"/>
    </font>
    <font>
      <sz val="9"/>
      <name val="Montserrat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Soberana Sans"/>
      <family val="3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11" fillId="0" borderId="0"/>
    <xf numFmtId="0" fontId="13" fillId="0" borderId="0"/>
    <xf numFmtId="0" fontId="23" fillId="0" borderId="0" applyNumberFormat="0" applyFill="0" applyBorder="0" applyAlignment="0" applyProtection="0"/>
  </cellStyleXfs>
  <cellXfs count="100">
    <xf numFmtId="0" fontId="0" fillId="0" borderId="0" xfId="0"/>
    <xf numFmtId="0" fontId="1" fillId="0" borderId="0" xfId="0" applyFont="1"/>
    <xf numFmtId="1" fontId="1" fillId="0" borderId="0" xfId="0" applyNumberFormat="1" applyFont="1"/>
    <xf numFmtId="3" fontId="1" fillId="0" borderId="0" xfId="0" applyNumberFormat="1" applyFont="1"/>
    <xf numFmtId="0" fontId="3" fillId="0" borderId="0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" fontId="4" fillId="2" borderId="2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0" fillId="3" borderId="0" xfId="0" applyFont="1" applyFill="1"/>
    <xf numFmtId="49" fontId="5" fillId="3" borderId="3" xfId="0" applyNumberFormat="1" applyFont="1" applyFill="1" applyBorder="1" applyAlignment="1">
      <alignment vertical="center" wrapText="1"/>
    </xf>
    <xf numFmtId="3" fontId="6" fillId="3" borderId="3" xfId="0" applyNumberFormat="1" applyFont="1" applyFill="1" applyBorder="1" applyAlignment="1">
      <alignment horizontal="right" vertical="center" wrapText="1"/>
    </xf>
    <xf numFmtId="164" fontId="6" fillId="3" borderId="3" xfId="0" applyNumberFormat="1" applyFont="1" applyFill="1" applyBorder="1" applyAlignment="1">
      <alignment horizontal="right" vertical="center" wrapText="1"/>
    </xf>
    <xf numFmtId="0" fontId="7" fillId="3" borderId="0" xfId="0" applyFont="1" applyFill="1"/>
    <xf numFmtId="49" fontId="4" fillId="4" borderId="3" xfId="0" applyNumberFormat="1" applyFont="1" applyFill="1" applyBorder="1" applyAlignment="1">
      <alignment vertical="center" wrapText="1"/>
    </xf>
    <xf numFmtId="3" fontId="4" fillId="4" borderId="3" xfId="0" applyNumberFormat="1" applyFont="1" applyFill="1" applyBorder="1" applyAlignment="1">
      <alignment horizontal="right" vertical="center" wrapText="1"/>
    </xf>
    <xf numFmtId="164" fontId="4" fillId="4" borderId="3" xfId="0" applyNumberFormat="1" applyFont="1" applyFill="1" applyBorder="1" applyAlignment="1">
      <alignment horizontal="right" vertical="center" wrapText="1"/>
    </xf>
    <xf numFmtId="3" fontId="0" fillId="3" borderId="0" xfId="0" applyNumberFormat="1" applyFont="1" applyFill="1"/>
    <xf numFmtId="0" fontId="8" fillId="3" borderId="0" xfId="0" applyFont="1" applyFill="1"/>
    <xf numFmtId="0" fontId="8" fillId="3" borderId="0" xfId="0" applyFont="1" applyFill="1" applyAlignment="1">
      <alignment vertical="center"/>
    </xf>
    <xf numFmtId="0" fontId="8" fillId="3" borderId="0" xfId="0" applyFont="1" applyFill="1" applyAlignment="1">
      <alignment vertical="top"/>
    </xf>
    <xf numFmtId="0" fontId="9" fillId="3" borderId="0" xfId="0" applyFont="1" applyFill="1"/>
    <xf numFmtId="0" fontId="10" fillId="3" borderId="0" xfId="0" applyFont="1" applyFill="1"/>
    <xf numFmtId="164" fontId="4" fillId="5" borderId="3" xfId="0" applyNumberFormat="1" applyFont="1" applyFill="1" applyBorder="1" applyAlignment="1">
      <alignment horizontal="right" wrapText="1"/>
    </xf>
    <xf numFmtId="3" fontId="4" fillId="5" borderId="3" xfId="0" applyNumberFormat="1" applyFont="1" applyFill="1" applyBorder="1" applyAlignment="1">
      <alignment horizontal="right" wrapText="1"/>
    </xf>
    <xf numFmtId="164" fontId="4" fillId="6" borderId="3" xfId="1" applyNumberFormat="1" applyFont="1" applyFill="1" applyBorder="1" applyAlignment="1">
      <alignment horizontal="right" vertical="top" wrapText="1"/>
    </xf>
    <xf numFmtId="165" fontId="4" fillId="6" borderId="3" xfId="1" applyNumberFormat="1" applyFont="1" applyFill="1" applyBorder="1" applyAlignment="1">
      <alignment horizontal="right" vertical="top" wrapText="1"/>
    </xf>
    <xf numFmtId="49" fontId="4" fillId="6" borderId="3" xfId="1" applyNumberFormat="1" applyFont="1" applyFill="1" applyBorder="1" applyAlignment="1">
      <alignment vertical="top" wrapText="1"/>
    </xf>
    <xf numFmtId="164" fontId="12" fillId="3" borderId="3" xfId="1" applyNumberFormat="1" applyFont="1" applyFill="1" applyBorder="1" applyAlignment="1">
      <alignment horizontal="right" vertical="top" wrapText="1"/>
    </xf>
    <xf numFmtId="165" fontId="12" fillId="3" borderId="3" xfId="1" applyNumberFormat="1" applyFont="1" applyFill="1" applyBorder="1" applyAlignment="1">
      <alignment horizontal="right" vertical="top" wrapText="1"/>
    </xf>
    <xf numFmtId="49" fontId="12" fillId="3" borderId="3" xfId="1" applyNumberFormat="1" applyFont="1" applyFill="1" applyBorder="1" applyAlignment="1">
      <alignment vertical="top" wrapText="1"/>
    </xf>
    <xf numFmtId="0" fontId="14" fillId="2" borderId="2" xfId="2" applyFont="1" applyFill="1" applyBorder="1" applyAlignment="1">
      <alignment horizontal="center" vertical="center" wrapText="1"/>
    </xf>
    <xf numFmtId="1" fontId="14" fillId="2" borderId="2" xfId="2" applyNumberFormat="1" applyFont="1" applyFill="1" applyBorder="1" applyAlignment="1">
      <alignment horizontal="center" vertical="center" wrapText="1"/>
    </xf>
    <xf numFmtId="0" fontId="4" fillId="2" borderId="2" xfId="2" applyFont="1" applyFill="1" applyBorder="1" applyAlignment="1">
      <alignment horizontal="center" vertical="center" wrapText="1"/>
    </xf>
    <xf numFmtId="0" fontId="1" fillId="3" borderId="0" xfId="0" applyFont="1" applyFill="1"/>
    <xf numFmtId="0" fontId="15" fillId="3" borderId="0" xfId="0" applyFont="1" applyFill="1" applyAlignment="1"/>
    <xf numFmtId="0" fontId="16" fillId="3" borderId="0" xfId="0" applyFont="1" applyFill="1"/>
    <xf numFmtId="0" fontId="16" fillId="3" borderId="0" xfId="0" applyFont="1" applyFill="1" applyAlignment="1">
      <alignment vertical="center"/>
    </xf>
    <xf numFmtId="0" fontId="1" fillId="3" borderId="0" xfId="0" applyFont="1" applyFill="1" applyBorder="1"/>
    <xf numFmtId="3" fontId="1" fillId="3" borderId="0" xfId="0" applyNumberFormat="1" applyFont="1" applyFill="1" applyBorder="1"/>
    <xf numFmtId="1" fontId="1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7" fillId="3" borderId="0" xfId="0" applyFont="1" applyFill="1"/>
    <xf numFmtId="0" fontId="18" fillId="0" borderId="0" xfId="0" applyFont="1" applyAlignment="1">
      <alignment vertical="top"/>
    </xf>
    <xf numFmtId="0" fontId="18" fillId="0" borderId="0" xfId="0" applyFont="1" applyAlignment="1">
      <alignment horizontal="justify" vertical="center"/>
    </xf>
    <xf numFmtId="3" fontId="7" fillId="3" borderId="0" xfId="0" applyNumberFormat="1" applyFont="1" applyFill="1"/>
    <xf numFmtId="3" fontId="1" fillId="3" borderId="0" xfId="0" applyNumberFormat="1" applyFont="1" applyFill="1"/>
    <xf numFmtId="49" fontId="5" fillId="3" borderId="3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4" fillId="2" borderId="3" xfId="2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11" fillId="3" borderId="0" xfId="0" applyFont="1" applyFill="1" applyBorder="1"/>
    <xf numFmtId="0" fontId="1" fillId="3" borderId="0" xfId="0" applyFont="1" applyFill="1" applyBorder="1" applyAlignment="1">
      <alignment vertical="center"/>
    </xf>
    <xf numFmtId="0" fontId="1" fillId="0" borderId="0" xfId="0" applyFont="1" applyBorder="1" applyAlignment="1">
      <alignment vertical="center"/>
    </xf>
    <xf numFmtId="0" fontId="22" fillId="0" borderId="0" xfId="0" applyFont="1"/>
    <xf numFmtId="0" fontId="22" fillId="0" borderId="12" xfId="0" applyFont="1" applyBorder="1" applyAlignment="1">
      <alignment horizontal="left"/>
    </xf>
    <xf numFmtId="0" fontId="22" fillId="0" borderId="0" xfId="0" applyFont="1" applyBorder="1" applyAlignment="1">
      <alignment horizontal="left"/>
    </xf>
    <xf numFmtId="0" fontId="22" fillId="0" borderId="13" xfId="0" applyFont="1" applyBorder="1" applyAlignment="1">
      <alignment horizontal="left"/>
    </xf>
    <xf numFmtId="0" fontId="22" fillId="0" borderId="12" xfId="0" applyFont="1" applyBorder="1" applyAlignment="1">
      <alignment horizontal="left" wrapText="1"/>
    </xf>
    <xf numFmtId="0" fontId="22" fillId="0" borderId="0" xfId="0" applyFont="1" applyBorder="1" applyAlignment="1">
      <alignment horizontal="left" wrapText="1"/>
    </xf>
    <xf numFmtId="0" fontId="22" fillId="0" borderId="13" xfId="0" applyFont="1" applyBorder="1" applyAlignment="1">
      <alignment horizontal="left" wrapText="1"/>
    </xf>
    <xf numFmtId="0" fontId="22" fillId="0" borderId="12" xfId="0" applyFont="1" applyBorder="1" applyAlignment="1"/>
    <xf numFmtId="0" fontId="22" fillId="0" borderId="0" xfId="0" applyFont="1" applyBorder="1" applyAlignment="1"/>
    <xf numFmtId="0" fontId="22" fillId="0" borderId="13" xfId="0" applyFont="1" applyBorder="1" applyAlignment="1"/>
    <xf numFmtId="0" fontId="22" fillId="0" borderId="12" xfId="0" applyFont="1" applyBorder="1"/>
    <xf numFmtId="0" fontId="22" fillId="0" borderId="0" xfId="0" applyFont="1" applyBorder="1"/>
    <xf numFmtId="0" fontId="22" fillId="0" borderId="13" xfId="0" applyFont="1" applyBorder="1"/>
    <xf numFmtId="0" fontId="22" fillId="0" borderId="14" xfId="0" applyFont="1" applyBorder="1"/>
    <xf numFmtId="0" fontId="22" fillId="0" borderId="15" xfId="0" applyFont="1" applyBorder="1"/>
    <xf numFmtId="0" fontId="22" fillId="0" borderId="16" xfId="0" applyFont="1" applyBorder="1"/>
    <xf numFmtId="0" fontId="24" fillId="0" borderId="0" xfId="3" applyFont="1" applyBorder="1" applyAlignment="1">
      <alignment horizontal="left"/>
    </xf>
    <xf numFmtId="0" fontId="24" fillId="0" borderId="13" xfId="3" applyFont="1" applyBorder="1" applyAlignment="1">
      <alignment horizontal="left"/>
    </xf>
    <xf numFmtId="0" fontId="24" fillId="0" borderId="12" xfId="3" applyFont="1" applyBorder="1" applyAlignment="1">
      <alignment horizontal="left"/>
    </xf>
    <xf numFmtId="0" fontId="21" fillId="2" borderId="9" xfId="0" applyFont="1" applyFill="1" applyBorder="1" applyAlignment="1">
      <alignment horizontal="center" wrapText="1"/>
    </xf>
    <xf numFmtId="0" fontId="21" fillId="2" borderId="10" xfId="0" applyFont="1" applyFill="1" applyBorder="1" applyAlignment="1">
      <alignment horizontal="center" wrapText="1"/>
    </xf>
    <xf numFmtId="0" fontId="21" fillId="2" borderId="11" xfId="0" applyFont="1" applyFill="1" applyBorder="1" applyAlignment="1">
      <alignment horizontal="center" wrapText="1"/>
    </xf>
    <xf numFmtId="0" fontId="22" fillId="0" borderId="12" xfId="0" applyFont="1" applyBorder="1" applyAlignment="1">
      <alignment horizontal="left" wrapText="1"/>
    </xf>
    <xf numFmtId="0" fontId="22" fillId="0" borderId="0" xfId="0" applyFont="1" applyBorder="1" applyAlignment="1">
      <alignment horizontal="left" wrapText="1"/>
    </xf>
    <xf numFmtId="0" fontId="22" fillId="0" borderId="13" xfId="0" applyFont="1" applyBorder="1" applyAlignment="1">
      <alignment horizontal="left" wrapText="1"/>
    </xf>
    <xf numFmtId="0" fontId="2" fillId="0" borderId="0" xfId="0" applyFont="1" applyBorder="1" applyAlignment="1">
      <alignment horizontal="center" vertical="center" wrapText="1"/>
    </xf>
    <xf numFmtId="49" fontId="12" fillId="3" borderId="2" xfId="1" applyNumberFormat="1" applyFont="1" applyFill="1" applyBorder="1" applyAlignment="1">
      <alignment horizontal="center" vertical="center" wrapText="1"/>
    </xf>
    <xf numFmtId="49" fontId="12" fillId="3" borderId="7" xfId="1" applyNumberFormat="1" applyFont="1" applyFill="1" applyBorder="1" applyAlignment="1">
      <alignment horizontal="center" vertical="center" wrapText="1"/>
    </xf>
    <xf numFmtId="49" fontId="12" fillId="3" borderId="6" xfId="1" applyNumberFormat="1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wrapText="1"/>
    </xf>
    <xf numFmtId="49" fontId="4" fillId="5" borderId="5" xfId="0" applyNumberFormat="1" applyFont="1" applyFill="1" applyBorder="1" applyAlignment="1">
      <alignment horizontal="center" vertical="center" wrapText="1"/>
    </xf>
    <xf numFmtId="49" fontId="4" fillId="5" borderId="4" xfId="0" applyNumberFormat="1" applyFont="1" applyFill="1" applyBorder="1" applyAlignment="1">
      <alignment horizontal="center" vertical="center" wrapText="1"/>
    </xf>
    <xf numFmtId="0" fontId="19" fillId="0" borderId="0" xfId="0" applyFont="1" applyBorder="1" applyAlignment="1">
      <alignment horizontal="center" vertical="center" wrapText="1"/>
    </xf>
    <xf numFmtId="49" fontId="5" fillId="3" borderId="2" xfId="0" applyNumberFormat="1" applyFont="1" applyFill="1" applyBorder="1" applyAlignment="1">
      <alignment horizontal="center" vertical="center" wrapText="1"/>
    </xf>
    <xf numFmtId="49" fontId="5" fillId="3" borderId="7" xfId="0" applyNumberFormat="1" applyFont="1" applyFill="1" applyBorder="1" applyAlignment="1">
      <alignment horizontal="center" vertical="center" wrapText="1"/>
    </xf>
    <xf numFmtId="49" fontId="5" fillId="3" borderId="6" xfId="0" applyNumberFormat="1" applyFont="1" applyFill="1" applyBorder="1" applyAlignment="1">
      <alignment horizontal="center" vertical="center" wrapText="1"/>
    </xf>
    <xf numFmtId="0" fontId="20" fillId="3" borderId="0" xfId="0" applyFont="1" applyFill="1" applyBorder="1" applyAlignment="1">
      <alignment horizontal="center" vertical="distributed"/>
    </xf>
    <xf numFmtId="0" fontId="20" fillId="3" borderId="8" xfId="0" applyFont="1" applyFill="1" applyBorder="1" applyAlignment="1">
      <alignment horizontal="center" vertical="distributed"/>
    </xf>
    <xf numFmtId="49" fontId="4" fillId="7" borderId="4" xfId="0" applyNumberFormat="1" applyFont="1" applyFill="1" applyBorder="1" applyAlignment="1">
      <alignment vertical="center" wrapText="1"/>
    </xf>
    <xf numFmtId="3" fontId="4" fillId="7" borderId="3" xfId="0" applyNumberFormat="1" applyFont="1" applyFill="1" applyBorder="1" applyAlignment="1">
      <alignment horizontal="right" vertical="center" wrapText="1"/>
    </xf>
    <xf numFmtId="164" fontId="4" fillId="7" borderId="3" xfId="0" applyNumberFormat="1" applyFont="1" applyFill="1" applyBorder="1" applyAlignment="1">
      <alignment horizontal="right" vertical="center" wrapText="1"/>
    </xf>
    <xf numFmtId="3" fontId="4" fillId="5" borderId="3" xfId="0" applyNumberFormat="1" applyFont="1" applyFill="1" applyBorder="1" applyAlignment="1">
      <alignment horizontal="right" vertical="center" wrapText="1"/>
    </xf>
    <xf numFmtId="164" fontId="4" fillId="5" borderId="3" xfId="0" applyNumberFormat="1" applyFont="1" applyFill="1" applyBorder="1" applyAlignment="1">
      <alignment horizontal="right" vertical="center" wrapText="1"/>
    </xf>
    <xf numFmtId="164" fontId="6" fillId="8" borderId="3" xfId="0" applyNumberFormat="1" applyFont="1" applyFill="1" applyBorder="1" applyAlignment="1">
      <alignment horizontal="right" vertical="center" wrapText="1"/>
    </xf>
    <xf numFmtId="164" fontId="6" fillId="9" borderId="3" xfId="0" applyNumberFormat="1" applyFont="1" applyFill="1" applyBorder="1" applyAlignment="1">
      <alignment horizontal="right" vertical="center" wrapText="1"/>
    </xf>
    <xf numFmtId="49" fontId="4" fillId="5" borderId="3" xfId="0" applyNumberFormat="1" applyFont="1" applyFill="1" applyBorder="1" applyAlignment="1">
      <alignment vertical="center" wrapText="1"/>
    </xf>
  </cellXfs>
  <cellStyles count="4">
    <cellStyle name="Hipervínculo" xfId="3" builtinId="8"/>
    <cellStyle name="Normal" xfId="0" builtinId="0"/>
    <cellStyle name="Normal 2" xfId="1"/>
    <cellStyle name="Normal_Hoja1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28628" y="729327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323850</xdr:colOff>
      <xdr:row>7</xdr:row>
      <xdr:rowOff>152400</xdr:rowOff>
    </xdr:from>
    <xdr:to>
      <xdr:col>5</xdr:col>
      <xdr:colOff>216822</xdr:colOff>
      <xdr:row>8</xdr:row>
      <xdr:rowOff>146255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52975" y="16764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766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285750</xdr:colOff>
      <xdr:row>8</xdr:row>
      <xdr:rowOff>0</xdr:rowOff>
    </xdr:from>
    <xdr:to>
      <xdr:col>5</xdr:col>
      <xdr:colOff>178722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337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38100</xdr:rowOff>
    </xdr:from>
    <xdr:to>
      <xdr:col>5</xdr:col>
      <xdr:colOff>64422</xdr:colOff>
      <xdr:row>8</xdr:row>
      <xdr:rowOff>31955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AGUASCALIENTES POR ESTADO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486103</xdr:colOff>
      <xdr:row>7</xdr:row>
      <xdr:rowOff>131379</xdr:rowOff>
    </xdr:from>
    <xdr:to>
      <xdr:col>4</xdr:col>
      <xdr:colOff>998200</xdr:colOff>
      <xdr:row>7</xdr:row>
      <xdr:rowOff>315734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23793" y="187215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AGUASCALIENTES EN LOS CONSULADOS DE MÉXICO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548137</xdr:colOff>
      <xdr:row>7</xdr:row>
      <xdr:rowOff>80873</xdr:rowOff>
    </xdr:from>
    <xdr:to>
      <xdr:col>4</xdr:col>
      <xdr:colOff>1060234</xdr:colOff>
      <xdr:row>7</xdr:row>
      <xdr:rowOff>265228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4835" y="1815142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1162050</xdr:colOff>
      <xdr:row>7</xdr:row>
      <xdr:rowOff>114300</xdr:rowOff>
    </xdr:from>
    <xdr:to>
      <xdr:col>4</xdr:col>
      <xdr:colOff>493047</xdr:colOff>
      <xdr:row>8</xdr:row>
      <xdr:rowOff>108155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10075" y="16383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AGUASCALIENTES POR NIVEL DE EDUCACIÓN Y ESTADO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118241</xdr:rowOff>
    </xdr:from>
    <xdr:to>
      <xdr:col>4</xdr:col>
      <xdr:colOff>1057321</xdr:colOff>
      <xdr:row>7</xdr:row>
      <xdr:rowOff>302596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2914" y="1859017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AGUASCALIENTES POR CONSULADO Y NIVEL DE EDUCACIÓN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558362</xdr:colOff>
      <xdr:row>7</xdr:row>
      <xdr:rowOff>170793</xdr:rowOff>
    </xdr:from>
    <xdr:to>
      <xdr:col>4</xdr:col>
      <xdr:colOff>1070459</xdr:colOff>
      <xdr:row>7</xdr:row>
      <xdr:rowOff>355148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6052" y="1911569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180975</xdr:rowOff>
    </xdr:from>
    <xdr:to>
      <xdr:col>5</xdr:col>
      <xdr:colOff>64422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7049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1006928</xdr:colOff>
      <xdr:row>7</xdr:row>
      <xdr:rowOff>185057</xdr:rowOff>
    </xdr:from>
    <xdr:to>
      <xdr:col>6</xdr:col>
      <xdr:colOff>125654</xdr:colOff>
      <xdr:row>8</xdr:row>
      <xdr:rowOff>178912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08814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128428</xdr:colOff>
      <xdr:row>8</xdr:row>
      <xdr:rowOff>0</xdr:rowOff>
    </xdr:from>
    <xdr:to>
      <xdr:col>7</xdr:col>
      <xdr:colOff>255244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271518" y="157323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114300</xdr:colOff>
      <xdr:row>7</xdr:row>
      <xdr:rowOff>123825</xdr:rowOff>
    </xdr:from>
    <xdr:to>
      <xdr:col>5</xdr:col>
      <xdr:colOff>7272</xdr:colOff>
      <xdr:row>8</xdr:row>
      <xdr:rowOff>117680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43425" y="16478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="120" zoomScaleNormal="100" zoomScaleSheetLayoutView="120" workbookViewId="0">
      <selection sqref="A1:D1"/>
    </sheetView>
  </sheetViews>
  <sheetFormatPr baseColWidth="10" defaultColWidth="11.42578125" defaultRowHeight="18" x14ac:dyDescent="0.35"/>
  <cols>
    <col min="1" max="1" width="5.140625" style="54" customWidth="1"/>
    <col min="2" max="2" width="20" style="54" customWidth="1"/>
    <col min="3" max="3" width="24.7109375" style="54" customWidth="1"/>
    <col min="4" max="4" width="20.42578125" style="54" customWidth="1"/>
    <col min="5" max="16384" width="11.42578125" style="54"/>
  </cols>
  <sheetData>
    <row r="1" spans="1:4" ht="42" customHeight="1" thickBot="1" x14ac:dyDescent="0.4">
      <c r="A1" s="73" t="s">
        <v>197</v>
      </c>
      <c r="B1" s="74"/>
      <c r="C1" s="74"/>
      <c r="D1" s="75"/>
    </row>
    <row r="2" spans="1:4" x14ac:dyDescent="0.35">
      <c r="A2" s="55"/>
      <c r="B2" s="56"/>
      <c r="C2" s="56"/>
      <c r="D2" s="57"/>
    </row>
    <row r="3" spans="1:4" x14ac:dyDescent="0.35">
      <c r="A3" s="76" t="s">
        <v>180</v>
      </c>
      <c r="B3" s="77"/>
      <c r="C3" s="77"/>
      <c r="D3" s="78"/>
    </row>
    <row r="4" spans="1:4" x14ac:dyDescent="0.35">
      <c r="A4" s="76"/>
      <c r="B4" s="77"/>
      <c r="C4" s="77"/>
      <c r="D4" s="78"/>
    </row>
    <row r="5" spans="1:4" x14ac:dyDescent="0.35">
      <c r="A5" s="58"/>
      <c r="B5" s="59"/>
      <c r="C5" s="59"/>
      <c r="D5" s="60"/>
    </row>
    <row r="6" spans="1:4" x14ac:dyDescent="0.35">
      <c r="A6" s="72" t="s">
        <v>181</v>
      </c>
      <c r="B6" s="70"/>
      <c r="C6" s="70"/>
      <c r="D6" s="71"/>
    </row>
    <row r="7" spans="1:4" x14ac:dyDescent="0.35">
      <c r="A7" s="61"/>
      <c r="B7" s="62"/>
      <c r="C7" s="62"/>
      <c r="D7" s="63"/>
    </row>
    <row r="8" spans="1:4" x14ac:dyDescent="0.35">
      <c r="A8" s="72" t="s">
        <v>182</v>
      </c>
      <c r="B8" s="70"/>
      <c r="C8" s="70"/>
      <c r="D8" s="71"/>
    </row>
    <row r="9" spans="1:4" x14ac:dyDescent="0.35">
      <c r="A9" s="64"/>
      <c r="B9" s="70" t="s">
        <v>183</v>
      </c>
      <c r="C9" s="70"/>
      <c r="D9" s="71"/>
    </row>
    <row r="10" spans="1:4" x14ac:dyDescent="0.35">
      <c r="A10" s="64"/>
      <c r="B10" s="65"/>
      <c r="C10" s="65"/>
      <c r="D10" s="66"/>
    </row>
    <row r="11" spans="1:4" x14ac:dyDescent="0.35">
      <c r="A11" s="64" t="s">
        <v>184</v>
      </c>
      <c r="B11" s="65"/>
      <c r="C11" s="65"/>
      <c r="D11" s="66"/>
    </row>
    <row r="12" spans="1:4" x14ac:dyDescent="0.35">
      <c r="A12" s="64"/>
      <c r="B12" s="70" t="s">
        <v>185</v>
      </c>
      <c r="C12" s="70"/>
      <c r="D12" s="71"/>
    </row>
    <row r="13" spans="1:4" x14ac:dyDescent="0.35">
      <c r="A13" s="64"/>
      <c r="B13" s="70" t="s">
        <v>186</v>
      </c>
      <c r="C13" s="70"/>
      <c r="D13" s="71"/>
    </row>
    <row r="14" spans="1:4" x14ac:dyDescent="0.35">
      <c r="A14" s="64"/>
      <c r="B14" s="70" t="s">
        <v>187</v>
      </c>
      <c r="C14" s="70"/>
      <c r="D14" s="71"/>
    </row>
    <row r="15" spans="1:4" x14ac:dyDescent="0.35">
      <c r="A15" s="64"/>
      <c r="B15" s="65"/>
      <c r="C15" s="65"/>
      <c r="D15" s="66"/>
    </row>
    <row r="16" spans="1:4" x14ac:dyDescent="0.35">
      <c r="A16" s="64" t="s">
        <v>188</v>
      </c>
      <c r="B16" s="65"/>
      <c r="C16" s="65"/>
      <c r="D16" s="66"/>
    </row>
    <row r="17" spans="1:4" x14ac:dyDescent="0.35">
      <c r="A17" s="64"/>
      <c r="B17" s="70" t="s">
        <v>189</v>
      </c>
      <c r="C17" s="70"/>
      <c r="D17" s="71"/>
    </row>
    <row r="18" spans="1:4" x14ac:dyDescent="0.35">
      <c r="A18" s="64"/>
      <c r="B18" s="70" t="s">
        <v>190</v>
      </c>
      <c r="C18" s="70"/>
      <c r="D18" s="71"/>
    </row>
    <row r="19" spans="1:4" x14ac:dyDescent="0.35">
      <c r="A19" s="64"/>
      <c r="B19" s="70" t="s">
        <v>191</v>
      </c>
      <c r="C19" s="70"/>
      <c r="D19" s="71"/>
    </row>
    <row r="20" spans="1:4" x14ac:dyDescent="0.35">
      <c r="A20" s="64"/>
      <c r="B20" s="65"/>
      <c r="C20" s="65"/>
      <c r="D20" s="66"/>
    </row>
    <row r="21" spans="1:4" x14ac:dyDescent="0.35">
      <c r="A21" s="64" t="s">
        <v>192</v>
      </c>
      <c r="B21" s="65"/>
      <c r="C21" s="65"/>
      <c r="D21" s="66"/>
    </row>
    <row r="22" spans="1:4" x14ac:dyDescent="0.35">
      <c r="A22" s="64"/>
      <c r="B22" s="70" t="s">
        <v>193</v>
      </c>
      <c r="C22" s="70"/>
      <c r="D22" s="71"/>
    </row>
    <row r="23" spans="1:4" x14ac:dyDescent="0.35">
      <c r="A23" s="64"/>
      <c r="B23" s="70" t="s">
        <v>194</v>
      </c>
      <c r="C23" s="70"/>
      <c r="D23" s="71"/>
    </row>
    <row r="24" spans="1:4" x14ac:dyDescent="0.35">
      <c r="A24" s="64"/>
      <c r="B24" s="65"/>
      <c r="C24" s="65"/>
      <c r="D24" s="66"/>
    </row>
    <row r="25" spans="1:4" x14ac:dyDescent="0.35">
      <c r="A25" s="72" t="s">
        <v>195</v>
      </c>
      <c r="B25" s="70"/>
      <c r="C25" s="70"/>
      <c r="D25" s="71"/>
    </row>
    <row r="26" spans="1:4" x14ac:dyDescent="0.35">
      <c r="A26" s="64"/>
      <c r="B26" s="65"/>
      <c r="C26" s="65"/>
      <c r="D26" s="66"/>
    </row>
    <row r="27" spans="1:4" x14ac:dyDescent="0.35">
      <c r="A27" s="72" t="s">
        <v>196</v>
      </c>
      <c r="B27" s="70"/>
      <c r="C27" s="70"/>
      <c r="D27" s="71"/>
    </row>
    <row r="28" spans="1:4" ht="18.75" thickBot="1" x14ac:dyDescent="0.4">
      <c r="A28" s="67"/>
      <c r="B28" s="68"/>
      <c r="C28" s="68"/>
      <c r="D28" s="69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Aguascalientes_USAMuni!A1" display="3.2 Por Estado de USA"/>
    <hyperlink ref="A8:D8" location="Aguascalientes_Cons!A1" display="2. Por Circunscripción Consular"/>
    <hyperlink ref="B9:D9" location="AguascalientesXCons!A1" display="2.1 Top ten por circunscripción consular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>
    <tabColor rgb="FFFF0000"/>
  </sheetPr>
  <dimension ref="A1:D60"/>
  <sheetViews>
    <sheetView showGridLines="0" zoomScaleNormal="100" zoomScaleSheetLayoutView="115" workbookViewId="0"/>
  </sheetViews>
  <sheetFormatPr baseColWidth="10" defaultColWidth="11.42578125" defaultRowHeight="15" x14ac:dyDescent="0.25"/>
  <cols>
    <col min="1" max="1" width="9.28515625" style="8" customWidth="1"/>
    <col min="2" max="2" width="21.7109375" style="8" customWidth="1"/>
    <col min="3" max="3" width="17.7109375" style="16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4" s="1" customFormat="1" ht="15" customHeight="1" x14ac:dyDescent="0.2">
      <c r="C1" s="2"/>
    </row>
    <row r="2" spans="1:4" s="1" customFormat="1" ht="15" customHeight="1" x14ac:dyDescent="0.2">
      <c r="C2" s="2"/>
    </row>
    <row r="3" spans="1:4" s="1" customFormat="1" ht="15" customHeight="1" x14ac:dyDescent="0.2">
      <c r="A3" s="1" t="s">
        <v>0</v>
      </c>
      <c r="C3" s="2"/>
    </row>
    <row r="4" spans="1:4" s="1" customFormat="1" ht="30" customHeight="1" x14ac:dyDescent="0.2">
      <c r="C4" s="2"/>
      <c r="D4" s="3"/>
    </row>
    <row r="5" spans="1:4" s="1" customFormat="1" ht="15" customHeight="1" x14ac:dyDescent="0.2">
      <c r="C5" s="2"/>
      <c r="D5" s="3"/>
    </row>
    <row r="6" spans="1:4" s="1" customFormat="1" ht="15" customHeight="1" x14ac:dyDescent="0.2">
      <c r="C6" s="2"/>
      <c r="D6" s="3"/>
    </row>
    <row r="7" spans="1:4" s="1" customFormat="1" ht="15" customHeight="1" x14ac:dyDescent="0.2">
      <c r="B7" s="79" t="s">
        <v>198</v>
      </c>
      <c r="C7" s="79"/>
      <c r="D7" s="79"/>
    </row>
    <row r="8" spans="1:4" s="1" customFormat="1" ht="15" customHeight="1" x14ac:dyDescent="0.2">
      <c r="B8" s="79"/>
      <c r="C8" s="79"/>
      <c r="D8" s="79"/>
    </row>
    <row r="9" spans="1:4" s="1" customFormat="1" ht="33" customHeight="1" x14ac:dyDescent="0.2">
      <c r="B9" s="79"/>
      <c r="C9" s="79"/>
      <c r="D9" s="79"/>
    </row>
    <row r="10" spans="1:4" s="1" customFormat="1" ht="4.5" customHeight="1" x14ac:dyDescent="0.2">
      <c r="B10" s="4"/>
      <c r="C10" s="4"/>
      <c r="D10" s="4"/>
    </row>
    <row r="11" spans="1:4" s="1" customFormat="1" ht="33" customHeight="1" x14ac:dyDescent="0.2">
      <c r="B11" s="5" t="s">
        <v>1</v>
      </c>
      <c r="C11" s="6" t="s">
        <v>2</v>
      </c>
      <c r="D11" s="7" t="s">
        <v>3</v>
      </c>
    </row>
    <row r="12" spans="1:4" x14ac:dyDescent="0.25">
      <c r="B12" s="9" t="s">
        <v>4</v>
      </c>
      <c r="C12" s="10">
        <v>972</v>
      </c>
      <c r="D12" s="11">
        <v>0.20844949603259705</v>
      </c>
    </row>
    <row r="13" spans="1:4" x14ac:dyDescent="0.25">
      <c r="B13" s="9" t="s">
        <v>5</v>
      </c>
      <c r="C13" s="10">
        <v>902</v>
      </c>
      <c r="D13" s="11">
        <v>0.19343770105082564</v>
      </c>
    </row>
    <row r="14" spans="1:4" x14ac:dyDescent="0.25">
      <c r="B14" s="9" t="s">
        <v>6</v>
      </c>
      <c r="C14" s="10">
        <v>499</v>
      </c>
      <c r="D14" s="11">
        <v>0.1070126527986275</v>
      </c>
    </row>
    <row r="15" spans="1:4" x14ac:dyDescent="0.25">
      <c r="B15" s="9" t="s">
        <v>8</v>
      </c>
      <c r="C15" s="10">
        <v>434</v>
      </c>
      <c r="D15" s="11">
        <v>9.3073128886982631E-2</v>
      </c>
    </row>
    <row r="16" spans="1:4" x14ac:dyDescent="0.25">
      <c r="B16" s="9" t="s">
        <v>7</v>
      </c>
      <c r="C16" s="10">
        <v>429</v>
      </c>
      <c r="D16" s="11">
        <v>9.2000857816856102E-2</v>
      </c>
    </row>
    <row r="17" spans="2:4" x14ac:dyDescent="0.25">
      <c r="B17" s="9" t="s">
        <v>9</v>
      </c>
      <c r="C17" s="10">
        <v>180</v>
      </c>
      <c r="D17" s="11">
        <v>3.860175852455501E-2</v>
      </c>
    </row>
    <row r="18" spans="2:4" x14ac:dyDescent="0.25">
      <c r="B18" s="9" t="s">
        <v>10</v>
      </c>
      <c r="C18" s="10">
        <v>155</v>
      </c>
      <c r="D18" s="11">
        <v>3.3240403173922364E-2</v>
      </c>
    </row>
    <row r="19" spans="2:4" x14ac:dyDescent="0.25">
      <c r="B19" s="9" t="s">
        <v>15</v>
      </c>
      <c r="C19" s="10">
        <v>138</v>
      </c>
      <c r="D19" s="11">
        <v>2.9594681535492173E-2</v>
      </c>
    </row>
    <row r="20" spans="2:4" x14ac:dyDescent="0.25">
      <c r="B20" s="9" t="s">
        <v>13</v>
      </c>
      <c r="C20" s="10">
        <v>75</v>
      </c>
      <c r="D20" s="11">
        <v>1.6084066051897921E-2</v>
      </c>
    </row>
    <row r="21" spans="2:4" x14ac:dyDescent="0.25">
      <c r="B21" s="9" t="s">
        <v>11</v>
      </c>
      <c r="C21" s="10">
        <v>73</v>
      </c>
      <c r="D21" s="11">
        <v>1.565515762384731E-2</v>
      </c>
    </row>
    <row r="22" spans="2:4" x14ac:dyDescent="0.25">
      <c r="B22" s="9" t="s">
        <v>12</v>
      </c>
      <c r="C22" s="10">
        <v>71</v>
      </c>
      <c r="D22" s="11">
        <v>1.5226249195796697E-2</v>
      </c>
    </row>
    <row r="23" spans="2:4" x14ac:dyDescent="0.25">
      <c r="B23" s="9" t="s">
        <v>20</v>
      </c>
      <c r="C23" s="10">
        <v>70</v>
      </c>
      <c r="D23" s="11">
        <v>1.5011794981771392E-2</v>
      </c>
    </row>
    <row r="24" spans="2:4" x14ac:dyDescent="0.25">
      <c r="B24" s="9" t="s">
        <v>16</v>
      </c>
      <c r="C24" s="10">
        <v>63</v>
      </c>
      <c r="D24" s="11">
        <v>1.3510615483594253E-2</v>
      </c>
    </row>
    <row r="25" spans="2:4" x14ac:dyDescent="0.25">
      <c r="B25" s="9" t="s">
        <v>19</v>
      </c>
      <c r="C25" s="10">
        <v>61</v>
      </c>
      <c r="D25" s="11">
        <v>1.3081707055543641E-2</v>
      </c>
    </row>
    <row r="26" spans="2:4" x14ac:dyDescent="0.25">
      <c r="B26" s="9" t="s">
        <v>21</v>
      </c>
      <c r="C26" s="10">
        <v>48</v>
      </c>
      <c r="D26" s="11">
        <v>1.0293802273214669E-2</v>
      </c>
    </row>
    <row r="27" spans="2:4" x14ac:dyDescent="0.25">
      <c r="B27" s="9" t="s">
        <v>14</v>
      </c>
      <c r="C27" s="10">
        <v>47</v>
      </c>
      <c r="D27" s="11">
        <v>1.0079348059189364E-2</v>
      </c>
    </row>
    <row r="28" spans="2:4" x14ac:dyDescent="0.25">
      <c r="B28" s="9" t="s">
        <v>23</v>
      </c>
      <c r="C28" s="10">
        <v>43</v>
      </c>
      <c r="D28" s="11">
        <v>9.2215312030881399E-3</v>
      </c>
    </row>
    <row r="29" spans="2:4" x14ac:dyDescent="0.25">
      <c r="B29" s="9" t="s">
        <v>30</v>
      </c>
      <c r="C29" s="10">
        <v>38</v>
      </c>
      <c r="D29" s="11">
        <v>8.1492601329616124E-3</v>
      </c>
    </row>
    <row r="30" spans="2:4" x14ac:dyDescent="0.25">
      <c r="B30" s="9" t="s">
        <v>32</v>
      </c>
      <c r="C30" s="10">
        <v>36</v>
      </c>
      <c r="D30" s="11">
        <v>7.7203517049110014E-3</v>
      </c>
    </row>
    <row r="31" spans="2:4" x14ac:dyDescent="0.25">
      <c r="B31" s="9" t="s">
        <v>18</v>
      </c>
      <c r="C31" s="10">
        <v>34</v>
      </c>
      <c r="D31" s="11">
        <v>7.2914432768603904E-3</v>
      </c>
    </row>
    <row r="32" spans="2:4" x14ac:dyDescent="0.25">
      <c r="B32" s="9" t="s">
        <v>22</v>
      </c>
      <c r="C32" s="10">
        <v>32</v>
      </c>
      <c r="D32" s="11">
        <v>6.8625348488097794E-3</v>
      </c>
    </row>
    <row r="33" spans="2:4" x14ac:dyDescent="0.25">
      <c r="B33" s="9" t="s">
        <v>28</v>
      </c>
      <c r="C33" s="10">
        <v>32</v>
      </c>
      <c r="D33" s="11">
        <v>6.8625348488097794E-3</v>
      </c>
    </row>
    <row r="34" spans="2:4" x14ac:dyDescent="0.25">
      <c r="B34" s="9" t="s">
        <v>24</v>
      </c>
      <c r="C34" s="10">
        <v>26</v>
      </c>
      <c r="D34" s="11">
        <v>5.5758095646579455E-3</v>
      </c>
    </row>
    <row r="35" spans="2:4" x14ac:dyDescent="0.25">
      <c r="B35" s="9" t="s">
        <v>17</v>
      </c>
      <c r="C35" s="10">
        <v>26</v>
      </c>
      <c r="D35" s="11">
        <v>5.5758095646579455E-3</v>
      </c>
    </row>
    <row r="36" spans="2:4" x14ac:dyDescent="0.25">
      <c r="B36" s="9" t="s">
        <v>34</v>
      </c>
      <c r="C36" s="10">
        <v>23</v>
      </c>
      <c r="D36" s="11">
        <v>4.9324469225820291E-3</v>
      </c>
    </row>
    <row r="37" spans="2:4" x14ac:dyDescent="0.25">
      <c r="B37" s="9" t="s">
        <v>42</v>
      </c>
      <c r="C37" s="10">
        <v>22</v>
      </c>
      <c r="D37" s="11">
        <v>4.7179927085567236E-3</v>
      </c>
    </row>
    <row r="38" spans="2:4" x14ac:dyDescent="0.25">
      <c r="B38" s="9" t="s">
        <v>26</v>
      </c>
      <c r="C38" s="10">
        <v>21</v>
      </c>
      <c r="D38" s="11">
        <v>4.5035384945314172E-3</v>
      </c>
    </row>
    <row r="39" spans="2:4" x14ac:dyDescent="0.25">
      <c r="B39" s="9" t="s">
        <v>25</v>
      </c>
      <c r="C39" s="10">
        <v>18</v>
      </c>
      <c r="D39" s="11">
        <v>3.8601758524555007E-3</v>
      </c>
    </row>
    <row r="40" spans="2:4" x14ac:dyDescent="0.25">
      <c r="B40" s="9" t="s">
        <v>27</v>
      </c>
      <c r="C40" s="10">
        <v>16</v>
      </c>
      <c r="D40" s="11">
        <v>3.4312674244048897E-3</v>
      </c>
    </row>
    <row r="41" spans="2:4" x14ac:dyDescent="0.25">
      <c r="B41" s="9" t="s">
        <v>31</v>
      </c>
      <c r="C41" s="10">
        <v>15</v>
      </c>
      <c r="D41" s="11">
        <v>3.2168132103795838E-3</v>
      </c>
    </row>
    <row r="42" spans="2:4" x14ac:dyDescent="0.25">
      <c r="B42" s="9" t="s">
        <v>29</v>
      </c>
      <c r="C42" s="10">
        <v>11</v>
      </c>
      <c r="D42" s="11">
        <v>2.3589963542783618E-3</v>
      </c>
    </row>
    <row r="43" spans="2:4" x14ac:dyDescent="0.25">
      <c r="B43" s="9" t="s">
        <v>35</v>
      </c>
      <c r="C43" s="10">
        <v>10</v>
      </c>
      <c r="D43" s="11">
        <v>2.1445421402530558E-3</v>
      </c>
    </row>
    <row r="44" spans="2:4" x14ac:dyDescent="0.25">
      <c r="B44" s="9" t="s">
        <v>33</v>
      </c>
      <c r="C44" s="10">
        <v>10</v>
      </c>
      <c r="D44" s="11">
        <v>2.1445421402530558E-3</v>
      </c>
    </row>
    <row r="45" spans="2:4" x14ac:dyDescent="0.25">
      <c r="B45" s="9" t="s">
        <v>36</v>
      </c>
      <c r="C45" s="10">
        <v>7</v>
      </c>
      <c r="D45" s="11">
        <v>1.5011794981771391E-3</v>
      </c>
    </row>
    <row r="46" spans="2:4" x14ac:dyDescent="0.25">
      <c r="B46" s="9" t="s">
        <v>45</v>
      </c>
      <c r="C46" s="10">
        <v>7</v>
      </c>
      <c r="D46" s="11">
        <v>1.5011794981771391E-3</v>
      </c>
    </row>
    <row r="47" spans="2:4" x14ac:dyDescent="0.25">
      <c r="B47" s="9" t="s">
        <v>41</v>
      </c>
      <c r="C47" s="10">
        <v>6</v>
      </c>
      <c r="D47" s="11">
        <v>1.2867252841518336E-3</v>
      </c>
    </row>
    <row r="48" spans="2:4" x14ac:dyDescent="0.25">
      <c r="B48" s="9" t="s">
        <v>40</v>
      </c>
      <c r="C48" s="10">
        <v>4</v>
      </c>
      <c r="D48" s="11">
        <v>8.5781685610122243E-4</v>
      </c>
    </row>
    <row r="49" spans="2:4" x14ac:dyDescent="0.25">
      <c r="B49" s="9" t="s">
        <v>38</v>
      </c>
      <c r="C49" s="10">
        <v>3</v>
      </c>
      <c r="D49" s="11">
        <v>6.4336264207591682E-4</v>
      </c>
    </row>
    <row r="50" spans="2:4" x14ac:dyDescent="0.25">
      <c r="B50" s="9" t="s">
        <v>39</v>
      </c>
      <c r="C50" s="10">
        <v>3</v>
      </c>
      <c r="D50" s="11">
        <v>6.4336264207591682E-4</v>
      </c>
    </row>
    <row r="51" spans="2:4" x14ac:dyDescent="0.25">
      <c r="B51" s="9" t="s">
        <v>43</v>
      </c>
      <c r="C51" s="10">
        <v>1</v>
      </c>
      <c r="D51" s="11">
        <v>2.1445421402530561E-4</v>
      </c>
    </row>
    <row r="52" spans="2:4" x14ac:dyDescent="0.25">
      <c r="B52" s="9" t="s">
        <v>44</v>
      </c>
      <c r="C52" s="10">
        <v>1</v>
      </c>
      <c r="D52" s="11">
        <v>2.1445421402530561E-4</v>
      </c>
    </row>
    <row r="53" spans="2:4" x14ac:dyDescent="0.25">
      <c r="B53" s="9" t="s">
        <v>37</v>
      </c>
      <c r="C53" s="10">
        <v>1</v>
      </c>
      <c r="D53" s="11">
        <v>2.1445421402530561E-4</v>
      </c>
    </row>
    <row r="54" spans="2:4" x14ac:dyDescent="0.25">
      <c r="B54" s="13" t="s">
        <v>46</v>
      </c>
      <c r="C54" s="14">
        <v>4663</v>
      </c>
      <c r="D54" s="15">
        <v>1</v>
      </c>
    </row>
    <row r="56" spans="2:4" x14ac:dyDescent="0.25">
      <c r="B56" s="17" t="s">
        <v>199</v>
      </c>
    </row>
    <row r="57" spans="2:4" x14ac:dyDescent="0.25">
      <c r="B57" s="18" t="s">
        <v>47</v>
      </c>
    </row>
    <row r="58" spans="2:4" x14ac:dyDescent="0.25">
      <c r="B58" s="19" t="s">
        <v>48</v>
      </c>
    </row>
    <row r="59" spans="2:4" x14ac:dyDescent="0.25">
      <c r="B59" s="17" t="s">
        <v>49</v>
      </c>
    </row>
    <row r="60" spans="2:4" x14ac:dyDescent="0.25">
      <c r="B60" s="17" t="s">
        <v>200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4"/>
  <sheetViews>
    <sheetView showGridLines="0" zoomScaleNormal="100" zoomScaleSheetLayoutView="115" workbookViewId="0">
      <selection activeCell="D1" sqref="D1"/>
    </sheetView>
  </sheetViews>
  <sheetFormatPr baseColWidth="10" defaultColWidth="11.42578125" defaultRowHeight="15" x14ac:dyDescent="0.25"/>
  <cols>
    <col min="1" max="1" width="9.28515625" style="8" customWidth="1"/>
    <col min="2" max="2" width="21.7109375" style="8" customWidth="1"/>
    <col min="3" max="3" width="17.7109375" style="16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4" s="1" customFormat="1" ht="15" customHeight="1" x14ac:dyDescent="0.2">
      <c r="C1" s="2"/>
    </row>
    <row r="2" spans="1:4" s="1" customFormat="1" ht="15" customHeight="1" x14ac:dyDescent="0.2">
      <c r="C2" s="2"/>
    </row>
    <row r="3" spans="1:4" s="1" customFormat="1" ht="15" customHeight="1" x14ac:dyDescent="0.2">
      <c r="A3" s="1" t="s">
        <v>0</v>
      </c>
      <c r="C3" s="2"/>
    </row>
    <row r="4" spans="1:4" s="1" customFormat="1" ht="30" customHeight="1" x14ac:dyDescent="0.2">
      <c r="C4" s="2"/>
      <c r="D4" s="3"/>
    </row>
    <row r="5" spans="1:4" s="1" customFormat="1" ht="15" customHeight="1" x14ac:dyDescent="0.2">
      <c r="C5" s="2"/>
      <c r="D5" s="3"/>
    </row>
    <row r="6" spans="1:4" s="1" customFormat="1" ht="15" customHeight="1" x14ac:dyDescent="0.2">
      <c r="C6" s="2"/>
      <c r="D6" s="3"/>
    </row>
    <row r="7" spans="1:4" s="1" customFormat="1" ht="15" customHeight="1" x14ac:dyDescent="0.2">
      <c r="B7" s="79" t="s">
        <v>201</v>
      </c>
      <c r="C7" s="79"/>
      <c r="D7" s="79"/>
    </row>
    <row r="8" spans="1:4" s="1" customFormat="1" ht="15" customHeight="1" x14ac:dyDescent="0.2">
      <c r="B8" s="79"/>
      <c r="C8" s="79"/>
      <c r="D8" s="79"/>
    </row>
    <row r="9" spans="1:4" s="1" customFormat="1" ht="33" customHeight="1" x14ac:dyDescent="0.2">
      <c r="B9" s="79"/>
      <c r="C9" s="79"/>
      <c r="D9" s="79"/>
    </row>
    <row r="10" spans="1:4" s="1" customFormat="1" ht="4.5" customHeight="1" x14ac:dyDescent="0.2">
      <c r="B10" s="4"/>
      <c r="C10" s="4"/>
      <c r="D10" s="4"/>
    </row>
    <row r="11" spans="1:4" s="1" customFormat="1" ht="33" customHeight="1" x14ac:dyDescent="0.2">
      <c r="B11" s="5" t="s">
        <v>95</v>
      </c>
      <c r="C11" s="6" t="s">
        <v>2</v>
      </c>
      <c r="D11" s="7" t="s">
        <v>3</v>
      </c>
    </row>
    <row r="12" spans="1:4" x14ac:dyDescent="0.25">
      <c r="B12" s="9" t="s">
        <v>93</v>
      </c>
      <c r="C12" s="10">
        <v>645</v>
      </c>
      <c r="D12" s="11">
        <v>0.1383229680463221</v>
      </c>
    </row>
    <row r="13" spans="1:4" x14ac:dyDescent="0.25">
      <c r="B13" s="9" t="s">
        <v>82</v>
      </c>
      <c r="C13" s="10">
        <v>513</v>
      </c>
      <c r="D13" s="11">
        <v>0.11001501179498177</v>
      </c>
    </row>
    <row r="14" spans="1:4" x14ac:dyDescent="0.25">
      <c r="B14" s="9" t="s">
        <v>75</v>
      </c>
      <c r="C14" s="10">
        <v>446</v>
      </c>
      <c r="D14" s="11">
        <v>9.564657945528629E-2</v>
      </c>
    </row>
    <row r="15" spans="1:4" x14ac:dyDescent="0.25">
      <c r="B15" s="9" t="s">
        <v>91</v>
      </c>
      <c r="C15" s="10">
        <v>422</v>
      </c>
      <c r="D15" s="11">
        <v>9.0499678318678958E-2</v>
      </c>
    </row>
    <row r="16" spans="1:4" x14ac:dyDescent="0.25">
      <c r="B16" s="9" t="s">
        <v>139</v>
      </c>
      <c r="C16" s="10">
        <v>312</v>
      </c>
      <c r="D16" s="11">
        <v>6.6909714775895343E-2</v>
      </c>
    </row>
    <row r="17" spans="2:4" x14ac:dyDescent="0.25">
      <c r="B17" s="9" t="s">
        <v>92</v>
      </c>
      <c r="C17" s="10">
        <v>275</v>
      </c>
      <c r="D17" s="11">
        <v>5.8974908856959038E-2</v>
      </c>
    </row>
    <row r="18" spans="2:4" x14ac:dyDescent="0.25">
      <c r="B18" s="9" t="s">
        <v>86</v>
      </c>
      <c r="C18" s="10">
        <v>199</v>
      </c>
      <c r="D18" s="11">
        <v>4.2676388591035813E-2</v>
      </c>
    </row>
    <row r="19" spans="2:4" x14ac:dyDescent="0.25">
      <c r="B19" s="9" t="s">
        <v>87</v>
      </c>
      <c r="C19" s="10">
        <v>174</v>
      </c>
      <c r="D19" s="11">
        <v>3.7315033240403174E-2</v>
      </c>
    </row>
    <row r="20" spans="2:4" x14ac:dyDescent="0.25">
      <c r="B20" s="9" t="s">
        <v>81</v>
      </c>
      <c r="C20" s="10">
        <v>127</v>
      </c>
      <c r="D20" s="11">
        <v>2.723568518121381E-2</v>
      </c>
    </row>
    <row r="21" spans="2:4" x14ac:dyDescent="0.25">
      <c r="B21" s="9" t="s">
        <v>140</v>
      </c>
      <c r="C21" s="10">
        <v>112</v>
      </c>
      <c r="D21" s="11">
        <v>2.4018871970834226E-2</v>
      </c>
    </row>
    <row r="22" spans="2:4" x14ac:dyDescent="0.25">
      <c r="B22" s="9" t="s">
        <v>90</v>
      </c>
      <c r="C22" s="10">
        <v>108</v>
      </c>
      <c r="D22" s="11">
        <v>2.3161055114733004E-2</v>
      </c>
    </row>
    <row r="23" spans="2:4" x14ac:dyDescent="0.25">
      <c r="B23" s="9" t="s">
        <v>88</v>
      </c>
      <c r="C23" s="10">
        <v>99</v>
      </c>
      <c r="D23" s="11">
        <v>2.1230967188505253E-2</v>
      </c>
    </row>
    <row r="24" spans="2:4" x14ac:dyDescent="0.25">
      <c r="B24" s="9" t="s">
        <v>71</v>
      </c>
      <c r="C24" s="10">
        <v>88</v>
      </c>
      <c r="D24" s="11">
        <v>1.8871970834226894E-2</v>
      </c>
    </row>
    <row r="25" spans="2:4" x14ac:dyDescent="0.25">
      <c r="B25" s="9" t="s">
        <v>85</v>
      </c>
      <c r="C25" s="10">
        <v>83</v>
      </c>
      <c r="D25" s="11">
        <v>1.7799699764100365E-2</v>
      </c>
    </row>
    <row r="26" spans="2:4" x14ac:dyDescent="0.25">
      <c r="B26" s="9" t="s">
        <v>66</v>
      </c>
      <c r="C26" s="10">
        <v>80</v>
      </c>
      <c r="D26" s="11">
        <v>1.7156337122024447E-2</v>
      </c>
    </row>
    <row r="27" spans="2:4" x14ac:dyDescent="0.25">
      <c r="B27" s="9" t="s">
        <v>80</v>
      </c>
      <c r="C27" s="10">
        <v>78</v>
      </c>
      <c r="D27" s="11">
        <v>1.6727428693973836E-2</v>
      </c>
    </row>
    <row r="28" spans="2:4" x14ac:dyDescent="0.25">
      <c r="B28" s="9" t="s">
        <v>77</v>
      </c>
      <c r="C28" s="10">
        <v>78</v>
      </c>
      <c r="D28" s="11">
        <v>1.6727428693973836E-2</v>
      </c>
    </row>
    <row r="29" spans="2:4" x14ac:dyDescent="0.25">
      <c r="B29" s="9" t="s">
        <v>78</v>
      </c>
      <c r="C29" s="10">
        <v>72</v>
      </c>
      <c r="D29" s="11">
        <v>1.5440703409822003E-2</v>
      </c>
    </row>
    <row r="30" spans="2:4" x14ac:dyDescent="0.25">
      <c r="B30" s="9" t="s">
        <v>136</v>
      </c>
      <c r="C30" s="10">
        <v>70</v>
      </c>
      <c r="D30" s="11">
        <v>1.5011794981771392E-2</v>
      </c>
    </row>
    <row r="31" spans="2:4" x14ac:dyDescent="0.25">
      <c r="B31" s="9" t="s">
        <v>62</v>
      </c>
      <c r="C31" s="10">
        <v>69</v>
      </c>
      <c r="D31" s="11">
        <v>1.4797340767746086E-2</v>
      </c>
    </row>
    <row r="32" spans="2:4" x14ac:dyDescent="0.25">
      <c r="B32" s="9" t="s">
        <v>74</v>
      </c>
      <c r="C32" s="10">
        <v>68</v>
      </c>
      <c r="D32" s="11">
        <v>1.4582886553720781E-2</v>
      </c>
    </row>
    <row r="33" spans="2:4" x14ac:dyDescent="0.25">
      <c r="B33" s="9" t="s">
        <v>83</v>
      </c>
      <c r="C33" s="10">
        <v>56</v>
      </c>
      <c r="D33" s="11">
        <v>1.2009435985417113E-2</v>
      </c>
    </row>
    <row r="34" spans="2:4" x14ac:dyDescent="0.25">
      <c r="B34" s="9" t="s">
        <v>79</v>
      </c>
      <c r="C34" s="10">
        <v>48</v>
      </c>
      <c r="D34" s="11">
        <v>1.0293802273214669E-2</v>
      </c>
    </row>
    <row r="35" spans="2:4" x14ac:dyDescent="0.25">
      <c r="B35" s="9" t="s">
        <v>67</v>
      </c>
      <c r="C35" s="10">
        <v>47</v>
      </c>
      <c r="D35" s="11">
        <v>1.0079348059189364E-2</v>
      </c>
    </row>
    <row r="36" spans="2:4" x14ac:dyDescent="0.25">
      <c r="B36" s="9" t="s">
        <v>64</v>
      </c>
      <c r="C36" s="10">
        <v>47</v>
      </c>
      <c r="D36" s="11">
        <v>1.0079348059189364E-2</v>
      </c>
    </row>
    <row r="37" spans="2:4" x14ac:dyDescent="0.25">
      <c r="B37" s="9" t="s">
        <v>61</v>
      </c>
      <c r="C37" s="10">
        <v>38</v>
      </c>
      <c r="D37" s="11">
        <v>8.1492601329616124E-3</v>
      </c>
    </row>
    <row r="38" spans="2:4" x14ac:dyDescent="0.25">
      <c r="B38" s="9" t="s">
        <v>138</v>
      </c>
      <c r="C38" s="10">
        <v>36</v>
      </c>
      <c r="D38" s="11">
        <v>7.7203517049110014E-3</v>
      </c>
    </row>
    <row r="39" spans="2:4" x14ac:dyDescent="0.25">
      <c r="B39" s="9" t="s">
        <v>58</v>
      </c>
      <c r="C39" s="10">
        <v>33</v>
      </c>
      <c r="D39" s="11">
        <v>7.0769890628350849E-3</v>
      </c>
    </row>
    <row r="40" spans="2:4" x14ac:dyDescent="0.25">
      <c r="B40" s="9" t="s">
        <v>68</v>
      </c>
      <c r="C40" s="10">
        <v>28</v>
      </c>
      <c r="D40" s="11">
        <v>6.0047179927085565E-3</v>
      </c>
    </row>
    <row r="41" spans="2:4" x14ac:dyDescent="0.25">
      <c r="B41" s="9" t="s">
        <v>65</v>
      </c>
      <c r="C41" s="10">
        <v>28</v>
      </c>
      <c r="D41" s="11">
        <v>6.0047179927085565E-3</v>
      </c>
    </row>
    <row r="42" spans="2:4" x14ac:dyDescent="0.25">
      <c r="B42" s="9" t="s">
        <v>70</v>
      </c>
      <c r="C42" s="10">
        <v>27</v>
      </c>
      <c r="D42" s="11">
        <v>5.790263778683251E-3</v>
      </c>
    </row>
    <row r="43" spans="2:4" x14ac:dyDescent="0.25">
      <c r="B43" s="9" t="s">
        <v>63</v>
      </c>
      <c r="C43" s="10">
        <v>25</v>
      </c>
      <c r="D43" s="11">
        <v>5.3613553506326401E-3</v>
      </c>
    </row>
    <row r="44" spans="2:4" x14ac:dyDescent="0.25">
      <c r="B44" s="9" t="s">
        <v>56</v>
      </c>
      <c r="C44" s="10">
        <v>24</v>
      </c>
      <c r="D44" s="11">
        <v>5.1469011366073346E-3</v>
      </c>
    </row>
    <row r="45" spans="2:4" x14ac:dyDescent="0.25">
      <c r="B45" s="9" t="s">
        <v>17</v>
      </c>
      <c r="C45" s="10">
        <v>19</v>
      </c>
      <c r="D45" s="11">
        <v>4.0746300664808062E-3</v>
      </c>
    </row>
    <row r="46" spans="2:4" x14ac:dyDescent="0.25">
      <c r="B46" s="9" t="s">
        <v>60</v>
      </c>
      <c r="C46" s="10">
        <v>18</v>
      </c>
      <c r="D46" s="11">
        <v>3.8601758524555007E-3</v>
      </c>
    </row>
    <row r="47" spans="2:4" x14ac:dyDescent="0.25">
      <c r="B47" s="9" t="s">
        <v>89</v>
      </c>
      <c r="C47" s="10">
        <v>15</v>
      </c>
      <c r="D47" s="11">
        <v>3.2168132103795838E-3</v>
      </c>
    </row>
    <row r="48" spans="2:4" x14ac:dyDescent="0.25">
      <c r="B48" s="9" t="s">
        <v>59</v>
      </c>
      <c r="C48" s="10">
        <v>14</v>
      </c>
      <c r="D48" s="11">
        <v>3.0023589963542783E-3</v>
      </c>
    </row>
    <row r="49" spans="2:4" x14ac:dyDescent="0.25">
      <c r="B49" s="9" t="s">
        <v>69</v>
      </c>
      <c r="C49" s="10">
        <v>14</v>
      </c>
      <c r="D49" s="11">
        <v>3.0023589963542783E-3</v>
      </c>
    </row>
    <row r="50" spans="2:4" x14ac:dyDescent="0.25">
      <c r="B50" s="9" t="s">
        <v>72</v>
      </c>
      <c r="C50" s="10">
        <v>8</v>
      </c>
      <c r="D50" s="11">
        <v>1.7156337122024449E-3</v>
      </c>
    </row>
    <row r="51" spans="2:4" x14ac:dyDescent="0.25">
      <c r="B51" s="9" t="s">
        <v>53</v>
      </c>
      <c r="C51" s="10">
        <v>6</v>
      </c>
      <c r="D51" s="11">
        <v>1.2867252841518336E-3</v>
      </c>
    </row>
    <row r="52" spans="2:4" x14ac:dyDescent="0.25">
      <c r="B52" s="9" t="s">
        <v>57</v>
      </c>
      <c r="C52" s="10">
        <v>5</v>
      </c>
      <c r="D52" s="11">
        <v>1.0722710701265279E-3</v>
      </c>
    </row>
    <row r="53" spans="2:4" x14ac:dyDescent="0.25">
      <c r="B53" s="9" t="s">
        <v>54</v>
      </c>
      <c r="C53" s="10">
        <v>3</v>
      </c>
      <c r="D53" s="11">
        <v>6.4336264207591682E-4</v>
      </c>
    </row>
    <row r="54" spans="2:4" x14ac:dyDescent="0.25">
      <c r="B54" s="9" t="s">
        <v>141</v>
      </c>
      <c r="C54" s="10">
        <v>2</v>
      </c>
      <c r="D54" s="11">
        <v>4.2890842805061121E-4</v>
      </c>
    </row>
    <row r="55" spans="2:4" x14ac:dyDescent="0.25">
      <c r="B55" s="9" t="s">
        <v>55</v>
      </c>
      <c r="C55" s="10">
        <v>2</v>
      </c>
      <c r="D55" s="11">
        <v>4.2890842805061121E-4</v>
      </c>
    </row>
    <row r="56" spans="2:4" x14ac:dyDescent="0.25">
      <c r="B56" s="9" t="s">
        <v>52</v>
      </c>
      <c r="C56" s="10">
        <v>1</v>
      </c>
      <c r="D56" s="11">
        <v>2.1445421402530561E-4</v>
      </c>
    </row>
    <row r="57" spans="2:4" x14ac:dyDescent="0.25">
      <c r="B57" s="9" t="s">
        <v>50</v>
      </c>
      <c r="C57" s="10">
        <v>1</v>
      </c>
      <c r="D57" s="11">
        <v>2.1445421402530561E-4</v>
      </c>
    </row>
    <row r="58" spans="2:4" x14ac:dyDescent="0.25">
      <c r="B58" s="13" t="s">
        <v>46</v>
      </c>
      <c r="C58" s="14">
        <v>4663</v>
      </c>
      <c r="D58" s="15">
        <v>1</v>
      </c>
    </row>
    <row r="60" spans="2:4" x14ac:dyDescent="0.25">
      <c r="B60" s="17" t="s">
        <v>199</v>
      </c>
    </row>
    <row r="61" spans="2:4" x14ac:dyDescent="0.25">
      <c r="B61" s="18" t="s">
        <v>47</v>
      </c>
    </row>
    <row r="62" spans="2:4" x14ac:dyDescent="0.25">
      <c r="B62" s="19" t="s">
        <v>48</v>
      </c>
    </row>
    <row r="63" spans="2:4" x14ac:dyDescent="0.25">
      <c r="B63" s="17" t="s">
        <v>49</v>
      </c>
    </row>
    <row r="64" spans="2:4" x14ac:dyDescent="0.25">
      <c r="B64" s="17" t="s">
        <v>200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E14" sqref="E14"/>
    </sheetView>
  </sheetViews>
  <sheetFormatPr baseColWidth="10" defaultColWidth="11.42578125" defaultRowHeight="15" x14ac:dyDescent="0.25"/>
  <cols>
    <col min="1" max="1" width="9.28515625" style="8" customWidth="1"/>
    <col min="2" max="2" width="21.7109375" style="8" customWidth="1"/>
    <col min="3" max="3" width="17.7109375" style="16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4" s="1" customFormat="1" ht="15" customHeight="1" x14ac:dyDescent="0.2">
      <c r="C1" s="2"/>
    </row>
    <row r="2" spans="1:4" s="1" customFormat="1" ht="15" customHeight="1" x14ac:dyDescent="0.2">
      <c r="C2" s="2"/>
    </row>
    <row r="3" spans="1:4" s="1" customFormat="1" ht="15" customHeight="1" x14ac:dyDescent="0.2">
      <c r="A3" s="1" t="s">
        <v>0</v>
      </c>
      <c r="C3" s="2"/>
    </row>
    <row r="4" spans="1:4" s="1" customFormat="1" ht="30" customHeight="1" x14ac:dyDescent="0.2">
      <c r="C4" s="2"/>
      <c r="D4" s="3"/>
    </row>
    <row r="5" spans="1:4" s="1" customFormat="1" ht="15" customHeight="1" x14ac:dyDescent="0.2">
      <c r="C5" s="2"/>
      <c r="D5" s="3"/>
    </row>
    <row r="6" spans="1:4" s="1" customFormat="1" ht="15" customHeight="1" x14ac:dyDescent="0.2">
      <c r="C6" s="2"/>
      <c r="D6" s="3"/>
    </row>
    <row r="7" spans="1:4" s="1" customFormat="1" ht="15" customHeight="1" x14ac:dyDescent="0.2">
      <c r="B7" s="79" t="s">
        <v>201</v>
      </c>
      <c r="C7" s="79"/>
      <c r="D7" s="79"/>
    </row>
    <row r="8" spans="1:4" s="1" customFormat="1" ht="15" customHeight="1" x14ac:dyDescent="0.2">
      <c r="B8" s="79"/>
      <c r="C8" s="79"/>
      <c r="D8" s="79"/>
    </row>
    <row r="9" spans="1:4" s="1" customFormat="1" ht="33" customHeight="1" x14ac:dyDescent="0.2">
      <c r="B9" s="79"/>
      <c r="C9" s="79"/>
      <c r="D9" s="79"/>
    </row>
    <row r="10" spans="1:4" s="1" customFormat="1" ht="4.5" customHeight="1" x14ac:dyDescent="0.2">
      <c r="B10" s="4"/>
      <c r="C10" s="4"/>
      <c r="D10" s="4"/>
    </row>
    <row r="11" spans="1:4" s="1" customFormat="1" ht="33" customHeight="1" x14ac:dyDescent="0.2">
      <c r="B11" s="5" t="s">
        <v>95</v>
      </c>
      <c r="C11" s="6" t="s">
        <v>2</v>
      </c>
      <c r="D11" s="7" t="s">
        <v>3</v>
      </c>
    </row>
    <row r="12" spans="1:4" ht="15" customHeight="1" x14ac:dyDescent="0.25">
      <c r="B12" s="9" t="s">
        <v>93</v>
      </c>
      <c r="C12" s="10">
        <v>645</v>
      </c>
      <c r="D12" s="11">
        <f t="shared" ref="D12:D22" si="0">C12/$C$22</f>
        <v>0.2</v>
      </c>
    </row>
    <row r="13" spans="1:4" x14ac:dyDescent="0.25">
      <c r="B13" s="9" t="s">
        <v>82</v>
      </c>
      <c r="C13" s="10">
        <v>513</v>
      </c>
      <c r="D13" s="11">
        <f t="shared" si="0"/>
        <v>0.15906976744186047</v>
      </c>
    </row>
    <row r="14" spans="1:4" s="12" customFormat="1" ht="15.75" x14ac:dyDescent="0.25">
      <c r="A14" s="8"/>
      <c r="B14" s="9" t="s">
        <v>75</v>
      </c>
      <c r="C14" s="10">
        <v>446</v>
      </c>
      <c r="D14" s="11">
        <f t="shared" si="0"/>
        <v>0.13829457364341086</v>
      </c>
    </row>
    <row r="15" spans="1:4" s="12" customFormat="1" ht="15.75" x14ac:dyDescent="0.25">
      <c r="A15" s="8"/>
      <c r="B15" s="9" t="s">
        <v>91</v>
      </c>
      <c r="C15" s="10">
        <v>422</v>
      </c>
      <c r="D15" s="11">
        <f t="shared" si="0"/>
        <v>0.13085271317829458</v>
      </c>
    </row>
    <row r="16" spans="1:4" x14ac:dyDescent="0.25">
      <c r="B16" s="9" t="s">
        <v>139</v>
      </c>
      <c r="C16" s="10">
        <v>312</v>
      </c>
      <c r="D16" s="11">
        <f t="shared" si="0"/>
        <v>9.6744186046511624E-2</v>
      </c>
    </row>
    <row r="17" spans="2:4" x14ac:dyDescent="0.25">
      <c r="B17" s="9" t="s">
        <v>92</v>
      </c>
      <c r="C17" s="10">
        <v>275</v>
      </c>
      <c r="D17" s="11">
        <f t="shared" si="0"/>
        <v>8.5271317829457363E-2</v>
      </c>
    </row>
    <row r="18" spans="2:4" x14ac:dyDescent="0.25">
      <c r="B18" s="9" t="s">
        <v>86</v>
      </c>
      <c r="C18" s="10">
        <v>199</v>
      </c>
      <c r="D18" s="11">
        <f t="shared" si="0"/>
        <v>6.1705426356589148E-2</v>
      </c>
    </row>
    <row r="19" spans="2:4" x14ac:dyDescent="0.25">
      <c r="B19" s="9" t="s">
        <v>87</v>
      </c>
      <c r="C19" s="10">
        <v>174</v>
      </c>
      <c r="D19" s="11">
        <f t="shared" si="0"/>
        <v>5.3953488372093024E-2</v>
      </c>
    </row>
    <row r="20" spans="2:4" x14ac:dyDescent="0.25">
      <c r="B20" s="9" t="s">
        <v>81</v>
      </c>
      <c r="C20" s="10">
        <v>127</v>
      </c>
      <c r="D20" s="11">
        <f t="shared" si="0"/>
        <v>3.9379844961240307E-2</v>
      </c>
    </row>
    <row r="21" spans="2:4" x14ac:dyDescent="0.25">
      <c r="B21" s="9" t="s">
        <v>140</v>
      </c>
      <c r="C21" s="10">
        <v>112</v>
      </c>
      <c r="D21" s="11">
        <f t="shared" si="0"/>
        <v>3.4728682170542632E-2</v>
      </c>
    </row>
    <row r="22" spans="2:4" x14ac:dyDescent="0.25">
      <c r="B22" s="13" t="s">
        <v>46</v>
      </c>
      <c r="C22" s="14">
        <f>SUM(C12:C21)</f>
        <v>3225</v>
      </c>
      <c r="D22" s="15">
        <f t="shared" si="0"/>
        <v>1</v>
      </c>
    </row>
    <row r="24" spans="2:4" x14ac:dyDescent="0.25">
      <c r="B24" s="17" t="s">
        <v>199</v>
      </c>
    </row>
    <row r="25" spans="2:4" x14ac:dyDescent="0.25">
      <c r="B25" s="18" t="s">
        <v>47</v>
      </c>
    </row>
    <row r="26" spans="2:4" x14ac:dyDescent="0.25">
      <c r="B26" s="19" t="s">
        <v>48</v>
      </c>
    </row>
    <row r="27" spans="2:4" x14ac:dyDescent="0.25">
      <c r="B27" s="17" t="s">
        <v>49</v>
      </c>
    </row>
    <row r="28" spans="2:4" x14ac:dyDescent="0.25">
      <c r="B28" s="17" t="s">
        <v>200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FFFF00"/>
  </sheetPr>
  <dimension ref="A1:D29"/>
  <sheetViews>
    <sheetView showGridLines="0" zoomScaleNormal="100" zoomScaleSheetLayoutView="115" workbookViewId="0"/>
  </sheetViews>
  <sheetFormatPr baseColWidth="10" defaultColWidth="11.42578125" defaultRowHeight="15" x14ac:dyDescent="0.25"/>
  <cols>
    <col min="1" max="1" width="9.28515625" style="8" customWidth="1"/>
    <col min="2" max="2" width="21.7109375" style="8" customWidth="1"/>
    <col min="3" max="3" width="17.7109375" style="16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4" s="1" customFormat="1" ht="15" customHeight="1" x14ac:dyDescent="0.2">
      <c r="C1" s="2"/>
    </row>
    <row r="2" spans="1:4" s="1" customFormat="1" ht="15" customHeight="1" x14ac:dyDescent="0.2">
      <c r="C2" s="2"/>
    </row>
    <row r="3" spans="1:4" s="1" customFormat="1" ht="15" customHeight="1" x14ac:dyDescent="0.2">
      <c r="A3" s="1" t="s">
        <v>0</v>
      </c>
      <c r="C3" s="2"/>
    </row>
    <row r="4" spans="1:4" s="1" customFormat="1" ht="30" customHeight="1" x14ac:dyDescent="0.2">
      <c r="C4" s="2"/>
      <c r="D4" s="3"/>
    </row>
    <row r="5" spans="1:4" s="1" customFormat="1" ht="15" customHeight="1" x14ac:dyDescent="0.2">
      <c r="C5" s="2"/>
      <c r="D5" s="3"/>
    </row>
    <row r="6" spans="1:4" s="1" customFormat="1" ht="15" customHeight="1" x14ac:dyDescent="0.2">
      <c r="C6" s="2"/>
      <c r="D6" s="3"/>
    </row>
    <row r="7" spans="1:4" s="1" customFormat="1" ht="15" customHeight="1" x14ac:dyDescent="0.2">
      <c r="B7" s="79" t="s">
        <v>202</v>
      </c>
      <c r="C7" s="79"/>
      <c r="D7" s="79"/>
    </row>
    <row r="8" spans="1:4" s="1" customFormat="1" ht="15" customHeight="1" x14ac:dyDescent="0.2">
      <c r="B8" s="79"/>
      <c r="C8" s="79"/>
      <c r="D8" s="79"/>
    </row>
    <row r="9" spans="1:4" s="1" customFormat="1" ht="33" customHeight="1" x14ac:dyDescent="0.2">
      <c r="B9" s="79"/>
      <c r="C9" s="79"/>
      <c r="D9" s="79"/>
    </row>
    <row r="10" spans="1:4" s="1" customFormat="1" ht="4.5" customHeight="1" x14ac:dyDescent="0.2">
      <c r="B10" s="4"/>
      <c r="C10" s="4"/>
      <c r="D10" s="4"/>
    </row>
    <row r="11" spans="1:4" s="1" customFormat="1" ht="33" customHeight="1" x14ac:dyDescent="0.2">
      <c r="B11" s="5" t="s">
        <v>106</v>
      </c>
      <c r="C11" s="6" t="s">
        <v>2</v>
      </c>
      <c r="D11" s="7" t="s">
        <v>3</v>
      </c>
    </row>
    <row r="12" spans="1:4" x14ac:dyDescent="0.25">
      <c r="B12" s="9" t="s">
        <v>0</v>
      </c>
      <c r="C12" s="10">
        <v>2498</v>
      </c>
      <c r="D12" s="11">
        <v>0.5357066266352134</v>
      </c>
    </row>
    <row r="13" spans="1:4" x14ac:dyDescent="0.25">
      <c r="B13" s="9" t="s">
        <v>105</v>
      </c>
      <c r="C13" s="10">
        <v>628</v>
      </c>
      <c r="D13" s="11">
        <v>0.13467724640789192</v>
      </c>
    </row>
    <row r="14" spans="1:4" x14ac:dyDescent="0.25">
      <c r="B14" s="9" t="s">
        <v>104</v>
      </c>
      <c r="C14" s="10">
        <v>475</v>
      </c>
      <c r="D14" s="11">
        <v>0.10186575166202017</v>
      </c>
    </row>
    <row r="15" spans="1:4" x14ac:dyDescent="0.25">
      <c r="B15" s="9" t="s">
        <v>103</v>
      </c>
      <c r="C15" s="10">
        <v>307</v>
      </c>
      <c r="D15" s="11">
        <v>6.5837443705768814E-2</v>
      </c>
    </row>
    <row r="16" spans="1:4" x14ac:dyDescent="0.25">
      <c r="B16" s="9" t="s">
        <v>102</v>
      </c>
      <c r="C16" s="10">
        <v>223</v>
      </c>
      <c r="D16" s="11">
        <v>4.7823289727643145E-2</v>
      </c>
    </row>
    <row r="17" spans="2:4" x14ac:dyDescent="0.25">
      <c r="B17" s="9" t="s">
        <v>101</v>
      </c>
      <c r="C17" s="10">
        <v>188</v>
      </c>
      <c r="D17" s="11">
        <v>4.0317392236757454E-2</v>
      </c>
    </row>
    <row r="18" spans="2:4" x14ac:dyDescent="0.25">
      <c r="B18" s="9" t="s">
        <v>100</v>
      </c>
      <c r="C18" s="10">
        <v>99</v>
      </c>
      <c r="D18" s="11">
        <v>2.1230967188505253E-2</v>
      </c>
    </row>
    <row r="19" spans="2:4" x14ac:dyDescent="0.25">
      <c r="B19" s="9" t="s">
        <v>98</v>
      </c>
      <c r="C19" s="10">
        <v>84</v>
      </c>
      <c r="D19" s="11">
        <v>1.8014153978125669E-2</v>
      </c>
    </row>
    <row r="20" spans="2:4" ht="27" x14ac:dyDescent="0.25">
      <c r="B20" s="9" t="s">
        <v>99</v>
      </c>
      <c r="C20" s="10">
        <v>61</v>
      </c>
      <c r="D20" s="11">
        <v>1.3081707055543641E-2</v>
      </c>
    </row>
    <row r="21" spans="2:4" x14ac:dyDescent="0.25">
      <c r="B21" s="9" t="s">
        <v>97</v>
      </c>
      <c r="C21" s="10">
        <v>57</v>
      </c>
      <c r="D21" s="11">
        <v>1.2223890199442419E-2</v>
      </c>
    </row>
    <row r="22" spans="2:4" x14ac:dyDescent="0.25">
      <c r="B22" s="9" t="s">
        <v>96</v>
      </c>
      <c r="C22" s="10">
        <v>43</v>
      </c>
      <c r="D22" s="11">
        <v>9.2215312030881399E-3</v>
      </c>
    </row>
    <row r="23" spans="2:4" x14ac:dyDescent="0.25">
      <c r="B23" s="13" t="s">
        <v>46</v>
      </c>
      <c r="C23" s="14">
        <v>4663</v>
      </c>
      <c r="D23" s="15">
        <v>1</v>
      </c>
    </row>
    <row r="25" spans="2:4" x14ac:dyDescent="0.25">
      <c r="B25" s="17" t="s">
        <v>199</v>
      </c>
    </row>
    <row r="26" spans="2:4" x14ac:dyDescent="0.25">
      <c r="B26" s="18" t="s">
        <v>47</v>
      </c>
    </row>
    <row r="27" spans="2:4" x14ac:dyDescent="0.25">
      <c r="B27" s="19" t="s">
        <v>48</v>
      </c>
    </row>
    <row r="28" spans="2:4" x14ac:dyDescent="0.25">
      <c r="B28" s="17" t="s">
        <v>49</v>
      </c>
    </row>
    <row r="29" spans="2:4" x14ac:dyDescent="0.25">
      <c r="B29" s="17" t="s">
        <v>200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FFFF00"/>
  </sheetPr>
  <dimension ref="A1:E287"/>
  <sheetViews>
    <sheetView zoomScaleNormal="100" zoomScaleSheetLayoutView="85" workbookViewId="0">
      <selection activeCell="E1" sqref="E1"/>
    </sheetView>
  </sheetViews>
  <sheetFormatPr baseColWidth="10" defaultColWidth="35" defaultRowHeight="15" customHeight="1" x14ac:dyDescent="0.25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7" customFormat="1" ht="12" customHeight="1" x14ac:dyDescent="0.2">
      <c r="B1" s="41"/>
      <c r="C1" s="40"/>
      <c r="D1" s="40"/>
      <c r="E1" s="40"/>
    </row>
    <row r="2" spans="1:5" s="37" customFormat="1" ht="15" customHeight="1" x14ac:dyDescent="0.2">
      <c r="C2" s="39"/>
    </row>
    <row r="3" spans="1:5" s="37" customFormat="1" ht="15" customHeight="1" x14ac:dyDescent="0.2">
      <c r="C3" s="39"/>
    </row>
    <row r="4" spans="1:5" s="37" customFormat="1" ht="30" customHeight="1" x14ac:dyDescent="0.2">
      <c r="C4" s="39"/>
      <c r="D4" s="38"/>
    </row>
    <row r="5" spans="1:5" s="37" customFormat="1" ht="15" customHeight="1" x14ac:dyDescent="0.2">
      <c r="C5" s="39"/>
      <c r="D5" s="38"/>
    </row>
    <row r="6" spans="1:5" s="33" customFormat="1" ht="24" customHeight="1" x14ac:dyDescent="0.2">
      <c r="B6" s="36"/>
      <c r="C6" s="35"/>
      <c r="D6" s="35"/>
      <c r="E6" s="35"/>
    </row>
    <row r="7" spans="1:5" s="33" customFormat="1" ht="26.25" customHeight="1" x14ac:dyDescent="0.3">
      <c r="A7" s="34"/>
      <c r="B7" s="83"/>
      <c r="C7" s="83"/>
      <c r="D7" s="83"/>
      <c r="E7" s="83"/>
    </row>
    <row r="8" spans="1:5" s="33" customFormat="1" ht="33" customHeight="1" x14ac:dyDescent="0.3">
      <c r="A8" s="34"/>
      <c r="B8" s="83"/>
      <c r="C8" s="83"/>
      <c r="D8" s="83"/>
      <c r="E8" s="83"/>
    </row>
    <row r="9" spans="1:5" s="1" customFormat="1" ht="40.5" customHeight="1" x14ac:dyDescent="0.2">
      <c r="B9" s="30" t="s">
        <v>108</v>
      </c>
      <c r="C9" s="32" t="s">
        <v>107</v>
      </c>
      <c r="D9" s="31" t="s">
        <v>2</v>
      </c>
      <c r="E9" s="30" t="s">
        <v>3</v>
      </c>
    </row>
    <row r="10" spans="1:5" ht="15" customHeight="1" x14ac:dyDescent="0.25">
      <c r="B10" s="80" t="s">
        <v>35</v>
      </c>
      <c r="C10" s="29" t="s">
        <v>0</v>
      </c>
      <c r="D10" s="28">
        <v>8</v>
      </c>
      <c r="E10" s="27">
        <v>1.7156337122024449E-3</v>
      </c>
    </row>
    <row r="11" spans="1:5" ht="15" customHeight="1" x14ac:dyDescent="0.25">
      <c r="B11" s="81"/>
      <c r="C11" s="29" t="s">
        <v>103</v>
      </c>
      <c r="D11" s="28">
        <v>1</v>
      </c>
      <c r="E11" s="27">
        <v>2.1445421402530561E-4</v>
      </c>
    </row>
    <row r="12" spans="1:5" ht="15" customHeight="1" x14ac:dyDescent="0.25">
      <c r="B12" s="81"/>
      <c r="C12" s="29" t="s">
        <v>104</v>
      </c>
      <c r="D12" s="28">
        <v>1</v>
      </c>
      <c r="E12" s="27">
        <v>2.1445421402530561E-4</v>
      </c>
    </row>
    <row r="13" spans="1:5" ht="15" customHeight="1" x14ac:dyDescent="0.25">
      <c r="B13" s="82"/>
      <c r="C13" s="26" t="s">
        <v>46</v>
      </c>
      <c r="D13" s="25">
        <v>10</v>
      </c>
      <c r="E13" s="24">
        <v>2.1445421402530558E-3</v>
      </c>
    </row>
    <row r="14" spans="1:5" ht="15" customHeight="1" x14ac:dyDescent="0.25">
      <c r="B14" s="80" t="s">
        <v>22</v>
      </c>
      <c r="C14" s="29" t="s">
        <v>0</v>
      </c>
      <c r="D14" s="28">
        <v>17</v>
      </c>
      <c r="E14" s="27">
        <v>3.6457216384301952E-3</v>
      </c>
    </row>
    <row r="15" spans="1:5" ht="15" customHeight="1" x14ac:dyDescent="0.25">
      <c r="B15" s="81"/>
      <c r="C15" s="29" t="s">
        <v>105</v>
      </c>
      <c r="D15" s="28">
        <v>8</v>
      </c>
      <c r="E15" s="27">
        <v>1.7156337122024449E-3</v>
      </c>
    </row>
    <row r="16" spans="1:5" ht="15" customHeight="1" x14ac:dyDescent="0.25">
      <c r="B16" s="81"/>
      <c r="C16" s="29" t="s">
        <v>96</v>
      </c>
      <c r="D16" s="28">
        <v>1</v>
      </c>
      <c r="E16" s="27">
        <v>2.1445421402530561E-4</v>
      </c>
    </row>
    <row r="17" spans="2:5" ht="15" customHeight="1" x14ac:dyDescent="0.25">
      <c r="B17" s="81"/>
      <c r="C17" s="29" t="s">
        <v>102</v>
      </c>
      <c r="D17" s="28">
        <v>2</v>
      </c>
      <c r="E17" s="27">
        <v>4.2890842805061121E-4</v>
      </c>
    </row>
    <row r="18" spans="2:5" ht="15" customHeight="1" x14ac:dyDescent="0.25">
      <c r="B18" s="81"/>
      <c r="C18" s="29" t="s">
        <v>104</v>
      </c>
      <c r="D18" s="28">
        <v>2</v>
      </c>
      <c r="E18" s="27">
        <v>4.2890842805061121E-4</v>
      </c>
    </row>
    <row r="19" spans="2:5" ht="15" customHeight="1" x14ac:dyDescent="0.25">
      <c r="B19" s="81"/>
      <c r="C19" s="29" t="s">
        <v>99</v>
      </c>
      <c r="D19" s="28">
        <v>2</v>
      </c>
      <c r="E19" s="27">
        <v>4.2890842805061121E-4</v>
      </c>
    </row>
    <row r="20" spans="2:5" ht="15" customHeight="1" x14ac:dyDescent="0.25">
      <c r="B20" s="82"/>
      <c r="C20" s="26" t="s">
        <v>46</v>
      </c>
      <c r="D20" s="25">
        <v>32</v>
      </c>
      <c r="E20" s="24">
        <v>6.8625348488097794E-3</v>
      </c>
    </row>
    <row r="21" spans="2:5" ht="15" customHeight="1" x14ac:dyDescent="0.25">
      <c r="B21" s="80" t="s">
        <v>13</v>
      </c>
      <c r="C21" s="29" t="s">
        <v>0</v>
      </c>
      <c r="D21" s="28">
        <v>26</v>
      </c>
      <c r="E21" s="27">
        <v>5.5758095646579455E-3</v>
      </c>
    </row>
    <row r="22" spans="2:5" ht="15" customHeight="1" x14ac:dyDescent="0.25">
      <c r="B22" s="81"/>
      <c r="C22" s="29" t="s">
        <v>101</v>
      </c>
      <c r="D22" s="28">
        <v>8</v>
      </c>
      <c r="E22" s="27">
        <v>1.7156337122024449E-3</v>
      </c>
    </row>
    <row r="23" spans="2:5" ht="15" customHeight="1" x14ac:dyDescent="0.25">
      <c r="B23" s="81"/>
      <c r="C23" s="29" t="s">
        <v>105</v>
      </c>
      <c r="D23" s="28">
        <v>3</v>
      </c>
      <c r="E23" s="27">
        <v>6.4336264207591682E-4</v>
      </c>
    </row>
    <row r="24" spans="2:5" ht="15" customHeight="1" x14ac:dyDescent="0.25">
      <c r="B24" s="81"/>
      <c r="C24" s="29" t="s">
        <v>102</v>
      </c>
      <c r="D24" s="28">
        <v>2</v>
      </c>
      <c r="E24" s="27">
        <v>4.2890842805061121E-4</v>
      </c>
    </row>
    <row r="25" spans="2:5" ht="15" customHeight="1" x14ac:dyDescent="0.25">
      <c r="B25" s="81"/>
      <c r="C25" s="29" t="s">
        <v>103</v>
      </c>
      <c r="D25" s="28">
        <v>8</v>
      </c>
      <c r="E25" s="27">
        <v>1.7156337122024449E-3</v>
      </c>
    </row>
    <row r="26" spans="2:5" ht="15" customHeight="1" x14ac:dyDescent="0.25">
      <c r="B26" s="81"/>
      <c r="C26" s="29" t="s">
        <v>104</v>
      </c>
      <c r="D26" s="28">
        <v>26</v>
      </c>
      <c r="E26" s="27">
        <v>5.5758095646579455E-3</v>
      </c>
    </row>
    <row r="27" spans="2:5" ht="15" customHeight="1" x14ac:dyDescent="0.25">
      <c r="B27" s="81"/>
      <c r="C27" s="29" t="s">
        <v>99</v>
      </c>
      <c r="D27" s="28">
        <v>1</v>
      </c>
      <c r="E27" s="27">
        <v>2.1445421402530561E-4</v>
      </c>
    </row>
    <row r="28" spans="2:5" ht="15" customHeight="1" x14ac:dyDescent="0.25">
      <c r="B28" s="81"/>
      <c r="C28" s="29" t="s">
        <v>100</v>
      </c>
      <c r="D28" s="28">
        <v>1</v>
      </c>
      <c r="E28" s="27">
        <v>2.1445421402530561E-4</v>
      </c>
    </row>
    <row r="29" spans="2:5" ht="15" customHeight="1" x14ac:dyDescent="0.25">
      <c r="B29" s="82"/>
      <c r="C29" s="26" t="s">
        <v>46</v>
      </c>
      <c r="D29" s="25">
        <v>75</v>
      </c>
      <c r="E29" s="24">
        <v>1.6084066051897921E-2</v>
      </c>
    </row>
    <row r="30" spans="2:5" ht="15" customHeight="1" x14ac:dyDescent="0.25">
      <c r="B30" s="80" t="s">
        <v>4</v>
      </c>
      <c r="C30" s="29" t="s">
        <v>0</v>
      </c>
      <c r="D30" s="28">
        <v>595</v>
      </c>
      <c r="E30" s="27">
        <v>0.12760025734505684</v>
      </c>
    </row>
    <row r="31" spans="2:5" ht="15" customHeight="1" x14ac:dyDescent="0.25">
      <c r="B31" s="81"/>
      <c r="C31" s="29" t="s">
        <v>101</v>
      </c>
      <c r="D31" s="28">
        <v>39</v>
      </c>
      <c r="E31" s="27">
        <v>8.3637143469869179E-3</v>
      </c>
    </row>
    <row r="32" spans="2:5" ht="15" customHeight="1" x14ac:dyDescent="0.25">
      <c r="B32" s="81"/>
      <c r="C32" s="29" t="s">
        <v>105</v>
      </c>
      <c r="D32" s="28">
        <v>95</v>
      </c>
      <c r="E32" s="27">
        <v>2.0373150332404031E-2</v>
      </c>
    </row>
    <row r="33" spans="2:5" ht="15" customHeight="1" x14ac:dyDescent="0.25">
      <c r="B33" s="81"/>
      <c r="C33" s="29" t="s">
        <v>98</v>
      </c>
      <c r="D33" s="28">
        <v>19</v>
      </c>
      <c r="E33" s="27">
        <v>4.0746300664808062E-3</v>
      </c>
    </row>
    <row r="34" spans="2:5" ht="15" customHeight="1" x14ac:dyDescent="0.25">
      <c r="B34" s="81"/>
      <c r="C34" s="29" t="s">
        <v>96</v>
      </c>
      <c r="D34" s="28">
        <v>4</v>
      </c>
      <c r="E34" s="27">
        <v>8.5781685610122243E-4</v>
      </c>
    </row>
    <row r="35" spans="2:5" ht="15" customHeight="1" x14ac:dyDescent="0.25">
      <c r="B35" s="81"/>
      <c r="C35" s="29" t="s">
        <v>102</v>
      </c>
      <c r="D35" s="28">
        <v>63</v>
      </c>
      <c r="E35" s="27">
        <v>1.3510615483594253E-2</v>
      </c>
    </row>
    <row r="36" spans="2:5" ht="15" customHeight="1" x14ac:dyDescent="0.25">
      <c r="B36" s="81"/>
      <c r="C36" s="29" t="s">
        <v>103</v>
      </c>
      <c r="D36" s="28">
        <v>58</v>
      </c>
      <c r="E36" s="27">
        <v>1.2438344413467724E-2</v>
      </c>
    </row>
    <row r="37" spans="2:5" ht="15" customHeight="1" x14ac:dyDescent="0.25">
      <c r="B37" s="81"/>
      <c r="C37" s="29" t="s">
        <v>104</v>
      </c>
      <c r="D37" s="28">
        <v>53</v>
      </c>
      <c r="E37" s="27">
        <v>1.1366073343341197E-2</v>
      </c>
    </row>
    <row r="38" spans="2:5" ht="15" customHeight="1" x14ac:dyDescent="0.25">
      <c r="B38" s="81"/>
      <c r="C38" s="29" t="s">
        <v>99</v>
      </c>
      <c r="D38" s="28">
        <v>3</v>
      </c>
      <c r="E38" s="27">
        <v>6.4336264207591682E-4</v>
      </c>
    </row>
    <row r="39" spans="2:5" ht="15" customHeight="1" x14ac:dyDescent="0.25">
      <c r="B39" s="81"/>
      <c r="C39" s="29" t="s">
        <v>97</v>
      </c>
      <c r="D39" s="28">
        <v>19</v>
      </c>
      <c r="E39" s="27">
        <v>4.0746300664808062E-3</v>
      </c>
    </row>
    <row r="40" spans="2:5" ht="15" customHeight="1" x14ac:dyDescent="0.25">
      <c r="B40" s="81"/>
      <c r="C40" s="29" t="s">
        <v>100</v>
      </c>
      <c r="D40" s="28">
        <v>24</v>
      </c>
      <c r="E40" s="27">
        <v>5.1469011366073346E-3</v>
      </c>
    </row>
    <row r="41" spans="2:5" ht="15" customHeight="1" x14ac:dyDescent="0.25">
      <c r="B41" s="82"/>
      <c r="C41" s="26" t="s">
        <v>46</v>
      </c>
      <c r="D41" s="25">
        <v>972</v>
      </c>
      <c r="E41" s="24">
        <v>0.20844949603259705</v>
      </c>
    </row>
    <row r="42" spans="2:5" ht="15" customHeight="1" x14ac:dyDescent="0.25">
      <c r="B42" s="80" t="s">
        <v>8</v>
      </c>
      <c r="C42" s="29" t="s">
        <v>0</v>
      </c>
      <c r="D42" s="28">
        <v>158</v>
      </c>
      <c r="E42" s="27">
        <v>3.3883765815998286E-2</v>
      </c>
    </row>
    <row r="43" spans="2:5" ht="15" customHeight="1" x14ac:dyDescent="0.25">
      <c r="B43" s="81"/>
      <c r="C43" s="29" t="s">
        <v>101</v>
      </c>
      <c r="D43" s="28">
        <v>12</v>
      </c>
      <c r="E43" s="27">
        <v>2.5734505683036673E-3</v>
      </c>
    </row>
    <row r="44" spans="2:5" ht="15" customHeight="1" x14ac:dyDescent="0.25">
      <c r="B44" s="81"/>
      <c r="C44" s="29" t="s">
        <v>105</v>
      </c>
      <c r="D44" s="28">
        <v>46</v>
      </c>
      <c r="E44" s="27">
        <v>9.8648938451640581E-3</v>
      </c>
    </row>
    <row r="45" spans="2:5" ht="15" customHeight="1" x14ac:dyDescent="0.25">
      <c r="B45" s="81"/>
      <c r="C45" s="29" t="s">
        <v>98</v>
      </c>
      <c r="D45" s="28">
        <v>31</v>
      </c>
      <c r="E45" s="27">
        <v>6.6480806347844739E-3</v>
      </c>
    </row>
    <row r="46" spans="2:5" ht="15" customHeight="1" x14ac:dyDescent="0.25">
      <c r="B46" s="81"/>
      <c r="C46" s="29" t="s">
        <v>102</v>
      </c>
      <c r="D46" s="28">
        <v>24</v>
      </c>
      <c r="E46" s="27">
        <v>5.1469011366073346E-3</v>
      </c>
    </row>
    <row r="47" spans="2:5" ht="15" customHeight="1" x14ac:dyDescent="0.25">
      <c r="B47" s="81"/>
      <c r="C47" s="29" t="s">
        <v>103</v>
      </c>
      <c r="D47" s="28">
        <v>23</v>
      </c>
      <c r="E47" s="27">
        <v>4.9324469225820291E-3</v>
      </c>
    </row>
    <row r="48" spans="2:5" ht="15" customHeight="1" x14ac:dyDescent="0.25">
      <c r="B48" s="81"/>
      <c r="C48" s="29" t="s">
        <v>104</v>
      </c>
      <c r="D48" s="28">
        <v>96</v>
      </c>
      <c r="E48" s="27">
        <v>2.0587604546429338E-2</v>
      </c>
    </row>
    <row r="49" spans="2:5" ht="15" customHeight="1" x14ac:dyDescent="0.25">
      <c r="B49" s="81"/>
      <c r="C49" s="29" t="s">
        <v>99</v>
      </c>
      <c r="D49" s="28">
        <v>4</v>
      </c>
      <c r="E49" s="27">
        <v>8.5781685610122243E-4</v>
      </c>
    </row>
    <row r="50" spans="2:5" ht="15" customHeight="1" x14ac:dyDescent="0.25">
      <c r="B50" s="81"/>
      <c r="C50" s="29" t="s">
        <v>97</v>
      </c>
      <c r="D50" s="28">
        <v>2</v>
      </c>
      <c r="E50" s="27">
        <v>4.2890842805061121E-4</v>
      </c>
    </row>
    <row r="51" spans="2:5" ht="15" customHeight="1" x14ac:dyDescent="0.25">
      <c r="B51" s="81"/>
      <c r="C51" s="29" t="s">
        <v>100</v>
      </c>
      <c r="D51" s="28">
        <v>38</v>
      </c>
      <c r="E51" s="27">
        <v>8.1492601329616124E-3</v>
      </c>
    </row>
    <row r="52" spans="2:5" ht="15" customHeight="1" x14ac:dyDescent="0.25">
      <c r="B52" s="82"/>
      <c r="C52" s="26" t="s">
        <v>46</v>
      </c>
      <c r="D52" s="25">
        <v>434</v>
      </c>
      <c r="E52" s="24">
        <v>9.3073128886982631E-2</v>
      </c>
    </row>
    <row r="53" spans="2:5" ht="15" customHeight="1" x14ac:dyDescent="0.25">
      <c r="B53" s="80" t="s">
        <v>38</v>
      </c>
      <c r="C53" s="29" t="s">
        <v>0</v>
      </c>
      <c r="D53" s="28">
        <v>3</v>
      </c>
      <c r="E53" s="27">
        <v>6.4336264207591682E-4</v>
      </c>
    </row>
    <row r="54" spans="2:5" ht="15" customHeight="1" x14ac:dyDescent="0.25">
      <c r="B54" s="82"/>
      <c r="C54" s="26" t="s">
        <v>46</v>
      </c>
      <c r="D54" s="25">
        <v>3</v>
      </c>
      <c r="E54" s="24">
        <v>6.4336264207591682E-4</v>
      </c>
    </row>
    <row r="55" spans="2:5" ht="15" customHeight="1" x14ac:dyDescent="0.25">
      <c r="B55" s="80" t="s">
        <v>41</v>
      </c>
      <c r="C55" s="29" t="s">
        <v>0</v>
      </c>
      <c r="D55" s="28">
        <v>5</v>
      </c>
      <c r="E55" s="27">
        <v>1.0722710701265279E-3</v>
      </c>
    </row>
    <row r="56" spans="2:5" ht="15" customHeight="1" x14ac:dyDescent="0.25">
      <c r="B56" s="81"/>
      <c r="C56" s="29" t="s">
        <v>102</v>
      </c>
      <c r="D56" s="28">
        <v>1</v>
      </c>
      <c r="E56" s="27">
        <v>2.1445421402530561E-4</v>
      </c>
    </row>
    <row r="57" spans="2:5" ht="15" customHeight="1" x14ac:dyDescent="0.25">
      <c r="B57" s="82"/>
      <c r="C57" s="26" t="s">
        <v>46</v>
      </c>
      <c r="D57" s="25">
        <v>6</v>
      </c>
      <c r="E57" s="24">
        <v>1.2867252841518336E-3</v>
      </c>
    </row>
    <row r="58" spans="2:5" ht="15" customHeight="1" x14ac:dyDescent="0.25">
      <c r="B58" s="80" t="s">
        <v>10</v>
      </c>
      <c r="C58" s="29" t="s">
        <v>0</v>
      </c>
      <c r="D58" s="28">
        <v>96</v>
      </c>
      <c r="E58" s="27">
        <v>2.0587604546429338E-2</v>
      </c>
    </row>
    <row r="59" spans="2:5" ht="15" customHeight="1" x14ac:dyDescent="0.25">
      <c r="B59" s="81"/>
      <c r="C59" s="29" t="s">
        <v>101</v>
      </c>
      <c r="D59" s="28">
        <v>6</v>
      </c>
      <c r="E59" s="27">
        <v>1.2867252841518336E-3</v>
      </c>
    </row>
    <row r="60" spans="2:5" ht="15" customHeight="1" x14ac:dyDescent="0.25">
      <c r="B60" s="81"/>
      <c r="C60" s="29" t="s">
        <v>105</v>
      </c>
      <c r="D60" s="28">
        <v>10</v>
      </c>
      <c r="E60" s="27">
        <v>2.1445421402530558E-3</v>
      </c>
    </row>
    <row r="61" spans="2:5" ht="15" customHeight="1" x14ac:dyDescent="0.25">
      <c r="B61" s="81"/>
      <c r="C61" s="29" t="s">
        <v>96</v>
      </c>
      <c r="D61" s="28">
        <v>13</v>
      </c>
      <c r="E61" s="27">
        <v>2.7879047823289728E-3</v>
      </c>
    </row>
    <row r="62" spans="2:5" ht="15" customHeight="1" x14ac:dyDescent="0.25">
      <c r="B62" s="81"/>
      <c r="C62" s="29" t="s">
        <v>102</v>
      </c>
      <c r="D62" s="28">
        <v>5</v>
      </c>
      <c r="E62" s="27">
        <v>1.0722710701265279E-3</v>
      </c>
    </row>
    <row r="63" spans="2:5" ht="15" customHeight="1" x14ac:dyDescent="0.25">
      <c r="B63" s="81"/>
      <c r="C63" s="29" t="s">
        <v>103</v>
      </c>
      <c r="D63" s="28">
        <v>11</v>
      </c>
      <c r="E63" s="27">
        <v>2.3589963542783618E-3</v>
      </c>
    </row>
    <row r="64" spans="2:5" ht="15" customHeight="1" x14ac:dyDescent="0.25">
      <c r="B64" s="81"/>
      <c r="C64" s="29" t="s">
        <v>104</v>
      </c>
      <c r="D64" s="28">
        <v>10</v>
      </c>
      <c r="E64" s="27">
        <v>2.1445421402530558E-3</v>
      </c>
    </row>
    <row r="65" spans="2:5" ht="15" customHeight="1" x14ac:dyDescent="0.25">
      <c r="B65" s="81"/>
      <c r="C65" s="29" t="s">
        <v>99</v>
      </c>
      <c r="D65" s="28">
        <v>2</v>
      </c>
      <c r="E65" s="27">
        <v>4.2890842805061121E-4</v>
      </c>
    </row>
    <row r="66" spans="2:5" ht="15" customHeight="1" x14ac:dyDescent="0.25">
      <c r="B66" s="81"/>
      <c r="C66" s="29" t="s">
        <v>97</v>
      </c>
      <c r="D66" s="28">
        <v>1</v>
      </c>
      <c r="E66" s="27">
        <v>2.1445421402530561E-4</v>
      </c>
    </row>
    <row r="67" spans="2:5" ht="15" customHeight="1" x14ac:dyDescent="0.25">
      <c r="B67" s="81"/>
      <c r="C67" s="29" t="s">
        <v>100</v>
      </c>
      <c r="D67" s="28">
        <v>1</v>
      </c>
      <c r="E67" s="27">
        <v>2.1445421402530561E-4</v>
      </c>
    </row>
    <row r="68" spans="2:5" ht="15" customHeight="1" x14ac:dyDescent="0.25">
      <c r="B68" s="82"/>
      <c r="C68" s="26" t="s">
        <v>46</v>
      </c>
      <c r="D68" s="25">
        <v>155</v>
      </c>
      <c r="E68" s="24">
        <v>3.3240403173922364E-2</v>
      </c>
    </row>
    <row r="69" spans="2:5" ht="15" customHeight="1" x14ac:dyDescent="0.25">
      <c r="B69" s="80" t="s">
        <v>12</v>
      </c>
      <c r="C69" s="29" t="s">
        <v>0</v>
      </c>
      <c r="D69" s="28">
        <v>48</v>
      </c>
      <c r="E69" s="27">
        <v>1.0293802273214669E-2</v>
      </c>
    </row>
    <row r="70" spans="2:5" ht="15" customHeight="1" x14ac:dyDescent="0.25">
      <c r="B70" s="81"/>
      <c r="C70" s="29" t="s">
        <v>101</v>
      </c>
      <c r="D70" s="28">
        <v>4</v>
      </c>
      <c r="E70" s="27">
        <v>8.5781685610122243E-4</v>
      </c>
    </row>
    <row r="71" spans="2:5" ht="15" customHeight="1" x14ac:dyDescent="0.25">
      <c r="B71" s="81"/>
      <c r="C71" s="29" t="s">
        <v>105</v>
      </c>
      <c r="D71" s="28">
        <v>11</v>
      </c>
      <c r="E71" s="27">
        <v>2.3589963542783618E-3</v>
      </c>
    </row>
    <row r="72" spans="2:5" ht="15" customHeight="1" x14ac:dyDescent="0.25">
      <c r="B72" s="81"/>
      <c r="C72" s="29" t="s">
        <v>96</v>
      </c>
      <c r="D72" s="28">
        <v>1</v>
      </c>
      <c r="E72" s="27">
        <v>2.1445421402530561E-4</v>
      </c>
    </row>
    <row r="73" spans="2:5" ht="15" customHeight="1" x14ac:dyDescent="0.25">
      <c r="B73" s="81"/>
      <c r="C73" s="29" t="s">
        <v>102</v>
      </c>
      <c r="D73" s="28">
        <v>1</v>
      </c>
      <c r="E73" s="27">
        <v>2.1445421402530561E-4</v>
      </c>
    </row>
    <row r="74" spans="2:5" ht="15" customHeight="1" x14ac:dyDescent="0.25">
      <c r="B74" s="81"/>
      <c r="C74" s="29" t="s">
        <v>103</v>
      </c>
      <c r="D74" s="28">
        <v>4</v>
      </c>
      <c r="E74" s="27">
        <v>8.5781685610122243E-4</v>
      </c>
    </row>
    <row r="75" spans="2:5" ht="15" customHeight="1" x14ac:dyDescent="0.25">
      <c r="B75" s="81"/>
      <c r="C75" s="29" t="s">
        <v>104</v>
      </c>
      <c r="D75" s="28">
        <v>2</v>
      </c>
      <c r="E75" s="27">
        <v>4.2890842805061121E-4</v>
      </c>
    </row>
    <row r="76" spans="2:5" ht="15" customHeight="1" x14ac:dyDescent="0.25">
      <c r="B76" s="82"/>
      <c r="C76" s="26" t="s">
        <v>46</v>
      </c>
      <c r="D76" s="25">
        <v>71</v>
      </c>
      <c r="E76" s="24">
        <v>1.5226249195796697E-2</v>
      </c>
    </row>
    <row r="77" spans="2:5" ht="15" customHeight="1" x14ac:dyDescent="0.25">
      <c r="B77" s="80" t="s">
        <v>26</v>
      </c>
      <c r="C77" s="29" t="s">
        <v>0</v>
      </c>
      <c r="D77" s="28">
        <v>10</v>
      </c>
      <c r="E77" s="27">
        <v>2.1445421402530558E-3</v>
      </c>
    </row>
    <row r="78" spans="2:5" ht="15" customHeight="1" x14ac:dyDescent="0.25">
      <c r="B78" s="81"/>
      <c r="C78" s="29" t="s">
        <v>105</v>
      </c>
      <c r="D78" s="28">
        <v>8</v>
      </c>
      <c r="E78" s="27">
        <v>1.7156337122024449E-3</v>
      </c>
    </row>
    <row r="79" spans="2:5" ht="15" customHeight="1" x14ac:dyDescent="0.25">
      <c r="B79" s="81"/>
      <c r="C79" s="29" t="s">
        <v>98</v>
      </c>
      <c r="D79" s="28">
        <v>1</v>
      </c>
      <c r="E79" s="27">
        <v>2.1445421402530561E-4</v>
      </c>
    </row>
    <row r="80" spans="2:5" ht="15" customHeight="1" x14ac:dyDescent="0.25">
      <c r="B80" s="81"/>
      <c r="C80" s="29" t="s">
        <v>102</v>
      </c>
      <c r="D80" s="28">
        <v>1</v>
      </c>
      <c r="E80" s="27">
        <v>2.1445421402530561E-4</v>
      </c>
    </row>
    <row r="81" spans="2:5" ht="15" customHeight="1" x14ac:dyDescent="0.25">
      <c r="B81" s="81"/>
      <c r="C81" s="29" t="s">
        <v>100</v>
      </c>
      <c r="D81" s="28">
        <v>1</v>
      </c>
      <c r="E81" s="27">
        <v>2.1445421402530561E-4</v>
      </c>
    </row>
    <row r="82" spans="2:5" ht="15" customHeight="1" x14ac:dyDescent="0.25">
      <c r="B82" s="82"/>
      <c r="C82" s="26" t="s">
        <v>46</v>
      </c>
      <c r="D82" s="25">
        <v>21</v>
      </c>
      <c r="E82" s="24">
        <v>4.5035384945314172E-3</v>
      </c>
    </row>
    <row r="83" spans="2:5" ht="15" customHeight="1" x14ac:dyDescent="0.25">
      <c r="B83" s="80" t="s">
        <v>6</v>
      </c>
      <c r="C83" s="29" t="s">
        <v>0</v>
      </c>
      <c r="D83" s="28">
        <v>258</v>
      </c>
      <c r="E83" s="27">
        <v>5.5329187218528843E-2</v>
      </c>
    </row>
    <row r="84" spans="2:5" ht="15" customHeight="1" x14ac:dyDescent="0.25">
      <c r="B84" s="81"/>
      <c r="C84" s="29" t="s">
        <v>101</v>
      </c>
      <c r="D84" s="28">
        <v>30</v>
      </c>
      <c r="E84" s="27">
        <v>6.4336264207591675E-3</v>
      </c>
    </row>
    <row r="85" spans="2:5" ht="15" customHeight="1" x14ac:dyDescent="0.25">
      <c r="B85" s="81"/>
      <c r="C85" s="29" t="s">
        <v>105</v>
      </c>
      <c r="D85" s="28">
        <v>104</v>
      </c>
      <c r="E85" s="27">
        <v>2.2303238258631782E-2</v>
      </c>
    </row>
    <row r="86" spans="2:5" ht="15" customHeight="1" x14ac:dyDescent="0.25">
      <c r="B86" s="81"/>
      <c r="C86" s="29" t="s">
        <v>98</v>
      </c>
      <c r="D86" s="28">
        <v>3</v>
      </c>
      <c r="E86" s="27">
        <v>6.4336264207591682E-4</v>
      </c>
    </row>
    <row r="87" spans="2:5" ht="15" customHeight="1" x14ac:dyDescent="0.25">
      <c r="B87" s="81"/>
      <c r="C87" s="29" t="s">
        <v>96</v>
      </c>
      <c r="D87" s="28">
        <v>1</v>
      </c>
      <c r="E87" s="27">
        <v>2.1445421402530561E-4</v>
      </c>
    </row>
    <row r="88" spans="2:5" ht="15" customHeight="1" x14ac:dyDescent="0.25">
      <c r="B88" s="81"/>
      <c r="C88" s="29" t="s">
        <v>102</v>
      </c>
      <c r="D88" s="28">
        <v>35</v>
      </c>
      <c r="E88" s="27">
        <v>7.5058974908856959E-3</v>
      </c>
    </row>
    <row r="89" spans="2:5" ht="15" customHeight="1" x14ac:dyDescent="0.25">
      <c r="B89" s="81"/>
      <c r="C89" s="29" t="s">
        <v>103</v>
      </c>
      <c r="D89" s="28">
        <v>31</v>
      </c>
      <c r="E89" s="27">
        <v>6.6480806347844739E-3</v>
      </c>
    </row>
    <row r="90" spans="2:5" ht="15" customHeight="1" x14ac:dyDescent="0.25">
      <c r="B90" s="81"/>
      <c r="C90" s="29" t="s">
        <v>104</v>
      </c>
      <c r="D90" s="28">
        <v>12</v>
      </c>
      <c r="E90" s="27">
        <v>2.5734505683036673E-3</v>
      </c>
    </row>
    <row r="91" spans="2:5" ht="15" customHeight="1" x14ac:dyDescent="0.25">
      <c r="B91" s="81"/>
      <c r="C91" s="29" t="s">
        <v>99</v>
      </c>
      <c r="D91" s="28">
        <v>23</v>
      </c>
      <c r="E91" s="27">
        <v>4.9324469225820291E-3</v>
      </c>
    </row>
    <row r="92" spans="2:5" ht="15" customHeight="1" x14ac:dyDescent="0.25">
      <c r="B92" s="81"/>
      <c r="C92" s="29" t="s">
        <v>97</v>
      </c>
      <c r="D92" s="28">
        <v>1</v>
      </c>
      <c r="E92" s="27">
        <v>2.1445421402530561E-4</v>
      </c>
    </row>
    <row r="93" spans="2:5" ht="15" customHeight="1" x14ac:dyDescent="0.25">
      <c r="B93" s="81"/>
      <c r="C93" s="29" t="s">
        <v>100</v>
      </c>
      <c r="D93" s="28">
        <v>1</v>
      </c>
      <c r="E93" s="27">
        <v>2.1445421402530561E-4</v>
      </c>
    </row>
    <row r="94" spans="2:5" ht="15" customHeight="1" x14ac:dyDescent="0.25">
      <c r="B94" s="82"/>
      <c r="C94" s="26" t="s">
        <v>46</v>
      </c>
      <c r="D94" s="25">
        <v>499</v>
      </c>
      <c r="E94" s="24">
        <v>0.1070126527986275</v>
      </c>
    </row>
    <row r="95" spans="2:5" ht="15" customHeight="1" x14ac:dyDescent="0.25">
      <c r="B95" s="80" t="s">
        <v>9</v>
      </c>
      <c r="C95" s="29" t="s">
        <v>0</v>
      </c>
      <c r="D95" s="28">
        <v>135</v>
      </c>
      <c r="E95" s="27">
        <v>2.8951318893416254E-2</v>
      </c>
    </row>
    <row r="96" spans="2:5" ht="15" customHeight="1" x14ac:dyDescent="0.25">
      <c r="B96" s="81"/>
      <c r="C96" s="29" t="s">
        <v>101</v>
      </c>
      <c r="D96" s="28">
        <v>4</v>
      </c>
      <c r="E96" s="27">
        <v>8.5781685610122243E-4</v>
      </c>
    </row>
    <row r="97" spans="2:5" ht="15" customHeight="1" x14ac:dyDescent="0.25">
      <c r="B97" s="81"/>
      <c r="C97" s="29" t="s">
        <v>105</v>
      </c>
      <c r="D97" s="28">
        <v>17</v>
      </c>
      <c r="E97" s="27">
        <v>3.6457216384301952E-3</v>
      </c>
    </row>
    <row r="98" spans="2:5" ht="15" customHeight="1" x14ac:dyDescent="0.25">
      <c r="B98" s="81"/>
      <c r="C98" s="29" t="s">
        <v>96</v>
      </c>
      <c r="D98" s="28">
        <v>7</v>
      </c>
      <c r="E98" s="27">
        <v>1.5011794981771391E-3</v>
      </c>
    </row>
    <row r="99" spans="2:5" ht="15" customHeight="1" x14ac:dyDescent="0.25">
      <c r="B99" s="81"/>
      <c r="C99" s="29" t="s">
        <v>102</v>
      </c>
      <c r="D99" s="28">
        <v>8</v>
      </c>
      <c r="E99" s="27">
        <v>1.7156337122024449E-3</v>
      </c>
    </row>
    <row r="100" spans="2:5" ht="15" customHeight="1" x14ac:dyDescent="0.25">
      <c r="B100" s="81"/>
      <c r="C100" s="29" t="s">
        <v>103</v>
      </c>
      <c r="D100" s="28">
        <v>5</v>
      </c>
      <c r="E100" s="27">
        <v>1.0722710701265279E-3</v>
      </c>
    </row>
    <row r="101" spans="2:5" ht="15" customHeight="1" x14ac:dyDescent="0.25">
      <c r="B101" s="81"/>
      <c r="C101" s="29" t="s">
        <v>104</v>
      </c>
      <c r="D101" s="28">
        <v>3</v>
      </c>
      <c r="E101" s="27">
        <v>6.4336264207591682E-4</v>
      </c>
    </row>
    <row r="102" spans="2:5" ht="15" customHeight="1" x14ac:dyDescent="0.25">
      <c r="B102" s="81"/>
      <c r="C102" s="29" t="s">
        <v>100</v>
      </c>
      <c r="D102" s="28">
        <v>1</v>
      </c>
      <c r="E102" s="27">
        <v>2.1445421402530561E-4</v>
      </c>
    </row>
    <row r="103" spans="2:5" ht="15" customHeight="1" x14ac:dyDescent="0.25">
      <c r="B103" s="82"/>
      <c r="C103" s="26" t="s">
        <v>46</v>
      </c>
      <c r="D103" s="25">
        <v>180</v>
      </c>
      <c r="E103" s="24">
        <v>3.860175852455501E-2</v>
      </c>
    </row>
    <row r="104" spans="2:5" ht="15" customHeight="1" x14ac:dyDescent="0.25">
      <c r="B104" s="80" t="s">
        <v>24</v>
      </c>
      <c r="C104" s="29" t="s">
        <v>0</v>
      </c>
      <c r="D104" s="28">
        <v>13</v>
      </c>
      <c r="E104" s="27">
        <v>2.7879047823289728E-3</v>
      </c>
    </row>
    <row r="105" spans="2:5" ht="15" customHeight="1" x14ac:dyDescent="0.25">
      <c r="B105" s="81"/>
      <c r="C105" s="29" t="s">
        <v>102</v>
      </c>
      <c r="D105" s="28">
        <v>7</v>
      </c>
      <c r="E105" s="27">
        <v>1.5011794981771391E-3</v>
      </c>
    </row>
    <row r="106" spans="2:5" ht="15" customHeight="1" x14ac:dyDescent="0.25">
      <c r="B106" s="81"/>
      <c r="C106" s="29" t="s">
        <v>104</v>
      </c>
      <c r="D106" s="28">
        <v>4</v>
      </c>
      <c r="E106" s="27">
        <v>8.5781685610122243E-4</v>
      </c>
    </row>
    <row r="107" spans="2:5" ht="15" customHeight="1" x14ac:dyDescent="0.25">
      <c r="B107" s="81"/>
      <c r="C107" s="29" t="s">
        <v>99</v>
      </c>
      <c r="D107" s="28">
        <v>2</v>
      </c>
      <c r="E107" s="27">
        <v>4.2890842805061121E-4</v>
      </c>
    </row>
    <row r="108" spans="2:5" ht="15" customHeight="1" x14ac:dyDescent="0.25">
      <c r="B108" s="82"/>
      <c r="C108" s="26" t="s">
        <v>46</v>
      </c>
      <c r="D108" s="25">
        <v>26</v>
      </c>
      <c r="E108" s="24">
        <v>5.5758095646579455E-3</v>
      </c>
    </row>
    <row r="109" spans="2:5" ht="15" customHeight="1" x14ac:dyDescent="0.25">
      <c r="B109" s="80" t="s">
        <v>16</v>
      </c>
      <c r="C109" s="29" t="s">
        <v>0</v>
      </c>
      <c r="D109" s="28">
        <v>27</v>
      </c>
      <c r="E109" s="27">
        <v>5.790263778683251E-3</v>
      </c>
    </row>
    <row r="110" spans="2:5" ht="15" customHeight="1" x14ac:dyDescent="0.25">
      <c r="B110" s="81"/>
      <c r="C110" s="29" t="s">
        <v>101</v>
      </c>
      <c r="D110" s="28">
        <v>1</v>
      </c>
      <c r="E110" s="27">
        <v>2.1445421402530561E-4</v>
      </c>
    </row>
    <row r="111" spans="2:5" ht="15" customHeight="1" x14ac:dyDescent="0.25">
      <c r="B111" s="81"/>
      <c r="C111" s="29" t="s">
        <v>105</v>
      </c>
      <c r="D111" s="28">
        <v>26</v>
      </c>
      <c r="E111" s="27">
        <v>5.5758095646579455E-3</v>
      </c>
    </row>
    <row r="112" spans="2:5" ht="15" customHeight="1" x14ac:dyDescent="0.25">
      <c r="B112" s="81"/>
      <c r="C112" s="29" t="s">
        <v>98</v>
      </c>
      <c r="D112" s="28">
        <v>1</v>
      </c>
      <c r="E112" s="27">
        <v>2.1445421402530561E-4</v>
      </c>
    </row>
    <row r="113" spans="2:5" ht="15" customHeight="1" x14ac:dyDescent="0.25">
      <c r="B113" s="81"/>
      <c r="C113" s="29" t="s">
        <v>96</v>
      </c>
      <c r="D113" s="28">
        <v>1</v>
      </c>
      <c r="E113" s="27">
        <v>2.1445421402530561E-4</v>
      </c>
    </row>
    <row r="114" spans="2:5" ht="15" customHeight="1" x14ac:dyDescent="0.25">
      <c r="B114" s="81"/>
      <c r="C114" s="29" t="s">
        <v>102</v>
      </c>
      <c r="D114" s="28">
        <v>3</v>
      </c>
      <c r="E114" s="27">
        <v>6.4336264207591682E-4</v>
      </c>
    </row>
    <row r="115" spans="2:5" ht="15" customHeight="1" x14ac:dyDescent="0.25">
      <c r="B115" s="81"/>
      <c r="C115" s="29" t="s">
        <v>103</v>
      </c>
      <c r="D115" s="28">
        <v>3</v>
      </c>
      <c r="E115" s="27">
        <v>6.4336264207591682E-4</v>
      </c>
    </row>
    <row r="116" spans="2:5" ht="15" customHeight="1" x14ac:dyDescent="0.25">
      <c r="B116" s="81"/>
      <c r="C116" s="29" t="s">
        <v>104</v>
      </c>
      <c r="D116" s="28">
        <v>1</v>
      </c>
      <c r="E116" s="27">
        <v>2.1445421402530561E-4</v>
      </c>
    </row>
    <row r="117" spans="2:5" ht="15" customHeight="1" x14ac:dyDescent="0.25">
      <c r="B117" s="82"/>
      <c r="C117" s="26" t="s">
        <v>46</v>
      </c>
      <c r="D117" s="25">
        <v>63</v>
      </c>
      <c r="E117" s="24">
        <v>1.3510615483594253E-2</v>
      </c>
    </row>
    <row r="118" spans="2:5" ht="15" customHeight="1" x14ac:dyDescent="0.25">
      <c r="B118" s="80" t="s">
        <v>19</v>
      </c>
      <c r="C118" s="29" t="s">
        <v>0</v>
      </c>
      <c r="D118" s="28">
        <v>31</v>
      </c>
      <c r="E118" s="27">
        <v>6.6480806347844739E-3</v>
      </c>
    </row>
    <row r="119" spans="2:5" ht="15" customHeight="1" x14ac:dyDescent="0.25">
      <c r="B119" s="81"/>
      <c r="C119" s="29" t="s">
        <v>102</v>
      </c>
      <c r="D119" s="28">
        <v>2</v>
      </c>
      <c r="E119" s="27">
        <v>4.2890842805061121E-4</v>
      </c>
    </row>
    <row r="120" spans="2:5" ht="15" customHeight="1" x14ac:dyDescent="0.25">
      <c r="B120" s="81"/>
      <c r="C120" s="29" t="s">
        <v>103</v>
      </c>
      <c r="D120" s="28">
        <v>11</v>
      </c>
      <c r="E120" s="27">
        <v>2.3589963542783618E-3</v>
      </c>
    </row>
    <row r="121" spans="2:5" ht="15" customHeight="1" x14ac:dyDescent="0.25">
      <c r="B121" s="81"/>
      <c r="C121" s="29" t="s">
        <v>104</v>
      </c>
      <c r="D121" s="28">
        <v>3</v>
      </c>
      <c r="E121" s="27">
        <v>6.4336264207591682E-4</v>
      </c>
    </row>
    <row r="122" spans="2:5" ht="15" customHeight="1" x14ac:dyDescent="0.25">
      <c r="B122" s="81"/>
      <c r="C122" s="29" t="s">
        <v>99</v>
      </c>
      <c r="D122" s="28">
        <v>14</v>
      </c>
      <c r="E122" s="27">
        <v>3.0023589963542783E-3</v>
      </c>
    </row>
    <row r="123" spans="2:5" ht="15" customHeight="1" x14ac:dyDescent="0.25">
      <c r="B123" s="82"/>
      <c r="C123" s="26" t="s">
        <v>46</v>
      </c>
      <c r="D123" s="25">
        <v>61</v>
      </c>
      <c r="E123" s="24">
        <v>1.3081707055543641E-2</v>
      </c>
    </row>
    <row r="124" spans="2:5" ht="15" customHeight="1" x14ac:dyDescent="0.25">
      <c r="B124" s="80" t="s">
        <v>29</v>
      </c>
      <c r="C124" s="29" t="s">
        <v>0</v>
      </c>
      <c r="D124" s="28">
        <v>3</v>
      </c>
      <c r="E124" s="27">
        <v>6.4336264207591682E-4</v>
      </c>
    </row>
    <row r="125" spans="2:5" ht="15" customHeight="1" x14ac:dyDescent="0.25">
      <c r="B125" s="81"/>
      <c r="C125" s="29" t="s">
        <v>101</v>
      </c>
      <c r="D125" s="28">
        <v>1</v>
      </c>
      <c r="E125" s="27">
        <v>2.1445421402530561E-4</v>
      </c>
    </row>
    <row r="126" spans="2:5" ht="15" customHeight="1" x14ac:dyDescent="0.25">
      <c r="B126" s="81"/>
      <c r="C126" s="29" t="s">
        <v>103</v>
      </c>
      <c r="D126" s="28">
        <v>2</v>
      </c>
      <c r="E126" s="27">
        <v>4.2890842805061121E-4</v>
      </c>
    </row>
    <row r="127" spans="2:5" ht="15" customHeight="1" x14ac:dyDescent="0.25">
      <c r="B127" s="81"/>
      <c r="C127" s="29" t="s">
        <v>104</v>
      </c>
      <c r="D127" s="28">
        <v>5</v>
      </c>
      <c r="E127" s="27">
        <v>1.0722710701265279E-3</v>
      </c>
    </row>
    <row r="128" spans="2:5" ht="15" customHeight="1" x14ac:dyDescent="0.25">
      <c r="B128" s="82"/>
      <c r="C128" s="26" t="s">
        <v>46</v>
      </c>
      <c r="D128" s="25">
        <v>11</v>
      </c>
      <c r="E128" s="24">
        <v>2.3589963542783618E-3</v>
      </c>
    </row>
    <row r="129" spans="2:5" ht="15" customHeight="1" x14ac:dyDescent="0.25">
      <c r="B129" s="80" t="s">
        <v>39</v>
      </c>
      <c r="C129" s="29" t="s">
        <v>0</v>
      </c>
      <c r="D129" s="28">
        <v>1</v>
      </c>
      <c r="E129" s="27">
        <v>2.1445421402530561E-4</v>
      </c>
    </row>
    <row r="130" spans="2:5" ht="15" customHeight="1" x14ac:dyDescent="0.25">
      <c r="B130" s="81"/>
      <c r="C130" s="29" t="s">
        <v>101</v>
      </c>
      <c r="D130" s="28">
        <v>1</v>
      </c>
      <c r="E130" s="27">
        <v>2.1445421402530561E-4</v>
      </c>
    </row>
    <row r="131" spans="2:5" ht="15" customHeight="1" x14ac:dyDescent="0.25">
      <c r="B131" s="81"/>
      <c r="C131" s="29" t="s">
        <v>96</v>
      </c>
      <c r="D131" s="28">
        <v>1</v>
      </c>
      <c r="E131" s="27">
        <v>2.1445421402530561E-4</v>
      </c>
    </row>
    <row r="132" spans="2:5" ht="15" customHeight="1" x14ac:dyDescent="0.25">
      <c r="B132" s="82"/>
      <c r="C132" s="26" t="s">
        <v>46</v>
      </c>
      <c r="D132" s="25">
        <v>3</v>
      </c>
      <c r="E132" s="24">
        <v>6.4336264207591682E-4</v>
      </c>
    </row>
    <row r="133" spans="2:5" ht="15" customHeight="1" x14ac:dyDescent="0.25">
      <c r="B133" s="80" t="s">
        <v>43</v>
      </c>
      <c r="C133" s="29" t="s">
        <v>0</v>
      </c>
      <c r="D133" s="28">
        <v>1</v>
      </c>
      <c r="E133" s="27">
        <v>2.1445421402530561E-4</v>
      </c>
    </row>
    <row r="134" spans="2:5" ht="15" customHeight="1" x14ac:dyDescent="0.25">
      <c r="B134" s="82"/>
      <c r="C134" s="26" t="s">
        <v>46</v>
      </c>
      <c r="D134" s="25">
        <v>1</v>
      </c>
      <c r="E134" s="24">
        <v>2.1445421402530561E-4</v>
      </c>
    </row>
    <row r="135" spans="2:5" ht="15" customHeight="1" x14ac:dyDescent="0.25">
      <c r="B135" s="80" t="s">
        <v>28</v>
      </c>
      <c r="C135" s="29" t="s">
        <v>0</v>
      </c>
      <c r="D135" s="28">
        <v>23</v>
      </c>
      <c r="E135" s="27">
        <v>4.9324469225820291E-3</v>
      </c>
    </row>
    <row r="136" spans="2:5" ht="15" customHeight="1" x14ac:dyDescent="0.25">
      <c r="B136" s="81"/>
      <c r="C136" s="29" t="s">
        <v>105</v>
      </c>
      <c r="D136" s="28">
        <v>1</v>
      </c>
      <c r="E136" s="27">
        <v>2.1445421402530561E-4</v>
      </c>
    </row>
    <row r="137" spans="2:5" ht="15" customHeight="1" x14ac:dyDescent="0.25">
      <c r="B137" s="81"/>
      <c r="C137" s="29" t="s">
        <v>98</v>
      </c>
      <c r="D137" s="28">
        <v>1</v>
      </c>
      <c r="E137" s="27">
        <v>2.1445421402530561E-4</v>
      </c>
    </row>
    <row r="138" spans="2:5" ht="15" customHeight="1" x14ac:dyDescent="0.25">
      <c r="B138" s="81"/>
      <c r="C138" s="29" t="s">
        <v>102</v>
      </c>
      <c r="D138" s="28">
        <v>2</v>
      </c>
      <c r="E138" s="27">
        <v>4.2890842805061121E-4</v>
      </c>
    </row>
    <row r="139" spans="2:5" ht="15" customHeight="1" x14ac:dyDescent="0.25">
      <c r="B139" s="81"/>
      <c r="C139" s="29" t="s">
        <v>103</v>
      </c>
      <c r="D139" s="28">
        <v>1</v>
      </c>
      <c r="E139" s="27">
        <v>2.1445421402530561E-4</v>
      </c>
    </row>
    <row r="140" spans="2:5" ht="15" customHeight="1" x14ac:dyDescent="0.25">
      <c r="B140" s="81"/>
      <c r="C140" s="29" t="s">
        <v>104</v>
      </c>
      <c r="D140" s="28">
        <v>4</v>
      </c>
      <c r="E140" s="27">
        <v>8.5781685610122243E-4</v>
      </c>
    </row>
    <row r="141" spans="2:5" ht="15" customHeight="1" x14ac:dyDescent="0.25">
      <c r="B141" s="82"/>
      <c r="C141" s="26" t="s">
        <v>46</v>
      </c>
      <c r="D141" s="25">
        <v>32</v>
      </c>
      <c r="E141" s="24">
        <v>6.8625348488097794E-3</v>
      </c>
    </row>
    <row r="142" spans="2:5" ht="15" customHeight="1" x14ac:dyDescent="0.25">
      <c r="B142" s="80" t="s">
        <v>30</v>
      </c>
      <c r="C142" s="29" t="s">
        <v>0</v>
      </c>
      <c r="D142" s="28">
        <v>25</v>
      </c>
      <c r="E142" s="27">
        <v>5.3613553506326401E-3</v>
      </c>
    </row>
    <row r="143" spans="2:5" ht="15" customHeight="1" x14ac:dyDescent="0.25">
      <c r="B143" s="81"/>
      <c r="C143" s="29" t="s">
        <v>105</v>
      </c>
      <c r="D143" s="28">
        <v>4</v>
      </c>
      <c r="E143" s="27">
        <v>8.5781685610122243E-4</v>
      </c>
    </row>
    <row r="144" spans="2:5" ht="15" customHeight="1" x14ac:dyDescent="0.25">
      <c r="B144" s="81"/>
      <c r="C144" s="29" t="s">
        <v>102</v>
      </c>
      <c r="D144" s="28">
        <v>7</v>
      </c>
      <c r="E144" s="27">
        <v>1.5011794981771391E-3</v>
      </c>
    </row>
    <row r="145" spans="2:5" ht="15" customHeight="1" x14ac:dyDescent="0.25">
      <c r="B145" s="81"/>
      <c r="C145" s="29" t="s">
        <v>104</v>
      </c>
      <c r="D145" s="28">
        <v>1</v>
      </c>
      <c r="E145" s="27">
        <v>2.1445421402530561E-4</v>
      </c>
    </row>
    <row r="146" spans="2:5" ht="15" customHeight="1" x14ac:dyDescent="0.25">
      <c r="B146" s="81"/>
      <c r="C146" s="29" t="s">
        <v>99</v>
      </c>
      <c r="D146" s="28">
        <v>1</v>
      </c>
      <c r="E146" s="27">
        <v>2.1445421402530561E-4</v>
      </c>
    </row>
    <row r="147" spans="2:5" ht="15" customHeight="1" x14ac:dyDescent="0.25">
      <c r="B147" s="82"/>
      <c r="C147" s="26" t="s">
        <v>46</v>
      </c>
      <c r="D147" s="25">
        <v>38</v>
      </c>
      <c r="E147" s="24">
        <v>8.1492601329616124E-3</v>
      </c>
    </row>
    <row r="148" spans="2:5" ht="15" customHeight="1" x14ac:dyDescent="0.25">
      <c r="B148" s="80" t="s">
        <v>36</v>
      </c>
      <c r="C148" s="29" t="s">
        <v>0</v>
      </c>
      <c r="D148" s="28">
        <v>3</v>
      </c>
      <c r="E148" s="27">
        <v>6.4336264207591682E-4</v>
      </c>
    </row>
    <row r="149" spans="2:5" ht="15" customHeight="1" x14ac:dyDescent="0.25">
      <c r="B149" s="81"/>
      <c r="C149" s="29" t="s">
        <v>105</v>
      </c>
      <c r="D149" s="28">
        <v>2</v>
      </c>
      <c r="E149" s="27">
        <v>4.2890842805061121E-4</v>
      </c>
    </row>
    <row r="150" spans="2:5" ht="15" customHeight="1" x14ac:dyDescent="0.25">
      <c r="B150" s="81"/>
      <c r="C150" s="29" t="s">
        <v>102</v>
      </c>
      <c r="D150" s="28">
        <v>1</v>
      </c>
      <c r="E150" s="27">
        <v>2.1445421402530561E-4</v>
      </c>
    </row>
    <row r="151" spans="2:5" ht="15" customHeight="1" x14ac:dyDescent="0.25">
      <c r="B151" s="81"/>
      <c r="C151" s="29" t="s">
        <v>104</v>
      </c>
      <c r="D151" s="28">
        <v>1</v>
      </c>
      <c r="E151" s="27">
        <v>2.1445421402530561E-4</v>
      </c>
    </row>
    <row r="152" spans="2:5" ht="15" customHeight="1" x14ac:dyDescent="0.25">
      <c r="B152" s="82"/>
      <c r="C152" s="26" t="s">
        <v>46</v>
      </c>
      <c r="D152" s="25">
        <v>7</v>
      </c>
      <c r="E152" s="24">
        <v>1.5011794981771391E-3</v>
      </c>
    </row>
    <row r="153" spans="2:5" ht="15" customHeight="1" x14ac:dyDescent="0.25">
      <c r="B153" s="80" t="s">
        <v>25</v>
      </c>
      <c r="C153" s="29" t="s">
        <v>0</v>
      </c>
      <c r="D153" s="28">
        <v>11</v>
      </c>
      <c r="E153" s="27">
        <v>2.3589963542783618E-3</v>
      </c>
    </row>
    <row r="154" spans="2:5" ht="15" customHeight="1" x14ac:dyDescent="0.25">
      <c r="B154" s="81"/>
      <c r="C154" s="29" t="s">
        <v>105</v>
      </c>
      <c r="D154" s="28">
        <v>1</v>
      </c>
      <c r="E154" s="27">
        <v>2.1445421402530561E-4</v>
      </c>
    </row>
    <row r="155" spans="2:5" ht="15" customHeight="1" x14ac:dyDescent="0.25">
      <c r="B155" s="81"/>
      <c r="C155" s="29" t="s">
        <v>104</v>
      </c>
      <c r="D155" s="28">
        <v>6</v>
      </c>
      <c r="E155" s="27">
        <v>1.2867252841518336E-3</v>
      </c>
    </row>
    <row r="156" spans="2:5" ht="15" customHeight="1" x14ac:dyDescent="0.25">
      <c r="B156" s="82"/>
      <c r="C156" s="26" t="s">
        <v>46</v>
      </c>
      <c r="D156" s="25">
        <v>18</v>
      </c>
      <c r="E156" s="24">
        <v>3.8601758524555007E-3</v>
      </c>
    </row>
    <row r="157" spans="2:5" ht="15" customHeight="1" x14ac:dyDescent="0.25">
      <c r="B157" s="80" t="s">
        <v>23</v>
      </c>
      <c r="C157" s="29" t="s">
        <v>0</v>
      </c>
      <c r="D157" s="28">
        <v>15</v>
      </c>
      <c r="E157" s="27">
        <v>3.2168132103795838E-3</v>
      </c>
    </row>
    <row r="158" spans="2:5" ht="15" customHeight="1" x14ac:dyDescent="0.25">
      <c r="B158" s="81"/>
      <c r="C158" s="29" t="s">
        <v>102</v>
      </c>
      <c r="D158" s="28">
        <v>3</v>
      </c>
      <c r="E158" s="27">
        <v>6.4336264207591682E-4</v>
      </c>
    </row>
    <row r="159" spans="2:5" ht="15" customHeight="1" x14ac:dyDescent="0.25">
      <c r="B159" s="81"/>
      <c r="C159" s="29" t="s">
        <v>103</v>
      </c>
      <c r="D159" s="28">
        <v>8</v>
      </c>
      <c r="E159" s="27">
        <v>1.7156337122024449E-3</v>
      </c>
    </row>
    <row r="160" spans="2:5" ht="15" customHeight="1" x14ac:dyDescent="0.25">
      <c r="B160" s="81"/>
      <c r="C160" s="29" t="s">
        <v>104</v>
      </c>
      <c r="D160" s="28">
        <v>17</v>
      </c>
      <c r="E160" s="27">
        <v>3.6457216384301952E-3</v>
      </c>
    </row>
    <row r="161" spans="2:5" ht="15" customHeight="1" x14ac:dyDescent="0.25">
      <c r="B161" s="82"/>
      <c r="C161" s="26" t="s">
        <v>46</v>
      </c>
      <c r="D161" s="25">
        <v>43</v>
      </c>
      <c r="E161" s="24">
        <v>9.2215312030881399E-3</v>
      </c>
    </row>
    <row r="162" spans="2:5" ht="15" customHeight="1" x14ac:dyDescent="0.25">
      <c r="B162" s="80" t="s">
        <v>11</v>
      </c>
      <c r="C162" s="29" t="s">
        <v>0</v>
      </c>
      <c r="D162" s="28">
        <v>44</v>
      </c>
      <c r="E162" s="27">
        <v>9.4359854171134471E-3</v>
      </c>
    </row>
    <row r="163" spans="2:5" ht="15" customHeight="1" x14ac:dyDescent="0.25">
      <c r="B163" s="81"/>
      <c r="C163" s="29" t="s">
        <v>101</v>
      </c>
      <c r="D163" s="28">
        <v>1</v>
      </c>
      <c r="E163" s="27">
        <v>2.1445421402530561E-4</v>
      </c>
    </row>
    <row r="164" spans="2:5" ht="15" customHeight="1" x14ac:dyDescent="0.25">
      <c r="B164" s="81"/>
      <c r="C164" s="29" t="s">
        <v>105</v>
      </c>
      <c r="D164" s="28">
        <v>2</v>
      </c>
      <c r="E164" s="27">
        <v>4.2890842805061121E-4</v>
      </c>
    </row>
    <row r="165" spans="2:5" ht="15" customHeight="1" x14ac:dyDescent="0.25">
      <c r="B165" s="81"/>
      <c r="C165" s="29" t="s">
        <v>98</v>
      </c>
      <c r="D165" s="28">
        <v>13</v>
      </c>
      <c r="E165" s="27">
        <v>2.7879047823289728E-3</v>
      </c>
    </row>
    <row r="166" spans="2:5" ht="15" customHeight="1" x14ac:dyDescent="0.25">
      <c r="B166" s="81"/>
      <c r="C166" s="29" t="s">
        <v>102</v>
      </c>
      <c r="D166" s="28">
        <v>3</v>
      </c>
      <c r="E166" s="27">
        <v>6.4336264207591682E-4</v>
      </c>
    </row>
    <row r="167" spans="2:5" ht="15" customHeight="1" x14ac:dyDescent="0.25">
      <c r="B167" s="81"/>
      <c r="C167" s="29" t="s">
        <v>103</v>
      </c>
      <c r="D167" s="28">
        <v>2</v>
      </c>
      <c r="E167" s="27">
        <v>4.2890842805061121E-4</v>
      </c>
    </row>
    <row r="168" spans="2:5" ht="15" customHeight="1" x14ac:dyDescent="0.25">
      <c r="B168" s="81"/>
      <c r="C168" s="29" t="s">
        <v>104</v>
      </c>
      <c r="D168" s="28">
        <v>7</v>
      </c>
      <c r="E168" s="27">
        <v>1.5011794981771391E-3</v>
      </c>
    </row>
    <row r="169" spans="2:5" ht="15" customHeight="1" x14ac:dyDescent="0.25">
      <c r="B169" s="81"/>
      <c r="C169" s="29" t="s">
        <v>99</v>
      </c>
      <c r="D169" s="28">
        <v>1</v>
      </c>
      <c r="E169" s="27">
        <v>2.1445421402530561E-4</v>
      </c>
    </row>
    <row r="170" spans="2:5" ht="15" customHeight="1" x14ac:dyDescent="0.25">
      <c r="B170" s="82"/>
      <c r="C170" s="26" t="s">
        <v>46</v>
      </c>
      <c r="D170" s="25">
        <v>73</v>
      </c>
      <c r="E170" s="24">
        <v>1.565515762384731E-2</v>
      </c>
    </row>
    <row r="171" spans="2:5" ht="15" customHeight="1" x14ac:dyDescent="0.25">
      <c r="B171" s="80" t="s">
        <v>40</v>
      </c>
      <c r="C171" s="29" t="s">
        <v>0</v>
      </c>
      <c r="D171" s="28">
        <v>4</v>
      </c>
      <c r="E171" s="27">
        <v>8.5781685610122243E-4</v>
      </c>
    </row>
    <row r="172" spans="2:5" ht="15" customHeight="1" x14ac:dyDescent="0.25">
      <c r="B172" s="82"/>
      <c r="C172" s="26" t="s">
        <v>46</v>
      </c>
      <c r="D172" s="25">
        <v>4</v>
      </c>
      <c r="E172" s="24">
        <v>8.5781685610122243E-4</v>
      </c>
    </row>
    <row r="173" spans="2:5" ht="15" customHeight="1" x14ac:dyDescent="0.25">
      <c r="B173" s="80" t="s">
        <v>18</v>
      </c>
      <c r="C173" s="29" t="s">
        <v>0</v>
      </c>
      <c r="D173" s="28">
        <v>24</v>
      </c>
      <c r="E173" s="27">
        <v>5.1469011366073346E-3</v>
      </c>
    </row>
    <row r="174" spans="2:5" ht="15" customHeight="1" x14ac:dyDescent="0.25">
      <c r="B174" s="81"/>
      <c r="C174" s="29" t="s">
        <v>105</v>
      </c>
      <c r="D174" s="28">
        <v>4</v>
      </c>
      <c r="E174" s="27">
        <v>8.5781685610122243E-4</v>
      </c>
    </row>
    <row r="175" spans="2:5" ht="15" customHeight="1" x14ac:dyDescent="0.25">
      <c r="B175" s="81"/>
      <c r="C175" s="29" t="s">
        <v>98</v>
      </c>
      <c r="D175" s="28">
        <v>3</v>
      </c>
      <c r="E175" s="27">
        <v>6.4336264207591682E-4</v>
      </c>
    </row>
    <row r="176" spans="2:5" ht="15" customHeight="1" x14ac:dyDescent="0.25">
      <c r="B176" s="81"/>
      <c r="C176" s="29" t="s">
        <v>102</v>
      </c>
      <c r="D176" s="28">
        <v>1</v>
      </c>
      <c r="E176" s="27">
        <v>2.1445421402530561E-4</v>
      </c>
    </row>
    <row r="177" spans="2:5" ht="15" customHeight="1" x14ac:dyDescent="0.25">
      <c r="B177" s="81"/>
      <c r="C177" s="29" t="s">
        <v>104</v>
      </c>
      <c r="D177" s="28">
        <v>2</v>
      </c>
      <c r="E177" s="27">
        <v>4.2890842805061121E-4</v>
      </c>
    </row>
    <row r="178" spans="2:5" ht="15" customHeight="1" x14ac:dyDescent="0.25">
      <c r="B178" s="82"/>
      <c r="C178" s="26" t="s">
        <v>46</v>
      </c>
      <c r="D178" s="25">
        <v>34</v>
      </c>
      <c r="E178" s="24">
        <v>7.2914432768603904E-3</v>
      </c>
    </row>
    <row r="179" spans="2:5" ht="15" customHeight="1" x14ac:dyDescent="0.25">
      <c r="B179" s="80" t="s">
        <v>33</v>
      </c>
      <c r="C179" s="29" t="s">
        <v>0</v>
      </c>
      <c r="D179" s="28">
        <v>9</v>
      </c>
      <c r="E179" s="27">
        <v>1.9300879262277503E-3</v>
      </c>
    </row>
    <row r="180" spans="2:5" ht="15" customHeight="1" x14ac:dyDescent="0.25">
      <c r="B180" s="81"/>
      <c r="C180" s="29" t="s">
        <v>104</v>
      </c>
      <c r="D180" s="28">
        <v>1</v>
      </c>
      <c r="E180" s="27">
        <v>2.1445421402530561E-4</v>
      </c>
    </row>
    <row r="181" spans="2:5" ht="15" customHeight="1" x14ac:dyDescent="0.25">
      <c r="B181" s="82"/>
      <c r="C181" s="26" t="s">
        <v>46</v>
      </c>
      <c r="D181" s="25">
        <v>10</v>
      </c>
      <c r="E181" s="24">
        <v>2.1445421402530558E-3</v>
      </c>
    </row>
    <row r="182" spans="2:5" ht="15" customHeight="1" x14ac:dyDescent="0.25">
      <c r="B182" s="80" t="s">
        <v>15</v>
      </c>
      <c r="C182" s="29" t="s">
        <v>0</v>
      </c>
      <c r="D182" s="28">
        <v>69</v>
      </c>
      <c r="E182" s="27">
        <v>1.4797340767746086E-2</v>
      </c>
    </row>
    <row r="183" spans="2:5" ht="15" customHeight="1" x14ac:dyDescent="0.25">
      <c r="B183" s="81"/>
      <c r="C183" s="29" t="s">
        <v>101</v>
      </c>
      <c r="D183" s="28">
        <v>13</v>
      </c>
      <c r="E183" s="27">
        <v>2.7879047823289728E-3</v>
      </c>
    </row>
    <row r="184" spans="2:5" ht="15" customHeight="1" x14ac:dyDescent="0.25">
      <c r="B184" s="81"/>
      <c r="C184" s="29" t="s">
        <v>105</v>
      </c>
      <c r="D184" s="28">
        <v>38</v>
      </c>
      <c r="E184" s="27">
        <v>8.1492601329616124E-3</v>
      </c>
    </row>
    <row r="185" spans="2:5" ht="15" customHeight="1" x14ac:dyDescent="0.25">
      <c r="B185" s="81"/>
      <c r="C185" s="29" t="s">
        <v>96</v>
      </c>
      <c r="D185" s="28">
        <v>1</v>
      </c>
      <c r="E185" s="27">
        <v>2.1445421402530561E-4</v>
      </c>
    </row>
    <row r="186" spans="2:5" ht="15" customHeight="1" x14ac:dyDescent="0.25">
      <c r="B186" s="81"/>
      <c r="C186" s="29" t="s">
        <v>102</v>
      </c>
      <c r="D186" s="28">
        <v>2</v>
      </c>
      <c r="E186" s="27">
        <v>4.2890842805061121E-4</v>
      </c>
    </row>
    <row r="187" spans="2:5" ht="15" customHeight="1" x14ac:dyDescent="0.25">
      <c r="B187" s="81"/>
      <c r="C187" s="29" t="s">
        <v>103</v>
      </c>
      <c r="D187" s="28">
        <v>8</v>
      </c>
      <c r="E187" s="27">
        <v>1.7156337122024449E-3</v>
      </c>
    </row>
    <row r="188" spans="2:5" ht="15" customHeight="1" x14ac:dyDescent="0.25">
      <c r="B188" s="81"/>
      <c r="C188" s="29" t="s">
        <v>104</v>
      </c>
      <c r="D188" s="28">
        <v>7</v>
      </c>
      <c r="E188" s="27">
        <v>1.5011794981771391E-3</v>
      </c>
    </row>
    <row r="189" spans="2:5" ht="15" customHeight="1" x14ac:dyDescent="0.25">
      <c r="B189" s="82"/>
      <c r="C189" s="26" t="s">
        <v>46</v>
      </c>
      <c r="D189" s="25">
        <v>138</v>
      </c>
      <c r="E189" s="24">
        <v>2.9594681535492173E-2</v>
      </c>
    </row>
    <row r="190" spans="2:5" ht="15" customHeight="1" x14ac:dyDescent="0.25">
      <c r="B190" s="80" t="s">
        <v>44</v>
      </c>
      <c r="C190" s="29" t="s">
        <v>0</v>
      </c>
      <c r="D190" s="28">
        <v>1</v>
      </c>
      <c r="E190" s="27">
        <v>2.1445421402530561E-4</v>
      </c>
    </row>
    <row r="191" spans="2:5" ht="15" customHeight="1" x14ac:dyDescent="0.25">
      <c r="B191" s="82"/>
      <c r="C191" s="26" t="s">
        <v>46</v>
      </c>
      <c r="D191" s="25">
        <v>1</v>
      </c>
      <c r="E191" s="24">
        <v>2.1445421402530561E-4</v>
      </c>
    </row>
    <row r="192" spans="2:5" ht="15" customHeight="1" x14ac:dyDescent="0.25">
      <c r="B192" s="80" t="s">
        <v>34</v>
      </c>
      <c r="C192" s="29" t="s">
        <v>0</v>
      </c>
      <c r="D192" s="28">
        <v>13</v>
      </c>
      <c r="E192" s="27">
        <v>2.7879047823289728E-3</v>
      </c>
    </row>
    <row r="193" spans="2:5" ht="15" customHeight="1" x14ac:dyDescent="0.25">
      <c r="B193" s="81"/>
      <c r="C193" s="29" t="s">
        <v>101</v>
      </c>
      <c r="D193" s="28">
        <v>1</v>
      </c>
      <c r="E193" s="27">
        <v>2.1445421402530561E-4</v>
      </c>
    </row>
    <row r="194" spans="2:5" ht="15" customHeight="1" x14ac:dyDescent="0.25">
      <c r="B194" s="81"/>
      <c r="C194" s="29" t="s">
        <v>105</v>
      </c>
      <c r="D194" s="28">
        <v>1</v>
      </c>
      <c r="E194" s="27">
        <v>2.1445421402530561E-4</v>
      </c>
    </row>
    <row r="195" spans="2:5" ht="15" customHeight="1" x14ac:dyDescent="0.25">
      <c r="B195" s="81"/>
      <c r="C195" s="29" t="s">
        <v>96</v>
      </c>
      <c r="D195" s="28">
        <v>1</v>
      </c>
      <c r="E195" s="27">
        <v>2.1445421402530561E-4</v>
      </c>
    </row>
    <row r="196" spans="2:5" ht="15" customHeight="1" x14ac:dyDescent="0.25">
      <c r="B196" s="81"/>
      <c r="C196" s="29" t="s">
        <v>104</v>
      </c>
      <c r="D196" s="28">
        <v>6</v>
      </c>
      <c r="E196" s="27">
        <v>1.2867252841518336E-3</v>
      </c>
    </row>
    <row r="197" spans="2:5" ht="15" customHeight="1" x14ac:dyDescent="0.25">
      <c r="B197" s="81"/>
      <c r="C197" s="29" t="s">
        <v>97</v>
      </c>
      <c r="D197" s="28">
        <v>1</v>
      </c>
      <c r="E197" s="27">
        <v>2.1445421402530561E-4</v>
      </c>
    </row>
    <row r="198" spans="2:5" ht="15" customHeight="1" x14ac:dyDescent="0.25">
      <c r="B198" s="82"/>
      <c r="C198" s="26" t="s">
        <v>46</v>
      </c>
      <c r="D198" s="25">
        <v>23</v>
      </c>
      <c r="E198" s="24">
        <v>4.9324469225820291E-3</v>
      </c>
    </row>
    <row r="199" spans="2:5" ht="15" customHeight="1" x14ac:dyDescent="0.25">
      <c r="B199" s="80" t="s">
        <v>7</v>
      </c>
      <c r="C199" s="29" t="s">
        <v>0</v>
      </c>
      <c r="D199" s="28">
        <v>98</v>
      </c>
      <c r="E199" s="27">
        <v>2.1016512974479949E-2</v>
      </c>
    </row>
    <row r="200" spans="2:5" ht="15" customHeight="1" x14ac:dyDescent="0.25">
      <c r="B200" s="81"/>
      <c r="C200" s="29" t="s">
        <v>101</v>
      </c>
      <c r="D200" s="28">
        <v>9</v>
      </c>
      <c r="E200" s="27">
        <v>1.9300879262277503E-3</v>
      </c>
    </row>
    <row r="201" spans="2:5" ht="15" customHeight="1" x14ac:dyDescent="0.25">
      <c r="B201" s="81"/>
      <c r="C201" s="29" t="s">
        <v>105</v>
      </c>
      <c r="D201" s="28">
        <v>164</v>
      </c>
      <c r="E201" s="27">
        <v>3.5170491100150116E-2</v>
      </c>
    </row>
    <row r="202" spans="2:5" ht="15" customHeight="1" x14ac:dyDescent="0.25">
      <c r="B202" s="81"/>
      <c r="C202" s="29" t="s">
        <v>98</v>
      </c>
      <c r="D202" s="28">
        <v>2</v>
      </c>
      <c r="E202" s="27">
        <v>4.2890842805061121E-4</v>
      </c>
    </row>
    <row r="203" spans="2:5" ht="15" customHeight="1" x14ac:dyDescent="0.25">
      <c r="B203" s="81"/>
      <c r="C203" s="29" t="s">
        <v>96</v>
      </c>
      <c r="D203" s="28">
        <v>4</v>
      </c>
      <c r="E203" s="27">
        <v>8.5781685610122243E-4</v>
      </c>
    </row>
    <row r="204" spans="2:5" ht="15" customHeight="1" x14ac:dyDescent="0.25">
      <c r="B204" s="81"/>
      <c r="C204" s="29" t="s">
        <v>102</v>
      </c>
      <c r="D204" s="28">
        <v>8</v>
      </c>
      <c r="E204" s="27">
        <v>1.7156337122024449E-3</v>
      </c>
    </row>
    <row r="205" spans="2:5" ht="15" customHeight="1" x14ac:dyDescent="0.25">
      <c r="B205" s="81"/>
      <c r="C205" s="29" t="s">
        <v>103</v>
      </c>
      <c r="D205" s="28">
        <v>30</v>
      </c>
      <c r="E205" s="27">
        <v>6.4336264207591675E-3</v>
      </c>
    </row>
    <row r="206" spans="2:5" ht="15" customHeight="1" x14ac:dyDescent="0.25">
      <c r="B206" s="81"/>
      <c r="C206" s="29" t="s">
        <v>104</v>
      </c>
      <c r="D206" s="28">
        <v>107</v>
      </c>
      <c r="E206" s="27">
        <v>2.29466009007077E-2</v>
      </c>
    </row>
    <row r="207" spans="2:5" ht="15" customHeight="1" x14ac:dyDescent="0.25">
      <c r="B207" s="81"/>
      <c r="C207" s="29" t="s">
        <v>99</v>
      </c>
      <c r="D207" s="28">
        <v>1</v>
      </c>
      <c r="E207" s="27">
        <v>2.1445421402530561E-4</v>
      </c>
    </row>
    <row r="208" spans="2:5" ht="15" customHeight="1" x14ac:dyDescent="0.25">
      <c r="B208" s="81"/>
      <c r="C208" s="29" t="s">
        <v>97</v>
      </c>
      <c r="D208" s="28">
        <v>1</v>
      </c>
      <c r="E208" s="27">
        <v>2.1445421402530561E-4</v>
      </c>
    </row>
    <row r="209" spans="2:5" ht="15" customHeight="1" x14ac:dyDescent="0.25">
      <c r="B209" s="81"/>
      <c r="C209" s="29" t="s">
        <v>100</v>
      </c>
      <c r="D209" s="28">
        <v>5</v>
      </c>
      <c r="E209" s="27">
        <v>1.0722710701265279E-3</v>
      </c>
    </row>
    <row r="210" spans="2:5" ht="15" customHeight="1" x14ac:dyDescent="0.25">
      <c r="B210" s="82"/>
      <c r="C210" s="26" t="s">
        <v>46</v>
      </c>
      <c r="D210" s="25">
        <v>429</v>
      </c>
      <c r="E210" s="24">
        <v>9.2000857816856102E-2</v>
      </c>
    </row>
    <row r="211" spans="2:5" ht="15" customHeight="1" x14ac:dyDescent="0.25">
      <c r="B211" s="80" t="s">
        <v>31</v>
      </c>
      <c r="C211" s="29" t="s">
        <v>0</v>
      </c>
      <c r="D211" s="28">
        <v>8</v>
      </c>
      <c r="E211" s="27">
        <v>1.7156337122024449E-3</v>
      </c>
    </row>
    <row r="212" spans="2:5" ht="15" customHeight="1" x14ac:dyDescent="0.25">
      <c r="B212" s="81"/>
      <c r="C212" s="29" t="s">
        <v>105</v>
      </c>
      <c r="D212" s="28">
        <v>2</v>
      </c>
      <c r="E212" s="27">
        <v>4.2890842805061121E-4</v>
      </c>
    </row>
    <row r="213" spans="2:5" ht="15" customHeight="1" x14ac:dyDescent="0.25">
      <c r="B213" s="81"/>
      <c r="C213" s="29" t="s">
        <v>103</v>
      </c>
      <c r="D213" s="28">
        <v>1</v>
      </c>
      <c r="E213" s="27">
        <v>2.1445421402530561E-4</v>
      </c>
    </row>
    <row r="214" spans="2:5" ht="15" customHeight="1" x14ac:dyDescent="0.25">
      <c r="B214" s="81"/>
      <c r="C214" s="29" t="s">
        <v>104</v>
      </c>
      <c r="D214" s="28">
        <v>3</v>
      </c>
      <c r="E214" s="27">
        <v>6.4336264207591682E-4</v>
      </c>
    </row>
    <row r="215" spans="2:5" ht="15" customHeight="1" x14ac:dyDescent="0.25">
      <c r="B215" s="81"/>
      <c r="C215" s="29" t="s">
        <v>100</v>
      </c>
      <c r="D215" s="28">
        <v>1</v>
      </c>
      <c r="E215" s="27">
        <v>2.1445421402530561E-4</v>
      </c>
    </row>
    <row r="216" spans="2:5" ht="15" customHeight="1" x14ac:dyDescent="0.25">
      <c r="B216" s="82"/>
      <c r="C216" s="26" t="s">
        <v>46</v>
      </c>
      <c r="D216" s="25">
        <v>15</v>
      </c>
      <c r="E216" s="24">
        <v>3.2168132103795838E-3</v>
      </c>
    </row>
    <row r="217" spans="2:5" ht="15" customHeight="1" x14ac:dyDescent="0.25">
      <c r="B217" s="80" t="s">
        <v>37</v>
      </c>
      <c r="C217" s="29" t="s">
        <v>0</v>
      </c>
      <c r="D217" s="28">
        <v>1</v>
      </c>
      <c r="E217" s="27">
        <v>2.1445421402530561E-4</v>
      </c>
    </row>
    <row r="218" spans="2:5" ht="15" customHeight="1" x14ac:dyDescent="0.25">
      <c r="B218" s="82"/>
      <c r="C218" s="26" t="s">
        <v>46</v>
      </c>
      <c r="D218" s="25">
        <v>1</v>
      </c>
      <c r="E218" s="24">
        <v>2.1445421402530561E-4</v>
      </c>
    </row>
    <row r="219" spans="2:5" ht="15" customHeight="1" x14ac:dyDescent="0.25">
      <c r="B219" s="80" t="s">
        <v>32</v>
      </c>
      <c r="C219" s="29" t="s">
        <v>0</v>
      </c>
      <c r="D219" s="28">
        <v>26</v>
      </c>
      <c r="E219" s="27">
        <v>5.5758095646579455E-3</v>
      </c>
    </row>
    <row r="220" spans="2:5" ht="15" customHeight="1" x14ac:dyDescent="0.25">
      <c r="B220" s="81"/>
      <c r="C220" s="29" t="s">
        <v>101</v>
      </c>
      <c r="D220" s="28">
        <v>3</v>
      </c>
      <c r="E220" s="27">
        <v>6.4336264207591682E-4</v>
      </c>
    </row>
    <row r="221" spans="2:5" ht="15" customHeight="1" x14ac:dyDescent="0.25">
      <c r="B221" s="81"/>
      <c r="C221" s="29" t="s">
        <v>102</v>
      </c>
      <c r="D221" s="28">
        <v>2</v>
      </c>
      <c r="E221" s="27">
        <v>4.2890842805061121E-4</v>
      </c>
    </row>
    <row r="222" spans="2:5" ht="15" customHeight="1" x14ac:dyDescent="0.25">
      <c r="B222" s="81"/>
      <c r="C222" s="29" t="s">
        <v>103</v>
      </c>
      <c r="D222" s="28">
        <v>4</v>
      </c>
      <c r="E222" s="27">
        <v>8.5781685610122243E-4</v>
      </c>
    </row>
    <row r="223" spans="2:5" ht="15" customHeight="1" x14ac:dyDescent="0.25">
      <c r="B223" s="81"/>
      <c r="C223" s="29" t="s">
        <v>104</v>
      </c>
      <c r="D223" s="28">
        <v>1</v>
      </c>
      <c r="E223" s="27">
        <v>2.1445421402530561E-4</v>
      </c>
    </row>
    <row r="224" spans="2:5" ht="15" customHeight="1" x14ac:dyDescent="0.25">
      <c r="B224" s="82"/>
      <c r="C224" s="26" t="s">
        <v>46</v>
      </c>
      <c r="D224" s="25">
        <v>36</v>
      </c>
      <c r="E224" s="24">
        <v>7.7203517049110014E-3</v>
      </c>
    </row>
    <row r="225" spans="2:5" ht="15" customHeight="1" x14ac:dyDescent="0.25">
      <c r="B225" s="80" t="s">
        <v>45</v>
      </c>
      <c r="C225" s="29" t="s">
        <v>0</v>
      </c>
      <c r="D225" s="28">
        <v>1</v>
      </c>
      <c r="E225" s="27">
        <v>2.1445421402530561E-4</v>
      </c>
    </row>
    <row r="226" spans="2:5" ht="15" customHeight="1" x14ac:dyDescent="0.25">
      <c r="B226" s="81"/>
      <c r="C226" s="29" t="s">
        <v>105</v>
      </c>
      <c r="D226" s="28">
        <v>6</v>
      </c>
      <c r="E226" s="27">
        <v>1.2867252841518336E-3</v>
      </c>
    </row>
    <row r="227" spans="2:5" ht="15" customHeight="1" x14ac:dyDescent="0.25">
      <c r="B227" s="82"/>
      <c r="C227" s="26" t="s">
        <v>46</v>
      </c>
      <c r="D227" s="25">
        <v>7</v>
      </c>
      <c r="E227" s="24">
        <v>1.5011794981771391E-3</v>
      </c>
    </row>
    <row r="228" spans="2:5" ht="15" customHeight="1" x14ac:dyDescent="0.25">
      <c r="B228" s="80" t="s">
        <v>14</v>
      </c>
      <c r="C228" s="29" t="s">
        <v>0</v>
      </c>
      <c r="D228" s="28">
        <v>31</v>
      </c>
      <c r="E228" s="27">
        <v>6.6480806347844739E-3</v>
      </c>
    </row>
    <row r="229" spans="2:5" ht="15" customHeight="1" x14ac:dyDescent="0.25">
      <c r="B229" s="81"/>
      <c r="C229" s="29" t="s">
        <v>101</v>
      </c>
      <c r="D229" s="28">
        <v>3</v>
      </c>
      <c r="E229" s="27">
        <v>6.4336264207591682E-4</v>
      </c>
    </row>
    <row r="230" spans="2:5" ht="15" customHeight="1" x14ac:dyDescent="0.25">
      <c r="B230" s="81"/>
      <c r="C230" s="29" t="s">
        <v>105</v>
      </c>
      <c r="D230" s="28">
        <v>4</v>
      </c>
      <c r="E230" s="27">
        <v>8.5781685610122243E-4</v>
      </c>
    </row>
    <row r="231" spans="2:5" ht="15" customHeight="1" x14ac:dyDescent="0.25">
      <c r="B231" s="81"/>
      <c r="C231" s="29" t="s">
        <v>96</v>
      </c>
      <c r="D231" s="28">
        <v>2</v>
      </c>
      <c r="E231" s="27">
        <v>4.2890842805061121E-4</v>
      </c>
    </row>
    <row r="232" spans="2:5" ht="15" customHeight="1" x14ac:dyDescent="0.25">
      <c r="B232" s="81"/>
      <c r="C232" s="29" t="s">
        <v>102</v>
      </c>
      <c r="D232" s="28">
        <v>4</v>
      </c>
      <c r="E232" s="27">
        <v>8.5781685610122243E-4</v>
      </c>
    </row>
    <row r="233" spans="2:5" ht="15" customHeight="1" x14ac:dyDescent="0.25">
      <c r="B233" s="81"/>
      <c r="C233" s="29" t="s">
        <v>104</v>
      </c>
      <c r="D233" s="28">
        <v>3</v>
      </c>
      <c r="E233" s="27">
        <v>6.4336264207591682E-4</v>
      </c>
    </row>
    <row r="234" spans="2:5" ht="15" customHeight="1" x14ac:dyDescent="0.25">
      <c r="B234" s="82"/>
      <c r="C234" s="26" t="s">
        <v>46</v>
      </c>
      <c r="D234" s="25">
        <v>47</v>
      </c>
      <c r="E234" s="24">
        <v>1.0079348059189364E-2</v>
      </c>
    </row>
    <row r="235" spans="2:5" ht="15" customHeight="1" x14ac:dyDescent="0.25">
      <c r="B235" s="80" t="s">
        <v>5</v>
      </c>
      <c r="C235" s="29" t="s">
        <v>0</v>
      </c>
      <c r="D235" s="28">
        <v>560</v>
      </c>
      <c r="E235" s="27">
        <v>0.12009435985417113</v>
      </c>
    </row>
    <row r="236" spans="2:5" ht="15" customHeight="1" x14ac:dyDescent="0.25">
      <c r="B236" s="81"/>
      <c r="C236" s="29" t="s">
        <v>101</v>
      </c>
      <c r="D236" s="28">
        <v>48</v>
      </c>
      <c r="E236" s="27">
        <v>1.0293802273214669E-2</v>
      </c>
    </row>
    <row r="237" spans="2:5" ht="15" customHeight="1" x14ac:dyDescent="0.25">
      <c r="B237" s="81"/>
      <c r="C237" s="29" t="s">
        <v>105</v>
      </c>
      <c r="D237" s="28">
        <v>56</v>
      </c>
      <c r="E237" s="27">
        <v>1.2009435985417113E-2</v>
      </c>
    </row>
    <row r="238" spans="2:5" ht="15" customHeight="1" x14ac:dyDescent="0.25">
      <c r="B238" s="81"/>
      <c r="C238" s="29" t="s">
        <v>98</v>
      </c>
      <c r="D238" s="28">
        <v>10</v>
      </c>
      <c r="E238" s="27">
        <v>2.1445421402530558E-3</v>
      </c>
    </row>
    <row r="239" spans="2:5" ht="15" customHeight="1" x14ac:dyDescent="0.25">
      <c r="B239" s="81"/>
      <c r="C239" s="29" t="s">
        <v>96</v>
      </c>
      <c r="D239" s="28">
        <v>5</v>
      </c>
      <c r="E239" s="27">
        <v>1.0722710701265279E-3</v>
      </c>
    </row>
    <row r="240" spans="2:5" ht="15" customHeight="1" x14ac:dyDescent="0.25">
      <c r="B240" s="81"/>
      <c r="C240" s="29" t="s">
        <v>102</v>
      </c>
      <c r="D240" s="28">
        <v>26</v>
      </c>
      <c r="E240" s="27">
        <v>5.5758095646579455E-3</v>
      </c>
    </row>
    <row r="241" spans="2:5" ht="15" customHeight="1" x14ac:dyDescent="0.25">
      <c r="B241" s="81"/>
      <c r="C241" s="29" t="s">
        <v>103</v>
      </c>
      <c r="D241" s="28">
        <v>84</v>
      </c>
      <c r="E241" s="27">
        <v>1.8014153978125669E-2</v>
      </c>
    </row>
    <row r="242" spans="2:5" ht="15" customHeight="1" x14ac:dyDescent="0.25">
      <c r="B242" s="81"/>
      <c r="C242" s="29" t="s">
        <v>104</v>
      </c>
      <c r="D242" s="28">
        <v>69</v>
      </c>
      <c r="E242" s="27">
        <v>1.4797340767746086E-2</v>
      </c>
    </row>
    <row r="243" spans="2:5" ht="15" customHeight="1" x14ac:dyDescent="0.25">
      <c r="B243" s="81"/>
      <c r="C243" s="29" t="s">
        <v>99</v>
      </c>
      <c r="D243" s="28">
        <v>6</v>
      </c>
      <c r="E243" s="27">
        <v>1.2867252841518336E-3</v>
      </c>
    </row>
    <row r="244" spans="2:5" ht="15" customHeight="1" x14ac:dyDescent="0.25">
      <c r="B244" s="81"/>
      <c r="C244" s="29" t="s">
        <v>97</v>
      </c>
      <c r="D244" s="28">
        <v>25</v>
      </c>
      <c r="E244" s="27">
        <v>5.3613553506326401E-3</v>
      </c>
    </row>
    <row r="245" spans="2:5" ht="15" customHeight="1" x14ac:dyDescent="0.25">
      <c r="B245" s="81"/>
      <c r="C245" s="29" t="s">
        <v>100</v>
      </c>
      <c r="D245" s="28">
        <v>13</v>
      </c>
      <c r="E245" s="27">
        <v>2.7879047823289728E-3</v>
      </c>
    </row>
    <row r="246" spans="2:5" ht="15" customHeight="1" x14ac:dyDescent="0.25">
      <c r="B246" s="82"/>
      <c r="C246" s="26" t="s">
        <v>46</v>
      </c>
      <c r="D246" s="25">
        <v>902</v>
      </c>
      <c r="E246" s="24">
        <v>0.19343770105082564</v>
      </c>
    </row>
    <row r="247" spans="2:5" ht="15" customHeight="1" x14ac:dyDescent="0.25">
      <c r="B247" s="80" t="s">
        <v>20</v>
      </c>
      <c r="C247" s="29" t="s">
        <v>0</v>
      </c>
      <c r="D247" s="28">
        <v>27</v>
      </c>
      <c r="E247" s="27">
        <v>5.790263778683251E-3</v>
      </c>
    </row>
    <row r="248" spans="2:5" ht="15" customHeight="1" x14ac:dyDescent="0.25">
      <c r="B248" s="81"/>
      <c r="C248" s="29" t="s">
        <v>101</v>
      </c>
      <c r="D248" s="28">
        <v>2</v>
      </c>
      <c r="E248" s="27">
        <v>4.2890842805061121E-4</v>
      </c>
    </row>
    <row r="249" spans="2:5" ht="15" customHeight="1" x14ac:dyDescent="0.25">
      <c r="B249" s="81"/>
      <c r="C249" s="29" t="s">
        <v>105</v>
      </c>
      <c r="D249" s="28">
        <v>8</v>
      </c>
      <c r="E249" s="27">
        <v>1.7156337122024449E-3</v>
      </c>
    </row>
    <row r="250" spans="2:5" ht="15" customHeight="1" x14ac:dyDescent="0.25">
      <c r="B250" s="81"/>
      <c r="C250" s="29" t="s">
        <v>102</v>
      </c>
      <c r="D250" s="28">
        <v>1</v>
      </c>
      <c r="E250" s="27">
        <v>2.1445421402530561E-4</v>
      </c>
    </row>
    <row r="251" spans="2:5" ht="15" customHeight="1" x14ac:dyDescent="0.25">
      <c r="B251" s="81"/>
      <c r="C251" s="29" t="s">
        <v>103</v>
      </c>
      <c r="D251" s="28">
        <v>4</v>
      </c>
      <c r="E251" s="27">
        <v>8.5781685610122243E-4</v>
      </c>
    </row>
    <row r="252" spans="2:5" ht="15" customHeight="1" x14ac:dyDescent="0.25">
      <c r="B252" s="81"/>
      <c r="C252" s="29" t="s">
        <v>104</v>
      </c>
      <c r="D252" s="28">
        <v>14</v>
      </c>
      <c r="E252" s="27">
        <v>3.0023589963542783E-3</v>
      </c>
    </row>
    <row r="253" spans="2:5" ht="15" customHeight="1" x14ac:dyDescent="0.25">
      <c r="B253" s="81"/>
      <c r="C253" s="29" t="s">
        <v>99</v>
      </c>
      <c r="D253" s="28">
        <v>1</v>
      </c>
      <c r="E253" s="27">
        <v>2.1445421402530561E-4</v>
      </c>
    </row>
    <row r="254" spans="2:5" ht="15" customHeight="1" x14ac:dyDescent="0.25">
      <c r="B254" s="81"/>
      <c r="C254" s="29" t="s">
        <v>100</v>
      </c>
      <c r="D254" s="28">
        <v>13</v>
      </c>
      <c r="E254" s="27">
        <v>2.7879047823289728E-3</v>
      </c>
    </row>
    <row r="255" spans="2:5" ht="15" customHeight="1" x14ac:dyDescent="0.25">
      <c r="B255" s="82"/>
      <c r="C255" s="26" t="s">
        <v>46</v>
      </c>
      <c r="D255" s="25">
        <v>70</v>
      </c>
      <c r="E255" s="24">
        <v>1.5011794981771392E-2</v>
      </c>
    </row>
    <row r="256" spans="2:5" ht="15" customHeight="1" x14ac:dyDescent="0.25">
      <c r="B256" s="80" t="s">
        <v>27</v>
      </c>
      <c r="C256" s="29" t="s">
        <v>0</v>
      </c>
      <c r="D256" s="28">
        <v>7</v>
      </c>
      <c r="E256" s="27">
        <v>1.5011794981771391E-3</v>
      </c>
    </row>
    <row r="257" spans="2:5" ht="15" customHeight="1" x14ac:dyDescent="0.25">
      <c r="B257" s="81"/>
      <c r="C257" s="29" t="s">
        <v>105</v>
      </c>
      <c r="D257" s="28">
        <v>3</v>
      </c>
      <c r="E257" s="27">
        <v>6.4336264207591682E-4</v>
      </c>
    </row>
    <row r="258" spans="2:5" ht="15" customHeight="1" x14ac:dyDescent="0.25">
      <c r="B258" s="81"/>
      <c r="C258" s="29" t="s">
        <v>96</v>
      </c>
      <c r="D258" s="28">
        <v>1</v>
      </c>
      <c r="E258" s="27">
        <v>2.1445421402530561E-4</v>
      </c>
    </row>
    <row r="259" spans="2:5" ht="15" customHeight="1" x14ac:dyDescent="0.25">
      <c r="B259" s="81"/>
      <c r="C259" s="29" t="s">
        <v>102</v>
      </c>
      <c r="D259" s="28">
        <v>3</v>
      </c>
      <c r="E259" s="27">
        <v>6.4336264207591682E-4</v>
      </c>
    </row>
    <row r="260" spans="2:5" ht="15" customHeight="1" x14ac:dyDescent="0.25">
      <c r="B260" s="81"/>
      <c r="C260" s="29" t="s">
        <v>104</v>
      </c>
      <c r="D260" s="28">
        <v>2</v>
      </c>
      <c r="E260" s="27">
        <v>4.2890842805061121E-4</v>
      </c>
    </row>
    <row r="261" spans="2:5" ht="15" customHeight="1" x14ac:dyDescent="0.25">
      <c r="B261" s="82"/>
      <c r="C261" s="26" t="s">
        <v>46</v>
      </c>
      <c r="D261" s="25">
        <v>16</v>
      </c>
      <c r="E261" s="24">
        <v>3.4312674244048897E-3</v>
      </c>
    </row>
    <row r="262" spans="2:5" ht="15" customHeight="1" x14ac:dyDescent="0.25">
      <c r="B262" s="80" t="s">
        <v>17</v>
      </c>
      <c r="C262" s="29" t="s">
        <v>0</v>
      </c>
      <c r="D262" s="28">
        <v>18</v>
      </c>
      <c r="E262" s="27">
        <v>3.8601758524555007E-3</v>
      </c>
    </row>
    <row r="263" spans="2:5" ht="15" customHeight="1" x14ac:dyDescent="0.25">
      <c r="B263" s="81"/>
      <c r="C263" s="29" t="s">
        <v>102</v>
      </c>
      <c r="D263" s="28">
        <v>4</v>
      </c>
      <c r="E263" s="27">
        <v>8.5781685610122243E-4</v>
      </c>
    </row>
    <row r="264" spans="2:5" ht="15" customHeight="1" x14ac:dyDescent="0.25">
      <c r="B264" s="81"/>
      <c r="C264" s="29" t="s">
        <v>103</v>
      </c>
      <c r="D264" s="28">
        <v>2</v>
      </c>
      <c r="E264" s="27">
        <v>4.2890842805061121E-4</v>
      </c>
    </row>
    <row r="265" spans="2:5" ht="15" customHeight="1" x14ac:dyDescent="0.25">
      <c r="B265" s="81"/>
      <c r="C265" s="29" t="s">
        <v>104</v>
      </c>
      <c r="D265" s="28">
        <v>1</v>
      </c>
      <c r="E265" s="27">
        <v>2.1445421402530561E-4</v>
      </c>
    </row>
    <row r="266" spans="2:5" ht="15" customHeight="1" x14ac:dyDescent="0.25">
      <c r="B266" s="81"/>
      <c r="C266" s="29" t="s">
        <v>97</v>
      </c>
      <c r="D266" s="28">
        <v>1</v>
      </c>
      <c r="E266" s="27">
        <v>2.1445421402530561E-4</v>
      </c>
    </row>
    <row r="267" spans="2:5" ht="15" customHeight="1" x14ac:dyDescent="0.25">
      <c r="B267" s="82"/>
      <c r="C267" s="26" t="s">
        <v>46</v>
      </c>
      <c r="D267" s="25">
        <v>26</v>
      </c>
      <c r="E267" s="24">
        <v>5.5758095646579455E-3</v>
      </c>
    </row>
    <row r="268" spans="2:5" ht="15" customHeight="1" x14ac:dyDescent="0.25">
      <c r="B268" s="80" t="s">
        <v>21</v>
      </c>
      <c r="C268" s="29" t="s">
        <v>0</v>
      </c>
      <c r="D268" s="28">
        <v>32</v>
      </c>
      <c r="E268" s="27">
        <v>6.8625348488097794E-3</v>
      </c>
    </row>
    <row r="269" spans="2:5" ht="15" customHeight="1" x14ac:dyDescent="0.25">
      <c r="B269" s="81"/>
      <c r="C269" s="29" t="s">
        <v>101</v>
      </c>
      <c r="D269" s="28">
        <v>1</v>
      </c>
      <c r="E269" s="27">
        <v>2.1445421402530561E-4</v>
      </c>
    </row>
    <row r="270" spans="2:5" ht="15" customHeight="1" x14ac:dyDescent="0.25">
      <c r="B270" s="81"/>
      <c r="C270" s="29" t="s">
        <v>105</v>
      </c>
      <c r="D270" s="28">
        <v>4</v>
      </c>
      <c r="E270" s="27">
        <v>8.5781685610122243E-4</v>
      </c>
    </row>
    <row r="271" spans="2:5" ht="15" customHeight="1" x14ac:dyDescent="0.25">
      <c r="B271" s="81"/>
      <c r="C271" s="29" t="s">
        <v>103</v>
      </c>
      <c r="D271" s="28">
        <v>1</v>
      </c>
      <c r="E271" s="27">
        <v>2.1445421402530561E-4</v>
      </c>
    </row>
    <row r="272" spans="2:5" ht="15" customHeight="1" x14ac:dyDescent="0.25">
      <c r="B272" s="81"/>
      <c r="C272" s="29" t="s">
        <v>104</v>
      </c>
      <c r="D272" s="28">
        <v>4</v>
      </c>
      <c r="E272" s="27">
        <v>8.5781685610122243E-4</v>
      </c>
    </row>
    <row r="273" spans="2:5" ht="15" customHeight="1" x14ac:dyDescent="0.25">
      <c r="B273" s="81"/>
      <c r="C273" s="29" t="s">
        <v>97</v>
      </c>
      <c r="D273" s="28">
        <v>6</v>
      </c>
      <c r="E273" s="27">
        <v>1.2867252841518336E-3</v>
      </c>
    </row>
    <row r="274" spans="2:5" ht="15" customHeight="1" x14ac:dyDescent="0.25">
      <c r="B274" s="82"/>
      <c r="C274" s="26" t="s">
        <v>46</v>
      </c>
      <c r="D274" s="25">
        <v>48</v>
      </c>
      <c r="E274" s="24">
        <v>1.0293802273214669E-2</v>
      </c>
    </row>
    <row r="275" spans="2:5" ht="15" customHeight="1" x14ac:dyDescent="0.25">
      <c r="B275" s="80" t="s">
        <v>42</v>
      </c>
      <c r="C275" s="29" t="s">
        <v>0</v>
      </c>
      <c r="D275" s="28">
        <v>13</v>
      </c>
      <c r="E275" s="27">
        <v>2.7879047823289728E-3</v>
      </c>
    </row>
    <row r="276" spans="2:5" ht="15" customHeight="1" x14ac:dyDescent="0.25">
      <c r="B276" s="81"/>
      <c r="C276" s="29" t="s">
        <v>101</v>
      </c>
      <c r="D276" s="28">
        <v>1</v>
      </c>
      <c r="E276" s="27">
        <v>2.1445421402530561E-4</v>
      </c>
    </row>
    <row r="277" spans="2:5" ht="15" customHeight="1" x14ac:dyDescent="0.25">
      <c r="B277" s="81"/>
      <c r="C277" s="29" t="s">
        <v>102</v>
      </c>
      <c r="D277" s="28">
        <v>2</v>
      </c>
      <c r="E277" s="27">
        <v>4.2890842805061121E-4</v>
      </c>
    </row>
    <row r="278" spans="2:5" ht="15" customHeight="1" x14ac:dyDescent="0.25">
      <c r="B278" s="81"/>
      <c r="C278" s="29" t="s">
        <v>103</v>
      </c>
      <c r="D278" s="28">
        <v>5</v>
      </c>
      <c r="E278" s="27">
        <v>1.0722710701265279E-3</v>
      </c>
    </row>
    <row r="279" spans="2:5" ht="15" customHeight="1" x14ac:dyDescent="0.25">
      <c r="B279" s="81"/>
      <c r="C279" s="29" t="s">
        <v>104</v>
      </c>
      <c r="D279" s="28">
        <v>1</v>
      </c>
      <c r="E279" s="27">
        <v>2.1445421402530561E-4</v>
      </c>
    </row>
    <row r="280" spans="2:5" ht="15" customHeight="1" x14ac:dyDescent="0.25">
      <c r="B280" s="82"/>
      <c r="C280" s="26" t="s">
        <v>46</v>
      </c>
      <c r="D280" s="25">
        <v>22</v>
      </c>
      <c r="E280" s="24">
        <v>4.7179927085567236E-3</v>
      </c>
    </row>
    <row r="281" spans="2:5" ht="15" customHeight="1" x14ac:dyDescent="0.25">
      <c r="B281" s="84" t="s">
        <v>46</v>
      </c>
      <c r="C281" s="85"/>
      <c r="D281" s="23">
        <v>4663</v>
      </c>
      <c r="E281" s="22">
        <v>1</v>
      </c>
    </row>
    <row r="283" spans="2:5" ht="15" customHeight="1" x14ac:dyDescent="0.25">
      <c r="B283" s="17" t="s">
        <v>199</v>
      </c>
    </row>
    <row r="284" spans="2:5" ht="15" customHeight="1" x14ac:dyDescent="0.25">
      <c r="B284" s="18" t="s">
        <v>47</v>
      </c>
    </row>
    <row r="285" spans="2:5" ht="15" customHeight="1" x14ac:dyDescent="0.25">
      <c r="B285" s="19" t="s">
        <v>48</v>
      </c>
    </row>
    <row r="286" spans="2:5" ht="15" customHeight="1" x14ac:dyDescent="0.25">
      <c r="B286" s="17" t="s">
        <v>49</v>
      </c>
    </row>
    <row r="287" spans="2:5" ht="15" customHeight="1" x14ac:dyDescent="0.25">
      <c r="B287" s="17" t="s">
        <v>200</v>
      </c>
    </row>
  </sheetData>
  <mergeCells count="44">
    <mergeCell ref="B10:B13"/>
    <mergeCell ref="B14:B20"/>
    <mergeCell ref="B21:B29"/>
    <mergeCell ref="B30:B41"/>
    <mergeCell ref="B42:B52"/>
    <mergeCell ref="B262:B267"/>
    <mergeCell ref="B268:B274"/>
    <mergeCell ref="B275:B280"/>
    <mergeCell ref="B281:C281"/>
    <mergeCell ref="B199:B210"/>
    <mergeCell ref="B211:B216"/>
    <mergeCell ref="B217:B218"/>
    <mergeCell ref="B219:B224"/>
    <mergeCell ref="B225:B227"/>
    <mergeCell ref="B228:B234"/>
    <mergeCell ref="B235:B246"/>
    <mergeCell ref="B247:B255"/>
    <mergeCell ref="B256:B261"/>
    <mergeCell ref="B148:B152"/>
    <mergeCell ref="B153:B156"/>
    <mergeCell ref="B157:B161"/>
    <mergeCell ref="B162:B170"/>
    <mergeCell ref="B171:B172"/>
    <mergeCell ref="B173:B178"/>
    <mergeCell ref="B179:B181"/>
    <mergeCell ref="B182:B189"/>
    <mergeCell ref="B190:B191"/>
    <mergeCell ref="B192:B198"/>
    <mergeCell ref="B58:B68"/>
    <mergeCell ref="B69:B76"/>
    <mergeCell ref="B77:B82"/>
    <mergeCell ref="B83:B94"/>
    <mergeCell ref="B95:B103"/>
    <mergeCell ref="B104:B108"/>
    <mergeCell ref="B109:B117"/>
    <mergeCell ref="B118:B123"/>
    <mergeCell ref="B124:B128"/>
    <mergeCell ref="B129:B132"/>
    <mergeCell ref="B133:B134"/>
    <mergeCell ref="B135:B141"/>
    <mergeCell ref="B142:B147"/>
    <mergeCell ref="B7:E8"/>
    <mergeCell ref="B53:B54"/>
    <mergeCell ref="B55:B5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FFFF00"/>
  </sheetPr>
  <dimension ref="A1:E350"/>
  <sheetViews>
    <sheetView zoomScaleNormal="100" zoomScaleSheetLayoutView="85" workbookViewId="0">
      <selection activeCell="D1" sqref="D1"/>
    </sheetView>
  </sheetViews>
  <sheetFormatPr baseColWidth="10" defaultColWidth="35" defaultRowHeight="15" customHeight="1" x14ac:dyDescent="0.25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7" customFormat="1" ht="12" customHeight="1" x14ac:dyDescent="0.2">
      <c r="B1" s="41"/>
      <c r="C1" s="40"/>
      <c r="D1" s="40"/>
      <c r="E1" s="40"/>
    </row>
    <row r="2" spans="1:5" s="37" customFormat="1" ht="15" customHeight="1" x14ac:dyDescent="0.2">
      <c r="C2" s="39"/>
    </row>
    <row r="3" spans="1:5" s="37" customFormat="1" ht="15" customHeight="1" x14ac:dyDescent="0.2">
      <c r="C3" s="39"/>
    </row>
    <row r="4" spans="1:5" s="37" customFormat="1" ht="30" customHeight="1" x14ac:dyDescent="0.2">
      <c r="C4" s="39"/>
      <c r="D4" s="38"/>
    </row>
    <row r="5" spans="1:5" s="37" customFormat="1" ht="15" customHeight="1" x14ac:dyDescent="0.2">
      <c r="C5" s="39"/>
      <c r="D5" s="38"/>
    </row>
    <row r="6" spans="1:5" s="33" customFormat="1" ht="24" customHeight="1" x14ac:dyDescent="0.2">
      <c r="B6" s="36"/>
      <c r="C6" s="35"/>
      <c r="D6" s="35"/>
      <c r="E6" s="35"/>
    </row>
    <row r="7" spans="1:5" s="33" customFormat="1" ht="26.25" customHeight="1" x14ac:dyDescent="0.3">
      <c r="A7" s="34"/>
      <c r="B7" s="83"/>
      <c r="C7" s="83"/>
      <c r="D7" s="83"/>
      <c r="E7" s="83"/>
    </row>
    <row r="8" spans="1:5" s="33" customFormat="1" ht="33" customHeight="1" x14ac:dyDescent="0.3">
      <c r="A8" s="34"/>
      <c r="B8" s="83"/>
      <c r="C8" s="83"/>
      <c r="D8" s="83"/>
      <c r="E8" s="83"/>
    </row>
    <row r="9" spans="1:5" s="1" customFormat="1" ht="40.5" customHeight="1" x14ac:dyDescent="0.2">
      <c r="B9" s="30" t="s">
        <v>95</v>
      </c>
      <c r="C9" s="32" t="s">
        <v>107</v>
      </c>
      <c r="D9" s="31" t="s">
        <v>2</v>
      </c>
      <c r="E9" s="30" t="s">
        <v>3</v>
      </c>
    </row>
    <row r="10" spans="1:5" ht="15" customHeight="1" x14ac:dyDescent="0.25">
      <c r="B10" s="80" t="s">
        <v>58</v>
      </c>
      <c r="C10" s="29" t="s">
        <v>0</v>
      </c>
      <c r="D10" s="28">
        <v>23</v>
      </c>
      <c r="E10" s="27">
        <v>4.9324469225820291E-3</v>
      </c>
    </row>
    <row r="11" spans="1:5" ht="15" customHeight="1" x14ac:dyDescent="0.25">
      <c r="B11" s="81"/>
      <c r="C11" s="29" t="s">
        <v>105</v>
      </c>
      <c r="D11" s="28">
        <v>4</v>
      </c>
      <c r="E11" s="27">
        <v>8.5781685610122243E-4</v>
      </c>
    </row>
    <row r="12" spans="1:5" ht="15" customHeight="1" x14ac:dyDescent="0.25">
      <c r="B12" s="81"/>
      <c r="C12" s="29" t="s">
        <v>98</v>
      </c>
      <c r="D12" s="28">
        <v>3</v>
      </c>
      <c r="E12" s="27">
        <v>6.4336264207591682E-4</v>
      </c>
    </row>
    <row r="13" spans="1:5" ht="15" customHeight="1" x14ac:dyDescent="0.25">
      <c r="B13" s="81"/>
      <c r="C13" s="29" t="s">
        <v>102</v>
      </c>
      <c r="D13" s="28">
        <v>1</v>
      </c>
      <c r="E13" s="27">
        <v>2.1445421402530561E-4</v>
      </c>
    </row>
    <row r="14" spans="1:5" ht="15" customHeight="1" x14ac:dyDescent="0.25">
      <c r="B14" s="81"/>
      <c r="C14" s="29" t="s">
        <v>104</v>
      </c>
      <c r="D14" s="28">
        <v>2</v>
      </c>
      <c r="E14" s="27">
        <v>4.2890842805061121E-4</v>
      </c>
    </row>
    <row r="15" spans="1:5" ht="15" customHeight="1" x14ac:dyDescent="0.25">
      <c r="B15" s="82"/>
      <c r="C15" s="26" t="s">
        <v>46</v>
      </c>
      <c r="D15" s="25">
        <v>33</v>
      </c>
      <c r="E15" s="24">
        <v>7.0769890628350849E-3</v>
      </c>
    </row>
    <row r="16" spans="1:5" ht="15" customHeight="1" x14ac:dyDescent="0.25">
      <c r="B16" s="80" t="s">
        <v>90</v>
      </c>
      <c r="C16" s="29" t="s">
        <v>0</v>
      </c>
      <c r="D16" s="28">
        <v>75</v>
      </c>
      <c r="E16" s="27">
        <v>1.6084066051897921E-2</v>
      </c>
    </row>
    <row r="17" spans="2:5" ht="15" customHeight="1" x14ac:dyDescent="0.25">
      <c r="B17" s="81"/>
      <c r="C17" s="29" t="s">
        <v>101</v>
      </c>
      <c r="D17" s="28">
        <v>4</v>
      </c>
      <c r="E17" s="27">
        <v>8.5781685610122243E-4</v>
      </c>
    </row>
    <row r="18" spans="2:5" ht="15" customHeight="1" x14ac:dyDescent="0.25">
      <c r="B18" s="81"/>
      <c r="C18" s="29" t="s">
        <v>105</v>
      </c>
      <c r="D18" s="28">
        <v>12</v>
      </c>
      <c r="E18" s="27">
        <v>2.5734505683036673E-3</v>
      </c>
    </row>
    <row r="19" spans="2:5" ht="15" customHeight="1" x14ac:dyDescent="0.25">
      <c r="B19" s="81"/>
      <c r="C19" s="29" t="s">
        <v>96</v>
      </c>
      <c r="D19" s="28">
        <v>2</v>
      </c>
      <c r="E19" s="27">
        <v>4.2890842805061121E-4</v>
      </c>
    </row>
    <row r="20" spans="2:5" ht="15" customHeight="1" x14ac:dyDescent="0.25">
      <c r="B20" s="81"/>
      <c r="C20" s="29" t="s">
        <v>102</v>
      </c>
      <c r="D20" s="28">
        <v>5</v>
      </c>
      <c r="E20" s="27">
        <v>1.0722710701265279E-3</v>
      </c>
    </row>
    <row r="21" spans="2:5" ht="15" customHeight="1" x14ac:dyDescent="0.25">
      <c r="B21" s="81"/>
      <c r="C21" s="29" t="s">
        <v>103</v>
      </c>
      <c r="D21" s="28">
        <v>5</v>
      </c>
      <c r="E21" s="27">
        <v>1.0722710701265279E-3</v>
      </c>
    </row>
    <row r="22" spans="2:5" ht="15" customHeight="1" x14ac:dyDescent="0.25">
      <c r="B22" s="81"/>
      <c r="C22" s="29" t="s">
        <v>104</v>
      </c>
      <c r="D22" s="28">
        <v>5</v>
      </c>
      <c r="E22" s="27">
        <v>1.0722710701265279E-3</v>
      </c>
    </row>
    <row r="23" spans="2:5" ht="15" customHeight="1" x14ac:dyDescent="0.25">
      <c r="B23" s="82"/>
      <c r="C23" s="26" t="s">
        <v>46</v>
      </c>
      <c r="D23" s="25">
        <v>108</v>
      </c>
      <c r="E23" s="24">
        <v>2.3161055114733004E-2</v>
      </c>
    </row>
    <row r="24" spans="2:5" ht="15" customHeight="1" x14ac:dyDescent="0.25">
      <c r="B24" s="80" t="s">
        <v>80</v>
      </c>
      <c r="C24" s="29" t="s">
        <v>0</v>
      </c>
      <c r="D24" s="28">
        <v>37</v>
      </c>
      <c r="E24" s="27">
        <v>7.9348059189363069E-3</v>
      </c>
    </row>
    <row r="25" spans="2:5" ht="15" customHeight="1" x14ac:dyDescent="0.25">
      <c r="B25" s="81"/>
      <c r="C25" s="29" t="s">
        <v>101</v>
      </c>
      <c r="D25" s="28">
        <v>4</v>
      </c>
      <c r="E25" s="27">
        <v>8.5781685610122243E-4</v>
      </c>
    </row>
    <row r="26" spans="2:5" ht="15" customHeight="1" x14ac:dyDescent="0.25">
      <c r="B26" s="81"/>
      <c r="C26" s="29" t="s">
        <v>105</v>
      </c>
      <c r="D26" s="28">
        <v>29</v>
      </c>
      <c r="E26" s="27">
        <v>6.219172206733862E-3</v>
      </c>
    </row>
    <row r="27" spans="2:5" ht="15" customHeight="1" x14ac:dyDescent="0.25">
      <c r="B27" s="81"/>
      <c r="C27" s="29" t="s">
        <v>102</v>
      </c>
      <c r="D27" s="28">
        <v>1</v>
      </c>
      <c r="E27" s="27">
        <v>2.1445421402530561E-4</v>
      </c>
    </row>
    <row r="28" spans="2:5" ht="15" customHeight="1" x14ac:dyDescent="0.25">
      <c r="B28" s="81"/>
      <c r="C28" s="29" t="s">
        <v>103</v>
      </c>
      <c r="D28" s="28">
        <v>4</v>
      </c>
      <c r="E28" s="27">
        <v>8.5781685610122243E-4</v>
      </c>
    </row>
    <row r="29" spans="2:5" ht="15" customHeight="1" x14ac:dyDescent="0.25">
      <c r="B29" s="81"/>
      <c r="C29" s="29" t="s">
        <v>104</v>
      </c>
      <c r="D29" s="28">
        <v>2</v>
      </c>
      <c r="E29" s="27">
        <v>4.2890842805061121E-4</v>
      </c>
    </row>
    <row r="30" spans="2:5" ht="15" customHeight="1" x14ac:dyDescent="0.25">
      <c r="B30" s="81"/>
      <c r="C30" s="29" t="s">
        <v>99</v>
      </c>
      <c r="D30" s="28">
        <v>1</v>
      </c>
      <c r="E30" s="27">
        <v>2.1445421402530561E-4</v>
      </c>
    </row>
    <row r="31" spans="2:5" ht="15" customHeight="1" x14ac:dyDescent="0.25">
      <c r="B31" s="82"/>
      <c r="C31" s="26" t="s">
        <v>46</v>
      </c>
      <c r="D31" s="25">
        <v>78</v>
      </c>
      <c r="E31" s="24">
        <v>1.6727428693973836E-2</v>
      </c>
    </row>
    <row r="32" spans="2:5" ht="15" customHeight="1" x14ac:dyDescent="0.25">
      <c r="B32" s="80" t="s">
        <v>56</v>
      </c>
      <c r="C32" s="29" t="s">
        <v>0</v>
      </c>
      <c r="D32" s="28">
        <v>11</v>
      </c>
      <c r="E32" s="27">
        <v>2.3589963542783618E-3</v>
      </c>
    </row>
    <row r="33" spans="2:5" ht="15" customHeight="1" x14ac:dyDescent="0.25">
      <c r="B33" s="81"/>
      <c r="C33" s="29" t="s">
        <v>105</v>
      </c>
      <c r="D33" s="28">
        <v>8</v>
      </c>
      <c r="E33" s="27">
        <v>1.7156337122024449E-3</v>
      </c>
    </row>
    <row r="34" spans="2:5" ht="15" customHeight="1" x14ac:dyDescent="0.25">
      <c r="B34" s="81"/>
      <c r="C34" s="29" t="s">
        <v>98</v>
      </c>
      <c r="D34" s="28">
        <v>1</v>
      </c>
      <c r="E34" s="27">
        <v>2.1445421402530561E-4</v>
      </c>
    </row>
    <row r="35" spans="2:5" ht="15" customHeight="1" x14ac:dyDescent="0.25">
      <c r="B35" s="81"/>
      <c r="C35" s="29" t="s">
        <v>102</v>
      </c>
      <c r="D35" s="28">
        <v>1</v>
      </c>
      <c r="E35" s="27">
        <v>2.1445421402530561E-4</v>
      </c>
    </row>
    <row r="36" spans="2:5" ht="15" customHeight="1" x14ac:dyDescent="0.25">
      <c r="B36" s="81"/>
      <c r="C36" s="29" t="s">
        <v>104</v>
      </c>
      <c r="D36" s="28">
        <v>2</v>
      </c>
      <c r="E36" s="27">
        <v>4.2890842805061121E-4</v>
      </c>
    </row>
    <row r="37" spans="2:5" ht="15" customHeight="1" x14ac:dyDescent="0.25">
      <c r="B37" s="81"/>
      <c r="C37" s="29" t="s">
        <v>100</v>
      </c>
      <c r="D37" s="28">
        <v>1</v>
      </c>
      <c r="E37" s="27">
        <v>2.1445421402530561E-4</v>
      </c>
    </row>
    <row r="38" spans="2:5" ht="15" customHeight="1" x14ac:dyDescent="0.25">
      <c r="B38" s="82"/>
      <c r="C38" s="26" t="s">
        <v>46</v>
      </c>
      <c r="D38" s="25">
        <v>24</v>
      </c>
      <c r="E38" s="24">
        <v>5.1469011366073346E-3</v>
      </c>
    </row>
    <row r="39" spans="2:5" ht="15" customHeight="1" x14ac:dyDescent="0.25">
      <c r="B39" s="80" t="s">
        <v>52</v>
      </c>
      <c r="C39" s="29" t="s">
        <v>0</v>
      </c>
      <c r="D39" s="28">
        <v>1</v>
      </c>
      <c r="E39" s="27">
        <v>2.1445421402530561E-4</v>
      </c>
    </row>
    <row r="40" spans="2:5" ht="15" customHeight="1" x14ac:dyDescent="0.25">
      <c r="B40" s="82"/>
      <c r="C40" s="26" t="s">
        <v>46</v>
      </c>
      <c r="D40" s="25">
        <v>1</v>
      </c>
      <c r="E40" s="24">
        <v>2.1445421402530561E-4</v>
      </c>
    </row>
    <row r="41" spans="2:5" ht="15" customHeight="1" x14ac:dyDescent="0.25">
      <c r="B41" s="80" t="s">
        <v>57</v>
      </c>
      <c r="C41" s="29" t="s">
        <v>0</v>
      </c>
      <c r="D41" s="28">
        <v>2</v>
      </c>
      <c r="E41" s="27">
        <v>4.2890842805061121E-4</v>
      </c>
    </row>
    <row r="42" spans="2:5" ht="15" customHeight="1" x14ac:dyDescent="0.25">
      <c r="B42" s="81"/>
      <c r="C42" s="29" t="s">
        <v>105</v>
      </c>
      <c r="D42" s="28">
        <v>3</v>
      </c>
      <c r="E42" s="27">
        <v>6.4336264207591682E-4</v>
      </c>
    </row>
    <row r="43" spans="2:5" ht="15" customHeight="1" x14ac:dyDescent="0.25">
      <c r="B43" s="82"/>
      <c r="C43" s="26" t="s">
        <v>46</v>
      </c>
      <c r="D43" s="25">
        <v>5</v>
      </c>
      <c r="E43" s="24">
        <v>1.0722710701265279E-3</v>
      </c>
    </row>
    <row r="44" spans="2:5" ht="15" customHeight="1" x14ac:dyDescent="0.25">
      <c r="B44" s="80" t="s">
        <v>93</v>
      </c>
      <c r="C44" s="29" t="s">
        <v>0</v>
      </c>
      <c r="D44" s="28">
        <v>371</v>
      </c>
      <c r="E44" s="27">
        <v>7.956251340338838E-2</v>
      </c>
    </row>
    <row r="45" spans="2:5" ht="15" customHeight="1" x14ac:dyDescent="0.25">
      <c r="B45" s="81"/>
      <c r="C45" s="29" t="s">
        <v>101</v>
      </c>
      <c r="D45" s="28">
        <v>34</v>
      </c>
      <c r="E45" s="27">
        <v>7.2914432768603904E-3</v>
      </c>
    </row>
    <row r="46" spans="2:5" ht="15" customHeight="1" x14ac:dyDescent="0.25">
      <c r="B46" s="81"/>
      <c r="C46" s="29" t="s">
        <v>105</v>
      </c>
      <c r="D46" s="28">
        <v>116</v>
      </c>
      <c r="E46" s="27">
        <v>2.4876688826935448E-2</v>
      </c>
    </row>
    <row r="47" spans="2:5" ht="15" customHeight="1" x14ac:dyDescent="0.25">
      <c r="B47" s="81"/>
      <c r="C47" s="29" t="s">
        <v>98</v>
      </c>
      <c r="D47" s="28">
        <v>3</v>
      </c>
      <c r="E47" s="27">
        <v>6.4336264207591682E-4</v>
      </c>
    </row>
    <row r="48" spans="2:5" ht="15" customHeight="1" x14ac:dyDescent="0.25">
      <c r="B48" s="81"/>
      <c r="C48" s="29" t="s">
        <v>96</v>
      </c>
      <c r="D48" s="28">
        <v>7</v>
      </c>
      <c r="E48" s="27">
        <v>1.5011794981771391E-3</v>
      </c>
    </row>
    <row r="49" spans="2:5" ht="15" customHeight="1" x14ac:dyDescent="0.25">
      <c r="B49" s="81"/>
      <c r="C49" s="29" t="s">
        <v>102</v>
      </c>
      <c r="D49" s="28">
        <v>38</v>
      </c>
      <c r="E49" s="27">
        <v>8.1492601329616124E-3</v>
      </c>
    </row>
    <row r="50" spans="2:5" ht="15" customHeight="1" x14ac:dyDescent="0.25">
      <c r="B50" s="81"/>
      <c r="C50" s="29" t="s">
        <v>103</v>
      </c>
      <c r="D50" s="28">
        <v>36</v>
      </c>
      <c r="E50" s="27">
        <v>7.7203517049110014E-3</v>
      </c>
    </row>
    <row r="51" spans="2:5" ht="15" customHeight="1" x14ac:dyDescent="0.25">
      <c r="B51" s="81"/>
      <c r="C51" s="29" t="s">
        <v>104</v>
      </c>
      <c r="D51" s="28">
        <v>14</v>
      </c>
      <c r="E51" s="27">
        <v>3.0023589963542783E-3</v>
      </c>
    </row>
    <row r="52" spans="2:5" ht="15" customHeight="1" x14ac:dyDescent="0.25">
      <c r="B52" s="81"/>
      <c r="C52" s="29" t="s">
        <v>99</v>
      </c>
      <c r="D52" s="28">
        <v>23</v>
      </c>
      <c r="E52" s="27">
        <v>4.9324469225820291E-3</v>
      </c>
    </row>
    <row r="53" spans="2:5" ht="15" customHeight="1" x14ac:dyDescent="0.25">
      <c r="B53" s="81"/>
      <c r="C53" s="29" t="s">
        <v>97</v>
      </c>
      <c r="D53" s="28">
        <v>1</v>
      </c>
      <c r="E53" s="27">
        <v>2.1445421402530561E-4</v>
      </c>
    </row>
    <row r="54" spans="2:5" ht="15" customHeight="1" x14ac:dyDescent="0.25">
      <c r="B54" s="81"/>
      <c r="C54" s="29" t="s">
        <v>100</v>
      </c>
      <c r="D54" s="28">
        <v>2</v>
      </c>
      <c r="E54" s="27">
        <v>4.2890842805061121E-4</v>
      </c>
    </row>
    <row r="55" spans="2:5" ht="15" customHeight="1" x14ac:dyDescent="0.25">
      <c r="B55" s="82"/>
      <c r="C55" s="26" t="s">
        <v>46</v>
      </c>
      <c r="D55" s="25">
        <v>645</v>
      </c>
      <c r="E55" s="24">
        <v>0.1383229680463221</v>
      </c>
    </row>
    <row r="56" spans="2:5" ht="15" customHeight="1" x14ac:dyDescent="0.25">
      <c r="B56" s="80" t="s">
        <v>91</v>
      </c>
      <c r="C56" s="29" t="s">
        <v>0</v>
      </c>
      <c r="D56" s="28">
        <v>283</v>
      </c>
      <c r="E56" s="27">
        <v>6.0690542569161482E-2</v>
      </c>
    </row>
    <row r="57" spans="2:5" ht="15" customHeight="1" x14ac:dyDescent="0.25">
      <c r="B57" s="81"/>
      <c r="C57" s="29" t="s">
        <v>101</v>
      </c>
      <c r="D57" s="28">
        <v>25</v>
      </c>
      <c r="E57" s="27">
        <v>5.3613553506326401E-3</v>
      </c>
    </row>
    <row r="58" spans="2:5" ht="15" customHeight="1" x14ac:dyDescent="0.25">
      <c r="B58" s="81"/>
      <c r="C58" s="29" t="s">
        <v>105</v>
      </c>
      <c r="D58" s="28">
        <v>6</v>
      </c>
      <c r="E58" s="27">
        <v>1.2867252841518336E-3</v>
      </c>
    </row>
    <row r="59" spans="2:5" ht="15" customHeight="1" x14ac:dyDescent="0.25">
      <c r="B59" s="81"/>
      <c r="C59" s="29" t="s">
        <v>98</v>
      </c>
      <c r="D59" s="28">
        <v>5</v>
      </c>
      <c r="E59" s="27">
        <v>1.0722710701265279E-3</v>
      </c>
    </row>
    <row r="60" spans="2:5" ht="15" customHeight="1" x14ac:dyDescent="0.25">
      <c r="B60" s="81"/>
      <c r="C60" s="29" t="s">
        <v>96</v>
      </c>
      <c r="D60" s="28">
        <v>5</v>
      </c>
      <c r="E60" s="27">
        <v>1.0722710701265279E-3</v>
      </c>
    </row>
    <row r="61" spans="2:5" ht="15" customHeight="1" x14ac:dyDescent="0.25">
      <c r="B61" s="81"/>
      <c r="C61" s="29" t="s">
        <v>102</v>
      </c>
      <c r="D61" s="28">
        <v>13</v>
      </c>
      <c r="E61" s="27">
        <v>2.7879047823289728E-3</v>
      </c>
    </row>
    <row r="62" spans="2:5" ht="15" customHeight="1" x14ac:dyDescent="0.25">
      <c r="B62" s="81"/>
      <c r="C62" s="29" t="s">
        <v>103</v>
      </c>
      <c r="D62" s="28">
        <v>46</v>
      </c>
      <c r="E62" s="27">
        <v>9.8648938451640581E-3</v>
      </c>
    </row>
    <row r="63" spans="2:5" ht="15" customHeight="1" x14ac:dyDescent="0.25">
      <c r="B63" s="81"/>
      <c r="C63" s="29" t="s">
        <v>104</v>
      </c>
      <c r="D63" s="28">
        <v>31</v>
      </c>
      <c r="E63" s="27">
        <v>6.6480806347844739E-3</v>
      </c>
    </row>
    <row r="64" spans="2:5" ht="15" customHeight="1" x14ac:dyDescent="0.25">
      <c r="B64" s="81"/>
      <c r="C64" s="29" t="s">
        <v>99</v>
      </c>
      <c r="D64" s="28">
        <v>2</v>
      </c>
      <c r="E64" s="27">
        <v>4.2890842805061121E-4</v>
      </c>
    </row>
    <row r="65" spans="2:5" ht="15" customHeight="1" x14ac:dyDescent="0.25">
      <c r="B65" s="81"/>
      <c r="C65" s="29" t="s">
        <v>97</v>
      </c>
      <c r="D65" s="28">
        <v>1</v>
      </c>
      <c r="E65" s="27">
        <v>2.1445421402530561E-4</v>
      </c>
    </row>
    <row r="66" spans="2:5" ht="15" customHeight="1" x14ac:dyDescent="0.25">
      <c r="B66" s="81"/>
      <c r="C66" s="29" t="s">
        <v>100</v>
      </c>
      <c r="D66" s="28">
        <v>5</v>
      </c>
      <c r="E66" s="27">
        <v>1.0722710701265279E-3</v>
      </c>
    </row>
    <row r="67" spans="2:5" ht="15" customHeight="1" x14ac:dyDescent="0.25">
      <c r="B67" s="82"/>
      <c r="C67" s="26" t="s">
        <v>46</v>
      </c>
      <c r="D67" s="25">
        <v>422</v>
      </c>
      <c r="E67" s="24">
        <v>9.0499678318678958E-2</v>
      </c>
    </row>
    <row r="68" spans="2:5" ht="15" customHeight="1" x14ac:dyDescent="0.25">
      <c r="B68" s="80" t="s">
        <v>51</v>
      </c>
      <c r="C68" s="29" t="s">
        <v>103</v>
      </c>
      <c r="D68" s="28">
        <v>1</v>
      </c>
      <c r="E68" s="27">
        <v>2.1445421402530561E-4</v>
      </c>
    </row>
    <row r="69" spans="2:5" ht="15" customHeight="1" x14ac:dyDescent="0.25">
      <c r="B69" s="81"/>
      <c r="C69" s="29" t="s">
        <v>104</v>
      </c>
      <c r="D69" s="28">
        <v>1</v>
      </c>
      <c r="E69" s="27">
        <v>2.1445421402530561E-4</v>
      </c>
    </row>
    <row r="70" spans="2:5" ht="15" customHeight="1" x14ac:dyDescent="0.25">
      <c r="B70" s="82"/>
      <c r="C70" s="26" t="s">
        <v>46</v>
      </c>
      <c r="D70" s="25">
        <v>2</v>
      </c>
      <c r="E70" s="24">
        <v>4.2890842805061121E-4</v>
      </c>
    </row>
    <row r="71" spans="2:5" ht="15" customHeight="1" x14ac:dyDescent="0.25">
      <c r="B71" s="80" t="s">
        <v>75</v>
      </c>
      <c r="C71" s="29" t="s">
        <v>0</v>
      </c>
      <c r="D71" s="28">
        <v>165</v>
      </c>
      <c r="E71" s="27">
        <v>3.5384945314175423E-2</v>
      </c>
    </row>
    <row r="72" spans="2:5" ht="15" customHeight="1" x14ac:dyDescent="0.25">
      <c r="B72" s="81"/>
      <c r="C72" s="29" t="s">
        <v>101</v>
      </c>
      <c r="D72" s="28">
        <v>13</v>
      </c>
      <c r="E72" s="27">
        <v>2.7879047823289728E-3</v>
      </c>
    </row>
    <row r="73" spans="2:5" ht="15" customHeight="1" x14ac:dyDescent="0.25">
      <c r="B73" s="81"/>
      <c r="C73" s="29" t="s">
        <v>105</v>
      </c>
      <c r="D73" s="28">
        <v>46</v>
      </c>
      <c r="E73" s="27">
        <v>9.8648938451640581E-3</v>
      </c>
    </row>
    <row r="74" spans="2:5" ht="15" customHeight="1" x14ac:dyDescent="0.25">
      <c r="B74" s="81"/>
      <c r="C74" s="29" t="s">
        <v>98</v>
      </c>
      <c r="D74" s="28">
        <v>31</v>
      </c>
      <c r="E74" s="27">
        <v>6.6480806347844739E-3</v>
      </c>
    </row>
    <row r="75" spans="2:5" ht="15" customHeight="1" x14ac:dyDescent="0.25">
      <c r="B75" s="81"/>
      <c r="C75" s="29" t="s">
        <v>102</v>
      </c>
      <c r="D75" s="28">
        <v>24</v>
      </c>
      <c r="E75" s="27">
        <v>5.1469011366073346E-3</v>
      </c>
    </row>
    <row r="76" spans="2:5" ht="15" customHeight="1" x14ac:dyDescent="0.25">
      <c r="B76" s="81"/>
      <c r="C76" s="29" t="s">
        <v>103</v>
      </c>
      <c r="D76" s="28">
        <v>26</v>
      </c>
      <c r="E76" s="27">
        <v>5.5758095646579455E-3</v>
      </c>
    </row>
    <row r="77" spans="2:5" ht="15" customHeight="1" x14ac:dyDescent="0.25">
      <c r="B77" s="81"/>
      <c r="C77" s="29" t="s">
        <v>104</v>
      </c>
      <c r="D77" s="28">
        <v>97</v>
      </c>
      <c r="E77" s="27">
        <v>2.0802058760454642E-2</v>
      </c>
    </row>
    <row r="78" spans="2:5" ht="15" customHeight="1" x14ac:dyDescent="0.25">
      <c r="B78" s="81"/>
      <c r="C78" s="29" t="s">
        <v>99</v>
      </c>
      <c r="D78" s="28">
        <v>4</v>
      </c>
      <c r="E78" s="27">
        <v>8.5781685610122243E-4</v>
      </c>
    </row>
    <row r="79" spans="2:5" ht="15" customHeight="1" x14ac:dyDescent="0.25">
      <c r="B79" s="81"/>
      <c r="C79" s="29" t="s">
        <v>97</v>
      </c>
      <c r="D79" s="28">
        <v>2</v>
      </c>
      <c r="E79" s="27">
        <v>4.2890842805061121E-4</v>
      </c>
    </row>
    <row r="80" spans="2:5" ht="15" customHeight="1" x14ac:dyDescent="0.25">
      <c r="B80" s="81"/>
      <c r="C80" s="29" t="s">
        <v>100</v>
      </c>
      <c r="D80" s="28">
        <v>38</v>
      </c>
      <c r="E80" s="27">
        <v>8.1492601329616124E-3</v>
      </c>
    </row>
    <row r="81" spans="2:5" ht="15" customHeight="1" x14ac:dyDescent="0.25">
      <c r="B81" s="82"/>
      <c r="C81" s="26" t="s">
        <v>46</v>
      </c>
      <c r="D81" s="25">
        <v>446</v>
      </c>
      <c r="E81" s="24">
        <v>9.564657945528629E-2</v>
      </c>
    </row>
    <row r="82" spans="2:5" ht="15" customHeight="1" x14ac:dyDescent="0.25">
      <c r="B82" s="80" t="s">
        <v>61</v>
      </c>
      <c r="C82" s="29" t="s">
        <v>0</v>
      </c>
      <c r="D82" s="28">
        <v>27</v>
      </c>
      <c r="E82" s="27">
        <v>5.790263778683251E-3</v>
      </c>
    </row>
    <row r="83" spans="2:5" ht="15" customHeight="1" x14ac:dyDescent="0.25">
      <c r="B83" s="81"/>
      <c r="C83" s="29" t="s">
        <v>105</v>
      </c>
      <c r="D83" s="28">
        <v>2</v>
      </c>
      <c r="E83" s="27">
        <v>4.2890842805061121E-4</v>
      </c>
    </row>
    <row r="84" spans="2:5" ht="15" customHeight="1" x14ac:dyDescent="0.25">
      <c r="B84" s="81"/>
      <c r="C84" s="29" t="s">
        <v>98</v>
      </c>
      <c r="D84" s="28">
        <v>1</v>
      </c>
      <c r="E84" s="27">
        <v>2.1445421402530561E-4</v>
      </c>
    </row>
    <row r="85" spans="2:5" ht="15" customHeight="1" x14ac:dyDescent="0.25">
      <c r="B85" s="81"/>
      <c r="C85" s="29" t="s">
        <v>102</v>
      </c>
      <c r="D85" s="28">
        <v>2</v>
      </c>
      <c r="E85" s="27">
        <v>4.2890842805061121E-4</v>
      </c>
    </row>
    <row r="86" spans="2:5" ht="15" customHeight="1" x14ac:dyDescent="0.25">
      <c r="B86" s="81"/>
      <c r="C86" s="29" t="s">
        <v>103</v>
      </c>
      <c r="D86" s="28">
        <v>1</v>
      </c>
      <c r="E86" s="27">
        <v>2.1445421402530561E-4</v>
      </c>
    </row>
    <row r="87" spans="2:5" ht="15" customHeight="1" x14ac:dyDescent="0.25">
      <c r="B87" s="81"/>
      <c r="C87" s="29" t="s">
        <v>104</v>
      </c>
      <c r="D87" s="28">
        <v>5</v>
      </c>
      <c r="E87" s="27">
        <v>1.0722710701265279E-3</v>
      </c>
    </row>
    <row r="88" spans="2:5" ht="15" customHeight="1" x14ac:dyDescent="0.25">
      <c r="B88" s="82"/>
      <c r="C88" s="26" t="s">
        <v>46</v>
      </c>
      <c r="D88" s="25">
        <v>38</v>
      </c>
      <c r="E88" s="24">
        <v>8.1492601329616124E-3</v>
      </c>
    </row>
    <row r="89" spans="2:5" ht="15" customHeight="1" x14ac:dyDescent="0.25">
      <c r="B89" s="80" t="s">
        <v>50</v>
      </c>
      <c r="C89" s="29" t="s">
        <v>105</v>
      </c>
      <c r="D89" s="28">
        <v>1</v>
      </c>
      <c r="E89" s="27">
        <v>2.1445421402530561E-4</v>
      </c>
    </row>
    <row r="90" spans="2:5" ht="15" customHeight="1" x14ac:dyDescent="0.25">
      <c r="B90" s="82"/>
      <c r="C90" s="26" t="s">
        <v>46</v>
      </c>
      <c r="D90" s="25">
        <v>1</v>
      </c>
      <c r="E90" s="24">
        <v>2.1445421402530561E-4</v>
      </c>
    </row>
    <row r="91" spans="2:5" ht="15" customHeight="1" x14ac:dyDescent="0.25">
      <c r="B91" s="80" t="s">
        <v>59</v>
      </c>
      <c r="C91" s="29" t="s">
        <v>0</v>
      </c>
      <c r="D91" s="28">
        <v>10</v>
      </c>
      <c r="E91" s="27">
        <v>2.1445421402530558E-3</v>
      </c>
    </row>
    <row r="92" spans="2:5" ht="15" customHeight="1" x14ac:dyDescent="0.25">
      <c r="B92" s="81"/>
      <c r="C92" s="29" t="s">
        <v>104</v>
      </c>
      <c r="D92" s="28">
        <v>2</v>
      </c>
      <c r="E92" s="27">
        <v>4.2890842805061121E-4</v>
      </c>
    </row>
    <row r="93" spans="2:5" ht="15" customHeight="1" x14ac:dyDescent="0.25">
      <c r="B93" s="81"/>
      <c r="C93" s="29" t="s">
        <v>100</v>
      </c>
      <c r="D93" s="28">
        <v>2</v>
      </c>
      <c r="E93" s="27">
        <v>4.2890842805061121E-4</v>
      </c>
    </row>
    <row r="94" spans="2:5" ht="15" customHeight="1" x14ac:dyDescent="0.25">
      <c r="B94" s="82"/>
      <c r="C94" s="26" t="s">
        <v>46</v>
      </c>
      <c r="D94" s="25">
        <v>14</v>
      </c>
      <c r="E94" s="24">
        <v>3.0023589963542783E-3</v>
      </c>
    </row>
    <row r="95" spans="2:5" ht="15" customHeight="1" x14ac:dyDescent="0.25">
      <c r="B95" s="80" t="s">
        <v>72</v>
      </c>
      <c r="C95" s="29" t="s">
        <v>0</v>
      </c>
      <c r="D95" s="28">
        <v>7</v>
      </c>
      <c r="E95" s="27">
        <v>1.5011794981771391E-3</v>
      </c>
    </row>
    <row r="96" spans="2:5" ht="15" customHeight="1" x14ac:dyDescent="0.25">
      <c r="B96" s="81"/>
      <c r="C96" s="29" t="s">
        <v>102</v>
      </c>
      <c r="D96" s="28">
        <v>1</v>
      </c>
      <c r="E96" s="27">
        <v>2.1445421402530561E-4</v>
      </c>
    </row>
    <row r="97" spans="2:5" ht="15" customHeight="1" x14ac:dyDescent="0.25">
      <c r="B97" s="82"/>
      <c r="C97" s="26" t="s">
        <v>46</v>
      </c>
      <c r="D97" s="25">
        <v>8</v>
      </c>
      <c r="E97" s="24">
        <v>1.7156337122024449E-3</v>
      </c>
    </row>
    <row r="98" spans="2:5" ht="15" customHeight="1" x14ac:dyDescent="0.25">
      <c r="B98" s="80" t="s">
        <v>88</v>
      </c>
      <c r="C98" s="29" t="s">
        <v>0</v>
      </c>
      <c r="D98" s="28">
        <v>67</v>
      </c>
      <c r="E98" s="27">
        <v>1.4368432339695475E-2</v>
      </c>
    </row>
    <row r="99" spans="2:5" ht="15" customHeight="1" x14ac:dyDescent="0.25">
      <c r="B99" s="81"/>
      <c r="C99" s="29" t="s">
        <v>101</v>
      </c>
      <c r="D99" s="28">
        <v>4</v>
      </c>
      <c r="E99" s="27">
        <v>8.5781685610122243E-4</v>
      </c>
    </row>
    <row r="100" spans="2:5" ht="15" customHeight="1" x14ac:dyDescent="0.25">
      <c r="B100" s="81"/>
      <c r="C100" s="29" t="s">
        <v>105</v>
      </c>
      <c r="D100" s="28">
        <v>10</v>
      </c>
      <c r="E100" s="27">
        <v>2.1445421402530558E-3</v>
      </c>
    </row>
    <row r="101" spans="2:5" ht="15" customHeight="1" x14ac:dyDescent="0.25">
      <c r="B101" s="81"/>
      <c r="C101" s="29" t="s">
        <v>96</v>
      </c>
      <c r="D101" s="28">
        <v>2</v>
      </c>
      <c r="E101" s="27">
        <v>4.2890842805061121E-4</v>
      </c>
    </row>
    <row r="102" spans="2:5" ht="15" customHeight="1" x14ac:dyDescent="0.25">
      <c r="B102" s="81"/>
      <c r="C102" s="29" t="s">
        <v>102</v>
      </c>
      <c r="D102" s="28">
        <v>6</v>
      </c>
      <c r="E102" s="27">
        <v>1.2867252841518336E-3</v>
      </c>
    </row>
    <row r="103" spans="2:5" ht="15" customHeight="1" x14ac:dyDescent="0.25">
      <c r="B103" s="81"/>
      <c r="C103" s="29" t="s">
        <v>103</v>
      </c>
      <c r="D103" s="28">
        <v>3</v>
      </c>
      <c r="E103" s="27">
        <v>6.4336264207591682E-4</v>
      </c>
    </row>
    <row r="104" spans="2:5" ht="15" customHeight="1" x14ac:dyDescent="0.25">
      <c r="B104" s="81"/>
      <c r="C104" s="29" t="s">
        <v>104</v>
      </c>
      <c r="D104" s="28">
        <v>2</v>
      </c>
      <c r="E104" s="27">
        <v>4.2890842805061121E-4</v>
      </c>
    </row>
    <row r="105" spans="2:5" ht="15" customHeight="1" x14ac:dyDescent="0.25">
      <c r="B105" s="81"/>
      <c r="C105" s="29" t="s">
        <v>97</v>
      </c>
      <c r="D105" s="28">
        <v>3</v>
      </c>
      <c r="E105" s="27">
        <v>6.4336264207591682E-4</v>
      </c>
    </row>
    <row r="106" spans="2:5" ht="15" customHeight="1" x14ac:dyDescent="0.25">
      <c r="B106" s="81"/>
      <c r="C106" s="29" t="s">
        <v>100</v>
      </c>
      <c r="D106" s="28">
        <v>2</v>
      </c>
      <c r="E106" s="27">
        <v>4.2890842805061121E-4</v>
      </c>
    </row>
    <row r="107" spans="2:5" ht="15" customHeight="1" x14ac:dyDescent="0.25">
      <c r="B107" s="82"/>
      <c r="C107" s="26" t="s">
        <v>46</v>
      </c>
      <c r="D107" s="25">
        <v>99</v>
      </c>
      <c r="E107" s="24">
        <v>2.1230967188505253E-2</v>
      </c>
    </row>
    <row r="108" spans="2:5" ht="15" customHeight="1" x14ac:dyDescent="0.25">
      <c r="B108" s="80" t="s">
        <v>92</v>
      </c>
      <c r="C108" s="29" t="s">
        <v>0</v>
      </c>
      <c r="D108" s="28">
        <v>154</v>
      </c>
      <c r="E108" s="27">
        <v>3.3025948959897064E-2</v>
      </c>
    </row>
    <row r="109" spans="2:5" ht="15" customHeight="1" x14ac:dyDescent="0.25">
      <c r="B109" s="81"/>
      <c r="C109" s="29" t="s">
        <v>101</v>
      </c>
      <c r="D109" s="28">
        <v>13</v>
      </c>
      <c r="E109" s="27">
        <v>2.7879047823289728E-3</v>
      </c>
    </row>
    <row r="110" spans="2:5" ht="15" customHeight="1" x14ac:dyDescent="0.25">
      <c r="B110" s="81"/>
      <c r="C110" s="29" t="s">
        <v>105</v>
      </c>
      <c r="D110" s="28">
        <v>13</v>
      </c>
      <c r="E110" s="27">
        <v>2.7879047823289728E-3</v>
      </c>
    </row>
    <row r="111" spans="2:5" ht="15" customHeight="1" x14ac:dyDescent="0.25">
      <c r="B111" s="81"/>
      <c r="C111" s="29" t="s">
        <v>98</v>
      </c>
      <c r="D111" s="28">
        <v>5</v>
      </c>
      <c r="E111" s="27">
        <v>1.0722710701265279E-3</v>
      </c>
    </row>
    <row r="112" spans="2:5" ht="15" customHeight="1" x14ac:dyDescent="0.25">
      <c r="B112" s="81"/>
      <c r="C112" s="29" t="s">
        <v>102</v>
      </c>
      <c r="D112" s="28">
        <v>9</v>
      </c>
      <c r="E112" s="27">
        <v>1.9300879262277503E-3</v>
      </c>
    </row>
    <row r="113" spans="2:5" ht="15" customHeight="1" x14ac:dyDescent="0.25">
      <c r="B113" s="81"/>
      <c r="C113" s="29" t="s">
        <v>103</v>
      </c>
      <c r="D113" s="28">
        <v>30</v>
      </c>
      <c r="E113" s="27">
        <v>6.4336264207591675E-3</v>
      </c>
    </row>
    <row r="114" spans="2:5" ht="15" customHeight="1" x14ac:dyDescent="0.25">
      <c r="B114" s="81"/>
      <c r="C114" s="29" t="s">
        <v>104</v>
      </c>
      <c r="D114" s="28">
        <v>22</v>
      </c>
      <c r="E114" s="27">
        <v>4.7179927085567236E-3</v>
      </c>
    </row>
    <row r="115" spans="2:5" ht="15" customHeight="1" x14ac:dyDescent="0.25">
      <c r="B115" s="81"/>
      <c r="C115" s="29" t="s">
        <v>99</v>
      </c>
      <c r="D115" s="28">
        <v>1</v>
      </c>
      <c r="E115" s="27">
        <v>2.1445421402530561E-4</v>
      </c>
    </row>
    <row r="116" spans="2:5" ht="15" customHeight="1" x14ac:dyDescent="0.25">
      <c r="B116" s="81"/>
      <c r="C116" s="29" t="s">
        <v>97</v>
      </c>
      <c r="D116" s="28">
        <v>24</v>
      </c>
      <c r="E116" s="27">
        <v>5.1469011366073346E-3</v>
      </c>
    </row>
    <row r="117" spans="2:5" ht="15" customHeight="1" x14ac:dyDescent="0.25">
      <c r="B117" s="81"/>
      <c r="C117" s="29" t="s">
        <v>100</v>
      </c>
      <c r="D117" s="28">
        <v>4</v>
      </c>
      <c r="E117" s="27">
        <v>8.5781685610122243E-4</v>
      </c>
    </row>
    <row r="118" spans="2:5" ht="15" customHeight="1" x14ac:dyDescent="0.25">
      <c r="B118" s="82"/>
      <c r="C118" s="26" t="s">
        <v>46</v>
      </c>
      <c r="D118" s="25">
        <v>275</v>
      </c>
      <c r="E118" s="24">
        <v>5.8974908856959038E-2</v>
      </c>
    </row>
    <row r="119" spans="2:5" ht="15" customHeight="1" x14ac:dyDescent="0.25">
      <c r="B119" s="80" t="s">
        <v>76</v>
      </c>
      <c r="C119" s="29" t="s">
        <v>0</v>
      </c>
      <c r="D119" s="28">
        <v>62</v>
      </c>
      <c r="E119" s="27">
        <v>1.3296161269568948E-2</v>
      </c>
    </row>
    <row r="120" spans="2:5" ht="15" customHeight="1" x14ac:dyDescent="0.25">
      <c r="B120" s="81"/>
      <c r="C120" s="29" t="s">
        <v>101</v>
      </c>
      <c r="D120" s="28">
        <v>1</v>
      </c>
      <c r="E120" s="27">
        <v>2.1445421402530561E-4</v>
      </c>
    </row>
    <row r="121" spans="2:5" ht="15" customHeight="1" x14ac:dyDescent="0.25">
      <c r="B121" s="81"/>
      <c r="C121" s="29" t="s">
        <v>105</v>
      </c>
      <c r="D121" s="28">
        <v>5</v>
      </c>
      <c r="E121" s="27">
        <v>1.0722710701265279E-3</v>
      </c>
    </row>
    <row r="122" spans="2:5" ht="15" customHeight="1" x14ac:dyDescent="0.25">
      <c r="B122" s="81"/>
      <c r="C122" s="29" t="s">
        <v>96</v>
      </c>
      <c r="D122" s="28">
        <v>2</v>
      </c>
      <c r="E122" s="27">
        <v>4.2890842805061121E-4</v>
      </c>
    </row>
    <row r="123" spans="2:5" ht="15" customHeight="1" x14ac:dyDescent="0.25">
      <c r="B123" s="81"/>
      <c r="C123" s="29" t="s">
        <v>102</v>
      </c>
      <c r="D123" s="28">
        <v>7</v>
      </c>
      <c r="E123" s="27">
        <v>1.5011794981771391E-3</v>
      </c>
    </row>
    <row r="124" spans="2:5" ht="15" customHeight="1" x14ac:dyDescent="0.25">
      <c r="B124" s="81"/>
      <c r="C124" s="29" t="s">
        <v>103</v>
      </c>
      <c r="D124" s="28">
        <v>11</v>
      </c>
      <c r="E124" s="27">
        <v>2.3589963542783618E-3</v>
      </c>
    </row>
    <row r="125" spans="2:5" ht="15" customHeight="1" x14ac:dyDescent="0.25">
      <c r="B125" s="81"/>
      <c r="C125" s="29" t="s">
        <v>104</v>
      </c>
      <c r="D125" s="28">
        <v>9</v>
      </c>
      <c r="E125" s="27">
        <v>1.9300879262277503E-3</v>
      </c>
    </row>
    <row r="126" spans="2:5" ht="15" customHeight="1" x14ac:dyDescent="0.25">
      <c r="B126" s="81"/>
      <c r="C126" s="29" t="s">
        <v>99</v>
      </c>
      <c r="D126" s="28">
        <v>14</v>
      </c>
      <c r="E126" s="27">
        <v>3.0023589963542783E-3</v>
      </c>
    </row>
    <row r="127" spans="2:5" ht="15" customHeight="1" x14ac:dyDescent="0.25">
      <c r="B127" s="81"/>
      <c r="C127" s="29" t="s">
        <v>97</v>
      </c>
      <c r="D127" s="28">
        <v>1</v>
      </c>
      <c r="E127" s="27">
        <v>2.1445421402530561E-4</v>
      </c>
    </row>
    <row r="128" spans="2:5" ht="15" customHeight="1" x14ac:dyDescent="0.25">
      <c r="B128" s="82"/>
      <c r="C128" s="26" t="s">
        <v>46</v>
      </c>
      <c r="D128" s="25">
        <v>112</v>
      </c>
      <c r="E128" s="24">
        <v>2.4018871970834226E-2</v>
      </c>
    </row>
    <row r="129" spans="2:5" ht="15" customHeight="1" x14ac:dyDescent="0.25">
      <c r="B129" s="80" t="s">
        <v>71</v>
      </c>
      <c r="C129" s="29" t="s">
        <v>0</v>
      </c>
      <c r="D129" s="28">
        <v>43</v>
      </c>
      <c r="E129" s="27">
        <v>9.2215312030881399E-3</v>
      </c>
    </row>
    <row r="130" spans="2:5" ht="15" customHeight="1" x14ac:dyDescent="0.25">
      <c r="B130" s="81"/>
      <c r="C130" s="29" t="s">
        <v>101</v>
      </c>
      <c r="D130" s="28">
        <v>2</v>
      </c>
      <c r="E130" s="27">
        <v>4.2890842805061121E-4</v>
      </c>
    </row>
    <row r="131" spans="2:5" ht="15" customHeight="1" x14ac:dyDescent="0.25">
      <c r="B131" s="81"/>
      <c r="C131" s="29" t="s">
        <v>105</v>
      </c>
      <c r="D131" s="28">
        <v>27</v>
      </c>
      <c r="E131" s="27">
        <v>5.790263778683251E-3</v>
      </c>
    </row>
    <row r="132" spans="2:5" ht="15" customHeight="1" x14ac:dyDescent="0.25">
      <c r="B132" s="81"/>
      <c r="C132" s="29" t="s">
        <v>98</v>
      </c>
      <c r="D132" s="28">
        <v>1</v>
      </c>
      <c r="E132" s="27">
        <v>2.1445421402530561E-4</v>
      </c>
    </row>
    <row r="133" spans="2:5" ht="15" customHeight="1" x14ac:dyDescent="0.25">
      <c r="B133" s="81"/>
      <c r="C133" s="29" t="s">
        <v>96</v>
      </c>
      <c r="D133" s="28">
        <v>1</v>
      </c>
      <c r="E133" s="27">
        <v>2.1445421402530561E-4</v>
      </c>
    </row>
    <row r="134" spans="2:5" ht="15" customHeight="1" x14ac:dyDescent="0.25">
      <c r="B134" s="81"/>
      <c r="C134" s="29" t="s">
        <v>102</v>
      </c>
      <c r="D134" s="28">
        <v>3</v>
      </c>
      <c r="E134" s="27">
        <v>6.4336264207591682E-4</v>
      </c>
    </row>
    <row r="135" spans="2:5" ht="15" customHeight="1" x14ac:dyDescent="0.25">
      <c r="B135" s="81"/>
      <c r="C135" s="29" t="s">
        <v>103</v>
      </c>
      <c r="D135" s="28">
        <v>4</v>
      </c>
      <c r="E135" s="27">
        <v>8.5781685610122243E-4</v>
      </c>
    </row>
    <row r="136" spans="2:5" ht="15" customHeight="1" x14ac:dyDescent="0.25">
      <c r="B136" s="81"/>
      <c r="C136" s="29" t="s">
        <v>104</v>
      </c>
      <c r="D136" s="28">
        <v>7</v>
      </c>
      <c r="E136" s="27">
        <v>1.5011794981771391E-3</v>
      </c>
    </row>
    <row r="137" spans="2:5" ht="15" customHeight="1" x14ac:dyDescent="0.25">
      <c r="B137" s="82"/>
      <c r="C137" s="26" t="s">
        <v>46</v>
      </c>
      <c r="D137" s="25">
        <v>88</v>
      </c>
      <c r="E137" s="24">
        <v>1.8871970834226894E-2</v>
      </c>
    </row>
    <row r="138" spans="2:5" ht="15" customHeight="1" x14ac:dyDescent="0.25">
      <c r="B138" s="80" t="s">
        <v>55</v>
      </c>
      <c r="C138" s="29" t="s">
        <v>0</v>
      </c>
      <c r="D138" s="28">
        <v>2</v>
      </c>
      <c r="E138" s="27">
        <v>4.2890842805061121E-4</v>
      </c>
    </row>
    <row r="139" spans="2:5" ht="15" customHeight="1" x14ac:dyDescent="0.25">
      <c r="B139" s="82"/>
      <c r="C139" s="26" t="s">
        <v>46</v>
      </c>
      <c r="D139" s="25">
        <v>2</v>
      </c>
      <c r="E139" s="24">
        <v>4.2890842805061121E-4</v>
      </c>
    </row>
    <row r="140" spans="2:5" ht="15" customHeight="1" x14ac:dyDescent="0.25">
      <c r="B140" s="80" t="s">
        <v>78</v>
      </c>
      <c r="C140" s="29" t="s">
        <v>0</v>
      </c>
      <c r="D140" s="28">
        <v>43</v>
      </c>
      <c r="E140" s="27">
        <v>9.2215312030881399E-3</v>
      </c>
    </row>
    <row r="141" spans="2:5" ht="15" customHeight="1" x14ac:dyDescent="0.25">
      <c r="B141" s="81"/>
      <c r="C141" s="29" t="s">
        <v>101</v>
      </c>
      <c r="D141" s="28">
        <v>1</v>
      </c>
      <c r="E141" s="27">
        <v>2.1445421402530561E-4</v>
      </c>
    </row>
    <row r="142" spans="2:5" ht="15" customHeight="1" x14ac:dyDescent="0.25">
      <c r="B142" s="81"/>
      <c r="C142" s="29" t="s">
        <v>105</v>
      </c>
      <c r="D142" s="28">
        <v>2</v>
      </c>
      <c r="E142" s="27">
        <v>4.2890842805061121E-4</v>
      </c>
    </row>
    <row r="143" spans="2:5" ht="15" customHeight="1" x14ac:dyDescent="0.25">
      <c r="B143" s="81"/>
      <c r="C143" s="29" t="s">
        <v>98</v>
      </c>
      <c r="D143" s="28">
        <v>13</v>
      </c>
      <c r="E143" s="27">
        <v>2.7879047823289728E-3</v>
      </c>
    </row>
    <row r="144" spans="2:5" ht="15" customHeight="1" x14ac:dyDescent="0.25">
      <c r="B144" s="81"/>
      <c r="C144" s="29" t="s">
        <v>102</v>
      </c>
      <c r="D144" s="28">
        <v>3</v>
      </c>
      <c r="E144" s="27">
        <v>6.4336264207591682E-4</v>
      </c>
    </row>
    <row r="145" spans="2:5" ht="15" customHeight="1" x14ac:dyDescent="0.25">
      <c r="B145" s="81"/>
      <c r="C145" s="29" t="s">
        <v>103</v>
      </c>
      <c r="D145" s="28">
        <v>2</v>
      </c>
      <c r="E145" s="27">
        <v>4.2890842805061121E-4</v>
      </c>
    </row>
    <row r="146" spans="2:5" ht="15" customHeight="1" x14ac:dyDescent="0.25">
      <c r="B146" s="81"/>
      <c r="C146" s="29" t="s">
        <v>104</v>
      </c>
      <c r="D146" s="28">
        <v>7</v>
      </c>
      <c r="E146" s="27">
        <v>1.5011794981771391E-3</v>
      </c>
    </row>
    <row r="147" spans="2:5" ht="15" customHeight="1" x14ac:dyDescent="0.25">
      <c r="B147" s="81"/>
      <c r="C147" s="29" t="s">
        <v>99</v>
      </c>
      <c r="D147" s="28">
        <v>1</v>
      </c>
      <c r="E147" s="27">
        <v>2.1445421402530561E-4</v>
      </c>
    </row>
    <row r="148" spans="2:5" ht="15" customHeight="1" x14ac:dyDescent="0.25">
      <c r="B148" s="82"/>
      <c r="C148" s="26" t="s">
        <v>46</v>
      </c>
      <c r="D148" s="25">
        <v>72</v>
      </c>
      <c r="E148" s="24">
        <v>1.5440703409822003E-2</v>
      </c>
    </row>
    <row r="149" spans="2:5" ht="15" customHeight="1" x14ac:dyDescent="0.25">
      <c r="B149" s="80" t="s">
        <v>82</v>
      </c>
      <c r="C149" s="29" t="s">
        <v>0</v>
      </c>
      <c r="D149" s="28">
        <v>130</v>
      </c>
      <c r="E149" s="27">
        <v>2.7879047823289729E-2</v>
      </c>
    </row>
    <row r="150" spans="2:5" ht="15" customHeight="1" x14ac:dyDescent="0.25">
      <c r="B150" s="81"/>
      <c r="C150" s="29" t="s">
        <v>101</v>
      </c>
      <c r="D150" s="28">
        <v>19</v>
      </c>
      <c r="E150" s="27">
        <v>4.0746300664808062E-3</v>
      </c>
    </row>
    <row r="151" spans="2:5" ht="15" customHeight="1" x14ac:dyDescent="0.25">
      <c r="B151" s="81"/>
      <c r="C151" s="29" t="s">
        <v>105</v>
      </c>
      <c r="D151" s="28">
        <v>167</v>
      </c>
      <c r="E151" s="27">
        <v>3.5813853742226037E-2</v>
      </c>
    </row>
    <row r="152" spans="2:5" ht="15" customHeight="1" x14ac:dyDescent="0.25">
      <c r="B152" s="81"/>
      <c r="C152" s="29" t="s">
        <v>98</v>
      </c>
      <c r="D152" s="28">
        <v>2</v>
      </c>
      <c r="E152" s="27">
        <v>4.2890842805061121E-4</v>
      </c>
    </row>
    <row r="153" spans="2:5" ht="15" customHeight="1" x14ac:dyDescent="0.25">
      <c r="B153" s="81"/>
      <c r="C153" s="29" t="s">
        <v>96</v>
      </c>
      <c r="D153" s="28">
        <v>5</v>
      </c>
      <c r="E153" s="27">
        <v>1.0722710701265279E-3</v>
      </c>
    </row>
    <row r="154" spans="2:5" ht="15" customHeight="1" x14ac:dyDescent="0.25">
      <c r="B154" s="81"/>
      <c r="C154" s="29" t="s">
        <v>102</v>
      </c>
      <c r="D154" s="28">
        <v>10</v>
      </c>
      <c r="E154" s="27">
        <v>2.1445421402530558E-3</v>
      </c>
    </row>
    <row r="155" spans="2:5" ht="15" customHeight="1" x14ac:dyDescent="0.25">
      <c r="B155" s="81"/>
      <c r="C155" s="29" t="s">
        <v>103</v>
      </c>
      <c r="D155" s="28">
        <v>37</v>
      </c>
      <c r="E155" s="27">
        <v>7.9348059189363069E-3</v>
      </c>
    </row>
    <row r="156" spans="2:5" ht="15" customHeight="1" x14ac:dyDescent="0.25">
      <c r="B156" s="81"/>
      <c r="C156" s="29" t="s">
        <v>104</v>
      </c>
      <c r="D156" s="28">
        <v>134</v>
      </c>
      <c r="E156" s="27">
        <v>2.8736864679390951E-2</v>
      </c>
    </row>
    <row r="157" spans="2:5" ht="15" customHeight="1" x14ac:dyDescent="0.25">
      <c r="B157" s="81"/>
      <c r="C157" s="29" t="s">
        <v>99</v>
      </c>
      <c r="D157" s="28">
        <v>2</v>
      </c>
      <c r="E157" s="27">
        <v>4.2890842805061121E-4</v>
      </c>
    </row>
    <row r="158" spans="2:5" ht="15" customHeight="1" x14ac:dyDescent="0.25">
      <c r="B158" s="81"/>
      <c r="C158" s="29" t="s">
        <v>97</v>
      </c>
      <c r="D158" s="28">
        <v>1</v>
      </c>
      <c r="E158" s="27">
        <v>2.1445421402530561E-4</v>
      </c>
    </row>
    <row r="159" spans="2:5" ht="15" customHeight="1" x14ac:dyDescent="0.25">
      <c r="B159" s="81"/>
      <c r="C159" s="29" t="s">
        <v>100</v>
      </c>
      <c r="D159" s="28">
        <v>6</v>
      </c>
      <c r="E159" s="27">
        <v>1.2867252841518336E-3</v>
      </c>
    </row>
    <row r="160" spans="2:5" ht="15" customHeight="1" x14ac:dyDescent="0.25">
      <c r="B160" s="82"/>
      <c r="C160" s="26" t="s">
        <v>46</v>
      </c>
      <c r="D160" s="25">
        <v>513</v>
      </c>
      <c r="E160" s="24">
        <v>0.11001501179498177</v>
      </c>
    </row>
    <row r="161" spans="2:5" ht="15" customHeight="1" x14ac:dyDescent="0.25">
      <c r="B161" s="80" t="s">
        <v>94</v>
      </c>
      <c r="C161" s="29" t="s">
        <v>0</v>
      </c>
      <c r="D161" s="28">
        <v>180</v>
      </c>
      <c r="E161" s="27">
        <v>3.860175852455501E-2</v>
      </c>
    </row>
    <row r="162" spans="2:5" ht="15" customHeight="1" x14ac:dyDescent="0.25">
      <c r="B162" s="81"/>
      <c r="C162" s="29" t="s">
        <v>101</v>
      </c>
      <c r="D162" s="28">
        <v>10</v>
      </c>
      <c r="E162" s="27">
        <v>2.1445421402530558E-3</v>
      </c>
    </row>
    <row r="163" spans="2:5" ht="15" customHeight="1" x14ac:dyDescent="0.25">
      <c r="B163" s="81"/>
      <c r="C163" s="29" t="s">
        <v>105</v>
      </c>
      <c r="D163" s="28">
        <v>32</v>
      </c>
      <c r="E163" s="27">
        <v>6.8625348488097794E-3</v>
      </c>
    </row>
    <row r="164" spans="2:5" ht="15" customHeight="1" x14ac:dyDescent="0.25">
      <c r="B164" s="81"/>
      <c r="C164" s="29" t="s">
        <v>98</v>
      </c>
      <c r="D164" s="28">
        <v>2</v>
      </c>
      <c r="E164" s="27">
        <v>4.2890842805061121E-4</v>
      </c>
    </row>
    <row r="165" spans="2:5" ht="15" customHeight="1" x14ac:dyDescent="0.25">
      <c r="B165" s="81"/>
      <c r="C165" s="29" t="s">
        <v>102</v>
      </c>
      <c r="D165" s="28">
        <v>18</v>
      </c>
      <c r="E165" s="27">
        <v>3.8601758524555007E-3</v>
      </c>
    </row>
    <row r="166" spans="2:5" ht="15" customHeight="1" x14ac:dyDescent="0.25">
      <c r="B166" s="81"/>
      <c r="C166" s="29" t="s">
        <v>103</v>
      </c>
      <c r="D166" s="28">
        <v>29</v>
      </c>
      <c r="E166" s="27">
        <v>6.219172206733862E-3</v>
      </c>
    </row>
    <row r="167" spans="2:5" ht="15" customHeight="1" x14ac:dyDescent="0.25">
      <c r="B167" s="81"/>
      <c r="C167" s="29" t="s">
        <v>104</v>
      </c>
      <c r="D167" s="28">
        <v>17</v>
      </c>
      <c r="E167" s="27">
        <v>3.6457216384301952E-3</v>
      </c>
    </row>
    <row r="168" spans="2:5" ht="15" customHeight="1" x14ac:dyDescent="0.25">
      <c r="B168" s="81"/>
      <c r="C168" s="29" t="s">
        <v>99</v>
      </c>
      <c r="D168" s="28">
        <v>1</v>
      </c>
      <c r="E168" s="27">
        <v>2.1445421402530561E-4</v>
      </c>
    </row>
    <row r="169" spans="2:5" ht="15" customHeight="1" x14ac:dyDescent="0.25">
      <c r="B169" s="81"/>
      <c r="C169" s="29" t="s">
        <v>97</v>
      </c>
      <c r="D169" s="28">
        <v>12</v>
      </c>
      <c r="E169" s="27">
        <v>2.5734505683036673E-3</v>
      </c>
    </row>
    <row r="170" spans="2:5" ht="15" customHeight="1" x14ac:dyDescent="0.25">
      <c r="B170" s="81"/>
      <c r="C170" s="29" t="s">
        <v>100</v>
      </c>
      <c r="D170" s="28">
        <v>11</v>
      </c>
      <c r="E170" s="27">
        <v>2.3589963542783618E-3</v>
      </c>
    </row>
    <row r="171" spans="2:5" ht="15" customHeight="1" x14ac:dyDescent="0.25">
      <c r="B171" s="82"/>
      <c r="C171" s="26" t="s">
        <v>46</v>
      </c>
      <c r="D171" s="25">
        <v>312</v>
      </c>
      <c r="E171" s="24">
        <v>6.6909714775895343E-2</v>
      </c>
    </row>
    <row r="172" spans="2:5" ht="15" customHeight="1" x14ac:dyDescent="0.25">
      <c r="B172" s="80" t="s">
        <v>73</v>
      </c>
      <c r="C172" s="29" t="s">
        <v>0</v>
      </c>
      <c r="D172" s="28">
        <v>27</v>
      </c>
      <c r="E172" s="27">
        <v>5.790263778683251E-3</v>
      </c>
    </row>
    <row r="173" spans="2:5" ht="15" customHeight="1" x14ac:dyDescent="0.25">
      <c r="B173" s="81"/>
      <c r="C173" s="29" t="s">
        <v>101</v>
      </c>
      <c r="D173" s="28">
        <v>3</v>
      </c>
      <c r="E173" s="27">
        <v>6.4336264207591682E-4</v>
      </c>
    </row>
    <row r="174" spans="2:5" ht="15" customHeight="1" x14ac:dyDescent="0.25">
      <c r="B174" s="81"/>
      <c r="C174" s="29" t="s">
        <v>105</v>
      </c>
      <c r="D174" s="28">
        <v>1</v>
      </c>
      <c r="E174" s="27">
        <v>2.1445421402530561E-4</v>
      </c>
    </row>
    <row r="175" spans="2:5" ht="15" customHeight="1" x14ac:dyDescent="0.25">
      <c r="B175" s="81"/>
      <c r="C175" s="29" t="s">
        <v>102</v>
      </c>
      <c r="D175" s="28">
        <v>2</v>
      </c>
      <c r="E175" s="27">
        <v>4.2890842805061121E-4</v>
      </c>
    </row>
    <row r="176" spans="2:5" ht="15" customHeight="1" x14ac:dyDescent="0.25">
      <c r="B176" s="81"/>
      <c r="C176" s="29" t="s">
        <v>104</v>
      </c>
      <c r="D176" s="28">
        <v>3</v>
      </c>
      <c r="E176" s="27">
        <v>6.4336264207591682E-4</v>
      </c>
    </row>
    <row r="177" spans="2:5" ht="15" customHeight="1" x14ac:dyDescent="0.25">
      <c r="B177" s="82"/>
      <c r="C177" s="26" t="s">
        <v>46</v>
      </c>
      <c r="D177" s="25">
        <v>36</v>
      </c>
      <c r="E177" s="24">
        <v>7.7203517049110014E-3</v>
      </c>
    </row>
    <row r="178" spans="2:5" ht="15" customHeight="1" x14ac:dyDescent="0.25">
      <c r="B178" s="80" t="s">
        <v>68</v>
      </c>
      <c r="C178" s="29" t="s">
        <v>0</v>
      </c>
      <c r="D178" s="28">
        <v>17</v>
      </c>
      <c r="E178" s="27">
        <v>3.6457216384301952E-3</v>
      </c>
    </row>
    <row r="179" spans="2:5" ht="15" customHeight="1" x14ac:dyDescent="0.25">
      <c r="B179" s="81"/>
      <c r="C179" s="29" t="s">
        <v>101</v>
      </c>
      <c r="D179" s="28">
        <v>1</v>
      </c>
      <c r="E179" s="27">
        <v>2.1445421402530561E-4</v>
      </c>
    </row>
    <row r="180" spans="2:5" ht="15" customHeight="1" x14ac:dyDescent="0.25">
      <c r="B180" s="81"/>
      <c r="C180" s="29" t="s">
        <v>105</v>
      </c>
      <c r="D180" s="28">
        <v>2</v>
      </c>
      <c r="E180" s="27">
        <v>4.2890842805061121E-4</v>
      </c>
    </row>
    <row r="181" spans="2:5" ht="15" customHeight="1" x14ac:dyDescent="0.25">
      <c r="B181" s="81"/>
      <c r="C181" s="29" t="s">
        <v>96</v>
      </c>
      <c r="D181" s="28">
        <v>2</v>
      </c>
      <c r="E181" s="27">
        <v>4.2890842805061121E-4</v>
      </c>
    </row>
    <row r="182" spans="2:5" ht="15" customHeight="1" x14ac:dyDescent="0.25">
      <c r="B182" s="81"/>
      <c r="C182" s="29" t="s">
        <v>102</v>
      </c>
      <c r="D182" s="28">
        <v>1</v>
      </c>
      <c r="E182" s="27">
        <v>2.1445421402530561E-4</v>
      </c>
    </row>
    <row r="183" spans="2:5" ht="15" customHeight="1" x14ac:dyDescent="0.25">
      <c r="B183" s="81"/>
      <c r="C183" s="29" t="s">
        <v>103</v>
      </c>
      <c r="D183" s="28">
        <v>1</v>
      </c>
      <c r="E183" s="27">
        <v>2.1445421402530561E-4</v>
      </c>
    </row>
    <row r="184" spans="2:5" ht="15" customHeight="1" x14ac:dyDescent="0.25">
      <c r="B184" s="81"/>
      <c r="C184" s="29" t="s">
        <v>104</v>
      </c>
      <c r="D184" s="28">
        <v>1</v>
      </c>
      <c r="E184" s="27">
        <v>2.1445421402530561E-4</v>
      </c>
    </row>
    <row r="185" spans="2:5" ht="15" customHeight="1" x14ac:dyDescent="0.25">
      <c r="B185" s="81"/>
      <c r="C185" s="29" t="s">
        <v>99</v>
      </c>
      <c r="D185" s="28">
        <v>2</v>
      </c>
      <c r="E185" s="27">
        <v>4.2890842805061121E-4</v>
      </c>
    </row>
    <row r="186" spans="2:5" ht="15" customHeight="1" x14ac:dyDescent="0.25">
      <c r="B186" s="81"/>
      <c r="C186" s="29" t="s">
        <v>97</v>
      </c>
      <c r="D186" s="28">
        <v>1</v>
      </c>
      <c r="E186" s="27">
        <v>2.1445421402530561E-4</v>
      </c>
    </row>
    <row r="187" spans="2:5" ht="15" customHeight="1" x14ac:dyDescent="0.25">
      <c r="B187" s="82"/>
      <c r="C187" s="26" t="s">
        <v>46</v>
      </c>
      <c r="D187" s="25">
        <v>28</v>
      </c>
      <c r="E187" s="24">
        <v>6.0047179927085565E-3</v>
      </c>
    </row>
    <row r="188" spans="2:5" ht="15" customHeight="1" x14ac:dyDescent="0.25">
      <c r="B188" s="80" t="s">
        <v>67</v>
      </c>
      <c r="C188" s="29" t="s">
        <v>0</v>
      </c>
      <c r="D188" s="28">
        <v>32</v>
      </c>
      <c r="E188" s="27">
        <v>6.8625348488097794E-3</v>
      </c>
    </row>
    <row r="189" spans="2:5" ht="15" customHeight="1" x14ac:dyDescent="0.25">
      <c r="B189" s="81"/>
      <c r="C189" s="29" t="s">
        <v>101</v>
      </c>
      <c r="D189" s="28">
        <v>1</v>
      </c>
      <c r="E189" s="27">
        <v>2.1445421402530561E-4</v>
      </c>
    </row>
    <row r="190" spans="2:5" ht="15" customHeight="1" x14ac:dyDescent="0.25">
      <c r="B190" s="81"/>
      <c r="C190" s="29" t="s">
        <v>105</v>
      </c>
      <c r="D190" s="28">
        <v>3</v>
      </c>
      <c r="E190" s="27">
        <v>6.4336264207591682E-4</v>
      </c>
    </row>
    <row r="191" spans="2:5" ht="15" customHeight="1" x14ac:dyDescent="0.25">
      <c r="B191" s="81"/>
      <c r="C191" s="29" t="s">
        <v>103</v>
      </c>
      <c r="D191" s="28">
        <v>1</v>
      </c>
      <c r="E191" s="27">
        <v>2.1445421402530561E-4</v>
      </c>
    </row>
    <row r="192" spans="2:5" ht="15" customHeight="1" x14ac:dyDescent="0.25">
      <c r="B192" s="81"/>
      <c r="C192" s="29" t="s">
        <v>104</v>
      </c>
      <c r="D192" s="28">
        <v>4</v>
      </c>
      <c r="E192" s="27">
        <v>8.5781685610122243E-4</v>
      </c>
    </row>
    <row r="193" spans="2:5" ht="15" customHeight="1" x14ac:dyDescent="0.25">
      <c r="B193" s="81"/>
      <c r="C193" s="29" t="s">
        <v>97</v>
      </c>
      <c r="D193" s="28">
        <v>6</v>
      </c>
      <c r="E193" s="27">
        <v>1.2867252841518336E-3</v>
      </c>
    </row>
    <row r="194" spans="2:5" ht="15" customHeight="1" x14ac:dyDescent="0.25">
      <c r="B194" s="82"/>
      <c r="C194" s="26" t="s">
        <v>46</v>
      </c>
      <c r="D194" s="25">
        <v>47</v>
      </c>
      <c r="E194" s="24">
        <v>1.0079348059189364E-2</v>
      </c>
    </row>
    <row r="195" spans="2:5" ht="15" customHeight="1" x14ac:dyDescent="0.25">
      <c r="B195" s="80" t="s">
        <v>60</v>
      </c>
      <c r="C195" s="29" t="s">
        <v>0</v>
      </c>
      <c r="D195" s="28">
        <v>6</v>
      </c>
      <c r="E195" s="27">
        <v>1.2867252841518336E-3</v>
      </c>
    </row>
    <row r="196" spans="2:5" ht="15" customHeight="1" x14ac:dyDescent="0.25">
      <c r="B196" s="81"/>
      <c r="C196" s="29" t="s">
        <v>101</v>
      </c>
      <c r="D196" s="28">
        <v>1</v>
      </c>
      <c r="E196" s="27">
        <v>2.1445421402530561E-4</v>
      </c>
    </row>
    <row r="197" spans="2:5" ht="15" customHeight="1" x14ac:dyDescent="0.25">
      <c r="B197" s="81"/>
      <c r="C197" s="29" t="s">
        <v>105</v>
      </c>
      <c r="D197" s="28">
        <v>2</v>
      </c>
      <c r="E197" s="27">
        <v>4.2890842805061121E-4</v>
      </c>
    </row>
    <row r="198" spans="2:5" ht="15" customHeight="1" x14ac:dyDescent="0.25">
      <c r="B198" s="81"/>
      <c r="C198" s="29" t="s">
        <v>102</v>
      </c>
      <c r="D198" s="28">
        <v>1</v>
      </c>
      <c r="E198" s="27">
        <v>2.1445421402530561E-4</v>
      </c>
    </row>
    <row r="199" spans="2:5" ht="15" customHeight="1" x14ac:dyDescent="0.25">
      <c r="B199" s="81"/>
      <c r="C199" s="29" t="s">
        <v>103</v>
      </c>
      <c r="D199" s="28">
        <v>2</v>
      </c>
      <c r="E199" s="27">
        <v>4.2890842805061121E-4</v>
      </c>
    </row>
    <row r="200" spans="2:5" ht="15" customHeight="1" x14ac:dyDescent="0.25">
      <c r="B200" s="81"/>
      <c r="C200" s="29" t="s">
        <v>104</v>
      </c>
      <c r="D200" s="28">
        <v>6</v>
      </c>
      <c r="E200" s="27">
        <v>1.2867252841518336E-3</v>
      </c>
    </row>
    <row r="201" spans="2:5" ht="15" customHeight="1" x14ac:dyDescent="0.25">
      <c r="B201" s="82"/>
      <c r="C201" s="26" t="s">
        <v>46</v>
      </c>
      <c r="D201" s="25">
        <v>18</v>
      </c>
      <c r="E201" s="24">
        <v>3.8601758524555007E-3</v>
      </c>
    </row>
    <row r="202" spans="2:5" ht="15" customHeight="1" x14ac:dyDescent="0.25">
      <c r="B202" s="80" t="s">
        <v>89</v>
      </c>
      <c r="C202" s="29" t="s">
        <v>0</v>
      </c>
      <c r="D202" s="28">
        <v>14</v>
      </c>
      <c r="E202" s="27">
        <v>3.0023589963542783E-3</v>
      </c>
    </row>
    <row r="203" spans="2:5" ht="15" customHeight="1" x14ac:dyDescent="0.25">
      <c r="B203" s="81"/>
      <c r="C203" s="29" t="s">
        <v>104</v>
      </c>
      <c r="D203" s="28">
        <v>1</v>
      </c>
      <c r="E203" s="27">
        <v>2.1445421402530561E-4</v>
      </c>
    </row>
    <row r="204" spans="2:5" ht="15" customHeight="1" x14ac:dyDescent="0.25">
      <c r="B204" s="82"/>
      <c r="C204" s="26" t="s">
        <v>46</v>
      </c>
      <c r="D204" s="25">
        <v>15</v>
      </c>
      <c r="E204" s="24">
        <v>3.2168132103795838E-3</v>
      </c>
    </row>
    <row r="205" spans="2:5" ht="15" customHeight="1" x14ac:dyDescent="0.25">
      <c r="B205" s="80" t="s">
        <v>62</v>
      </c>
      <c r="C205" s="29" t="s">
        <v>0</v>
      </c>
      <c r="D205" s="28">
        <v>28</v>
      </c>
      <c r="E205" s="27">
        <v>6.0047179927085565E-3</v>
      </c>
    </row>
    <row r="206" spans="2:5" ht="15" customHeight="1" x14ac:dyDescent="0.25">
      <c r="B206" s="81"/>
      <c r="C206" s="29" t="s">
        <v>102</v>
      </c>
      <c r="D206" s="28">
        <v>10</v>
      </c>
      <c r="E206" s="27">
        <v>2.1445421402530558E-3</v>
      </c>
    </row>
    <row r="207" spans="2:5" ht="15" customHeight="1" x14ac:dyDescent="0.25">
      <c r="B207" s="81"/>
      <c r="C207" s="29" t="s">
        <v>103</v>
      </c>
      <c r="D207" s="28">
        <v>8</v>
      </c>
      <c r="E207" s="27">
        <v>1.7156337122024449E-3</v>
      </c>
    </row>
    <row r="208" spans="2:5" ht="15" customHeight="1" x14ac:dyDescent="0.25">
      <c r="B208" s="81"/>
      <c r="C208" s="29" t="s">
        <v>104</v>
      </c>
      <c r="D208" s="28">
        <v>21</v>
      </c>
      <c r="E208" s="27">
        <v>4.5035384945314172E-3</v>
      </c>
    </row>
    <row r="209" spans="2:5" ht="15" customHeight="1" x14ac:dyDescent="0.25">
      <c r="B209" s="81"/>
      <c r="C209" s="29" t="s">
        <v>99</v>
      </c>
      <c r="D209" s="28">
        <v>2</v>
      </c>
      <c r="E209" s="27">
        <v>4.2890842805061121E-4</v>
      </c>
    </row>
    <row r="210" spans="2:5" ht="15" customHeight="1" x14ac:dyDescent="0.25">
      <c r="B210" s="82"/>
      <c r="C210" s="26" t="s">
        <v>46</v>
      </c>
      <c r="D210" s="25">
        <v>69</v>
      </c>
      <c r="E210" s="24">
        <v>1.4797340767746086E-2</v>
      </c>
    </row>
    <row r="211" spans="2:5" ht="15" customHeight="1" x14ac:dyDescent="0.25">
      <c r="B211" s="80" t="s">
        <v>81</v>
      </c>
      <c r="C211" s="29" t="s">
        <v>0</v>
      </c>
      <c r="D211" s="28">
        <v>79</v>
      </c>
      <c r="E211" s="27">
        <v>1.6941882907999143E-2</v>
      </c>
    </row>
    <row r="212" spans="2:5" ht="15" customHeight="1" x14ac:dyDescent="0.25">
      <c r="B212" s="81"/>
      <c r="C212" s="29" t="s">
        <v>101</v>
      </c>
      <c r="D212" s="28">
        <v>5</v>
      </c>
      <c r="E212" s="27">
        <v>1.0722710701265279E-3</v>
      </c>
    </row>
    <row r="213" spans="2:5" ht="15" customHeight="1" x14ac:dyDescent="0.25">
      <c r="B213" s="81"/>
      <c r="C213" s="29" t="s">
        <v>105</v>
      </c>
      <c r="D213" s="28">
        <v>8</v>
      </c>
      <c r="E213" s="27">
        <v>1.7156337122024449E-3</v>
      </c>
    </row>
    <row r="214" spans="2:5" ht="15" customHeight="1" x14ac:dyDescent="0.25">
      <c r="B214" s="81"/>
      <c r="C214" s="29" t="s">
        <v>96</v>
      </c>
      <c r="D214" s="28">
        <v>11</v>
      </c>
      <c r="E214" s="27">
        <v>2.3589963542783618E-3</v>
      </c>
    </row>
    <row r="215" spans="2:5" ht="15" customHeight="1" x14ac:dyDescent="0.25">
      <c r="B215" s="81"/>
      <c r="C215" s="29" t="s">
        <v>102</v>
      </c>
      <c r="D215" s="28">
        <v>4</v>
      </c>
      <c r="E215" s="27">
        <v>8.5781685610122243E-4</v>
      </c>
    </row>
    <row r="216" spans="2:5" ht="15" customHeight="1" x14ac:dyDescent="0.25">
      <c r="B216" s="81"/>
      <c r="C216" s="29" t="s">
        <v>103</v>
      </c>
      <c r="D216" s="28">
        <v>10</v>
      </c>
      <c r="E216" s="27">
        <v>2.1445421402530558E-3</v>
      </c>
    </row>
    <row r="217" spans="2:5" ht="15" customHeight="1" x14ac:dyDescent="0.25">
      <c r="B217" s="81"/>
      <c r="C217" s="29" t="s">
        <v>104</v>
      </c>
      <c r="D217" s="28">
        <v>9</v>
      </c>
      <c r="E217" s="27">
        <v>1.9300879262277503E-3</v>
      </c>
    </row>
    <row r="218" spans="2:5" ht="15" customHeight="1" x14ac:dyDescent="0.25">
      <c r="B218" s="81"/>
      <c r="C218" s="29" t="s">
        <v>100</v>
      </c>
      <c r="D218" s="28">
        <v>1</v>
      </c>
      <c r="E218" s="27">
        <v>2.1445421402530561E-4</v>
      </c>
    </row>
    <row r="219" spans="2:5" ht="15" customHeight="1" x14ac:dyDescent="0.25">
      <c r="B219" s="82"/>
      <c r="C219" s="26" t="s">
        <v>46</v>
      </c>
      <c r="D219" s="25">
        <v>127</v>
      </c>
      <c r="E219" s="24">
        <v>2.723568518121381E-2</v>
      </c>
    </row>
    <row r="220" spans="2:5" ht="15" customHeight="1" x14ac:dyDescent="0.25">
      <c r="B220" s="80" t="s">
        <v>77</v>
      </c>
      <c r="C220" s="29" t="s">
        <v>0</v>
      </c>
      <c r="D220" s="28">
        <v>51</v>
      </c>
      <c r="E220" s="27">
        <v>1.0937164915290586E-2</v>
      </c>
    </row>
    <row r="221" spans="2:5" ht="15" customHeight="1" x14ac:dyDescent="0.25">
      <c r="B221" s="81"/>
      <c r="C221" s="29" t="s">
        <v>105</v>
      </c>
      <c r="D221" s="28">
        <v>4</v>
      </c>
      <c r="E221" s="27">
        <v>8.5781685610122243E-4</v>
      </c>
    </row>
    <row r="222" spans="2:5" ht="15" customHeight="1" x14ac:dyDescent="0.25">
      <c r="B222" s="81"/>
      <c r="C222" s="29" t="s">
        <v>98</v>
      </c>
      <c r="D222" s="28">
        <v>4</v>
      </c>
      <c r="E222" s="27">
        <v>8.5781685610122243E-4</v>
      </c>
    </row>
    <row r="223" spans="2:5" ht="15" customHeight="1" x14ac:dyDescent="0.25">
      <c r="B223" s="81"/>
      <c r="C223" s="29" t="s">
        <v>102</v>
      </c>
      <c r="D223" s="28">
        <v>14</v>
      </c>
      <c r="E223" s="27">
        <v>3.0023589963542783E-3</v>
      </c>
    </row>
    <row r="224" spans="2:5" ht="15" customHeight="1" x14ac:dyDescent="0.25">
      <c r="B224" s="81"/>
      <c r="C224" s="29" t="s">
        <v>103</v>
      </c>
      <c r="D224" s="28">
        <v>1</v>
      </c>
      <c r="E224" s="27">
        <v>2.1445421402530561E-4</v>
      </c>
    </row>
    <row r="225" spans="2:5" ht="15" customHeight="1" x14ac:dyDescent="0.25">
      <c r="B225" s="81"/>
      <c r="C225" s="29" t="s">
        <v>104</v>
      </c>
      <c r="D225" s="28">
        <v>4</v>
      </c>
      <c r="E225" s="27">
        <v>8.5781685610122243E-4</v>
      </c>
    </row>
    <row r="226" spans="2:5" ht="15" customHeight="1" x14ac:dyDescent="0.25">
      <c r="B226" s="82"/>
      <c r="C226" s="26" t="s">
        <v>46</v>
      </c>
      <c r="D226" s="25">
        <v>78</v>
      </c>
      <c r="E226" s="24">
        <v>1.6727428693973836E-2</v>
      </c>
    </row>
    <row r="227" spans="2:5" ht="15" customHeight="1" x14ac:dyDescent="0.25">
      <c r="B227" s="80" t="s">
        <v>65</v>
      </c>
      <c r="C227" s="29" t="s">
        <v>0</v>
      </c>
      <c r="D227" s="28">
        <v>15</v>
      </c>
      <c r="E227" s="27">
        <v>3.2168132103795838E-3</v>
      </c>
    </row>
    <row r="228" spans="2:5" ht="15" customHeight="1" x14ac:dyDescent="0.25">
      <c r="B228" s="81"/>
      <c r="C228" s="29" t="s">
        <v>105</v>
      </c>
      <c r="D228" s="28">
        <v>7</v>
      </c>
      <c r="E228" s="27">
        <v>1.5011794981771391E-3</v>
      </c>
    </row>
    <row r="229" spans="2:5" ht="15" customHeight="1" x14ac:dyDescent="0.25">
      <c r="B229" s="81"/>
      <c r="C229" s="29" t="s">
        <v>102</v>
      </c>
      <c r="D229" s="28">
        <v>2</v>
      </c>
      <c r="E229" s="27">
        <v>4.2890842805061121E-4</v>
      </c>
    </row>
    <row r="230" spans="2:5" ht="15" customHeight="1" x14ac:dyDescent="0.25">
      <c r="B230" s="81"/>
      <c r="C230" s="29" t="s">
        <v>104</v>
      </c>
      <c r="D230" s="28">
        <v>2</v>
      </c>
      <c r="E230" s="27">
        <v>4.2890842805061121E-4</v>
      </c>
    </row>
    <row r="231" spans="2:5" ht="15" customHeight="1" x14ac:dyDescent="0.25">
      <c r="B231" s="81"/>
      <c r="C231" s="29" t="s">
        <v>99</v>
      </c>
      <c r="D231" s="28">
        <v>2</v>
      </c>
      <c r="E231" s="27">
        <v>4.2890842805061121E-4</v>
      </c>
    </row>
    <row r="232" spans="2:5" ht="15" customHeight="1" x14ac:dyDescent="0.25">
      <c r="B232" s="82"/>
      <c r="C232" s="26" t="s">
        <v>46</v>
      </c>
      <c r="D232" s="25">
        <v>28</v>
      </c>
      <c r="E232" s="24">
        <v>6.0047179927085565E-3</v>
      </c>
    </row>
    <row r="233" spans="2:5" ht="15" customHeight="1" x14ac:dyDescent="0.25">
      <c r="B233" s="80" t="s">
        <v>69</v>
      </c>
      <c r="C233" s="29" t="s">
        <v>0</v>
      </c>
      <c r="D233" s="28">
        <v>9</v>
      </c>
      <c r="E233" s="27">
        <v>1.9300879262277503E-3</v>
      </c>
    </row>
    <row r="234" spans="2:5" ht="15" customHeight="1" x14ac:dyDescent="0.25">
      <c r="B234" s="81"/>
      <c r="C234" s="29" t="s">
        <v>105</v>
      </c>
      <c r="D234" s="28">
        <v>2</v>
      </c>
      <c r="E234" s="27">
        <v>4.2890842805061121E-4</v>
      </c>
    </row>
    <row r="235" spans="2:5" ht="15" customHeight="1" x14ac:dyDescent="0.25">
      <c r="B235" s="81"/>
      <c r="C235" s="29" t="s">
        <v>103</v>
      </c>
      <c r="D235" s="28">
        <v>1</v>
      </c>
      <c r="E235" s="27">
        <v>2.1445421402530561E-4</v>
      </c>
    </row>
    <row r="236" spans="2:5" ht="15" customHeight="1" x14ac:dyDescent="0.25">
      <c r="B236" s="81"/>
      <c r="C236" s="29" t="s">
        <v>104</v>
      </c>
      <c r="D236" s="28">
        <v>1</v>
      </c>
      <c r="E236" s="27">
        <v>2.1445421402530561E-4</v>
      </c>
    </row>
    <row r="237" spans="2:5" ht="15" customHeight="1" x14ac:dyDescent="0.25">
      <c r="B237" s="81"/>
      <c r="C237" s="29" t="s">
        <v>100</v>
      </c>
      <c r="D237" s="28">
        <v>1</v>
      </c>
      <c r="E237" s="27">
        <v>2.1445421402530561E-4</v>
      </c>
    </row>
    <row r="238" spans="2:5" ht="15" customHeight="1" x14ac:dyDescent="0.25">
      <c r="B238" s="82"/>
      <c r="C238" s="26" t="s">
        <v>46</v>
      </c>
      <c r="D238" s="25">
        <v>14</v>
      </c>
      <c r="E238" s="24">
        <v>3.0023589963542783E-3</v>
      </c>
    </row>
    <row r="239" spans="2:5" ht="15" customHeight="1" x14ac:dyDescent="0.25">
      <c r="B239" s="80" t="s">
        <v>53</v>
      </c>
      <c r="C239" s="29" t="s">
        <v>0</v>
      </c>
      <c r="D239" s="28">
        <v>4</v>
      </c>
      <c r="E239" s="27">
        <v>8.5781685610122243E-4</v>
      </c>
    </row>
    <row r="240" spans="2:5" ht="15" customHeight="1" x14ac:dyDescent="0.25">
      <c r="B240" s="81"/>
      <c r="C240" s="29" t="s">
        <v>105</v>
      </c>
      <c r="D240" s="28">
        <v>1</v>
      </c>
      <c r="E240" s="27">
        <v>2.1445421402530561E-4</v>
      </c>
    </row>
    <row r="241" spans="2:5" ht="15" customHeight="1" x14ac:dyDescent="0.25">
      <c r="B241" s="81"/>
      <c r="C241" s="29" t="s">
        <v>99</v>
      </c>
      <c r="D241" s="28">
        <v>1</v>
      </c>
      <c r="E241" s="27">
        <v>2.1445421402530561E-4</v>
      </c>
    </row>
    <row r="242" spans="2:5" ht="15" customHeight="1" x14ac:dyDescent="0.25">
      <c r="B242" s="82"/>
      <c r="C242" s="26" t="s">
        <v>46</v>
      </c>
      <c r="D242" s="25">
        <v>6</v>
      </c>
      <c r="E242" s="24">
        <v>1.2867252841518336E-3</v>
      </c>
    </row>
    <row r="243" spans="2:5" ht="15" customHeight="1" x14ac:dyDescent="0.25">
      <c r="B243" s="80" t="s">
        <v>87</v>
      </c>
      <c r="C243" s="29" t="s">
        <v>0</v>
      </c>
      <c r="D243" s="28">
        <v>95</v>
      </c>
      <c r="E243" s="27">
        <v>2.0373150332404031E-2</v>
      </c>
    </row>
    <row r="244" spans="2:5" ht="15" customHeight="1" x14ac:dyDescent="0.25">
      <c r="B244" s="81"/>
      <c r="C244" s="29" t="s">
        <v>101</v>
      </c>
      <c r="D244" s="28">
        <v>16</v>
      </c>
      <c r="E244" s="27">
        <v>3.4312674244048897E-3</v>
      </c>
    </row>
    <row r="245" spans="2:5" ht="15" customHeight="1" x14ac:dyDescent="0.25">
      <c r="B245" s="81"/>
      <c r="C245" s="29" t="s">
        <v>105</v>
      </c>
      <c r="D245" s="28">
        <v>38</v>
      </c>
      <c r="E245" s="27">
        <v>8.1492601329616124E-3</v>
      </c>
    </row>
    <row r="246" spans="2:5" ht="15" customHeight="1" x14ac:dyDescent="0.25">
      <c r="B246" s="81"/>
      <c r="C246" s="29" t="s">
        <v>96</v>
      </c>
      <c r="D246" s="28">
        <v>1</v>
      </c>
      <c r="E246" s="27">
        <v>2.1445421402530561E-4</v>
      </c>
    </row>
    <row r="247" spans="2:5" ht="15" customHeight="1" x14ac:dyDescent="0.25">
      <c r="B247" s="81"/>
      <c r="C247" s="29" t="s">
        <v>102</v>
      </c>
      <c r="D247" s="28">
        <v>4</v>
      </c>
      <c r="E247" s="27">
        <v>8.5781685610122243E-4</v>
      </c>
    </row>
    <row r="248" spans="2:5" ht="15" customHeight="1" x14ac:dyDescent="0.25">
      <c r="B248" s="81"/>
      <c r="C248" s="29" t="s">
        <v>103</v>
      </c>
      <c r="D248" s="28">
        <v>12</v>
      </c>
      <c r="E248" s="27">
        <v>2.5734505683036673E-3</v>
      </c>
    </row>
    <row r="249" spans="2:5" ht="15" customHeight="1" x14ac:dyDescent="0.25">
      <c r="B249" s="81"/>
      <c r="C249" s="29" t="s">
        <v>104</v>
      </c>
      <c r="D249" s="28">
        <v>8</v>
      </c>
      <c r="E249" s="27">
        <v>1.7156337122024449E-3</v>
      </c>
    </row>
    <row r="250" spans="2:5" ht="15" customHeight="1" x14ac:dyDescent="0.25">
      <c r="B250" s="82"/>
      <c r="C250" s="26" t="s">
        <v>46</v>
      </c>
      <c r="D250" s="25">
        <v>174</v>
      </c>
      <c r="E250" s="24">
        <v>3.7315033240403174E-2</v>
      </c>
    </row>
    <row r="251" spans="2:5" ht="15" customHeight="1" x14ac:dyDescent="0.25">
      <c r="B251" s="80" t="s">
        <v>79</v>
      </c>
      <c r="C251" s="29" t="s">
        <v>0</v>
      </c>
      <c r="D251" s="28">
        <v>30</v>
      </c>
      <c r="E251" s="27">
        <v>6.4336264207591675E-3</v>
      </c>
    </row>
    <row r="252" spans="2:5" ht="15" customHeight="1" x14ac:dyDescent="0.25">
      <c r="B252" s="81"/>
      <c r="C252" s="29" t="s">
        <v>101</v>
      </c>
      <c r="D252" s="28">
        <v>2</v>
      </c>
      <c r="E252" s="27">
        <v>4.2890842805061121E-4</v>
      </c>
    </row>
    <row r="253" spans="2:5" ht="15" customHeight="1" x14ac:dyDescent="0.25">
      <c r="B253" s="81"/>
      <c r="C253" s="29" t="s">
        <v>102</v>
      </c>
      <c r="D253" s="28">
        <v>2</v>
      </c>
      <c r="E253" s="27">
        <v>4.2890842805061121E-4</v>
      </c>
    </row>
    <row r="254" spans="2:5" ht="15" customHeight="1" x14ac:dyDescent="0.25">
      <c r="B254" s="81"/>
      <c r="C254" s="29" t="s">
        <v>103</v>
      </c>
      <c r="D254" s="28">
        <v>6</v>
      </c>
      <c r="E254" s="27">
        <v>1.2867252841518336E-3</v>
      </c>
    </row>
    <row r="255" spans="2:5" ht="15" customHeight="1" x14ac:dyDescent="0.25">
      <c r="B255" s="81"/>
      <c r="C255" s="29" t="s">
        <v>104</v>
      </c>
      <c r="D255" s="28">
        <v>5</v>
      </c>
      <c r="E255" s="27">
        <v>1.0722710701265279E-3</v>
      </c>
    </row>
    <row r="256" spans="2:5" ht="15" customHeight="1" x14ac:dyDescent="0.25">
      <c r="B256" s="81"/>
      <c r="C256" s="29" t="s">
        <v>97</v>
      </c>
      <c r="D256" s="28">
        <v>2</v>
      </c>
      <c r="E256" s="27">
        <v>4.2890842805061121E-4</v>
      </c>
    </row>
    <row r="257" spans="2:5" ht="15" customHeight="1" x14ac:dyDescent="0.25">
      <c r="B257" s="81"/>
      <c r="C257" s="29" t="s">
        <v>100</v>
      </c>
      <c r="D257" s="28">
        <v>1</v>
      </c>
      <c r="E257" s="27">
        <v>2.1445421402530561E-4</v>
      </c>
    </row>
    <row r="258" spans="2:5" ht="15" customHeight="1" x14ac:dyDescent="0.25">
      <c r="B258" s="82"/>
      <c r="C258" s="26" t="s">
        <v>46</v>
      </c>
      <c r="D258" s="25">
        <v>48</v>
      </c>
      <c r="E258" s="24">
        <v>1.0293802273214669E-2</v>
      </c>
    </row>
    <row r="259" spans="2:5" ht="15" customHeight="1" x14ac:dyDescent="0.25">
      <c r="B259" s="80" t="s">
        <v>64</v>
      </c>
      <c r="C259" s="29" t="s">
        <v>0</v>
      </c>
      <c r="D259" s="28">
        <v>27</v>
      </c>
      <c r="E259" s="27">
        <v>5.790263778683251E-3</v>
      </c>
    </row>
    <row r="260" spans="2:5" ht="15" customHeight="1" x14ac:dyDescent="0.25">
      <c r="B260" s="81"/>
      <c r="C260" s="29" t="s">
        <v>105</v>
      </c>
      <c r="D260" s="28">
        <v>11</v>
      </c>
      <c r="E260" s="27">
        <v>2.3589963542783618E-3</v>
      </c>
    </row>
    <row r="261" spans="2:5" ht="15" customHeight="1" x14ac:dyDescent="0.25">
      <c r="B261" s="81"/>
      <c r="C261" s="29" t="s">
        <v>102</v>
      </c>
      <c r="D261" s="28">
        <v>7</v>
      </c>
      <c r="E261" s="27">
        <v>1.5011794981771391E-3</v>
      </c>
    </row>
    <row r="262" spans="2:5" ht="15" customHeight="1" x14ac:dyDescent="0.25">
      <c r="B262" s="81"/>
      <c r="C262" s="29" t="s">
        <v>104</v>
      </c>
      <c r="D262" s="28">
        <v>1</v>
      </c>
      <c r="E262" s="27">
        <v>2.1445421402530561E-4</v>
      </c>
    </row>
    <row r="263" spans="2:5" ht="15" customHeight="1" x14ac:dyDescent="0.25">
      <c r="B263" s="81"/>
      <c r="C263" s="29" t="s">
        <v>99</v>
      </c>
      <c r="D263" s="28">
        <v>1</v>
      </c>
      <c r="E263" s="27">
        <v>2.1445421402530561E-4</v>
      </c>
    </row>
    <row r="264" spans="2:5" ht="15" customHeight="1" x14ac:dyDescent="0.25">
      <c r="B264" s="82"/>
      <c r="C264" s="26" t="s">
        <v>46</v>
      </c>
      <c r="D264" s="25">
        <v>47</v>
      </c>
      <c r="E264" s="24">
        <v>1.0079348059189364E-2</v>
      </c>
    </row>
    <row r="265" spans="2:5" ht="15" customHeight="1" x14ac:dyDescent="0.25">
      <c r="B265" s="80" t="s">
        <v>66</v>
      </c>
      <c r="C265" s="29" t="s">
        <v>0</v>
      </c>
      <c r="D265" s="28">
        <v>33</v>
      </c>
      <c r="E265" s="27">
        <v>7.0769890628350849E-3</v>
      </c>
    </row>
    <row r="266" spans="2:5" ht="15" customHeight="1" x14ac:dyDescent="0.25">
      <c r="B266" s="81"/>
      <c r="C266" s="29" t="s">
        <v>101</v>
      </c>
      <c r="D266" s="28">
        <v>2</v>
      </c>
      <c r="E266" s="27">
        <v>4.2890842805061121E-4</v>
      </c>
    </row>
    <row r="267" spans="2:5" ht="15" customHeight="1" x14ac:dyDescent="0.25">
      <c r="B267" s="81"/>
      <c r="C267" s="29" t="s">
        <v>105</v>
      </c>
      <c r="D267" s="28">
        <v>8</v>
      </c>
      <c r="E267" s="27">
        <v>1.7156337122024449E-3</v>
      </c>
    </row>
    <row r="268" spans="2:5" ht="15" customHeight="1" x14ac:dyDescent="0.25">
      <c r="B268" s="81"/>
      <c r="C268" s="29" t="s">
        <v>102</v>
      </c>
      <c r="D268" s="28">
        <v>3</v>
      </c>
      <c r="E268" s="27">
        <v>6.4336264207591682E-4</v>
      </c>
    </row>
    <row r="269" spans="2:5" ht="15" customHeight="1" x14ac:dyDescent="0.25">
      <c r="B269" s="81"/>
      <c r="C269" s="29" t="s">
        <v>103</v>
      </c>
      <c r="D269" s="28">
        <v>6</v>
      </c>
      <c r="E269" s="27">
        <v>1.2867252841518336E-3</v>
      </c>
    </row>
    <row r="270" spans="2:5" ht="15" customHeight="1" x14ac:dyDescent="0.25">
      <c r="B270" s="81"/>
      <c r="C270" s="29" t="s">
        <v>104</v>
      </c>
      <c r="D270" s="28">
        <v>14</v>
      </c>
      <c r="E270" s="27">
        <v>3.0023589963542783E-3</v>
      </c>
    </row>
    <row r="271" spans="2:5" ht="15" customHeight="1" x14ac:dyDescent="0.25">
      <c r="B271" s="81"/>
      <c r="C271" s="29" t="s">
        <v>99</v>
      </c>
      <c r="D271" s="28">
        <v>1</v>
      </c>
      <c r="E271" s="27">
        <v>2.1445421402530561E-4</v>
      </c>
    </row>
    <row r="272" spans="2:5" ht="15" customHeight="1" x14ac:dyDescent="0.25">
      <c r="B272" s="81"/>
      <c r="C272" s="29" t="s">
        <v>100</v>
      </c>
      <c r="D272" s="28">
        <v>13</v>
      </c>
      <c r="E272" s="27">
        <v>2.7879047823289728E-3</v>
      </c>
    </row>
    <row r="273" spans="2:5" ht="15" customHeight="1" x14ac:dyDescent="0.25">
      <c r="B273" s="82"/>
      <c r="C273" s="26" t="s">
        <v>46</v>
      </c>
      <c r="D273" s="25">
        <v>80</v>
      </c>
      <c r="E273" s="24">
        <v>1.7156337122024447E-2</v>
      </c>
    </row>
    <row r="274" spans="2:5" ht="15" customHeight="1" x14ac:dyDescent="0.25">
      <c r="B274" s="80" t="s">
        <v>74</v>
      </c>
      <c r="C274" s="29" t="s">
        <v>0</v>
      </c>
      <c r="D274" s="28">
        <v>44</v>
      </c>
      <c r="E274" s="27">
        <v>9.4359854171134471E-3</v>
      </c>
    </row>
    <row r="275" spans="2:5" ht="15" customHeight="1" x14ac:dyDescent="0.25">
      <c r="B275" s="81"/>
      <c r="C275" s="29" t="s">
        <v>101</v>
      </c>
      <c r="D275" s="28">
        <v>3</v>
      </c>
      <c r="E275" s="27">
        <v>6.4336264207591682E-4</v>
      </c>
    </row>
    <row r="276" spans="2:5" ht="15" customHeight="1" x14ac:dyDescent="0.25">
      <c r="B276" s="81"/>
      <c r="C276" s="29" t="s">
        <v>105</v>
      </c>
      <c r="D276" s="28">
        <v>6</v>
      </c>
      <c r="E276" s="27">
        <v>1.2867252841518336E-3</v>
      </c>
    </row>
    <row r="277" spans="2:5" ht="15" customHeight="1" x14ac:dyDescent="0.25">
      <c r="B277" s="81"/>
      <c r="C277" s="29" t="s">
        <v>102</v>
      </c>
      <c r="D277" s="28">
        <v>1</v>
      </c>
      <c r="E277" s="27">
        <v>2.1445421402530561E-4</v>
      </c>
    </row>
    <row r="278" spans="2:5" ht="15" customHeight="1" x14ac:dyDescent="0.25">
      <c r="B278" s="81"/>
      <c r="C278" s="29" t="s">
        <v>103</v>
      </c>
      <c r="D278" s="28">
        <v>3</v>
      </c>
      <c r="E278" s="27">
        <v>6.4336264207591682E-4</v>
      </c>
    </row>
    <row r="279" spans="2:5" ht="15" customHeight="1" x14ac:dyDescent="0.25">
      <c r="B279" s="81"/>
      <c r="C279" s="29" t="s">
        <v>104</v>
      </c>
      <c r="D279" s="28">
        <v>8</v>
      </c>
      <c r="E279" s="27">
        <v>1.7156337122024449E-3</v>
      </c>
    </row>
    <row r="280" spans="2:5" ht="15" customHeight="1" x14ac:dyDescent="0.25">
      <c r="B280" s="81"/>
      <c r="C280" s="29" t="s">
        <v>99</v>
      </c>
      <c r="D280" s="28">
        <v>1</v>
      </c>
      <c r="E280" s="27">
        <v>2.1445421402530561E-4</v>
      </c>
    </row>
    <row r="281" spans="2:5" ht="15" customHeight="1" x14ac:dyDescent="0.25">
      <c r="B281" s="81"/>
      <c r="C281" s="29" t="s">
        <v>100</v>
      </c>
      <c r="D281" s="28">
        <v>2</v>
      </c>
      <c r="E281" s="27">
        <v>4.2890842805061121E-4</v>
      </c>
    </row>
    <row r="282" spans="2:5" ht="15" customHeight="1" x14ac:dyDescent="0.25">
      <c r="B282" s="82"/>
      <c r="C282" s="26" t="s">
        <v>46</v>
      </c>
      <c r="D282" s="25">
        <v>68</v>
      </c>
      <c r="E282" s="24">
        <v>1.4582886553720781E-2</v>
      </c>
    </row>
    <row r="283" spans="2:5" ht="15" customHeight="1" x14ac:dyDescent="0.25">
      <c r="B283" s="80" t="s">
        <v>86</v>
      </c>
      <c r="C283" s="29" t="s">
        <v>0</v>
      </c>
      <c r="D283" s="28">
        <v>121</v>
      </c>
      <c r="E283" s="27">
        <v>2.5948959897061977E-2</v>
      </c>
    </row>
    <row r="284" spans="2:5" ht="15" customHeight="1" x14ac:dyDescent="0.25">
      <c r="B284" s="81"/>
      <c r="C284" s="29" t="s">
        <v>101</v>
      </c>
      <c r="D284" s="28">
        <v>12</v>
      </c>
      <c r="E284" s="27">
        <v>2.5734505683036673E-3</v>
      </c>
    </row>
    <row r="285" spans="2:5" ht="15" customHeight="1" x14ac:dyDescent="0.25">
      <c r="B285" s="81"/>
      <c r="C285" s="29" t="s">
        <v>105</v>
      </c>
      <c r="D285" s="28">
        <v>18</v>
      </c>
      <c r="E285" s="27">
        <v>3.8601758524555007E-3</v>
      </c>
    </row>
    <row r="286" spans="2:5" ht="15" customHeight="1" x14ac:dyDescent="0.25">
      <c r="B286" s="81"/>
      <c r="C286" s="29" t="s">
        <v>98</v>
      </c>
      <c r="D286" s="28">
        <v>5</v>
      </c>
      <c r="E286" s="27">
        <v>1.0722710701265279E-3</v>
      </c>
    </row>
    <row r="287" spans="2:5" ht="15" customHeight="1" x14ac:dyDescent="0.25">
      <c r="B287" s="81"/>
      <c r="C287" s="29" t="s">
        <v>96</v>
      </c>
      <c r="D287" s="28">
        <v>2</v>
      </c>
      <c r="E287" s="27">
        <v>4.2890842805061121E-4</v>
      </c>
    </row>
    <row r="288" spans="2:5" ht="15" customHeight="1" x14ac:dyDescent="0.25">
      <c r="B288" s="81"/>
      <c r="C288" s="29" t="s">
        <v>102</v>
      </c>
      <c r="D288" s="28">
        <v>12</v>
      </c>
      <c r="E288" s="27">
        <v>2.5734505683036673E-3</v>
      </c>
    </row>
    <row r="289" spans="2:5" ht="15" customHeight="1" x14ac:dyDescent="0.25">
      <c r="B289" s="81"/>
      <c r="C289" s="29" t="s">
        <v>103</v>
      </c>
      <c r="D289" s="28">
        <v>10</v>
      </c>
      <c r="E289" s="27">
        <v>2.1445421402530558E-3</v>
      </c>
    </row>
    <row r="290" spans="2:5" ht="15" customHeight="1" x14ac:dyDescent="0.25">
      <c r="B290" s="81"/>
      <c r="C290" s="29" t="s">
        <v>104</v>
      </c>
      <c r="D290" s="28">
        <v>10</v>
      </c>
      <c r="E290" s="27">
        <v>2.1445421402530558E-3</v>
      </c>
    </row>
    <row r="291" spans="2:5" ht="15" customHeight="1" x14ac:dyDescent="0.25">
      <c r="B291" s="81"/>
      <c r="C291" s="29" t="s">
        <v>99</v>
      </c>
      <c r="D291" s="28">
        <v>1</v>
      </c>
      <c r="E291" s="27">
        <v>2.1445421402530561E-4</v>
      </c>
    </row>
    <row r="292" spans="2:5" ht="15" customHeight="1" x14ac:dyDescent="0.25">
      <c r="B292" s="81"/>
      <c r="C292" s="29" t="s">
        <v>97</v>
      </c>
      <c r="D292" s="28">
        <v>2</v>
      </c>
      <c r="E292" s="27">
        <v>4.2890842805061121E-4</v>
      </c>
    </row>
    <row r="293" spans="2:5" ht="15" customHeight="1" x14ac:dyDescent="0.25">
      <c r="B293" s="81"/>
      <c r="C293" s="29" t="s">
        <v>100</v>
      </c>
      <c r="D293" s="28">
        <v>6</v>
      </c>
      <c r="E293" s="27">
        <v>1.2867252841518336E-3</v>
      </c>
    </row>
    <row r="294" spans="2:5" ht="15" customHeight="1" x14ac:dyDescent="0.25">
      <c r="B294" s="82"/>
      <c r="C294" s="26" t="s">
        <v>46</v>
      </c>
      <c r="D294" s="25">
        <v>199</v>
      </c>
      <c r="E294" s="24">
        <v>4.2676388591035813E-2</v>
      </c>
    </row>
    <row r="295" spans="2:5" ht="15" customHeight="1" x14ac:dyDescent="0.25">
      <c r="B295" s="80" t="s">
        <v>70</v>
      </c>
      <c r="C295" s="29" t="s">
        <v>0</v>
      </c>
      <c r="D295" s="28">
        <v>15</v>
      </c>
      <c r="E295" s="27">
        <v>3.2168132103795838E-3</v>
      </c>
    </row>
    <row r="296" spans="2:5" ht="15" customHeight="1" x14ac:dyDescent="0.25">
      <c r="B296" s="81"/>
      <c r="C296" s="29" t="s">
        <v>98</v>
      </c>
      <c r="D296" s="28">
        <v>1</v>
      </c>
      <c r="E296" s="27">
        <v>2.1445421402530561E-4</v>
      </c>
    </row>
    <row r="297" spans="2:5" ht="15" customHeight="1" x14ac:dyDescent="0.25">
      <c r="B297" s="81"/>
      <c r="C297" s="29" t="s">
        <v>102</v>
      </c>
      <c r="D297" s="28">
        <v>3</v>
      </c>
      <c r="E297" s="27">
        <v>6.4336264207591682E-4</v>
      </c>
    </row>
    <row r="298" spans="2:5" ht="15" customHeight="1" x14ac:dyDescent="0.25">
      <c r="B298" s="81"/>
      <c r="C298" s="29" t="s">
        <v>103</v>
      </c>
      <c r="D298" s="28">
        <v>4</v>
      </c>
      <c r="E298" s="27">
        <v>8.5781685610122243E-4</v>
      </c>
    </row>
    <row r="299" spans="2:5" ht="15" customHeight="1" x14ac:dyDescent="0.25">
      <c r="B299" s="81"/>
      <c r="C299" s="29" t="s">
        <v>104</v>
      </c>
      <c r="D299" s="28">
        <v>3</v>
      </c>
      <c r="E299" s="27">
        <v>6.4336264207591682E-4</v>
      </c>
    </row>
    <row r="300" spans="2:5" ht="15" customHeight="1" x14ac:dyDescent="0.25">
      <c r="B300" s="81"/>
      <c r="C300" s="29" t="s">
        <v>100</v>
      </c>
      <c r="D300" s="28">
        <v>1</v>
      </c>
      <c r="E300" s="27">
        <v>2.1445421402530561E-4</v>
      </c>
    </row>
    <row r="301" spans="2:5" ht="15" customHeight="1" x14ac:dyDescent="0.25">
      <c r="B301" s="82"/>
      <c r="C301" s="26" t="s">
        <v>46</v>
      </c>
      <c r="D301" s="25">
        <v>27</v>
      </c>
      <c r="E301" s="24">
        <v>5.790263778683251E-3</v>
      </c>
    </row>
    <row r="302" spans="2:5" ht="15" customHeight="1" x14ac:dyDescent="0.25">
      <c r="B302" s="80" t="s">
        <v>83</v>
      </c>
      <c r="C302" s="29" t="s">
        <v>0</v>
      </c>
      <c r="D302" s="28">
        <v>38</v>
      </c>
      <c r="E302" s="27">
        <v>8.1492601329616124E-3</v>
      </c>
    </row>
    <row r="303" spans="2:5" ht="15" customHeight="1" x14ac:dyDescent="0.25">
      <c r="B303" s="81"/>
      <c r="C303" s="29" t="s">
        <v>101</v>
      </c>
      <c r="D303" s="28">
        <v>5</v>
      </c>
      <c r="E303" s="27">
        <v>1.0722710701265279E-3</v>
      </c>
    </row>
    <row r="304" spans="2:5" ht="15" customHeight="1" x14ac:dyDescent="0.25">
      <c r="B304" s="81"/>
      <c r="C304" s="29" t="s">
        <v>105</v>
      </c>
      <c r="D304" s="28">
        <v>5</v>
      </c>
      <c r="E304" s="27">
        <v>1.0722710701265279E-3</v>
      </c>
    </row>
    <row r="305" spans="2:5" ht="15" customHeight="1" x14ac:dyDescent="0.25">
      <c r="B305" s="81"/>
      <c r="C305" s="29" t="s">
        <v>102</v>
      </c>
      <c r="D305" s="28">
        <v>2</v>
      </c>
      <c r="E305" s="27">
        <v>4.2890842805061121E-4</v>
      </c>
    </row>
    <row r="306" spans="2:5" ht="15" customHeight="1" x14ac:dyDescent="0.25">
      <c r="B306" s="81"/>
      <c r="C306" s="29" t="s">
        <v>103</v>
      </c>
      <c r="D306" s="28">
        <v>1</v>
      </c>
      <c r="E306" s="27">
        <v>2.1445421402530561E-4</v>
      </c>
    </row>
    <row r="307" spans="2:5" ht="15" customHeight="1" x14ac:dyDescent="0.25">
      <c r="B307" s="81"/>
      <c r="C307" s="29" t="s">
        <v>104</v>
      </c>
      <c r="D307" s="28">
        <v>5</v>
      </c>
      <c r="E307" s="27">
        <v>1.0722710701265279E-3</v>
      </c>
    </row>
    <row r="308" spans="2:5" ht="15" customHeight="1" x14ac:dyDescent="0.25">
      <c r="B308" s="82"/>
      <c r="C308" s="26" t="s">
        <v>46</v>
      </c>
      <c r="D308" s="25">
        <v>56</v>
      </c>
      <c r="E308" s="24">
        <v>1.2009435985417113E-2</v>
      </c>
    </row>
    <row r="309" spans="2:5" ht="15" customHeight="1" x14ac:dyDescent="0.25">
      <c r="B309" s="80" t="s">
        <v>84</v>
      </c>
      <c r="C309" s="29" t="s">
        <v>0</v>
      </c>
      <c r="D309" s="28">
        <v>35</v>
      </c>
      <c r="E309" s="27">
        <v>7.5058974908856959E-3</v>
      </c>
    </row>
    <row r="310" spans="2:5" ht="15" customHeight="1" x14ac:dyDescent="0.25">
      <c r="B310" s="81"/>
      <c r="C310" s="29" t="s">
        <v>101</v>
      </c>
      <c r="D310" s="28">
        <v>4</v>
      </c>
      <c r="E310" s="27">
        <v>8.5781685610122243E-4</v>
      </c>
    </row>
    <row r="311" spans="2:5" ht="15" customHeight="1" x14ac:dyDescent="0.25">
      <c r="B311" s="81"/>
      <c r="C311" s="29" t="s">
        <v>105</v>
      </c>
      <c r="D311" s="28">
        <v>14</v>
      </c>
      <c r="E311" s="27">
        <v>3.0023589963542783E-3</v>
      </c>
    </row>
    <row r="312" spans="2:5" ht="15" customHeight="1" x14ac:dyDescent="0.25">
      <c r="B312" s="81"/>
      <c r="C312" s="29" t="s">
        <v>98</v>
      </c>
      <c r="D312" s="28">
        <v>6</v>
      </c>
      <c r="E312" s="27">
        <v>1.2867252841518336E-3</v>
      </c>
    </row>
    <row r="313" spans="2:5" ht="15" customHeight="1" x14ac:dyDescent="0.25">
      <c r="B313" s="81"/>
      <c r="C313" s="29" t="s">
        <v>102</v>
      </c>
      <c r="D313" s="28">
        <v>2</v>
      </c>
      <c r="E313" s="27">
        <v>4.2890842805061121E-4</v>
      </c>
    </row>
    <row r="314" spans="2:5" ht="15" customHeight="1" x14ac:dyDescent="0.25">
      <c r="B314" s="81"/>
      <c r="C314" s="29" t="s">
        <v>103</v>
      </c>
      <c r="D314" s="28">
        <v>3</v>
      </c>
      <c r="E314" s="27">
        <v>6.4336264207591682E-4</v>
      </c>
    </row>
    <row r="315" spans="2:5" ht="15" customHeight="1" x14ac:dyDescent="0.25">
      <c r="B315" s="81"/>
      <c r="C315" s="29" t="s">
        <v>104</v>
      </c>
      <c r="D315" s="28">
        <v>4</v>
      </c>
      <c r="E315" s="27">
        <v>8.5781685610122243E-4</v>
      </c>
    </row>
    <row r="316" spans="2:5" ht="15" customHeight="1" x14ac:dyDescent="0.25">
      <c r="B316" s="81"/>
      <c r="C316" s="29" t="s">
        <v>100</v>
      </c>
      <c r="D316" s="28">
        <v>2</v>
      </c>
      <c r="E316" s="27">
        <v>4.2890842805061121E-4</v>
      </c>
    </row>
    <row r="317" spans="2:5" ht="15" customHeight="1" x14ac:dyDescent="0.25">
      <c r="B317" s="82"/>
      <c r="C317" s="26" t="s">
        <v>46</v>
      </c>
      <c r="D317" s="25">
        <v>70</v>
      </c>
      <c r="E317" s="24">
        <v>1.5011794981771392E-2</v>
      </c>
    </row>
    <row r="318" spans="2:5" ht="15" customHeight="1" x14ac:dyDescent="0.25">
      <c r="B318" s="80" t="s">
        <v>85</v>
      </c>
      <c r="C318" s="29" t="s">
        <v>0</v>
      </c>
      <c r="D318" s="28">
        <v>58</v>
      </c>
      <c r="E318" s="27">
        <v>1.2438344413467724E-2</v>
      </c>
    </row>
    <row r="319" spans="2:5" ht="15" customHeight="1" x14ac:dyDescent="0.25">
      <c r="B319" s="81"/>
      <c r="C319" s="29" t="s">
        <v>101</v>
      </c>
      <c r="D319" s="28">
        <v>2</v>
      </c>
      <c r="E319" s="27">
        <v>4.2890842805061121E-4</v>
      </c>
    </row>
    <row r="320" spans="2:5" ht="15" customHeight="1" x14ac:dyDescent="0.25">
      <c r="B320" s="81"/>
      <c r="C320" s="29" t="s">
        <v>105</v>
      </c>
      <c r="D320" s="28">
        <v>12</v>
      </c>
      <c r="E320" s="27">
        <v>2.5734505683036673E-3</v>
      </c>
    </row>
    <row r="321" spans="2:5" ht="15" customHeight="1" x14ac:dyDescent="0.25">
      <c r="B321" s="81"/>
      <c r="C321" s="29" t="s">
        <v>98</v>
      </c>
      <c r="D321" s="28">
        <v>1</v>
      </c>
      <c r="E321" s="27">
        <v>2.1445421402530561E-4</v>
      </c>
    </row>
    <row r="322" spans="2:5" ht="15" customHeight="1" x14ac:dyDescent="0.25">
      <c r="B322" s="81"/>
      <c r="C322" s="29" t="s">
        <v>102</v>
      </c>
      <c r="D322" s="28">
        <v>4</v>
      </c>
      <c r="E322" s="27">
        <v>8.5781685610122243E-4</v>
      </c>
    </row>
    <row r="323" spans="2:5" ht="15" customHeight="1" x14ac:dyDescent="0.25">
      <c r="B323" s="81"/>
      <c r="C323" s="29" t="s">
        <v>103</v>
      </c>
      <c r="D323" s="28">
        <v>1</v>
      </c>
      <c r="E323" s="27">
        <v>2.1445421402530561E-4</v>
      </c>
    </row>
    <row r="324" spans="2:5" ht="15" customHeight="1" x14ac:dyDescent="0.25">
      <c r="B324" s="81"/>
      <c r="C324" s="29" t="s">
        <v>104</v>
      </c>
      <c r="D324" s="28">
        <v>3</v>
      </c>
      <c r="E324" s="27">
        <v>6.4336264207591682E-4</v>
      </c>
    </row>
    <row r="325" spans="2:5" ht="15" customHeight="1" x14ac:dyDescent="0.25">
      <c r="B325" s="81"/>
      <c r="C325" s="29" t="s">
        <v>99</v>
      </c>
      <c r="D325" s="28">
        <v>1</v>
      </c>
      <c r="E325" s="27">
        <v>2.1445421402530561E-4</v>
      </c>
    </row>
    <row r="326" spans="2:5" ht="15" customHeight="1" x14ac:dyDescent="0.25">
      <c r="B326" s="81"/>
      <c r="C326" s="29" t="s">
        <v>100</v>
      </c>
      <c r="D326" s="28">
        <v>1</v>
      </c>
      <c r="E326" s="27">
        <v>2.1445421402530561E-4</v>
      </c>
    </row>
    <row r="327" spans="2:5" ht="15" customHeight="1" x14ac:dyDescent="0.25">
      <c r="B327" s="82"/>
      <c r="C327" s="26" t="s">
        <v>46</v>
      </c>
      <c r="D327" s="25">
        <v>83</v>
      </c>
      <c r="E327" s="24">
        <v>1.7799699764100365E-2</v>
      </c>
    </row>
    <row r="328" spans="2:5" ht="15" customHeight="1" x14ac:dyDescent="0.25">
      <c r="B328" s="80" t="s">
        <v>63</v>
      </c>
      <c r="C328" s="29" t="s">
        <v>0</v>
      </c>
      <c r="D328" s="28">
        <v>17</v>
      </c>
      <c r="E328" s="27">
        <v>3.6457216384301952E-3</v>
      </c>
    </row>
    <row r="329" spans="2:5" ht="15" customHeight="1" x14ac:dyDescent="0.25">
      <c r="B329" s="81"/>
      <c r="C329" s="29" t="s">
        <v>102</v>
      </c>
      <c r="D329" s="28">
        <v>4</v>
      </c>
      <c r="E329" s="27">
        <v>8.5781685610122243E-4</v>
      </c>
    </row>
    <row r="330" spans="2:5" ht="15" customHeight="1" x14ac:dyDescent="0.25">
      <c r="B330" s="81"/>
      <c r="C330" s="29" t="s">
        <v>103</v>
      </c>
      <c r="D330" s="28">
        <v>2</v>
      </c>
      <c r="E330" s="27">
        <v>4.2890842805061121E-4</v>
      </c>
    </row>
    <row r="331" spans="2:5" ht="15" customHeight="1" x14ac:dyDescent="0.25">
      <c r="B331" s="81"/>
      <c r="C331" s="29" t="s">
        <v>104</v>
      </c>
      <c r="D331" s="28">
        <v>1</v>
      </c>
      <c r="E331" s="27">
        <v>2.1445421402530561E-4</v>
      </c>
    </row>
    <row r="332" spans="2:5" ht="15" customHeight="1" x14ac:dyDescent="0.25">
      <c r="B332" s="81"/>
      <c r="C332" s="29" t="s">
        <v>97</v>
      </c>
      <c r="D332" s="28">
        <v>1</v>
      </c>
      <c r="E332" s="27">
        <v>2.1445421402530561E-4</v>
      </c>
    </row>
    <row r="333" spans="2:5" ht="15" customHeight="1" x14ac:dyDescent="0.25">
      <c r="B333" s="82"/>
      <c r="C333" s="26" t="s">
        <v>46</v>
      </c>
      <c r="D333" s="25">
        <v>25</v>
      </c>
      <c r="E333" s="24">
        <v>5.3613553506326401E-3</v>
      </c>
    </row>
    <row r="334" spans="2:5" ht="15" customHeight="1" x14ac:dyDescent="0.25">
      <c r="B334" s="80" t="s">
        <v>54</v>
      </c>
      <c r="C334" s="29" t="s">
        <v>0</v>
      </c>
      <c r="D334" s="28">
        <v>2</v>
      </c>
      <c r="E334" s="27">
        <v>4.2890842805061121E-4</v>
      </c>
    </row>
    <row r="335" spans="2:5" ht="15" customHeight="1" x14ac:dyDescent="0.25">
      <c r="B335" s="81"/>
      <c r="C335" s="29" t="s">
        <v>96</v>
      </c>
      <c r="D335" s="28">
        <v>1</v>
      </c>
      <c r="E335" s="27">
        <v>2.1445421402530561E-4</v>
      </c>
    </row>
    <row r="336" spans="2:5" ht="15" customHeight="1" x14ac:dyDescent="0.25">
      <c r="B336" s="82"/>
      <c r="C336" s="26" t="s">
        <v>46</v>
      </c>
      <c r="D336" s="25">
        <v>3</v>
      </c>
      <c r="E336" s="24">
        <v>6.4336264207591682E-4</v>
      </c>
    </row>
    <row r="337" spans="2:5" ht="15" customHeight="1" x14ac:dyDescent="0.25">
      <c r="B337" s="80" t="s">
        <v>17</v>
      </c>
      <c r="C337" s="29" t="s">
        <v>0</v>
      </c>
      <c r="D337" s="28">
        <v>8</v>
      </c>
      <c r="E337" s="27">
        <v>1.7156337122024449E-3</v>
      </c>
    </row>
    <row r="338" spans="2:5" ht="15" customHeight="1" x14ac:dyDescent="0.25">
      <c r="B338" s="81"/>
      <c r="C338" s="29" t="s">
        <v>101</v>
      </c>
      <c r="D338" s="28">
        <v>1</v>
      </c>
      <c r="E338" s="27">
        <v>2.1445421402530561E-4</v>
      </c>
    </row>
    <row r="339" spans="2:5" ht="15" customHeight="1" x14ac:dyDescent="0.25">
      <c r="B339" s="81"/>
      <c r="C339" s="29" t="s">
        <v>105</v>
      </c>
      <c r="D339" s="28">
        <v>3</v>
      </c>
      <c r="E339" s="27">
        <v>6.4336264207591682E-4</v>
      </c>
    </row>
    <row r="340" spans="2:5" ht="15" customHeight="1" x14ac:dyDescent="0.25">
      <c r="B340" s="81"/>
      <c r="C340" s="29" t="s">
        <v>96</v>
      </c>
      <c r="D340" s="28">
        <v>2</v>
      </c>
      <c r="E340" s="27">
        <v>4.2890842805061121E-4</v>
      </c>
    </row>
    <row r="341" spans="2:5" ht="15" customHeight="1" x14ac:dyDescent="0.25">
      <c r="B341" s="81"/>
      <c r="C341" s="29" t="s">
        <v>102</v>
      </c>
      <c r="D341" s="28">
        <v>3</v>
      </c>
      <c r="E341" s="27">
        <v>6.4336264207591682E-4</v>
      </c>
    </row>
    <row r="342" spans="2:5" ht="15" customHeight="1" x14ac:dyDescent="0.25">
      <c r="B342" s="81"/>
      <c r="C342" s="29" t="s">
        <v>104</v>
      </c>
      <c r="D342" s="28">
        <v>2</v>
      </c>
      <c r="E342" s="27">
        <v>4.2890842805061121E-4</v>
      </c>
    </row>
    <row r="343" spans="2:5" ht="15" customHeight="1" x14ac:dyDescent="0.25">
      <c r="B343" s="82"/>
      <c r="C343" s="26" t="s">
        <v>46</v>
      </c>
      <c r="D343" s="25">
        <v>19</v>
      </c>
      <c r="E343" s="24">
        <v>4.0746300664808062E-3</v>
      </c>
    </row>
    <row r="344" spans="2:5" ht="15" customHeight="1" x14ac:dyDescent="0.25">
      <c r="B344" s="84" t="s">
        <v>142</v>
      </c>
      <c r="C344" s="85"/>
      <c r="D344" s="23">
        <v>4663</v>
      </c>
      <c r="E344" s="22">
        <v>1</v>
      </c>
    </row>
    <row r="346" spans="2:5" ht="15" customHeight="1" x14ac:dyDescent="0.25">
      <c r="B346" s="17" t="s">
        <v>199</v>
      </c>
    </row>
    <row r="347" spans="2:5" ht="15" customHeight="1" x14ac:dyDescent="0.25">
      <c r="B347" s="18" t="s">
        <v>47</v>
      </c>
    </row>
    <row r="348" spans="2:5" ht="15" customHeight="1" x14ac:dyDescent="0.25">
      <c r="B348" s="19" t="s">
        <v>48</v>
      </c>
    </row>
    <row r="349" spans="2:5" ht="15" customHeight="1" x14ac:dyDescent="0.25">
      <c r="B349" s="17" t="s">
        <v>49</v>
      </c>
    </row>
    <row r="350" spans="2:5" ht="15" customHeight="1" x14ac:dyDescent="0.25">
      <c r="B350" s="17" t="s">
        <v>200</v>
      </c>
    </row>
  </sheetData>
  <mergeCells count="48">
    <mergeCell ref="B41:B43"/>
    <mergeCell ref="B44:B55"/>
    <mergeCell ref="B56:B67"/>
    <mergeCell ref="B68:B70"/>
    <mergeCell ref="B71:B81"/>
    <mergeCell ref="B10:B15"/>
    <mergeCell ref="B16:B23"/>
    <mergeCell ref="B24:B31"/>
    <mergeCell ref="B32:B38"/>
    <mergeCell ref="B39:B40"/>
    <mergeCell ref="B318:B327"/>
    <mergeCell ref="B328:B333"/>
    <mergeCell ref="B334:B336"/>
    <mergeCell ref="B337:B343"/>
    <mergeCell ref="B344:C344"/>
    <mergeCell ref="B239:B242"/>
    <mergeCell ref="B243:B250"/>
    <mergeCell ref="B251:B258"/>
    <mergeCell ref="B259:B264"/>
    <mergeCell ref="B265:B273"/>
    <mergeCell ref="B274:B282"/>
    <mergeCell ref="B283:B294"/>
    <mergeCell ref="B295:B301"/>
    <mergeCell ref="B302:B308"/>
    <mergeCell ref="B309:B317"/>
    <mergeCell ref="B149:B160"/>
    <mergeCell ref="B161:B171"/>
    <mergeCell ref="B172:B177"/>
    <mergeCell ref="B178:B187"/>
    <mergeCell ref="B188:B194"/>
    <mergeCell ref="B195:B201"/>
    <mergeCell ref="B202:B204"/>
    <mergeCell ref="B205:B210"/>
    <mergeCell ref="B211:B219"/>
    <mergeCell ref="B220:B226"/>
    <mergeCell ref="B227:B232"/>
    <mergeCell ref="B233:B238"/>
    <mergeCell ref="B82:B88"/>
    <mergeCell ref="B89:B90"/>
    <mergeCell ref="B91:B94"/>
    <mergeCell ref="B95:B97"/>
    <mergeCell ref="B98:B107"/>
    <mergeCell ref="B108:B118"/>
    <mergeCell ref="B119:B128"/>
    <mergeCell ref="B129:B137"/>
    <mergeCell ref="B138:B139"/>
    <mergeCell ref="B140:B148"/>
    <mergeCell ref="B7:E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92D050"/>
  </sheetPr>
  <dimension ref="A1:D42"/>
  <sheetViews>
    <sheetView showGridLines="0" zoomScaleNormal="100" zoomScaleSheetLayoutView="115" workbookViewId="0">
      <selection activeCell="D1" sqref="D1"/>
    </sheetView>
  </sheetViews>
  <sheetFormatPr baseColWidth="10" defaultColWidth="11.42578125" defaultRowHeight="15" x14ac:dyDescent="0.25"/>
  <cols>
    <col min="1" max="1" width="9.28515625" style="8" customWidth="1"/>
    <col min="2" max="2" width="21.7109375" style="8" customWidth="1"/>
    <col min="3" max="3" width="17.7109375" style="16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4" s="1" customFormat="1" ht="15" customHeight="1" x14ac:dyDescent="0.2">
      <c r="C1" s="2"/>
    </row>
    <row r="2" spans="1:4" s="1" customFormat="1" ht="15" customHeight="1" x14ac:dyDescent="0.2">
      <c r="C2" s="2"/>
    </row>
    <row r="3" spans="1:4" s="1" customFormat="1" ht="15" customHeight="1" x14ac:dyDescent="0.2">
      <c r="A3" s="1" t="s">
        <v>0</v>
      </c>
      <c r="C3" s="2"/>
    </row>
    <row r="4" spans="1:4" s="1" customFormat="1" ht="30" customHeight="1" x14ac:dyDescent="0.2">
      <c r="C4" s="2"/>
      <c r="D4" s="3"/>
    </row>
    <row r="5" spans="1:4" s="1" customFormat="1" ht="15" customHeight="1" x14ac:dyDescent="0.2">
      <c r="C5" s="2"/>
      <c r="D5" s="3"/>
    </row>
    <row r="6" spans="1:4" s="1" customFormat="1" ht="15" customHeight="1" x14ac:dyDescent="0.2">
      <c r="C6" s="2"/>
      <c r="D6" s="3"/>
    </row>
    <row r="7" spans="1:4" s="1" customFormat="1" ht="15" customHeight="1" x14ac:dyDescent="0.2">
      <c r="B7" s="79" t="s">
        <v>207</v>
      </c>
      <c r="C7" s="79"/>
      <c r="D7" s="79"/>
    </row>
    <row r="8" spans="1:4" s="1" customFormat="1" ht="15" customHeight="1" x14ac:dyDescent="0.2">
      <c r="B8" s="79"/>
      <c r="C8" s="79"/>
      <c r="D8" s="79"/>
    </row>
    <row r="9" spans="1:4" s="1" customFormat="1" ht="33" customHeight="1" x14ac:dyDescent="0.2">
      <c r="B9" s="79"/>
      <c r="C9" s="79"/>
      <c r="D9" s="79"/>
    </row>
    <row r="10" spans="1:4" s="1" customFormat="1" ht="4.5" customHeight="1" x14ac:dyDescent="0.2">
      <c r="B10" s="4"/>
      <c r="C10" s="4"/>
      <c r="D10" s="4"/>
    </row>
    <row r="11" spans="1:4" s="1" customFormat="1" ht="33" customHeight="1" x14ac:dyDescent="0.2">
      <c r="B11" s="5" t="s">
        <v>134</v>
      </c>
      <c r="C11" s="6" t="s">
        <v>133</v>
      </c>
      <c r="D11" s="7" t="s">
        <v>3</v>
      </c>
    </row>
    <row r="12" spans="1:4" x14ac:dyDescent="0.25">
      <c r="B12" s="9" t="s">
        <v>132</v>
      </c>
      <c r="C12" s="10">
        <v>37</v>
      </c>
      <c r="D12" s="11">
        <f t="shared" ref="D12:D36" si="0">C12/$C$36</f>
        <v>7.9348059189363069E-3</v>
      </c>
    </row>
    <row r="13" spans="1:4" x14ac:dyDescent="0.25">
      <c r="B13" s="9" t="s">
        <v>131</v>
      </c>
      <c r="C13" s="10">
        <v>13</v>
      </c>
      <c r="D13" s="11">
        <f t="shared" si="0"/>
        <v>2.7879047823289728E-3</v>
      </c>
    </row>
    <row r="14" spans="1:4" x14ac:dyDescent="0.25">
      <c r="B14" s="9" t="s">
        <v>130</v>
      </c>
      <c r="C14" s="10">
        <v>36</v>
      </c>
      <c r="D14" s="11">
        <f t="shared" si="0"/>
        <v>7.7203517049110014E-3</v>
      </c>
    </row>
    <row r="15" spans="1:4" x14ac:dyDescent="0.25">
      <c r="B15" s="9" t="s">
        <v>129</v>
      </c>
      <c r="C15" s="10">
        <v>68</v>
      </c>
      <c r="D15" s="11">
        <f t="shared" si="0"/>
        <v>1.4582886553720781E-2</v>
      </c>
    </row>
    <row r="16" spans="1:4" x14ac:dyDescent="0.25">
      <c r="B16" s="9" t="s">
        <v>128</v>
      </c>
      <c r="C16" s="10">
        <v>51</v>
      </c>
      <c r="D16" s="11">
        <f t="shared" si="0"/>
        <v>1.0937164915290586E-2</v>
      </c>
    </row>
    <row r="17" spans="2:4" x14ac:dyDescent="0.25">
      <c r="B17" s="9" t="s">
        <v>127</v>
      </c>
      <c r="C17" s="10">
        <v>77</v>
      </c>
      <c r="D17" s="11">
        <f t="shared" si="0"/>
        <v>1.6512974479948532E-2</v>
      </c>
    </row>
    <row r="18" spans="2:4" x14ac:dyDescent="0.25">
      <c r="B18" s="9" t="s">
        <v>126</v>
      </c>
      <c r="C18" s="10">
        <v>317</v>
      </c>
      <c r="D18" s="11">
        <f t="shared" si="0"/>
        <v>6.7981985846021872E-2</v>
      </c>
    </row>
    <row r="19" spans="2:4" ht="27" x14ac:dyDescent="0.25">
      <c r="B19" s="9" t="s">
        <v>125</v>
      </c>
      <c r="C19" s="10">
        <v>671</v>
      </c>
      <c r="D19" s="11">
        <f t="shared" si="0"/>
        <v>0.14389877761098005</v>
      </c>
    </row>
    <row r="20" spans="2:4" x14ac:dyDescent="0.25">
      <c r="B20" s="9" t="s">
        <v>124</v>
      </c>
      <c r="C20" s="10">
        <v>53</v>
      </c>
      <c r="D20" s="11">
        <f t="shared" si="0"/>
        <v>1.1366073343341197E-2</v>
      </c>
    </row>
    <row r="21" spans="2:4" x14ac:dyDescent="0.25">
      <c r="B21" s="9" t="s">
        <v>123</v>
      </c>
      <c r="C21" s="10">
        <v>138</v>
      </c>
      <c r="D21" s="11">
        <f t="shared" si="0"/>
        <v>2.9594681535492173E-2</v>
      </c>
    </row>
    <row r="22" spans="2:4" x14ac:dyDescent="0.25">
      <c r="B22" s="9" t="s">
        <v>122</v>
      </c>
      <c r="C22" s="10">
        <v>192</v>
      </c>
      <c r="D22" s="11">
        <f t="shared" si="0"/>
        <v>4.1175209092858676E-2</v>
      </c>
    </row>
    <row r="23" spans="2:4" ht="27" x14ac:dyDescent="0.25">
      <c r="B23" s="9" t="s">
        <v>121</v>
      </c>
      <c r="C23" s="10">
        <v>1635</v>
      </c>
      <c r="D23" s="11">
        <f t="shared" si="0"/>
        <v>0.35063263993137467</v>
      </c>
    </row>
    <row r="24" spans="2:4" x14ac:dyDescent="0.25">
      <c r="B24" s="9" t="s">
        <v>120</v>
      </c>
      <c r="C24" s="10">
        <v>47</v>
      </c>
      <c r="D24" s="11">
        <f t="shared" si="0"/>
        <v>1.0079348059189364E-2</v>
      </c>
    </row>
    <row r="25" spans="2:4" ht="27" x14ac:dyDescent="0.25">
      <c r="B25" s="9" t="s">
        <v>119</v>
      </c>
      <c r="C25" s="10">
        <v>318</v>
      </c>
      <c r="D25" s="11">
        <f t="shared" si="0"/>
        <v>6.8196440060047187E-2</v>
      </c>
    </row>
    <row r="26" spans="2:4" ht="27" x14ac:dyDescent="0.25">
      <c r="B26" s="9" t="s">
        <v>118</v>
      </c>
      <c r="C26" s="10">
        <v>800</v>
      </c>
      <c r="D26" s="11">
        <f t="shared" si="0"/>
        <v>0.17156337122024448</v>
      </c>
    </row>
    <row r="27" spans="2:4" x14ac:dyDescent="0.25">
      <c r="B27" s="9" t="s">
        <v>117</v>
      </c>
      <c r="C27" s="10">
        <v>17</v>
      </c>
      <c r="D27" s="11">
        <f t="shared" si="0"/>
        <v>3.6457216384301952E-3</v>
      </c>
    </row>
    <row r="28" spans="2:4" x14ac:dyDescent="0.25">
      <c r="B28" s="9" t="s">
        <v>116</v>
      </c>
      <c r="C28" s="10">
        <v>11</v>
      </c>
      <c r="D28" s="11">
        <f t="shared" si="0"/>
        <v>2.3589963542783618E-3</v>
      </c>
    </row>
    <row r="29" spans="2:4" x14ac:dyDescent="0.25">
      <c r="B29" s="9" t="s">
        <v>115</v>
      </c>
      <c r="C29" s="10">
        <v>4</v>
      </c>
      <c r="D29" s="11">
        <f t="shared" si="0"/>
        <v>8.5781685610122243E-4</v>
      </c>
    </row>
    <row r="30" spans="2:4" x14ac:dyDescent="0.25">
      <c r="B30" s="9" t="s">
        <v>114</v>
      </c>
      <c r="C30" s="10">
        <v>3</v>
      </c>
      <c r="D30" s="11">
        <f t="shared" si="0"/>
        <v>6.4336264207591682E-4</v>
      </c>
    </row>
    <row r="31" spans="2:4" x14ac:dyDescent="0.25">
      <c r="B31" s="9" t="s">
        <v>113</v>
      </c>
      <c r="C31" s="10">
        <v>64</v>
      </c>
      <c r="D31" s="11">
        <f t="shared" si="0"/>
        <v>1.3725069697619559E-2</v>
      </c>
    </row>
    <row r="32" spans="2:4" x14ac:dyDescent="0.25">
      <c r="B32" s="9" t="s">
        <v>112</v>
      </c>
      <c r="C32" s="10">
        <v>105</v>
      </c>
      <c r="D32" s="11">
        <f t="shared" si="0"/>
        <v>2.2517692472657089E-2</v>
      </c>
    </row>
    <row r="33" spans="1:4" x14ac:dyDescent="0.25">
      <c r="B33" s="9" t="s">
        <v>111</v>
      </c>
      <c r="C33" s="10">
        <v>4</v>
      </c>
      <c r="D33" s="11">
        <f t="shared" si="0"/>
        <v>8.5781685610122243E-4</v>
      </c>
    </row>
    <row r="34" spans="1:4" x14ac:dyDescent="0.25">
      <c r="B34" s="9" t="s">
        <v>110</v>
      </c>
      <c r="C34" s="10">
        <v>1</v>
      </c>
      <c r="D34" s="11">
        <f t="shared" si="0"/>
        <v>2.1445421402530561E-4</v>
      </c>
    </row>
    <row r="35" spans="1:4" x14ac:dyDescent="0.25">
      <c r="B35" s="9" t="s">
        <v>109</v>
      </c>
      <c r="C35" s="10">
        <v>1</v>
      </c>
      <c r="D35" s="11">
        <f t="shared" si="0"/>
        <v>2.1445421402530561E-4</v>
      </c>
    </row>
    <row r="36" spans="1:4" x14ac:dyDescent="0.25">
      <c r="B36" s="13" t="s">
        <v>46</v>
      </c>
      <c r="C36" s="14">
        <v>4663</v>
      </c>
      <c r="D36" s="15">
        <f t="shared" si="0"/>
        <v>1</v>
      </c>
    </row>
    <row r="38" spans="1:4" x14ac:dyDescent="0.25">
      <c r="A38" s="42" t="s">
        <v>199</v>
      </c>
    </row>
    <row r="39" spans="1:4" x14ac:dyDescent="0.25">
      <c r="A39" s="42" t="s">
        <v>47</v>
      </c>
    </row>
    <row r="40" spans="1:4" x14ac:dyDescent="0.25">
      <c r="A40" s="42" t="s">
        <v>48</v>
      </c>
    </row>
    <row r="41" spans="1:4" x14ac:dyDescent="0.25">
      <c r="A41" s="42" t="s">
        <v>49</v>
      </c>
    </row>
    <row r="42" spans="1:4" x14ac:dyDescent="0.25">
      <c r="A42" s="42" t="s">
        <v>200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92D050"/>
  </sheetPr>
  <dimension ref="A1:E448"/>
  <sheetViews>
    <sheetView zoomScale="110" zoomScaleNormal="110" zoomScaleSheetLayoutView="85" workbookViewId="0">
      <selection activeCell="F1" sqref="F1"/>
    </sheetView>
  </sheetViews>
  <sheetFormatPr baseColWidth="10" defaultColWidth="35" defaultRowHeight="15" customHeight="1" x14ac:dyDescent="0.25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7" customFormat="1" ht="12" customHeight="1" x14ac:dyDescent="0.2">
      <c r="B1" s="41"/>
      <c r="C1" s="40"/>
      <c r="D1" s="40"/>
      <c r="E1" s="40"/>
    </row>
    <row r="2" spans="1:5" s="37" customFormat="1" ht="15" customHeight="1" x14ac:dyDescent="0.2">
      <c r="C2" s="39"/>
    </row>
    <row r="3" spans="1:5" s="37" customFormat="1" ht="15" customHeight="1" x14ac:dyDescent="0.2">
      <c r="C3" s="39"/>
    </row>
    <row r="4" spans="1:5" s="37" customFormat="1" ht="30" customHeight="1" x14ac:dyDescent="0.2">
      <c r="C4" s="39"/>
      <c r="D4" s="38"/>
    </row>
    <row r="5" spans="1:5" s="37" customFormat="1" ht="15" customHeight="1" x14ac:dyDescent="0.2">
      <c r="C5" s="39"/>
      <c r="D5" s="38"/>
    </row>
    <row r="6" spans="1:5" s="33" customFormat="1" ht="24" customHeight="1" x14ac:dyDescent="0.2">
      <c r="B6" s="36"/>
      <c r="C6" s="35"/>
      <c r="D6" s="35"/>
      <c r="E6" s="35"/>
    </row>
    <row r="7" spans="1:5" s="33" customFormat="1" ht="26.25" customHeight="1" x14ac:dyDescent="0.3">
      <c r="A7" s="34"/>
      <c r="B7" s="83"/>
      <c r="C7" s="83"/>
      <c r="D7" s="83"/>
      <c r="E7" s="83"/>
    </row>
    <row r="8" spans="1:5" s="33" customFormat="1" ht="33" customHeight="1" x14ac:dyDescent="0.3">
      <c r="A8" s="34"/>
      <c r="B8" s="83"/>
      <c r="C8" s="83"/>
      <c r="D8" s="83"/>
      <c r="E8" s="83"/>
    </row>
    <row r="9" spans="1:5" s="1" customFormat="1" ht="40.5" customHeight="1" x14ac:dyDescent="0.2">
      <c r="B9" s="30" t="s">
        <v>135</v>
      </c>
      <c r="C9" s="32" t="s">
        <v>108</v>
      </c>
      <c r="D9" s="31" t="s">
        <v>2</v>
      </c>
      <c r="E9" s="30" t="s">
        <v>3</v>
      </c>
    </row>
    <row r="10" spans="1:5" ht="15" customHeight="1" x14ac:dyDescent="0.25">
      <c r="B10" s="80" t="s">
        <v>132</v>
      </c>
      <c r="C10" s="29" t="s">
        <v>4</v>
      </c>
      <c r="D10" s="28">
        <v>8</v>
      </c>
      <c r="E10" s="27">
        <v>1.7156337122024449E-3</v>
      </c>
    </row>
    <row r="11" spans="1:5" ht="15" customHeight="1" x14ac:dyDescent="0.25">
      <c r="B11" s="81"/>
      <c r="C11" s="29" t="s">
        <v>8</v>
      </c>
      <c r="D11" s="28">
        <v>5</v>
      </c>
      <c r="E11" s="27">
        <v>1.0722710701265279E-3</v>
      </c>
    </row>
    <row r="12" spans="1:5" ht="15" customHeight="1" x14ac:dyDescent="0.25">
      <c r="B12" s="81"/>
      <c r="C12" s="29" t="s">
        <v>41</v>
      </c>
      <c r="D12" s="28">
        <v>1</v>
      </c>
      <c r="E12" s="27">
        <v>2.1445421402530561E-4</v>
      </c>
    </row>
    <row r="13" spans="1:5" ht="15" customHeight="1" x14ac:dyDescent="0.25">
      <c r="B13" s="81"/>
      <c r="C13" s="29" t="s">
        <v>10</v>
      </c>
      <c r="D13" s="28">
        <v>1</v>
      </c>
      <c r="E13" s="27">
        <v>2.1445421402530561E-4</v>
      </c>
    </row>
    <row r="14" spans="1:5" ht="15" customHeight="1" x14ac:dyDescent="0.25">
      <c r="B14" s="81"/>
      <c r="C14" s="29" t="s">
        <v>26</v>
      </c>
      <c r="D14" s="28">
        <v>1</v>
      </c>
      <c r="E14" s="27">
        <v>2.1445421402530561E-4</v>
      </c>
    </row>
    <row r="15" spans="1:5" ht="15" customHeight="1" x14ac:dyDescent="0.25">
      <c r="B15" s="81"/>
      <c r="C15" s="29" t="s">
        <v>6</v>
      </c>
      <c r="D15" s="28">
        <v>2</v>
      </c>
      <c r="E15" s="27">
        <v>4.2890842805061121E-4</v>
      </c>
    </row>
    <row r="16" spans="1:5" ht="15" customHeight="1" x14ac:dyDescent="0.25">
      <c r="B16" s="81"/>
      <c r="C16" s="29" t="s">
        <v>9</v>
      </c>
      <c r="D16" s="28">
        <v>3</v>
      </c>
      <c r="E16" s="27">
        <v>6.4336264207591682E-4</v>
      </c>
    </row>
    <row r="17" spans="2:5" ht="15" customHeight="1" x14ac:dyDescent="0.25">
      <c r="B17" s="81"/>
      <c r="C17" s="29" t="s">
        <v>16</v>
      </c>
      <c r="D17" s="28">
        <v>1</v>
      </c>
      <c r="E17" s="27">
        <v>2.1445421402530561E-4</v>
      </c>
    </row>
    <row r="18" spans="2:5" ht="15" customHeight="1" x14ac:dyDescent="0.25">
      <c r="B18" s="81"/>
      <c r="C18" s="29" t="s">
        <v>28</v>
      </c>
      <c r="D18" s="28">
        <v>1</v>
      </c>
      <c r="E18" s="27">
        <v>2.1445421402530561E-4</v>
      </c>
    </row>
    <row r="19" spans="2:5" ht="15" customHeight="1" x14ac:dyDescent="0.25">
      <c r="B19" s="81"/>
      <c r="C19" s="29" t="s">
        <v>30</v>
      </c>
      <c r="D19" s="28">
        <v>1</v>
      </c>
      <c r="E19" s="27">
        <v>2.1445421402530561E-4</v>
      </c>
    </row>
    <row r="20" spans="2:5" ht="15" customHeight="1" x14ac:dyDescent="0.25">
      <c r="B20" s="81"/>
      <c r="C20" s="29" t="s">
        <v>15</v>
      </c>
      <c r="D20" s="28">
        <v>2</v>
      </c>
      <c r="E20" s="27">
        <v>4.2890842805061121E-4</v>
      </c>
    </row>
    <row r="21" spans="2:5" ht="15" customHeight="1" x14ac:dyDescent="0.25">
      <c r="B21" s="81"/>
      <c r="C21" s="29" t="s">
        <v>7</v>
      </c>
      <c r="D21" s="28">
        <v>4</v>
      </c>
      <c r="E21" s="27">
        <v>8.5781685610122243E-4</v>
      </c>
    </row>
    <row r="22" spans="2:5" ht="15" customHeight="1" x14ac:dyDescent="0.25">
      <c r="B22" s="81"/>
      <c r="C22" s="29" t="s">
        <v>5</v>
      </c>
      <c r="D22" s="28">
        <v>6</v>
      </c>
      <c r="E22" s="27">
        <v>1.2867252841518336E-3</v>
      </c>
    </row>
    <row r="23" spans="2:5" ht="15" customHeight="1" x14ac:dyDescent="0.25">
      <c r="B23" s="81"/>
      <c r="C23" s="29" t="s">
        <v>21</v>
      </c>
      <c r="D23" s="28">
        <v>1</v>
      </c>
      <c r="E23" s="27">
        <v>2.1445421402530561E-4</v>
      </c>
    </row>
    <row r="24" spans="2:5" ht="15" customHeight="1" x14ac:dyDescent="0.25">
      <c r="B24" s="82"/>
      <c r="C24" s="26" t="s">
        <v>46</v>
      </c>
      <c r="D24" s="25">
        <v>37</v>
      </c>
      <c r="E24" s="24">
        <v>7.9348059189363069E-3</v>
      </c>
    </row>
    <row r="25" spans="2:5" ht="15" customHeight="1" x14ac:dyDescent="0.25">
      <c r="B25" s="80" t="s">
        <v>131</v>
      </c>
      <c r="C25" s="29" t="s">
        <v>4</v>
      </c>
      <c r="D25" s="28">
        <v>6</v>
      </c>
      <c r="E25" s="27">
        <v>1.2867252841518336E-3</v>
      </c>
    </row>
    <row r="26" spans="2:5" ht="15" customHeight="1" x14ac:dyDescent="0.25">
      <c r="B26" s="81"/>
      <c r="C26" s="29" t="s">
        <v>8</v>
      </c>
      <c r="D26" s="28">
        <v>2</v>
      </c>
      <c r="E26" s="27">
        <v>4.2890842805061121E-4</v>
      </c>
    </row>
    <row r="27" spans="2:5" ht="15" customHeight="1" x14ac:dyDescent="0.25">
      <c r="B27" s="81"/>
      <c r="C27" s="29" t="s">
        <v>10</v>
      </c>
      <c r="D27" s="28">
        <v>1</v>
      </c>
      <c r="E27" s="27">
        <v>2.1445421402530561E-4</v>
      </c>
    </row>
    <row r="28" spans="2:5" ht="15" customHeight="1" x14ac:dyDescent="0.25">
      <c r="B28" s="81"/>
      <c r="C28" s="29" t="s">
        <v>9</v>
      </c>
      <c r="D28" s="28">
        <v>1</v>
      </c>
      <c r="E28" s="27">
        <v>2.1445421402530561E-4</v>
      </c>
    </row>
    <row r="29" spans="2:5" ht="15" customHeight="1" x14ac:dyDescent="0.25">
      <c r="B29" s="81"/>
      <c r="C29" s="29" t="s">
        <v>7</v>
      </c>
      <c r="D29" s="28">
        <v>1</v>
      </c>
      <c r="E29" s="27">
        <v>2.1445421402530561E-4</v>
      </c>
    </row>
    <row r="30" spans="2:5" ht="15" customHeight="1" x14ac:dyDescent="0.25">
      <c r="B30" s="81"/>
      <c r="C30" s="29" t="s">
        <v>5</v>
      </c>
      <c r="D30" s="28">
        <v>2</v>
      </c>
      <c r="E30" s="27">
        <v>4.2890842805061121E-4</v>
      </c>
    </row>
    <row r="31" spans="2:5" ht="15" customHeight="1" x14ac:dyDescent="0.25">
      <c r="B31" s="82"/>
      <c r="C31" s="26" t="s">
        <v>46</v>
      </c>
      <c r="D31" s="25">
        <v>13</v>
      </c>
      <c r="E31" s="24">
        <v>2.7879047823289728E-3</v>
      </c>
    </row>
    <row r="32" spans="2:5" ht="15" customHeight="1" x14ac:dyDescent="0.25">
      <c r="B32" s="80" t="s">
        <v>130</v>
      </c>
      <c r="C32" s="29" t="s">
        <v>4</v>
      </c>
      <c r="D32" s="28">
        <v>13</v>
      </c>
      <c r="E32" s="27">
        <v>2.7879047823289728E-3</v>
      </c>
    </row>
    <row r="33" spans="2:5" ht="15" customHeight="1" x14ac:dyDescent="0.25">
      <c r="B33" s="81"/>
      <c r="C33" s="29" t="s">
        <v>8</v>
      </c>
      <c r="D33" s="28">
        <v>2</v>
      </c>
      <c r="E33" s="27">
        <v>4.2890842805061121E-4</v>
      </c>
    </row>
    <row r="34" spans="2:5" ht="15" customHeight="1" x14ac:dyDescent="0.25">
      <c r="B34" s="81"/>
      <c r="C34" s="29" t="s">
        <v>10</v>
      </c>
      <c r="D34" s="28">
        <v>2</v>
      </c>
      <c r="E34" s="27">
        <v>4.2890842805061121E-4</v>
      </c>
    </row>
    <row r="35" spans="2:5" ht="15" customHeight="1" x14ac:dyDescent="0.25">
      <c r="B35" s="81"/>
      <c r="C35" s="29" t="s">
        <v>6</v>
      </c>
      <c r="D35" s="28">
        <v>2</v>
      </c>
      <c r="E35" s="27">
        <v>4.2890842805061121E-4</v>
      </c>
    </row>
    <row r="36" spans="2:5" ht="15" customHeight="1" x14ac:dyDescent="0.25">
      <c r="B36" s="81"/>
      <c r="C36" s="29" t="s">
        <v>19</v>
      </c>
      <c r="D36" s="28">
        <v>1</v>
      </c>
      <c r="E36" s="27">
        <v>2.1445421402530561E-4</v>
      </c>
    </row>
    <row r="37" spans="2:5" ht="15" customHeight="1" x14ac:dyDescent="0.25">
      <c r="B37" s="81"/>
      <c r="C37" s="29" t="s">
        <v>28</v>
      </c>
      <c r="D37" s="28">
        <v>2</v>
      </c>
      <c r="E37" s="27">
        <v>4.2890842805061121E-4</v>
      </c>
    </row>
    <row r="38" spans="2:5" ht="15" customHeight="1" x14ac:dyDescent="0.25">
      <c r="B38" s="81"/>
      <c r="C38" s="29" t="s">
        <v>15</v>
      </c>
      <c r="D38" s="28">
        <v>1</v>
      </c>
      <c r="E38" s="27">
        <v>2.1445421402530561E-4</v>
      </c>
    </row>
    <row r="39" spans="2:5" ht="15" customHeight="1" x14ac:dyDescent="0.25">
      <c r="B39" s="81"/>
      <c r="C39" s="29" t="s">
        <v>7</v>
      </c>
      <c r="D39" s="28">
        <v>4</v>
      </c>
      <c r="E39" s="27">
        <v>8.5781685610122243E-4</v>
      </c>
    </row>
    <row r="40" spans="2:5" ht="15" customHeight="1" x14ac:dyDescent="0.25">
      <c r="B40" s="81"/>
      <c r="C40" s="29" t="s">
        <v>14</v>
      </c>
      <c r="D40" s="28">
        <v>1</v>
      </c>
      <c r="E40" s="27">
        <v>2.1445421402530561E-4</v>
      </c>
    </row>
    <row r="41" spans="2:5" ht="15" customHeight="1" x14ac:dyDescent="0.25">
      <c r="B41" s="81"/>
      <c r="C41" s="29" t="s">
        <v>5</v>
      </c>
      <c r="D41" s="28">
        <v>5</v>
      </c>
      <c r="E41" s="27">
        <v>1.0722710701265279E-3</v>
      </c>
    </row>
    <row r="42" spans="2:5" ht="15" customHeight="1" x14ac:dyDescent="0.25">
      <c r="B42" s="81"/>
      <c r="C42" s="29" t="s">
        <v>27</v>
      </c>
      <c r="D42" s="28">
        <v>1</v>
      </c>
      <c r="E42" s="27">
        <v>2.1445421402530561E-4</v>
      </c>
    </row>
    <row r="43" spans="2:5" ht="15" customHeight="1" x14ac:dyDescent="0.25">
      <c r="B43" s="81"/>
      <c r="C43" s="29" t="s">
        <v>21</v>
      </c>
      <c r="D43" s="28">
        <v>2</v>
      </c>
      <c r="E43" s="27">
        <v>4.2890842805061121E-4</v>
      </c>
    </row>
    <row r="44" spans="2:5" ht="15" customHeight="1" x14ac:dyDescent="0.25">
      <c r="B44" s="82"/>
      <c r="C44" s="26" t="s">
        <v>46</v>
      </c>
      <c r="D44" s="25">
        <v>36</v>
      </c>
      <c r="E44" s="24">
        <v>7.7203517049110014E-3</v>
      </c>
    </row>
    <row r="45" spans="2:5" ht="15" customHeight="1" x14ac:dyDescent="0.25">
      <c r="B45" s="80" t="s">
        <v>129</v>
      </c>
      <c r="C45" s="29" t="s">
        <v>22</v>
      </c>
      <c r="D45" s="28">
        <v>3</v>
      </c>
      <c r="E45" s="27">
        <v>6.4336264207591682E-4</v>
      </c>
    </row>
    <row r="46" spans="2:5" ht="15" customHeight="1" x14ac:dyDescent="0.25">
      <c r="B46" s="81"/>
      <c r="C46" s="29" t="s">
        <v>13</v>
      </c>
      <c r="D46" s="28">
        <v>1</v>
      </c>
      <c r="E46" s="27">
        <v>2.1445421402530561E-4</v>
      </c>
    </row>
    <row r="47" spans="2:5" ht="15" customHeight="1" x14ac:dyDescent="0.25">
      <c r="B47" s="81"/>
      <c r="C47" s="29" t="s">
        <v>4</v>
      </c>
      <c r="D47" s="28">
        <v>16</v>
      </c>
      <c r="E47" s="27">
        <v>3.4312674244048897E-3</v>
      </c>
    </row>
    <row r="48" spans="2:5" ht="15" customHeight="1" x14ac:dyDescent="0.25">
      <c r="B48" s="81"/>
      <c r="C48" s="29" t="s">
        <v>8</v>
      </c>
      <c r="D48" s="28">
        <v>14</v>
      </c>
      <c r="E48" s="27">
        <v>3.0023589963542783E-3</v>
      </c>
    </row>
    <row r="49" spans="2:5" ht="15" customHeight="1" x14ac:dyDescent="0.25">
      <c r="B49" s="81"/>
      <c r="C49" s="29" t="s">
        <v>10</v>
      </c>
      <c r="D49" s="28">
        <v>1</v>
      </c>
      <c r="E49" s="27">
        <v>2.1445421402530561E-4</v>
      </c>
    </row>
    <row r="50" spans="2:5" ht="15" customHeight="1" x14ac:dyDescent="0.25">
      <c r="B50" s="81"/>
      <c r="C50" s="29" t="s">
        <v>12</v>
      </c>
      <c r="D50" s="28">
        <v>1</v>
      </c>
      <c r="E50" s="27">
        <v>2.1445421402530561E-4</v>
      </c>
    </row>
    <row r="51" spans="2:5" ht="15" customHeight="1" x14ac:dyDescent="0.25">
      <c r="B51" s="81"/>
      <c r="C51" s="29" t="s">
        <v>6</v>
      </c>
      <c r="D51" s="28">
        <v>5</v>
      </c>
      <c r="E51" s="27">
        <v>1.0722710701265279E-3</v>
      </c>
    </row>
    <row r="52" spans="2:5" ht="15" customHeight="1" x14ac:dyDescent="0.25">
      <c r="B52" s="81"/>
      <c r="C52" s="29" t="s">
        <v>19</v>
      </c>
      <c r="D52" s="28">
        <v>2</v>
      </c>
      <c r="E52" s="27">
        <v>4.2890842805061121E-4</v>
      </c>
    </row>
    <row r="53" spans="2:5" ht="15" customHeight="1" x14ac:dyDescent="0.25">
      <c r="B53" s="81"/>
      <c r="C53" s="29" t="s">
        <v>28</v>
      </c>
      <c r="D53" s="28">
        <v>1</v>
      </c>
      <c r="E53" s="27">
        <v>2.1445421402530561E-4</v>
      </c>
    </row>
    <row r="54" spans="2:5" ht="15" customHeight="1" x14ac:dyDescent="0.25">
      <c r="B54" s="81"/>
      <c r="C54" s="29" t="s">
        <v>30</v>
      </c>
      <c r="D54" s="28">
        <v>1</v>
      </c>
      <c r="E54" s="27">
        <v>2.1445421402530561E-4</v>
      </c>
    </row>
    <row r="55" spans="2:5" ht="15" customHeight="1" x14ac:dyDescent="0.25">
      <c r="B55" s="81"/>
      <c r="C55" s="29" t="s">
        <v>23</v>
      </c>
      <c r="D55" s="28">
        <v>1</v>
      </c>
      <c r="E55" s="27">
        <v>2.1445421402530561E-4</v>
      </c>
    </row>
    <row r="56" spans="2:5" ht="15" customHeight="1" x14ac:dyDescent="0.25">
      <c r="B56" s="81"/>
      <c r="C56" s="29" t="s">
        <v>11</v>
      </c>
      <c r="D56" s="28">
        <v>1</v>
      </c>
      <c r="E56" s="27">
        <v>2.1445421402530561E-4</v>
      </c>
    </row>
    <row r="57" spans="2:5" ht="15" customHeight="1" x14ac:dyDescent="0.25">
      <c r="B57" s="81"/>
      <c r="C57" s="29" t="s">
        <v>18</v>
      </c>
      <c r="D57" s="28">
        <v>1</v>
      </c>
      <c r="E57" s="27">
        <v>2.1445421402530561E-4</v>
      </c>
    </row>
    <row r="58" spans="2:5" ht="15" customHeight="1" x14ac:dyDescent="0.25">
      <c r="B58" s="81"/>
      <c r="C58" s="29" t="s">
        <v>15</v>
      </c>
      <c r="D58" s="28">
        <v>3</v>
      </c>
      <c r="E58" s="27">
        <v>6.4336264207591682E-4</v>
      </c>
    </row>
    <row r="59" spans="2:5" ht="15" customHeight="1" x14ac:dyDescent="0.25">
      <c r="B59" s="81"/>
      <c r="C59" s="29" t="s">
        <v>7</v>
      </c>
      <c r="D59" s="28">
        <v>4</v>
      </c>
      <c r="E59" s="27">
        <v>8.5781685610122243E-4</v>
      </c>
    </row>
    <row r="60" spans="2:5" ht="15" customHeight="1" x14ac:dyDescent="0.25">
      <c r="B60" s="81"/>
      <c r="C60" s="29" t="s">
        <v>5</v>
      </c>
      <c r="D60" s="28">
        <v>9</v>
      </c>
      <c r="E60" s="27">
        <v>1.9300879262277503E-3</v>
      </c>
    </row>
    <row r="61" spans="2:5" ht="15" customHeight="1" x14ac:dyDescent="0.25">
      <c r="B61" s="81"/>
      <c r="C61" s="29" t="s">
        <v>20</v>
      </c>
      <c r="D61" s="28">
        <v>1</v>
      </c>
      <c r="E61" s="27">
        <v>2.1445421402530561E-4</v>
      </c>
    </row>
    <row r="62" spans="2:5" ht="15" customHeight="1" x14ac:dyDescent="0.25">
      <c r="B62" s="81"/>
      <c r="C62" s="29" t="s">
        <v>21</v>
      </c>
      <c r="D62" s="28">
        <v>2</v>
      </c>
      <c r="E62" s="27">
        <v>4.2890842805061121E-4</v>
      </c>
    </row>
    <row r="63" spans="2:5" ht="15" customHeight="1" x14ac:dyDescent="0.25">
      <c r="B63" s="81"/>
      <c r="C63" s="29" t="s">
        <v>42</v>
      </c>
      <c r="D63" s="28">
        <v>1</v>
      </c>
      <c r="E63" s="27">
        <v>2.1445421402530561E-4</v>
      </c>
    </row>
    <row r="64" spans="2:5" ht="15" customHeight="1" x14ac:dyDescent="0.25">
      <c r="B64" s="82"/>
      <c r="C64" s="26" t="s">
        <v>46</v>
      </c>
      <c r="D64" s="25">
        <v>68</v>
      </c>
      <c r="E64" s="24">
        <v>1.4582886553720781E-2</v>
      </c>
    </row>
    <row r="65" spans="2:5" ht="15" customHeight="1" x14ac:dyDescent="0.25">
      <c r="B65" s="80" t="s">
        <v>128</v>
      </c>
      <c r="C65" s="29" t="s">
        <v>22</v>
      </c>
      <c r="D65" s="28">
        <v>1</v>
      </c>
      <c r="E65" s="27">
        <v>2.1445421402530561E-4</v>
      </c>
    </row>
    <row r="66" spans="2:5" ht="15" customHeight="1" x14ac:dyDescent="0.25">
      <c r="B66" s="81"/>
      <c r="C66" s="29" t="s">
        <v>13</v>
      </c>
      <c r="D66" s="28">
        <v>1</v>
      </c>
      <c r="E66" s="27">
        <v>2.1445421402530561E-4</v>
      </c>
    </row>
    <row r="67" spans="2:5" ht="15" customHeight="1" x14ac:dyDescent="0.25">
      <c r="B67" s="81"/>
      <c r="C67" s="29" t="s">
        <v>4</v>
      </c>
      <c r="D67" s="28">
        <v>12</v>
      </c>
      <c r="E67" s="27">
        <v>2.5734505683036673E-3</v>
      </c>
    </row>
    <row r="68" spans="2:5" ht="15" customHeight="1" x14ac:dyDescent="0.25">
      <c r="B68" s="81"/>
      <c r="C68" s="29" t="s">
        <v>8</v>
      </c>
      <c r="D68" s="28">
        <v>8</v>
      </c>
      <c r="E68" s="27">
        <v>1.7156337122024449E-3</v>
      </c>
    </row>
    <row r="69" spans="2:5" ht="15" customHeight="1" x14ac:dyDescent="0.25">
      <c r="B69" s="81"/>
      <c r="C69" s="29" t="s">
        <v>10</v>
      </c>
      <c r="D69" s="28">
        <v>3</v>
      </c>
      <c r="E69" s="27">
        <v>6.4336264207591682E-4</v>
      </c>
    </row>
    <row r="70" spans="2:5" ht="15" customHeight="1" x14ac:dyDescent="0.25">
      <c r="B70" s="81"/>
      <c r="C70" s="29" t="s">
        <v>12</v>
      </c>
      <c r="D70" s="28">
        <v>1</v>
      </c>
      <c r="E70" s="27">
        <v>2.1445421402530561E-4</v>
      </c>
    </row>
    <row r="71" spans="2:5" ht="15" customHeight="1" x14ac:dyDescent="0.25">
      <c r="B71" s="81"/>
      <c r="C71" s="29" t="s">
        <v>9</v>
      </c>
      <c r="D71" s="28">
        <v>3</v>
      </c>
      <c r="E71" s="27">
        <v>6.4336264207591682E-4</v>
      </c>
    </row>
    <row r="72" spans="2:5" ht="15" customHeight="1" x14ac:dyDescent="0.25">
      <c r="B72" s="81"/>
      <c r="C72" s="29" t="s">
        <v>24</v>
      </c>
      <c r="D72" s="28">
        <v>1</v>
      </c>
      <c r="E72" s="27">
        <v>2.1445421402530561E-4</v>
      </c>
    </row>
    <row r="73" spans="2:5" ht="15" customHeight="1" x14ac:dyDescent="0.25">
      <c r="B73" s="81"/>
      <c r="C73" s="29" t="s">
        <v>30</v>
      </c>
      <c r="D73" s="28">
        <v>1</v>
      </c>
      <c r="E73" s="27">
        <v>2.1445421402530561E-4</v>
      </c>
    </row>
    <row r="74" spans="2:5" ht="15" customHeight="1" x14ac:dyDescent="0.25">
      <c r="B74" s="81"/>
      <c r="C74" s="29" t="s">
        <v>23</v>
      </c>
      <c r="D74" s="28">
        <v>1</v>
      </c>
      <c r="E74" s="27">
        <v>2.1445421402530561E-4</v>
      </c>
    </row>
    <row r="75" spans="2:5" ht="15" customHeight="1" x14ac:dyDescent="0.25">
      <c r="B75" s="81"/>
      <c r="C75" s="29" t="s">
        <v>15</v>
      </c>
      <c r="D75" s="28">
        <v>1</v>
      </c>
      <c r="E75" s="27">
        <v>2.1445421402530561E-4</v>
      </c>
    </row>
    <row r="76" spans="2:5" ht="15" customHeight="1" x14ac:dyDescent="0.25">
      <c r="B76" s="81"/>
      <c r="C76" s="29" t="s">
        <v>7</v>
      </c>
      <c r="D76" s="28">
        <v>8</v>
      </c>
      <c r="E76" s="27">
        <v>1.7156337122024449E-3</v>
      </c>
    </row>
    <row r="77" spans="2:5" ht="15" customHeight="1" x14ac:dyDescent="0.25">
      <c r="B77" s="81"/>
      <c r="C77" s="29" t="s">
        <v>31</v>
      </c>
      <c r="D77" s="28">
        <v>1</v>
      </c>
      <c r="E77" s="27">
        <v>2.1445421402530561E-4</v>
      </c>
    </row>
    <row r="78" spans="2:5" ht="15" customHeight="1" x14ac:dyDescent="0.25">
      <c r="B78" s="81"/>
      <c r="C78" s="29" t="s">
        <v>5</v>
      </c>
      <c r="D78" s="28">
        <v>7</v>
      </c>
      <c r="E78" s="27">
        <v>1.5011794981771391E-3</v>
      </c>
    </row>
    <row r="79" spans="2:5" ht="15" customHeight="1" x14ac:dyDescent="0.25">
      <c r="B79" s="81"/>
      <c r="C79" s="29" t="s">
        <v>20</v>
      </c>
      <c r="D79" s="28">
        <v>1</v>
      </c>
      <c r="E79" s="27">
        <v>2.1445421402530561E-4</v>
      </c>
    </row>
    <row r="80" spans="2:5" ht="15" customHeight="1" x14ac:dyDescent="0.25">
      <c r="B80" s="81"/>
      <c r="C80" s="29" t="s">
        <v>42</v>
      </c>
      <c r="D80" s="28">
        <v>1</v>
      </c>
      <c r="E80" s="27">
        <v>2.1445421402530561E-4</v>
      </c>
    </row>
    <row r="81" spans="2:5" ht="15" customHeight="1" x14ac:dyDescent="0.25">
      <c r="B81" s="82"/>
      <c r="C81" s="26" t="s">
        <v>46</v>
      </c>
      <c r="D81" s="25">
        <v>51</v>
      </c>
      <c r="E81" s="24">
        <v>1.0937164915290586E-2</v>
      </c>
    </row>
    <row r="82" spans="2:5" ht="15" customHeight="1" x14ac:dyDescent="0.25">
      <c r="B82" s="80" t="s">
        <v>127</v>
      </c>
      <c r="C82" s="29" t="s">
        <v>22</v>
      </c>
      <c r="D82" s="28">
        <v>1</v>
      </c>
      <c r="E82" s="27">
        <v>2.1445421402530561E-4</v>
      </c>
    </row>
    <row r="83" spans="2:5" ht="15" customHeight="1" x14ac:dyDescent="0.25">
      <c r="B83" s="81"/>
      <c r="C83" s="29" t="s">
        <v>13</v>
      </c>
      <c r="D83" s="28">
        <v>1</v>
      </c>
      <c r="E83" s="27">
        <v>2.1445421402530561E-4</v>
      </c>
    </row>
    <row r="84" spans="2:5" ht="15" customHeight="1" x14ac:dyDescent="0.25">
      <c r="B84" s="81"/>
      <c r="C84" s="29" t="s">
        <v>4</v>
      </c>
      <c r="D84" s="28">
        <v>16</v>
      </c>
      <c r="E84" s="27">
        <v>3.4312674244048897E-3</v>
      </c>
    </row>
    <row r="85" spans="2:5" ht="15" customHeight="1" x14ac:dyDescent="0.25">
      <c r="B85" s="81"/>
      <c r="C85" s="29" t="s">
        <v>8</v>
      </c>
      <c r="D85" s="28">
        <v>13</v>
      </c>
      <c r="E85" s="27">
        <v>2.7879047823289728E-3</v>
      </c>
    </row>
    <row r="86" spans="2:5" ht="15" customHeight="1" x14ac:dyDescent="0.25">
      <c r="B86" s="81"/>
      <c r="C86" s="29" t="s">
        <v>10</v>
      </c>
      <c r="D86" s="28">
        <v>7</v>
      </c>
      <c r="E86" s="27">
        <v>1.5011794981771391E-3</v>
      </c>
    </row>
    <row r="87" spans="2:5" ht="15" customHeight="1" x14ac:dyDescent="0.25">
      <c r="B87" s="81"/>
      <c r="C87" s="29" t="s">
        <v>12</v>
      </c>
      <c r="D87" s="28">
        <v>1</v>
      </c>
      <c r="E87" s="27">
        <v>2.1445421402530561E-4</v>
      </c>
    </row>
    <row r="88" spans="2:5" ht="15" customHeight="1" x14ac:dyDescent="0.25">
      <c r="B88" s="81"/>
      <c r="C88" s="29" t="s">
        <v>6</v>
      </c>
      <c r="D88" s="28">
        <v>6</v>
      </c>
      <c r="E88" s="27">
        <v>1.2867252841518336E-3</v>
      </c>
    </row>
    <row r="89" spans="2:5" ht="15" customHeight="1" x14ac:dyDescent="0.25">
      <c r="B89" s="81"/>
      <c r="C89" s="29" t="s">
        <v>9</v>
      </c>
      <c r="D89" s="28">
        <v>2</v>
      </c>
      <c r="E89" s="27">
        <v>4.2890842805061121E-4</v>
      </c>
    </row>
    <row r="90" spans="2:5" ht="15" customHeight="1" x14ac:dyDescent="0.25">
      <c r="B90" s="81"/>
      <c r="C90" s="29" t="s">
        <v>24</v>
      </c>
      <c r="D90" s="28">
        <v>2</v>
      </c>
      <c r="E90" s="27">
        <v>4.2890842805061121E-4</v>
      </c>
    </row>
    <row r="91" spans="2:5" ht="15" customHeight="1" x14ac:dyDescent="0.25">
      <c r="B91" s="81"/>
      <c r="C91" s="29" t="s">
        <v>19</v>
      </c>
      <c r="D91" s="28">
        <v>1</v>
      </c>
      <c r="E91" s="27">
        <v>2.1445421402530561E-4</v>
      </c>
    </row>
    <row r="92" spans="2:5" ht="15" customHeight="1" x14ac:dyDescent="0.25">
      <c r="B92" s="81"/>
      <c r="C92" s="29" t="s">
        <v>11</v>
      </c>
      <c r="D92" s="28">
        <v>2</v>
      </c>
      <c r="E92" s="27">
        <v>4.2890842805061121E-4</v>
      </c>
    </row>
    <row r="93" spans="2:5" ht="15" customHeight="1" x14ac:dyDescent="0.25">
      <c r="B93" s="81"/>
      <c r="C93" s="29" t="s">
        <v>33</v>
      </c>
      <c r="D93" s="28">
        <v>1</v>
      </c>
      <c r="E93" s="27">
        <v>2.1445421402530561E-4</v>
      </c>
    </row>
    <row r="94" spans="2:5" ht="15" customHeight="1" x14ac:dyDescent="0.25">
      <c r="B94" s="81"/>
      <c r="C94" s="29" t="s">
        <v>15</v>
      </c>
      <c r="D94" s="28">
        <v>5</v>
      </c>
      <c r="E94" s="27">
        <v>1.0722710701265279E-3</v>
      </c>
    </row>
    <row r="95" spans="2:5" ht="15" customHeight="1" x14ac:dyDescent="0.25">
      <c r="B95" s="81"/>
      <c r="C95" s="29" t="s">
        <v>7</v>
      </c>
      <c r="D95" s="28">
        <v>3</v>
      </c>
      <c r="E95" s="27">
        <v>6.4336264207591682E-4</v>
      </c>
    </row>
    <row r="96" spans="2:5" ht="15" customHeight="1" x14ac:dyDescent="0.25">
      <c r="B96" s="81"/>
      <c r="C96" s="29" t="s">
        <v>31</v>
      </c>
      <c r="D96" s="28">
        <v>1</v>
      </c>
      <c r="E96" s="27">
        <v>2.1445421402530561E-4</v>
      </c>
    </row>
    <row r="97" spans="2:5" ht="15" customHeight="1" x14ac:dyDescent="0.25">
      <c r="B97" s="81"/>
      <c r="C97" s="29" t="s">
        <v>5</v>
      </c>
      <c r="D97" s="28">
        <v>13</v>
      </c>
      <c r="E97" s="27">
        <v>2.7879047823289728E-3</v>
      </c>
    </row>
    <row r="98" spans="2:5" ht="15" customHeight="1" x14ac:dyDescent="0.25">
      <c r="B98" s="81"/>
      <c r="C98" s="29" t="s">
        <v>20</v>
      </c>
      <c r="D98" s="28">
        <v>1</v>
      </c>
      <c r="E98" s="27">
        <v>2.1445421402530561E-4</v>
      </c>
    </row>
    <row r="99" spans="2:5" ht="15" customHeight="1" x14ac:dyDescent="0.25">
      <c r="B99" s="81"/>
      <c r="C99" s="29" t="s">
        <v>42</v>
      </c>
      <c r="D99" s="28">
        <v>1</v>
      </c>
      <c r="E99" s="27">
        <v>2.1445421402530561E-4</v>
      </c>
    </row>
    <row r="100" spans="2:5" ht="15" customHeight="1" x14ac:dyDescent="0.25">
      <c r="B100" s="82"/>
      <c r="C100" s="26" t="s">
        <v>46</v>
      </c>
      <c r="D100" s="25">
        <v>77</v>
      </c>
      <c r="E100" s="24">
        <v>1.6512974479948532E-2</v>
      </c>
    </row>
    <row r="101" spans="2:5" ht="15" customHeight="1" x14ac:dyDescent="0.25">
      <c r="B101" s="80" t="s">
        <v>126</v>
      </c>
      <c r="C101" s="29" t="s">
        <v>22</v>
      </c>
      <c r="D101" s="28">
        <v>4</v>
      </c>
      <c r="E101" s="27">
        <v>8.5781685610122243E-4</v>
      </c>
    </row>
    <row r="102" spans="2:5" ht="15" customHeight="1" x14ac:dyDescent="0.25">
      <c r="B102" s="81"/>
      <c r="C102" s="29" t="s">
        <v>13</v>
      </c>
      <c r="D102" s="28">
        <v>2</v>
      </c>
      <c r="E102" s="27">
        <v>4.2890842805061121E-4</v>
      </c>
    </row>
    <row r="103" spans="2:5" ht="15" customHeight="1" x14ac:dyDescent="0.25">
      <c r="B103" s="81"/>
      <c r="C103" s="29" t="s">
        <v>4</v>
      </c>
      <c r="D103" s="28">
        <v>79</v>
      </c>
      <c r="E103" s="27">
        <v>1.6941882907999143E-2</v>
      </c>
    </row>
    <row r="104" spans="2:5" ht="15" customHeight="1" x14ac:dyDescent="0.25">
      <c r="B104" s="81"/>
      <c r="C104" s="29" t="s">
        <v>8</v>
      </c>
      <c r="D104" s="28">
        <v>32</v>
      </c>
      <c r="E104" s="27">
        <v>6.8625348488097794E-3</v>
      </c>
    </row>
    <row r="105" spans="2:5" ht="15" customHeight="1" x14ac:dyDescent="0.25">
      <c r="B105" s="81"/>
      <c r="C105" s="29" t="s">
        <v>10</v>
      </c>
      <c r="D105" s="28">
        <v>14</v>
      </c>
      <c r="E105" s="27">
        <v>3.0023589963542783E-3</v>
      </c>
    </row>
    <row r="106" spans="2:5" ht="15" customHeight="1" x14ac:dyDescent="0.25">
      <c r="B106" s="81"/>
      <c r="C106" s="29" t="s">
        <v>12</v>
      </c>
      <c r="D106" s="28">
        <v>3</v>
      </c>
      <c r="E106" s="27">
        <v>6.4336264207591682E-4</v>
      </c>
    </row>
    <row r="107" spans="2:5" ht="15" customHeight="1" x14ac:dyDescent="0.25">
      <c r="B107" s="81"/>
      <c r="C107" s="29" t="s">
        <v>6</v>
      </c>
      <c r="D107" s="28">
        <v>25</v>
      </c>
      <c r="E107" s="27">
        <v>5.3613553506326401E-3</v>
      </c>
    </row>
    <row r="108" spans="2:5" ht="15" customHeight="1" x14ac:dyDescent="0.25">
      <c r="B108" s="81"/>
      <c r="C108" s="29" t="s">
        <v>9</v>
      </c>
      <c r="D108" s="28">
        <v>10</v>
      </c>
      <c r="E108" s="27">
        <v>2.1445421402530558E-3</v>
      </c>
    </row>
    <row r="109" spans="2:5" ht="15" customHeight="1" x14ac:dyDescent="0.25">
      <c r="B109" s="81"/>
      <c r="C109" s="29" t="s">
        <v>24</v>
      </c>
      <c r="D109" s="28">
        <v>2</v>
      </c>
      <c r="E109" s="27">
        <v>4.2890842805061121E-4</v>
      </c>
    </row>
    <row r="110" spans="2:5" ht="15" customHeight="1" x14ac:dyDescent="0.25">
      <c r="B110" s="81"/>
      <c r="C110" s="29" t="s">
        <v>16</v>
      </c>
      <c r="D110" s="28">
        <v>5</v>
      </c>
      <c r="E110" s="27">
        <v>1.0722710701265279E-3</v>
      </c>
    </row>
    <row r="111" spans="2:5" ht="15" customHeight="1" x14ac:dyDescent="0.25">
      <c r="B111" s="81"/>
      <c r="C111" s="29" t="s">
        <v>19</v>
      </c>
      <c r="D111" s="28">
        <v>6</v>
      </c>
      <c r="E111" s="27">
        <v>1.2867252841518336E-3</v>
      </c>
    </row>
    <row r="112" spans="2:5" ht="15" customHeight="1" x14ac:dyDescent="0.25">
      <c r="B112" s="81"/>
      <c r="C112" s="29" t="s">
        <v>29</v>
      </c>
      <c r="D112" s="28">
        <v>2</v>
      </c>
      <c r="E112" s="27">
        <v>4.2890842805061121E-4</v>
      </c>
    </row>
    <row r="113" spans="2:5" ht="15" customHeight="1" x14ac:dyDescent="0.25">
      <c r="B113" s="81"/>
      <c r="C113" s="29" t="s">
        <v>28</v>
      </c>
      <c r="D113" s="28">
        <v>7</v>
      </c>
      <c r="E113" s="27">
        <v>1.5011794981771391E-3</v>
      </c>
    </row>
    <row r="114" spans="2:5" ht="15" customHeight="1" x14ac:dyDescent="0.25">
      <c r="B114" s="81"/>
      <c r="C114" s="29" t="s">
        <v>30</v>
      </c>
      <c r="D114" s="28">
        <v>1</v>
      </c>
      <c r="E114" s="27">
        <v>2.1445421402530561E-4</v>
      </c>
    </row>
    <row r="115" spans="2:5" ht="15" customHeight="1" x14ac:dyDescent="0.25">
      <c r="B115" s="81"/>
      <c r="C115" s="29" t="s">
        <v>36</v>
      </c>
      <c r="D115" s="28">
        <v>1</v>
      </c>
      <c r="E115" s="27">
        <v>2.1445421402530561E-4</v>
      </c>
    </row>
    <row r="116" spans="2:5" ht="15" customHeight="1" x14ac:dyDescent="0.25">
      <c r="B116" s="81"/>
      <c r="C116" s="29" t="s">
        <v>25</v>
      </c>
      <c r="D116" s="28">
        <v>4</v>
      </c>
      <c r="E116" s="27">
        <v>8.5781685610122243E-4</v>
      </c>
    </row>
    <row r="117" spans="2:5" ht="15" customHeight="1" x14ac:dyDescent="0.25">
      <c r="B117" s="81"/>
      <c r="C117" s="29" t="s">
        <v>23</v>
      </c>
      <c r="D117" s="28">
        <v>1</v>
      </c>
      <c r="E117" s="27">
        <v>2.1445421402530561E-4</v>
      </c>
    </row>
    <row r="118" spans="2:5" ht="15" customHeight="1" x14ac:dyDescent="0.25">
      <c r="B118" s="81"/>
      <c r="C118" s="29" t="s">
        <v>11</v>
      </c>
      <c r="D118" s="28">
        <v>3</v>
      </c>
      <c r="E118" s="27">
        <v>6.4336264207591682E-4</v>
      </c>
    </row>
    <row r="119" spans="2:5" ht="15" customHeight="1" x14ac:dyDescent="0.25">
      <c r="B119" s="81"/>
      <c r="C119" s="29" t="s">
        <v>15</v>
      </c>
      <c r="D119" s="28">
        <v>9</v>
      </c>
      <c r="E119" s="27">
        <v>1.9300879262277503E-3</v>
      </c>
    </row>
    <row r="120" spans="2:5" ht="15" customHeight="1" x14ac:dyDescent="0.25">
      <c r="B120" s="81"/>
      <c r="C120" s="29" t="s">
        <v>34</v>
      </c>
      <c r="D120" s="28">
        <v>1</v>
      </c>
      <c r="E120" s="27">
        <v>2.1445421402530561E-4</v>
      </c>
    </row>
    <row r="121" spans="2:5" ht="15" customHeight="1" x14ac:dyDescent="0.25">
      <c r="B121" s="81"/>
      <c r="C121" s="29" t="s">
        <v>7</v>
      </c>
      <c r="D121" s="28">
        <v>25</v>
      </c>
      <c r="E121" s="27">
        <v>5.3613553506326401E-3</v>
      </c>
    </row>
    <row r="122" spans="2:5" ht="15" customHeight="1" x14ac:dyDescent="0.25">
      <c r="B122" s="81"/>
      <c r="C122" s="29" t="s">
        <v>31</v>
      </c>
      <c r="D122" s="28">
        <v>1</v>
      </c>
      <c r="E122" s="27">
        <v>2.1445421402530561E-4</v>
      </c>
    </row>
    <row r="123" spans="2:5" ht="15" customHeight="1" x14ac:dyDescent="0.25">
      <c r="B123" s="81"/>
      <c r="C123" s="29" t="s">
        <v>32</v>
      </c>
      <c r="D123" s="28">
        <v>2</v>
      </c>
      <c r="E123" s="27">
        <v>4.2890842805061121E-4</v>
      </c>
    </row>
    <row r="124" spans="2:5" ht="15" customHeight="1" x14ac:dyDescent="0.25">
      <c r="B124" s="81"/>
      <c r="C124" s="29" t="s">
        <v>45</v>
      </c>
      <c r="D124" s="28">
        <v>1</v>
      </c>
      <c r="E124" s="27">
        <v>2.1445421402530561E-4</v>
      </c>
    </row>
    <row r="125" spans="2:5" ht="15" customHeight="1" x14ac:dyDescent="0.25">
      <c r="B125" s="81"/>
      <c r="C125" s="29" t="s">
        <v>14</v>
      </c>
      <c r="D125" s="28">
        <v>2</v>
      </c>
      <c r="E125" s="27">
        <v>4.2890842805061121E-4</v>
      </c>
    </row>
    <row r="126" spans="2:5" ht="15" customHeight="1" x14ac:dyDescent="0.25">
      <c r="B126" s="81"/>
      <c r="C126" s="29" t="s">
        <v>5</v>
      </c>
      <c r="D126" s="28">
        <v>64</v>
      </c>
      <c r="E126" s="27">
        <v>1.3725069697619559E-2</v>
      </c>
    </row>
    <row r="127" spans="2:5" ht="15" customHeight="1" x14ac:dyDescent="0.25">
      <c r="B127" s="81"/>
      <c r="C127" s="29" t="s">
        <v>20</v>
      </c>
      <c r="D127" s="28">
        <v>7</v>
      </c>
      <c r="E127" s="27">
        <v>1.5011794981771391E-3</v>
      </c>
    </row>
    <row r="128" spans="2:5" ht="15" customHeight="1" x14ac:dyDescent="0.25">
      <c r="B128" s="81"/>
      <c r="C128" s="29" t="s">
        <v>17</v>
      </c>
      <c r="D128" s="28">
        <v>1</v>
      </c>
      <c r="E128" s="27">
        <v>2.1445421402530561E-4</v>
      </c>
    </row>
    <row r="129" spans="2:5" ht="15" customHeight="1" x14ac:dyDescent="0.25">
      <c r="B129" s="81"/>
      <c r="C129" s="29" t="s">
        <v>21</v>
      </c>
      <c r="D129" s="28">
        <v>1</v>
      </c>
      <c r="E129" s="27">
        <v>2.1445421402530561E-4</v>
      </c>
    </row>
    <row r="130" spans="2:5" ht="15" customHeight="1" x14ac:dyDescent="0.25">
      <c r="B130" s="81"/>
      <c r="C130" s="29" t="s">
        <v>42</v>
      </c>
      <c r="D130" s="28">
        <v>2</v>
      </c>
      <c r="E130" s="27">
        <v>4.2890842805061121E-4</v>
      </c>
    </row>
    <row r="131" spans="2:5" ht="15" customHeight="1" x14ac:dyDescent="0.25">
      <c r="B131" s="82"/>
      <c r="C131" s="26" t="s">
        <v>46</v>
      </c>
      <c r="D131" s="25">
        <v>317</v>
      </c>
      <c r="E131" s="24">
        <v>6.7981985846021872E-2</v>
      </c>
    </row>
    <row r="132" spans="2:5" ht="15" customHeight="1" x14ac:dyDescent="0.25">
      <c r="B132" s="80" t="s">
        <v>125</v>
      </c>
      <c r="C132" s="29" t="s">
        <v>22</v>
      </c>
      <c r="D132" s="28">
        <v>6</v>
      </c>
      <c r="E132" s="27">
        <v>1.2867252841518336E-3</v>
      </c>
    </row>
    <row r="133" spans="2:5" ht="15" customHeight="1" x14ac:dyDescent="0.25">
      <c r="B133" s="81"/>
      <c r="C133" s="29" t="s">
        <v>13</v>
      </c>
      <c r="D133" s="28">
        <v>7</v>
      </c>
      <c r="E133" s="27">
        <v>1.5011794981771391E-3</v>
      </c>
    </row>
    <row r="134" spans="2:5" ht="15" customHeight="1" x14ac:dyDescent="0.25">
      <c r="B134" s="81"/>
      <c r="C134" s="29" t="s">
        <v>4</v>
      </c>
      <c r="D134" s="28">
        <v>133</v>
      </c>
      <c r="E134" s="27">
        <v>2.8522410465365643E-2</v>
      </c>
    </row>
    <row r="135" spans="2:5" ht="15" customHeight="1" x14ac:dyDescent="0.25">
      <c r="B135" s="81"/>
      <c r="C135" s="29" t="s">
        <v>8</v>
      </c>
      <c r="D135" s="28">
        <v>84</v>
      </c>
      <c r="E135" s="27">
        <v>1.8014153978125669E-2</v>
      </c>
    </row>
    <row r="136" spans="2:5" ht="15" customHeight="1" x14ac:dyDescent="0.25">
      <c r="B136" s="81"/>
      <c r="C136" s="29" t="s">
        <v>38</v>
      </c>
      <c r="D136" s="28">
        <v>1</v>
      </c>
      <c r="E136" s="27">
        <v>2.1445421402530561E-4</v>
      </c>
    </row>
    <row r="137" spans="2:5" ht="15" customHeight="1" x14ac:dyDescent="0.25">
      <c r="B137" s="81"/>
      <c r="C137" s="29" t="s">
        <v>41</v>
      </c>
      <c r="D137" s="28">
        <v>1</v>
      </c>
      <c r="E137" s="27">
        <v>2.1445421402530561E-4</v>
      </c>
    </row>
    <row r="138" spans="2:5" ht="15" customHeight="1" x14ac:dyDescent="0.25">
      <c r="B138" s="81"/>
      <c r="C138" s="29" t="s">
        <v>10</v>
      </c>
      <c r="D138" s="28">
        <v>16</v>
      </c>
      <c r="E138" s="27">
        <v>3.4312674244048897E-3</v>
      </c>
    </row>
    <row r="139" spans="2:5" ht="15" customHeight="1" x14ac:dyDescent="0.25">
      <c r="B139" s="81"/>
      <c r="C139" s="29" t="s">
        <v>12</v>
      </c>
      <c r="D139" s="28">
        <v>13</v>
      </c>
      <c r="E139" s="27">
        <v>2.7879047823289728E-3</v>
      </c>
    </row>
    <row r="140" spans="2:5" ht="15" customHeight="1" x14ac:dyDescent="0.25">
      <c r="B140" s="81"/>
      <c r="C140" s="29" t="s">
        <v>26</v>
      </c>
      <c r="D140" s="28">
        <v>3</v>
      </c>
      <c r="E140" s="27">
        <v>6.4336264207591682E-4</v>
      </c>
    </row>
    <row r="141" spans="2:5" ht="15" customHeight="1" x14ac:dyDescent="0.25">
      <c r="B141" s="81"/>
      <c r="C141" s="29" t="s">
        <v>6</v>
      </c>
      <c r="D141" s="28">
        <v>98</v>
      </c>
      <c r="E141" s="27">
        <v>2.1016512974479949E-2</v>
      </c>
    </row>
    <row r="142" spans="2:5" ht="15" customHeight="1" x14ac:dyDescent="0.25">
      <c r="B142" s="81"/>
      <c r="C142" s="29" t="s">
        <v>9</v>
      </c>
      <c r="D142" s="28">
        <v>34</v>
      </c>
      <c r="E142" s="27">
        <v>7.2914432768603904E-3</v>
      </c>
    </row>
    <row r="143" spans="2:5" ht="15" customHeight="1" x14ac:dyDescent="0.25">
      <c r="B143" s="81"/>
      <c r="C143" s="29" t="s">
        <v>24</v>
      </c>
      <c r="D143" s="28">
        <v>5</v>
      </c>
      <c r="E143" s="27">
        <v>1.0722710701265279E-3</v>
      </c>
    </row>
    <row r="144" spans="2:5" ht="15" customHeight="1" x14ac:dyDescent="0.25">
      <c r="B144" s="81"/>
      <c r="C144" s="29" t="s">
        <v>16</v>
      </c>
      <c r="D144" s="28">
        <v>3</v>
      </c>
      <c r="E144" s="27">
        <v>6.4336264207591682E-4</v>
      </c>
    </row>
    <row r="145" spans="2:5" ht="15" customHeight="1" x14ac:dyDescent="0.25">
      <c r="B145" s="81"/>
      <c r="C145" s="29" t="s">
        <v>19</v>
      </c>
      <c r="D145" s="28">
        <v>4</v>
      </c>
      <c r="E145" s="27">
        <v>8.5781685610122243E-4</v>
      </c>
    </row>
    <row r="146" spans="2:5" ht="15" customHeight="1" x14ac:dyDescent="0.25">
      <c r="B146" s="81"/>
      <c r="C146" s="29" t="s">
        <v>29</v>
      </c>
      <c r="D146" s="28">
        <v>2</v>
      </c>
      <c r="E146" s="27">
        <v>4.2890842805061121E-4</v>
      </c>
    </row>
    <row r="147" spans="2:5" ht="15" customHeight="1" x14ac:dyDescent="0.25">
      <c r="B147" s="81"/>
      <c r="C147" s="29" t="s">
        <v>28</v>
      </c>
      <c r="D147" s="28">
        <v>1</v>
      </c>
      <c r="E147" s="27">
        <v>2.1445421402530561E-4</v>
      </c>
    </row>
    <row r="148" spans="2:5" ht="15" customHeight="1" x14ac:dyDescent="0.25">
      <c r="B148" s="81"/>
      <c r="C148" s="29" t="s">
        <v>30</v>
      </c>
      <c r="D148" s="28">
        <v>6</v>
      </c>
      <c r="E148" s="27">
        <v>1.2867252841518336E-3</v>
      </c>
    </row>
    <row r="149" spans="2:5" ht="15" customHeight="1" x14ac:dyDescent="0.25">
      <c r="B149" s="81"/>
      <c r="C149" s="29" t="s">
        <v>36</v>
      </c>
      <c r="D149" s="28">
        <v>2</v>
      </c>
      <c r="E149" s="27">
        <v>4.2890842805061121E-4</v>
      </c>
    </row>
    <row r="150" spans="2:5" ht="15" customHeight="1" x14ac:dyDescent="0.25">
      <c r="B150" s="81"/>
      <c r="C150" s="29" t="s">
        <v>25</v>
      </c>
      <c r="D150" s="28">
        <v>2</v>
      </c>
      <c r="E150" s="27">
        <v>4.2890842805061121E-4</v>
      </c>
    </row>
    <row r="151" spans="2:5" ht="15" customHeight="1" x14ac:dyDescent="0.25">
      <c r="B151" s="81"/>
      <c r="C151" s="29" t="s">
        <v>23</v>
      </c>
      <c r="D151" s="28">
        <v>5</v>
      </c>
      <c r="E151" s="27">
        <v>1.0722710701265279E-3</v>
      </c>
    </row>
    <row r="152" spans="2:5" ht="15" customHeight="1" x14ac:dyDescent="0.25">
      <c r="B152" s="81"/>
      <c r="C152" s="29" t="s">
        <v>11</v>
      </c>
      <c r="D152" s="28">
        <v>9</v>
      </c>
      <c r="E152" s="27">
        <v>1.9300879262277503E-3</v>
      </c>
    </row>
    <row r="153" spans="2:5" ht="15" customHeight="1" x14ac:dyDescent="0.25">
      <c r="B153" s="81"/>
      <c r="C153" s="29" t="s">
        <v>18</v>
      </c>
      <c r="D153" s="28">
        <v>4</v>
      </c>
      <c r="E153" s="27">
        <v>8.5781685610122243E-4</v>
      </c>
    </row>
    <row r="154" spans="2:5" ht="15" customHeight="1" x14ac:dyDescent="0.25">
      <c r="B154" s="81"/>
      <c r="C154" s="29" t="s">
        <v>33</v>
      </c>
      <c r="D154" s="28">
        <v>1</v>
      </c>
      <c r="E154" s="27">
        <v>2.1445421402530561E-4</v>
      </c>
    </row>
    <row r="155" spans="2:5" ht="15" customHeight="1" x14ac:dyDescent="0.25">
      <c r="B155" s="81"/>
      <c r="C155" s="29" t="s">
        <v>15</v>
      </c>
      <c r="D155" s="28">
        <v>34</v>
      </c>
      <c r="E155" s="27">
        <v>7.2914432768603904E-3</v>
      </c>
    </row>
    <row r="156" spans="2:5" ht="15" customHeight="1" x14ac:dyDescent="0.25">
      <c r="B156" s="81"/>
      <c r="C156" s="29" t="s">
        <v>34</v>
      </c>
      <c r="D156" s="28">
        <v>5</v>
      </c>
      <c r="E156" s="27">
        <v>1.0722710701265279E-3</v>
      </c>
    </row>
    <row r="157" spans="2:5" ht="15" customHeight="1" x14ac:dyDescent="0.25">
      <c r="B157" s="81"/>
      <c r="C157" s="29" t="s">
        <v>7</v>
      </c>
      <c r="D157" s="28">
        <v>63</v>
      </c>
      <c r="E157" s="27">
        <v>1.3510615483594253E-2</v>
      </c>
    </row>
    <row r="158" spans="2:5" ht="15" customHeight="1" x14ac:dyDescent="0.25">
      <c r="B158" s="81"/>
      <c r="C158" s="29" t="s">
        <v>32</v>
      </c>
      <c r="D158" s="28">
        <v>8</v>
      </c>
      <c r="E158" s="27">
        <v>1.7156337122024449E-3</v>
      </c>
    </row>
    <row r="159" spans="2:5" ht="15" customHeight="1" x14ac:dyDescent="0.25">
      <c r="B159" s="81"/>
      <c r="C159" s="29" t="s">
        <v>45</v>
      </c>
      <c r="D159" s="28">
        <v>2</v>
      </c>
      <c r="E159" s="27">
        <v>4.2890842805061121E-4</v>
      </c>
    </row>
    <row r="160" spans="2:5" ht="15" customHeight="1" x14ac:dyDescent="0.25">
      <c r="B160" s="81"/>
      <c r="C160" s="29" t="s">
        <v>14</v>
      </c>
      <c r="D160" s="28">
        <v>5</v>
      </c>
      <c r="E160" s="27">
        <v>1.0722710701265279E-3</v>
      </c>
    </row>
    <row r="161" spans="2:5" ht="15" customHeight="1" x14ac:dyDescent="0.25">
      <c r="B161" s="81"/>
      <c r="C161" s="29" t="s">
        <v>5</v>
      </c>
      <c r="D161" s="28">
        <v>92</v>
      </c>
      <c r="E161" s="27">
        <v>1.9729787690328116E-2</v>
      </c>
    </row>
    <row r="162" spans="2:5" ht="15" customHeight="1" x14ac:dyDescent="0.25">
      <c r="B162" s="81"/>
      <c r="C162" s="29" t="s">
        <v>20</v>
      </c>
      <c r="D162" s="28">
        <v>6</v>
      </c>
      <c r="E162" s="27">
        <v>1.2867252841518336E-3</v>
      </c>
    </row>
    <row r="163" spans="2:5" ht="15" customHeight="1" x14ac:dyDescent="0.25">
      <c r="B163" s="81"/>
      <c r="C163" s="29" t="s">
        <v>27</v>
      </c>
      <c r="D163" s="28">
        <v>3</v>
      </c>
      <c r="E163" s="27">
        <v>6.4336264207591682E-4</v>
      </c>
    </row>
    <row r="164" spans="2:5" ht="15" customHeight="1" x14ac:dyDescent="0.25">
      <c r="B164" s="81"/>
      <c r="C164" s="29" t="s">
        <v>17</v>
      </c>
      <c r="D164" s="28">
        <v>4</v>
      </c>
      <c r="E164" s="27">
        <v>8.5781685610122243E-4</v>
      </c>
    </row>
    <row r="165" spans="2:5" ht="15" customHeight="1" x14ac:dyDescent="0.25">
      <c r="B165" s="81"/>
      <c r="C165" s="29" t="s">
        <v>21</v>
      </c>
      <c r="D165" s="28">
        <v>5</v>
      </c>
      <c r="E165" s="27">
        <v>1.0722710701265279E-3</v>
      </c>
    </row>
    <row r="166" spans="2:5" ht="15" customHeight="1" x14ac:dyDescent="0.25">
      <c r="B166" s="81"/>
      <c r="C166" s="29" t="s">
        <v>42</v>
      </c>
      <c r="D166" s="28">
        <v>4</v>
      </c>
      <c r="E166" s="27">
        <v>8.5781685610122243E-4</v>
      </c>
    </row>
    <row r="167" spans="2:5" ht="15" customHeight="1" x14ac:dyDescent="0.25">
      <c r="B167" s="82"/>
      <c r="C167" s="26" t="s">
        <v>46</v>
      </c>
      <c r="D167" s="25">
        <v>671</v>
      </c>
      <c r="E167" s="24">
        <v>0.14389877761098005</v>
      </c>
    </row>
    <row r="168" spans="2:5" ht="15" customHeight="1" x14ac:dyDescent="0.25">
      <c r="B168" s="80" t="s">
        <v>124</v>
      </c>
      <c r="C168" s="29" t="s">
        <v>35</v>
      </c>
      <c r="D168" s="28">
        <v>1</v>
      </c>
      <c r="E168" s="27">
        <v>2.1445421402530561E-4</v>
      </c>
    </row>
    <row r="169" spans="2:5" ht="15" customHeight="1" x14ac:dyDescent="0.25">
      <c r="B169" s="81"/>
      <c r="C169" s="29" t="s">
        <v>4</v>
      </c>
      <c r="D169" s="28">
        <v>11</v>
      </c>
      <c r="E169" s="27">
        <v>2.3589963542783618E-3</v>
      </c>
    </row>
    <row r="170" spans="2:5" ht="15" customHeight="1" x14ac:dyDescent="0.25">
      <c r="B170" s="81"/>
      <c r="C170" s="29" t="s">
        <v>8</v>
      </c>
      <c r="D170" s="28">
        <v>7</v>
      </c>
      <c r="E170" s="27">
        <v>1.5011794981771391E-3</v>
      </c>
    </row>
    <row r="171" spans="2:5" ht="15" customHeight="1" x14ac:dyDescent="0.25">
      <c r="B171" s="81"/>
      <c r="C171" s="29" t="s">
        <v>10</v>
      </c>
      <c r="D171" s="28">
        <v>4</v>
      </c>
      <c r="E171" s="27">
        <v>8.5781685610122243E-4</v>
      </c>
    </row>
    <row r="172" spans="2:5" ht="15" customHeight="1" x14ac:dyDescent="0.25">
      <c r="B172" s="81"/>
      <c r="C172" s="29" t="s">
        <v>6</v>
      </c>
      <c r="D172" s="28">
        <v>1</v>
      </c>
      <c r="E172" s="27">
        <v>2.1445421402530561E-4</v>
      </c>
    </row>
    <row r="173" spans="2:5" ht="15" customHeight="1" x14ac:dyDescent="0.25">
      <c r="B173" s="81"/>
      <c r="C173" s="29" t="s">
        <v>9</v>
      </c>
      <c r="D173" s="28">
        <v>1</v>
      </c>
      <c r="E173" s="27">
        <v>2.1445421402530561E-4</v>
      </c>
    </row>
    <row r="174" spans="2:5" ht="15" customHeight="1" x14ac:dyDescent="0.25">
      <c r="B174" s="81"/>
      <c r="C174" s="29" t="s">
        <v>16</v>
      </c>
      <c r="D174" s="28">
        <v>2</v>
      </c>
      <c r="E174" s="27">
        <v>4.2890842805061121E-4</v>
      </c>
    </row>
    <row r="175" spans="2:5" ht="15" customHeight="1" x14ac:dyDescent="0.25">
      <c r="B175" s="81"/>
      <c r="C175" s="29" t="s">
        <v>25</v>
      </c>
      <c r="D175" s="28">
        <v>1</v>
      </c>
      <c r="E175" s="27">
        <v>2.1445421402530561E-4</v>
      </c>
    </row>
    <row r="176" spans="2:5" ht="15" customHeight="1" x14ac:dyDescent="0.25">
      <c r="B176" s="81"/>
      <c r="C176" s="29" t="s">
        <v>11</v>
      </c>
      <c r="D176" s="28">
        <v>4</v>
      </c>
      <c r="E176" s="27">
        <v>8.5781685610122243E-4</v>
      </c>
    </row>
    <row r="177" spans="2:5" ht="15" customHeight="1" x14ac:dyDescent="0.25">
      <c r="B177" s="81"/>
      <c r="C177" s="29" t="s">
        <v>15</v>
      </c>
      <c r="D177" s="28">
        <v>2</v>
      </c>
      <c r="E177" s="27">
        <v>4.2890842805061121E-4</v>
      </c>
    </row>
    <row r="178" spans="2:5" ht="15" customHeight="1" x14ac:dyDescent="0.25">
      <c r="B178" s="81"/>
      <c r="C178" s="29" t="s">
        <v>34</v>
      </c>
      <c r="D178" s="28">
        <v>1</v>
      </c>
      <c r="E178" s="27">
        <v>2.1445421402530561E-4</v>
      </c>
    </row>
    <row r="179" spans="2:5" ht="15" customHeight="1" x14ac:dyDescent="0.25">
      <c r="B179" s="81"/>
      <c r="C179" s="29" t="s">
        <v>7</v>
      </c>
      <c r="D179" s="28">
        <v>6</v>
      </c>
      <c r="E179" s="27">
        <v>1.2867252841518336E-3</v>
      </c>
    </row>
    <row r="180" spans="2:5" ht="15" customHeight="1" x14ac:dyDescent="0.25">
      <c r="B180" s="81"/>
      <c r="C180" s="29" t="s">
        <v>31</v>
      </c>
      <c r="D180" s="28">
        <v>1</v>
      </c>
      <c r="E180" s="27">
        <v>2.1445421402530561E-4</v>
      </c>
    </row>
    <row r="181" spans="2:5" ht="15" customHeight="1" x14ac:dyDescent="0.25">
      <c r="B181" s="81"/>
      <c r="C181" s="29" t="s">
        <v>32</v>
      </c>
      <c r="D181" s="28">
        <v>2</v>
      </c>
      <c r="E181" s="27">
        <v>4.2890842805061121E-4</v>
      </c>
    </row>
    <row r="182" spans="2:5" ht="15" customHeight="1" x14ac:dyDescent="0.25">
      <c r="B182" s="81"/>
      <c r="C182" s="29" t="s">
        <v>5</v>
      </c>
      <c r="D182" s="28">
        <v>5</v>
      </c>
      <c r="E182" s="27">
        <v>1.0722710701265279E-3</v>
      </c>
    </row>
    <row r="183" spans="2:5" ht="15" customHeight="1" x14ac:dyDescent="0.25">
      <c r="B183" s="81"/>
      <c r="C183" s="29" t="s">
        <v>20</v>
      </c>
      <c r="D183" s="28">
        <v>2</v>
      </c>
      <c r="E183" s="27">
        <v>4.2890842805061121E-4</v>
      </c>
    </row>
    <row r="184" spans="2:5" ht="15" customHeight="1" x14ac:dyDescent="0.25">
      <c r="B184" s="81"/>
      <c r="C184" s="29" t="s">
        <v>27</v>
      </c>
      <c r="D184" s="28">
        <v>1</v>
      </c>
      <c r="E184" s="27">
        <v>2.1445421402530561E-4</v>
      </c>
    </row>
    <row r="185" spans="2:5" ht="15" customHeight="1" x14ac:dyDescent="0.25">
      <c r="B185" s="81"/>
      <c r="C185" s="29" t="s">
        <v>17</v>
      </c>
      <c r="D185" s="28">
        <v>1</v>
      </c>
      <c r="E185" s="27">
        <v>2.1445421402530561E-4</v>
      </c>
    </row>
    <row r="186" spans="2:5" ht="15" customHeight="1" x14ac:dyDescent="0.25">
      <c r="B186" s="82"/>
      <c r="C186" s="26" t="s">
        <v>46</v>
      </c>
      <c r="D186" s="25">
        <v>53</v>
      </c>
      <c r="E186" s="24">
        <v>1.1366073343341197E-2</v>
      </c>
    </row>
    <row r="187" spans="2:5" ht="15" customHeight="1" x14ac:dyDescent="0.25">
      <c r="B187" s="80" t="s">
        <v>123</v>
      </c>
      <c r="C187" s="29" t="s">
        <v>22</v>
      </c>
      <c r="D187" s="28">
        <v>2</v>
      </c>
      <c r="E187" s="27">
        <v>4.2890842805061121E-4</v>
      </c>
    </row>
    <row r="188" spans="2:5" ht="15" customHeight="1" x14ac:dyDescent="0.25">
      <c r="B188" s="81"/>
      <c r="C188" s="29" t="s">
        <v>13</v>
      </c>
      <c r="D188" s="28">
        <v>4</v>
      </c>
      <c r="E188" s="27">
        <v>8.5781685610122243E-4</v>
      </c>
    </row>
    <row r="189" spans="2:5" ht="15" customHeight="1" x14ac:dyDescent="0.25">
      <c r="B189" s="81"/>
      <c r="C189" s="29" t="s">
        <v>4</v>
      </c>
      <c r="D189" s="28">
        <v>23</v>
      </c>
      <c r="E189" s="27">
        <v>4.9324469225820291E-3</v>
      </c>
    </row>
    <row r="190" spans="2:5" ht="15" customHeight="1" x14ac:dyDescent="0.25">
      <c r="B190" s="81"/>
      <c r="C190" s="29" t="s">
        <v>8</v>
      </c>
      <c r="D190" s="28">
        <v>12</v>
      </c>
      <c r="E190" s="27">
        <v>2.5734505683036673E-3</v>
      </c>
    </row>
    <row r="191" spans="2:5" ht="15" customHeight="1" x14ac:dyDescent="0.25">
      <c r="B191" s="81"/>
      <c r="C191" s="29" t="s">
        <v>41</v>
      </c>
      <c r="D191" s="28">
        <v>1</v>
      </c>
      <c r="E191" s="27">
        <v>2.1445421402530561E-4</v>
      </c>
    </row>
    <row r="192" spans="2:5" ht="15" customHeight="1" x14ac:dyDescent="0.25">
      <c r="B192" s="81"/>
      <c r="C192" s="29" t="s">
        <v>10</v>
      </c>
      <c r="D192" s="28">
        <v>11</v>
      </c>
      <c r="E192" s="27">
        <v>2.3589963542783618E-3</v>
      </c>
    </row>
    <row r="193" spans="2:5" ht="15" customHeight="1" x14ac:dyDescent="0.25">
      <c r="B193" s="81"/>
      <c r="C193" s="29" t="s">
        <v>12</v>
      </c>
      <c r="D193" s="28">
        <v>4</v>
      </c>
      <c r="E193" s="27">
        <v>8.5781685610122243E-4</v>
      </c>
    </row>
    <row r="194" spans="2:5" ht="15" customHeight="1" x14ac:dyDescent="0.25">
      <c r="B194" s="81"/>
      <c r="C194" s="29" t="s">
        <v>6</v>
      </c>
      <c r="D194" s="28">
        <v>16</v>
      </c>
      <c r="E194" s="27">
        <v>3.4312674244048897E-3</v>
      </c>
    </row>
    <row r="195" spans="2:5" ht="15" customHeight="1" x14ac:dyDescent="0.25">
      <c r="B195" s="81"/>
      <c r="C195" s="29" t="s">
        <v>9</v>
      </c>
      <c r="D195" s="28">
        <v>3</v>
      </c>
      <c r="E195" s="27">
        <v>6.4336264207591682E-4</v>
      </c>
    </row>
    <row r="196" spans="2:5" ht="15" customHeight="1" x14ac:dyDescent="0.25">
      <c r="B196" s="81"/>
      <c r="C196" s="29" t="s">
        <v>16</v>
      </c>
      <c r="D196" s="28">
        <v>5</v>
      </c>
      <c r="E196" s="27">
        <v>1.0722710701265279E-3</v>
      </c>
    </row>
    <row r="197" spans="2:5" ht="15" customHeight="1" x14ac:dyDescent="0.25">
      <c r="B197" s="81"/>
      <c r="C197" s="29" t="s">
        <v>19</v>
      </c>
      <c r="D197" s="28">
        <v>2</v>
      </c>
      <c r="E197" s="27">
        <v>4.2890842805061121E-4</v>
      </c>
    </row>
    <row r="198" spans="2:5" ht="15" customHeight="1" x14ac:dyDescent="0.25">
      <c r="B198" s="81"/>
      <c r="C198" s="29" t="s">
        <v>39</v>
      </c>
      <c r="D198" s="28">
        <v>1</v>
      </c>
      <c r="E198" s="27">
        <v>2.1445421402530561E-4</v>
      </c>
    </row>
    <row r="199" spans="2:5" ht="15" customHeight="1" x14ac:dyDescent="0.25">
      <c r="B199" s="81"/>
      <c r="C199" s="29" t="s">
        <v>28</v>
      </c>
      <c r="D199" s="28">
        <v>2</v>
      </c>
      <c r="E199" s="27">
        <v>4.2890842805061121E-4</v>
      </c>
    </row>
    <row r="200" spans="2:5" ht="15" customHeight="1" x14ac:dyDescent="0.25">
      <c r="B200" s="81"/>
      <c r="C200" s="29" t="s">
        <v>30</v>
      </c>
      <c r="D200" s="28">
        <v>1</v>
      </c>
      <c r="E200" s="27">
        <v>2.1445421402530561E-4</v>
      </c>
    </row>
    <row r="201" spans="2:5" ht="15" customHeight="1" x14ac:dyDescent="0.25">
      <c r="B201" s="81"/>
      <c r="C201" s="29" t="s">
        <v>40</v>
      </c>
      <c r="D201" s="28">
        <v>1</v>
      </c>
      <c r="E201" s="27">
        <v>2.1445421402530561E-4</v>
      </c>
    </row>
    <row r="202" spans="2:5" ht="15" customHeight="1" x14ac:dyDescent="0.25">
      <c r="B202" s="81"/>
      <c r="C202" s="29" t="s">
        <v>18</v>
      </c>
      <c r="D202" s="28">
        <v>1</v>
      </c>
      <c r="E202" s="27">
        <v>2.1445421402530561E-4</v>
      </c>
    </row>
    <row r="203" spans="2:5" ht="15" customHeight="1" x14ac:dyDescent="0.25">
      <c r="B203" s="81"/>
      <c r="C203" s="29" t="s">
        <v>33</v>
      </c>
      <c r="D203" s="28">
        <v>1</v>
      </c>
      <c r="E203" s="27">
        <v>2.1445421402530561E-4</v>
      </c>
    </row>
    <row r="204" spans="2:5" ht="15" customHeight="1" x14ac:dyDescent="0.25">
      <c r="B204" s="81"/>
      <c r="C204" s="29" t="s">
        <v>15</v>
      </c>
      <c r="D204" s="28">
        <v>4</v>
      </c>
      <c r="E204" s="27">
        <v>8.5781685610122243E-4</v>
      </c>
    </row>
    <row r="205" spans="2:5" ht="15" customHeight="1" x14ac:dyDescent="0.25">
      <c r="B205" s="81"/>
      <c r="C205" s="29" t="s">
        <v>34</v>
      </c>
      <c r="D205" s="28">
        <v>1</v>
      </c>
      <c r="E205" s="27">
        <v>2.1445421402530561E-4</v>
      </c>
    </row>
    <row r="206" spans="2:5" ht="15" customHeight="1" x14ac:dyDescent="0.25">
      <c r="B206" s="81"/>
      <c r="C206" s="29" t="s">
        <v>7</v>
      </c>
      <c r="D206" s="28">
        <v>21</v>
      </c>
      <c r="E206" s="27">
        <v>4.5035384945314172E-3</v>
      </c>
    </row>
    <row r="207" spans="2:5" ht="15" customHeight="1" x14ac:dyDescent="0.25">
      <c r="B207" s="81"/>
      <c r="C207" s="29" t="s">
        <v>5</v>
      </c>
      <c r="D207" s="28">
        <v>20</v>
      </c>
      <c r="E207" s="27">
        <v>4.2890842805061117E-3</v>
      </c>
    </row>
    <row r="208" spans="2:5" ht="15" customHeight="1" x14ac:dyDescent="0.25">
      <c r="B208" s="81"/>
      <c r="C208" s="29" t="s">
        <v>42</v>
      </c>
      <c r="D208" s="28">
        <v>2</v>
      </c>
      <c r="E208" s="27">
        <v>4.2890842805061121E-4</v>
      </c>
    </row>
    <row r="209" spans="2:5" ht="15" customHeight="1" x14ac:dyDescent="0.25">
      <c r="B209" s="82"/>
      <c r="C209" s="26" t="s">
        <v>46</v>
      </c>
      <c r="D209" s="25">
        <v>138</v>
      </c>
      <c r="E209" s="24">
        <v>2.9594681535492173E-2</v>
      </c>
    </row>
    <row r="210" spans="2:5" ht="15" customHeight="1" x14ac:dyDescent="0.25">
      <c r="B210" s="80" t="s">
        <v>122</v>
      </c>
      <c r="C210" s="29" t="s">
        <v>13</v>
      </c>
      <c r="D210" s="28">
        <v>5</v>
      </c>
      <c r="E210" s="27">
        <v>1.0722710701265279E-3</v>
      </c>
    </row>
    <row r="211" spans="2:5" ht="15" customHeight="1" x14ac:dyDescent="0.25">
      <c r="B211" s="81"/>
      <c r="C211" s="29" t="s">
        <v>4</v>
      </c>
      <c r="D211" s="28">
        <v>42</v>
      </c>
      <c r="E211" s="27">
        <v>9.0070769890628344E-3</v>
      </c>
    </row>
    <row r="212" spans="2:5" ht="15" customHeight="1" x14ac:dyDescent="0.25">
      <c r="B212" s="81"/>
      <c r="C212" s="29" t="s">
        <v>8</v>
      </c>
      <c r="D212" s="28">
        <v>12</v>
      </c>
      <c r="E212" s="27">
        <v>2.5734505683036673E-3</v>
      </c>
    </row>
    <row r="213" spans="2:5" ht="15" customHeight="1" x14ac:dyDescent="0.25">
      <c r="B213" s="81"/>
      <c r="C213" s="29" t="s">
        <v>10</v>
      </c>
      <c r="D213" s="28">
        <v>7</v>
      </c>
      <c r="E213" s="27">
        <v>1.5011794981771391E-3</v>
      </c>
    </row>
    <row r="214" spans="2:5" ht="15" customHeight="1" x14ac:dyDescent="0.25">
      <c r="B214" s="81"/>
      <c r="C214" s="29" t="s">
        <v>12</v>
      </c>
      <c r="D214" s="28">
        <v>4</v>
      </c>
      <c r="E214" s="27">
        <v>8.5781685610122243E-4</v>
      </c>
    </row>
    <row r="215" spans="2:5" ht="15" customHeight="1" x14ac:dyDescent="0.25">
      <c r="B215" s="81"/>
      <c r="C215" s="29" t="s">
        <v>6</v>
      </c>
      <c r="D215" s="28">
        <v>11</v>
      </c>
      <c r="E215" s="27">
        <v>2.3589963542783618E-3</v>
      </c>
    </row>
    <row r="216" spans="2:5" ht="15" customHeight="1" x14ac:dyDescent="0.25">
      <c r="B216" s="81"/>
      <c r="C216" s="29" t="s">
        <v>9</v>
      </c>
      <c r="D216" s="28">
        <v>4</v>
      </c>
      <c r="E216" s="27">
        <v>8.5781685610122243E-4</v>
      </c>
    </row>
    <row r="217" spans="2:5" ht="15" customHeight="1" x14ac:dyDescent="0.25">
      <c r="B217" s="81"/>
      <c r="C217" s="29" t="s">
        <v>24</v>
      </c>
      <c r="D217" s="28">
        <v>1</v>
      </c>
      <c r="E217" s="27">
        <v>2.1445421402530561E-4</v>
      </c>
    </row>
    <row r="218" spans="2:5" ht="15" customHeight="1" x14ac:dyDescent="0.25">
      <c r="B218" s="81"/>
      <c r="C218" s="29" t="s">
        <v>16</v>
      </c>
      <c r="D218" s="28">
        <v>5</v>
      </c>
      <c r="E218" s="27">
        <v>1.0722710701265279E-3</v>
      </c>
    </row>
    <row r="219" spans="2:5" ht="15" customHeight="1" x14ac:dyDescent="0.25">
      <c r="B219" s="81"/>
      <c r="C219" s="29" t="s">
        <v>29</v>
      </c>
      <c r="D219" s="28">
        <v>1</v>
      </c>
      <c r="E219" s="27">
        <v>2.1445421402530561E-4</v>
      </c>
    </row>
    <row r="220" spans="2:5" ht="15" customHeight="1" x14ac:dyDescent="0.25">
      <c r="B220" s="81"/>
      <c r="C220" s="29" t="s">
        <v>39</v>
      </c>
      <c r="D220" s="28">
        <v>1</v>
      </c>
      <c r="E220" s="27">
        <v>2.1445421402530561E-4</v>
      </c>
    </row>
    <row r="221" spans="2:5" ht="15" customHeight="1" x14ac:dyDescent="0.25">
      <c r="B221" s="81"/>
      <c r="C221" s="29" t="s">
        <v>28</v>
      </c>
      <c r="D221" s="28">
        <v>4</v>
      </c>
      <c r="E221" s="27">
        <v>8.5781685610122243E-4</v>
      </c>
    </row>
    <row r="222" spans="2:5" ht="15" customHeight="1" x14ac:dyDescent="0.25">
      <c r="B222" s="81"/>
      <c r="C222" s="29" t="s">
        <v>36</v>
      </c>
      <c r="D222" s="28">
        <v>1</v>
      </c>
      <c r="E222" s="27">
        <v>2.1445421402530561E-4</v>
      </c>
    </row>
    <row r="223" spans="2:5" ht="15" customHeight="1" x14ac:dyDescent="0.25">
      <c r="B223" s="81"/>
      <c r="C223" s="29" t="s">
        <v>25</v>
      </c>
      <c r="D223" s="28">
        <v>4</v>
      </c>
      <c r="E223" s="27">
        <v>8.5781685610122243E-4</v>
      </c>
    </row>
    <row r="224" spans="2:5" ht="15" customHeight="1" x14ac:dyDescent="0.25">
      <c r="B224" s="81"/>
      <c r="C224" s="29" t="s">
        <v>23</v>
      </c>
      <c r="D224" s="28">
        <v>1</v>
      </c>
      <c r="E224" s="27">
        <v>2.1445421402530561E-4</v>
      </c>
    </row>
    <row r="225" spans="2:5" ht="15" customHeight="1" x14ac:dyDescent="0.25">
      <c r="B225" s="81"/>
      <c r="C225" s="29" t="s">
        <v>11</v>
      </c>
      <c r="D225" s="28">
        <v>2</v>
      </c>
      <c r="E225" s="27">
        <v>4.2890842805061121E-4</v>
      </c>
    </row>
    <row r="226" spans="2:5" ht="15" customHeight="1" x14ac:dyDescent="0.25">
      <c r="B226" s="81"/>
      <c r="C226" s="29" t="s">
        <v>18</v>
      </c>
      <c r="D226" s="28">
        <v>1</v>
      </c>
      <c r="E226" s="27">
        <v>2.1445421402530561E-4</v>
      </c>
    </row>
    <row r="227" spans="2:5" ht="15" customHeight="1" x14ac:dyDescent="0.25">
      <c r="B227" s="81"/>
      <c r="C227" s="29" t="s">
        <v>15</v>
      </c>
      <c r="D227" s="28">
        <v>13</v>
      </c>
      <c r="E227" s="27">
        <v>2.7879047823289728E-3</v>
      </c>
    </row>
    <row r="228" spans="2:5" ht="15" customHeight="1" x14ac:dyDescent="0.25">
      <c r="B228" s="81"/>
      <c r="C228" s="29" t="s">
        <v>34</v>
      </c>
      <c r="D228" s="28">
        <v>3</v>
      </c>
      <c r="E228" s="27">
        <v>6.4336264207591682E-4</v>
      </c>
    </row>
    <row r="229" spans="2:5" ht="15" customHeight="1" x14ac:dyDescent="0.25">
      <c r="B229" s="81"/>
      <c r="C229" s="29" t="s">
        <v>7</v>
      </c>
      <c r="D229" s="28">
        <v>20</v>
      </c>
      <c r="E229" s="27">
        <v>4.2890842805061117E-3</v>
      </c>
    </row>
    <row r="230" spans="2:5" ht="15" customHeight="1" x14ac:dyDescent="0.25">
      <c r="B230" s="81"/>
      <c r="C230" s="29" t="s">
        <v>31</v>
      </c>
      <c r="D230" s="28">
        <v>3</v>
      </c>
      <c r="E230" s="27">
        <v>6.4336264207591682E-4</v>
      </c>
    </row>
    <row r="231" spans="2:5" ht="15" customHeight="1" x14ac:dyDescent="0.25">
      <c r="B231" s="81"/>
      <c r="C231" s="29" t="s">
        <v>32</v>
      </c>
      <c r="D231" s="28">
        <v>2</v>
      </c>
      <c r="E231" s="27">
        <v>4.2890842805061121E-4</v>
      </c>
    </row>
    <row r="232" spans="2:5" ht="15" customHeight="1" x14ac:dyDescent="0.25">
      <c r="B232" s="81"/>
      <c r="C232" s="29" t="s">
        <v>14</v>
      </c>
      <c r="D232" s="28">
        <v>2</v>
      </c>
      <c r="E232" s="27">
        <v>4.2890842805061121E-4</v>
      </c>
    </row>
    <row r="233" spans="2:5" ht="15" customHeight="1" x14ac:dyDescent="0.25">
      <c r="B233" s="81"/>
      <c r="C233" s="29" t="s">
        <v>5</v>
      </c>
      <c r="D233" s="28">
        <v>30</v>
      </c>
      <c r="E233" s="27">
        <v>6.4336264207591675E-3</v>
      </c>
    </row>
    <row r="234" spans="2:5" ht="15" customHeight="1" x14ac:dyDescent="0.25">
      <c r="B234" s="81"/>
      <c r="C234" s="29" t="s">
        <v>20</v>
      </c>
      <c r="D234" s="28">
        <v>10</v>
      </c>
      <c r="E234" s="27">
        <v>2.1445421402530558E-3</v>
      </c>
    </row>
    <row r="235" spans="2:5" ht="15" customHeight="1" x14ac:dyDescent="0.25">
      <c r="B235" s="81"/>
      <c r="C235" s="29" t="s">
        <v>27</v>
      </c>
      <c r="D235" s="28">
        <v>1</v>
      </c>
      <c r="E235" s="27">
        <v>2.1445421402530561E-4</v>
      </c>
    </row>
    <row r="236" spans="2:5" ht="15" customHeight="1" x14ac:dyDescent="0.25">
      <c r="B236" s="81"/>
      <c r="C236" s="29" t="s">
        <v>17</v>
      </c>
      <c r="D236" s="28">
        <v>2</v>
      </c>
      <c r="E236" s="27">
        <v>4.2890842805061121E-4</v>
      </c>
    </row>
    <row r="237" spans="2:5" ht="15" customHeight="1" x14ac:dyDescent="0.25">
      <c r="B237" s="82"/>
      <c r="C237" s="26" t="s">
        <v>46</v>
      </c>
      <c r="D237" s="25">
        <v>192</v>
      </c>
      <c r="E237" s="24">
        <v>4.1175209092858676E-2</v>
      </c>
    </row>
    <row r="238" spans="2:5" ht="15" customHeight="1" x14ac:dyDescent="0.25">
      <c r="B238" s="80" t="s">
        <v>121</v>
      </c>
      <c r="C238" s="29" t="s">
        <v>35</v>
      </c>
      <c r="D238" s="28">
        <v>3</v>
      </c>
      <c r="E238" s="27">
        <v>6.4336264207591682E-4</v>
      </c>
    </row>
    <row r="239" spans="2:5" ht="15" customHeight="1" x14ac:dyDescent="0.25">
      <c r="B239" s="81"/>
      <c r="C239" s="29" t="s">
        <v>22</v>
      </c>
      <c r="D239" s="28">
        <v>7</v>
      </c>
      <c r="E239" s="27">
        <v>1.5011794981771391E-3</v>
      </c>
    </row>
    <row r="240" spans="2:5" ht="15" customHeight="1" x14ac:dyDescent="0.25">
      <c r="B240" s="81"/>
      <c r="C240" s="29" t="s">
        <v>13</v>
      </c>
      <c r="D240" s="28">
        <v>28</v>
      </c>
      <c r="E240" s="27">
        <v>6.0047179927085565E-3</v>
      </c>
    </row>
    <row r="241" spans="2:5" ht="15" customHeight="1" x14ac:dyDescent="0.25">
      <c r="B241" s="81"/>
      <c r="C241" s="29" t="s">
        <v>4</v>
      </c>
      <c r="D241" s="28">
        <v>298</v>
      </c>
      <c r="E241" s="27">
        <v>6.390735577954107E-2</v>
      </c>
    </row>
    <row r="242" spans="2:5" ht="15" customHeight="1" x14ac:dyDescent="0.25">
      <c r="B242" s="81"/>
      <c r="C242" s="29" t="s">
        <v>8</v>
      </c>
      <c r="D242" s="28">
        <v>139</v>
      </c>
      <c r="E242" s="27">
        <v>2.9809135749517476E-2</v>
      </c>
    </row>
    <row r="243" spans="2:5" ht="15" customHeight="1" x14ac:dyDescent="0.25">
      <c r="B243" s="81"/>
      <c r="C243" s="29" t="s">
        <v>41</v>
      </c>
      <c r="D243" s="28">
        <v>1</v>
      </c>
      <c r="E243" s="27">
        <v>2.1445421402530561E-4</v>
      </c>
    </row>
    <row r="244" spans="2:5" ht="15" customHeight="1" x14ac:dyDescent="0.25">
      <c r="B244" s="81"/>
      <c r="C244" s="29" t="s">
        <v>10</v>
      </c>
      <c r="D244" s="28">
        <v>58</v>
      </c>
      <c r="E244" s="27">
        <v>1.2438344413467724E-2</v>
      </c>
    </row>
    <row r="245" spans="2:5" ht="15" customHeight="1" x14ac:dyDescent="0.25">
      <c r="B245" s="81"/>
      <c r="C245" s="29" t="s">
        <v>12</v>
      </c>
      <c r="D245" s="28">
        <v>19</v>
      </c>
      <c r="E245" s="27">
        <v>4.0746300664808062E-3</v>
      </c>
    </row>
    <row r="246" spans="2:5" ht="15" customHeight="1" x14ac:dyDescent="0.25">
      <c r="B246" s="81"/>
      <c r="C246" s="29" t="s">
        <v>26</v>
      </c>
      <c r="D246" s="28">
        <v>6</v>
      </c>
      <c r="E246" s="27">
        <v>1.2867252841518336E-3</v>
      </c>
    </row>
    <row r="247" spans="2:5" ht="15" customHeight="1" x14ac:dyDescent="0.25">
      <c r="B247" s="81"/>
      <c r="C247" s="29" t="s">
        <v>6</v>
      </c>
      <c r="D247" s="28">
        <v>210</v>
      </c>
      <c r="E247" s="27">
        <v>4.5035384945314179E-2</v>
      </c>
    </row>
    <row r="248" spans="2:5" ht="15" customHeight="1" x14ac:dyDescent="0.25">
      <c r="B248" s="81"/>
      <c r="C248" s="29" t="s">
        <v>9</v>
      </c>
      <c r="D248" s="28">
        <v>77</v>
      </c>
      <c r="E248" s="27">
        <v>1.6512974479948532E-2</v>
      </c>
    </row>
    <row r="249" spans="2:5" ht="15" customHeight="1" x14ac:dyDescent="0.25">
      <c r="B249" s="81"/>
      <c r="C249" s="29" t="s">
        <v>24</v>
      </c>
      <c r="D249" s="28">
        <v>8</v>
      </c>
      <c r="E249" s="27">
        <v>1.7156337122024449E-3</v>
      </c>
    </row>
    <row r="250" spans="2:5" ht="15" customHeight="1" x14ac:dyDescent="0.25">
      <c r="B250" s="81"/>
      <c r="C250" s="29" t="s">
        <v>16</v>
      </c>
      <c r="D250" s="28">
        <v>15</v>
      </c>
      <c r="E250" s="27">
        <v>3.2168132103795838E-3</v>
      </c>
    </row>
    <row r="251" spans="2:5" ht="15" customHeight="1" x14ac:dyDescent="0.25">
      <c r="B251" s="81"/>
      <c r="C251" s="29" t="s">
        <v>19</v>
      </c>
      <c r="D251" s="28">
        <v>27</v>
      </c>
      <c r="E251" s="27">
        <v>5.790263778683251E-3</v>
      </c>
    </row>
    <row r="252" spans="2:5" ht="15" customHeight="1" x14ac:dyDescent="0.25">
      <c r="B252" s="81"/>
      <c r="C252" s="29" t="s">
        <v>29</v>
      </c>
      <c r="D252" s="28">
        <v>5</v>
      </c>
      <c r="E252" s="27">
        <v>1.0722710701265279E-3</v>
      </c>
    </row>
    <row r="253" spans="2:5" ht="15" customHeight="1" x14ac:dyDescent="0.25">
      <c r="B253" s="81"/>
      <c r="C253" s="29" t="s">
        <v>39</v>
      </c>
      <c r="D253" s="28">
        <v>1</v>
      </c>
      <c r="E253" s="27">
        <v>2.1445421402530561E-4</v>
      </c>
    </row>
    <row r="254" spans="2:5" ht="15" customHeight="1" x14ac:dyDescent="0.25">
      <c r="B254" s="81"/>
      <c r="C254" s="29" t="s">
        <v>28</v>
      </c>
      <c r="D254" s="28">
        <v>5</v>
      </c>
      <c r="E254" s="27">
        <v>1.0722710701265279E-3</v>
      </c>
    </row>
    <row r="255" spans="2:5" ht="15" customHeight="1" x14ac:dyDescent="0.25">
      <c r="B255" s="81"/>
      <c r="C255" s="29" t="s">
        <v>30</v>
      </c>
      <c r="D255" s="28">
        <v>13</v>
      </c>
      <c r="E255" s="27">
        <v>2.7879047823289728E-3</v>
      </c>
    </row>
    <row r="256" spans="2:5" ht="15" customHeight="1" x14ac:dyDescent="0.25">
      <c r="B256" s="81"/>
      <c r="C256" s="29" t="s">
        <v>36</v>
      </c>
      <c r="D256" s="28">
        <v>3</v>
      </c>
      <c r="E256" s="27">
        <v>6.4336264207591682E-4</v>
      </c>
    </row>
    <row r="257" spans="2:5" ht="15" customHeight="1" x14ac:dyDescent="0.25">
      <c r="B257" s="81"/>
      <c r="C257" s="29" t="s">
        <v>25</v>
      </c>
      <c r="D257" s="28">
        <v>5</v>
      </c>
      <c r="E257" s="27">
        <v>1.0722710701265279E-3</v>
      </c>
    </row>
    <row r="258" spans="2:5" ht="15" customHeight="1" x14ac:dyDescent="0.25">
      <c r="B258" s="81"/>
      <c r="C258" s="29" t="s">
        <v>23</v>
      </c>
      <c r="D258" s="28">
        <v>19</v>
      </c>
      <c r="E258" s="27">
        <v>4.0746300664808062E-3</v>
      </c>
    </row>
    <row r="259" spans="2:5" ht="15" customHeight="1" x14ac:dyDescent="0.25">
      <c r="B259" s="81"/>
      <c r="C259" s="29" t="s">
        <v>11</v>
      </c>
      <c r="D259" s="28">
        <v>22</v>
      </c>
      <c r="E259" s="27">
        <v>4.7179927085567236E-3</v>
      </c>
    </row>
    <row r="260" spans="2:5" ht="15" customHeight="1" x14ac:dyDescent="0.25">
      <c r="B260" s="81"/>
      <c r="C260" s="29" t="s">
        <v>40</v>
      </c>
      <c r="D260" s="28">
        <v>2</v>
      </c>
      <c r="E260" s="27">
        <v>4.2890842805061121E-4</v>
      </c>
    </row>
    <row r="261" spans="2:5" ht="15" customHeight="1" x14ac:dyDescent="0.25">
      <c r="B261" s="81"/>
      <c r="C261" s="29" t="s">
        <v>18</v>
      </c>
      <c r="D261" s="28">
        <v>14</v>
      </c>
      <c r="E261" s="27">
        <v>3.0023589963542783E-3</v>
      </c>
    </row>
    <row r="262" spans="2:5" ht="15" customHeight="1" x14ac:dyDescent="0.25">
      <c r="B262" s="81"/>
      <c r="C262" s="29" t="s">
        <v>33</v>
      </c>
      <c r="D262" s="28">
        <v>4</v>
      </c>
      <c r="E262" s="27">
        <v>8.5781685610122243E-4</v>
      </c>
    </row>
    <row r="263" spans="2:5" ht="15" customHeight="1" x14ac:dyDescent="0.25">
      <c r="B263" s="81"/>
      <c r="C263" s="29" t="s">
        <v>15</v>
      </c>
      <c r="D263" s="28">
        <v>34</v>
      </c>
      <c r="E263" s="27">
        <v>7.2914432768603904E-3</v>
      </c>
    </row>
    <row r="264" spans="2:5" ht="15" customHeight="1" x14ac:dyDescent="0.25">
      <c r="B264" s="81"/>
      <c r="C264" s="29" t="s">
        <v>34</v>
      </c>
      <c r="D264" s="28">
        <v>7</v>
      </c>
      <c r="E264" s="27">
        <v>1.5011794981771391E-3</v>
      </c>
    </row>
    <row r="265" spans="2:5" ht="15" customHeight="1" x14ac:dyDescent="0.25">
      <c r="B265" s="81"/>
      <c r="C265" s="29" t="s">
        <v>7</v>
      </c>
      <c r="D265" s="28">
        <v>148</v>
      </c>
      <c r="E265" s="27">
        <v>3.1739223675745228E-2</v>
      </c>
    </row>
    <row r="266" spans="2:5" ht="15" customHeight="1" x14ac:dyDescent="0.25">
      <c r="B266" s="81"/>
      <c r="C266" s="29" t="s">
        <v>31</v>
      </c>
      <c r="D266" s="28">
        <v>4</v>
      </c>
      <c r="E266" s="27">
        <v>8.5781685610122243E-4</v>
      </c>
    </row>
    <row r="267" spans="2:5" ht="15" customHeight="1" x14ac:dyDescent="0.25">
      <c r="B267" s="81"/>
      <c r="C267" s="29" t="s">
        <v>37</v>
      </c>
      <c r="D267" s="28">
        <v>1</v>
      </c>
      <c r="E267" s="27">
        <v>2.1445421402530561E-4</v>
      </c>
    </row>
    <row r="268" spans="2:5" ht="15" customHeight="1" x14ac:dyDescent="0.25">
      <c r="B268" s="81"/>
      <c r="C268" s="29" t="s">
        <v>32</v>
      </c>
      <c r="D268" s="28">
        <v>13</v>
      </c>
      <c r="E268" s="27">
        <v>2.7879047823289728E-3</v>
      </c>
    </row>
    <row r="269" spans="2:5" ht="15" customHeight="1" x14ac:dyDescent="0.25">
      <c r="B269" s="81"/>
      <c r="C269" s="29" t="s">
        <v>45</v>
      </c>
      <c r="D269" s="28">
        <v>3</v>
      </c>
      <c r="E269" s="27">
        <v>6.4336264207591682E-4</v>
      </c>
    </row>
    <row r="270" spans="2:5" ht="15" customHeight="1" x14ac:dyDescent="0.25">
      <c r="B270" s="81"/>
      <c r="C270" s="29" t="s">
        <v>14</v>
      </c>
      <c r="D270" s="28">
        <v>20</v>
      </c>
      <c r="E270" s="27">
        <v>4.2890842805061117E-3</v>
      </c>
    </row>
    <row r="271" spans="2:5" ht="15" customHeight="1" x14ac:dyDescent="0.25">
      <c r="B271" s="81"/>
      <c r="C271" s="29" t="s">
        <v>5</v>
      </c>
      <c r="D271" s="28">
        <v>361</v>
      </c>
      <c r="E271" s="27">
        <v>7.7417971263135321E-2</v>
      </c>
    </row>
    <row r="272" spans="2:5" ht="15" customHeight="1" x14ac:dyDescent="0.25">
      <c r="B272" s="81"/>
      <c r="C272" s="29" t="s">
        <v>20</v>
      </c>
      <c r="D272" s="28">
        <v>19</v>
      </c>
      <c r="E272" s="27">
        <v>4.0746300664808062E-3</v>
      </c>
    </row>
    <row r="273" spans="2:5" ht="15" customHeight="1" x14ac:dyDescent="0.25">
      <c r="B273" s="81"/>
      <c r="C273" s="29" t="s">
        <v>27</v>
      </c>
      <c r="D273" s="28">
        <v>9</v>
      </c>
      <c r="E273" s="27">
        <v>1.9300879262277503E-3</v>
      </c>
    </row>
    <row r="274" spans="2:5" ht="15" customHeight="1" x14ac:dyDescent="0.25">
      <c r="B274" s="81"/>
      <c r="C274" s="29" t="s">
        <v>17</v>
      </c>
      <c r="D274" s="28">
        <v>8</v>
      </c>
      <c r="E274" s="27">
        <v>1.7156337122024449E-3</v>
      </c>
    </row>
    <row r="275" spans="2:5" ht="15" customHeight="1" x14ac:dyDescent="0.25">
      <c r="B275" s="81"/>
      <c r="C275" s="29" t="s">
        <v>21</v>
      </c>
      <c r="D275" s="28">
        <v>12</v>
      </c>
      <c r="E275" s="27">
        <v>2.5734505683036673E-3</v>
      </c>
    </row>
    <row r="276" spans="2:5" ht="15" customHeight="1" x14ac:dyDescent="0.25">
      <c r="B276" s="81"/>
      <c r="C276" s="29" t="s">
        <v>42</v>
      </c>
      <c r="D276" s="28">
        <v>7</v>
      </c>
      <c r="E276" s="27">
        <v>1.5011794981771391E-3</v>
      </c>
    </row>
    <row r="277" spans="2:5" ht="15" customHeight="1" x14ac:dyDescent="0.25">
      <c r="B277" s="82"/>
      <c r="C277" s="26" t="s">
        <v>46</v>
      </c>
      <c r="D277" s="25">
        <v>1635</v>
      </c>
      <c r="E277" s="24">
        <v>0.35063263993137467</v>
      </c>
    </row>
    <row r="278" spans="2:5" ht="15" customHeight="1" x14ac:dyDescent="0.25">
      <c r="B278" s="80" t="s">
        <v>120</v>
      </c>
      <c r="C278" s="29" t="s">
        <v>13</v>
      </c>
      <c r="D278" s="28">
        <v>1</v>
      </c>
      <c r="E278" s="27">
        <v>2.1445421402530561E-4</v>
      </c>
    </row>
    <row r="279" spans="2:5" ht="15" customHeight="1" x14ac:dyDescent="0.25">
      <c r="B279" s="81"/>
      <c r="C279" s="29" t="s">
        <v>4</v>
      </c>
      <c r="D279" s="28">
        <v>16</v>
      </c>
      <c r="E279" s="27">
        <v>3.4312674244048897E-3</v>
      </c>
    </row>
    <row r="280" spans="2:5" ht="15" customHeight="1" x14ac:dyDescent="0.25">
      <c r="B280" s="81"/>
      <c r="C280" s="29" t="s">
        <v>8</v>
      </c>
      <c r="D280" s="28">
        <v>3</v>
      </c>
      <c r="E280" s="27">
        <v>6.4336264207591682E-4</v>
      </c>
    </row>
    <row r="281" spans="2:5" ht="15" customHeight="1" x14ac:dyDescent="0.25">
      <c r="B281" s="81"/>
      <c r="C281" s="29" t="s">
        <v>12</v>
      </c>
      <c r="D281" s="28">
        <v>2</v>
      </c>
      <c r="E281" s="27">
        <v>4.2890842805061121E-4</v>
      </c>
    </row>
    <row r="282" spans="2:5" ht="15" customHeight="1" x14ac:dyDescent="0.25">
      <c r="B282" s="81"/>
      <c r="C282" s="29" t="s">
        <v>6</v>
      </c>
      <c r="D282" s="28">
        <v>5</v>
      </c>
      <c r="E282" s="27">
        <v>1.0722710701265279E-3</v>
      </c>
    </row>
    <row r="283" spans="2:5" ht="15" customHeight="1" x14ac:dyDescent="0.25">
      <c r="B283" s="81"/>
      <c r="C283" s="29" t="s">
        <v>9</v>
      </c>
      <c r="D283" s="28">
        <v>2</v>
      </c>
      <c r="E283" s="27">
        <v>4.2890842805061121E-4</v>
      </c>
    </row>
    <row r="284" spans="2:5" ht="15" customHeight="1" x14ac:dyDescent="0.25">
      <c r="B284" s="81"/>
      <c r="C284" s="29" t="s">
        <v>28</v>
      </c>
      <c r="D284" s="28">
        <v>1</v>
      </c>
      <c r="E284" s="27">
        <v>2.1445421402530561E-4</v>
      </c>
    </row>
    <row r="285" spans="2:5" ht="15" customHeight="1" x14ac:dyDescent="0.25">
      <c r="B285" s="81"/>
      <c r="C285" s="29" t="s">
        <v>30</v>
      </c>
      <c r="D285" s="28">
        <v>2</v>
      </c>
      <c r="E285" s="27">
        <v>4.2890842805061121E-4</v>
      </c>
    </row>
    <row r="286" spans="2:5" ht="15" customHeight="1" x14ac:dyDescent="0.25">
      <c r="B286" s="81"/>
      <c r="C286" s="29" t="s">
        <v>23</v>
      </c>
      <c r="D286" s="28">
        <v>1</v>
      </c>
      <c r="E286" s="27">
        <v>2.1445421402530561E-4</v>
      </c>
    </row>
    <row r="287" spans="2:5" ht="15" customHeight="1" x14ac:dyDescent="0.25">
      <c r="B287" s="81"/>
      <c r="C287" s="29" t="s">
        <v>11</v>
      </c>
      <c r="D287" s="28">
        <v>1</v>
      </c>
      <c r="E287" s="27">
        <v>2.1445421402530561E-4</v>
      </c>
    </row>
    <row r="288" spans="2:5" ht="15" customHeight="1" x14ac:dyDescent="0.25">
      <c r="B288" s="81"/>
      <c r="C288" s="29" t="s">
        <v>15</v>
      </c>
      <c r="D288" s="28">
        <v>1</v>
      </c>
      <c r="E288" s="27">
        <v>2.1445421402530561E-4</v>
      </c>
    </row>
    <row r="289" spans="2:5" ht="15" customHeight="1" x14ac:dyDescent="0.25">
      <c r="B289" s="81"/>
      <c r="C289" s="29" t="s">
        <v>7</v>
      </c>
      <c r="D289" s="28">
        <v>1</v>
      </c>
      <c r="E289" s="27">
        <v>2.1445421402530561E-4</v>
      </c>
    </row>
    <row r="290" spans="2:5" ht="15" customHeight="1" x14ac:dyDescent="0.25">
      <c r="B290" s="81"/>
      <c r="C290" s="29" t="s">
        <v>5</v>
      </c>
      <c r="D290" s="28">
        <v>10</v>
      </c>
      <c r="E290" s="27">
        <v>2.1445421402530558E-3</v>
      </c>
    </row>
    <row r="291" spans="2:5" ht="15" customHeight="1" x14ac:dyDescent="0.25">
      <c r="B291" s="81"/>
      <c r="C291" s="29" t="s">
        <v>17</v>
      </c>
      <c r="D291" s="28">
        <v>1</v>
      </c>
      <c r="E291" s="27">
        <v>2.1445421402530561E-4</v>
      </c>
    </row>
    <row r="292" spans="2:5" ht="15" customHeight="1" x14ac:dyDescent="0.25">
      <c r="B292" s="82"/>
      <c r="C292" s="26" t="s">
        <v>46</v>
      </c>
      <c r="D292" s="25">
        <v>47</v>
      </c>
      <c r="E292" s="24">
        <v>1.0079348059189364E-2</v>
      </c>
    </row>
    <row r="293" spans="2:5" ht="15" customHeight="1" x14ac:dyDescent="0.25">
      <c r="B293" s="80" t="s">
        <v>119</v>
      </c>
      <c r="C293" s="29" t="s">
        <v>22</v>
      </c>
      <c r="D293" s="28">
        <v>2</v>
      </c>
      <c r="E293" s="27">
        <v>4.2890842805061121E-4</v>
      </c>
    </row>
    <row r="294" spans="2:5" ht="15" customHeight="1" x14ac:dyDescent="0.25">
      <c r="B294" s="81"/>
      <c r="C294" s="29" t="s">
        <v>13</v>
      </c>
      <c r="D294" s="28">
        <v>7</v>
      </c>
      <c r="E294" s="27">
        <v>1.5011794981771391E-3</v>
      </c>
    </row>
    <row r="295" spans="2:5" ht="15" customHeight="1" x14ac:dyDescent="0.25">
      <c r="B295" s="81"/>
      <c r="C295" s="29" t="s">
        <v>4</v>
      </c>
      <c r="D295" s="28">
        <v>76</v>
      </c>
      <c r="E295" s="27">
        <v>1.6298520265923225E-2</v>
      </c>
    </row>
    <row r="296" spans="2:5" ht="15" customHeight="1" x14ac:dyDescent="0.25">
      <c r="B296" s="81"/>
      <c r="C296" s="29" t="s">
        <v>8</v>
      </c>
      <c r="D296" s="28">
        <v>29</v>
      </c>
      <c r="E296" s="27">
        <v>6.219172206733862E-3</v>
      </c>
    </row>
    <row r="297" spans="2:5" ht="15" customHeight="1" x14ac:dyDescent="0.25">
      <c r="B297" s="81"/>
      <c r="C297" s="29" t="s">
        <v>41</v>
      </c>
      <c r="D297" s="28">
        <v>1</v>
      </c>
      <c r="E297" s="27">
        <v>2.1445421402530561E-4</v>
      </c>
    </row>
    <row r="298" spans="2:5" ht="15" customHeight="1" x14ac:dyDescent="0.25">
      <c r="B298" s="81"/>
      <c r="C298" s="29" t="s">
        <v>10</v>
      </c>
      <c r="D298" s="28">
        <v>11</v>
      </c>
      <c r="E298" s="27">
        <v>2.3589963542783618E-3</v>
      </c>
    </row>
    <row r="299" spans="2:5" ht="15" customHeight="1" x14ac:dyDescent="0.25">
      <c r="B299" s="81"/>
      <c r="C299" s="29" t="s">
        <v>12</v>
      </c>
      <c r="D299" s="28">
        <v>6</v>
      </c>
      <c r="E299" s="27">
        <v>1.2867252841518336E-3</v>
      </c>
    </row>
    <row r="300" spans="2:5" ht="15" customHeight="1" x14ac:dyDescent="0.25">
      <c r="B300" s="81"/>
      <c r="C300" s="29" t="s">
        <v>26</v>
      </c>
      <c r="D300" s="28">
        <v>2</v>
      </c>
      <c r="E300" s="27">
        <v>4.2890842805061121E-4</v>
      </c>
    </row>
    <row r="301" spans="2:5" ht="15" customHeight="1" x14ac:dyDescent="0.25">
      <c r="B301" s="81"/>
      <c r="C301" s="29" t="s">
        <v>6</v>
      </c>
      <c r="D301" s="28">
        <v>18</v>
      </c>
      <c r="E301" s="27">
        <v>3.8601758524555007E-3</v>
      </c>
    </row>
    <row r="302" spans="2:5" ht="15" customHeight="1" x14ac:dyDescent="0.25">
      <c r="B302" s="81"/>
      <c r="C302" s="29" t="s">
        <v>9</v>
      </c>
      <c r="D302" s="28">
        <v>12</v>
      </c>
      <c r="E302" s="27">
        <v>2.5734505683036673E-3</v>
      </c>
    </row>
    <row r="303" spans="2:5" ht="15" customHeight="1" x14ac:dyDescent="0.25">
      <c r="B303" s="81"/>
      <c r="C303" s="29" t="s">
        <v>24</v>
      </c>
      <c r="D303" s="28">
        <v>2</v>
      </c>
      <c r="E303" s="27">
        <v>4.2890842805061121E-4</v>
      </c>
    </row>
    <row r="304" spans="2:5" ht="15" customHeight="1" x14ac:dyDescent="0.25">
      <c r="B304" s="81"/>
      <c r="C304" s="29" t="s">
        <v>16</v>
      </c>
      <c r="D304" s="28">
        <v>11</v>
      </c>
      <c r="E304" s="27">
        <v>2.3589963542783618E-3</v>
      </c>
    </row>
    <row r="305" spans="2:5" ht="15" customHeight="1" x14ac:dyDescent="0.25">
      <c r="B305" s="81"/>
      <c r="C305" s="29" t="s">
        <v>19</v>
      </c>
      <c r="D305" s="28">
        <v>6</v>
      </c>
      <c r="E305" s="27">
        <v>1.2867252841518336E-3</v>
      </c>
    </row>
    <row r="306" spans="2:5" ht="15" customHeight="1" x14ac:dyDescent="0.25">
      <c r="B306" s="81"/>
      <c r="C306" s="29" t="s">
        <v>43</v>
      </c>
      <c r="D306" s="28">
        <v>1</v>
      </c>
      <c r="E306" s="27">
        <v>2.1445421402530561E-4</v>
      </c>
    </row>
    <row r="307" spans="2:5" ht="15" customHeight="1" x14ac:dyDescent="0.25">
      <c r="B307" s="81"/>
      <c r="C307" s="29" t="s">
        <v>28</v>
      </c>
      <c r="D307" s="28">
        <v>2</v>
      </c>
      <c r="E307" s="27">
        <v>4.2890842805061121E-4</v>
      </c>
    </row>
    <row r="308" spans="2:5" ht="15" customHeight="1" x14ac:dyDescent="0.25">
      <c r="B308" s="81"/>
      <c r="C308" s="29" t="s">
        <v>30</v>
      </c>
      <c r="D308" s="28">
        <v>1</v>
      </c>
      <c r="E308" s="27">
        <v>2.1445421402530561E-4</v>
      </c>
    </row>
    <row r="309" spans="2:5" ht="15" customHeight="1" x14ac:dyDescent="0.25">
      <c r="B309" s="81"/>
      <c r="C309" s="29" t="s">
        <v>25</v>
      </c>
      <c r="D309" s="28">
        <v>1</v>
      </c>
      <c r="E309" s="27">
        <v>2.1445421402530561E-4</v>
      </c>
    </row>
    <row r="310" spans="2:5" ht="15" customHeight="1" x14ac:dyDescent="0.25">
      <c r="B310" s="81"/>
      <c r="C310" s="29" t="s">
        <v>23</v>
      </c>
      <c r="D310" s="28">
        <v>3</v>
      </c>
      <c r="E310" s="27">
        <v>6.4336264207591682E-4</v>
      </c>
    </row>
    <row r="311" spans="2:5" ht="15" customHeight="1" x14ac:dyDescent="0.25">
      <c r="B311" s="81"/>
      <c r="C311" s="29" t="s">
        <v>11</v>
      </c>
      <c r="D311" s="28">
        <v>7</v>
      </c>
      <c r="E311" s="27">
        <v>1.5011794981771391E-3</v>
      </c>
    </row>
    <row r="312" spans="2:5" ht="15" customHeight="1" x14ac:dyDescent="0.25">
      <c r="B312" s="81"/>
      <c r="C312" s="29" t="s">
        <v>40</v>
      </c>
      <c r="D312" s="28">
        <v>1</v>
      </c>
      <c r="E312" s="27">
        <v>2.1445421402530561E-4</v>
      </c>
    </row>
    <row r="313" spans="2:5" ht="15" customHeight="1" x14ac:dyDescent="0.25">
      <c r="B313" s="81"/>
      <c r="C313" s="29" t="s">
        <v>18</v>
      </c>
      <c r="D313" s="28">
        <v>4</v>
      </c>
      <c r="E313" s="27">
        <v>8.5781685610122243E-4</v>
      </c>
    </row>
    <row r="314" spans="2:5" ht="15" customHeight="1" x14ac:dyDescent="0.25">
      <c r="B314" s="81"/>
      <c r="C314" s="29" t="s">
        <v>15</v>
      </c>
      <c r="D314" s="28">
        <v>10</v>
      </c>
      <c r="E314" s="27">
        <v>2.1445421402530558E-3</v>
      </c>
    </row>
    <row r="315" spans="2:5" ht="15" customHeight="1" x14ac:dyDescent="0.25">
      <c r="B315" s="81"/>
      <c r="C315" s="29" t="s">
        <v>34</v>
      </c>
      <c r="D315" s="28">
        <v>1</v>
      </c>
      <c r="E315" s="27">
        <v>2.1445421402530561E-4</v>
      </c>
    </row>
    <row r="316" spans="2:5" ht="15" customHeight="1" x14ac:dyDescent="0.25">
      <c r="B316" s="81"/>
      <c r="C316" s="29" t="s">
        <v>7</v>
      </c>
      <c r="D316" s="28">
        <v>31</v>
      </c>
      <c r="E316" s="27">
        <v>6.6480806347844739E-3</v>
      </c>
    </row>
    <row r="317" spans="2:5" ht="15" customHeight="1" x14ac:dyDescent="0.25">
      <c r="B317" s="81"/>
      <c r="C317" s="29" t="s">
        <v>31</v>
      </c>
      <c r="D317" s="28">
        <v>1</v>
      </c>
      <c r="E317" s="27">
        <v>2.1445421402530561E-4</v>
      </c>
    </row>
    <row r="318" spans="2:5" ht="15" customHeight="1" x14ac:dyDescent="0.25">
      <c r="B318" s="81"/>
      <c r="C318" s="29" t="s">
        <v>32</v>
      </c>
      <c r="D318" s="28">
        <v>2</v>
      </c>
      <c r="E318" s="27">
        <v>4.2890842805061121E-4</v>
      </c>
    </row>
    <row r="319" spans="2:5" ht="15" customHeight="1" x14ac:dyDescent="0.25">
      <c r="B319" s="81"/>
      <c r="C319" s="29" t="s">
        <v>14</v>
      </c>
      <c r="D319" s="28">
        <v>3</v>
      </c>
      <c r="E319" s="27">
        <v>6.4336264207591682E-4</v>
      </c>
    </row>
    <row r="320" spans="2:5" ht="15" customHeight="1" x14ac:dyDescent="0.25">
      <c r="B320" s="81"/>
      <c r="C320" s="29" t="s">
        <v>5</v>
      </c>
      <c r="D320" s="28">
        <v>57</v>
      </c>
      <c r="E320" s="27">
        <v>1.2223890199442419E-2</v>
      </c>
    </row>
    <row r="321" spans="2:5" ht="15" customHeight="1" x14ac:dyDescent="0.25">
      <c r="B321" s="81"/>
      <c r="C321" s="29" t="s">
        <v>20</v>
      </c>
      <c r="D321" s="28">
        <v>2</v>
      </c>
      <c r="E321" s="27">
        <v>4.2890842805061121E-4</v>
      </c>
    </row>
    <row r="322" spans="2:5" ht="15" customHeight="1" x14ac:dyDescent="0.25">
      <c r="B322" s="81"/>
      <c r="C322" s="29" t="s">
        <v>17</v>
      </c>
      <c r="D322" s="28">
        <v>4</v>
      </c>
      <c r="E322" s="27">
        <v>8.5781685610122243E-4</v>
      </c>
    </row>
    <row r="323" spans="2:5" ht="15" customHeight="1" x14ac:dyDescent="0.25">
      <c r="B323" s="81"/>
      <c r="C323" s="29" t="s">
        <v>21</v>
      </c>
      <c r="D323" s="28">
        <v>3</v>
      </c>
      <c r="E323" s="27">
        <v>6.4336264207591682E-4</v>
      </c>
    </row>
    <row r="324" spans="2:5" ht="15" customHeight="1" x14ac:dyDescent="0.25">
      <c r="B324" s="81"/>
      <c r="C324" s="29" t="s">
        <v>42</v>
      </c>
      <c r="D324" s="28">
        <v>1</v>
      </c>
      <c r="E324" s="27">
        <v>2.1445421402530561E-4</v>
      </c>
    </row>
    <row r="325" spans="2:5" ht="15" customHeight="1" x14ac:dyDescent="0.25">
      <c r="B325" s="82"/>
      <c r="C325" s="26" t="s">
        <v>46</v>
      </c>
      <c r="D325" s="25">
        <v>318</v>
      </c>
      <c r="E325" s="24">
        <v>6.8196440060047187E-2</v>
      </c>
    </row>
    <row r="326" spans="2:5" ht="15" customHeight="1" x14ac:dyDescent="0.25">
      <c r="B326" s="80" t="s">
        <v>118</v>
      </c>
      <c r="C326" s="29" t="s">
        <v>35</v>
      </c>
      <c r="D326" s="28">
        <v>5</v>
      </c>
      <c r="E326" s="27">
        <v>1.0722710701265279E-3</v>
      </c>
    </row>
    <row r="327" spans="2:5" ht="15" customHeight="1" x14ac:dyDescent="0.25">
      <c r="B327" s="81"/>
      <c r="C327" s="29" t="s">
        <v>22</v>
      </c>
      <c r="D327" s="28">
        <v>6</v>
      </c>
      <c r="E327" s="27">
        <v>1.2867252841518336E-3</v>
      </c>
    </row>
    <row r="328" spans="2:5" ht="15" customHeight="1" x14ac:dyDescent="0.25">
      <c r="B328" s="81"/>
      <c r="C328" s="29" t="s">
        <v>13</v>
      </c>
      <c r="D328" s="28">
        <v>16</v>
      </c>
      <c r="E328" s="27">
        <v>3.4312674244048897E-3</v>
      </c>
    </row>
    <row r="329" spans="2:5" ht="15" customHeight="1" x14ac:dyDescent="0.25">
      <c r="B329" s="81"/>
      <c r="C329" s="29" t="s">
        <v>4</v>
      </c>
      <c r="D329" s="28">
        <v>168</v>
      </c>
      <c r="E329" s="27">
        <v>3.6028307956251338E-2</v>
      </c>
    </row>
    <row r="330" spans="2:5" ht="15" customHeight="1" x14ac:dyDescent="0.25">
      <c r="B330" s="81"/>
      <c r="C330" s="29" t="s">
        <v>8</v>
      </c>
      <c r="D330" s="28">
        <v>61</v>
      </c>
      <c r="E330" s="27">
        <v>1.3081707055543641E-2</v>
      </c>
    </row>
    <row r="331" spans="2:5" ht="15" customHeight="1" x14ac:dyDescent="0.25">
      <c r="B331" s="81"/>
      <c r="C331" s="29" t="s">
        <v>38</v>
      </c>
      <c r="D331" s="28">
        <v>2</v>
      </c>
      <c r="E331" s="27">
        <v>4.2890842805061121E-4</v>
      </c>
    </row>
    <row r="332" spans="2:5" ht="15" customHeight="1" x14ac:dyDescent="0.25">
      <c r="B332" s="81"/>
      <c r="C332" s="29" t="s">
        <v>41</v>
      </c>
      <c r="D332" s="28">
        <v>1</v>
      </c>
      <c r="E332" s="27">
        <v>2.1445421402530561E-4</v>
      </c>
    </row>
    <row r="333" spans="2:5" ht="15" customHeight="1" x14ac:dyDescent="0.25">
      <c r="B333" s="81"/>
      <c r="C333" s="29" t="s">
        <v>10</v>
      </c>
      <c r="D333" s="28">
        <v>14</v>
      </c>
      <c r="E333" s="27">
        <v>3.0023589963542783E-3</v>
      </c>
    </row>
    <row r="334" spans="2:5" ht="15" customHeight="1" x14ac:dyDescent="0.25">
      <c r="B334" s="81"/>
      <c r="C334" s="29" t="s">
        <v>12</v>
      </c>
      <c r="D334" s="28">
        <v>13</v>
      </c>
      <c r="E334" s="27">
        <v>2.7879047823289728E-3</v>
      </c>
    </row>
    <row r="335" spans="2:5" ht="15" customHeight="1" x14ac:dyDescent="0.25">
      <c r="B335" s="81"/>
      <c r="C335" s="29" t="s">
        <v>26</v>
      </c>
      <c r="D335" s="28">
        <v>8</v>
      </c>
      <c r="E335" s="27">
        <v>1.7156337122024449E-3</v>
      </c>
    </row>
    <row r="336" spans="2:5" ht="15" customHeight="1" x14ac:dyDescent="0.25">
      <c r="B336" s="81"/>
      <c r="C336" s="29" t="s">
        <v>6</v>
      </c>
      <c r="D336" s="28">
        <v>78</v>
      </c>
      <c r="E336" s="27">
        <v>1.6727428693973836E-2</v>
      </c>
    </row>
    <row r="337" spans="2:5" ht="15" customHeight="1" x14ac:dyDescent="0.25">
      <c r="B337" s="81"/>
      <c r="C337" s="29" t="s">
        <v>9</v>
      </c>
      <c r="D337" s="28">
        <v>25</v>
      </c>
      <c r="E337" s="27">
        <v>5.3613553506326401E-3</v>
      </c>
    </row>
    <row r="338" spans="2:5" ht="15" customHeight="1" x14ac:dyDescent="0.25">
      <c r="B338" s="81"/>
      <c r="C338" s="29" t="s">
        <v>24</v>
      </c>
      <c r="D338" s="28">
        <v>2</v>
      </c>
      <c r="E338" s="27">
        <v>4.2890842805061121E-4</v>
      </c>
    </row>
    <row r="339" spans="2:5" ht="15" customHeight="1" x14ac:dyDescent="0.25">
      <c r="B339" s="81"/>
      <c r="C339" s="29" t="s">
        <v>16</v>
      </c>
      <c r="D339" s="28">
        <v>12</v>
      </c>
      <c r="E339" s="27">
        <v>2.5734505683036673E-3</v>
      </c>
    </row>
    <row r="340" spans="2:5" ht="15" customHeight="1" x14ac:dyDescent="0.25">
      <c r="B340" s="81"/>
      <c r="C340" s="29" t="s">
        <v>19</v>
      </c>
      <c r="D340" s="28">
        <v>12</v>
      </c>
      <c r="E340" s="27">
        <v>2.5734505683036673E-3</v>
      </c>
    </row>
    <row r="341" spans="2:5" ht="15" customHeight="1" x14ac:dyDescent="0.25">
      <c r="B341" s="81"/>
      <c r="C341" s="29" t="s">
        <v>29</v>
      </c>
      <c r="D341" s="28">
        <v>1</v>
      </c>
      <c r="E341" s="27">
        <v>2.1445421402530561E-4</v>
      </c>
    </row>
    <row r="342" spans="2:5" ht="15" customHeight="1" x14ac:dyDescent="0.25">
      <c r="B342" s="81"/>
      <c r="C342" s="29" t="s">
        <v>28</v>
      </c>
      <c r="D342" s="28">
        <v>4</v>
      </c>
      <c r="E342" s="27">
        <v>8.5781685610122243E-4</v>
      </c>
    </row>
    <row r="343" spans="2:5" ht="15" customHeight="1" x14ac:dyDescent="0.25">
      <c r="B343" s="81"/>
      <c r="C343" s="29" t="s">
        <v>30</v>
      </c>
      <c r="D343" s="28">
        <v>7</v>
      </c>
      <c r="E343" s="27">
        <v>1.5011794981771391E-3</v>
      </c>
    </row>
    <row r="344" spans="2:5" ht="15" customHeight="1" x14ac:dyDescent="0.25">
      <c r="B344" s="81"/>
      <c r="C344" s="29" t="s">
        <v>25</v>
      </c>
      <c r="D344" s="28">
        <v>1</v>
      </c>
      <c r="E344" s="27">
        <v>2.1445421402530561E-4</v>
      </c>
    </row>
    <row r="345" spans="2:5" ht="15" customHeight="1" x14ac:dyDescent="0.25">
      <c r="B345" s="81"/>
      <c r="C345" s="29" t="s">
        <v>23</v>
      </c>
      <c r="D345" s="28">
        <v>9</v>
      </c>
      <c r="E345" s="27">
        <v>1.9300879262277503E-3</v>
      </c>
    </row>
    <row r="346" spans="2:5" ht="15" customHeight="1" x14ac:dyDescent="0.25">
      <c r="B346" s="81"/>
      <c r="C346" s="29" t="s">
        <v>11</v>
      </c>
      <c r="D346" s="28">
        <v>17</v>
      </c>
      <c r="E346" s="27">
        <v>3.6457216384301952E-3</v>
      </c>
    </row>
    <row r="347" spans="2:5" ht="15" customHeight="1" x14ac:dyDescent="0.25">
      <c r="B347" s="81"/>
      <c r="C347" s="29" t="s">
        <v>18</v>
      </c>
      <c r="D347" s="28">
        <v>8</v>
      </c>
      <c r="E347" s="27">
        <v>1.7156337122024449E-3</v>
      </c>
    </row>
    <row r="348" spans="2:5" ht="15" customHeight="1" x14ac:dyDescent="0.25">
      <c r="B348" s="81"/>
      <c r="C348" s="29" t="s">
        <v>33</v>
      </c>
      <c r="D348" s="28">
        <v>2</v>
      </c>
      <c r="E348" s="27">
        <v>4.2890842805061121E-4</v>
      </c>
    </row>
    <row r="349" spans="2:5" ht="15" customHeight="1" x14ac:dyDescent="0.25">
      <c r="B349" s="81"/>
      <c r="C349" s="29" t="s">
        <v>15</v>
      </c>
      <c r="D349" s="28">
        <v>16</v>
      </c>
      <c r="E349" s="27">
        <v>3.4312674244048897E-3</v>
      </c>
    </row>
    <row r="350" spans="2:5" ht="15" customHeight="1" x14ac:dyDescent="0.25">
      <c r="B350" s="81"/>
      <c r="C350" s="29" t="s">
        <v>34</v>
      </c>
      <c r="D350" s="28">
        <v>3</v>
      </c>
      <c r="E350" s="27">
        <v>6.4336264207591682E-4</v>
      </c>
    </row>
    <row r="351" spans="2:5" ht="15" customHeight="1" x14ac:dyDescent="0.25">
      <c r="B351" s="81"/>
      <c r="C351" s="29" t="s">
        <v>7</v>
      </c>
      <c r="D351" s="28">
        <v>79</v>
      </c>
      <c r="E351" s="27">
        <v>1.6941882907999143E-2</v>
      </c>
    </row>
    <row r="352" spans="2:5" ht="15" customHeight="1" x14ac:dyDescent="0.25">
      <c r="B352" s="81"/>
      <c r="C352" s="29" t="s">
        <v>31</v>
      </c>
      <c r="D352" s="28">
        <v>1</v>
      </c>
      <c r="E352" s="27">
        <v>2.1445421402530561E-4</v>
      </c>
    </row>
    <row r="353" spans="2:5" ht="15" customHeight="1" x14ac:dyDescent="0.25">
      <c r="B353" s="81"/>
      <c r="C353" s="29" t="s">
        <v>32</v>
      </c>
      <c r="D353" s="28">
        <v>5</v>
      </c>
      <c r="E353" s="27">
        <v>1.0722710701265279E-3</v>
      </c>
    </row>
    <row r="354" spans="2:5" ht="15" customHeight="1" x14ac:dyDescent="0.25">
      <c r="B354" s="81"/>
      <c r="C354" s="29" t="s">
        <v>45</v>
      </c>
      <c r="D354" s="28">
        <v>1</v>
      </c>
      <c r="E354" s="27">
        <v>2.1445421402530561E-4</v>
      </c>
    </row>
    <row r="355" spans="2:5" ht="15" customHeight="1" x14ac:dyDescent="0.25">
      <c r="B355" s="81"/>
      <c r="C355" s="29" t="s">
        <v>14</v>
      </c>
      <c r="D355" s="28">
        <v>10</v>
      </c>
      <c r="E355" s="27">
        <v>2.1445421402530558E-3</v>
      </c>
    </row>
    <row r="356" spans="2:5" ht="15" customHeight="1" x14ac:dyDescent="0.25">
      <c r="B356" s="81"/>
      <c r="C356" s="29" t="s">
        <v>5</v>
      </c>
      <c r="D356" s="28">
        <v>173</v>
      </c>
      <c r="E356" s="27">
        <v>3.7100579026377867E-2</v>
      </c>
    </row>
    <row r="357" spans="2:5" ht="15" customHeight="1" x14ac:dyDescent="0.25">
      <c r="B357" s="81"/>
      <c r="C357" s="29" t="s">
        <v>20</v>
      </c>
      <c r="D357" s="28">
        <v>15</v>
      </c>
      <c r="E357" s="27">
        <v>3.2168132103795838E-3</v>
      </c>
    </row>
    <row r="358" spans="2:5" ht="15" customHeight="1" x14ac:dyDescent="0.25">
      <c r="B358" s="81"/>
      <c r="C358" s="29" t="s">
        <v>27</v>
      </c>
      <c r="D358" s="28">
        <v>1</v>
      </c>
      <c r="E358" s="27">
        <v>2.1445421402530561E-4</v>
      </c>
    </row>
    <row r="359" spans="2:5" ht="15" customHeight="1" x14ac:dyDescent="0.25">
      <c r="B359" s="81"/>
      <c r="C359" s="29" t="s">
        <v>17</v>
      </c>
      <c r="D359" s="28">
        <v>5</v>
      </c>
      <c r="E359" s="27">
        <v>1.0722710701265279E-3</v>
      </c>
    </row>
    <row r="360" spans="2:5" ht="15" customHeight="1" x14ac:dyDescent="0.25">
      <c r="B360" s="81"/>
      <c r="C360" s="29" t="s">
        <v>21</v>
      </c>
      <c r="D360" s="28">
        <v>17</v>
      </c>
      <c r="E360" s="27">
        <v>3.6457216384301952E-3</v>
      </c>
    </row>
    <row r="361" spans="2:5" ht="15" customHeight="1" x14ac:dyDescent="0.25">
      <c r="B361" s="81"/>
      <c r="C361" s="29" t="s">
        <v>42</v>
      </c>
      <c r="D361" s="28">
        <v>2</v>
      </c>
      <c r="E361" s="27">
        <v>4.2890842805061121E-4</v>
      </c>
    </row>
    <row r="362" spans="2:5" ht="15" customHeight="1" x14ac:dyDescent="0.25">
      <c r="B362" s="82"/>
      <c r="C362" s="26" t="s">
        <v>46</v>
      </c>
      <c r="D362" s="25">
        <v>800</v>
      </c>
      <c r="E362" s="24">
        <v>0.17156337122024448</v>
      </c>
    </row>
    <row r="363" spans="2:5" ht="15" customHeight="1" x14ac:dyDescent="0.25">
      <c r="B363" s="80" t="s">
        <v>117</v>
      </c>
      <c r="C363" s="29" t="s">
        <v>4</v>
      </c>
      <c r="D363" s="28">
        <v>7</v>
      </c>
      <c r="E363" s="27">
        <v>1.5011794981771391E-3</v>
      </c>
    </row>
    <row r="364" spans="2:5" ht="15" customHeight="1" x14ac:dyDescent="0.25">
      <c r="B364" s="81"/>
      <c r="C364" s="29" t="s">
        <v>6</v>
      </c>
      <c r="D364" s="28">
        <v>2</v>
      </c>
      <c r="E364" s="27">
        <v>4.2890842805061121E-4</v>
      </c>
    </row>
    <row r="365" spans="2:5" ht="15" customHeight="1" x14ac:dyDescent="0.25">
      <c r="B365" s="81"/>
      <c r="C365" s="29" t="s">
        <v>30</v>
      </c>
      <c r="D365" s="28">
        <v>1</v>
      </c>
      <c r="E365" s="27">
        <v>2.1445421402530561E-4</v>
      </c>
    </row>
    <row r="366" spans="2:5" ht="15" customHeight="1" x14ac:dyDescent="0.25">
      <c r="B366" s="81"/>
      <c r="C366" s="29" t="s">
        <v>15</v>
      </c>
      <c r="D366" s="28">
        <v>1</v>
      </c>
      <c r="E366" s="27">
        <v>2.1445421402530561E-4</v>
      </c>
    </row>
    <row r="367" spans="2:5" ht="15" customHeight="1" x14ac:dyDescent="0.25">
      <c r="B367" s="81"/>
      <c r="C367" s="29" t="s">
        <v>7</v>
      </c>
      <c r="D367" s="28">
        <v>1</v>
      </c>
      <c r="E367" s="27">
        <v>2.1445421402530561E-4</v>
      </c>
    </row>
    <row r="368" spans="2:5" ht="15" customHeight="1" x14ac:dyDescent="0.25">
      <c r="B368" s="81"/>
      <c r="C368" s="29" t="s">
        <v>14</v>
      </c>
      <c r="D368" s="28">
        <v>1</v>
      </c>
      <c r="E368" s="27">
        <v>2.1445421402530561E-4</v>
      </c>
    </row>
    <row r="369" spans="2:5" ht="15" customHeight="1" x14ac:dyDescent="0.25">
      <c r="B369" s="81"/>
      <c r="C369" s="29" t="s">
        <v>5</v>
      </c>
      <c r="D369" s="28">
        <v>2</v>
      </c>
      <c r="E369" s="27">
        <v>4.2890842805061121E-4</v>
      </c>
    </row>
    <row r="370" spans="2:5" ht="15" customHeight="1" x14ac:dyDescent="0.25">
      <c r="B370" s="81"/>
      <c r="C370" s="29" t="s">
        <v>20</v>
      </c>
      <c r="D370" s="28">
        <v>1</v>
      </c>
      <c r="E370" s="27">
        <v>2.1445421402530561E-4</v>
      </c>
    </row>
    <row r="371" spans="2:5" ht="15" customHeight="1" x14ac:dyDescent="0.25">
      <c r="B371" s="81"/>
      <c r="C371" s="29" t="s">
        <v>21</v>
      </c>
      <c r="D371" s="28">
        <v>1</v>
      </c>
      <c r="E371" s="27">
        <v>2.1445421402530561E-4</v>
      </c>
    </row>
    <row r="372" spans="2:5" ht="15" customHeight="1" x14ac:dyDescent="0.25">
      <c r="B372" s="82"/>
      <c r="C372" s="26" t="s">
        <v>46</v>
      </c>
      <c r="D372" s="25">
        <v>17</v>
      </c>
      <c r="E372" s="24">
        <v>3.6457216384301952E-3</v>
      </c>
    </row>
    <row r="373" spans="2:5" ht="15" customHeight="1" x14ac:dyDescent="0.25">
      <c r="B373" s="80" t="s">
        <v>116</v>
      </c>
      <c r="C373" s="29" t="s">
        <v>4</v>
      </c>
      <c r="D373" s="28">
        <v>2</v>
      </c>
      <c r="E373" s="27">
        <v>4.2890842805061121E-4</v>
      </c>
    </row>
    <row r="374" spans="2:5" ht="15" customHeight="1" x14ac:dyDescent="0.25">
      <c r="B374" s="81"/>
      <c r="C374" s="29" t="s">
        <v>8</v>
      </c>
      <c r="D374" s="28">
        <v>1</v>
      </c>
      <c r="E374" s="27">
        <v>2.1445421402530561E-4</v>
      </c>
    </row>
    <row r="375" spans="2:5" ht="15" customHeight="1" x14ac:dyDescent="0.25">
      <c r="B375" s="81"/>
      <c r="C375" s="29" t="s">
        <v>10</v>
      </c>
      <c r="D375" s="28">
        <v>1</v>
      </c>
      <c r="E375" s="27">
        <v>2.1445421402530561E-4</v>
      </c>
    </row>
    <row r="376" spans="2:5" ht="15" customHeight="1" x14ac:dyDescent="0.25">
      <c r="B376" s="81"/>
      <c r="C376" s="29" t="s">
        <v>23</v>
      </c>
      <c r="D376" s="28">
        <v>1</v>
      </c>
      <c r="E376" s="27">
        <v>2.1445421402530561E-4</v>
      </c>
    </row>
    <row r="377" spans="2:5" ht="15" customHeight="1" x14ac:dyDescent="0.25">
      <c r="B377" s="81"/>
      <c r="C377" s="29" t="s">
        <v>11</v>
      </c>
      <c r="D377" s="28">
        <v>1</v>
      </c>
      <c r="E377" s="27">
        <v>2.1445421402530561E-4</v>
      </c>
    </row>
    <row r="378" spans="2:5" ht="15" customHeight="1" x14ac:dyDescent="0.25">
      <c r="B378" s="81"/>
      <c r="C378" s="29" t="s">
        <v>7</v>
      </c>
      <c r="D378" s="28">
        <v>2</v>
      </c>
      <c r="E378" s="27">
        <v>4.2890842805061121E-4</v>
      </c>
    </row>
    <row r="379" spans="2:5" ht="15" customHeight="1" x14ac:dyDescent="0.25">
      <c r="B379" s="81"/>
      <c r="C379" s="29" t="s">
        <v>5</v>
      </c>
      <c r="D379" s="28">
        <v>2</v>
      </c>
      <c r="E379" s="27">
        <v>4.2890842805061121E-4</v>
      </c>
    </row>
    <row r="380" spans="2:5" ht="15" customHeight="1" x14ac:dyDescent="0.25">
      <c r="B380" s="81"/>
      <c r="C380" s="29" t="s">
        <v>42</v>
      </c>
      <c r="D380" s="28">
        <v>1</v>
      </c>
      <c r="E380" s="27">
        <v>2.1445421402530561E-4</v>
      </c>
    </row>
    <row r="381" spans="2:5" ht="15" customHeight="1" x14ac:dyDescent="0.25">
      <c r="B381" s="82"/>
      <c r="C381" s="26" t="s">
        <v>46</v>
      </c>
      <c r="D381" s="25">
        <v>11</v>
      </c>
      <c r="E381" s="24">
        <v>2.3589963542783618E-3</v>
      </c>
    </row>
    <row r="382" spans="2:5" ht="15" customHeight="1" x14ac:dyDescent="0.25">
      <c r="B382" s="80" t="s">
        <v>115</v>
      </c>
      <c r="C382" s="29" t="s">
        <v>4</v>
      </c>
      <c r="D382" s="28">
        <v>2</v>
      </c>
      <c r="E382" s="27">
        <v>4.2890842805061121E-4</v>
      </c>
    </row>
    <row r="383" spans="2:5" ht="15" customHeight="1" x14ac:dyDescent="0.25">
      <c r="B383" s="81"/>
      <c r="C383" s="29" t="s">
        <v>7</v>
      </c>
      <c r="D383" s="28">
        <v>1</v>
      </c>
      <c r="E383" s="27">
        <v>2.1445421402530561E-4</v>
      </c>
    </row>
    <row r="384" spans="2:5" ht="15" customHeight="1" x14ac:dyDescent="0.25">
      <c r="B384" s="81"/>
      <c r="C384" s="29" t="s">
        <v>5</v>
      </c>
      <c r="D384" s="28">
        <v>1</v>
      </c>
      <c r="E384" s="27">
        <v>2.1445421402530561E-4</v>
      </c>
    </row>
    <row r="385" spans="2:5" ht="15" customHeight="1" x14ac:dyDescent="0.25">
      <c r="B385" s="82"/>
      <c r="C385" s="26" t="s">
        <v>46</v>
      </c>
      <c r="D385" s="25">
        <v>4</v>
      </c>
      <c r="E385" s="24">
        <v>8.5781685610122243E-4</v>
      </c>
    </row>
    <row r="386" spans="2:5" ht="15" customHeight="1" x14ac:dyDescent="0.25">
      <c r="B386" s="80" t="s">
        <v>114</v>
      </c>
      <c r="C386" s="29" t="s">
        <v>8</v>
      </c>
      <c r="D386" s="28">
        <v>1</v>
      </c>
      <c r="E386" s="27">
        <v>2.1445421402530561E-4</v>
      </c>
    </row>
    <row r="387" spans="2:5" ht="15" customHeight="1" x14ac:dyDescent="0.25">
      <c r="B387" s="81"/>
      <c r="C387" s="29" t="s">
        <v>6</v>
      </c>
      <c r="D387" s="28">
        <v>1</v>
      </c>
      <c r="E387" s="27">
        <v>2.1445421402530561E-4</v>
      </c>
    </row>
    <row r="388" spans="2:5" ht="15" customHeight="1" x14ac:dyDescent="0.25">
      <c r="B388" s="81"/>
      <c r="C388" s="29" t="s">
        <v>5</v>
      </c>
      <c r="D388" s="28">
        <v>1</v>
      </c>
      <c r="E388" s="27">
        <v>2.1445421402530561E-4</v>
      </c>
    </row>
    <row r="389" spans="2:5" ht="15" customHeight="1" x14ac:dyDescent="0.25">
      <c r="B389" s="82"/>
      <c r="C389" s="26" t="s">
        <v>46</v>
      </c>
      <c r="D389" s="25">
        <v>3</v>
      </c>
      <c r="E389" s="24">
        <v>6.4336264207591682E-4</v>
      </c>
    </row>
    <row r="390" spans="2:5" ht="15" customHeight="1" x14ac:dyDescent="0.25">
      <c r="B390" s="80" t="s">
        <v>113</v>
      </c>
      <c r="C390" s="29" t="s">
        <v>4</v>
      </c>
      <c r="D390" s="28">
        <v>18</v>
      </c>
      <c r="E390" s="27">
        <v>3.8601758524555007E-3</v>
      </c>
    </row>
    <row r="391" spans="2:5" ht="15" customHeight="1" x14ac:dyDescent="0.25">
      <c r="B391" s="81"/>
      <c r="C391" s="29" t="s">
        <v>8</v>
      </c>
      <c r="D391" s="28">
        <v>3</v>
      </c>
      <c r="E391" s="27">
        <v>6.4336264207591682E-4</v>
      </c>
    </row>
    <row r="392" spans="2:5" ht="15" customHeight="1" x14ac:dyDescent="0.25">
      <c r="B392" s="81"/>
      <c r="C392" s="29" t="s">
        <v>10</v>
      </c>
      <c r="D392" s="28">
        <v>1</v>
      </c>
      <c r="E392" s="27">
        <v>2.1445421402530561E-4</v>
      </c>
    </row>
    <row r="393" spans="2:5" ht="15" customHeight="1" x14ac:dyDescent="0.25">
      <c r="B393" s="81"/>
      <c r="C393" s="29" t="s">
        <v>6</v>
      </c>
      <c r="D393" s="28">
        <v>8</v>
      </c>
      <c r="E393" s="27">
        <v>1.7156337122024449E-3</v>
      </c>
    </row>
    <row r="394" spans="2:5" ht="15" customHeight="1" x14ac:dyDescent="0.25">
      <c r="B394" s="81"/>
      <c r="C394" s="29" t="s">
        <v>9</v>
      </c>
      <c r="D394" s="28">
        <v>2</v>
      </c>
      <c r="E394" s="27">
        <v>4.2890842805061121E-4</v>
      </c>
    </row>
    <row r="395" spans="2:5" ht="15" customHeight="1" x14ac:dyDescent="0.25">
      <c r="B395" s="81"/>
      <c r="C395" s="29" t="s">
        <v>24</v>
      </c>
      <c r="D395" s="28">
        <v>1</v>
      </c>
      <c r="E395" s="27">
        <v>2.1445421402530561E-4</v>
      </c>
    </row>
    <row r="396" spans="2:5" ht="15" customHeight="1" x14ac:dyDescent="0.25">
      <c r="B396" s="81"/>
      <c r="C396" s="29" t="s">
        <v>16</v>
      </c>
      <c r="D396" s="28">
        <v>2</v>
      </c>
      <c r="E396" s="27">
        <v>4.2890842805061121E-4</v>
      </c>
    </row>
    <row r="397" spans="2:5" ht="15" customHeight="1" x14ac:dyDescent="0.25">
      <c r="B397" s="81"/>
      <c r="C397" s="29" t="s">
        <v>30</v>
      </c>
      <c r="D397" s="28">
        <v>2</v>
      </c>
      <c r="E397" s="27">
        <v>4.2890842805061121E-4</v>
      </c>
    </row>
    <row r="398" spans="2:5" ht="15" customHeight="1" x14ac:dyDescent="0.25">
      <c r="B398" s="81"/>
      <c r="C398" s="29" t="s">
        <v>11</v>
      </c>
      <c r="D398" s="28">
        <v>1</v>
      </c>
      <c r="E398" s="27">
        <v>2.1445421402530561E-4</v>
      </c>
    </row>
    <row r="399" spans="2:5" ht="15" customHeight="1" x14ac:dyDescent="0.25">
      <c r="B399" s="81"/>
      <c r="C399" s="29" t="s">
        <v>18</v>
      </c>
      <c r="D399" s="28">
        <v>1</v>
      </c>
      <c r="E399" s="27">
        <v>2.1445421402530561E-4</v>
      </c>
    </row>
    <row r="400" spans="2:5" ht="15" customHeight="1" x14ac:dyDescent="0.25">
      <c r="B400" s="81"/>
      <c r="C400" s="29" t="s">
        <v>15</v>
      </c>
      <c r="D400" s="28">
        <v>1</v>
      </c>
      <c r="E400" s="27">
        <v>2.1445421402530561E-4</v>
      </c>
    </row>
    <row r="401" spans="2:5" ht="15" customHeight="1" x14ac:dyDescent="0.25">
      <c r="B401" s="81"/>
      <c r="C401" s="29" t="s">
        <v>44</v>
      </c>
      <c r="D401" s="28">
        <v>1</v>
      </c>
      <c r="E401" s="27">
        <v>2.1445421402530561E-4</v>
      </c>
    </row>
    <row r="402" spans="2:5" ht="15" customHeight="1" x14ac:dyDescent="0.25">
      <c r="B402" s="81"/>
      <c r="C402" s="29" t="s">
        <v>7</v>
      </c>
      <c r="D402" s="28">
        <v>2</v>
      </c>
      <c r="E402" s="27">
        <v>4.2890842805061121E-4</v>
      </c>
    </row>
    <row r="403" spans="2:5" ht="15" customHeight="1" x14ac:dyDescent="0.25">
      <c r="B403" s="81"/>
      <c r="C403" s="29" t="s">
        <v>32</v>
      </c>
      <c r="D403" s="28">
        <v>1</v>
      </c>
      <c r="E403" s="27">
        <v>2.1445421402530561E-4</v>
      </c>
    </row>
    <row r="404" spans="2:5" ht="15" customHeight="1" x14ac:dyDescent="0.25">
      <c r="B404" s="81"/>
      <c r="C404" s="29" t="s">
        <v>5</v>
      </c>
      <c r="D404" s="28">
        <v>17</v>
      </c>
      <c r="E404" s="27">
        <v>3.6457216384301952E-3</v>
      </c>
    </row>
    <row r="405" spans="2:5" ht="15" customHeight="1" x14ac:dyDescent="0.25">
      <c r="B405" s="81"/>
      <c r="C405" s="29" t="s">
        <v>20</v>
      </c>
      <c r="D405" s="28">
        <v>2</v>
      </c>
      <c r="E405" s="27">
        <v>4.2890842805061121E-4</v>
      </c>
    </row>
    <row r="406" spans="2:5" ht="15" customHeight="1" x14ac:dyDescent="0.25">
      <c r="B406" s="81"/>
      <c r="C406" s="29" t="s">
        <v>21</v>
      </c>
      <c r="D406" s="28">
        <v>1</v>
      </c>
      <c r="E406" s="27">
        <v>2.1445421402530561E-4</v>
      </c>
    </row>
    <row r="407" spans="2:5" ht="15" customHeight="1" x14ac:dyDescent="0.25">
      <c r="B407" s="82"/>
      <c r="C407" s="26" t="s">
        <v>46</v>
      </c>
      <c r="D407" s="25">
        <v>64</v>
      </c>
      <c r="E407" s="24">
        <v>1.3725069697619559E-2</v>
      </c>
    </row>
    <row r="408" spans="2:5" ht="15" customHeight="1" x14ac:dyDescent="0.25">
      <c r="B408" s="80" t="s">
        <v>112</v>
      </c>
      <c r="C408" s="29" t="s">
        <v>35</v>
      </c>
      <c r="D408" s="28">
        <v>1</v>
      </c>
      <c r="E408" s="27">
        <v>2.1445421402530561E-4</v>
      </c>
    </row>
    <row r="409" spans="2:5" ht="15" customHeight="1" x14ac:dyDescent="0.25">
      <c r="B409" s="81"/>
      <c r="C409" s="29" t="s">
        <v>13</v>
      </c>
      <c r="D409" s="28">
        <v>2</v>
      </c>
      <c r="E409" s="27">
        <v>4.2890842805061121E-4</v>
      </c>
    </row>
    <row r="410" spans="2:5" ht="15" customHeight="1" x14ac:dyDescent="0.25">
      <c r="B410" s="81"/>
      <c r="C410" s="29" t="s">
        <v>4</v>
      </c>
      <c r="D410" s="28">
        <v>24</v>
      </c>
      <c r="E410" s="27">
        <v>5.1469011366073346E-3</v>
      </c>
    </row>
    <row r="411" spans="2:5" ht="15" customHeight="1" x14ac:dyDescent="0.25">
      <c r="B411" s="81"/>
      <c r="C411" s="29" t="s">
        <v>8</v>
      </c>
      <c r="D411" s="28">
        <v>6</v>
      </c>
      <c r="E411" s="27">
        <v>1.2867252841518336E-3</v>
      </c>
    </row>
    <row r="412" spans="2:5" ht="15" customHeight="1" x14ac:dyDescent="0.25">
      <c r="B412" s="81"/>
      <c r="C412" s="29" t="s">
        <v>10</v>
      </c>
      <c r="D412" s="28">
        <v>3</v>
      </c>
      <c r="E412" s="27">
        <v>6.4336264207591682E-4</v>
      </c>
    </row>
    <row r="413" spans="2:5" ht="15" customHeight="1" x14ac:dyDescent="0.25">
      <c r="B413" s="81"/>
      <c r="C413" s="29" t="s">
        <v>12</v>
      </c>
      <c r="D413" s="28">
        <v>4</v>
      </c>
      <c r="E413" s="27">
        <v>8.5781685610122243E-4</v>
      </c>
    </row>
    <row r="414" spans="2:5" ht="15" customHeight="1" x14ac:dyDescent="0.25">
      <c r="B414" s="81"/>
      <c r="C414" s="29" t="s">
        <v>26</v>
      </c>
      <c r="D414" s="28">
        <v>1</v>
      </c>
      <c r="E414" s="27">
        <v>2.1445421402530561E-4</v>
      </c>
    </row>
    <row r="415" spans="2:5" ht="15" customHeight="1" x14ac:dyDescent="0.25">
      <c r="B415" s="81"/>
      <c r="C415" s="29" t="s">
        <v>6</v>
      </c>
      <c r="D415" s="28">
        <v>11</v>
      </c>
      <c r="E415" s="27">
        <v>2.3589963542783618E-3</v>
      </c>
    </row>
    <row r="416" spans="2:5" ht="15" customHeight="1" x14ac:dyDescent="0.25">
      <c r="B416" s="81"/>
      <c r="C416" s="29" t="s">
        <v>9</v>
      </c>
      <c r="D416" s="28">
        <v>1</v>
      </c>
      <c r="E416" s="27">
        <v>2.1445421402530561E-4</v>
      </c>
    </row>
    <row r="417" spans="2:5" ht="15" customHeight="1" x14ac:dyDescent="0.25">
      <c r="B417" s="81"/>
      <c r="C417" s="29" t="s">
        <v>24</v>
      </c>
      <c r="D417" s="28">
        <v>2</v>
      </c>
      <c r="E417" s="27">
        <v>4.2890842805061121E-4</v>
      </c>
    </row>
    <row r="418" spans="2:5" ht="15" customHeight="1" x14ac:dyDescent="0.25">
      <c r="B418" s="81"/>
      <c r="C418" s="29" t="s">
        <v>16</v>
      </c>
      <c r="D418" s="28">
        <v>2</v>
      </c>
      <c r="E418" s="27">
        <v>4.2890842805061121E-4</v>
      </c>
    </row>
    <row r="419" spans="2:5" ht="15" customHeight="1" x14ac:dyDescent="0.25">
      <c r="B419" s="81"/>
      <c r="C419" s="29" t="s">
        <v>28</v>
      </c>
      <c r="D419" s="28">
        <v>2</v>
      </c>
      <c r="E419" s="27">
        <v>4.2890842805061121E-4</v>
      </c>
    </row>
    <row r="420" spans="2:5" ht="15" customHeight="1" x14ac:dyDescent="0.25">
      <c r="B420" s="81"/>
      <c r="C420" s="29" t="s">
        <v>30</v>
      </c>
      <c r="D420" s="28">
        <v>1</v>
      </c>
      <c r="E420" s="27">
        <v>2.1445421402530561E-4</v>
      </c>
    </row>
    <row r="421" spans="2:5" ht="15" customHeight="1" x14ac:dyDescent="0.25">
      <c r="B421" s="81"/>
      <c r="C421" s="29" t="s">
        <v>23</v>
      </c>
      <c r="D421" s="28">
        <v>1</v>
      </c>
      <c r="E421" s="27">
        <v>2.1445421402530561E-4</v>
      </c>
    </row>
    <row r="422" spans="2:5" ht="15" customHeight="1" x14ac:dyDescent="0.25">
      <c r="B422" s="81"/>
      <c r="C422" s="29" t="s">
        <v>11</v>
      </c>
      <c r="D422" s="28">
        <v>3</v>
      </c>
      <c r="E422" s="27">
        <v>6.4336264207591682E-4</v>
      </c>
    </row>
    <row r="423" spans="2:5" ht="15" customHeight="1" x14ac:dyDescent="0.25">
      <c r="B423" s="81"/>
      <c r="C423" s="29" t="s">
        <v>33</v>
      </c>
      <c r="D423" s="28">
        <v>1</v>
      </c>
      <c r="E423" s="27">
        <v>2.1445421402530561E-4</v>
      </c>
    </row>
    <row r="424" spans="2:5" ht="15" customHeight="1" x14ac:dyDescent="0.25">
      <c r="B424" s="81"/>
      <c r="C424" s="29" t="s">
        <v>15</v>
      </c>
      <c r="D424" s="28">
        <v>1</v>
      </c>
      <c r="E424" s="27">
        <v>2.1445421402530561E-4</v>
      </c>
    </row>
    <row r="425" spans="2:5" ht="15" customHeight="1" x14ac:dyDescent="0.25">
      <c r="B425" s="81"/>
      <c r="C425" s="29" t="s">
        <v>34</v>
      </c>
      <c r="D425" s="28">
        <v>1</v>
      </c>
      <c r="E425" s="27">
        <v>2.1445421402530561E-4</v>
      </c>
    </row>
    <row r="426" spans="2:5" ht="15" customHeight="1" x14ac:dyDescent="0.25">
      <c r="B426" s="81"/>
      <c r="C426" s="29" t="s">
        <v>7</v>
      </c>
      <c r="D426" s="28">
        <v>4</v>
      </c>
      <c r="E426" s="27">
        <v>8.5781685610122243E-4</v>
      </c>
    </row>
    <row r="427" spans="2:5" ht="15" customHeight="1" x14ac:dyDescent="0.25">
      <c r="B427" s="81"/>
      <c r="C427" s="29" t="s">
        <v>31</v>
      </c>
      <c r="D427" s="28">
        <v>2</v>
      </c>
      <c r="E427" s="27">
        <v>4.2890842805061121E-4</v>
      </c>
    </row>
    <row r="428" spans="2:5" ht="15" customHeight="1" x14ac:dyDescent="0.25">
      <c r="B428" s="81"/>
      <c r="C428" s="29" t="s">
        <v>32</v>
      </c>
      <c r="D428" s="28">
        <v>1</v>
      </c>
      <c r="E428" s="27">
        <v>2.1445421402530561E-4</v>
      </c>
    </row>
    <row r="429" spans="2:5" ht="15" customHeight="1" x14ac:dyDescent="0.25">
      <c r="B429" s="81"/>
      <c r="C429" s="29" t="s">
        <v>14</v>
      </c>
      <c r="D429" s="28">
        <v>2</v>
      </c>
      <c r="E429" s="27">
        <v>4.2890842805061121E-4</v>
      </c>
    </row>
    <row r="430" spans="2:5" ht="15" customHeight="1" x14ac:dyDescent="0.25">
      <c r="B430" s="81"/>
      <c r="C430" s="29" t="s">
        <v>5</v>
      </c>
      <c r="D430" s="28">
        <v>23</v>
      </c>
      <c r="E430" s="27">
        <v>4.9324469225820291E-3</v>
      </c>
    </row>
    <row r="431" spans="2:5" ht="15" customHeight="1" x14ac:dyDescent="0.25">
      <c r="B431" s="81"/>
      <c r="C431" s="29" t="s">
        <v>20</v>
      </c>
      <c r="D431" s="28">
        <v>3</v>
      </c>
      <c r="E431" s="27">
        <v>6.4336264207591682E-4</v>
      </c>
    </row>
    <row r="432" spans="2:5" ht="15" customHeight="1" x14ac:dyDescent="0.25">
      <c r="B432" s="81"/>
      <c r="C432" s="29" t="s">
        <v>21</v>
      </c>
      <c r="D432" s="28">
        <v>3</v>
      </c>
      <c r="E432" s="27">
        <v>6.4336264207591682E-4</v>
      </c>
    </row>
    <row r="433" spans="2:5" ht="15" customHeight="1" x14ac:dyDescent="0.25">
      <c r="B433" s="82"/>
      <c r="C433" s="26" t="s">
        <v>46</v>
      </c>
      <c r="D433" s="25">
        <v>105</v>
      </c>
      <c r="E433" s="24">
        <v>2.2517692472657089E-2</v>
      </c>
    </row>
    <row r="434" spans="2:5" ht="15" customHeight="1" x14ac:dyDescent="0.25">
      <c r="B434" s="80" t="s">
        <v>111</v>
      </c>
      <c r="C434" s="29" t="s">
        <v>4</v>
      </c>
      <c r="D434" s="28">
        <v>2</v>
      </c>
      <c r="E434" s="27">
        <v>4.2890842805061121E-4</v>
      </c>
    </row>
    <row r="435" spans="2:5" ht="15" customHeight="1" x14ac:dyDescent="0.25">
      <c r="B435" s="81"/>
      <c r="C435" s="29" t="s">
        <v>14</v>
      </c>
      <c r="D435" s="28">
        <v>1</v>
      </c>
      <c r="E435" s="27">
        <v>2.1445421402530561E-4</v>
      </c>
    </row>
    <row r="436" spans="2:5" ht="15" customHeight="1" x14ac:dyDescent="0.25">
      <c r="B436" s="81"/>
      <c r="C436" s="29" t="s">
        <v>5</v>
      </c>
      <c r="D436" s="28">
        <v>1</v>
      </c>
      <c r="E436" s="27">
        <v>2.1445421402530561E-4</v>
      </c>
    </row>
    <row r="437" spans="2:5" ht="15" customHeight="1" x14ac:dyDescent="0.25">
      <c r="B437" s="82"/>
      <c r="C437" s="26" t="s">
        <v>46</v>
      </c>
      <c r="D437" s="25">
        <v>4</v>
      </c>
      <c r="E437" s="24">
        <v>8.5781685610122243E-4</v>
      </c>
    </row>
    <row r="438" spans="2:5" ht="15" customHeight="1" x14ac:dyDescent="0.25">
      <c r="B438" s="80" t="s">
        <v>110</v>
      </c>
      <c r="C438" s="29" t="s">
        <v>5</v>
      </c>
      <c r="D438" s="28">
        <v>1</v>
      </c>
      <c r="E438" s="27">
        <v>2.1445421402530561E-4</v>
      </c>
    </row>
    <row r="439" spans="2:5" ht="15" customHeight="1" x14ac:dyDescent="0.25">
      <c r="B439" s="82"/>
      <c r="C439" s="26" t="s">
        <v>46</v>
      </c>
      <c r="D439" s="25">
        <v>1</v>
      </c>
      <c r="E439" s="24">
        <v>2.1445421402530561E-4</v>
      </c>
    </row>
    <row r="440" spans="2:5" ht="15" customHeight="1" x14ac:dyDescent="0.25">
      <c r="B440" s="80" t="s">
        <v>109</v>
      </c>
      <c r="C440" s="29" t="s">
        <v>7</v>
      </c>
      <c r="D440" s="28">
        <v>1</v>
      </c>
      <c r="E440" s="27">
        <v>2.1445421402530561E-4</v>
      </c>
    </row>
    <row r="441" spans="2:5" ht="15" customHeight="1" x14ac:dyDescent="0.25">
      <c r="B441" s="82"/>
      <c r="C441" s="26" t="s">
        <v>46</v>
      </c>
      <c r="D441" s="25">
        <v>1</v>
      </c>
      <c r="E441" s="24">
        <v>2.1445421402530561E-4</v>
      </c>
    </row>
    <row r="442" spans="2:5" ht="15" customHeight="1" x14ac:dyDescent="0.25">
      <c r="B442" s="84" t="s">
        <v>46</v>
      </c>
      <c r="C442" s="85"/>
      <c r="D442" s="23">
        <v>4663</v>
      </c>
      <c r="E442" s="22">
        <v>1</v>
      </c>
    </row>
    <row r="444" spans="2:5" ht="15" customHeight="1" x14ac:dyDescent="0.25">
      <c r="B444" s="17" t="s">
        <v>199</v>
      </c>
    </row>
    <row r="445" spans="2:5" ht="15" customHeight="1" x14ac:dyDescent="0.25">
      <c r="B445" s="18" t="s">
        <v>47</v>
      </c>
    </row>
    <row r="446" spans="2:5" ht="15" customHeight="1" x14ac:dyDescent="0.25">
      <c r="B446" s="19" t="s">
        <v>48</v>
      </c>
    </row>
    <row r="447" spans="2:5" ht="15" customHeight="1" x14ac:dyDescent="0.25">
      <c r="B447" s="17" t="s">
        <v>49</v>
      </c>
    </row>
    <row r="448" spans="2:5" ht="15" customHeight="1" x14ac:dyDescent="0.25">
      <c r="B448" s="17" t="s">
        <v>200</v>
      </c>
    </row>
  </sheetData>
  <mergeCells count="26">
    <mergeCell ref="B434:B437"/>
    <mergeCell ref="B438:B439"/>
    <mergeCell ref="B440:B441"/>
    <mergeCell ref="B442:C442"/>
    <mergeCell ref="B210:B237"/>
    <mergeCell ref="B238:B277"/>
    <mergeCell ref="B278:B292"/>
    <mergeCell ref="B293:B325"/>
    <mergeCell ref="B326:B362"/>
    <mergeCell ref="B82:B100"/>
    <mergeCell ref="B101:B131"/>
    <mergeCell ref="B132:B167"/>
    <mergeCell ref="B168:B186"/>
    <mergeCell ref="B187:B209"/>
    <mergeCell ref="B10:B24"/>
    <mergeCell ref="B25:B31"/>
    <mergeCell ref="B32:B44"/>
    <mergeCell ref="B45:B64"/>
    <mergeCell ref="B65:B81"/>
    <mergeCell ref="B363:B372"/>
    <mergeCell ref="B373:B381"/>
    <mergeCell ref="B382:B385"/>
    <mergeCell ref="B386:B389"/>
    <mergeCell ref="B390:B407"/>
    <mergeCell ref="B408:B433"/>
    <mergeCell ref="B7:E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92D050"/>
  </sheetPr>
  <dimension ref="A1:E576"/>
  <sheetViews>
    <sheetView zoomScale="90" zoomScaleNormal="90" zoomScaleSheetLayoutView="85" workbookViewId="0">
      <selection activeCell="C1" sqref="C1"/>
    </sheetView>
  </sheetViews>
  <sheetFormatPr baseColWidth="10" defaultColWidth="35" defaultRowHeight="15" customHeight="1" x14ac:dyDescent="0.25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7" customFormat="1" ht="12" customHeight="1" x14ac:dyDescent="0.2">
      <c r="B1" s="41"/>
      <c r="C1" s="40"/>
      <c r="D1" s="40"/>
      <c r="E1" s="40"/>
    </row>
    <row r="2" spans="1:5" s="37" customFormat="1" ht="15" customHeight="1" x14ac:dyDescent="0.2">
      <c r="C2" s="39"/>
    </row>
    <row r="3" spans="1:5" s="37" customFormat="1" ht="15" customHeight="1" x14ac:dyDescent="0.2">
      <c r="C3" s="39"/>
    </row>
    <row r="4" spans="1:5" s="37" customFormat="1" ht="30" customHeight="1" x14ac:dyDescent="0.2">
      <c r="C4" s="39"/>
      <c r="D4" s="38"/>
    </row>
    <row r="5" spans="1:5" s="37" customFormat="1" ht="15" customHeight="1" x14ac:dyDescent="0.2">
      <c r="C5" s="39"/>
      <c r="D5" s="38"/>
    </row>
    <row r="6" spans="1:5" s="33" customFormat="1" ht="24" customHeight="1" x14ac:dyDescent="0.2">
      <c r="B6" s="36"/>
      <c r="C6" s="35"/>
      <c r="D6" s="35"/>
      <c r="E6" s="35"/>
    </row>
    <row r="7" spans="1:5" s="33" customFormat="1" ht="26.25" customHeight="1" x14ac:dyDescent="0.3">
      <c r="A7" s="34"/>
      <c r="B7" s="83"/>
      <c r="C7" s="83"/>
      <c r="D7" s="83"/>
      <c r="E7" s="83"/>
    </row>
    <row r="8" spans="1:5" s="33" customFormat="1" ht="33" customHeight="1" x14ac:dyDescent="0.3">
      <c r="A8" s="34"/>
      <c r="B8" s="83"/>
      <c r="C8" s="83"/>
      <c r="D8" s="83"/>
      <c r="E8" s="83"/>
    </row>
    <row r="9" spans="1:5" s="1" customFormat="1" ht="40.5" customHeight="1" x14ac:dyDescent="0.2">
      <c r="B9" s="30" t="s">
        <v>95</v>
      </c>
      <c r="C9" s="32" t="s">
        <v>134</v>
      </c>
      <c r="D9" s="31" t="s">
        <v>2</v>
      </c>
      <c r="E9" s="30" t="s">
        <v>3</v>
      </c>
    </row>
    <row r="10" spans="1:5" ht="15" customHeight="1" x14ac:dyDescent="0.25">
      <c r="B10" s="80" t="s">
        <v>58</v>
      </c>
      <c r="C10" s="29" t="s">
        <v>129</v>
      </c>
      <c r="D10" s="28">
        <v>1</v>
      </c>
      <c r="E10" s="27">
        <v>2.1445421402530561E-4</v>
      </c>
    </row>
    <row r="11" spans="1:5" ht="15" customHeight="1" x14ac:dyDescent="0.25">
      <c r="B11" s="81"/>
      <c r="C11" s="29" t="s">
        <v>125</v>
      </c>
      <c r="D11" s="28">
        <v>4</v>
      </c>
      <c r="E11" s="27">
        <v>8.5781685610122199E-4</v>
      </c>
    </row>
    <row r="12" spans="1:5" ht="15" customHeight="1" x14ac:dyDescent="0.25">
      <c r="B12" s="81"/>
      <c r="C12" s="29" t="s">
        <v>122</v>
      </c>
      <c r="D12" s="28">
        <v>1</v>
      </c>
      <c r="E12" s="27">
        <v>2.1445421402530561E-4</v>
      </c>
    </row>
    <row r="13" spans="1:5" ht="15" customHeight="1" x14ac:dyDescent="0.25">
      <c r="B13" s="81"/>
      <c r="C13" s="29" t="s">
        <v>121</v>
      </c>
      <c r="D13" s="28">
        <v>14</v>
      </c>
      <c r="E13" s="27">
        <v>3.0023589963542783E-3</v>
      </c>
    </row>
    <row r="14" spans="1:5" ht="15" customHeight="1" x14ac:dyDescent="0.25">
      <c r="B14" s="81"/>
      <c r="C14" s="29" t="s">
        <v>119</v>
      </c>
      <c r="D14" s="28">
        <v>4</v>
      </c>
      <c r="E14" s="27">
        <v>8.5781685610122243E-4</v>
      </c>
    </row>
    <row r="15" spans="1:5" ht="15" customHeight="1" x14ac:dyDescent="0.25">
      <c r="B15" s="81"/>
      <c r="C15" s="29" t="s">
        <v>118</v>
      </c>
      <c r="D15" s="28">
        <v>8</v>
      </c>
      <c r="E15" s="27">
        <v>1.7156337122024449E-3</v>
      </c>
    </row>
    <row r="16" spans="1:5" ht="15" customHeight="1" x14ac:dyDescent="0.25">
      <c r="B16" s="81"/>
      <c r="C16" s="29" t="s">
        <v>113</v>
      </c>
      <c r="D16" s="28">
        <v>1</v>
      </c>
      <c r="E16" s="27">
        <v>2.1445421402530561E-4</v>
      </c>
    </row>
    <row r="17" spans="2:5" ht="15" customHeight="1" x14ac:dyDescent="0.25">
      <c r="B17" s="82"/>
      <c r="C17" s="26" t="s">
        <v>46</v>
      </c>
      <c r="D17" s="25">
        <v>33</v>
      </c>
      <c r="E17" s="24">
        <v>7.0769890628350849E-3</v>
      </c>
    </row>
    <row r="18" spans="2:5" ht="15" customHeight="1" x14ac:dyDescent="0.25">
      <c r="B18" s="80" t="s">
        <v>90</v>
      </c>
      <c r="C18" s="29" t="s">
        <v>129</v>
      </c>
      <c r="D18" s="28">
        <v>1</v>
      </c>
      <c r="E18" s="27">
        <v>2.1445421402530561E-4</v>
      </c>
    </row>
    <row r="19" spans="2:5" ht="15" customHeight="1" x14ac:dyDescent="0.25">
      <c r="B19" s="81"/>
      <c r="C19" s="29" t="s">
        <v>128</v>
      </c>
      <c r="D19" s="28">
        <v>1</v>
      </c>
      <c r="E19" s="27">
        <v>2.1445421402530561E-4</v>
      </c>
    </row>
    <row r="20" spans="2:5" ht="15" customHeight="1" x14ac:dyDescent="0.25">
      <c r="B20" s="81"/>
      <c r="C20" s="29" t="s">
        <v>127</v>
      </c>
      <c r="D20" s="28">
        <v>1</v>
      </c>
      <c r="E20" s="27">
        <v>2.1445421402530561E-4</v>
      </c>
    </row>
    <row r="21" spans="2:5" ht="15" customHeight="1" x14ac:dyDescent="0.25">
      <c r="B21" s="81"/>
      <c r="C21" s="29" t="s">
        <v>126</v>
      </c>
      <c r="D21" s="28">
        <v>4</v>
      </c>
      <c r="E21" s="27">
        <v>8.5781685610122243E-4</v>
      </c>
    </row>
    <row r="22" spans="2:5" ht="15" customHeight="1" x14ac:dyDescent="0.25">
      <c r="B22" s="81"/>
      <c r="C22" s="29" t="s">
        <v>125</v>
      </c>
      <c r="D22" s="28">
        <v>15</v>
      </c>
      <c r="E22" s="27">
        <v>3.2168132103795838E-3</v>
      </c>
    </row>
    <row r="23" spans="2:5" ht="15" customHeight="1" x14ac:dyDescent="0.25">
      <c r="B23" s="81"/>
      <c r="C23" s="29" t="s">
        <v>124</v>
      </c>
      <c r="D23" s="28">
        <v>1</v>
      </c>
      <c r="E23" s="27">
        <v>2.1445421402530561E-4</v>
      </c>
    </row>
    <row r="24" spans="2:5" ht="15" customHeight="1" x14ac:dyDescent="0.25">
      <c r="B24" s="81"/>
      <c r="C24" s="29" t="s">
        <v>123</v>
      </c>
      <c r="D24" s="28">
        <v>4</v>
      </c>
      <c r="E24" s="27">
        <v>8.5781685610122243E-4</v>
      </c>
    </row>
    <row r="25" spans="2:5" ht="15" customHeight="1" x14ac:dyDescent="0.25">
      <c r="B25" s="81"/>
      <c r="C25" s="29" t="s">
        <v>122</v>
      </c>
      <c r="D25" s="28">
        <v>5</v>
      </c>
      <c r="E25" s="27">
        <v>1.0722710701265279E-3</v>
      </c>
    </row>
    <row r="26" spans="2:5" ht="15" customHeight="1" x14ac:dyDescent="0.25">
      <c r="B26" s="81"/>
      <c r="C26" s="29" t="s">
        <v>121</v>
      </c>
      <c r="D26" s="28">
        <v>37</v>
      </c>
      <c r="E26" s="27">
        <v>7.9348059189363069E-3</v>
      </c>
    </row>
    <row r="27" spans="2:5" ht="15" customHeight="1" x14ac:dyDescent="0.25">
      <c r="B27" s="81"/>
      <c r="C27" s="29" t="s">
        <v>120</v>
      </c>
      <c r="D27" s="28">
        <v>2</v>
      </c>
      <c r="E27" s="27">
        <v>4.2890842805061121E-4</v>
      </c>
    </row>
    <row r="28" spans="2:5" ht="15" customHeight="1" x14ac:dyDescent="0.25">
      <c r="B28" s="81"/>
      <c r="C28" s="29" t="s">
        <v>119</v>
      </c>
      <c r="D28" s="28">
        <v>9</v>
      </c>
      <c r="E28" s="27">
        <v>1.9300879262277503E-3</v>
      </c>
    </row>
    <row r="29" spans="2:5" ht="15" customHeight="1" x14ac:dyDescent="0.25">
      <c r="B29" s="81"/>
      <c r="C29" s="29" t="s">
        <v>118</v>
      </c>
      <c r="D29" s="28">
        <v>20</v>
      </c>
      <c r="E29" s="27">
        <v>4.2890842805061117E-3</v>
      </c>
    </row>
    <row r="30" spans="2:5" ht="15" customHeight="1" x14ac:dyDescent="0.25">
      <c r="B30" s="81"/>
      <c r="C30" s="29" t="s">
        <v>117</v>
      </c>
      <c r="D30" s="28">
        <v>1</v>
      </c>
      <c r="E30" s="27">
        <v>2.1445421402530561E-4</v>
      </c>
    </row>
    <row r="31" spans="2:5" ht="15" customHeight="1" x14ac:dyDescent="0.25">
      <c r="B31" s="81"/>
      <c r="C31" s="29" t="s">
        <v>112</v>
      </c>
      <c r="D31" s="28">
        <v>7</v>
      </c>
      <c r="E31" s="27">
        <v>1.5011794981771391E-3</v>
      </c>
    </row>
    <row r="32" spans="2:5" ht="15" customHeight="1" x14ac:dyDescent="0.25">
      <c r="B32" s="82"/>
      <c r="C32" s="26" t="s">
        <v>46</v>
      </c>
      <c r="D32" s="25">
        <v>108</v>
      </c>
      <c r="E32" s="24">
        <v>2.3161055114733004E-2</v>
      </c>
    </row>
    <row r="33" spans="2:5" ht="15" customHeight="1" x14ac:dyDescent="0.25">
      <c r="B33" s="80" t="s">
        <v>80</v>
      </c>
      <c r="C33" s="29" t="s">
        <v>131</v>
      </c>
      <c r="D33" s="28">
        <v>1</v>
      </c>
      <c r="E33" s="27">
        <v>2.1445421402530561E-4</v>
      </c>
    </row>
    <row r="34" spans="2:5" ht="15" customHeight="1" x14ac:dyDescent="0.25">
      <c r="B34" s="81"/>
      <c r="C34" s="29" t="s">
        <v>129</v>
      </c>
      <c r="D34" s="28">
        <v>1</v>
      </c>
      <c r="E34" s="27">
        <v>2.1445421402530561E-4</v>
      </c>
    </row>
    <row r="35" spans="2:5" ht="15" customHeight="1" x14ac:dyDescent="0.25">
      <c r="B35" s="81"/>
      <c r="C35" s="29" t="s">
        <v>128</v>
      </c>
      <c r="D35" s="28">
        <v>2</v>
      </c>
      <c r="E35" s="27">
        <v>4.2890842805061121E-4</v>
      </c>
    </row>
    <row r="36" spans="2:5" ht="15" customHeight="1" x14ac:dyDescent="0.25">
      <c r="B36" s="81"/>
      <c r="C36" s="29" t="s">
        <v>127</v>
      </c>
      <c r="D36" s="28">
        <v>1</v>
      </c>
      <c r="E36" s="27">
        <v>2.1445421402530561E-4</v>
      </c>
    </row>
    <row r="37" spans="2:5" ht="15" customHeight="1" x14ac:dyDescent="0.25">
      <c r="B37" s="81"/>
      <c r="C37" s="29" t="s">
        <v>126</v>
      </c>
      <c r="D37" s="28">
        <v>8</v>
      </c>
      <c r="E37" s="27">
        <v>1.7156337122024449E-3</v>
      </c>
    </row>
    <row r="38" spans="2:5" ht="15" customHeight="1" x14ac:dyDescent="0.25">
      <c r="B38" s="81"/>
      <c r="C38" s="29" t="s">
        <v>125</v>
      </c>
      <c r="D38" s="28">
        <v>13</v>
      </c>
      <c r="E38" s="27">
        <v>2.7879047823289728E-3</v>
      </c>
    </row>
    <row r="39" spans="2:5" ht="15" customHeight="1" x14ac:dyDescent="0.25">
      <c r="B39" s="81"/>
      <c r="C39" s="29" t="s">
        <v>123</v>
      </c>
      <c r="D39" s="28">
        <v>5</v>
      </c>
      <c r="E39" s="27">
        <v>1.0722710701265279E-3</v>
      </c>
    </row>
    <row r="40" spans="2:5" ht="15" customHeight="1" x14ac:dyDescent="0.25">
      <c r="B40" s="81"/>
      <c r="C40" s="29" t="s">
        <v>122</v>
      </c>
      <c r="D40" s="28">
        <v>2</v>
      </c>
      <c r="E40" s="27">
        <v>4.2890842805061121E-4</v>
      </c>
    </row>
    <row r="41" spans="2:5" ht="15" customHeight="1" x14ac:dyDescent="0.25">
      <c r="B41" s="81"/>
      <c r="C41" s="29" t="s">
        <v>121</v>
      </c>
      <c r="D41" s="28">
        <v>24</v>
      </c>
      <c r="E41" s="27">
        <v>5.1469011366073346E-3</v>
      </c>
    </row>
    <row r="42" spans="2:5" ht="15" customHeight="1" x14ac:dyDescent="0.25">
      <c r="B42" s="81"/>
      <c r="C42" s="29" t="s">
        <v>119</v>
      </c>
      <c r="D42" s="28">
        <v>8</v>
      </c>
      <c r="E42" s="27">
        <v>1.7156337122024449E-3</v>
      </c>
    </row>
    <row r="43" spans="2:5" ht="15" customHeight="1" x14ac:dyDescent="0.25">
      <c r="B43" s="81"/>
      <c r="C43" s="29" t="s">
        <v>118</v>
      </c>
      <c r="D43" s="28">
        <v>12</v>
      </c>
      <c r="E43" s="27">
        <v>2.5734505683036673E-3</v>
      </c>
    </row>
    <row r="44" spans="2:5" ht="15" customHeight="1" x14ac:dyDescent="0.25">
      <c r="B44" s="81"/>
      <c r="C44" s="29" t="s">
        <v>112</v>
      </c>
      <c r="D44" s="28">
        <v>1</v>
      </c>
      <c r="E44" s="27">
        <v>2.1445421402530561E-4</v>
      </c>
    </row>
    <row r="45" spans="2:5" ht="15" customHeight="1" x14ac:dyDescent="0.25">
      <c r="B45" s="82"/>
      <c r="C45" s="26" t="s">
        <v>46</v>
      </c>
      <c r="D45" s="25">
        <v>78</v>
      </c>
      <c r="E45" s="24">
        <v>1.6727428693973836E-2</v>
      </c>
    </row>
    <row r="46" spans="2:5" ht="15" customHeight="1" x14ac:dyDescent="0.25">
      <c r="B46" s="80" t="s">
        <v>56</v>
      </c>
      <c r="C46" s="29" t="s">
        <v>132</v>
      </c>
      <c r="D46" s="28">
        <v>1</v>
      </c>
      <c r="E46" s="27">
        <v>2.1445421402530561E-4</v>
      </c>
    </row>
    <row r="47" spans="2:5" ht="15" customHeight="1" x14ac:dyDescent="0.25">
      <c r="B47" s="81"/>
      <c r="C47" s="29" t="s">
        <v>125</v>
      </c>
      <c r="D47" s="28">
        <v>3</v>
      </c>
      <c r="E47" s="27">
        <v>6.4336264207591682E-4</v>
      </c>
    </row>
    <row r="48" spans="2:5" ht="15" customHeight="1" x14ac:dyDescent="0.25">
      <c r="B48" s="81"/>
      <c r="C48" s="29" t="s">
        <v>124</v>
      </c>
      <c r="D48" s="28">
        <v>1</v>
      </c>
      <c r="E48" s="27">
        <v>2.1445421402530561E-4</v>
      </c>
    </row>
    <row r="49" spans="2:5" ht="15" customHeight="1" x14ac:dyDescent="0.25">
      <c r="B49" s="81"/>
      <c r="C49" s="29" t="s">
        <v>122</v>
      </c>
      <c r="D49" s="28">
        <v>1</v>
      </c>
      <c r="E49" s="27">
        <v>2.1445421402530561E-4</v>
      </c>
    </row>
    <row r="50" spans="2:5" ht="15" customHeight="1" x14ac:dyDescent="0.25">
      <c r="B50" s="81"/>
      <c r="C50" s="29" t="s">
        <v>121</v>
      </c>
      <c r="D50" s="28">
        <v>6</v>
      </c>
      <c r="E50" s="27">
        <v>1.2867252841518336E-3</v>
      </c>
    </row>
    <row r="51" spans="2:5" ht="15" customHeight="1" x14ac:dyDescent="0.25">
      <c r="B51" s="81"/>
      <c r="C51" s="29" t="s">
        <v>119</v>
      </c>
      <c r="D51" s="28">
        <v>2</v>
      </c>
      <c r="E51" s="27">
        <v>4.2890842805061121E-4</v>
      </c>
    </row>
    <row r="52" spans="2:5" ht="15" customHeight="1" x14ac:dyDescent="0.25">
      <c r="B52" s="81"/>
      <c r="C52" s="29" t="s">
        <v>118</v>
      </c>
      <c r="D52" s="28">
        <v>8</v>
      </c>
      <c r="E52" s="27">
        <v>1.7156337122024449E-3</v>
      </c>
    </row>
    <row r="53" spans="2:5" ht="15" customHeight="1" x14ac:dyDescent="0.25">
      <c r="B53" s="81"/>
      <c r="C53" s="29" t="s">
        <v>113</v>
      </c>
      <c r="D53" s="28">
        <v>1</v>
      </c>
      <c r="E53" s="27">
        <v>2.1445421402530561E-4</v>
      </c>
    </row>
    <row r="54" spans="2:5" ht="15" customHeight="1" x14ac:dyDescent="0.25">
      <c r="B54" s="81"/>
      <c r="C54" s="29" t="s">
        <v>112</v>
      </c>
      <c r="D54" s="28">
        <v>1</v>
      </c>
      <c r="E54" s="27">
        <v>2.1445421402530561E-4</v>
      </c>
    </row>
    <row r="55" spans="2:5" ht="15" customHeight="1" x14ac:dyDescent="0.25">
      <c r="B55" s="82"/>
      <c r="C55" s="26" t="s">
        <v>46</v>
      </c>
      <c r="D55" s="25">
        <v>24</v>
      </c>
      <c r="E55" s="24">
        <v>5.1469011366073346E-3</v>
      </c>
    </row>
    <row r="56" spans="2:5" ht="15" customHeight="1" x14ac:dyDescent="0.25">
      <c r="B56" s="80" t="s">
        <v>52</v>
      </c>
      <c r="C56" s="29" t="s">
        <v>119</v>
      </c>
      <c r="D56" s="28">
        <v>1</v>
      </c>
      <c r="E56" s="27">
        <v>2.1445421402530561E-4</v>
      </c>
    </row>
    <row r="57" spans="2:5" ht="15" customHeight="1" x14ac:dyDescent="0.25">
      <c r="B57" s="82"/>
      <c r="C57" s="26" t="s">
        <v>46</v>
      </c>
      <c r="D57" s="25">
        <v>1</v>
      </c>
      <c r="E57" s="24">
        <v>2.1445421402530561E-4</v>
      </c>
    </row>
    <row r="58" spans="2:5" ht="15" customHeight="1" x14ac:dyDescent="0.25">
      <c r="B58" s="80" t="s">
        <v>57</v>
      </c>
      <c r="C58" s="29" t="s">
        <v>126</v>
      </c>
      <c r="D58" s="28">
        <v>1</v>
      </c>
      <c r="E58" s="27">
        <v>2.1445421402530561E-4</v>
      </c>
    </row>
    <row r="59" spans="2:5" ht="15" customHeight="1" x14ac:dyDescent="0.25">
      <c r="B59" s="81"/>
      <c r="C59" s="29" t="s">
        <v>121</v>
      </c>
      <c r="D59" s="28">
        <v>3</v>
      </c>
      <c r="E59" s="27">
        <v>6.4336264207591682E-4</v>
      </c>
    </row>
    <row r="60" spans="2:5" ht="15" customHeight="1" x14ac:dyDescent="0.25">
      <c r="B60" s="81"/>
      <c r="C60" s="29" t="s">
        <v>118</v>
      </c>
      <c r="D60" s="28">
        <v>1</v>
      </c>
      <c r="E60" s="27">
        <v>2.1445421402530561E-4</v>
      </c>
    </row>
    <row r="61" spans="2:5" ht="15" customHeight="1" x14ac:dyDescent="0.25">
      <c r="B61" s="82"/>
      <c r="C61" s="26" t="s">
        <v>46</v>
      </c>
      <c r="D61" s="25">
        <v>5</v>
      </c>
      <c r="E61" s="24">
        <v>1.0722710701265279E-3</v>
      </c>
    </row>
    <row r="62" spans="2:5" ht="15" customHeight="1" x14ac:dyDescent="0.25">
      <c r="B62" s="80" t="s">
        <v>93</v>
      </c>
      <c r="C62" s="29" t="s">
        <v>132</v>
      </c>
      <c r="D62" s="28">
        <v>3</v>
      </c>
      <c r="E62" s="27">
        <v>6.4336264207591682E-4</v>
      </c>
    </row>
    <row r="63" spans="2:5" ht="15" customHeight="1" x14ac:dyDescent="0.25">
      <c r="B63" s="81"/>
      <c r="C63" s="29" t="s">
        <v>131</v>
      </c>
      <c r="D63" s="28">
        <v>1</v>
      </c>
      <c r="E63" s="27">
        <v>2.1445421402530561E-4</v>
      </c>
    </row>
    <row r="64" spans="2:5" ht="15" customHeight="1" x14ac:dyDescent="0.25">
      <c r="B64" s="81"/>
      <c r="C64" s="29" t="s">
        <v>130</v>
      </c>
      <c r="D64" s="28">
        <v>2</v>
      </c>
      <c r="E64" s="27">
        <v>4.2890842805061121E-4</v>
      </c>
    </row>
    <row r="65" spans="2:5" ht="15" customHeight="1" x14ac:dyDescent="0.25">
      <c r="B65" s="81"/>
      <c r="C65" s="29" t="s">
        <v>129</v>
      </c>
      <c r="D65" s="28">
        <v>5</v>
      </c>
      <c r="E65" s="27">
        <v>1.0722710701265279E-3</v>
      </c>
    </row>
    <row r="66" spans="2:5" ht="15" customHeight="1" x14ac:dyDescent="0.25">
      <c r="B66" s="81"/>
      <c r="C66" s="29" t="s">
        <v>128</v>
      </c>
      <c r="D66" s="28">
        <v>3</v>
      </c>
      <c r="E66" s="27">
        <v>6.4336264207591682E-4</v>
      </c>
    </row>
    <row r="67" spans="2:5" ht="15" customHeight="1" x14ac:dyDescent="0.25">
      <c r="B67" s="81"/>
      <c r="C67" s="29" t="s">
        <v>127</v>
      </c>
      <c r="D67" s="28">
        <v>7</v>
      </c>
      <c r="E67" s="27">
        <v>1.5011794981771391E-3</v>
      </c>
    </row>
    <row r="68" spans="2:5" ht="15" customHeight="1" x14ac:dyDescent="0.25">
      <c r="B68" s="81"/>
      <c r="C68" s="29" t="s">
        <v>126</v>
      </c>
      <c r="D68" s="28">
        <v>32</v>
      </c>
      <c r="E68" s="27">
        <v>6.8625348488097794E-3</v>
      </c>
    </row>
    <row r="69" spans="2:5" ht="15" customHeight="1" x14ac:dyDescent="0.25">
      <c r="B69" s="81"/>
      <c r="C69" s="29" t="s">
        <v>125</v>
      </c>
      <c r="D69" s="28">
        <v>129</v>
      </c>
      <c r="E69" s="27">
        <v>2.7664593609264421E-2</v>
      </c>
    </row>
    <row r="70" spans="2:5" ht="15" customHeight="1" x14ac:dyDescent="0.25">
      <c r="B70" s="81"/>
      <c r="C70" s="29" t="s">
        <v>124</v>
      </c>
      <c r="D70" s="28">
        <v>2</v>
      </c>
      <c r="E70" s="27">
        <v>4.2890842805061121E-4</v>
      </c>
    </row>
    <row r="71" spans="2:5" ht="15" customHeight="1" x14ac:dyDescent="0.25">
      <c r="B71" s="81"/>
      <c r="C71" s="29" t="s">
        <v>123</v>
      </c>
      <c r="D71" s="28">
        <v>19</v>
      </c>
      <c r="E71" s="27">
        <v>4.0746300664808062E-3</v>
      </c>
    </row>
    <row r="72" spans="2:5" ht="15" customHeight="1" x14ac:dyDescent="0.25">
      <c r="B72" s="81"/>
      <c r="C72" s="29" t="s">
        <v>122</v>
      </c>
      <c r="D72" s="28">
        <v>14</v>
      </c>
      <c r="E72" s="27">
        <v>3.0023589963542783E-3</v>
      </c>
    </row>
    <row r="73" spans="2:5" ht="15" customHeight="1" x14ac:dyDescent="0.25">
      <c r="B73" s="81"/>
      <c r="C73" s="29" t="s">
        <v>121</v>
      </c>
      <c r="D73" s="28">
        <v>271</v>
      </c>
      <c r="E73" s="27">
        <v>5.8117092000857816E-2</v>
      </c>
    </row>
    <row r="74" spans="2:5" ht="15" customHeight="1" x14ac:dyDescent="0.25">
      <c r="B74" s="81"/>
      <c r="C74" s="29" t="s">
        <v>120</v>
      </c>
      <c r="D74" s="28">
        <v>7</v>
      </c>
      <c r="E74" s="27">
        <v>1.5011794981771391E-3</v>
      </c>
    </row>
    <row r="75" spans="2:5" ht="15" customHeight="1" x14ac:dyDescent="0.25">
      <c r="B75" s="81"/>
      <c r="C75" s="29" t="s">
        <v>119</v>
      </c>
      <c r="D75" s="28">
        <v>28</v>
      </c>
      <c r="E75" s="27">
        <v>6.0047179927085565E-3</v>
      </c>
    </row>
    <row r="76" spans="2:5" ht="15" customHeight="1" x14ac:dyDescent="0.25">
      <c r="B76" s="81"/>
      <c r="C76" s="29" t="s">
        <v>118</v>
      </c>
      <c r="D76" s="28">
        <v>99</v>
      </c>
      <c r="E76" s="27">
        <v>2.1230967188505253E-2</v>
      </c>
    </row>
    <row r="77" spans="2:5" ht="15" customHeight="1" x14ac:dyDescent="0.25">
      <c r="B77" s="81"/>
      <c r="C77" s="29" t="s">
        <v>117</v>
      </c>
      <c r="D77" s="28">
        <v>2</v>
      </c>
      <c r="E77" s="27">
        <v>4.2890842805061121E-4</v>
      </c>
    </row>
    <row r="78" spans="2:5" ht="15" customHeight="1" x14ac:dyDescent="0.25">
      <c r="B78" s="81"/>
      <c r="C78" s="29" t="s">
        <v>114</v>
      </c>
      <c r="D78" s="28">
        <v>1</v>
      </c>
      <c r="E78" s="27">
        <v>2.1445421402530561E-4</v>
      </c>
    </row>
    <row r="79" spans="2:5" ht="15" customHeight="1" x14ac:dyDescent="0.25">
      <c r="B79" s="81"/>
      <c r="C79" s="29" t="s">
        <v>113</v>
      </c>
      <c r="D79" s="28">
        <v>8</v>
      </c>
      <c r="E79" s="27">
        <v>1.7156337122024449E-3</v>
      </c>
    </row>
    <row r="80" spans="2:5" ht="15" customHeight="1" x14ac:dyDescent="0.25">
      <c r="B80" s="81"/>
      <c r="C80" s="29" t="s">
        <v>112</v>
      </c>
      <c r="D80" s="28">
        <v>12</v>
      </c>
      <c r="E80" s="27">
        <v>2.5734505683036673E-3</v>
      </c>
    </row>
    <row r="81" spans="2:5" ht="15" customHeight="1" x14ac:dyDescent="0.25">
      <c r="B81" s="82"/>
      <c r="C81" s="26" t="s">
        <v>46</v>
      </c>
      <c r="D81" s="25">
        <v>645</v>
      </c>
      <c r="E81" s="24">
        <v>0.1383229680463221</v>
      </c>
    </row>
    <row r="82" spans="2:5" ht="15" customHeight="1" x14ac:dyDescent="0.25">
      <c r="B82" s="80" t="s">
        <v>91</v>
      </c>
      <c r="C82" s="29" t="s">
        <v>132</v>
      </c>
      <c r="D82" s="28">
        <v>2</v>
      </c>
      <c r="E82" s="27">
        <v>4.2890842805061121E-4</v>
      </c>
    </row>
    <row r="83" spans="2:5" ht="15" customHeight="1" x14ac:dyDescent="0.25">
      <c r="B83" s="81"/>
      <c r="C83" s="29" t="s">
        <v>131</v>
      </c>
      <c r="D83" s="28">
        <v>1</v>
      </c>
      <c r="E83" s="27">
        <v>2.1445421402530561E-4</v>
      </c>
    </row>
    <row r="84" spans="2:5" ht="15" customHeight="1" x14ac:dyDescent="0.25">
      <c r="B84" s="81"/>
      <c r="C84" s="29" t="s">
        <v>130</v>
      </c>
      <c r="D84" s="28">
        <v>2</v>
      </c>
      <c r="E84" s="27">
        <v>4.2890842805061121E-4</v>
      </c>
    </row>
    <row r="85" spans="2:5" ht="15" customHeight="1" x14ac:dyDescent="0.25">
      <c r="B85" s="81"/>
      <c r="C85" s="29" t="s">
        <v>129</v>
      </c>
      <c r="D85" s="28">
        <v>3</v>
      </c>
      <c r="E85" s="27">
        <v>6.4336264207591682E-4</v>
      </c>
    </row>
    <row r="86" spans="2:5" ht="15" customHeight="1" x14ac:dyDescent="0.25">
      <c r="B86" s="81"/>
      <c r="C86" s="29" t="s">
        <v>128</v>
      </c>
      <c r="D86" s="28">
        <v>2</v>
      </c>
      <c r="E86" s="27">
        <v>4.2890842805061121E-4</v>
      </c>
    </row>
    <row r="87" spans="2:5" ht="15" customHeight="1" x14ac:dyDescent="0.25">
      <c r="B87" s="81"/>
      <c r="C87" s="29" t="s">
        <v>127</v>
      </c>
      <c r="D87" s="28">
        <v>4</v>
      </c>
      <c r="E87" s="27">
        <v>8.5781685610122243E-4</v>
      </c>
    </row>
    <row r="88" spans="2:5" ht="15" customHeight="1" x14ac:dyDescent="0.25">
      <c r="B88" s="81"/>
      <c r="C88" s="29" t="s">
        <v>126</v>
      </c>
      <c r="D88" s="28">
        <v>29</v>
      </c>
      <c r="E88" s="27">
        <v>6.219172206733862E-3</v>
      </c>
    </row>
    <row r="89" spans="2:5" ht="15" customHeight="1" x14ac:dyDescent="0.25">
      <c r="B89" s="81"/>
      <c r="C89" s="29" t="s">
        <v>125</v>
      </c>
      <c r="D89" s="28">
        <v>34</v>
      </c>
      <c r="E89" s="27">
        <v>7.2914432768603904E-3</v>
      </c>
    </row>
    <row r="90" spans="2:5" ht="15" customHeight="1" x14ac:dyDescent="0.25">
      <c r="B90" s="81"/>
      <c r="C90" s="29" t="s">
        <v>124</v>
      </c>
      <c r="D90" s="28">
        <v>2</v>
      </c>
      <c r="E90" s="27">
        <v>4.2890842805061121E-4</v>
      </c>
    </row>
    <row r="91" spans="2:5" ht="15" customHeight="1" x14ac:dyDescent="0.25">
      <c r="B91" s="81"/>
      <c r="C91" s="29" t="s">
        <v>123</v>
      </c>
      <c r="D91" s="28">
        <v>4</v>
      </c>
      <c r="E91" s="27">
        <v>8.5781685610122243E-4</v>
      </c>
    </row>
    <row r="92" spans="2:5" ht="15" customHeight="1" x14ac:dyDescent="0.25">
      <c r="B92" s="81"/>
      <c r="C92" s="29" t="s">
        <v>122</v>
      </c>
      <c r="D92" s="28">
        <v>17</v>
      </c>
      <c r="E92" s="27">
        <v>3.6457216384301952E-3</v>
      </c>
    </row>
    <row r="93" spans="2:5" ht="15" customHeight="1" x14ac:dyDescent="0.25">
      <c r="B93" s="81"/>
      <c r="C93" s="29" t="s">
        <v>121</v>
      </c>
      <c r="D93" s="28">
        <v>185</v>
      </c>
      <c r="E93" s="27">
        <v>3.9674029594681533E-2</v>
      </c>
    </row>
    <row r="94" spans="2:5" ht="15" customHeight="1" x14ac:dyDescent="0.25">
      <c r="B94" s="81"/>
      <c r="C94" s="29" t="s">
        <v>120</v>
      </c>
      <c r="D94" s="28">
        <v>4</v>
      </c>
      <c r="E94" s="27">
        <v>8.5781685610122243E-4</v>
      </c>
    </row>
    <row r="95" spans="2:5" ht="15" customHeight="1" x14ac:dyDescent="0.25">
      <c r="B95" s="81"/>
      <c r="C95" s="29" t="s">
        <v>119</v>
      </c>
      <c r="D95" s="28">
        <v>27</v>
      </c>
      <c r="E95" s="27">
        <v>5.790263778683251E-3</v>
      </c>
    </row>
    <row r="96" spans="2:5" ht="15" customHeight="1" x14ac:dyDescent="0.25">
      <c r="B96" s="81"/>
      <c r="C96" s="29" t="s">
        <v>118</v>
      </c>
      <c r="D96" s="28">
        <v>87</v>
      </c>
      <c r="E96" s="27">
        <v>1.8657516620201587E-2</v>
      </c>
    </row>
    <row r="97" spans="2:5" ht="15" customHeight="1" x14ac:dyDescent="0.25">
      <c r="B97" s="81"/>
      <c r="C97" s="29" t="s">
        <v>114</v>
      </c>
      <c r="D97" s="28">
        <v>1</v>
      </c>
      <c r="E97" s="27">
        <v>2.1445421402530561E-4</v>
      </c>
    </row>
    <row r="98" spans="2:5" ht="15" customHeight="1" x14ac:dyDescent="0.25">
      <c r="B98" s="81"/>
      <c r="C98" s="29" t="s">
        <v>113</v>
      </c>
      <c r="D98" s="28">
        <v>10</v>
      </c>
      <c r="E98" s="27">
        <v>2.1445421402530558E-3</v>
      </c>
    </row>
    <row r="99" spans="2:5" ht="15" customHeight="1" x14ac:dyDescent="0.25">
      <c r="B99" s="81"/>
      <c r="C99" s="29" t="s">
        <v>112</v>
      </c>
      <c r="D99" s="28">
        <v>7</v>
      </c>
      <c r="E99" s="27">
        <v>1.5011794981771391E-3</v>
      </c>
    </row>
    <row r="100" spans="2:5" ht="15" customHeight="1" x14ac:dyDescent="0.25">
      <c r="B100" s="81"/>
      <c r="C100" s="29" t="s">
        <v>137</v>
      </c>
      <c r="D100" s="28">
        <v>1</v>
      </c>
      <c r="E100" s="27">
        <v>2.1445421402530561E-4</v>
      </c>
    </row>
    <row r="101" spans="2:5" ht="15" customHeight="1" x14ac:dyDescent="0.25">
      <c r="B101" s="82"/>
      <c r="C101" s="26" t="s">
        <v>46</v>
      </c>
      <c r="D101" s="25">
        <v>422</v>
      </c>
      <c r="E101" s="24">
        <v>9.0499678318678958E-2</v>
      </c>
    </row>
    <row r="102" spans="2:5" ht="15" customHeight="1" x14ac:dyDescent="0.25">
      <c r="B102" s="80" t="s">
        <v>141</v>
      </c>
      <c r="C102" s="29" t="s">
        <v>127</v>
      </c>
      <c r="D102" s="28">
        <v>1</v>
      </c>
      <c r="E102" s="27">
        <v>2.1445421402530561E-4</v>
      </c>
    </row>
    <row r="103" spans="2:5" ht="15" customHeight="1" x14ac:dyDescent="0.25">
      <c r="B103" s="81"/>
      <c r="C103" s="29" t="s">
        <v>125</v>
      </c>
      <c r="D103" s="28">
        <v>1</v>
      </c>
      <c r="E103" s="27">
        <v>2.1445421402530561E-4</v>
      </c>
    </row>
    <row r="104" spans="2:5" ht="15" customHeight="1" x14ac:dyDescent="0.25">
      <c r="B104" s="82"/>
      <c r="C104" s="26" t="s">
        <v>46</v>
      </c>
      <c r="D104" s="25">
        <v>2</v>
      </c>
      <c r="E104" s="24">
        <v>4.2890842805061121E-4</v>
      </c>
    </row>
    <row r="105" spans="2:5" ht="15" customHeight="1" x14ac:dyDescent="0.25">
      <c r="B105" s="80" t="s">
        <v>75</v>
      </c>
      <c r="C105" s="29" t="s">
        <v>132</v>
      </c>
      <c r="D105" s="28">
        <v>5</v>
      </c>
      <c r="E105" s="27">
        <v>1.0722710701265279E-3</v>
      </c>
    </row>
    <row r="106" spans="2:5" ht="15" customHeight="1" x14ac:dyDescent="0.25">
      <c r="B106" s="81"/>
      <c r="C106" s="29" t="s">
        <v>131</v>
      </c>
      <c r="D106" s="28">
        <v>2</v>
      </c>
      <c r="E106" s="27">
        <v>4.2890842805061121E-4</v>
      </c>
    </row>
    <row r="107" spans="2:5" ht="15" customHeight="1" x14ac:dyDescent="0.25">
      <c r="B107" s="81"/>
      <c r="C107" s="29" t="s">
        <v>130</v>
      </c>
      <c r="D107" s="28">
        <v>2</v>
      </c>
      <c r="E107" s="27">
        <v>4.2890842805061121E-4</v>
      </c>
    </row>
    <row r="108" spans="2:5" ht="15" customHeight="1" x14ac:dyDescent="0.25">
      <c r="B108" s="81"/>
      <c r="C108" s="29" t="s">
        <v>129</v>
      </c>
      <c r="D108" s="28">
        <v>14</v>
      </c>
      <c r="E108" s="27">
        <v>3.0023589963542783E-3</v>
      </c>
    </row>
    <row r="109" spans="2:5" ht="15" customHeight="1" x14ac:dyDescent="0.25">
      <c r="B109" s="81"/>
      <c r="C109" s="29" t="s">
        <v>128</v>
      </c>
      <c r="D109" s="28">
        <v>8</v>
      </c>
      <c r="E109" s="27">
        <v>1.7156337122024449E-3</v>
      </c>
    </row>
    <row r="110" spans="2:5" ht="15" customHeight="1" x14ac:dyDescent="0.25">
      <c r="B110" s="81"/>
      <c r="C110" s="29" t="s">
        <v>127</v>
      </c>
      <c r="D110" s="28">
        <v>14</v>
      </c>
      <c r="E110" s="27">
        <v>3.0023589963542783E-3</v>
      </c>
    </row>
    <row r="111" spans="2:5" ht="15" customHeight="1" x14ac:dyDescent="0.25">
      <c r="B111" s="81"/>
      <c r="C111" s="29" t="s">
        <v>126</v>
      </c>
      <c r="D111" s="28">
        <v>32</v>
      </c>
      <c r="E111" s="27">
        <v>6.8625348488097794E-3</v>
      </c>
    </row>
    <row r="112" spans="2:5" ht="15" customHeight="1" x14ac:dyDescent="0.25">
      <c r="B112" s="81"/>
      <c r="C112" s="29" t="s">
        <v>125</v>
      </c>
      <c r="D112" s="28">
        <v>87</v>
      </c>
      <c r="E112" s="27">
        <v>1.8657516620201587E-2</v>
      </c>
    </row>
    <row r="113" spans="2:5" ht="15" customHeight="1" x14ac:dyDescent="0.25">
      <c r="B113" s="81"/>
      <c r="C113" s="29" t="s">
        <v>124</v>
      </c>
      <c r="D113" s="28">
        <v>7</v>
      </c>
      <c r="E113" s="27">
        <v>1.5011794981771391E-3</v>
      </c>
    </row>
    <row r="114" spans="2:5" ht="15" customHeight="1" x14ac:dyDescent="0.25">
      <c r="B114" s="81"/>
      <c r="C114" s="29" t="s">
        <v>123</v>
      </c>
      <c r="D114" s="28">
        <v>14</v>
      </c>
      <c r="E114" s="27">
        <v>3.0023589963542783E-3</v>
      </c>
    </row>
    <row r="115" spans="2:5" ht="15" customHeight="1" x14ac:dyDescent="0.25">
      <c r="B115" s="81"/>
      <c r="C115" s="29" t="s">
        <v>122</v>
      </c>
      <c r="D115" s="28">
        <v>12</v>
      </c>
      <c r="E115" s="27">
        <v>2.5734505683036673E-3</v>
      </c>
    </row>
    <row r="116" spans="2:5" ht="15" customHeight="1" x14ac:dyDescent="0.25">
      <c r="B116" s="81"/>
      <c r="C116" s="29" t="s">
        <v>121</v>
      </c>
      <c r="D116" s="28">
        <v>143</v>
      </c>
      <c r="E116" s="27">
        <v>3.0666952605618702E-2</v>
      </c>
    </row>
    <row r="117" spans="2:5" ht="15" customHeight="1" x14ac:dyDescent="0.25">
      <c r="B117" s="81"/>
      <c r="C117" s="29" t="s">
        <v>120</v>
      </c>
      <c r="D117" s="28">
        <v>3</v>
      </c>
      <c r="E117" s="27">
        <v>6.4336264207591682E-4</v>
      </c>
    </row>
    <row r="118" spans="2:5" ht="15" customHeight="1" x14ac:dyDescent="0.25">
      <c r="B118" s="81"/>
      <c r="C118" s="29" t="s">
        <v>119</v>
      </c>
      <c r="D118" s="28">
        <v>30</v>
      </c>
      <c r="E118" s="27">
        <v>6.4336264207591675E-3</v>
      </c>
    </row>
    <row r="119" spans="2:5" ht="15" customHeight="1" x14ac:dyDescent="0.25">
      <c r="B119" s="81"/>
      <c r="C119" s="29" t="s">
        <v>118</v>
      </c>
      <c r="D119" s="28">
        <v>62</v>
      </c>
      <c r="E119" s="27">
        <v>1.3296161269568948E-2</v>
      </c>
    </row>
    <row r="120" spans="2:5" ht="15" customHeight="1" x14ac:dyDescent="0.25">
      <c r="B120" s="81"/>
      <c r="C120" s="29" t="s">
        <v>116</v>
      </c>
      <c r="D120" s="28">
        <v>1</v>
      </c>
      <c r="E120" s="27">
        <v>2.1445421402530561E-4</v>
      </c>
    </row>
    <row r="121" spans="2:5" ht="15" customHeight="1" x14ac:dyDescent="0.25">
      <c r="B121" s="81"/>
      <c r="C121" s="29" t="s">
        <v>114</v>
      </c>
      <c r="D121" s="28">
        <v>1</v>
      </c>
      <c r="E121" s="27">
        <v>2.1445421402530561E-4</v>
      </c>
    </row>
    <row r="122" spans="2:5" ht="15" customHeight="1" x14ac:dyDescent="0.25">
      <c r="B122" s="81"/>
      <c r="C122" s="29" t="s">
        <v>113</v>
      </c>
      <c r="D122" s="28">
        <v>3</v>
      </c>
      <c r="E122" s="27">
        <v>6.4336264207591682E-4</v>
      </c>
    </row>
    <row r="123" spans="2:5" ht="15" customHeight="1" x14ac:dyDescent="0.25">
      <c r="B123" s="81"/>
      <c r="C123" s="29" t="s">
        <v>112</v>
      </c>
      <c r="D123" s="28">
        <v>6</v>
      </c>
      <c r="E123" s="27">
        <v>1.2867252841518336E-3</v>
      </c>
    </row>
    <row r="124" spans="2:5" ht="15" customHeight="1" x14ac:dyDescent="0.25">
      <c r="B124" s="82"/>
      <c r="C124" s="26" t="s">
        <v>46</v>
      </c>
      <c r="D124" s="25">
        <v>446</v>
      </c>
      <c r="E124" s="24">
        <v>9.564657945528629E-2</v>
      </c>
    </row>
    <row r="125" spans="2:5" ht="15" customHeight="1" x14ac:dyDescent="0.25">
      <c r="B125" s="80" t="s">
        <v>61</v>
      </c>
      <c r="C125" s="29" t="s">
        <v>132</v>
      </c>
      <c r="D125" s="28">
        <v>1</v>
      </c>
      <c r="E125" s="27">
        <v>2.1445421402530561E-4</v>
      </c>
    </row>
    <row r="126" spans="2:5" ht="15" customHeight="1" x14ac:dyDescent="0.25">
      <c r="B126" s="81"/>
      <c r="C126" s="29" t="s">
        <v>130</v>
      </c>
      <c r="D126" s="28">
        <v>2</v>
      </c>
      <c r="E126" s="27">
        <v>4.2890842805061121E-4</v>
      </c>
    </row>
    <row r="127" spans="2:5" ht="15" customHeight="1" x14ac:dyDescent="0.25">
      <c r="B127" s="81"/>
      <c r="C127" s="29" t="s">
        <v>129</v>
      </c>
      <c r="D127" s="28">
        <v>1</v>
      </c>
      <c r="E127" s="27">
        <v>2.1445421402530561E-4</v>
      </c>
    </row>
    <row r="128" spans="2:5" ht="15" customHeight="1" x14ac:dyDescent="0.25">
      <c r="B128" s="81"/>
      <c r="C128" s="29" t="s">
        <v>126</v>
      </c>
      <c r="D128" s="28">
        <v>8</v>
      </c>
      <c r="E128" s="27">
        <v>1.7156337122024449E-3</v>
      </c>
    </row>
    <row r="129" spans="2:5" ht="15" customHeight="1" x14ac:dyDescent="0.25">
      <c r="B129" s="81"/>
      <c r="C129" s="29" t="s">
        <v>125</v>
      </c>
      <c r="D129" s="28">
        <v>1</v>
      </c>
      <c r="E129" s="27">
        <v>2.1445421402530561E-4</v>
      </c>
    </row>
    <row r="130" spans="2:5" ht="15" customHeight="1" x14ac:dyDescent="0.25">
      <c r="B130" s="81"/>
      <c r="C130" s="29" t="s">
        <v>124</v>
      </c>
      <c r="D130" s="28">
        <v>1</v>
      </c>
      <c r="E130" s="27">
        <v>2.1445421402530561E-4</v>
      </c>
    </row>
    <row r="131" spans="2:5" ht="15" customHeight="1" x14ac:dyDescent="0.25">
      <c r="B131" s="81"/>
      <c r="C131" s="29" t="s">
        <v>123</v>
      </c>
      <c r="D131" s="28">
        <v>2</v>
      </c>
      <c r="E131" s="27">
        <v>4.2890842805061121E-4</v>
      </c>
    </row>
    <row r="132" spans="2:5" ht="15" customHeight="1" x14ac:dyDescent="0.25">
      <c r="B132" s="81"/>
      <c r="C132" s="29" t="s">
        <v>122</v>
      </c>
      <c r="D132" s="28">
        <v>5</v>
      </c>
      <c r="E132" s="27">
        <v>1.0722710701265279E-3</v>
      </c>
    </row>
    <row r="133" spans="2:5" ht="15" customHeight="1" x14ac:dyDescent="0.25">
      <c r="B133" s="81"/>
      <c r="C133" s="29" t="s">
        <v>121</v>
      </c>
      <c r="D133" s="28">
        <v>6</v>
      </c>
      <c r="E133" s="27">
        <v>1.2867252841518336E-3</v>
      </c>
    </row>
    <row r="134" spans="2:5" ht="15" customHeight="1" x14ac:dyDescent="0.25">
      <c r="B134" s="81"/>
      <c r="C134" s="29" t="s">
        <v>120</v>
      </c>
      <c r="D134" s="28">
        <v>1</v>
      </c>
      <c r="E134" s="27">
        <v>2.1445421402530561E-4</v>
      </c>
    </row>
    <row r="135" spans="2:5" ht="15" customHeight="1" x14ac:dyDescent="0.25">
      <c r="B135" s="81"/>
      <c r="C135" s="29" t="s">
        <v>119</v>
      </c>
      <c r="D135" s="28">
        <v>2</v>
      </c>
      <c r="E135" s="27">
        <v>4.2890842805061121E-4</v>
      </c>
    </row>
    <row r="136" spans="2:5" ht="15" customHeight="1" x14ac:dyDescent="0.25">
      <c r="B136" s="81"/>
      <c r="C136" s="29" t="s">
        <v>118</v>
      </c>
      <c r="D136" s="28">
        <v>5</v>
      </c>
      <c r="E136" s="27">
        <v>1.0722710701265279E-3</v>
      </c>
    </row>
    <row r="137" spans="2:5" ht="15" customHeight="1" x14ac:dyDescent="0.25">
      <c r="B137" s="81"/>
      <c r="C137" s="29" t="s">
        <v>112</v>
      </c>
      <c r="D137" s="28">
        <v>3</v>
      </c>
      <c r="E137" s="27">
        <v>6.4336264207591682E-4</v>
      </c>
    </row>
    <row r="138" spans="2:5" ht="15" customHeight="1" x14ac:dyDescent="0.25">
      <c r="B138" s="82"/>
      <c r="C138" s="26" t="s">
        <v>46</v>
      </c>
      <c r="D138" s="25">
        <v>38</v>
      </c>
      <c r="E138" s="24">
        <v>8.1492601329616124E-3</v>
      </c>
    </row>
    <row r="139" spans="2:5" ht="15" customHeight="1" x14ac:dyDescent="0.25">
      <c r="B139" s="80" t="s">
        <v>50</v>
      </c>
      <c r="C139" s="29" t="s">
        <v>121</v>
      </c>
      <c r="D139" s="28">
        <v>1</v>
      </c>
      <c r="E139" s="27">
        <v>2.1445421402530561E-4</v>
      </c>
    </row>
    <row r="140" spans="2:5" ht="15" customHeight="1" x14ac:dyDescent="0.25">
      <c r="B140" s="82"/>
      <c r="C140" s="26" t="s">
        <v>46</v>
      </c>
      <c r="D140" s="25">
        <v>1</v>
      </c>
      <c r="E140" s="24">
        <v>2.1445421402530561E-4</v>
      </c>
    </row>
    <row r="141" spans="2:5" ht="15" customHeight="1" x14ac:dyDescent="0.25">
      <c r="B141" s="80" t="s">
        <v>59</v>
      </c>
      <c r="C141" s="29" t="s">
        <v>126</v>
      </c>
      <c r="D141" s="28">
        <v>3</v>
      </c>
      <c r="E141" s="27">
        <v>6.4336264207591682E-4</v>
      </c>
    </row>
    <row r="142" spans="2:5" ht="15" customHeight="1" x14ac:dyDescent="0.25">
      <c r="B142" s="81"/>
      <c r="C142" s="29" t="s">
        <v>125</v>
      </c>
      <c r="D142" s="28">
        <v>1</v>
      </c>
      <c r="E142" s="27">
        <v>2.1445421402530561E-4</v>
      </c>
    </row>
    <row r="143" spans="2:5" ht="15" customHeight="1" x14ac:dyDescent="0.25">
      <c r="B143" s="81"/>
      <c r="C143" s="29" t="s">
        <v>123</v>
      </c>
      <c r="D143" s="28">
        <v>1</v>
      </c>
      <c r="E143" s="27">
        <v>2.1445421402530561E-4</v>
      </c>
    </row>
    <row r="144" spans="2:5" ht="15" customHeight="1" x14ac:dyDescent="0.25">
      <c r="B144" s="81"/>
      <c r="C144" s="29" t="s">
        <v>121</v>
      </c>
      <c r="D144" s="28">
        <v>3</v>
      </c>
      <c r="E144" s="27">
        <v>6.4336264207591682E-4</v>
      </c>
    </row>
    <row r="145" spans="2:5" ht="15" customHeight="1" x14ac:dyDescent="0.25">
      <c r="B145" s="81"/>
      <c r="C145" s="29" t="s">
        <v>120</v>
      </c>
      <c r="D145" s="28">
        <v>2</v>
      </c>
      <c r="E145" s="27">
        <v>4.2890842805061121E-4</v>
      </c>
    </row>
    <row r="146" spans="2:5" ht="15" customHeight="1" x14ac:dyDescent="0.25">
      <c r="B146" s="81"/>
      <c r="C146" s="29" t="s">
        <v>118</v>
      </c>
      <c r="D146" s="28">
        <v>2</v>
      </c>
      <c r="E146" s="27">
        <v>4.2890842805061121E-4</v>
      </c>
    </row>
    <row r="147" spans="2:5" ht="15" customHeight="1" x14ac:dyDescent="0.25">
      <c r="B147" s="81"/>
      <c r="C147" s="29" t="s">
        <v>112</v>
      </c>
      <c r="D147" s="28">
        <v>2</v>
      </c>
      <c r="E147" s="27">
        <v>4.2890842805061121E-4</v>
      </c>
    </row>
    <row r="148" spans="2:5" ht="15" customHeight="1" x14ac:dyDescent="0.25">
      <c r="B148" s="82"/>
      <c r="C148" s="26" t="s">
        <v>46</v>
      </c>
      <c r="D148" s="25">
        <v>14</v>
      </c>
      <c r="E148" s="24">
        <v>3.0023589963542783E-3</v>
      </c>
    </row>
    <row r="149" spans="2:5" ht="15" customHeight="1" x14ac:dyDescent="0.25">
      <c r="B149" s="80" t="s">
        <v>72</v>
      </c>
      <c r="C149" s="29" t="s">
        <v>132</v>
      </c>
      <c r="D149" s="28">
        <v>1</v>
      </c>
      <c r="E149" s="27">
        <v>2.1445421402530561E-4</v>
      </c>
    </row>
    <row r="150" spans="2:5" ht="15" customHeight="1" x14ac:dyDescent="0.25">
      <c r="B150" s="81"/>
      <c r="C150" s="29" t="s">
        <v>125</v>
      </c>
      <c r="D150" s="28">
        <v>1</v>
      </c>
      <c r="E150" s="27">
        <v>2.1445421402530561E-4</v>
      </c>
    </row>
    <row r="151" spans="2:5" ht="15" customHeight="1" x14ac:dyDescent="0.25">
      <c r="B151" s="81"/>
      <c r="C151" s="29" t="s">
        <v>123</v>
      </c>
      <c r="D151" s="28">
        <v>1</v>
      </c>
      <c r="E151" s="27">
        <v>2.1445421402530561E-4</v>
      </c>
    </row>
    <row r="152" spans="2:5" ht="15" customHeight="1" x14ac:dyDescent="0.25">
      <c r="B152" s="81"/>
      <c r="C152" s="29" t="s">
        <v>121</v>
      </c>
      <c r="D152" s="28">
        <v>2</v>
      </c>
      <c r="E152" s="27">
        <v>4.2890842805061121E-4</v>
      </c>
    </row>
    <row r="153" spans="2:5" ht="15" customHeight="1" x14ac:dyDescent="0.25">
      <c r="B153" s="81"/>
      <c r="C153" s="29" t="s">
        <v>119</v>
      </c>
      <c r="D153" s="28">
        <v>2</v>
      </c>
      <c r="E153" s="27">
        <v>4.2890842805061121E-4</v>
      </c>
    </row>
    <row r="154" spans="2:5" ht="15" customHeight="1" x14ac:dyDescent="0.25">
      <c r="B154" s="81"/>
      <c r="C154" s="29" t="s">
        <v>118</v>
      </c>
      <c r="D154" s="28">
        <v>1</v>
      </c>
      <c r="E154" s="27">
        <v>2.1445421402530561E-4</v>
      </c>
    </row>
    <row r="155" spans="2:5" ht="15" customHeight="1" x14ac:dyDescent="0.25">
      <c r="B155" s="82"/>
      <c r="C155" s="26" t="s">
        <v>46</v>
      </c>
      <c r="D155" s="25">
        <v>8</v>
      </c>
      <c r="E155" s="24">
        <v>1.7156337122024449E-3</v>
      </c>
    </row>
    <row r="156" spans="2:5" ht="15" customHeight="1" x14ac:dyDescent="0.25">
      <c r="B156" s="80" t="s">
        <v>88</v>
      </c>
      <c r="C156" s="29" t="s">
        <v>132</v>
      </c>
      <c r="D156" s="28">
        <v>2</v>
      </c>
      <c r="E156" s="27">
        <v>4.2890842805061121E-4</v>
      </c>
    </row>
    <row r="157" spans="2:5" ht="15" customHeight="1" x14ac:dyDescent="0.25">
      <c r="B157" s="81"/>
      <c r="C157" s="29" t="s">
        <v>131</v>
      </c>
      <c r="D157" s="28">
        <v>1</v>
      </c>
      <c r="E157" s="27">
        <v>2.1445421402530561E-4</v>
      </c>
    </row>
    <row r="158" spans="2:5" ht="15" customHeight="1" x14ac:dyDescent="0.25">
      <c r="B158" s="81"/>
      <c r="C158" s="29" t="s">
        <v>130</v>
      </c>
      <c r="D158" s="28">
        <v>3</v>
      </c>
      <c r="E158" s="27">
        <v>6.4336264207591682E-4</v>
      </c>
    </row>
    <row r="159" spans="2:5" ht="15" customHeight="1" x14ac:dyDescent="0.25">
      <c r="B159" s="81"/>
      <c r="C159" s="29" t="s">
        <v>129</v>
      </c>
      <c r="D159" s="28">
        <v>2</v>
      </c>
      <c r="E159" s="27">
        <v>4.2890842805061121E-4</v>
      </c>
    </row>
    <row r="160" spans="2:5" ht="15" customHeight="1" x14ac:dyDescent="0.25">
      <c r="B160" s="81"/>
      <c r="C160" s="29" t="s">
        <v>128</v>
      </c>
      <c r="D160" s="28">
        <v>2</v>
      </c>
      <c r="E160" s="27">
        <v>4.2890842805061121E-4</v>
      </c>
    </row>
    <row r="161" spans="2:5" ht="15" customHeight="1" x14ac:dyDescent="0.25">
      <c r="B161" s="81"/>
      <c r="C161" s="29" t="s">
        <v>127</v>
      </c>
      <c r="D161" s="28">
        <v>3</v>
      </c>
      <c r="E161" s="27">
        <v>6.4336264207591682E-4</v>
      </c>
    </row>
    <row r="162" spans="2:5" ht="15" customHeight="1" x14ac:dyDescent="0.25">
      <c r="B162" s="81"/>
      <c r="C162" s="29" t="s">
        <v>126</v>
      </c>
      <c r="D162" s="28">
        <v>10</v>
      </c>
      <c r="E162" s="27">
        <v>2.1445421402530558E-3</v>
      </c>
    </row>
    <row r="163" spans="2:5" ht="15" customHeight="1" x14ac:dyDescent="0.25">
      <c r="B163" s="81"/>
      <c r="C163" s="29" t="s">
        <v>125</v>
      </c>
      <c r="D163" s="28">
        <v>17</v>
      </c>
      <c r="E163" s="27">
        <v>3.6457216384301952E-3</v>
      </c>
    </row>
    <row r="164" spans="2:5" ht="15" customHeight="1" x14ac:dyDescent="0.25">
      <c r="B164" s="81"/>
      <c r="C164" s="29" t="s">
        <v>124</v>
      </c>
      <c r="D164" s="28">
        <v>1</v>
      </c>
      <c r="E164" s="27">
        <v>2.1445421402530561E-4</v>
      </c>
    </row>
    <row r="165" spans="2:5" ht="15" customHeight="1" x14ac:dyDescent="0.25">
      <c r="B165" s="81"/>
      <c r="C165" s="29" t="s">
        <v>123</v>
      </c>
      <c r="D165" s="28">
        <v>2</v>
      </c>
      <c r="E165" s="27">
        <v>4.2890842805061121E-4</v>
      </c>
    </row>
    <row r="166" spans="2:5" ht="15" customHeight="1" x14ac:dyDescent="0.25">
      <c r="B166" s="81"/>
      <c r="C166" s="29" t="s">
        <v>122</v>
      </c>
      <c r="D166" s="28">
        <v>4</v>
      </c>
      <c r="E166" s="27">
        <v>8.5781685610122243E-4</v>
      </c>
    </row>
    <row r="167" spans="2:5" ht="15" customHeight="1" x14ac:dyDescent="0.25">
      <c r="B167" s="81"/>
      <c r="C167" s="29" t="s">
        <v>121</v>
      </c>
      <c r="D167" s="28">
        <v>22</v>
      </c>
      <c r="E167" s="27">
        <v>4.7179927085567236E-3</v>
      </c>
    </row>
    <row r="168" spans="2:5" ht="15" customHeight="1" x14ac:dyDescent="0.25">
      <c r="B168" s="81"/>
      <c r="C168" s="29" t="s">
        <v>120</v>
      </c>
      <c r="D168" s="28">
        <v>2</v>
      </c>
      <c r="E168" s="27">
        <v>4.2890842805061121E-4</v>
      </c>
    </row>
    <row r="169" spans="2:5" ht="15" customHeight="1" x14ac:dyDescent="0.25">
      <c r="B169" s="81"/>
      <c r="C169" s="29" t="s">
        <v>119</v>
      </c>
      <c r="D169" s="28">
        <v>11</v>
      </c>
      <c r="E169" s="27">
        <v>2.3589963542783618E-3</v>
      </c>
    </row>
    <row r="170" spans="2:5" ht="15" customHeight="1" x14ac:dyDescent="0.25">
      <c r="B170" s="81"/>
      <c r="C170" s="29" t="s">
        <v>118</v>
      </c>
      <c r="D170" s="28">
        <v>11</v>
      </c>
      <c r="E170" s="27">
        <v>2.3589963542783618E-3</v>
      </c>
    </row>
    <row r="171" spans="2:5" ht="15" customHeight="1" x14ac:dyDescent="0.25">
      <c r="B171" s="81"/>
      <c r="C171" s="29" t="s">
        <v>112</v>
      </c>
      <c r="D171" s="28">
        <v>6</v>
      </c>
      <c r="E171" s="27">
        <v>1.2867252841518336E-3</v>
      </c>
    </row>
    <row r="172" spans="2:5" ht="15" customHeight="1" x14ac:dyDescent="0.25">
      <c r="B172" s="82"/>
      <c r="C172" s="26" t="s">
        <v>46</v>
      </c>
      <c r="D172" s="25">
        <v>99</v>
      </c>
      <c r="E172" s="24">
        <v>2.1230967188505253E-2</v>
      </c>
    </row>
    <row r="173" spans="2:5" ht="15" customHeight="1" x14ac:dyDescent="0.25">
      <c r="B173" s="80" t="s">
        <v>92</v>
      </c>
      <c r="C173" s="29" t="s">
        <v>132</v>
      </c>
      <c r="D173" s="28">
        <v>3</v>
      </c>
      <c r="E173" s="27">
        <v>6.4336264207591682E-4</v>
      </c>
    </row>
    <row r="174" spans="2:5" ht="15" customHeight="1" x14ac:dyDescent="0.25">
      <c r="B174" s="81"/>
      <c r="C174" s="29" t="s">
        <v>130</v>
      </c>
      <c r="D174" s="28">
        <v>2</v>
      </c>
      <c r="E174" s="27">
        <v>4.2890842805061121E-4</v>
      </c>
    </row>
    <row r="175" spans="2:5" ht="15" customHeight="1" x14ac:dyDescent="0.25">
      <c r="B175" s="81"/>
      <c r="C175" s="29" t="s">
        <v>129</v>
      </c>
      <c r="D175" s="28">
        <v>1</v>
      </c>
      <c r="E175" s="27">
        <v>2.1445421402530561E-4</v>
      </c>
    </row>
    <row r="176" spans="2:5" ht="15" customHeight="1" x14ac:dyDescent="0.25">
      <c r="B176" s="81"/>
      <c r="C176" s="29" t="s">
        <v>128</v>
      </c>
      <c r="D176" s="28">
        <v>3</v>
      </c>
      <c r="E176" s="27">
        <v>6.4336264207591682E-4</v>
      </c>
    </row>
    <row r="177" spans="2:5" ht="15" customHeight="1" x14ac:dyDescent="0.25">
      <c r="B177" s="81"/>
      <c r="C177" s="29" t="s">
        <v>127</v>
      </c>
      <c r="D177" s="28">
        <v>5</v>
      </c>
      <c r="E177" s="27">
        <v>1.0722710701265279E-3</v>
      </c>
    </row>
    <row r="178" spans="2:5" ht="15" customHeight="1" x14ac:dyDescent="0.25">
      <c r="B178" s="81"/>
      <c r="C178" s="29" t="s">
        <v>126</v>
      </c>
      <c r="D178" s="28">
        <v>15</v>
      </c>
      <c r="E178" s="27">
        <v>3.2168132103795838E-3</v>
      </c>
    </row>
    <row r="179" spans="2:5" ht="15" customHeight="1" x14ac:dyDescent="0.25">
      <c r="B179" s="81"/>
      <c r="C179" s="29" t="s">
        <v>125</v>
      </c>
      <c r="D179" s="28">
        <v>41</v>
      </c>
      <c r="E179" s="27">
        <v>8.7926227750375289E-3</v>
      </c>
    </row>
    <row r="180" spans="2:5" ht="15" customHeight="1" x14ac:dyDescent="0.25">
      <c r="B180" s="81"/>
      <c r="C180" s="29" t="s">
        <v>124</v>
      </c>
      <c r="D180" s="28">
        <v>3</v>
      </c>
      <c r="E180" s="27">
        <v>6.4336264207591682E-4</v>
      </c>
    </row>
    <row r="181" spans="2:5" ht="15" customHeight="1" x14ac:dyDescent="0.25">
      <c r="B181" s="81"/>
      <c r="C181" s="29" t="s">
        <v>123</v>
      </c>
      <c r="D181" s="28">
        <v>7</v>
      </c>
      <c r="E181" s="27">
        <v>1.5011794981771391E-3</v>
      </c>
    </row>
    <row r="182" spans="2:5" ht="15" customHeight="1" x14ac:dyDescent="0.25">
      <c r="B182" s="81"/>
      <c r="C182" s="29" t="s">
        <v>122</v>
      </c>
      <c r="D182" s="28">
        <v>8</v>
      </c>
      <c r="E182" s="27">
        <v>1.7156337122024449E-3</v>
      </c>
    </row>
    <row r="183" spans="2:5" ht="15" customHeight="1" x14ac:dyDescent="0.25">
      <c r="B183" s="81"/>
      <c r="C183" s="29" t="s">
        <v>121</v>
      </c>
      <c r="D183" s="28">
        <v>106</v>
      </c>
      <c r="E183" s="27">
        <v>2.2732146686682393E-2</v>
      </c>
    </row>
    <row r="184" spans="2:5" ht="15" customHeight="1" x14ac:dyDescent="0.25">
      <c r="B184" s="81"/>
      <c r="C184" s="29" t="s">
        <v>120</v>
      </c>
      <c r="D184" s="28">
        <v>1</v>
      </c>
      <c r="E184" s="27">
        <v>2.1445421402530561E-4</v>
      </c>
    </row>
    <row r="185" spans="2:5" ht="15" customHeight="1" x14ac:dyDescent="0.25">
      <c r="B185" s="81"/>
      <c r="C185" s="29" t="s">
        <v>119</v>
      </c>
      <c r="D185" s="28">
        <v>17</v>
      </c>
      <c r="E185" s="27">
        <v>3.6457216384301952E-3</v>
      </c>
    </row>
    <row r="186" spans="2:5" ht="15" customHeight="1" x14ac:dyDescent="0.25">
      <c r="B186" s="81"/>
      <c r="C186" s="29" t="s">
        <v>118</v>
      </c>
      <c r="D186" s="28">
        <v>47</v>
      </c>
      <c r="E186" s="27">
        <v>1.0079348059189364E-2</v>
      </c>
    </row>
    <row r="187" spans="2:5" ht="15" customHeight="1" x14ac:dyDescent="0.25">
      <c r="B187" s="81"/>
      <c r="C187" s="29" t="s">
        <v>116</v>
      </c>
      <c r="D187" s="28">
        <v>2</v>
      </c>
      <c r="E187" s="27">
        <v>4.2890842805061121E-4</v>
      </c>
    </row>
    <row r="188" spans="2:5" ht="15" customHeight="1" x14ac:dyDescent="0.25">
      <c r="B188" s="81"/>
      <c r="C188" s="29" t="s">
        <v>115</v>
      </c>
      <c r="D188" s="28">
        <v>1</v>
      </c>
      <c r="E188" s="27">
        <v>2.1445421402530561E-4</v>
      </c>
    </row>
    <row r="189" spans="2:5" ht="15" customHeight="1" x14ac:dyDescent="0.25">
      <c r="B189" s="81"/>
      <c r="C189" s="29" t="s">
        <v>113</v>
      </c>
      <c r="D189" s="28">
        <v>4</v>
      </c>
      <c r="E189" s="27">
        <v>8.5781685610122243E-4</v>
      </c>
    </row>
    <row r="190" spans="2:5" ht="15" customHeight="1" x14ac:dyDescent="0.25">
      <c r="B190" s="81"/>
      <c r="C190" s="29" t="s">
        <v>112</v>
      </c>
      <c r="D190" s="28">
        <v>8</v>
      </c>
      <c r="E190" s="27">
        <v>1.7156337122024449E-3</v>
      </c>
    </row>
    <row r="191" spans="2:5" ht="15" customHeight="1" x14ac:dyDescent="0.25">
      <c r="B191" s="81"/>
      <c r="C191" s="29" t="s">
        <v>110</v>
      </c>
      <c r="D191" s="28">
        <v>1</v>
      </c>
      <c r="E191" s="27">
        <v>2.1445421402530561E-4</v>
      </c>
    </row>
    <row r="192" spans="2:5" ht="15" customHeight="1" x14ac:dyDescent="0.25">
      <c r="B192" s="82"/>
      <c r="C192" s="26" t="s">
        <v>46</v>
      </c>
      <c r="D192" s="25">
        <v>275</v>
      </c>
      <c r="E192" s="24">
        <v>5.8974908856959038E-2</v>
      </c>
    </row>
    <row r="193" spans="2:5" ht="15" customHeight="1" x14ac:dyDescent="0.25">
      <c r="B193" s="80" t="s">
        <v>140</v>
      </c>
      <c r="C193" s="29" t="s">
        <v>132</v>
      </c>
      <c r="D193" s="28">
        <v>2</v>
      </c>
      <c r="E193" s="27">
        <v>4.2890842805061121E-4</v>
      </c>
    </row>
    <row r="194" spans="2:5" ht="15" customHeight="1" x14ac:dyDescent="0.25">
      <c r="B194" s="81"/>
      <c r="C194" s="29" t="s">
        <v>130</v>
      </c>
      <c r="D194" s="28">
        <v>1</v>
      </c>
      <c r="E194" s="27">
        <v>2.1445421402530561E-4</v>
      </c>
    </row>
    <row r="195" spans="2:5" ht="15" customHeight="1" x14ac:dyDescent="0.25">
      <c r="B195" s="81"/>
      <c r="C195" s="29" t="s">
        <v>129</v>
      </c>
      <c r="D195" s="28">
        <v>2</v>
      </c>
      <c r="E195" s="27">
        <v>4.2890842805061121E-4</v>
      </c>
    </row>
    <row r="196" spans="2:5" ht="15" customHeight="1" x14ac:dyDescent="0.25">
      <c r="B196" s="81"/>
      <c r="C196" s="29" t="s">
        <v>127</v>
      </c>
      <c r="D196" s="28">
        <v>2</v>
      </c>
      <c r="E196" s="27">
        <v>4.2890842805061121E-4</v>
      </c>
    </row>
    <row r="197" spans="2:5" ht="15" customHeight="1" x14ac:dyDescent="0.25">
      <c r="B197" s="81"/>
      <c r="C197" s="29" t="s">
        <v>126</v>
      </c>
      <c r="D197" s="28">
        <v>9</v>
      </c>
      <c r="E197" s="27">
        <v>1.9300879262277503E-3</v>
      </c>
    </row>
    <row r="198" spans="2:5" ht="15" customHeight="1" x14ac:dyDescent="0.25">
      <c r="B198" s="81"/>
      <c r="C198" s="29" t="s">
        <v>125</v>
      </c>
      <c r="D198" s="28">
        <v>12</v>
      </c>
      <c r="E198" s="27">
        <v>2.5734505683036673E-3</v>
      </c>
    </row>
    <row r="199" spans="2:5" ht="15" customHeight="1" x14ac:dyDescent="0.25">
      <c r="B199" s="81"/>
      <c r="C199" s="29" t="s">
        <v>123</v>
      </c>
      <c r="D199" s="28">
        <v>3</v>
      </c>
      <c r="E199" s="27">
        <v>6.4336264207591682E-4</v>
      </c>
    </row>
    <row r="200" spans="2:5" ht="15" customHeight="1" x14ac:dyDescent="0.25">
      <c r="B200" s="81"/>
      <c r="C200" s="29" t="s">
        <v>122</v>
      </c>
      <c r="D200" s="28">
        <v>3</v>
      </c>
      <c r="E200" s="27">
        <v>6.4336264207591682E-4</v>
      </c>
    </row>
    <row r="201" spans="2:5" ht="15" customHeight="1" x14ac:dyDescent="0.25">
      <c r="B201" s="81"/>
      <c r="C201" s="29" t="s">
        <v>121</v>
      </c>
      <c r="D201" s="28">
        <v>49</v>
      </c>
      <c r="E201" s="27">
        <v>1.0508256487239975E-2</v>
      </c>
    </row>
    <row r="202" spans="2:5" ht="15" customHeight="1" x14ac:dyDescent="0.25">
      <c r="B202" s="81"/>
      <c r="C202" s="29" t="s">
        <v>119</v>
      </c>
      <c r="D202" s="28">
        <v>9</v>
      </c>
      <c r="E202" s="27">
        <v>1.9300879262277503E-3</v>
      </c>
    </row>
    <row r="203" spans="2:5" ht="15" customHeight="1" x14ac:dyDescent="0.25">
      <c r="B203" s="81"/>
      <c r="C203" s="29" t="s">
        <v>118</v>
      </c>
      <c r="D203" s="28">
        <v>18</v>
      </c>
      <c r="E203" s="27">
        <v>3.8601758524555007E-3</v>
      </c>
    </row>
    <row r="204" spans="2:5" ht="15" customHeight="1" x14ac:dyDescent="0.25">
      <c r="B204" s="81"/>
      <c r="C204" s="29" t="s">
        <v>113</v>
      </c>
      <c r="D204" s="28">
        <v>2</v>
      </c>
      <c r="E204" s="27">
        <v>4.2890842805061121E-4</v>
      </c>
    </row>
    <row r="205" spans="2:5" ht="15" customHeight="1" x14ac:dyDescent="0.25">
      <c r="B205" s="82"/>
      <c r="C205" s="26" t="s">
        <v>46</v>
      </c>
      <c r="D205" s="25">
        <v>112</v>
      </c>
      <c r="E205" s="24">
        <v>2.4018871970834226E-2</v>
      </c>
    </row>
    <row r="206" spans="2:5" ht="15" customHeight="1" x14ac:dyDescent="0.25">
      <c r="B206" s="80" t="s">
        <v>71</v>
      </c>
      <c r="C206" s="29" t="s">
        <v>132</v>
      </c>
      <c r="D206" s="28">
        <v>1</v>
      </c>
      <c r="E206" s="27">
        <v>2.1445421402530561E-4</v>
      </c>
    </row>
    <row r="207" spans="2:5" ht="15" customHeight="1" x14ac:dyDescent="0.25">
      <c r="B207" s="81"/>
      <c r="C207" s="29" t="s">
        <v>130</v>
      </c>
      <c r="D207" s="28">
        <v>1</v>
      </c>
      <c r="E207" s="27">
        <v>2.1445421402530561E-4</v>
      </c>
    </row>
    <row r="208" spans="2:5" ht="15" customHeight="1" x14ac:dyDescent="0.25">
      <c r="B208" s="81"/>
      <c r="C208" s="29" t="s">
        <v>126</v>
      </c>
      <c r="D208" s="28">
        <v>10</v>
      </c>
      <c r="E208" s="27">
        <v>2.1445421402530558E-3</v>
      </c>
    </row>
    <row r="209" spans="2:5" ht="15" customHeight="1" x14ac:dyDescent="0.25">
      <c r="B209" s="81"/>
      <c r="C209" s="29" t="s">
        <v>125</v>
      </c>
      <c r="D209" s="28">
        <v>5</v>
      </c>
      <c r="E209" s="27">
        <v>1.0722710701265279E-3</v>
      </c>
    </row>
    <row r="210" spans="2:5" ht="15" customHeight="1" x14ac:dyDescent="0.25">
      <c r="B210" s="81"/>
      <c r="C210" s="29" t="s">
        <v>124</v>
      </c>
      <c r="D210" s="28">
        <v>3</v>
      </c>
      <c r="E210" s="27">
        <v>6.4336264207591682E-4</v>
      </c>
    </row>
    <row r="211" spans="2:5" ht="15" customHeight="1" x14ac:dyDescent="0.25">
      <c r="B211" s="81"/>
      <c r="C211" s="29" t="s">
        <v>123</v>
      </c>
      <c r="D211" s="28">
        <v>5</v>
      </c>
      <c r="E211" s="27">
        <v>1.0722710701265279E-3</v>
      </c>
    </row>
    <row r="212" spans="2:5" ht="15" customHeight="1" x14ac:dyDescent="0.25">
      <c r="B212" s="81"/>
      <c r="C212" s="29" t="s">
        <v>122</v>
      </c>
      <c r="D212" s="28">
        <v>9</v>
      </c>
      <c r="E212" s="27">
        <v>1.9300879262277503E-3</v>
      </c>
    </row>
    <row r="213" spans="2:5" ht="15" customHeight="1" x14ac:dyDescent="0.25">
      <c r="B213" s="81"/>
      <c r="C213" s="29" t="s">
        <v>121</v>
      </c>
      <c r="D213" s="28">
        <v>21</v>
      </c>
      <c r="E213" s="27">
        <v>4.5035384945314172E-3</v>
      </c>
    </row>
    <row r="214" spans="2:5" ht="15" customHeight="1" x14ac:dyDescent="0.25">
      <c r="B214" s="81"/>
      <c r="C214" s="29" t="s">
        <v>119</v>
      </c>
      <c r="D214" s="28">
        <v>13</v>
      </c>
      <c r="E214" s="27">
        <v>2.7879047823289728E-3</v>
      </c>
    </row>
    <row r="215" spans="2:5" ht="15" customHeight="1" x14ac:dyDescent="0.25">
      <c r="B215" s="81"/>
      <c r="C215" s="29" t="s">
        <v>118</v>
      </c>
      <c r="D215" s="28">
        <v>15</v>
      </c>
      <c r="E215" s="27">
        <v>3.2168132103795838E-3</v>
      </c>
    </row>
    <row r="216" spans="2:5" ht="15" customHeight="1" x14ac:dyDescent="0.25">
      <c r="B216" s="81"/>
      <c r="C216" s="29" t="s">
        <v>116</v>
      </c>
      <c r="D216" s="28">
        <v>1</v>
      </c>
      <c r="E216" s="27">
        <v>2.1445421402530561E-4</v>
      </c>
    </row>
    <row r="217" spans="2:5" ht="15" customHeight="1" x14ac:dyDescent="0.25">
      <c r="B217" s="81"/>
      <c r="C217" s="29" t="s">
        <v>113</v>
      </c>
      <c r="D217" s="28">
        <v>2</v>
      </c>
      <c r="E217" s="27">
        <v>4.2890842805061121E-4</v>
      </c>
    </row>
    <row r="218" spans="2:5" ht="15" customHeight="1" x14ac:dyDescent="0.25">
      <c r="B218" s="81"/>
      <c r="C218" s="29" t="s">
        <v>112</v>
      </c>
      <c r="D218" s="28">
        <v>2</v>
      </c>
      <c r="E218" s="27">
        <v>4.2890842805061121E-4</v>
      </c>
    </row>
    <row r="219" spans="2:5" ht="15" customHeight="1" x14ac:dyDescent="0.25">
      <c r="B219" s="82"/>
      <c r="C219" s="26" t="s">
        <v>46</v>
      </c>
      <c r="D219" s="25">
        <v>88</v>
      </c>
      <c r="E219" s="24">
        <v>1.8871970834226894E-2</v>
      </c>
    </row>
    <row r="220" spans="2:5" ht="15" customHeight="1" x14ac:dyDescent="0.25">
      <c r="B220" s="80" t="s">
        <v>55</v>
      </c>
      <c r="C220" s="29" t="s">
        <v>120</v>
      </c>
      <c r="D220" s="28">
        <v>1</v>
      </c>
      <c r="E220" s="27">
        <v>2.1445421402530561E-4</v>
      </c>
    </row>
    <row r="221" spans="2:5" ht="15" customHeight="1" x14ac:dyDescent="0.25">
      <c r="B221" s="81"/>
      <c r="C221" s="29" t="s">
        <v>113</v>
      </c>
      <c r="D221" s="28">
        <v>1</v>
      </c>
      <c r="E221" s="27">
        <v>2.1445421402530561E-4</v>
      </c>
    </row>
    <row r="222" spans="2:5" ht="15" customHeight="1" x14ac:dyDescent="0.25">
      <c r="B222" s="82"/>
      <c r="C222" s="26" t="s">
        <v>46</v>
      </c>
      <c r="D222" s="25">
        <v>2</v>
      </c>
      <c r="E222" s="24">
        <v>4.2890842805061121E-4</v>
      </c>
    </row>
    <row r="223" spans="2:5" ht="15" customHeight="1" x14ac:dyDescent="0.25">
      <c r="B223" s="80" t="s">
        <v>78</v>
      </c>
      <c r="C223" s="29" t="s">
        <v>129</v>
      </c>
      <c r="D223" s="28">
        <v>1</v>
      </c>
      <c r="E223" s="27">
        <v>2.1445421402530561E-4</v>
      </c>
    </row>
    <row r="224" spans="2:5" ht="15" customHeight="1" x14ac:dyDescent="0.25">
      <c r="B224" s="81"/>
      <c r="C224" s="29" t="s">
        <v>127</v>
      </c>
      <c r="D224" s="28">
        <v>2</v>
      </c>
      <c r="E224" s="27">
        <v>4.2890842805061121E-4</v>
      </c>
    </row>
    <row r="225" spans="2:5" ht="15" customHeight="1" x14ac:dyDescent="0.25">
      <c r="B225" s="81"/>
      <c r="C225" s="29" t="s">
        <v>126</v>
      </c>
      <c r="D225" s="28">
        <v>3</v>
      </c>
      <c r="E225" s="27">
        <v>6.4336264207591682E-4</v>
      </c>
    </row>
    <row r="226" spans="2:5" ht="15" customHeight="1" x14ac:dyDescent="0.25">
      <c r="B226" s="81"/>
      <c r="C226" s="29" t="s">
        <v>125</v>
      </c>
      <c r="D226" s="28">
        <v>9</v>
      </c>
      <c r="E226" s="27">
        <v>1.9300879262277503E-3</v>
      </c>
    </row>
    <row r="227" spans="2:5" ht="15" customHeight="1" x14ac:dyDescent="0.25">
      <c r="B227" s="81"/>
      <c r="C227" s="29" t="s">
        <v>124</v>
      </c>
      <c r="D227" s="28">
        <v>4</v>
      </c>
      <c r="E227" s="27">
        <v>8.5781685610122243E-4</v>
      </c>
    </row>
    <row r="228" spans="2:5" ht="15" customHeight="1" x14ac:dyDescent="0.25">
      <c r="B228" s="81"/>
      <c r="C228" s="29" t="s">
        <v>122</v>
      </c>
      <c r="D228" s="28">
        <v>2</v>
      </c>
      <c r="E228" s="27">
        <v>4.2890842805061121E-4</v>
      </c>
    </row>
    <row r="229" spans="2:5" ht="15" customHeight="1" x14ac:dyDescent="0.25">
      <c r="B229" s="81"/>
      <c r="C229" s="29" t="s">
        <v>121</v>
      </c>
      <c r="D229" s="28">
        <v>22</v>
      </c>
      <c r="E229" s="27">
        <v>4.7179927085567236E-3</v>
      </c>
    </row>
    <row r="230" spans="2:5" ht="15" customHeight="1" x14ac:dyDescent="0.25">
      <c r="B230" s="81"/>
      <c r="C230" s="29" t="s">
        <v>120</v>
      </c>
      <c r="D230" s="28">
        <v>1</v>
      </c>
      <c r="E230" s="27">
        <v>2.1445421402530561E-4</v>
      </c>
    </row>
    <row r="231" spans="2:5" ht="15" customHeight="1" x14ac:dyDescent="0.25">
      <c r="B231" s="81"/>
      <c r="C231" s="29" t="s">
        <v>119</v>
      </c>
      <c r="D231" s="28">
        <v>7</v>
      </c>
      <c r="E231" s="27">
        <v>1.5011794981771391E-3</v>
      </c>
    </row>
    <row r="232" spans="2:5" ht="15" customHeight="1" x14ac:dyDescent="0.25">
      <c r="B232" s="81"/>
      <c r="C232" s="29" t="s">
        <v>118</v>
      </c>
      <c r="D232" s="28">
        <v>17</v>
      </c>
      <c r="E232" s="27">
        <v>3.6457216384301952E-3</v>
      </c>
    </row>
    <row r="233" spans="2:5" ht="15" customHeight="1" x14ac:dyDescent="0.25">
      <c r="B233" s="81"/>
      <c r="C233" s="29" t="s">
        <v>116</v>
      </c>
      <c r="D233" s="28">
        <v>1</v>
      </c>
      <c r="E233" s="27">
        <v>2.1445421402530561E-4</v>
      </c>
    </row>
    <row r="234" spans="2:5" ht="15" customHeight="1" x14ac:dyDescent="0.25">
      <c r="B234" s="81"/>
      <c r="C234" s="29" t="s">
        <v>112</v>
      </c>
      <c r="D234" s="28">
        <v>3</v>
      </c>
      <c r="E234" s="27">
        <v>6.4336264207591682E-4</v>
      </c>
    </row>
    <row r="235" spans="2:5" ht="15" customHeight="1" x14ac:dyDescent="0.25">
      <c r="B235" s="82"/>
      <c r="C235" s="26" t="s">
        <v>46</v>
      </c>
      <c r="D235" s="25">
        <v>72</v>
      </c>
      <c r="E235" s="24">
        <v>1.5440703409822003E-2</v>
      </c>
    </row>
    <row r="236" spans="2:5" ht="15" customHeight="1" x14ac:dyDescent="0.25">
      <c r="B236" s="80" t="s">
        <v>82</v>
      </c>
      <c r="C236" s="29" t="s">
        <v>132</v>
      </c>
      <c r="D236" s="28">
        <v>4</v>
      </c>
      <c r="E236" s="27">
        <v>8.5781685610122243E-4</v>
      </c>
    </row>
    <row r="237" spans="2:5" ht="15" customHeight="1" x14ac:dyDescent="0.25">
      <c r="B237" s="81"/>
      <c r="C237" s="29" t="s">
        <v>131</v>
      </c>
      <c r="D237" s="28">
        <v>1</v>
      </c>
      <c r="E237" s="27">
        <v>2.1445421402530561E-4</v>
      </c>
    </row>
    <row r="238" spans="2:5" ht="15" customHeight="1" x14ac:dyDescent="0.25">
      <c r="B238" s="81"/>
      <c r="C238" s="29" t="s">
        <v>130</v>
      </c>
      <c r="D238" s="28">
        <v>4</v>
      </c>
      <c r="E238" s="27">
        <v>8.5781685610122243E-4</v>
      </c>
    </row>
    <row r="239" spans="2:5" ht="15" customHeight="1" x14ac:dyDescent="0.25">
      <c r="B239" s="81"/>
      <c r="C239" s="29" t="s">
        <v>129</v>
      </c>
      <c r="D239" s="28">
        <v>5</v>
      </c>
      <c r="E239" s="27">
        <v>1.0722710701265279E-3</v>
      </c>
    </row>
    <row r="240" spans="2:5" ht="15" customHeight="1" x14ac:dyDescent="0.25">
      <c r="B240" s="81"/>
      <c r="C240" s="29" t="s">
        <v>128</v>
      </c>
      <c r="D240" s="28">
        <v>8</v>
      </c>
      <c r="E240" s="27">
        <v>1.7156337122024449E-3</v>
      </c>
    </row>
    <row r="241" spans="2:5" ht="15" customHeight="1" x14ac:dyDescent="0.25">
      <c r="B241" s="81"/>
      <c r="C241" s="29" t="s">
        <v>127</v>
      </c>
      <c r="D241" s="28">
        <v>4</v>
      </c>
      <c r="E241" s="27">
        <v>8.5781685610122243E-4</v>
      </c>
    </row>
    <row r="242" spans="2:5" ht="15" customHeight="1" x14ac:dyDescent="0.25">
      <c r="B242" s="81"/>
      <c r="C242" s="29" t="s">
        <v>126</v>
      </c>
      <c r="D242" s="28">
        <v>27</v>
      </c>
      <c r="E242" s="27">
        <v>5.790263778683251E-3</v>
      </c>
    </row>
    <row r="243" spans="2:5" ht="15" customHeight="1" x14ac:dyDescent="0.25">
      <c r="B243" s="81"/>
      <c r="C243" s="29" t="s">
        <v>125</v>
      </c>
      <c r="D243" s="28">
        <v>70</v>
      </c>
      <c r="E243" s="27">
        <v>1.5011794981771392E-2</v>
      </c>
    </row>
    <row r="244" spans="2:5" ht="15" customHeight="1" x14ac:dyDescent="0.25">
      <c r="B244" s="81"/>
      <c r="C244" s="29" t="s">
        <v>124</v>
      </c>
      <c r="D244" s="28">
        <v>6</v>
      </c>
      <c r="E244" s="27">
        <v>1.2867252841518336E-3</v>
      </c>
    </row>
    <row r="245" spans="2:5" ht="15" customHeight="1" x14ac:dyDescent="0.25">
      <c r="B245" s="81"/>
      <c r="C245" s="29" t="s">
        <v>123</v>
      </c>
      <c r="D245" s="28">
        <v>25</v>
      </c>
      <c r="E245" s="27">
        <v>5.3613553506326401E-3</v>
      </c>
    </row>
    <row r="246" spans="2:5" ht="15" customHeight="1" x14ac:dyDescent="0.25">
      <c r="B246" s="81"/>
      <c r="C246" s="29" t="s">
        <v>122</v>
      </c>
      <c r="D246" s="28">
        <v>26</v>
      </c>
      <c r="E246" s="27">
        <v>5.5758095646579455E-3</v>
      </c>
    </row>
    <row r="247" spans="2:5" ht="15" customHeight="1" x14ac:dyDescent="0.25">
      <c r="B247" s="81"/>
      <c r="C247" s="29" t="s">
        <v>121</v>
      </c>
      <c r="D247" s="28">
        <v>180</v>
      </c>
      <c r="E247" s="27">
        <v>3.860175852455501E-2</v>
      </c>
    </row>
    <row r="248" spans="2:5" ht="15" customHeight="1" x14ac:dyDescent="0.25">
      <c r="B248" s="81"/>
      <c r="C248" s="29" t="s">
        <v>120</v>
      </c>
      <c r="D248" s="28">
        <v>2</v>
      </c>
      <c r="E248" s="27">
        <v>4.2890842805061121E-4</v>
      </c>
    </row>
    <row r="249" spans="2:5" ht="15" customHeight="1" x14ac:dyDescent="0.25">
      <c r="B249" s="81"/>
      <c r="C249" s="29" t="s">
        <v>119</v>
      </c>
      <c r="D249" s="28">
        <v>37</v>
      </c>
      <c r="E249" s="27">
        <v>7.9348059189363069E-3</v>
      </c>
    </row>
    <row r="250" spans="2:5" ht="15" customHeight="1" x14ac:dyDescent="0.25">
      <c r="B250" s="81"/>
      <c r="C250" s="29" t="s">
        <v>118</v>
      </c>
      <c r="D250" s="28">
        <v>101</v>
      </c>
      <c r="E250" s="27">
        <v>2.1659875616555864E-2</v>
      </c>
    </row>
    <row r="251" spans="2:5" ht="15" customHeight="1" x14ac:dyDescent="0.25">
      <c r="B251" s="81"/>
      <c r="C251" s="29" t="s">
        <v>117</v>
      </c>
      <c r="D251" s="28">
        <v>1</v>
      </c>
      <c r="E251" s="27">
        <v>2.1445421402530561E-4</v>
      </c>
    </row>
    <row r="252" spans="2:5" ht="15" customHeight="1" x14ac:dyDescent="0.25">
      <c r="B252" s="81"/>
      <c r="C252" s="29" t="s">
        <v>116</v>
      </c>
      <c r="D252" s="28">
        <v>1</v>
      </c>
      <c r="E252" s="27">
        <v>2.1445421402530561E-4</v>
      </c>
    </row>
    <row r="253" spans="2:5" ht="15" customHeight="1" x14ac:dyDescent="0.25">
      <c r="B253" s="81"/>
      <c r="C253" s="29" t="s">
        <v>115</v>
      </c>
      <c r="D253" s="28">
        <v>1</v>
      </c>
      <c r="E253" s="27">
        <v>2.1445421402530561E-4</v>
      </c>
    </row>
    <row r="254" spans="2:5" ht="15" customHeight="1" x14ac:dyDescent="0.25">
      <c r="B254" s="81"/>
      <c r="C254" s="29" t="s">
        <v>113</v>
      </c>
      <c r="D254" s="28">
        <v>2</v>
      </c>
      <c r="E254" s="27">
        <v>4.2890842805061121E-4</v>
      </c>
    </row>
    <row r="255" spans="2:5" ht="15" customHeight="1" x14ac:dyDescent="0.25">
      <c r="B255" s="81"/>
      <c r="C255" s="29" t="s">
        <v>112</v>
      </c>
      <c r="D255" s="28">
        <v>6</v>
      </c>
      <c r="E255" s="27">
        <v>1.2867252841518336E-3</v>
      </c>
    </row>
    <row r="256" spans="2:5" ht="15" customHeight="1" x14ac:dyDescent="0.25">
      <c r="B256" s="81"/>
      <c r="C256" s="29" t="s">
        <v>137</v>
      </c>
      <c r="D256" s="28">
        <v>1</v>
      </c>
      <c r="E256" s="27">
        <v>2.1445421402530561E-4</v>
      </c>
    </row>
    <row r="257" spans="2:5" ht="15" customHeight="1" x14ac:dyDescent="0.25">
      <c r="B257" s="81"/>
      <c r="C257" s="29" t="s">
        <v>109</v>
      </c>
      <c r="D257" s="28">
        <v>1</v>
      </c>
      <c r="E257" s="27">
        <v>2.1445421402530561E-4</v>
      </c>
    </row>
    <row r="258" spans="2:5" ht="15" customHeight="1" x14ac:dyDescent="0.25">
      <c r="B258" s="82"/>
      <c r="C258" s="26" t="s">
        <v>46</v>
      </c>
      <c r="D258" s="25">
        <v>513</v>
      </c>
      <c r="E258" s="24">
        <v>0.11001501179498177</v>
      </c>
    </row>
    <row r="259" spans="2:5" ht="15" customHeight="1" x14ac:dyDescent="0.25">
      <c r="B259" s="80" t="s">
        <v>139</v>
      </c>
      <c r="C259" s="29" t="s">
        <v>132</v>
      </c>
      <c r="D259" s="28">
        <v>3</v>
      </c>
      <c r="E259" s="27">
        <v>6.4336264207591682E-4</v>
      </c>
    </row>
    <row r="260" spans="2:5" ht="15" customHeight="1" x14ac:dyDescent="0.25">
      <c r="B260" s="81"/>
      <c r="C260" s="29" t="s">
        <v>131</v>
      </c>
      <c r="D260" s="28">
        <v>1</v>
      </c>
      <c r="E260" s="27">
        <v>2.1445421402530561E-4</v>
      </c>
    </row>
    <row r="261" spans="2:5" ht="15" customHeight="1" x14ac:dyDescent="0.25">
      <c r="B261" s="81"/>
      <c r="C261" s="29" t="s">
        <v>130</v>
      </c>
      <c r="D261" s="28">
        <v>3</v>
      </c>
      <c r="E261" s="27">
        <v>6.4336264207591682E-4</v>
      </c>
    </row>
    <row r="262" spans="2:5" ht="15" customHeight="1" x14ac:dyDescent="0.25">
      <c r="B262" s="81"/>
      <c r="C262" s="29" t="s">
        <v>129</v>
      </c>
      <c r="D262" s="28">
        <v>3</v>
      </c>
      <c r="E262" s="27">
        <v>6.4336264207591682E-4</v>
      </c>
    </row>
    <row r="263" spans="2:5" ht="15" customHeight="1" x14ac:dyDescent="0.25">
      <c r="B263" s="81"/>
      <c r="C263" s="29" t="s">
        <v>128</v>
      </c>
      <c r="D263" s="28">
        <v>6</v>
      </c>
      <c r="E263" s="27">
        <v>1.2867252841518336E-3</v>
      </c>
    </row>
    <row r="264" spans="2:5" ht="15" customHeight="1" x14ac:dyDescent="0.25">
      <c r="B264" s="81"/>
      <c r="C264" s="29" t="s">
        <v>127</v>
      </c>
      <c r="D264" s="28">
        <v>1</v>
      </c>
      <c r="E264" s="27">
        <v>2.1445421402530561E-4</v>
      </c>
    </row>
    <row r="265" spans="2:5" ht="15" customHeight="1" x14ac:dyDescent="0.25">
      <c r="B265" s="81"/>
      <c r="C265" s="29" t="s">
        <v>126</v>
      </c>
      <c r="D265" s="28">
        <v>19</v>
      </c>
      <c r="E265" s="27">
        <v>4.0746300664808062E-3</v>
      </c>
    </row>
    <row r="266" spans="2:5" ht="15" customHeight="1" x14ac:dyDescent="0.25">
      <c r="B266" s="81"/>
      <c r="C266" s="29" t="s">
        <v>125</v>
      </c>
      <c r="D266" s="28">
        <v>49</v>
      </c>
      <c r="E266" s="27">
        <v>1.0508256487239975E-2</v>
      </c>
    </row>
    <row r="267" spans="2:5" ht="15" customHeight="1" x14ac:dyDescent="0.25">
      <c r="B267" s="81"/>
      <c r="C267" s="29" t="s">
        <v>124</v>
      </c>
      <c r="D267" s="28">
        <v>2</v>
      </c>
      <c r="E267" s="27">
        <v>4.2890842805061121E-4</v>
      </c>
    </row>
    <row r="268" spans="2:5" ht="15" customHeight="1" x14ac:dyDescent="0.25">
      <c r="B268" s="81"/>
      <c r="C268" s="29" t="s">
        <v>123</v>
      </c>
      <c r="D268" s="28">
        <v>7</v>
      </c>
      <c r="E268" s="27">
        <v>1.5011794981771391E-3</v>
      </c>
    </row>
    <row r="269" spans="2:5" ht="15" customHeight="1" x14ac:dyDescent="0.25">
      <c r="B269" s="81"/>
      <c r="C269" s="29" t="s">
        <v>122</v>
      </c>
      <c r="D269" s="28">
        <v>8</v>
      </c>
      <c r="E269" s="27">
        <v>1.7156337122024449E-3</v>
      </c>
    </row>
    <row r="270" spans="2:5" ht="15" customHeight="1" x14ac:dyDescent="0.25">
      <c r="B270" s="81"/>
      <c r="C270" s="29" t="s">
        <v>121</v>
      </c>
      <c r="D270" s="28">
        <v>112</v>
      </c>
      <c r="E270" s="27">
        <v>2.4018871970834226E-2</v>
      </c>
    </row>
    <row r="271" spans="2:5" ht="15" customHeight="1" x14ac:dyDescent="0.25">
      <c r="B271" s="81"/>
      <c r="C271" s="29" t="s">
        <v>120</v>
      </c>
      <c r="D271" s="28">
        <v>4</v>
      </c>
      <c r="E271" s="27">
        <v>8.5781685610122243E-4</v>
      </c>
    </row>
    <row r="272" spans="2:5" ht="15" customHeight="1" x14ac:dyDescent="0.25">
      <c r="B272" s="81"/>
      <c r="C272" s="29" t="s">
        <v>119</v>
      </c>
      <c r="D272" s="28">
        <v>22</v>
      </c>
      <c r="E272" s="27">
        <v>4.7179927085567236E-3</v>
      </c>
    </row>
    <row r="273" spans="2:5" ht="15" customHeight="1" x14ac:dyDescent="0.25">
      <c r="B273" s="81"/>
      <c r="C273" s="29" t="s">
        <v>118</v>
      </c>
      <c r="D273" s="28">
        <v>49</v>
      </c>
      <c r="E273" s="27">
        <v>1.0508256487239975E-2</v>
      </c>
    </row>
    <row r="274" spans="2:5" ht="15" customHeight="1" x14ac:dyDescent="0.25">
      <c r="B274" s="81"/>
      <c r="C274" s="29" t="s">
        <v>117</v>
      </c>
      <c r="D274" s="28">
        <v>3</v>
      </c>
      <c r="E274" s="27">
        <v>6.4336264207591682E-4</v>
      </c>
    </row>
    <row r="275" spans="2:5" ht="15" customHeight="1" x14ac:dyDescent="0.25">
      <c r="B275" s="81"/>
      <c r="C275" s="29" t="s">
        <v>115</v>
      </c>
      <c r="D275" s="28">
        <v>1</v>
      </c>
      <c r="E275" s="27">
        <v>2.1445421402530561E-4</v>
      </c>
    </row>
    <row r="276" spans="2:5" ht="15" customHeight="1" x14ac:dyDescent="0.25">
      <c r="B276" s="81"/>
      <c r="C276" s="29" t="s">
        <v>113</v>
      </c>
      <c r="D276" s="28">
        <v>12</v>
      </c>
      <c r="E276" s="27">
        <v>2.5734505683036673E-3</v>
      </c>
    </row>
    <row r="277" spans="2:5" ht="15" customHeight="1" x14ac:dyDescent="0.25">
      <c r="B277" s="81"/>
      <c r="C277" s="29" t="s">
        <v>112</v>
      </c>
      <c r="D277" s="28">
        <v>7</v>
      </c>
      <c r="E277" s="27">
        <v>1.5011794981771391E-3</v>
      </c>
    </row>
    <row r="278" spans="2:5" ht="15" customHeight="1" x14ac:dyDescent="0.25">
      <c r="B278" s="82"/>
      <c r="C278" s="26" t="s">
        <v>46</v>
      </c>
      <c r="D278" s="25">
        <v>312</v>
      </c>
      <c r="E278" s="24">
        <v>6.6909714775895343E-2</v>
      </c>
    </row>
    <row r="279" spans="2:5" ht="15" customHeight="1" x14ac:dyDescent="0.25">
      <c r="B279" s="80" t="s">
        <v>138</v>
      </c>
      <c r="C279" s="29" t="s">
        <v>130</v>
      </c>
      <c r="D279" s="28">
        <v>1</v>
      </c>
      <c r="E279" s="27">
        <v>2.1445421402530561E-4</v>
      </c>
    </row>
    <row r="280" spans="2:5" ht="15" customHeight="1" x14ac:dyDescent="0.25">
      <c r="B280" s="81"/>
      <c r="C280" s="29" t="s">
        <v>129</v>
      </c>
      <c r="D280" s="28">
        <v>4</v>
      </c>
      <c r="E280" s="27">
        <v>8.5781685610122243E-4</v>
      </c>
    </row>
    <row r="281" spans="2:5" ht="15" customHeight="1" x14ac:dyDescent="0.25">
      <c r="B281" s="81"/>
      <c r="C281" s="29" t="s">
        <v>128</v>
      </c>
      <c r="D281" s="28">
        <v>1</v>
      </c>
      <c r="E281" s="27">
        <v>2.1445421402530561E-4</v>
      </c>
    </row>
    <row r="282" spans="2:5" ht="15" customHeight="1" x14ac:dyDescent="0.25">
      <c r="B282" s="81"/>
      <c r="C282" s="29" t="s">
        <v>126</v>
      </c>
      <c r="D282" s="28">
        <v>4</v>
      </c>
      <c r="E282" s="27">
        <v>8.5781685610122243E-4</v>
      </c>
    </row>
    <row r="283" spans="2:5" ht="15" customHeight="1" x14ac:dyDescent="0.25">
      <c r="B283" s="81"/>
      <c r="C283" s="29" t="s">
        <v>125</v>
      </c>
      <c r="D283" s="28">
        <v>1</v>
      </c>
      <c r="E283" s="27">
        <v>2.1445421402530561E-4</v>
      </c>
    </row>
    <row r="284" spans="2:5" ht="15" customHeight="1" x14ac:dyDescent="0.25">
      <c r="B284" s="81"/>
      <c r="C284" s="29" t="s">
        <v>123</v>
      </c>
      <c r="D284" s="28">
        <v>3</v>
      </c>
      <c r="E284" s="27">
        <v>6.4336264207591682E-4</v>
      </c>
    </row>
    <row r="285" spans="2:5" ht="15" customHeight="1" x14ac:dyDescent="0.25">
      <c r="B285" s="81"/>
      <c r="C285" s="29" t="s">
        <v>122</v>
      </c>
      <c r="D285" s="28">
        <v>2</v>
      </c>
      <c r="E285" s="27">
        <v>4.2890842805061121E-4</v>
      </c>
    </row>
    <row r="286" spans="2:5" ht="15" customHeight="1" x14ac:dyDescent="0.25">
      <c r="B286" s="81"/>
      <c r="C286" s="29" t="s">
        <v>121</v>
      </c>
      <c r="D286" s="28">
        <v>12</v>
      </c>
      <c r="E286" s="27">
        <v>2.5734505683036673E-3</v>
      </c>
    </row>
    <row r="287" spans="2:5" ht="15" customHeight="1" x14ac:dyDescent="0.25">
      <c r="B287" s="81"/>
      <c r="C287" s="29" t="s">
        <v>119</v>
      </c>
      <c r="D287" s="28">
        <v>1</v>
      </c>
      <c r="E287" s="27">
        <v>2.1445421402530561E-4</v>
      </c>
    </row>
    <row r="288" spans="2:5" ht="15" customHeight="1" x14ac:dyDescent="0.25">
      <c r="B288" s="81"/>
      <c r="C288" s="29" t="s">
        <v>118</v>
      </c>
      <c r="D288" s="28">
        <v>5</v>
      </c>
      <c r="E288" s="27">
        <v>1.0722710701265279E-3</v>
      </c>
    </row>
    <row r="289" spans="2:5" ht="15" customHeight="1" x14ac:dyDescent="0.25">
      <c r="B289" s="81"/>
      <c r="C289" s="29" t="s">
        <v>117</v>
      </c>
      <c r="D289" s="28">
        <v>1</v>
      </c>
      <c r="E289" s="27">
        <v>2.1445421402530561E-4</v>
      </c>
    </row>
    <row r="290" spans="2:5" ht="15" customHeight="1" x14ac:dyDescent="0.25">
      <c r="B290" s="81"/>
      <c r="C290" s="29" t="s">
        <v>112</v>
      </c>
      <c r="D290" s="28">
        <v>1</v>
      </c>
      <c r="E290" s="27">
        <v>2.1445421402530561E-4</v>
      </c>
    </row>
    <row r="291" spans="2:5" ht="15" customHeight="1" x14ac:dyDescent="0.25">
      <c r="B291" s="82"/>
      <c r="C291" s="26" t="s">
        <v>46</v>
      </c>
      <c r="D291" s="25">
        <v>36</v>
      </c>
      <c r="E291" s="24">
        <v>7.7203517049110014E-3</v>
      </c>
    </row>
    <row r="292" spans="2:5" ht="15" customHeight="1" x14ac:dyDescent="0.25">
      <c r="B292" s="80" t="s">
        <v>68</v>
      </c>
      <c r="C292" s="29" t="s">
        <v>130</v>
      </c>
      <c r="D292" s="28">
        <v>1</v>
      </c>
      <c r="E292" s="27">
        <v>2.1445421402530561E-4</v>
      </c>
    </row>
    <row r="293" spans="2:5" ht="15" customHeight="1" x14ac:dyDescent="0.25">
      <c r="B293" s="81"/>
      <c r="C293" s="29" t="s">
        <v>128</v>
      </c>
      <c r="D293" s="28">
        <v>1</v>
      </c>
      <c r="E293" s="27">
        <v>2.1445421402530561E-4</v>
      </c>
    </row>
    <row r="294" spans="2:5" ht="15" customHeight="1" x14ac:dyDescent="0.25">
      <c r="B294" s="81"/>
      <c r="C294" s="29" t="s">
        <v>127</v>
      </c>
      <c r="D294" s="28">
        <v>1</v>
      </c>
      <c r="E294" s="27">
        <v>2.1445421402530561E-4</v>
      </c>
    </row>
    <row r="295" spans="2:5" ht="15" customHeight="1" x14ac:dyDescent="0.25">
      <c r="B295" s="81"/>
      <c r="C295" s="29" t="s">
        <v>126</v>
      </c>
      <c r="D295" s="28">
        <v>4</v>
      </c>
      <c r="E295" s="27">
        <v>8.5781685610122243E-4</v>
      </c>
    </row>
    <row r="296" spans="2:5" ht="15" customHeight="1" x14ac:dyDescent="0.25">
      <c r="B296" s="81"/>
      <c r="C296" s="29" t="s">
        <v>125</v>
      </c>
      <c r="D296" s="28">
        <v>3</v>
      </c>
      <c r="E296" s="27">
        <v>6.4336264207591682E-4</v>
      </c>
    </row>
    <row r="297" spans="2:5" ht="15" customHeight="1" x14ac:dyDescent="0.25">
      <c r="B297" s="81"/>
      <c r="C297" s="29" t="s">
        <v>123</v>
      </c>
      <c r="D297" s="28">
        <v>1</v>
      </c>
      <c r="E297" s="27">
        <v>2.1445421402530561E-4</v>
      </c>
    </row>
    <row r="298" spans="2:5" ht="15" customHeight="1" x14ac:dyDescent="0.25">
      <c r="B298" s="81"/>
      <c r="C298" s="29" t="s">
        <v>122</v>
      </c>
      <c r="D298" s="28">
        <v>2</v>
      </c>
      <c r="E298" s="27">
        <v>4.2890842805061121E-4</v>
      </c>
    </row>
    <row r="299" spans="2:5" ht="15" customHeight="1" x14ac:dyDescent="0.25">
      <c r="B299" s="81"/>
      <c r="C299" s="29" t="s">
        <v>121</v>
      </c>
      <c r="D299" s="28">
        <v>6</v>
      </c>
      <c r="E299" s="27">
        <v>1.2867252841518336E-3</v>
      </c>
    </row>
    <row r="300" spans="2:5" ht="15" customHeight="1" x14ac:dyDescent="0.25">
      <c r="B300" s="81"/>
      <c r="C300" s="29" t="s">
        <v>119</v>
      </c>
      <c r="D300" s="28">
        <v>4</v>
      </c>
      <c r="E300" s="27">
        <v>8.5781685610122243E-4</v>
      </c>
    </row>
    <row r="301" spans="2:5" ht="15" customHeight="1" x14ac:dyDescent="0.25">
      <c r="B301" s="81"/>
      <c r="C301" s="29" t="s">
        <v>118</v>
      </c>
      <c r="D301" s="28">
        <v>4</v>
      </c>
      <c r="E301" s="27">
        <v>8.5781685610122243E-4</v>
      </c>
    </row>
    <row r="302" spans="2:5" ht="15" customHeight="1" x14ac:dyDescent="0.25">
      <c r="B302" s="81"/>
      <c r="C302" s="29" t="s">
        <v>116</v>
      </c>
      <c r="D302" s="28">
        <v>1</v>
      </c>
      <c r="E302" s="27">
        <v>2.1445421402530561E-4</v>
      </c>
    </row>
    <row r="303" spans="2:5" ht="15" customHeight="1" x14ac:dyDescent="0.25">
      <c r="B303" s="82"/>
      <c r="C303" s="26" t="s">
        <v>46</v>
      </c>
      <c r="D303" s="25">
        <v>28</v>
      </c>
      <c r="E303" s="24">
        <v>6.0047179927085565E-3</v>
      </c>
    </row>
    <row r="304" spans="2:5" ht="15" customHeight="1" x14ac:dyDescent="0.25">
      <c r="B304" s="80" t="s">
        <v>67</v>
      </c>
      <c r="C304" s="29" t="s">
        <v>132</v>
      </c>
      <c r="D304" s="28">
        <v>1</v>
      </c>
      <c r="E304" s="27">
        <v>2.1445421402530561E-4</v>
      </c>
    </row>
    <row r="305" spans="2:5" ht="15" customHeight="1" x14ac:dyDescent="0.25">
      <c r="B305" s="81"/>
      <c r="C305" s="29" t="s">
        <v>130</v>
      </c>
      <c r="D305" s="28">
        <v>1</v>
      </c>
      <c r="E305" s="27">
        <v>2.1445421402530561E-4</v>
      </c>
    </row>
    <row r="306" spans="2:5" ht="15" customHeight="1" x14ac:dyDescent="0.25">
      <c r="B306" s="81"/>
      <c r="C306" s="29" t="s">
        <v>129</v>
      </c>
      <c r="D306" s="28">
        <v>2</v>
      </c>
      <c r="E306" s="27">
        <v>4.2890842805061121E-4</v>
      </c>
    </row>
    <row r="307" spans="2:5" ht="15" customHeight="1" x14ac:dyDescent="0.25">
      <c r="B307" s="81"/>
      <c r="C307" s="29" t="s">
        <v>126</v>
      </c>
      <c r="D307" s="28">
        <v>1</v>
      </c>
      <c r="E307" s="27">
        <v>2.1445421402530561E-4</v>
      </c>
    </row>
    <row r="308" spans="2:5" ht="15" customHeight="1" x14ac:dyDescent="0.25">
      <c r="B308" s="81"/>
      <c r="C308" s="29" t="s">
        <v>125</v>
      </c>
      <c r="D308" s="28">
        <v>5</v>
      </c>
      <c r="E308" s="27">
        <v>1.0722710701265279E-3</v>
      </c>
    </row>
    <row r="309" spans="2:5" ht="15" customHeight="1" x14ac:dyDescent="0.25">
      <c r="B309" s="81"/>
      <c r="C309" s="29" t="s">
        <v>121</v>
      </c>
      <c r="D309" s="28">
        <v>12</v>
      </c>
      <c r="E309" s="27">
        <v>2.5734505683036673E-3</v>
      </c>
    </row>
    <row r="310" spans="2:5" ht="15" customHeight="1" x14ac:dyDescent="0.25">
      <c r="B310" s="81"/>
      <c r="C310" s="29" t="s">
        <v>119</v>
      </c>
      <c r="D310" s="28">
        <v>3</v>
      </c>
      <c r="E310" s="27">
        <v>6.4336264207591682E-4</v>
      </c>
    </row>
    <row r="311" spans="2:5" ht="15" customHeight="1" x14ac:dyDescent="0.25">
      <c r="B311" s="81"/>
      <c r="C311" s="29" t="s">
        <v>118</v>
      </c>
      <c r="D311" s="28">
        <v>17</v>
      </c>
      <c r="E311" s="27">
        <v>3.6457216384301952E-3</v>
      </c>
    </row>
    <row r="312" spans="2:5" ht="15" customHeight="1" x14ac:dyDescent="0.25">
      <c r="B312" s="81"/>
      <c r="C312" s="29" t="s">
        <v>117</v>
      </c>
      <c r="D312" s="28">
        <v>1</v>
      </c>
      <c r="E312" s="27">
        <v>2.1445421402530561E-4</v>
      </c>
    </row>
    <row r="313" spans="2:5" ht="15" customHeight="1" x14ac:dyDescent="0.25">
      <c r="B313" s="81"/>
      <c r="C313" s="29" t="s">
        <v>113</v>
      </c>
      <c r="D313" s="28">
        <v>1</v>
      </c>
      <c r="E313" s="27">
        <v>2.1445421402530561E-4</v>
      </c>
    </row>
    <row r="314" spans="2:5" ht="15" customHeight="1" x14ac:dyDescent="0.25">
      <c r="B314" s="81"/>
      <c r="C314" s="29" t="s">
        <v>112</v>
      </c>
      <c r="D314" s="28">
        <v>3</v>
      </c>
      <c r="E314" s="27">
        <v>6.4336264207591682E-4</v>
      </c>
    </row>
    <row r="315" spans="2:5" ht="15" customHeight="1" x14ac:dyDescent="0.25">
      <c r="B315" s="82"/>
      <c r="C315" s="26" t="s">
        <v>46</v>
      </c>
      <c r="D315" s="25">
        <v>47</v>
      </c>
      <c r="E315" s="24">
        <v>1.0079348059189364E-2</v>
      </c>
    </row>
    <row r="316" spans="2:5" ht="15" customHeight="1" x14ac:dyDescent="0.25">
      <c r="B316" s="80" t="s">
        <v>60</v>
      </c>
      <c r="C316" s="29" t="s">
        <v>126</v>
      </c>
      <c r="D316" s="28">
        <v>3</v>
      </c>
      <c r="E316" s="27">
        <v>6.4336264207591682E-4</v>
      </c>
    </row>
    <row r="317" spans="2:5" ht="15" customHeight="1" x14ac:dyDescent="0.25">
      <c r="B317" s="81"/>
      <c r="C317" s="29" t="s">
        <v>125</v>
      </c>
      <c r="D317" s="28">
        <v>4</v>
      </c>
      <c r="E317" s="27">
        <v>8.5781685610122243E-4</v>
      </c>
    </row>
    <row r="318" spans="2:5" ht="15" customHeight="1" x14ac:dyDescent="0.25">
      <c r="B318" s="81"/>
      <c r="C318" s="29" t="s">
        <v>122</v>
      </c>
      <c r="D318" s="28">
        <v>2</v>
      </c>
      <c r="E318" s="27">
        <v>4.2890842805061121E-4</v>
      </c>
    </row>
    <row r="319" spans="2:5" ht="15" customHeight="1" x14ac:dyDescent="0.25">
      <c r="B319" s="81"/>
      <c r="C319" s="29" t="s">
        <v>121</v>
      </c>
      <c r="D319" s="28">
        <v>8</v>
      </c>
      <c r="E319" s="27">
        <v>1.7156337122024449E-3</v>
      </c>
    </row>
    <row r="320" spans="2:5" ht="15" customHeight="1" x14ac:dyDescent="0.25">
      <c r="B320" s="81"/>
      <c r="C320" s="29" t="s">
        <v>118</v>
      </c>
      <c r="D320" s="28">
        <v>1</v>
      </c>
      <c r="E320" s="27">
        <v>2.1445421402530561E-4</v>
      </c>
    </row>
    <row r="321" spans="2:5" ht="15" customHeight="1" x14ac:dyDescent="0.25">
      <c r="B321" s="82"/>
      <c r="C321" s="26" t="s">
        <v>46</v>
      </c>
      <c r="D321" s="25">
        <v>18</v>
      </c>
      <c r="E321" s="24">
        <v>3.8601758524555007E-3</v>
      </c>
    </row>
    <row r="322" spans="2:5" ht="15" customHeight="1" x14ac:dyDescent="0.25">
      <c r="B322" s="80" t="s">
        <v>89</v>
      </c>
      <c r="C322" s="29" t="s">
        <v>127</v>
      </c>
      <c r="D322" s="28">
        <v>1</v>
      </c>
      <c r="E322" s="27">
        <v>2.1445421402530561E-4</v>
      </c>
    </row>
    <row r="323" spans="2:5" ht="15" customHeight="1" x14ac:dyDescent="0.25">
      <c r="B323" s="81"/>
      <c r="C323" s="29" t="s">
        <v>125</v>
      </c>
      <c r="D323" s="28">
        <v>2</v>
      </c>
      <c r="E323" s="27">
        <v>4.2890842805061121E-4</v>
      </c>
    </row>
    <row r="324" spans="2:5" ht="15" customHeight="1" x14ac:dyDescent="0.25">
      <c r="B324" s="81"/>
      <c r="C324" s="29" t="s">
        <v>123</v>
      </c>
      <c r="D324" s="28">
        <v>2</v>
      </c>
      <c r="E324" s="27">
        <v>4.2890842805061121E-4</v>
      </c>
    </row>
    <row r="325" spans="2:5" ht="15" customHeight="1" x14ac:dyDescent="0.25">
      <c r="B325" s="81"/>
      <c r="C325" s="29" t="s">
        <v>121</v>
      </c>
      <c r="D325" s="28">
        <v>6</v>
      </c>
      <c r="E325" s="27">
        <v>1.2867252841518336E-3</v>
      </c>
    </row>
    <row r="326" spans="2:5" ht="15" customHeight="1" x14ac:dyDescent="0.25">
      <c r="B326" s="81"/>
      <c r="C326" s="29" t="s">
        <v>118</v>
      </c>
      <c r="D326" s="28">
        <v>3</v>
      </c>
      <c r="E326" s="27">
        <v>6.4336264207591682E-4</v>
      </c>
    </row>
    <row r="327" spans="2:5" ht="15" customHeight="1" x14ac:dyDescent="0.25">
      <c r="B327" s="81"/>
      <c r="C327" s="29" t="s">
        <v>112</v>
      </c>
      <c r="D327" s="28">
        <v>1</v>
      </c>
      <c r="E327" s="27">
        <v>2.1445421402530561E-4</v>
      </c>
    </row>
    <row r="328" spans="2:5" ht="15" customHeight="1" x14ac:dyDescent="0.25">
      <c r="B328" s="82"/>
      <c r="C328" s="26" t="s">
        <v>46</v>
      </c>
      <c r="D328" s="25">
        <v>15</v>
      </c>
      <c r="E328" s="24">
        <v>3.2168132103795838E-3</v>
      </c>
    </row>
    <row r="329" spans="2:5" ht="15" customHeight="1" x14ac:dyDescent="0.25">
      <c r="B329" s="80" t="s">
        <v>62</v>
      </c>
      <c r="C329" s="29" t="s">
        <v>129</v>
      </c>
      <c r="D329" s="28">
        <v>1</v>
      </c>
      <c r="E329" s="27">
        <v>2.1445421402530561E-4</v>
      </c>
    </row>
    <row r="330" spans="2:5" ht="15" customHeight="1" x14ac:dyDescent="0.25">
      <c r="B330" s="81"/>
      <c r="C330" s="29" t="s">
        <v>128</v>
      </c>
      <c r="D330" s="28">
        <v>2</v>
      </c>
      <c r="E330" s="27">
        <v>4.2890842805061121E-4</v>
      </c>
    </row>
    <row r="331" spans="2:5" ht="15" customHeight="1" x14ac:dyDescent="0.25">
      <c r="B331" s="81"/>
      <c r="C331" s="29" t="s">
        <v>127</v>
      </c>
      <c r="D331" s="28">
        <v>2</v>
      </c>
      <c r="E331" s="27">
        <v>4.2890842805061121E-4</v>
      </c>
    </row>
    <row r="332" spans="2:5" ht="15" customHeight="1" x14ac:dyDescent="0.25">
      <c r="B332" s="81"/>
      <c r="C332" s="29" t="s">
        <v>126</v>
      </c>
      <c r="D332" s="28">
        <v>3</v>
      </c>
      <c r="E332" s="27">
        <v>6.4336264207591682E-4</v>
      </c>
    </row>
    <row r="333" spans="2:5" ht="15" customHeight="1" x14ac:dyDescent="0.25">
      <c r="B333" s="81"/>
      <c r="C333" s="29" t="s">
        <v>125</v>
      </c>
      <c r="D333" s="28">
        <v>10</v>
      </c>
      <c r="E333" s="27">
        <v>2.1445421402530558E-3</v>
      </c>
    </row>
    <row r="334" spans="2:5" ht="15" customHeight="1" x14ac:dyDescent="0.25">
      <c r="B334" s="81"/>
      <c r="C334" s="29" t="s">
        <v>122</v>
      </c>
      <c r="D334" s="28">
        <v>2</v>
      </c>
      <c r="E334" s="27">
        <v>4.2890842805061121E-4</v>
      </c>
    </row>
    <row r="335" spans="2:5" ht="15" customHeight="1" x14ac:dyDescent="0.25">
      <c r="B335" s="81"/>
      <c r="C335" s="29" t="s">
        <v>121</v>
      </c>
      <c r="D335" s="28">
        <v>27</v>
      </c>
      <c r="E335" s="27">
        <v>5.790263778683251E-3</v>
      </c>
    </row>
    <row r="336" spans="2:5" ht="15" customHeight="1" x14ac:dyDescent="0.25">
      <c r="B336" s="81"/>
      <c r="C336" s="29" t="s">
        <v>120</v>
      </c>
      <c r="D336" s="28">
        <v>1</v>
      </c>
      <c r="E336" s="27">
        <v>2.1445421402530561E-4</v>
      </c>
    </row>
    <row r="337" spans="2:5" ht="15" customHeight="1" x14ac:dyDescent="0.25">
      <c r="B337" s="81"/>
      <c r="C337" s="29" t="s">
        <v>119</v>
      </c>
      <c r="D337" s="28">
        <v>5</v>
      </c>
      <c r="E337" s="27">
        <v>1.0722710701265279E-3</v>
      </c>
    </row>
    <row r="338" spans="2:5" ht="15" customHeight="1" x14ac:dyDescent="0.25">
      <c r="B338" s="81"/>
      <c r="C338" s="29" t="s">
        <v>118</v>
      </c>
      <c r="D338" s="28">
        <v>11</v>
      </c>
      <c r="E338" s="27">
        <v>2.3589963542783618E-3</v>
      </c>
    </row>
    <row r="339" spans="2:5" ht="15" customHeight="1" x14ac:dyDescent="0.25">
      <c r="B339" s="81"/>
      <c r="C339" s="29" t="s">
        <v>116</v>
      </c>
      <c r="D339" s="28">
        <v>1</v>
      </c>
      <c r="E339" s="27">
        <v>2.1445421402530561E-4</v>
      </c>
    </row>
    <row r="340" spans="2:5" ht="15" customHeight="1" x14ac:dyDescent="0.25">
      <c r="B340" s="81"/>
      <c r="C340" s="29" t="s">
        <v>113</v>
      </c>
      <c r="D340" s="28">
        <v>1</v>
      </c>
      <c r="E340" s="27">
        <v>2.1445421402530561E-4</v>
      </c>
    </row>
    <row r="341" spans="2:5" ht="15" customHeight="1" x14ac:dyDescent="0.25">
      <c r="B341" s="81"/>
      <c r="C341" s="29" t="s">
        <v>112</v>
      </c>
      <c r="D341" s="28">
        <v>3</v>
      </c>
      <c r="E341" s="27">
        <v>6.4336264207591682E-4</v>
      </c>
    </row>
    <row r="342" spans="2:5" ht="15" customHeight="1" x14ac:dyDescent="0.25">
      <c r="B342" s="82"/>
      <c r="C342" s="26" t="s">
        <v>46</v>
      </c>
      <c r="D342" s="25">
        <v>69</v>
      </c>
      <c r="E342" s="24">
        <v>1.4797340767746086E-2</v>
      </c>
    </row>
    <row r="343" spans="2:5" ht="15" customHeight="1" x14ac:dyDescent="0.25">
      <c r="B343" s="80" t="s">
        <v>81</v>
      </c>
      <c r="C343" s="29" t="s">
        <v>132</v>
      </c>
      <c r="D343" s="28">
        <v>1</v>
      </c>
      <c r="E343" s="27">
        <v>2.1445421402530561E-4</v>
      </c>
    </row>
    <row r="344" spans="2:5" ht="15" customHeight="1" x14ac:dyDescent="0.25">
      <c r="B344" s="81"/>
      <c r="C344" s="29" t="s">
        <v>131</v>
      </c>
      <c r="D344" s="28">
        <v>1</v>
      </c>
      <c r="E344" s="27">
        <v>2.1445421402530561E-4</v>
      </c>
    </row>
    <row r="345" spans="2:5" ht="15" customHeight="1" x14ac:dyDescent="0.25">
      <c r="B345" s="81"/>
      <c r="C345" s="29" t="s">
        <v>130</v>
      </c>
      <c r="D345" s="28">
        <v>1</v>
      </c>
      <c r="E345" s="27">
        <v>2.1445421402530561E-4</v>
      </c>
    </row>
    <row r="346" spans="2:5" ht="15" customHeight="1" x14ac:dyDescent="0.25">
      <c r="B346" s="81"/>
      <c r="C346" s="29" t="s">
        <v>129</v>
      </c>
      <c r="D346" s="28">
        <v>1</v>
      </c>
      <c r="E346" s="27">
        <v>2.1445421402530561E-4</v>
      </c>
    </row>
    <row r="347" spans="2:5" ht="15" customHeight="1" x14ac:dyDescent="0.25">
      <c r="B347" s="81"/>
      <c r="C347" s="29" t="s">
        <v>128</v>
      </c>
      <c r="D347" s="28">
        <v>2</v>
      </c>
      <c r="E347" s="27">
        <v>4.2890842805061121E-4</v>
      </c>
    </row>
    <row r="348" spans="2:5" ht="15" customHeight="1" x14ac:dyDescent="0.25">
      <c r="B348" s="81"/>
      <c r="C348" s="29" t="s">
        <v>127</v>
      </c>
      <c r="D348" s="28">
        <v>6</v>
      </c>
      <c r="E348" s="27">
        <v>1.2867252841518336E-3</v>
      </c>
    </row>
    <row r="349" spans="2:5" ht="15" customHeight="1" x14ac:dyDescent="0.25">
      <c r="B349" s="81"/>
      <c r="C349" s="29" t="s">
        <v>126</v>
      </c>
      <c r="D349" s="28">
        <v>10</v>
      </c>
      <c r="E349" s="27">
        <v>2.1445421402530558E-3</v>
      </c>
    </row>
    <row r="350" spans="2:5" ht="15" customHeight="1" x14ac:dyDescent="0.25">
      <c r="B350" s="81"/>
      <c r="C350" s="29" t="s">
        <v>125</v>
      </c>
      <c r="D350" s="28">
        <v>13</v>
      </c>
      <c r="E350" s="27">
        <v>2.7879047823289728E-3</v>
      </c>
    </row>
    <row r="351" spans="2:5" ht="15" customHeight="1" x14ac:dyDescent="0.25">
      <c r="B351" s="81"/>
      <c r="C351" s="29" t="s">
        <v>124</v>
      </c>
      <c r="D351" s="28">
        <v>4</v>
      </c>
      <c r="E351" s="27">
        <v>8.5781685610122243E-4</v>
      </c>
    </row>
    <row r="352" spans="2:5" ht="15" customHeight="1" x14ac:dyDescent="0.25">
      <c r="B352" s="81"/>
      <c r="C352" s="29" t="s">
        <v>123</v>
      </c>
      <c r="D352" s="28">
        <v>10</v>
      </c>
      <c r="E352" s="27">
        <v>2.1445421402530558E-3</v>
      </c>
    </row>
    <row r="353" spans="2:5" ht="15" customHeight="1" x14ac:dyDescent="0.25">
      <c r="B353" s="81"/>
      <c r="C353" s="29" t="s">
        <v>122</v>
      </c>
      <c r="D353" s="28">
        <v>5</v>
      </c>
      <c r="E353" s="27">
        <v>1.0722710701265279E-3</v>
      </c>
    </row>
    <row r="354" spans="2:5" ht="15" customHeight="1" x14ac:dyDescent="0.25">
      <c r="B354" s="81"/>
      <c r="C354" s="29" t="s">
        <v>121</v>
      </c>
      <c r="D354" s="28">
        <v>52</v>
      </c>
      <c r="E354" s="27">
        <v>1.1151619129315891E-2</v>
      </c>
    </row>
    <row r="355" spans="2:5" ht="15" customHeight="1" x14ac:dyDescent="0.25">
      <c r="B355" s="81"/>
      <c r="C355" s="29" t="s">
        <v>119</v>
      </c>
      <c r="D355" s="28">
        <v>7</v>
      </c>
      <c r="E355" s="27">
        <v>1.5011794981771391E-3</v>
      </c>
    </row>
    <row r="356" spans="2:5" ht="15" customHeight="1" x14ac:dyDescent="0.25">
      <c r="B356" s="81"/>
      <c r="C356" s="29" t="s">
        <v>118</v>
      </c>
      <c r="D356" s="28">
        <v>10</v>
      </c>
      <c r="E356" s="27">
        <v>2.1445421402530558E-3</v>
      </c>
    </row>
    <row r="357" spans="2:5" ht="15" customHeight="1" x14ac:dyDescent="0.25">
      <c r="B357" s="81"/>
      <c r="C357" s="29" t="s">
        <v>113</v>
      </c>
      <c r="D357" s="28">
        <v>1</v>
      </c>
      <c r="E357" s="27">
        <v>2.1445421402530561E-4</v>
      </c>
    </row>
    <row r="358" spans="2:5" ht="15" customHeight="1" x14ac:dyDescent="0.25">
      <c r="B358" s="81"/>
      <c r="C358" s="29" t="s">
        <v>112</v>
      </c>
      <c r="D358" s="28">
        <v>3</v>
      </c>
      <c r="E358" s="27">
        <v>6.4336264207591682E-4</v>
      </c>
    </row>
    <row r="359" spans="2:5" ht="15" customHeight="1" x14ac:dyDescent="0.25">
      <c r="B359" s="82"/>
      <c r="C359" s="26" t="s">
        <v>46</v>
      </c>
      <c r="D359" s="25">
        <v>127</v>
      </c>
      <c r="E359" s="24">
        <v>2.723568518121381E-2</v>
      </c>
    </row>
    <row r="360" spans="2:5" ht="15" customHeight="1" x14ac:dyDescent="0.25">
      <c r="B360" s="80" t="s">
        <v>77</v>
      </c>
      <c r="C360" s="29" t="s">
        <v>132</v>
      </c>
      <c r="D360" s="28">
        <v>1</v>
      </c>
      <c r="E360" s="27">
        <v>2.1445421402530561E-4</v>
      </c>
    </row>
    <row r="361" spans="2:5" ht="15" customHeight="1" x14ac:dyDescent="0.25">
      <c r="B361" s="81"/>
      <c r="C361" s="29" t="s">
        <v>131</v>
      </c>
      <c r="D361" s="28">
        <v>1</v>
      </c>
      <c r="E361" s="27">
        <v>2.1445421402530561E-4</v>
      </c>
    </row>
    <row r="362" spans="2:5" ht="15" customHeight="1" x14ac:dyDescent="0.25">
      <c r="B362" s="81"/>
      <c r="C362" s="29" t="s">
        <v>130</v>
      </c>
      <c r="D362" s="28">
        <v>1</v>
      </c>
      <c r="E362" s="27">
        <v>2.1445421402530561E-4</v>
      </c>
    </row>
    <row r="363" spans="2:5" ht="15" customHeight="1" x14ac:dyDescent="0.25">
      <c r="B363" s="81"/>
      <c r="C363" s="29" t="s">
        <v>129</v>
      </c>
      <c r="D363" s="28">
        <v>1</v>
      </c>
      <c r="E363" s="27">
        <v>2.1445421402530561E-4</v>
      </c>
    </row>
    <row r="364" spans="2:5" ht="15" customHeight="1" x14ac:dyDescent="0.25">
      <c r="B364" s="81"/>
      <c r="C364" s="29" t="s">
        <v>127</v>
      </c>
      <c r="D364" s="28">
        <v>1</v>
      </c>
      <c r="E364" s="27">
        <v>2.1445421402530561E-4</v>
      </c>
    </row>
    <row r="365" spans="2:5" ht="15" customHeight="1" x14ac:dyDescent="0.25">
      <c r="B365" s="81"/>
      <c r="C365" s="29" t="s">
        <v>126</v>
      </c>
      <c r="D365" s="28">
        <v>9</v>
      </c>
      <c r="E365" s="27">
        <v>1.9300879262277503E-3</v>
      </c>
    </row>
    <row r="366" spans="2:5" ht="15" customHeight="1" x14ac:dyDescent="0.25">
      <c r="B366" s="81"/>
      <c r="C366" s="29" t="s">
        <v>125</v>
      </c>
      <c r="D366" s="28">
        <v>8</v>
      </c>
      <c r="E366" s="27">
        <v>1.7156337122024449E-3</v>
      </c>
    </row>
    <row r="367" spans="2:5" ht="15" customHeight="1" x14ac:dyDescent="0.25">
      <c r="B367" s="81"/>
      <c r="C367" s="29" t="s">
        <v>124</v>
      </c>
      <c r="D367" s="28">
        <v>1</v>
      </c>
      <c r="E367" s="27">
        <v>2.1445421402530561E-4</v>
      </c>
    </row>
    <row r="368" spans="2:5" ht="15" customHeight="1" x14ac:dyDescent="0.25">
      <c r="B368" s="81"/>
      <c r="C368" s="29" t="s">
        <v>123</v>
      </c>
      <c r="D368" s="28">
        <v>1</v>
      </c>
      <c r="E368" s="27">
        <v>2.1445421402530561E-4</v>
      </c>
    </row>
    <row r="369" spans="2:5" ht="15" customHeight="1" x14ac:dyDescent="0.25">
      <c r="B369" s="81"/>
      <c r="C369" s="29" t="s">
        <v>122</v>
      </c>
      <c r="D369" s="28">
        <v>3</v>
      </c>
      <c r="E369" s="27">
        <v>6.4336264207591682E-4</v>
      </c>
    </row>
    <row r="370" spans="2:5" ht="15" customHeight="1" x14ac:dyDescent="0.25">
      <c r="B370" s="81"/>
      <c r="C370" s="29" t="s">
        <v>121</v>
      </c>
      <c r="D370" s="28">
        <v>23</v>
      </c>
      <c r="E370" s="27">
        <v>4.9324469225820291E-3</v>
      </c>
    </row>
    <row r="371" spans="2:5" ht="15" customHeight="1" x14ac:dyDescent="0.25">
      <c r="B371" s="81"/>
      <c r="C371" s="29" t="s">
        <v>120</v>
      </c>
      <c r="D371" s="28">
        <v>1</v>
      </c>
      <c r="E371" s="27">
        <v>2.1445421402530561E-4</v>
      </c>
    </row>
    <row r="372" spans="2:5" ht="15" customHeight="1" x14ac:dyDescent="0.25">
      <c r="B372" s="81"/>
      <c r="C372" s="29" t="s">
        <v>119</v>
      </c>
      <c r="D372" s="28">
        <v>6</v>
      </c>
      <c r="E372" s="27">
        <v>1.2867252841518336E-3</v>
      </c>
    </row>
    <row r="373" spans="2:5" ht="15" customHeight="1" x14ac:dyDescent="0.25">
      <c r="B373" s="81"/>
      <c r="C373" s="29" t="s">
        <v>118</v>
      </c>
      <c r="D373" s="28">
        <v>18</v>
      </c>
      <c r="E373" s="27">
        <v>3.8601758524555007E-3</v>
      </c>
    </row>
    <row r="374" spans="2:5" ht="15" customHeight="1" x14ac:dyDescent="0.25">
      <c r="B374" s="81"/>
      <c r="C374" s="29" t="s">
        <v>117</v>
      </c>
      <c r="D374" s="28">
        <v>1</v>
      </c>
      <c r="E374" s="27">
        <v>2.1445421402530561E-4</v>
      </c>
    </row>
    <row r="375" spans="2:5" ht="15" customHeight="1" x14ac:dyDescent="0.25">
      <c r="B375" s="81"/>
      <c r="C375" s="29" t="s">
        <v>113</v>
      </c>
      <c r="D375" s="28">
        <v>2</v>
      </c>
      <c r="E375" s="27">
        <v>4.2890842805061121E-4</v>
      </c>
    </row>
    <row r="376" spans="2:5" ht="15" customHeight="1" x14ac:dyDescent="0.25">
      <c r="B376" s="82"/>
      <c r="C376" s="26" t="s">
        <v>46</v>
      </c>
      <c r="D376" s="25">
        <v>78</v>
      </c>
      <c r="E376" s="24">
        <v>1.6727428693973836E-2</v>
      </c>
    </row>
    <row r="377" spans="2:5" ht="15" customHeight="1" x14ac:dyDescent="0.25">
      <c r="B377" s="80" t="s">
        <v>65</v>
      </c>
      <c r="C377" s="29" t="s">
        <v>129</v>
      </c>
      <c r="D377" s="28">
        <v>2</v>
      </c>
      <c r="E377" s="27">
        <v>4.2890842805061121E-4</v>
      </c>
    </row>
    <row r="378" spans="2:5" ht="15" customHeight="1" x14ac:dyDescent="0.25">
      <c r="B378" s="81"/>
      <c r="C378" s="29" t="s">
        <v>128</v>
      </c>
      <c r="D378" s="28">
        <v>1</v>
      </c>
      <c r="E378" s="27">
        <v>2.1445421402530561E-4</v>
      </c>
    </row>
    <row r="379" spans="2:5" ht="15" customHeight="1" x14ac:dyDescent="0.25">
      <c r="B379" s="81"/>
      <c r="C379" s="29" t="s">
        <v>127</v>
      </c>
      <c r="D379" s="28">
        <v>1</v>
      </c>
      <c r="E379" s="27">
        <v>2.1445421402530561E-4</v>
      </c>
    </row>
    <row r="380" spans="2:5" ht="15" customHeight="1" x14ac:dyDescent="0.25">
      <c r="B380" s="81"/>
      <c r="C380" s="29" t="s">
        <v>126</v>
      </c>
      <c r="D380" s="28">
        <v>4</v>
      </c>
      <c r="E380" s="27">
        <v>8.5781685610122243E-4</v>
      </c>
    </row>
    <row r="381" spans="2:5" ht="15" customHeight="1" x14ac:dyDescent="0.25">
      <c r="B381" s="81"/>
      <c r="C381" s="29" t="s">
        <v>125</v>
      </c>
      <c r="D381" s="28">
        <v>5</v>
      </c>
      <c r="E381" s="27">
        <v>1.0722710701265279E-3</v>
      </c>
    </row>
    <row r="382" spans="2:5" ht="15" customHeight="1" x14ac:dyDescent="0.25">
      <c r="B382" s="81"/>
      <c r="C382" s="29" t="s">
        <v>123</v>
      </c>
      <c r="D382" s="28">
        <v>2</v>
      </c>
      <c r="E382" s="27">
        <v>4.2890842805061121E-4</v>
      </c>
    </row>
    <row r="383" spans="2:5" ht="15" customHeight="1" x14ac:dyDescent="0.25">
      <c r="B383" s="81"/>
      <c r="C383" s="29" t="s">
        <v>121</v>
      </c>
      <c r="D383" s="28">
        <v>6</v>
      </c>
      <c r="E383" s="27">
        <v>1.2867252841518336E-3</v>
      </c>
    </row>
    <row r="384" spans="2:5" ht="15" customHeight="1" x14ac:dyDescent="0.25">
      <c r="B384" s="81"/>
      <c r="C384" s="29" t="s">
        <v>119</v>
      </c>
      <c r="D384" s="28">
        <v>2</v>
      </c>
      <c r="E384" s="27">
        <v>4.2890842805061121E-4</v>
      </c>
    </row>
    <row r="385" spans="2:5" ht="15" customHeight="1" x14ac:dyDescent="0.25">
      <c r="B385" s="81"/>
      <c r="C385" s="29" t="s">
        <v>118</v>
      </c>
      <c r="D385" s="28">
        <v>5</v>
      </c>
      <c r="E385" s="27">
        <v>1.0722710701265279E-3</v>
      </c>
    </row>
    <row r="386" spans="2:5" ht="15" customHeight="1" x14ac:dyDescent="0.25">
      <c r="B386" s="82"/>
      <c r="C386" s="26" t="s">
        <v>46</v>
      </c>
      <c r="D386" s="25">
        <v>28</v>
      </c>
      <c r="E386" s="24">
        <v>6.0047179927085565E-3</v>
      </c>
    </row>
    <row r="387" spans="2:5" ht="15" customHeight="1" x14ac:dyDescent="0.25">
      <c r="B387" s="80" t="s">
        <v>69</v>
      </c>
      <c r="C387" s="29" t="s">
        <v>128</v>
      </c>
      <c r="D387" s="28">
        <v>1</v>
      </c>
      <c r="E387" s="27">
        <v>2.1445421402530561E-4</v>
      </c>
    </row>
    <row r="388" spans="2:5" ht="15" customHeight="1" x14ac:dyDescent="0.25">
      <c r="B388" s="81"/>
      <c r="C388" s="29" t="s">
        <v>127</v>
      </c>
      <c r="D388" s="28">
        <v>1</v>
      </c>
      <c r="E388" s="27">
        <v>2.1445421402530561E-4</v>
      </c>
    </row>
    <row r="389" spans="2:5" ht="15" customHeight="1" x14ac:dyDescent="0.25">
      <c r="B389" s="81"/>
      <c r="C389" s="29" t="s">
        <v>126</v>
      </c>
      <c r="D389" s="28">
        <v>1</v>
      </c>
      <c r="E389" s="27">
        <v>2.1445421402530561E-4</v>
      </c>
    </row>
    <row r="390" spans="2:5" ht="15" customHeight="1" x14ac:dyDescent="0.25">
      <c r="B390" s="81"/>
      <c r="C390" s="29" t="s">
        <v>122</v>
      </c>
      <c r="D390" s="28">
        <v>2</v>
      </c>
      <c r="E390" s="27">
        <v>4.2890842805061121E-4</v>
      </c>
    </row>
    <row r="391" spans="2:5" ht="15" customHeight="1" x14ac:dyDescent="0.25">
      <c r="B391" s="81"/>
      <c r="C391" s="29" t="s">
        <v>121</v>
      </c>
      <c r="D391" s="28">
        <v>5</v>
      </c>
      <c r="E391" s="27">
        <v>1.0722710701265279E-3</v>
      </c>
    </row>
    <row r="392" spans="2:5" ht="15" customHeight="1" x14ac:dyDescent="0.25">
      <c r="B392" s="81"/>
      <c r="C392" s="29" t="s">
        <v>119</v>
      </c>
      <c r="D392" s="28">
        <v>1</v>
      </c>
      <c r="E392" s="27">
        <v>2.1445421402530561E-4</v>
      </c>
    </row>
    <row r="393" spans="2:5" ht="15" customHeight="1" x14ac:dyDescent="0.25">
      <c r="B393" s="81"/>
      <c r="C393" s="29" t="s">
        <v>118</v>
      </c>
      <c r="D393" s="28">
        <v>1</v>
      </c>
      <c r="E393" s="27">
        <v>2.1445421402530561E-4</v>
      </c>
    </row>
    <row r="394" spans="2:5" ht="15" customHeight="1" x14ac:dyDescent="0.25">
      <c r="B394" s="81"/>
      <c r="C394" s="29" t="s">
        <v>112</v>
      </c>
      <c r="D394" s="28">
        <v>2</v>
      </c>
      <c r="E394" s="27">
        <v>4.2890842805061121E-4</v>
      </c>
    </row>
    <row r="395" spans="2:5" ht="15" customHeight="1" x14ac:dyDescent="0.25">
      <c r="B395" s="82"/>
      <c r="C395" s="26" t="s">
        <v>46</v>
      </c>
      <c r="D395" s="25">
        <v>14</v>
      </c>
      <c r="E395" s="24">
        <v>3.0023589963542783E-3</v>
      </c>
    </row>
    <row r="396" spans="2:5" ht="15" customHeight="1" x14ac:dyDescent="0.25">
      <c r="B396" s="80" t="s">
        <v>53</v>
      </c>
      <c r="C396" s="29" t="s">
        <v>121</v>
      </c>
      <c r="D396" s="28">
        <v>4</v>
      </c>
      <c r="E396" s="27">
        <v>8.5781685610122243E-4</v>
      </c>
    </row>
    <row r="397" spans="2:5" ht="15" customHeight="1" x14ac:dyDescent="0.25">
      <c r="B397" s="81"/>
      <c r="C397" s="29" t="s">
        <v>118</v>
      </c>
      <c r="D397" s="28">
        <v>2</v>
      </c>
      <c r="E397" s="27">
        <v>4.2890842805061121E-4</v>
      </c>
    </row>
    <row r="398" spans="2:5" ht="15" customHeight="1" x14ac:dyDescent="0.25">
      <c r="B398" s="82"/>
      <c r="C398" s="26" t="s">
        <v>46</v>
      </c>
      <c r="D398" s="25">
        <v>6</v>
      </c>
      <c r="E398" s="24">
        <v>1.2867252841518336E-3</v>
      </c>
    </row>
    <row r="399" spans="2:5" ht="15" customHeight="1" x14ac:dyDescent="0.25">
      <c r="B399" s="80" t="s">
        <v>87</v>
      </c>
      <c r="C399" s="29" t="s">
        <v>132</v>
      </c>
      <c r="D399" s="28">
        <v>2</v>
      </c>
      <c r="E399" s="27">
        <v>4.2890842805061121E-4</v>
      </c>
    </row>
    <row r="400" spans="2:5" ht="15" customHeight="1" x14ac:dyDescent="0.25">
      <c r="B400" s="81"/>
      <c r="C400" s="29" t="s">
        <v>130</v>
      </c>
      <c r="D400" s="28">
        <v>1</v>
      </c>
      <c r="E400" s="27">
        <v>2.1445421402530561E-4</v>
      </c>
    </row>
    <row r="401" spans="2:5" ht="15" customHeight="1" x14ac:dyDescent="0.25">
      <c r="B401" s="81"/>
      <c r="C401" s="29" t="s">
        <v>129</v>
      </c>
      <c r="D401" s="28">
        <v>3</v>
      </c>
      <c r="E401" s="27">
        <v>6.4336264207591682E-4</v>
      </c>
    </row>
    <row r="402" spans="2:5" ht="15" customHeight="1" x14ac:dyDescent="0.25">
      <c r="B402" s="81"/>
      <c r="C402" s="29" t="s">
        <v>128</v>
      </c>
      <c r="D402" s="28">
        <v>1</v>
      </c>
      <c r="E402" s="27">
        <v>2.1445421402530561E-4</v>
      </c>
    </row>
    <row r="403" spans="2:5" ht="15" customHeight="1" x14ac:dyDescent="0.25">
      <c r="B403" s="81"/>
      <c r="C403" s="29" t="s">
        <v>127</v>
      </c>
      <c r="D403" s="28">
        <v>5</v>
      </c>
      <c r="E403" s="27">
        <v>1.0722710701265279E-3</v>
      </c>
    </row>
    <row r="404" spans="2:5" ht="15" customHeight="1" x14ac:dyDescent="0.25">
      <c r="B404" s="81"/>
      <c r="C404" s="29" t="s">
        <v>126</v>
      </c>
      <c r="D404" s="28">
        <v>11</v>
      </c>
      <c r="E404" s="27">
        <v>2.3589963542783618E-3</v>
      </c>
    </row>
    <row r="405" spans="2:5" ht="15" customHeight="1" x14ac:dyDescent="0.25">
      <c r="B405" s="81"/>
      <c r="C405" s="29" t="s">
        <v>125</v>
      </c>
      <c r="D405" s="28">
        <v>42</v>
      </c>
      <c r="E405" s="27">
        <v>9.0070769890628344E-3</v>
      </c>
    </row>
    <row r="406" spans="2:5" ht="15" customHeight="1" x14ac:dyDescent="0.25">
      <c r="B406" s="81"/>
      <c r="C406" s="29" t="s">
        <v>124</v>
      </c>
      <c r="D406" s="28">
        <v>4</v>
      </c>
      <c r="E406" s="27">
        <v>8.5781685610122243E-4</v>
      </c>
    </row>
    <row r="407" spans="2:5" ht="15" customHeight="1" x14ac:dyDescent="0.25">
      <c r="B407" s="81"/>
      <c r="C407" s="29" t="s">
        <v>123</v>
      </c>
      <c r="D407" s="28">
        <v>4</v>
      </c>
      <c r="E407" s="27">
        <v>8.5781685610122243E-4</v>
      </c>
    </row>
    <row r="408" spans="2:5" ht="15" customHeight="1" x14ac:dyDescent="0.25">
      <c r="B408" s="81"/>
      <c r="C408" s="29" t="s">
        <v>122</v>
      </c>
      <c r="D408" s="28">
        <v>15</v>
      </c>
      <c r="E408" s="27">
        <v>3.2168132103795838E-3</v>
      </c>
    </row>
    <row r="409" spans="2:5" ht="15" customHeight="1" x14ac:dyDescent="0.25">
      <c r="B409" s="81"/>
      <c r="C409" s="29" t="s">
        <v>121</v>
      </c>
      <c r="D409" s="28">
        <v>47</v>
      </c>
      <c r="E409" s="27">
        <v>1.0079348059189364E-2</v>
      </c>
    </row>
    <row r="410" spans="2:5" ht="15" customHeight="1" x14ac:dyDescent="0.25">
      <c r="B410" s="81"/>
      <c r="C410" s="29" t="s">
        <v>120</v>
      </c>
      <c r="D410" s="28">
        <v>1</v>
      </c>
      <c r="E410" s="27">
        <v>2.1445421402530561E-4</v>
      </c>
    </row>
    <row r="411" spans="2:5" ht="15" customHeight="1" x14ac:dyDescent="0.25">
      <c r="B411" s="81"/>
      <c r="C411" s="29" t="s">
        <v>119</v>
      </c>
      <c r="D411" s="28">
        <v>12</v>
      </c>
      <c r="E411" s="27">
        <v>2.5734505683036673E-3</v>
      </c>
    </row>
    <row r="412" spans="2:5" ht="15" customHeight="1" x14ac:dyDescent="0.25">
      <c r="B412" s="81"/>
      <c r="C412" s="29" t="s">
        <v>118</v>
      </c>
      <c r="D412" s="28">
        <v>21</v>
      </c>
      <c r="E412" s="27">
        <v>4.5035384945314172E-3</v>
      </c>
    </row>
    <row r="413" spans="2:5" ht="15" customHeight="1" x14ac:dyDescent="0.25">
      <c r="B413" s="81"/>
      <c r="C413" s="29" t="s">
        <v>117</v>
      </c>
      <c r="D413" s="28">
        <v>1</v>
      </c>
      <c r="E413" s="27">
        <v>2.1445421402530561E-4</v>
      </c>
    </row>
    <row r="414" spans="2:5" ht="15" customHeight="1" x14ac:dyDescent="0.25">
      <c r="B414" s="81"/>
      <c r="C414" s="29" t="s">
        <v>113</v>
      </c>
      <c r="D414" s="28">
        <v>2</v>
      </c>
      <c r="E414" s="27">
        <v>4.2890842805061121E-4</v>
      </c>
    </row>
    <row r="415" spans="2:5" ht="15" customHeight="1" x14ac:dyDescent="0.25">
      <c r="B415" s="81"/>
      <c r="C415" s="29" t="s">
        <v>112</v>
      </c>
      <c r="D415" s="28">
        <v>2</v>
      </c>
      <c r="E415" s="27">
        <v>4.2890842805061121E-4</v>
      </c>
    </row>
    <row r="416" spans="2:5" ht="15" customHeight="1" x14ac:dyDescent="0.25">
      <c r="B416" s="82"/>
      <c r="C416" s="26" t="s">
        <v>46</v>
      </c>
      <c r="D416" s="25">
        <v>174</v>
      </c>
      <c r="E416" s="24">
        <v>3.7315033240403174E-2</v>
      </c>
    </row>
    <row r="417" spans="2:5" ht="15" customHeight="1" x14ac:dyDescent="0.25">
      <c r="B417" s="80" t="s">
        <v>79</v>
      </c>
      <c r="C417" s="29" t="s">
        <v>129</v>
      </c>
      <c r="D417" s="28">
        <v>1</v>
      </c>
      <c r="E417" s="27">
        <v>2.1445421402530561E-4</v>
      </c>
    </row>
    <row r="418" spans="2:5" ht="15" customHeight="1" x14ac:dyDescent="0.25">
      <c r="B418" s="81"/>
      <c r="C418" s="29" t="s">
        <v>127</v>
      </c>
      <c r="D418" s="28">
        <v>1</v>
      </c>
      <c r="E418" s="27">
        <v>2.1445421402530561E-4</v>
      </c>
    </row>
    <row r="419" spans="2:5" ht="15" customHeight="1" x14ac:dyDescent="0.25">
      <c r="B419" s="81"/>
      <c r="C419" s="29" t="s">
        <v>126</v>
      </c>
      <c r="D419" s="28">
        <v>1</v>
      </c>
      <c r="E419" s="27">
        <v>2.1445421402530561E-4</v>
      </c>
    </row>
    <row r="420" spans="2:5" ht="15" customHeight="1" x14ac:dyDescent="0.25">
      <c r="B420" s="81"/>
      <c r="C420" s="29" t="s">
        <v>125</v>
      </c>
      <c r="D420" s="28">
        <v>7</v>
      </c>
      <c r="E420" s="27">
        <v>1.5011794981771391E-3</v>
      </c>
    </row>
    <row r="421" spans="2:5" ht="15" customHeight="1" x14ac:dyDescent="0.25">
      <c r="B421" s="81"/>
      <c r="C421" s="29" t="s">
        <v>123</v>
      </c>
      <c r="D421" s="28">
        <v>2</v>
      </c>
      <c r="E421" s="27">
        <v>4.2890842805061121E-4</v>
      </c>
    </row>
    <row r="422" spans="2:5" ht="15" customHeight="1" x14ac:dyDescent="0.25">
      <c r="B422" s="81"/>
      <c r="C422" s="29" t="s">
        <v>121</v>
      </c>
      <c r="D422" s="28">
        <v>16</v>
      </c>
      <c r="E422" s="27">
        <v>3.4312674244048897E-3</v>
      </c>
    </row>
    <row r="423" spans="2:5" ht="15" customHeight="1" x14ac:dyDescent="0.25">
      <c r="B423" s="81"/>
      <c r="C423" s="29" t="s">
        <v>120</v>
      </c>
      <c r="D423" s="28">
        <v>3</v>
      </c>
      <c r="E423" s="27">
        <v>6.4336264207591682E-4</v>
      </c>
    </row>
    <row r="424" spans="2:5" ht="15" customHeight="1" x14ac:dyDescent="0.25">
      <c r="B424" s="81"/>
      <c r="C424" s="29" t="s">
        <v>119</v>
      </c>
      <c r="D424" s="28">
        <v>5</v>
      </c>
      <c r="E424" s="27">
        <v>1.0722710701265279E-3</v>
      </c>
    </row>
    <row r="425" spans="2:5" ht="15" customHeight="1" x14ac:dyDescent="0.25">
      <c r="B425" s="81"/>
      <c r="C425" s="29" t="s">
        <v>118</v>
      </c>
      <c r="D425" s="28">
        <v>11</v>
      </c>
      <c r="E425" s="27">
        <v>2.3589963542783618E-3</v>
      </c>
    </row>
    <row r="426" spans="2:5" ht="15" customHeight="1" x14ac:dyDescent="0.25">
      <c r="B426" s="81"/>
      <c r="C426" s="29" t="s">
        <v>117</v>
      </c>
      <c r="D426" s="28">
        <v>1</v>
      </c>
      <c r="E426" s="27">
        <v>2.1445421402530561E-4</v>
      </c>
    </row>
    <row r="427" spans="2:5" ht="15" customHeight="1" x14ac:dyDescent="0.25">
      <c r="B427" s="82"/>
      <c r="C427" s="26" t="s">
        <v>46</v>
      </c>
      <c r="D427" s="25">
        <v>48</v>
      </c>
      <c r="E427" s="24">
        <v>1.0293802273214669E-2</v>
      </c>
    </row>
    <row r="428" spans="2:5" ht="15" customHeight="1" x14ac:dyDescent="0.25">
      <c r="B428" s="80" t="s">
        <v>64</v>
      </c>
      <c r="C428" s="29" t="s">
        <v>132</v>
      </c>
      <c r="D428" s="28">
        <v>1</v>
      </c>
      <c r="E428" s="27">
        <v>2.1445421402530561E-4</v>
      </c>
    </row>
    <row r="429" spans="2:5" ht="15" customHeight="1" x14ac:dyDescent="0.25">
      <c r="B429" s="81"/>
      <c r="C429" s="29" t="s">
        <v>130</v>
      </c>
      <c r="D429" s="28">
        <v>1</v>
      </c>
      <c r="E429" s="27">
        <v>2.1445421402530561E-4</v>
      </c>
    </row>
    <row r="430" spans="2:5" ht="15" customHeight="1" x14ac:dyDescent="0.25">
      <c r="B430" s="81"/>
      <c r="C430" s="29" t="s">
        <v>129</v>
      </c>
      <c r="D430" s="28">
        <v>1</v>
      </c>
      <c r="E430" s="27">
        <v>2.1445421402530561E-4</v>
      </c>
    </row>
    <row r="431" spans="2:5" ht="15" customHeight="1" x14ac:dyDescent="0.25">
      <c r="B431" s="81"/>
      <c r="C431" s="29" t="s">
        <v>128</v>
      </c>
      <c r="D431" s="28">
        <v>1</v>
      </c>
      <c r="E431" s="27">
        <v>2.1445421402530561E-4</v>
      </c>
    </row>
    <row r="432" spans="2:5" ht="15" customHeight="1" x14ac:dyDescent="0.25">
      <c r="B432" s="81"/>
      <c r="C432" s="29" t="s">
        <v>126</v>
      </c>
      <c r="D432" s="28">
        <v>2</v>
      </c>
      <c r="E432" s="27">
        <v>4.2890842805061121E-4</v>
      </c>
    </row>
    <row r="433" spans="2:5" ht="15" customHeight="1" x14ac:dyDescent="0.25">
      <c r="B433" s="81"/>
      <c r="C433" s="29" t="s">
        <v>125</v>
      </c>
      <c r="D433" s="28">
        <v>8</v>
      </c>
      <c r="E433" s="27">
        <v>1.7156337122024449E-3</v>
      </c>
    </row>
    <row r="434" spans="2:5" ht="15" customHeight="1" x14ac:dyDescent="0.25">
      <c r="B434" s="81"/>
      <c r="C434" s="29" t="s">
        <v>123</v>
      </c>
      <c r="D434" s="28">
        <v>1</v>
      </c>
      <c r="E434" s="27">
        <v>2.1445421402530561E-4</v>
      </c>
    </row>
    <row r="435" spans="2:5" ht="15" customHeight="1" x14ac:dyDescent="0.25">
      <c r="B435" s="81"/>
      <c r="C435" s="29" t="s">
        <v>121</v>
      </c>
      <c r="D435" s="28">
        <v>16</v>
      </c>
      <c r="E435" s="27">
        <v>3.4312674244048897E-3</v>
      </c>
    </row>
    <row r="436" spans="2:5" ht="15" customHeight="1" x14ac:dyDescent="0.25">
      <c r="B436" s="81"/>
      <c r="C436" s="29" t="s">
        <v>120</v>
      </c>
      <c r="D436" s="28">
        <v>2</v>
      </c>
      <c r="E436" s="27">
        <v>4.2890842805061121E-4</v>
      </c>
    </row>
    <row r="437" spans="2:5" ht="15" customHeight="1" x14ac:dyDescent="0.25">
      <c r="B437" s="81"/>
      <c r="C437" s="29" t="s">
        <v>119</v>
      </c>
      <c r="D437" s="28">
        <v>1</v>
      </c>
      <c r="E437" s="27">
        <v>2.1445421402530561E-4</v>
      </c>
    </row>
    <row r="438" spans="2:5" ht="15" customHeight="1" x14ac:dyDescent="0.25">
      <c r="B438" s="81"/>
      <c r="C438" s="29" t="s">
        <v>118</v>
      </c>
      <c r="D438" s="28">
        <v>8</v>
      </c>
      <c r="E438" s="27">
        <v>1.7156337122024449E-3</v>
      </c>
    </row>
    <row r="439" spans="2:5" ht="15" customHeight="1" x14ac:dyDescent="0.25">
      <c r="B439" s="81"/>
      <c r="C439" s="29" t="s">
        <v>117</v>
      </c>
      <c r="D439" s="28">
        <v>1</v>
      </c>
      <c r="E439" s="27">
        <v>2.1445421402530561E-4</v>
      </c>
    </row>
    <row r="440" spans="2:5" ht="15" customHeight="1" x14ac:dyDescent="0.25">
      <c r="B440" s="81"/>
      <c r="C440" s="29" t="s">
        <v>113</v>
      </c>
      <c r="D440" s="28">
        <v>3</v>
      </c>
      <c r="E440" s="27">
        <v>6.4336264207591682E-4</v>
      </c>
    </row>
    <row r="441" spans="2:5" ht="15" customHeight="1" x14ac:dyDescent="0.25">
      <c r="B441" s="81"/>
      <c r="C441" s="29" t="s">
        <v>112</v>
      </c>
      <c r="D441" s="28">
        <v>1</v>
      </c>
      <c r="E441" s="27">
        <v>2.1445421402530561E-4</v>
      </c>
    </row>
    <row r="442" spans="2:5" ht="15" customHeight="1" x14ac:dyDescent="0.25">
      <c r="B442" s="82"/>
      <c r="C442" s="26" t="s">
        <v>46</v>
      </c>
      <c r="D442" s="25">
        <v>47</v>
      </c>
      <c r="E442" s="24">
        <v>1.0079348059189364E-2</v>
      </c>
    </row>
    <row r="443" spans="2:5" ht="15" customHeight="1" x14ac:dyDescent="0.25">
      <c r="B443" s="80" t="s">
        <v>66</v>
      </c>
      <c r="C443" s="29" t="s">
        <v>129</v>
      </c>
      <c r="D443" s="28">
        <v>2</v>
      </c>
      <c r="E443" s="27">
        <v>4.2890842805061121E-4</v>
      </c>
    </row>
    <row r="444" spans="2:5" ht="15" customHeight="1" x14ac:dyDescent="0.25">
      <c r="B444" s="81"/>
      <c r="C444" s="29" t="s">
        <v>128</v>
      </c>
      <c r="D444" s="28">
        <v>2</v>
      </c>
      <c r="E444" s="27">
        <v>4.2890842805061121E-4</v>
      </c>
    </row>
    <row r="445" spans="2:5" ht="15" customHeight="1" x14ac:dyDescent="0.25">
      <c r="B445" s="81"/>
      <c r="C445" s="29" t="s">
        <v>127</v>
      </c>
      <c r="D445" s="28">
        <v>1</v>
      </c>
      <c r="E445" s="27">
        <v>2.1445421402530561E-4</v>
      </c>
    </row>
    <row r="446" spans="2:5" ht="15" customHeight="1" x14ac:dyDescent="0.25">
      <c r="B446" s="81"/>
      <c r="C446" s="29" t="s">
        <v>126</v>
      </c>
      <c r="D446" s="28">
        <v>9</v>
      </c>
      <c r="E446" s="27">
        <v>1.9300879262277503E-3</v>
      </c>
    </row>
    <row r="447" spans="2:5" ht="15" customHeight="1" x14ac:dyDescent="0.25">
      <c r="B447" s="81"/>
      <c r="C447" s="29" t="s">
        <v>125</v>
      </c>
      <c r="D447" s="28">
        <v>7</v>
      </c>
      <c r="E447" s="27">
        <v>1.5011794981771391E-3</v>
      </c>
    </row>
    <row r="448" spans="2:5" ht="15" customHeight="1" x14ac:dyDescent="0.25">
      <c r="B448" s="81"/>
      <c r="C448" s="29" t="s">
        <v>124</v>
      </c>
      <c r="D448" s="28">
        <v>2</v>
      </c>
      <c r="E448" s="27">
        <v>4.2890842805061121E-4</v>
      </c>
    </row>
    <row r="449" spans="2:5" ht="15" customHeight="1" x14ac:dyDescent="0.25">
      <c r="B449" s="81"/>
      <c r="C449" s="29" t="s">
        <v>122</v>
      </c>
      <c r="D449" s="28">
        <v>10</v>
      </c>
      <c r="E449" s="27">
        <v>2.1445421402530558E-3</v>
      </c>
    </row>
    <row r="450" spans="2:5" ht="15" customHeight="1" x14ac:dyDescent="0.25">
      <c r="B450" s="81"/>
      <c r="C450" s="29" t="s">
        <v>121</v>
      </c>
      <c r="D450" s="28">
        <v>22</v>
      </c>
      <c r="E450" s="27">
        <v>4.7179927085567236E-3</v>
      </c>
    </row>
    <row r="451" spans="2:5" ht="15" customHeight="1" x14ac:dyDescent="0.25">
      <c r="B451" s="81"/>
      <c r="C451" s="29" t="s">
        <v>119</v>
      </c>
      <c r="D451" s="28">
        <v>2</v>
      </c>
      <c r="E451" s="27">
        <v>4.2890842805061121E-4</v>
      </c>
    </row>
    <row r="452" spans="2:5" ht="15" customHeight="1" x14ac:dyDescent="0.25">
      <c r="B452" s="81"/>
      <c r="C452" s="29" t="s">
        <v>118</v>
      </c>
      <c r="D452" s="28">
        <v>16</v>
      </c>
      <c r="E452" s="27">
        <v>3.4312674244048897E-3</v>
      </c>
    </row>
    <row r="453" spans="2:5" ht="15" customHeight="1" x14ac:dyDescent="0.25">
      <c r="B453" s="81"/>
      <c r="C453" s="29" t="s">
        <v>117</v>
      </c>
      <c r="D453" s="28">
        <v>1</v>
      </c>
      <c r="E453" s="27">
        <v>2.1445421402530561E-4</v>
      </c>
    </row>
    <row r="454" spans="2:5" ht="15" customHeight="1" x14ac:dyDescent="0.25">
      <c r="B454" s="81"/>
      <c r="C454" s="29" t="s">
        <v>116</v>
      </c>
      <c r="D454" s="28">
        <v>1</v>
      </c>
      <c r="E454" s="27">
        <v>2.1445421402530561E-4</v>
      </c>
    </row>
    <row r="455" spans="2:5" ht="15" customHeight="1" x14ac:dyDescent="0.25">
      <c r="B455" s="81"/>
      <c r="C455" s="29" t="s">
        <v>113</v>
      </c>
      <c r="D455" s="28">
        <v>2</v>
      </c>
      <c r="E455" s="27">
        <v>4.2890842805061121E-4</v>
      </c>
    </row>
    <row r="456" spans="2:5" ht="15" customHeight="1" x14ac:dyDescent="0.25">
      <c r="B456" s="81"/>
      <c r="C456" s="29" t="s">
        <v>112</v>
      </c>
      <c r="D456" s="28">
        <v>3</v>
      </c>
      <c r="E456" s="27">
        <v>6.4336264207591682E-4</v>
      </c>
    </row>
    <row r="457" spans="2:5" ht="15" customHeight="1" x14ac:dyDescent="0.25">
      <c r="B457" s="82"/>
      <c r="C457" s="26" t="s">
        <v>46</v>
      </c>
      <c r="D457" s="25">
        <v>80</v>
      </c>
      <c r="E457" s="24">
        <v>1.7156337122024447E-2</v>
      </c>
    </row>
    <row r="458" spans="2:5" ht="15" customHeight="1" x14ac:dyDescent="0.25">
      <c r="B458" s="80" t="s">
        <v>74</v>
      </c>
      <c r="C458" s="29" t="s">
        <v>132</v>
      </c>
      <c r="D458" s="28">
        <v>1</v>
      </c>
      <c r="E458" s="27">
        <v>2.1445421402530561E-4</v>
      </c>
    </row>
    <row r="459" spans="2:5" ht="15" customHeight="1" x14ac:dyDescent="0.25">
      <c r="B459" s="81"/>
      <c r="C459" s="29" t="s">
        <v>127</v>
      </c>
      <c r="D459" s="28">
        <v>2</v>
      </c>
      <c r="E459" s="27">
        <v>4.2890842805061121E-4</v>
      </c>
    </row>
    <row r="460" spans="2:5" ht="15" customHeight="1" x14ac:dyDescent="0.25">
      <c r="B460" s="81"/>
      <c r="C460" s="29" t="s">
        <v>126</v>
      </c>
      <c r="D460" s="28">
        <v>4</v>
      </c>
      <c r="E460" s="27">
        <v>8.5781685610122243E-4</v>
      </c>
    </row>
    <row r="461" spans="2:5" ht="15" customHeight="1" x14ac:dyDescent="0.25">
      <c r="B461" s="81"/>
      <c r="C461" s="29" t="s">
        <v>125</v>
      </c>
      <c r="D461" s="28">
        <v>4</v>
      </c>
      <c r="E461" s="27">
        <v>8.5781685610122243E-4</v>
      </c>
    </row>
    <row r="462" spans="2:5" ht="15" customHeight="1" x14ac:dyDescent="0.25">
      <c r="B462" s="81"/>
      <c r="C462" s="29" t="s">
        <v>123</v>
      </c>
      <c r="D462" s="28">
        <v>1</v>
      </c>
      <c r="E462" s="27">
        <v>2.1445421402530561E-4</v>
      </c>
    </row>
    <row r="463" spans="2:5" ht="15" customHeight="1" x14ac:dyDescent="0.25">
      <c r="B463" s="81"/>
      <c r="C463" s="29" t="s">
        <v>122</v>
      </c>
      <c r="D463" s="28">
        <v>1</v>
      </c>
      <c r="E463" s="27">
        <v>2.1445421402530561E-4</v>
      </c>
    </row>
    <row r="464" spans="2:5" ht="15" customHeight="1" x14ac:dyDescent="0.25">
      <c r="B464" s="81"/>
      <c r="C464" s="29" t="s">
        <v>121</v>
      </c>
      <c r="D464" s="28">
        <v>24</v>
      </c>
      <c r="E464" s="27">
        <v>5.1469011366073346E-3</v>
      </c>
    </row>
    <row r="465" spans="2:5" ht="15" customHeight="1" x14ac:dyDescent="0.25">
      <c r="B465" s="81"/>
      <c r="C465" s="29" t="s">
        <v>120</v>
      </c>
      <c r="D465" s="28">
        <v>2</v>
      </c>
      <c r="E465" s="27">
        <v>4.2890842805061121E-4</v>
      </c>
    </row>
    <row r="466" spans="2:5" ht="15" customHeight="1" x14ac:dyDescent="0.25">
      <c r="B466" s="81"/>
      <c r="C466" s="29" t="s">
        <v>119</v>
      </c>
      <c r="D466" s="28">
        <v>4</v>
      </c>
      <c r="E466" s="27">
        <v>8.5781685610122243E-4</v>
      </c>
    </row>
    <row r="467" spans="2:5" ht="15" customHeight="1" x14ac:dyDescent="0.25">
      <c r="B467" s="81"/>
      <c r="C467" s="29" t="s">
        <v>118</v>
      </c>
      <c r="D467" s="28">
        <v>18</v>
      </c>
      <c r="E467" s="27">
        <v>3.8601758524555007E-3</v>
      </c>
    </row>
    <row r="468" spans="2:5" ht="15" customHeight="1" x14ac:dyDescent="0.25">
      <c r="B468" s="81"/>
      <c r="C468" s="29" t="s">
        <v>117</v>
      </c>
      <c r="D468" s="28">
        <v>1</v>
      </c>
      <c r="E468" s="27">
        <v>2.1445421402530561E-4</v>
      </c>
    </row>
    <row r="469" spans="2:5" ht="15" customHeight="1" x14ac:dyDescent="0.25">
      <c r="B469" s="81"/>
      <c r="C469" s="29" t="s">
        <v>113</v>
      </c>
      <c r="D469" s="28">
        <v>2</v>
      </c>
      <c r="E469" s="27">
        <v>4.2890842805061121E-4</v>
      </c>
    </row>
    <row r="470" spans="2:5" ht="15" customHeight="1" x14ac:dyDescent="0.25">
      <c r="B470" s="81"/>
      <c r="C470" s="29" t="s">
        <v>112</v>
      </c>
      <c r="D470" s="28">
        <v>4</v>
      </c>
      <c r="E470" s="27">
        <v>8.5781685610122243E-4</v>
      </c>
    </row>
    <row r="471" spans="2:5" ht="15" customHeight="1" x14ac:dyDescent="0.25">
      <c r="B471" s="82"/>
      <c r="C471" s="26" t="s">
        <v>46</v>
      </c>
      <c r="D471" s="25">
        <v>68</v>
      </c>
      <c r="E471" s="24">
        <v>1.4582886553720781E-2</v>
      </c>
    </row>
    <row r="472" spans="2:5" ht="15" customHeight="1" x14ac:dyDescent="0.25">
      <c r="B472" s="80" t="s">
        <v>86</v>
      </c>
      <c r="C472" s="29" t="s">
        <v>132</v>
      </c>
      <c r="D472" s="28">
        <v>2</v>
      </c>
      <c r="E472" s="27">
        <v>4.2890842805061121E-4</v>
      </c>
    </row>
    <row r="473" spans="2:5" ht="15" customHeight="1" x14ac:dyDescent="0.25">
      <c r="B473" s="81"/>
      <c r="C473" s="29" t="s">
        <v>130</v>
      </c>
      <c r="D473" s="28">
        <v>3</v>
      </c>
      <c r="E473" s="27">
        <v>6.4336264207591682E-4</v>
      </c>
    </row>
    <row r="474" spans="2:5" ht="15" customHeight="1" x14ac:dyDescent="0.25">
      <c r="B474" s="81"/>
      <c r="C474" s="29" t="s">
        <v>129</v>
      </c>
      <c r="D474" s="28">
        <v>5</v>
      </c>
      <c r="E474" s="27">
        <v>1.0722710701265279E-3</v>
      </c>
    </row>
    <row r="475" spans="2:5" ht="15" customHeight="1" x14ac:dyDescent="0.25">
      <c r="B475" s="81"/>
      <c r="C475" s="29" t="s">
        <v>128</v>
      </c>
      <c r="D475" s="28">
        <v>3</v>
      </c>
      <c r="E475" s="27">
        <v>6.4336264207591682E-4</v>
      </c>
    </row>
    <row r="476" spans="2:5" ht="15" customHeight="1" x14ac:dyDescent="0.25">
      <c r="B476" s="81"/>
      <c r="C476" s="29" t="s">
        <v>127</v>
      </c>
      <c r="D476" s="28">
        <v>4</v>
      </c>
      <c r="E476" s="27">
        <v>8.5781685610122243E-4</v>
      </c>
    </row>
    <row r="477" spans="2:5" ht="15" customHeight="1" x14ac:dyDescent="0.25">
      <c r="B477" s="81"/>
      <c r="C477" s="29" t="s">
        <v>126</v>
      </c>
      <c r="D477" s="28">
        <v>21</v>
      </c>
      <c r="E477" s="27">
        <v>4.5035384945314172E-3</v>
      </c>
    </row>
    <row r="478" spans="2:5" ht="15" customHeight="1" x14ac:dyDescent="0.25">
      <c r="B478" s="81"/>
      <c r="C478" s="29" t="s">
        <v>125</v>
      </c>
      <c r="D478" s="28">
        <v>23</v>
      </c>
      <c r="E478" s="27">
        <v>4.9324469225820291E-3</v>
      </c>
    </row>
    <row r="479" spans="2:5" ht="15" customHeight="1" x14ac:dyDescent="0.25">
      <c r="B479" s="81"/>
      <c r="C479" s="29" t="s">
        <v>124</v>
      </c>
      <c r="D479" s="28">
        <v>3</v>
      </c>
      <c r="E479" s="27">
        <v>6.4336264207591682E-4</v>
      </c>
    </row>
    <row r="480" spans="2:5" ht="15" customHeight="1" x14ac:dyDescent="0.25">
      <c r="B480" s="81"/>
      <c r="C480" s="29" t="s">
        <v>123</v>
      </c>
      <c r="D480" s="28">
        <v>4</v>
      </c>
      <c r="E480" s="27">
        <v>8.5781685610122243E-4</v>
      </c>
    </row>
    <row r="481" spans="2:5" ht="15" customHeight="1" x14ac:dyDescent="0.25">
      <c r="B481" s="81"/>
      <c r="C481" s="29" t="s">
        <v>122</v>
      </c>
      <c r="D481" s="28">
        <v>16</v>
      </c>
      <c r="E481" s="27">
        <v>3.4312674244048897E-3</v>
      </c>
    </row>
    <row r="482" spans="2:5" ht="15" customHeight="1" x14ac:dyDescent="0.25">
      <c r="B482" s="81"/>
      <c r="C482" s="29" t="s">
        <v>121</v>
      </c>
      <c r="D482" s="28">
        <v>50</v>
      </c>
      <c r="E482" s="27">
        <v>1.072271070126528E-2</v>
      </c>
    </row>
    <row r="483" spans="2:5" ht="15" customHeight="1" x14ac:dyDescent="0.25">
      <c r="B483" s="81"/>
      <c r="C483" s="29" t="s">
        <v>120</v>
      </c>
      <c r="D483" s="28">
        <v>5</v>
      </c>
      <c r="E483" s="27">
        <v>1.0722710701265279E-3</v>
      </c>
    </row>
    <row r="484" spans="2:5" ht="15" customHeight="1" x14ac:dyDescent="0.25">
      <c r="B484" s="81"/>
      <c r="C484" s="29" t="s">
        <v>119</v>
      </c>
      <c r="D484" s="28">
        <v>10</v>
      </c>
      <c r="E484" s="27">
        <v>2.1445421402530558E-3</v>
      </c>
    </row>
    <row r="485" spans="2:5" ht="15" customHeight="1" x14ac:dyDescent="0.25">
      <c r="B485" s="81"/>
      <c r="C485" s="29" t="s">
        <v>118</v>
      </c>
      <c r="D485" s="28">
        <v>44</v>
      </c>
      <c r="E485" s="27">
        <v>9.4359854171134471E-3</v>
      </c>
    </row>
    <row r="486" spans="2:5" ht="15" customHeight="1" x14ac:dyDescent="0.25">
      <c r="B486" s="81"/>
      <c r="C486" s="29" t="s">
        <v>112</v>
      </c>
      <c r="D486" s="28">
        <v>4</v>
      </c>
      <c r="E486" s="27">
        <v>8.5781685610122243E-4</v>
      </c>
    </row>
    <row r="487" spans="2:5" ht="15" customHeight="1" x14ac:dyDescent="0.25">
      <c r="B487" s="81"/>
      <c r="C487" s="29" t="s">
        <v>137</v>
      </c>
      <c r="D487" s="28">
        <v>2</v>
      </c>
      <c r="E487" s="27">
        <v>4.2890842805061121E-4</v>
      </c>
    </row>
    <row r="488" spans="2:5" ht="15" customHeight="1" x14ac:dyDescent="0.25">
      <c r="B488" s="82"/>
      <c r="C488" s="26" t="s">
        <v>46</v>
      </c>
      <c r="D488" s="25">
        <v>199</v>
      </c>
      <c r="E488" s="24">
        <v>4.2676388591035813E-2</v>
      </c>
    </row>
    <row r="489" spans="2:5" ht="15" customHeight="1" x14ac:dyDescent="0.25">
      <c r="B489" s="80" t="s">
        <v>70</v>
      </c>
      <c r="C489" s="29" t="s">
        <v>129</v>
      </c>
      <c r="D489" s="28">
        <v>1</v>
      </c>
      <c r="E489" s="27">
        <v>2.1445421402530561E-4</v>
      </c>
    </row>
    <row r="490" spans="2:5" ht="15" customHeight="1" x14ac:dyDescent="0.25">
      <c r="B490" s="81"/>
      <c r="C490" s="29" t="s">
        <v>126</v>
      </c>
      <c r="D490" s="28">
        <v>1</v>
      </c>
      <c r="E490" s="27">
        <v>2.1445421402530561E-4</v>
      </c>
    </row>
    <row r="491" spans="2:5" ht="15" customHeight="1" x14ac:dyDescent="0.25">
      <c r="B491" s="81"/>
      <c r="C491" s="29" t="s">
        <v>125</v>
      </c>
      <c r="D491" s="28">
        <v>3</v>
      </c>
      <c r="E491" s="27">
        <v>6.4336264207591682E-4</v>
      </c>
    </row>
    <row r="492" spans="2:5" ht="15" customHeight="1" x14ac:dyDescent="0.25">
      <c r="B492" s="81"/>
      <c r="C492" s="29" t="s">
        <v>124</v>
      </c>
      <c r="D492" s="28">
        <v>1</v>
      </c>
      <c r="E492" s="27">
        <v>2.1445421402530561E-4</v>
      </c>
    </row>
    <row r="493" spans="2:5" ht="15" customHeight="1" x14ac:dyDescent="0.25">
      <c r="B493" s="81"/>
      <c r="C493" s="29" t="s">
        <v>123</v>
      </c>
      <c r="D493" s="28">
        <v>1</v>
      </c>
      <c r="E493" s="27">
        <v>2.1445421402530561E-4</v>
      </c>
    </row>
    <row r="494" spans="2:5" ht="15" customHeight="1" x14ac:dyDescent="0.25">
      <c r="B494" s="81"/>
      <c r="C494" s="29" t="s">
        <v>122</v>
      </c>
      <c r="D494" s="28">
        <v>1</v>
      </c>
      <c r="E494" s="27">
        <v>2.1445421402530561E-4</v>
      </c>
    </row>
    <row r="495" spans="2:5" ht="15" customHeight="1" x14ac:dyDescent="0.25">
      <c r="B495" s="81"/>
      <c r="C495" s="29" t="s">
        <v>121</v>
      </c>
      <c r="D495" s="28">
        <v>6</v>
      </c>
      <c r="E495" s="27">
        <v>1.2867252841518336E-3</v>
      </c>
    </row>
    <row r="496" spans="2:5" ht="15" customHeight="1" x14ac:dyDescent="0.25">
      <c r="B496" s="81"/>
      <c r="C496" s="29" t="s">
        <v>119</v>
      </c>
      <c r="D496" s="28">
        <v>2</v>
      </c>
      <c r="E496" s="27">
        <v>4.2890842805061121E-4</v>
      </c>
    </row>
    <row r="497" spans="2:5" ht="15" customHeight="1" x14ac:dyDescent="0.25">
      <c r="B497" s="81"/>
      <c r="C497" s="29" t="s">
        <v>118</v>
      </c>
      <c r="D497" s="28">
        <v>8</v>
      </c>
      <c r="E497" s="27">
        <v>1.7156337122024449E-3</v>
      </c>
    </row>
    <row r="498" spans="2:5" ht="15" customHeight="1" x14ac:dyDescent="0.25">
      <c r="B498" s="81"/>
      <c r="C498" s="29" t="s">
        <v>116</v>
      </c>
      <c r="D498" s="28">
        <v>1</v>
      </c>
      <c r="E498" s="27">
        <v>2.1445421402530561E-4</v>
      </c>
    </row>
    <row r="499" spans="2:5" ht="15" customHeight="1" x14ac:dyDescent="0.25">
      <c r="B499" s="81"/>
      <c r="C499" s="29" t="s">
        <v>113</v>
      </c>
      <c r="D499" s="28">
        <v>1</v>
      </c>
      <c r="E499" s="27">
        <v>2.1445421402530561E-4</v>
      </c>
    </row>
    <row r="500" spans="2:5" ht="15" customHeight="1" x14ac:dyDescent="0.25">
      <c r="B500" s="81"/>
      <c r="C500" s="29" t="s">
        <v>112</v>
      </c>
      <c r="D500" s="28">
        <v>1</v>
      </c>
      <c r="E500" s="27">
        <v>2.1445421402530561E-4</v>
      </c>
    </row>
    <row r="501" spans="2:5" ht="15" customHeight="1" x14ac:dyDescent="0.25">
      <c r="B501" s="82"/>
      <c r="C501" s="26" t="s">
        <v>46</v>
      </c>
      <c r="D501" s="25">
        <v>27</v>
      </c>
      <c r="E501" s="24">
        <v>5.790263778683251E-3</v>
      </c>
    </row>
    <row r="502" spans="2:5" ht="15" customHeight="1" x14ac:dyDescent="0.25">
      <c r="B502" s="80" t="s">
        <v>83</v>
      </c>
      <c r="C502" s="29" t="s">
        <v>131</v>
      </c>
      <c r="D502" s="28">
        <v>1</v>
      </c>
      <c r="E502" s="27">
        <v>2.1445421402530561E-4</v>
      </c>
    </row>
    <row r="503" spans="2:5" ht="15" customHeight="1" x14ac:dyDescent="0.25">
      <c r="B503" s="81"/>
      <c r="C503" s="29" t="s">
        <v>130</v>
      </c>
      <c r="D503" s="28">
        <v>1</v>
      </c>
      <c r="E503" s="27">
        <v>2.1445421402530561E-4</v>
      </c>
    </row>
    <row r="504" spans="2:5" ht="15" customHeight="1" x14ac:dyDescent="0.25">
      <c r="B504" s="81"/>
      <c r="C504" s="29" t="s">
        <v>128</v>
      </c>
      <c r="D504" s="28">
        <v>1</v>
      </c>
      <c r="E504" s="27">
        <v>2.1445421402530561E-4</v>
      </c>
    </row>
    <row r="505" spans="2:5" ht="15" customHeight="1" x14ac:dyDescent="0.25">
      <c r="B505" s="81"/>
      <c r="C505" s="29" t="s">
        <v>127</v>
      </c>
      <c r="D505" s="28">
        <v>1</v>
      </c>
      <c r="E505" s="27">
        <v>2.1445421402530561E-4</v>
      </c>
    </row>
    <row r="506" spans="2:5" ht="15" customHeight="1" x14ac:dyDescent="0.25">
      <c r="B506" s="81"/>
      <c r="C506" s="29" t="s">
        <v>126</v>
      </c>
      <c r="D506" s="28">
        <v>5</v>
      </c>
      <c r="E506" s="27">
        <v>1.0722710701265279E-3</v>
      </c>
    </row>
    <row r="507" spans="2:5" ht="15" customHeight="1" x14ac:dyDescent="0.25">
      <c r="B507" s="81"/>
      <c r="C507" s="29" t="s">
        <v>125</v>
      </c>
      <c r="D507" s="28">
        <v>8</v>
      </c>
      <c r="E507" s="27">
        <v>1.7156337122024449E-3</v>
      </c>
    </row>
    <row r="508" spans="2:5" ht="15" customHeight="1" x14ac:dyDescent="0.25">
      <c r="B508" s="81"/>
      <c r="C508" s="29" t="s">
        <v>123</v>
      </c>
      <c r="D508" s="28">
        <v>2</v>
      </c>
      <c r="E508" s="27">
        <v>4.2890842805061121E-4</v>
      </c>
    </row>
    <row r="509" spans="2:5" ht="15" customHeight="1" x14ac:dyDescent="0.25">
      <c r="B509" s="81"/>
      <c r="C509" s="29" t="s">
        <v>122</v>
      </c>
      <c r="D509" s="28">
        <v>2</v>
      </c>
      <c r="E509" s="27">
        <v>4.2890842805061121E-4</v>
      </c>
    </row>
    <row r="510" spans="2:5" ht="15" customHeight="1" x14ac:dyDescent="0.25">
      <c r="B510" s="81"/>
      <c r="C510" s="29" t="s">
        <v>121</v>
      </c>
      <c r="D510" s="28">
        <v>22</v>
      </c>
      <c r="E510" s="27">
        <v>4.7179927085567236E-3</v>
      </c>
    </row>
    <row r="511" spans="2:5" ht="15" customHeight="1" x14ac:dyDescent="0.25">
      <c r="B511" s="81"/>
      <c r="C511" s="29" t="s">
        <v>120</v>
      </c>
      <c r="D511" s="28">
        <v>1</v>
      </c>
      <c r="E511" s="27">
        <v>2.1445421402530561E-4</v>
      </c>
    </row>
    <row r="512" spans="2:5" ht="15" customHeight="1" x14ac:dyDescent="0.25">
      <c r="B512" s="81"/>
      <c r="C512" s="29" t="s">
        <v>119</v>
      </c>
      <c r="D512" s="28">
        <v>4</v>
      </c>
      <c r="E512" s="27">
        <v>8.5781685610122243E-4</v>
      </c>
    </row>
    <row r="513" spans="2:5" ht="15" customHeight="1" x14ac:dyDescent="0.25">
      <c r="B513" s="81"/>
      <c r="C513" s="29" t="s">
        <v>118</v>
      </c>
      <c r="D513" s="28">
        <v>7</v>
      </c>
      <c r="E513" s="27">
        <v>1.5011794981771391E-3</v>
      </c>
    </row>
    <row r="514" spans="2:5" ht="15" customHeight="1" x14ac:dyDescent="0.25">
      <c r="B514" s="81"/>
      <c r="C514" s="29" t="s">
        <v>112</v>
      </c>
      <c r="D514" s="28">
        <v>1</v>
      </c>
      <c r="E514" s="27">
        <v>2.1445421402530561E-4</v>
      </c>
    </row>
    <row r="515" spans="2:5" ht="15" customHeight="1" x14ac:dyDescent="0.25">
      <c r="B515" s="82"/>
      <c r="C515" s="26" t="s">
        <v>46</v>
      </c>
      <c r="D515" s="25">
        <v>56</v>
      </c>
      <c r="E515" s="24">
        <v>1.2009435985417113E-2</v>
      </c>
    </row>
    <row r="516" spans="2:5" ht="15" customHeight="1" x14ac:dyDescent="0.25">
      <c r="B516" s="80" t="s">
        <v>136</v>
      </c>
      <c r="C516" s="29" t="s">
        <v>131</v>
      </c>
      <c r="D516" s="28">
        <v>2</v>
      </c>
      <c r="E516" s="27">
        <v>4.2890842805061121E-4</v>
      </c>
    </row>
    <row r="517" spans="2:5" ht="15" customHeight="1" x14ac:dyDescent="0.25">
      <c r="B517" s="81"/>
      <c r="C517" s="29" t="s">
        <v>130</v>
      </c>
      <c r="D517" s="28">
        <v>1</v>
      </c>
      <c r="E517" s="27">
        <v>2.1445421402530561E-4</v>
      </c>
    </row>
    <row r="518" spans="2:5" ht="15" customHeight="1" x14ac:dyDescent="0.25">
      <c r="B518" s="81"/>
      <c r="C518" s="29" t="s">
        <v>129</v>
      </c>
      <c r="D518" s="28">
        <v>2</v>
      </c>
      <c r="E518" s="27">
        <v>4.2890842805061121E-4</v>
      </c>
    </row>
    <row r="519" spans="2:5" ht="15" customHeight="1" x14ac:dyDescent="0.25">
      <c r="B519" s="81"/>
      <c r="C519" s="29" t="s">
        <v>127</v>
      </c>
      <c r="D519" s="28">
        <v>2</v>
      </c>
      <c r="E519" s="27">
        <v>4.2890842805061121E-4</v>
      </c>
    </row>
    <row r="520" spans="2:5" ht="15" customHeight="1" x14ac:dyDescent="0.25">
      <c r="B520" s="81"/>
      <c r="C520" s="29" t="s">
        <v>126</v>
      </c>
      <c r="D520" s="28">
        <v>8</v>
      </c>
      <c r="E520" s="27">
        <v>1.7156337122024449E-3</v>
      </c>
    </row>
    <row r="521" spans="2:5" ht="15" customHeight="1" x14ac:dyDescent="0.25">
      <c r="B521" s="81"/>
      <c r="C521" s="29" t="s">
        <v>125</v>
      </c>
      <c r="D521" s="28">
        <v>7</v>
      </c>
      <c r="E521" s="27">
        <v>1.5011794981771391E-3</v>
      </c>
    </row>
    <row r="522" spans="2:5" ht="15" customHeight="1" x14ac:dyDescent="0.25">
      <c r="B522" s="81"/>
      <c r="C522" s="29" t="s">
        <v>124</v>
      </c>
      <c r="D522" s="28">
        <v>1</v>
      </c>
      <c r="E522" s="27">
        <v>2.1445421402530561E-4</v>
      </c>
    </row>
    <row r="523" spans="2:5" ht="15" customHeight="1" x14ac:dyDescent="0.25">
      <c r="B523" s="81"/>
      <c r="C523" s="29" t="s">
        <v>123</v>
      </c>
      <c r="D523" s="28">
        <v>2</v>
      </c>
      <c r="E523" s="27">
        <v>4.2890842805061121E-4</v>
      </c>
    </row>
    <row r="524" spans="2:5" ht="15" customHeight="1" x14ac:dyDescent="0.25">
      <c r="B524" s="81"/>
      <c r="C524" s="29" t="s">
        <v>122</v>
      </c>
      <c r="D524" s="28">
        <v>4</v>
      </c>
      <c r="E524" s="27">
        <v>8.5781685610122243E-4</v>
      </c>
    </row>
    <row r="525" spans="2:5" ht="15" customHeight="1" x14ac:dyDescent="0.25">
      <c r="B525" s="81"/>
      <c r="C525" s="29" t="s">
        <v>121</v>
      </c>
      <c r="D525" s="28">
        <v>25</v>
      </c>
      <c r="E525" s="27">
        <v>5.3613553506326401E-3</v>
      </c>
    </row>
    <row r="526" spans="2:5" ht="15" customHeight="1" x14ac:dyDescent="0.25">
      <c r="B526" s="81"/>
      <c r="C526" s="29" t="s">
        <v>119</v>
      </c>
      <c r="D526" s="28">
        <v>3</v>
      </c>
      <c r="E526" s="27">
        <v>6.4336264207591682E-4</v>
      </c>
    </row>
    <row r="527" spans="2:5" ht="15" customHeight="1" x14ac:dyDescent="0.25">
      <c r="B527" s="81"/>
      <c r="C527" s="29" t="s">
        <v>118</v>
      </c>
      <c r="D527" s="28">
        <v>8</v>
      </c>
      <c r="E527" s="27">
        <v>1.7156337122024449E-3</v>
      </c>
    </row>
    <row r="528" spans="2:5" ht="15" customHeight="1" x14ac:dyDescent="0.25">
      <c r="B528" s="81"/>
      <c r="C528" s="29" t="s">
        <v>117</v>
      </c>
      <c r="D528" s="28">
        <v>1</v>
      </c>
      <c r="E528" s="27">
        <v>2.1445421402530561E-4</v>
      </c>
    </row>
    <row r="529" spans="2:5" ht="15" customHeight="1" x14ac:dyDescent="0.25">
      <c r="B529" s="81"/>
      <c r="C529" s="29" t="s">
        <v>113</v>
      </c>
      <c r="D529" s="28">
        <v>2</v>
      </c>
      <c r="E529" s="27">
        <v>4.2890842805061121E-4</v>
      </c>
    </row>
    <row r="530" spans="2:5" ht="15" customHeight="1" x14ac:dyDescent="0.25">
      <c r="B530" s="81"/>
      <c r="C530" s="29" t="s">
        <v>112</v>
      </c>
      <c r="D530" s="28">
        <v>2</v>
      </c>
      <c r="E530" s="27">
        <v>4.2890842805061121E-4</v>
      </c>
    </row>
    <row r="531" spans="2:5" ht="15" customHeight="1" x14ac:dyDescent="0.25">
      <c r="B531" s="82"/>
      <c r="C531" s="26" t="s">
        <v>46</v>
      </c>
      <c r="D531" s="25">
        <v>70</v>
      </c>
      <c r="E531" s="24">
        <v>1.5011794981771392E-2</v>
      </c>
    </row>
    <row r="532" spans="2:5" ht="15" customHeight="1" x14ac:dyDescent="0.25">
      <c r="B532" s="80" t="s">
        <v>85</v>
      </c>
      <c r="C532" s="29" t="s">
        <v>130</v>
      </c>
      <c r="D532" s="28">
        <v>1</v>
      </c>
      <c r="E532" s="27">
        <v>2.1445421402530561E-4</v>
      </c>
    </row>
    <row r="533" spans="2:5" ht="15" customHeight="1" x14ac:dyDescent="0.25">
      <c r="B533" s="81"/>
      <c r="C533" s="29" t="s">
        <v>129</v>
      </c>
      <c r="D533" s="28">
        <v>1</v>
      </c>
      <c r="E533" s="27">
        <v>2.1445421402530561E-4</v>
      </c>
    </row>
    <row r="534" spans="2:5" ht="15" customHeight="1" x14ac:dyDescent="0.25">
      <c r="B534" s="81"/>
      <c r="C534" s="29" t="s">
        <v>127</v>
      </c>
      <c r="D534" s="28">
        <v>3</v>
      </c>
      <c r="E534" s="27">
        <v>6.4336264207591682E-4</v>
      </c>
    </row>
    <row r="535" spans="2:5" ht="15" customHeight="1" x14ac:dyDescent="0.25">
      <c r="B535" s="81"/>
      <c r="C535" s="29" t="s">
        <v>126</v>
      </c>
      <c r="D535" s="28">
        <v>5</v>
      </c>
      <c r="E535" s="27">
        <v>1.0722710701265279E-3</v>
      </c>
    </row>
    <row r="536" spans="2:5" ht="15" customHeight="1" x14ac:dyDescent="0.25">
      <c r="B536" s="81"/>
      <c r="C536" s="29" t="s">
        <v>125</v>
      </c>
      <c r="D536" s="28">
        <v>11</v>
      </c>
      <c r="E536" s="27">
        <v>2.3589963542783618E-3</v>
      </c>
    </row>
    <row r="537" spans="2:5" ht="15" customHeight="1" x14ac:dyDescent="0.25">
      <c r="B537" s="81"/>
      <c r="C537" s="29" t="s">
        <v>124</v>
      </c>
      <c r="D537" s="28">
        <v>2</v>
      </c>
      <c r="E537" s="27">
        <v>4.2890842805061121E-4</v>
      </c>
    </row>
    <row r="538" spans="2:5" ht="15" customHeight="1" x14ac:dyDescent="0.25">
      <c r="B538" s="81"/>
      <c r="C538" s="29" t="s">
        <v>123</v>
      </c>
      <c r="D538" s="28">
        <v>2</v>
      </c>
      <c r="E538" s="27">
        <v>4.2890842805061121E-4</v>
      </c>
    </row>
    <row r="539" spans="2:5" ht="15" customHeight="1" x14ac:dyDescent="0.25">
      <c r="B539" s="81"/>
      <c r="C539" s="29" t="s">
        <v>122</v>
      </c>
      <c r="D539" s="28">
        <v>4</v>
      </c>
      <c r="E539" s="27">
        <v>8.5781685610122243E-4</v>
      </c>
    </row>
    <row r="540" spans="2:5" ht="15" customHeight="1" x14ac:dyDescent="0.25">
      <c r="B540" s="81"/>
      <c r="C540" s="29" t="s">
        <v>121</v>
      </c>
      <c r="D540" s="28">
        <v>22</v>
      </c>
      <c r="E540" s="27">
        <v>4.7179927085567236E-3</v>
      </c>
    </row>
    <row r="541" spans="2:5" ht="15" customHeight="1" x14ac:dyDescent="0.25">
      <c r="B541" s="81"/>
      <c r="C541" s="29" t="s">
        <v>119</v>
      </c>
      <c r="D541" s="28">
        <v>13</v>
      </c>
      <c r="E541" s="27">
        <v>2.7879047823289728E-3</v>
      </c>
    </row>
    <row r="542" spans="2:5" ht="15" customHeight="1" x14ac:dyDescent="0.25">
      <c r="B542" s="81"/>
      <c r="C542" s="29" t="s">
        <v>118</v>
      </c>
      <c r="D542" s="28">
        <v>12</v>
      </c>
      <c r="E542" s="27">
        <v>2.5734505683036673E-3</v>
      </c>
    </row>
    <row r="543" spans="2:5" ht="15" customHeight="1" x14ac:dyDescent="0.25">
      <c r="B543" s="81"/>
      <c r="C543" s="29" t="s">
        <v>117</v>
      </c>
      <c r="D543" s="28">
        <v>1</v>
      </c>
      <c r="E543" s="27">
        <v>2.1445421402530561E-4</v>
      </c>
    </row>
    <row r="544" spans="2:5" ht="15" customHeight="1" x14ac:dyDescent="0.25">
      <c r="B544" s="81"/>
      <c r="C544" s="29" t="s">
        <v>116</v>
      </c>
      <c r="D544" s="28">
        <v>1</v>
      </c>
      <c r="E544" s="27">
        <v>2.1445421402530561E-4</v>
      </c>
    </row>
    <row r="545" spans="2:5" ht="15" customHeight="1" x14ac:dyDescent="0.25">
      <c r="B545" s="81"/>
      <c r="C545" s="29" t="s">
        <v>115</v>
      </c>
      <c r="D545" s="28">
        <v>1</v>
      </c>
      <c r="E545" s="27">
        <v>2.1445421402530561E-4</v>
      </c>
    </row>
    <row r="546" spans="2:5" ht="15" customHeight="1" x14ac:dyDescent="0.25">
      <c r="B546" s="81"/>
      <c r="C546" s="29" t="s">
        <v>113</v>
      </c>
      <c r="D546" s="28">
        <v>1</v>
      </c>
      <c r="E546" s="27">
        <v>2.1445421402530561E-4</v>
      </c>
    </row>
    <row r="547" spans="2:5" ht="15" customHeight="1" x14ac:dyDescent="0.25">
      <c r="B547" s="81"/>
      <c r="C547" s="29" t="s">
        <v>112</v>
      </c>
      <c r="D547" s="28">
        <v>3</v>
      </c>
      <c r="E547" s="27">
        <v>6.4336264207591682E-4</v>
      </c>
    </row>
    <row r="548" spans="2:5" ht="15" customHeight="1" x14ac:dyDescent="0.25">
      <c r="B548" s="82"/>
      <c r="C548" s="26" t="s">
        <v>46</v>
      </c>
      <c r="D548" s="25">
        <v>83</v>
      </c>
      <c r="E548" s="24">
        <v>1.7799699764100365E-2</v>
      </c>
    </row>
    <row r="549" spans="2:5" ht="15" customHeight="1" x14ac:dyDescent="0.25">
      <c r="B549" s="80" t="s">
        <v>63</v>
      </c>
      <c r="C549" s="29" t="s">
        <v>126</v>
      </c>
      <c r="D549" s="28">
        <v>1</v>
      </c>
      <c r="E549" s="27">
        <v>2.1445421402530561E-4</v>
      </c>
    </row>
    <row r="550" spans="2:5" ht="15" customHeight="1" x14ac:dyDescent="0.25">
      <c r="B550" s="81"/>
      <c r="C550" s="29" t="s">
        <v>125</v>
      </c>
      <c r="D550" s="28">
        <v>4</v>
      </c>
      <c r="E550" s="27">
        <v>8.5781685610122243E-4</v>
      </c>
    </row>
    <row r="551" spans="2:5" ht="15" customHeight="1" x14ac:dyDescent="0.25">
      <c r="B551" s="81"/>
      <c r="C551" s="29" t="s">
        <v>124</v>
      </c>
      <c r="D551" s="28">
        <v>1</v>
      </c>
      <c r="E551" s="27">
        <v>2.1445421402530561E-4</v>
      </c>
    </row>
    <row r="552" spans="2:5" ht="15" customHeight="1" x14ac:dyDescent="0.25">
      <c r="B552" s="81"/>
      <c r="C552" s="29" t="s">
        <v>122</v>
      </c>
      <c r="D552" s="28">
        <v>2</v>
      </c>
      <c r="E552" s="27">
        <v>4.2890842805061121E-4</v>
      </c>
    </row>
    <row r="553" spans="2:5" ht="15" customHeight="1" x14ac:dyDescent="0.25">
      <c r="B553" s="81"/>
      <c r="C553" s="29" t="s">
        <v>121</v>
      </c>
      <c r="D553" s="28">
        <v>7</v>
      </c>
      <c r="E553" s="27">
        <v>1.5011794981771391E-3</v>
      </c>
    </row>
    <row r="554" spans="2:5" ht="15" customHeight="1" x14ac:dyDescent="0.25">
      <c r="B554" s="81"/>
      <c r="C554" s="29" t="s">
        <v>120</v>
      </c>
      <c r="D554" s="28">
        <v>1</v>
      </c>
      <c r="E554" s="27">
        <v>2.1445421402530561E-4</v>
      </c>
    </row>
    <row r="555" spans="2:5" ht="15" customHeight="1" x14ac:dyDescent="0.25">
      <c r="B555" s="81"/>
      <c r="C555" s="29" t="s">
        <v>119</v>
      </c>
      <c r="D555" s="28">
        <v>4</v>
      </c>
      <c r="E555" s="27">
        <v>8.5781685610122243E-4</v>
      </c>
    </row>
    <row r="556" spans="2:5" ht="15" customHeight="1" x14ac:dyDescent="0.25">
      <c r="B556" s="81"/>
      <c r="C556" s="29" t="s">
        <v>118</v>
      </c>
      <c r="D556" s="28">
        <v>5</v>
      </c>
      <c r="E556" s="27">
        <v>1.0722710701265279E-3</v>
      </c>
    </row>
    <row r="557" spans="2:5" ht="15" customHeight="1" x14ac:dyDescent="0.25">
      <c r="B557" s="82"/>
      <c r="C557" s="26" t="s">
        <v>46</v>
      </c>
      <c r="D557" s="25">
        <v>25</v>
      </c>
      <c r="E557" s="24">
        <v>5.3613553506326401E-3</v>
      </c>
    </row>
    <row r="558" spans="2:5" ht="15" customHeight="1" x14ac:dyDescent="0.25">
      <c r="B558" s="80" t="s">
        <v>54</v>
      </c>
      <c r="C558" s="29" t="s">
        <v>129</v>
      </c>
      <c r="D558" s="28">
        <v>1</v>
      </c>
      <c r="E558" s="27">
        <v>2.1445421402530561E-4</v>
      </c>
    </row>
    <row r="559" spans="2:5" ht="15" customHeight="1" x14ac:dyDescent="0.25">
      <c r="B559" s="81"/>
      <c r="C559" s="29" t="s">
        <v>125</v>
      </c>
      <c r="D559" s="28">
        <v>1</v>
      </c>
      <c r="E559" s="27">
        <v>2.1445421402530561E-4</v>
      </c>
    </row>
    <row r="560" spans="2:5" ht="15" customHeight="1" x14ac:dyDescent="0.25">
      <c r="B560" s="81"/>
      <c r="C560" s="29" t="s">
        <v>118</v>
      </c>
      <c r="D560" s="28">
        <v>1</v>
      </c>
      <c r="E560" s="27">
        <v>2.1445421402530561E-4</v>
      </c>
    </row>
    <row r="561" spans="2:5" ht="15" customHeight="1" x14ac:dyDescent="0.25">
      <c r="B561" s="82"/>
      <c r="C561" s="26" t="s">
        <v>46</v>
      </c>
      <c r="D561" s="25">
        <v>3</v>
      </c>
      <c r="E561" s="24">
        <v>6.4336264207591682E-4</v>
      </c>
    </row>
    <row r="562" spans="2:5" ht="15" customHeight="1" x14ac:dyDescent="0.25">
      <c r="B562" s="80" t="s">
        <v>17</v>
      </c>
      <c r="C562" s="29" t="s">
        <v>130</v>
      </c>
      <c r="D562" s="28">
        <v>1</v>
      </c>
      <c r="E562" s="27">
        <v>2.1445421402530561E-4</v>
      </c>
    </row>
    <row r="563" spans="2:5" ht="15" customHeight="1" x14ac:dyDescent="0.25">
      <c r="B563" s="81"/>
      <c r="C563" s="29" t="s">
        <v>125</v>
      </c>
      <c r="D563" s="28">
        <v>3</v>
      </c>
      <c r="E563" s="27">
        <v>6.4336264207591682E-4</v>
      </c>
    </row>
    <row r="564" spans="2:5" ht="15" customHeight="1" x14ac:dyDescent="0.25">
      <c r="B564" s="81"/>
      <c r="C564" s="29" t="s">
        <v>124</v>
      </c>
      <c r="D564" s="28">
        <v>1</v>
      </c>
      <c r="E564" s="27">
        <v>2.1445421402530561E-4</v>
      </c>
    </row>
    <row r="565" spans="2:5" ht="15" customHeight="1" x14ac:dyDescent="0.25">
      <c r="B565" s="81"/>
      <c r="C565" s="29" t="s">
        <v>123</v>
      </c>
      <c r="D565" s="28">
        <v>1</v>
      </c>
      <c r="E565" s="27">
        <v>2.1445421402530561E-4</v>
      </c>
    </row>
    <row r="566" spans="2:5" ht="15" customHeight="1" x14ac:dyDescent="0.25">
      <c r="B566" s="81"/>
      <c r="C566" s="29" t="s">
        <v>122</v>
      </c>
      <c r="D566" s="28">
        <v>2</v>
      </c>
      <c r="E566" s="27">
        <v>4.2890842805061121E-4</v>
      </c>
    </row>
    <row r="567" spans="2:5" ht="15" customHeight="1" x14ac:dyDescent="0.25">
      <c r="B567" s="81"/>
      <c r="C567" s="29" t="s">
        <v>121</v>
      </c>
      <c r="D567" s="28">
        <v>10</v>
      </c>
      <c r="E567" s="27">
        <v>2.1445421402530558E-3</v>
      </c>
    </row>
    <row r="568" spans="2:5" ht="15" customHeight="1" x14ac:dyDescent="0.25">
      <c r="B568" s="81"/>
      <c r="C568" s="29" t="s">
        <v>118</v>
      </c>
      <c r="D568" s="28">
        <v>1</v>
      </c>
      <c r="E568" s="27">
        <v>2.1445421402530561E-4</v>
      </c>
    </row>
    <row r="569" spans="2:5" ht="15" customHeight="1" x14ac:dyDescent="0.25">
      <c r="B569" s="82"/>
      <c r="C569" s="26" t="s">
        <v>46</v>
      </c>
      <c r="D569" s="25">
        <v>19</v>
      </c>
      <c r="E569" s="24">
        <v>4.0746300664808062E-3</v>
      </c>
    </row>
    <row r="570" spans="2:5" ht="15" customHeight="1" x14ac:dyDescent="0.25">
      <c r="B570" s="84" t="s">
        <v>46</v>
      </c>
      <c r="C570" s="85"/>
      <c r="D570" s="23">
        <v>4663</v>
      </c>
      <c r="E570" s="22">
        <v>1</v>
      </c>
    </row>
    <row r="572" spans="2:5" ht="15" customHeight="1" x14ac:dyDescent="0.25">
      <c r="B572" s="17" t="s">
        <v>199</v>
      </c>
    </row>
    <row r="573" spans="2:5" ht="15" customHeight="1" x14ac:dyDescent="0.25">
      <c r="B573" s="18" t="s">
        <v>47</v>
      </c>
    </row>
    <row r="574" spans="2:5" ht="15" customHeight="1" x14ac:dyDescent="0.25">
      <c r="B574" s="19" t="s">
        <v>48</v>
      </c>
    </row>
    <row r="575" spans="2:5" ht="15" customHeight="1" x14ac:dyDescent="0.25">
      <c r="B575" s="17" t="s">
        <v>49</v>
      </c>
    </row>
    <row r="576" spans="2:5" ht="15" customHeight="1" x14ac:dyDescent="0.25">
      <c r="B576" s="17" t="s">
        <v>200</v>
      </c>
    </row>
  </sheetData>
  <mergeCells count="48">
    <mergeCell ref="B58:B61"/>
    <mergeCell ref="B62:B81"/>
    <mergeCell ref="B82:B101"/>
    <mergeCell ref="B102:B104"/>
    <mergeCell ref="B105:B124"/>
    <mergeCell ref="B10:B17"/>
    <mergeCell ref="B18:B32"/>
    <mergeCell ref="B33:B45"/>
    <mergeCell ref="B46:B55"/>
    <mergeCell ref="B56:B57"/>
    <mergeCell ref="B532:B548"/>
    <mergeCell ref="B549:B557"/>
    <mergeCell ref="B558:B561"/>
    <mergeCell ref="B562:B569"/>
    <mergeCell ref="B570:C570"/>
    <mergeCell ref="B396:B398"/>
    <mergeCell ref="B399:B416"/>
    <mergeCell ref="B417:B427"/>
    <mergeCell ref="B428:B442"/>
    <mergeCell ref="B443:B457"/>
    <mergeCell ref="B458:B471"/>
    <mergeCell ref="B472:B488"/>
    <mergeCell ref="B489:B501"/>
    <mergeCell ref="B502:B515"/>
    <mergeCell ref="B516:B531"/>
    <mergeCell ref="B236:B258"/>
    <mergeCell ref="B259:B278"/>
    <mergeCell ref="B279:B291"/>
    <mergeCell ref="B292:B303"/>
    <mergeCell ref="B304:B315"/>
    <mergeCell ref="B316:B321"/>
    <mergeCell ref="B322:B328"/>
    <mergeCell ref="B329:B342"/>
    <mergeCell ref="B343:B359"/>
    <mergeCell ref="B360:B376"/>
    <mergeCell ref="B377:B386"/>
    <mergeCell ref="B387:B395"/>
    <mergeCell ref="B125:B138"/>
    <mergeCell ref="B139:B140"/>
    <mergeCell ref="B141:B148"/>
    <mergeCell ref="B149:B155"/>
    <mergeCell ref="B156:B172"/>
    <mergeCell ref="B173:B192"/>
    <mergeCell ref="B193:B205"/>
    <mergeCell ref="B206:B219"/>
    <mergeCell ref="B220:B222"/>
    <mergeCell ref="B223:B235"/>
    <mergeCell ref="B7:E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>
    <tabColor theme="9" tint="0.39997558519241921"/>
  </sheetPr>
  <dimension ref="A1:D20"/>
  <sheetViews>
    <sheetView showGridLines="0" zoomScaleNormal="100" zoomScaleSheetLayoutView="115" workbookViewId="0"/>
  </sheetViews>
  <sheetFormatPr baseColWidth="10" defaultColWidth="11.42578125" defaultRowHeight="15" x14ac:dyDescent="0.25"/>
  <cols>
    <col min="1" max="1" width="9.28515625" style="8" customWidth="1"/>
    <col min="2" max="2" width="21.7109375" style="8" customWidth="1"/>
    <col min="3" max="3" width="17.7109375" style="16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4" s="1" customFormat="1" ht="15" customHeight="1" x14ac:dyDescent="0.2">
      <c r="C1" s="2"/>
    </row>
    <row r="2" spans="1:4" s="1" customFormat="1" ht="15" customHeight="1" x14ac:dyDescent="0.2">
      <c r="C2" s="2"/>
    </row>
    <row r="3" spans="1:4" s="1" customFormat="1" ht="15" customHeight="1" x14ac:dyDescent="0.2">
      <c r="A3" s="1" t="s">
        <v>0</v>
      </c>
      <c r="C3" s="2"/>
    </row>
    <row r="4" spans="1:4" s="1" customFormat="1" ht="30" customHeight="1" x14ac:dyDescent="0.2">
      <c r="C4" s="2"/>
      <c r="D4" s="3"/>
    </row>
    <row r="5" spans="1:4" s="1" customFormat="1" ht="15" customHeight="1" x14ac:dyDescent="0.2">
      <c r="C5" s="2"/>
      <c r="D5" s="3"/>
    </row>
    <row r="6" spans="1:4" s="1" customFormat="1" ht="15" customHeight="1" x14ac:dyDescent="0.2">
      <c r="C6" s="2"/>
      <c r="D6" s="3"/>
    </row>
    <row r="7" spans="1:4" s="1" customFormat="1" ht="15" customHeight="1" x14ac:dyDescent="0.2">
      <c r="B7" s="86" t="s">
        <v>208</v>
      </c>
      <c r="C7" s="86"/>
      <c r="D7" s="86"/>
    </row>
    <row r="8" spans="1:4" s="1" customFormat="1" ht="15" customHeight="1" x14ac:dyDescent="0.2">
      <c r="B8" s="86"/>
      <c r="C8" s="86"/>
      <c r="D8" s="86"/>
    </row>
    <row r="9" spans="1:4" s="1" customFormat="1" ht="33" customHeight="1" x14ac:dyDescent="0.2">
      <c r="B9" s="86"/>
      <c r="C9" s="86"/>
      <c r="D9" s="86"/>
    </row>
    <row r="10" spans="1:4" s="1" customFormat="1" ht="4.5" customHeight="1" x14ac:dyDescent="0.2">
      <c r="B10" s="4"/>
      <c r="C10" s="4"/>
      <c r="D10" s="4"/>
    </row>
    <row r="11" spans="1:4" s="1" customFormat="1" ht="33" customHeight="1" x14ac:dyDescent="0.2">
      <c r="B11" s="5" t="s">
        <v>145</v>
      </c>
      <c r="C11" s="6" t="s">
        <v>2</v>
      </c>
      <c r="D11" s="7" t="s">
        <v>3</v>
      </c>
    </row>
    <row r="12" spans="1:4" ht="15" customHeight="1" x14ac:dyDescent="0.25">
      <c r="B12" s="9" t="s">
        <v>144</v>
      </c>
      <c r="C12" s="10">
        <v>2965</v>
      </c>
      <c r="D12" s="11">
        <v>0.63585674458503105</v>
      </c>
    </row>
    <row r="13" spans="1:4" ht="15" customHeight="1" x14ac:dyDescent="0.25">
      <c r="B13" s="9" t="s">
        <v>143</v>
      </c>
      <c r="C13" s="10">
        <v>1698</v>
      </c>
      <c r="D13" s="11">
        <v>0.36414325541496889</v>
      </c>
    </row>
    <row r="14" spans="1:4" x14ac:dyDescent="0.25">
      <c r="B14" s="13" t="s">
        <v>142</v>
      </c>
      <c r="C14" s="14">
        <v>4663</v>
      </c>
      <c r="D14" s="15">
        <v>1</v>
      </c>
    </row>
    <row r="15" spans="1:4" s="12" customFormat="1" ht="15.75" x14ac:dyDescent="0.25">
      <c r="A15" s="8"/>
      <c r="C15" s="45"/>
      <c r="D15" s="45"/>
    </row>
    <row r="16" spans="1:4" s="12" customFormat="1" ht="15.75" x14ac:dyDescent="0.25">
      <c r="A16" s="8"/>
      <c r="B16" s="17" t="s">
        <v>199</v>
      </c>
      <c r="C16" s="45"/>
      <c r="D16" s="45"/>
    </row>
    <row r="17" spans="2:4" x14ac:dyDescent="0.25">
      <c r="B17" s="18" t="s">
        <v>47</v>
      </c>
      <c r="C17" s="44"/>
      <c r="D17" s="44"/>
    </row>
    <row r="18" spans="2:4" x14ac:dyDescent="0.25">
      <c r="B18" s="19" t="s">
        <v>48</v>
      </c>
      <c r="C18" s="43"/>
      <c r="D18" s="43"/>
    </row>
    <row r="19" spans="2:4" x14ac:dyDescent="0.25">
      <c r="B19" s="17" t="s">
        <v>49</v>
      </c>
    </row>
    <row r="20" spans="2:4" x14ac:dyDescent="0.25">
      <c r="B20" s="17" t="s">
        <v>200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>
    <tabColor rgb="FF00B050"/>
  </sheetPr>
  <dimension ref="A1:F151"/>
  <sheetViews>
    <sheetView showGridLines="0" zoomScale="80" zoomScaleNormal="80" zoomScaleSheetLayoutView="100" workbookViewId="0">
      <selection activeCell="E1" sqref="E1"/>
    </sheetView>
  </sheetViews>
  <sheetFormatPr baseColWidth="10" defaultColWidth="11.42578125" defaultRowHeight="11.25" x14ac:dyDescent="0.2"/>
  <cols>
    <col min="1" max="1" width="5.7109375" style="1" customWidth="1"/>
    <col min="2" max="2" width="19" style="33" customWidth="1"/>
    <col min="3" max="3" width="14.7109375" style="33" customWidth="1"/>
    <col min="4" max="4" width="23.5703125" style="46" customWidth="1"/>
    <col min="5" max="5" width="15.140625" style="33" bestFit="1" customWidth="1"/>
    <col min="6" max="6" width="5.7109375" style="1" customWidth="1"/>
    <col min="7" max="16384" width="11.42578125" style="1"/>
  </cols>
  <sheetData>
    <row r="1" spans="1:6" s="48" customFormat="1" ht="15" x14ac:dyDescent="0.25">
      <c r="B1" s="37"/>
      <c r="C1" s="33"/>
    </row>
    <row r="2" spans="1:6" s="33" customFormat="1" x14ac:dyDescent="0.2">
      <c r="B2" s="52"/>
    </row>
    <row r="3" spans="1:6" ht="15" customHeight="1" x14ac:dyDescent="0.2">
      <c r="B3" s="53"/>
      <c r="C3" s="2"/>
      <c r="D3" s="1"/>
      <c r="F3" s="33"/>
    </row>
    <row r="4" spans="1:6" ht="30" customHeight="1" x14ac:dyDescent="0.2">
      <c r="B4" s="53"/>
      <c r="C4" s="2"/>
      <c r="D4" s="1"/>
      <c r="F4" s="33"/>
    </row>
    <row r="5" spans="1:6" ht="15" customHeight="1" x14ac:dyDescent="0.2">
      <c r="B5" s="53"/>
      <c r="C5" s="2"/>
      <c r="D5" s="1"/>
      <c r="F5" s="33"/>
    </row>
    <row r="6" spans="1:6" s="33" customFormat="1" x14ac:dyDescent="0.2">
      <c r="B6" s="41"/>
      <c r="C6" s="35"/>
    </row>
    <row r="7" spans="1:6" s="33" customFormat="1" x14ac:dyDescent="0.2">
      <c r="A7" s="37"/>
      <c r="B7" s="52"/>
      <c r="C7" s="37"/>
    </row>
    <row r="8" spans="1:6" s="48" customFormat="1" ht="15" customHeight="1" x14ac:dyDescent="0.25">
      <c r="B8" s="90" t="s">
        <v>203</v>
      </c>
      <c r="C8" s="90"/>
      <c r="D8" s="90"/>
      <c r="E8" s="90"/>
    </row>
    <row r="9" spans="1:6" s="48" customFormat="1" ht="15" customHeight="1" x14ac:dyDescent="0.25">
      <c r="A9" s="50"/>
      <c r="B9" s="90"/>
      <c r="C9" s="90"/>
      <c r="D9" s="90"/>
      <c r="E9" s="90"/>
      <c r="F9" s="51"/>
    </row>
    <row r="10" spans="1:6" s="48" customFormat="1" ht="15" customHeight="1" x14ac:dyDescent="0.25">
      <c r="A10" s="50"/>
      <c r="B10" s="91"/>
      <c r="C10" s="91"/>
      <c r="D10" s="91"/>
      <c r="E10" s="91"/>
      <c r="F10" s="50"/>
    </row>
    <row r="11" spans="1:6" s="48" customFormat="1" ht="36.950000000000003" customHeight="1" x14ac:dyDescent="0.25">
      <c r="B11" s="49" t="s">
        <v>95</v>
      </c>
      <c r="C11" s="49" t="s">
        <v>145</v>
      </c>
      <c r="D11" s="49" t="s">
        <v>2</v>
      </c>
      <c r="E11" s="49" t="s">
        <v>3</v>
      </c>
    </row>
    <row r="12" spans="1:6" ht="15" customHeight="1" x14ac:dyDescent="0.2">
      <c r="B12" s="87" t="s">
        <v>58</v>
      </c>
      <c r="C12" s="47" t="s">
        <v>147</v>
      </c>
      <c r="D12" s="10">
        <v>17</v>
      </c>
      <c r="E12" s="11">
        <v>3.6457216384301952E-3</v>
      </c>
    </row>
    <row r="13" spans="1:6" ht="15" customHeight="1" x14ac:dyDescent="0.2">
      <c r="B13" s="88"/>
      <c r="C13" s="47" t="s">
        <v>146</v>
      </c>
      <c r="D13" s="10">
        <v>16</v>
      </c>
      <c r="E13" s="11">
        <v>3.4312674244048897E-3</v>
      </c>
    </row>
    <row r="14" spans="1:6" ht="15" customHeight="1" x14ac:dyDescent="0.2">
      <c r="B14" s="89"/>
      <c r="C14" s="92" t="s">
        <v>46</v>
      </c>
      <c r="D14" s="93">
        <v>33</v>
      </c>
      <c r="E14" s="94">
        <v>7.0769890628350849E-3</v>
      </c>
    </row>
    <row r="15" spans="1:6" ht="15" customHeight="1" x14ac:dyDescent="0.2">
      <c r="B15" s="87" t="s">
        <v>90</v>
      </c>
      <c r="C15" s="47" t="s">
        <v>147</v>
      </c>
      <c r="D15" s="10">
        <v>66</v>
      </c>
      <c r="E15" s="11">
        <v>1.415397812567017E-2</v>
      </c>
    </row>
    <row r="16" spans="1:6" ht="15" customHeight="1" x14ac:dyDescent="0.2">
      <c r="B16" s="88"/>
      <c r="C16" s="47" t="s">
        <v>146</v>
      </c>
      <c r="D16" s="10">
        <v>42</v>
      </c>
      <c r="E16" s="11">
        <v>9.0070769890628344E-3</v>
      </c>
    </row>
    <row r="17" spans="1:6" s="33" customFormat="1" ht="15" customHeight="1" x14ac:dyDescent="0.2">
      <c r="A17" s="1"/>
      <c r="B17" s="89"/>
      <c r="C17" s="92" t="s">
        <v>46</v>
      </c>
      <c r="D17" s="93">
        <v>108</v>
      </c>
      <c r="E17" s="94">
        <v>2.3161055114733004E-2</v>
      </c>
      <c r="F17" s="1"/>
    </row>
    <row r="18" spans="1:6" s="33" customFormat="1" ht="15" customHeight="1" x14ac:dyDescent="0.2">
      <c r="A18" s="1"/>
      <c r="B18" s="87" t="s">
        <v>80</v>
      </c>
      <c r="C18" s="47" t="s">
        <v>147</v>
      </c>
      <c r="D18" s="10">
        <v>44</v>
      </c>
      <c r="E18" s="11">
        <v>9.4359854171134471E-3</v>
      </c>
      <c r="F18" s="1"/>
    </row>
    <row r="19" spans="1:6" s="33" customFormat="1" ht="15" customHeight="1" x14ac:dyDescent="0.2">
      <c r="A19" s="1"/>
      <c r="B19" s="88"/>
      <c r="C19" s="47" t="s">
        <v>146</v>
      </c>
      <c r="D19" s="10">
        <v>34</v>
      </c>
      <c r="E19" s="11">
        <v>7.2914432768603904E-3</v>
      </c>
      <c r="F19" s="1"/>
    </row>
    <row r="20" spans="1:6" s="33" customFormat="1" ht="15" customHeight="1" x14ac:dyDescent="0.2">
      <c r="A20" s="1"/>
      <c r="B20" s="89"/>
      <c r="C20" s="92" t="s">
        <v>46</v>
      </c>
      <c r="D20" s="93">
        <v>78</v>
      </c>
      <c r="E20" s="94">
        <v>1.6727428693973836E-2</v>
      </c>
      <c r="F20" s="1"/>
    </row>
    <row r="21" spans="1:6" s="33" customFormat="1" ht="15" customHeight="1" x14ac:dyDescent="0.2">
      <c r="A21" s="1"/>
      <c r="B21" s="87" t="s">
        <v>56</v>
      </c>
      <c r="C21" s="47" t="s">
        <v>147</v>
      </c>
      <c r="D21" s="10">
        <v>14</v>
      </c>
      <c r="E21" s="11">
        <v>3.0023589963542783E-3</v>
      </c>
      <c r="F21" s="1"/>
    </row>
    <row r="22" spans="1:6" ht="13.5" x14ac:dyDescent="0.2">
      <c r="B22" s="88"/>
      <c r="C22" s="47" t="s">
        <v>146</v>
      </c>
      <c r="D22" s="10">
        <v>10</v>
      </c>
      <c r="E22" s="11">
        <v>2.1445421402530558E-3</v>
      </c>
    </row>
    <row r="23" spans="1:6" ht="13.5" x14ac:dyDescent="0.2">
      <c r="B23" s="89"/>
      <c r="C23" s="92" t="s">
        <v>46</v>
      </c>
      <c r="D23" s="93">
        <v>24</v>
      </c>
      <c r="E23" s="94">
        <v>5.1469011366073346E-3</v>
      </c>
    </row>
    <row r="24" spans="1:6" ht="13.5" x14ac:dyDescent="0.2">
      <c r="B24" s="87" t="s">
        <v>52</v>
      </c>
      <c r="C24" s="47" t="s">
        <v>146</v>
      </c>
      <c r="D24" s="10">
        <v>1</v>
      </c>
      <c r="E24" s="11">
        <v>2.1445421402530561E-4</v>
      </c>
    </row>
    <row r="25" spans="1:6" ht="13.5" x14ac:dyDescent="0.2">
      <c r="B25" s="89"/>
      <c r="C25" s="92" t="s">
        <v>46</v>
      </c>
      <c r="D25" s="93">
        <v>1</v>
      </c>
      <c r="E25" s="94">
        <v>2.1445421402530561E-4</v>
      </c>
    </row>
    <row r="26" spans="1:6" ht="13.5" x14ac:dyDescent="0.2">
      <c r="B26" s="87" t="s">
        <v>57</v>
      </c>
      <c r="C26" s="47" t="s">
        <v>147</v>
      </c>
      <c r="D26" s="10">
        <v>3</v>
      </c>
      <c r="E26" s="11">
        <v>6.4336264207591682E-4</v>
      </c>
    </row>
    <row r="27" spans="1:6" ht="13.5" x14ac:dyDescent="0.2">
      <c r="B27" s="88"/>
      <c r="C27" s="47" t="s">
        <v>146</v>
      </c>
      <c r="D27" s="10">
        <v>2</v>
      </c>
      <c r="E27" s="11">
        <v>4.2890842805061121E-4</v>
      </c>
    </row>
    <row r="28" spans="1:6" ht="13.5" x14ac:dyDescent="0.2">
      <c r="B28" s="89"/>
      <c r="C28" s="92" t="s">
        <v>46</v>
      </c>
      <c r="D28" s="93">
        <v>5</v>
      </c>
      <c r="E28" s="94">
        <v>1.0722710701265279E-3</v>
      </c>
    </row>
    <row r="29" spans="1:6" ht="13.5" x14ac:dyDescent="0.2">
      <c r="B29" s="87" t="s">
        <v>93</v>
      </c>
      <c r="C29" s="47" t="s">
        <v>147</v>
      </c>
      <c r="D29" s="10">
        <v>412</v>
      </c>
      <c r="E29" s="11">
        <v>8.83551361784259E-2</v>
      </c>
    </row>
    <row r="30" spans="1:6" ht="13.5" x14ac:dyDescent="0.2">
      <c r="B30" s="88"/>
      <c r="C30" s="47" t="s">
        <v>146</v>
      </c>
      <c r="D30" s="10">
        <v>233</v>
      </c>
      <c r="E30" s="11">
        <v>4.9967831867896204E-2</v>
      </c>
    </row>
    <row r="31" spans="1:6" ht="13.5" x14ac:dyDescent="0.2">
      <c r="B31" s="89"/>
      <c r="C31" s="92" t="s">
        <v>46</v>
      </c>
      <c r="D31" s="93">
        <v>645</v>
      </c>
      <c r="E31" s="94">
        <v>0.1383229680463221</v>
      </c>
    </row>
    <row r="32" spans="1:6" ht="13.5" x14ac:dyDescent="0.2">
      <c r="B32" s="87" t="s">
        <v>91</v>
      </c>
      <c r="C32" s="47" t="s">
        <v>147</v>
      </c>
      <c r="D32" s="10">
        <v>282</v>
      </c>
      <c r="E32" s="11">
        <v>6.0476088355136182E-2</v>
      </c>
    </row>
    <row r="33" spans="2:5" ht="13.5" x14ac:dyDescent="0.2">
      <c r="B33" s="88"/>
      <c r="C33" s="47" t="s">
        <v>146</v>
      </c>
      <c r="D33" s="10">
        <v>140</v>
      </c>
      <c r="E33" s="11">
        <v>3.0023589963542784E-2</v>
      </c>
    </row>
    <row r="34" spans="2:5" ht="13.5" x14ac:dyDescent="0.2">
      <c r="B34" s="89"/>
      <c r="C34" s="92" t="s">
        <v>46</v>
      </c>
      <c r="D34" s="93">
        <v>422</v>
      </c>
      <c r="E34" s="94">
        <v>9.0499678318678958E-2</v>
      </c>
    </row>
    <row r="35" spans="2:5" ht="13.5" x14ac:dyDescent="0.2">
      <c r="B35" s="87" t="s">
        <v>141</v>
      </c>
      <c r="C35" s="47" t="s">
        <v>147</v>
      </c>
      <c r="D35" s="10">
        <v>2</v>
      </c>
      <c r="E35" s="11">
        <v>4.2890842805061121E-4</v>
      </c>
    </row>
    <row r="36" spans="2:5" ht="13.5" x14ac:dyDescent="0.2">
      <c r="B36" s="89"/>
      <c r="C36" s="92" t="s">
        <v>46</v>
      </c>
      <c r="D36" s="93">
        <v>2</v>
      </c>
      <c r="E36" s="94">
        <v>4.2890842805061121E-4</v>
      </c>
    </row>
    <row r="37" spans="2:5" ht="13.5" x14ac:dyDescent="0.2">
      <c r="B37" s="87" t="s">
        <v>75</v>
      </c>
      <c r="C37" s="47" t="s">
        <v>147</v>
      </c>
      <c r="D37" s="10">
        <v>294</v>
      </c>
      <c r="E37" s="11">
        <v>6.3049538923439841E-2</v>
      </c>
    </row>
    <row r="38" spans="2:5" ht="13.5" x14ac:dyDescent="0.2">
      <c r="B38" s="88"/>
      <c r="C38" s="47" t="s">
        <v>146</v>
      </c>
      <c r="D38" s="10">
        <v>152</v>
      </c>
      <c r="E38" s="11">
        <v>3.259704053184645E-2</v>
      </c>
    </row>
    <row r="39" spans="2:5" ht="13.5" x14ac:dyDescent="0.2">
      <c r="B39" s="89"/>
      <c r="C39" s="92" t="s">
        <v>46</v>
      </c>
      <c r="D39" s="93">
        <v>446</v>
      </c>
      <c r="E39" s="94">
        <v>9.564657945528629E-2</v>
      </c>
    </row>
    <row r="40" spans="2:5" ht="13.5" x14ac:dyDescent="0.2">
      <c r="B40" s="87" t="s">
        <v>61</v>
      </c>
      <c r="C40" s="47" t="s">
        <v>147</v>
      </c>
      <c r="D40" s="10">
        <v>28</v>
      </c>
      <c r="E40" s="11">
        <v>6.0047179927085565E-3</v>
      </c>
    </row>
    <row r="41" spans="2:5" ht="13.5" x14ac:dyDescent="0.2">
      <c r="B41" s="88"/>
      <c r="C41" s="47" t="s">
        <v>146</v>
      </c>
      <c r="D41" s="10">
        <v>10</v>
      </c>
      <c r="E41" s="11">
        <v>2.1445421402530558E-3</v>
      </c>
    </row>
    <row r="42" spans="2:5" ht="13.5" x14ac:dyDescent="0.2">
      <c r="B42" s="89"/>
      <c r="C42" s="92" t="s">
        <v>46</v>
      </c>
      <c r="D42" s="93">
        <v>38</v>
      </c>
      <c r="E42" s="94">
        <v>8.1492601329616124E-3</v>
      </c>
    </row>
    <row r="43" spans="2:5" ht="13.5" x14ac:dyDescent="0.2">
      <c r="B43" s="87" t="s">
        <v>50</v>
      </c>
      <c r="C43" s="47" t="s">
        <v>147</v>
      </c>
      <c r="D43" s="10">
        <v>1</v>
      </c>
      <c r="E43" s="11">
        <v>2.1445421402530561E-4</v>
      </c>
    </row>
    <row r="44" spans="2:5" ht="13.5" x14ac:dyDescent="0.2">
      <c r="B44" s="89"/>
      <c r="C44" s="92" t="s">
        <v>46</v>
      </c>
      <c r="D44" s="93">
        <v>1</v>
      </c>
      <c r="E44" s="94">
        <v>2.1445421402530561E-4</v>
      </c>
    </row>
    <row r="45" spans="2:5" ht="13.5" x14ac:dyDescent="0.2">
      <c r="B45" s="87" t="s">
        <v>59</v>
      </c>
      <c r="C45" s="47" t="s">
        <v>147</v>
      </c>
      <c r="D45" s="10">
        <v>5</v>
      </c>
      <c r="E45" s="11">
        <v>1.0722710701265279E-3</v>
      </c>
    </row>
    <row r="46" spans="2:5" ht="13.5" x14ac:dyDescent="0.2">
      <c r="B46" s="88"/>
      <c r="C46" s="47" t="s">
        <v>146</v>
      </c>
      <c r="D46" s="10">
        <v>9</v>
      </c>
      <c r="E46" s="11">
        <v>1.9300879262277503E-3</v>
      </c>
    </row>
    <row r="47" spans="2:5" ht="13.5" x14ac:dyDescent="0.2">
      <c r="B47" s="89"/>
      <c r="C47" s="92" t="s">
        <v>46</v>
      </c>
      <c r="D47" s="93">
        <v>14</v>
      </c>
      <c r="E47" s="94">
        <v>3.0023589963542783E-3</v>
      </c>
    </row>
    <row r="48" spans="2:5" ht="13.5" x14ac:dyDescent="0.2">
      <c r="B48" s="87" t="s">
        <v>72</v>
      </c>
      <c r="C48" s="47" t="s">
        <v>147</v>
      </c>
      <c r="D48" s="10">
        <v>7</v>
      </c>
      <c r="E48" s="11">
        <v>1.5011794981771391E-3</v>
      </c>
    </row>
    <row r="49" spans="2:5" ht="13.5" x14ac:dyDescent="0.2">
      <c r="B49" s="88"/>
      <c r="C49" s="47" t="s">
        <v>146</v>
      </c>
      <c r="D49" s="10">
        <v>1</v>
      </c>
      <c r="E49" s="11">
        <v>2.1445421402530561E-4</v>
      </c>
    </row>
    <row r="50" spans="2:5" ht="13.5" x14ac:dyDescent="0.2">
      <c r="B50" s="89"/>
      <c r="C50" s="92" t="s">
        <v>46</v>
      </c>
      <c r="D50" s="93">
        <v>8</v>
      </c>
      <c r="E50" s="94">
        <v>1.7156337122024449E-3</v>
      </c>
    </row>
    <row r="51" spans="2:5" ht="13.5" x14ac:dyDescent="0.2">
      <c r="B51" s="87" t="s">
        <v>88</v>
      </c>
      <c r="C51" s="47" t="s">
        <v>147</v>
      </c>
      <c r="D51" s="10">
        <v>62</v>
      </c>
      <c r="E51" s="11">
        <v>1.3296161269568948E-2</v>
      </c>
    </row>
    <row r="52" spans="2:5" ht="13.5" x14ac:dyDescent="0.2">
      <c r="B52" s="88"/>
      <c r="C52" s="47" t="s">
        <v>146</v>
      </c>
      <c r="D52" s="10">
        <v>37</v>
      </c>
      <c r="E52" s="11">
        <v>7.9348059189363069E-3</v>
      </c>
    </row>
    <row r="53" spans="2:5" ht="13.5" x14ac:dyDescent="0.2">
      <c r="B53" s="89"/>
      <c r="C53" s="92" t="s">
        <v>46</v>
      </c>
      <c r="D53" s="93">
        <v>99</v>
      </c>
      <c r="E53" s="94">
        <v>2.1230967188505253E-2</v>
      </c>
    </row>
    <row r="54" spans="2:5" ht="13.5" x14ac:dyDescent="0.2">
      <c r="B54" s="87" t="s">
        <v>92</v>
      </c>
      <c r="C54" s="47" t="s">
        <v>147</v>
      </c>
      <c r="D54" s="10">
        <v>171</v>
      </c>
      <c r="E54" s="11">
        <v>3.6671670598327259E-2</v>
      </c>
    </row>
    <row r="55" spans="2:5" ht="13.5" x14ac:dyDescent="0.2">
      <c r="B55" s="88"/>
      <c r="C55" s="47" t="s">
        <v>146</v>
      </c>
      <c r="D55" s="10">
        <v>104</v>
      </c>
      <c r="E55" s="11">
        <v>2.2303238258631782E-2</v>
      </c>
    </row>
    <row r="56" spans="2:5" ht="13.5" x14ac:dyDescent="0.2">
      <c r="B56" s="89"/>
      <c r="C56" s="92" t="s">
        <v>46</v>
      </c>
      <c r="D56" s="93">
        <v>275</v>
      </c>
      <c r="E56" s="94">
        <v>5.8974908856959038E-2</v>
      </c>
    </row>
    <row r="57" spans="2:5" ht="13.5" x14ac:dyDescent="0.2">
      <c r="B57" s="87" t="s">
        <v>140</v>
      </c>
      <c r="C57" s="47" t="s">
        <v>147</v>
      </c>
      <c r="D57" s="10">
        <v>69</v>
      </c>
      <c r="E57" s="11">
        <v>1.4797340767746086E-2</v>
      </c>
    </row>
    <row r="58" spans="2:5" ht="13.5" x14ac:dyDescent="0.2">
      <c r="B58" s="88"/>
      <c r="C58" s="47" t="s">
        <v>146</v>
      </c>
      <c r="D58" s="10">
        <v>43</v>
      </c>
      <c r="E58" s="11">
        <v>9.2215312030881399E-3</v>
      </c>
    </row>
    <row r="59" spans="2:5" ht="13.5" x14ac:dyDescent="0.2">
      <c r="B59" s="89"/>
      <c r="C59" s="92" t="s">
        <v>46</v>
      </c>
      <c r="D59" s="93">
        <v>112</v>
      </c>
      <c r="E59" s="94">
        <v>2.4018871970834226E-2</v>
      </c>
    </row>
    <row r="60" spans="2:5" ht="13.5" x14ac:dyDescent="0.2">
      <c r="B60" s="87" t="s">
        <v>71</v>
      </c>
      <c r="C60" s="47" t="s">
        <v>147</v>
      </c>
      <c r="D60" s="10">
        <v>55</v>
      </c>
      <c r="E60" s="11">
        <v>1.1794981771391808E-2</v>
      </c>
    </row>
    <row r="61" spans="2:5" ht="13.5" x14ac:dyDescent="0.2">
      <c r="B61" s="88"/>
      <c r="C61" s="47" t="s">
        <v>146</v>
      </c>
      <c r="D61" s="10">
        <v>33</v>
      </c>
      <c r="E61" s="11">
        <v>7.0769890628350849E-3</v>
      </c>
    </row>
    <row r="62" spans="2:5" ht="13.5" x14ac:dyDescent="0.2">
      <c r="B62" s="89"/>
      <c r="C62" s="92" t="s">
        <v>46</v>
      </c>
      <c r="D62" s="93">
        <v>88</v>
      </c>
      <c r="E62" s="94">
        <v>1.8871970834226894E-2</v>
      </c>
    </row>
    <row r="63" spans="2:5" ht="13.5" x14ac:dyDescent="0.2">
      <c r="B63" s="87" t="s">
        <v>55</v>
      </c>
      <c r="C63" s="47" t="s">
        <v>146</v>
      </c>
      <c r="D63" s="10">
        <v>2</v>
      </c>
      <c r="E63" s="11">
        <v>4.2890842805061121E-4</v>
      </c>
    </row>
    <row r="64" spans="2:5" ht="13.5" x14ac:dyDescent="0.2">
      <c r="B64" s="89"/>
      <c r="C64" s="92" t="s">
        <v>46</v>
      </c>
      <c r="D64" s="93">
        <v>2</v>
      </c>
      <c r="E64" s="94">
        <v>4.2890842805061121E-4</v>
      </c>
    </row>
    <row r="65" spans="2:5" ht="13.5" x14ac:dyDescent="0.2">
      <c r="B65" s="87" t="s">
        <v>78</v>
      </c>
      <c r="C65" s="47" t="s">
        <v>147</v>
      </c>
      <c r="D65" s="10">
        <v>40</v>
      </c>
      <c r="E65" s="11">
        <v>8.5781685610122234E-3</v>
      </c>
    </row>
    <row r="66" spans="2:5" ht="13.5" x14ac:dyDescent="0.2">
      <c r="B66" s="88"/>
      <c r="C66" s="47" t="s">
        <v>146</v>
      </c>
      <c r="D66" s="10">
        <v>32</v>
      </c>
      <c r="E66" s="11">
        <v>6.8625348488097794E-3</v>
      </c>
    </row>
    <row r="67" spans="2:5" ht="13.5" x14ac:dyDescent="0.2">
      <c r="B67" s="89"/>
      <c r="C67" s="92" t="s">
        <v>46</v>
      </c>
      <c r="D67" s="93">
        <v>72</v>
      </c>
      <c r="E67" s="94">
        <v>1.5440703409822003E-2</v>
      </c>
    </row>
    <row r="68" spans="2:5" ht="13.5" x14ac:dyDescent="0.2">
      <c r="B68" s="87" t="s">
        <v>82</v>
      </c>
      <c r="C68" s="47" t="s">
        <v>147</v>
      </c>
      <c r="D68" s="10">
        <v>319</v>
      </c>
      <c r="E68" s="11">
        <v>6.8410894274072487E-2</v>
      </c>
    </row>
    <row r="69" spans="2:5" ht="13.5" x14ac:dyDescent="0.2">
      <c r="B69" s="88"/>
      <c r="C69" s="47" t="s">
        <v>146</v>
      </c>
      <c r="D69" s="10">
        <v>194</v>
      </c>
      <c r="E69" s="11">
        <v>4.1604117520909284E-2</v>
      </c>
    </row>
    <row r="70" spans="2:5" ht="13.5" x14ac:dyDescent="0.2">
      <c r="B70" s="89"/>
      <c r="C70" s="92" t="s">
        <v>46</v>
      </c>
      <c r="D70" s="93">
        <v>513</v>
      </c>
      <c r="E70" s="94">
        <v>0.11001501179498177</v>
      </c>
    </row>
    <row r="71" spans="2:5" ht="13.5" x14ac:dyDescent="0.2">
      <c r="B71" s="87" t="s">
        <v>139</v>
      </c>
      <c r="C71" s="47" t="s">
        <v>147</v>
      </c>
      <c r="D71" s="10">
        <v>187</v>
      </c>
      <c r="E71" s="11">
        <v>4.0102938022732147E-2</v>
      </c>
    </row>
    <row r="72" spans="2:5" ht="13.5" x14ac:dyDescent="0.2">
      <c r="B72" s="88"/>
      <c r="C72" s="47" t="s">
        <v>146</v>
      </c>
      <c r="D72" s="10">
        <v>125</v>
      </c>
      <c r="E72" s="11">
        <v>2.6806776753163199E-2</v>
      </c>
    </row>
    <row r="73" spans="2:5" ht="13.5" x14ac:dyDescent="0.2">
      <c r="B73" s="89"/>
      <c r="C73" s="92" t="s">
        <v>46</v>
      </c>
      <c r="D73" s="93">
        <v>312</v>
      </c>
      <c r="E73" s="94">
        <v>6.6909714775895343E-2</v>
      </c>
    </row>
    <row r="74" spans="2:5" ht="13.5" x14ac:dyDescent="0.2">
      <c r="B74" s="87" t="s">
        <v>138</v>
      </c>
      <c r="C74" s="47" t="s">
        <v>147</v>
      </c>
      <c r="D74" s="10">
        <v>16</v>
      </c>
      <c r="E74" s="11">
        <v>3.4312674244048897E-3</v>
      </c>
    </row>
    <row r="75" spans="2:5" ht="13.5" x14ac:dyDescent="0.2">
      <c r="B75" s="88"/>
      <c r="C75" s="47" t="s">
        <v>146</v>
      </c>
      <c r="D75" s="10">
        <v>20</v>
      </c>
      <c r="E75" s="11">
        <v>4.2890842805061117E-3</v>
      </c>
    </row>
    <row r="76" spans="2:5" ht="13.5" x14ac:dyDescent="0.2">
      <c r="B76" s="89"/>
      <c r="C76" s="92" t="s">
        <v>46</v>
      </c>
      <c r="D76" s="93">
        <v>36</v>
      </c>
      <c r="E76" s="94">
        <v>7.7203517049110014E-3</v>
      </c>
    </row>
    <row r="77" spans="2:5" ht="13.5" x14ac:dyDescent="0.2">
      <c r="B77" s="87" t="s">
        <v>68</v>
      </c>
      <c r="C77" s="47" t="s">
        <v>147</v>
      </c>
      <c r="D77" s="10">
        <v>19</v>
      </c>
      <c r="E77" s="11">
        <v>4.0746300664808062E-3</v>
      </c>
    </row>
    <row r="78" spans="2:5" ht="13.5" x14ac:dyDescent="0.2">
      <c r="B78" s="88"/>
      <c r="C78" s="47" t="s">
        <v>146</v>
      </c>
      <c r="D78" s="10">
        <v>9</v>
      </c>
      <c r="E78" s="11">
        <v>1.9300879262277503E-3</v>
      </c>
    </row>
    <row r="79" spans="2:5" ht="13.5" x14ac:dyDescent="0.2">
      <c r="B79" s="89"/>
      <c r="C79" s="92" t="s">
        <v>46</v>
      </c>
      <c r="D79" s="93">
        <v>28</v>
      </c>
      <c r="E79" s="94">
        <v>6.0047179927085565E-3</v>
      </c>
    </row>
    <row r="80" spans="2:5" ht="13.5" x14ac:dyDescent="0.2">
      <c r="B80" s="87" t="s">
        <v>67</v>
      </c>
      <c r="C80" s="47" t="s">
        <v>147</v>
      </c>
      <c r="D80" s="10">
        <v>27</v>
      </c>
      <c r="E80" s="11">
        <v>5.790263778683251E-3</v>
      </c>
    </row>
    <row r="81" spans="2:5" ht="13.5" x14ac:dyDescent="0.2">
      <c r="B81" s="88"/>
      <c r="C81" s="47" t="s">
        <v>146</v>
      </c>
      <c r="D81" s="10">
        <v>20</v>
      </c>
      <c r="E81" s="11">
        <v>4.2890842805061117E-3</v>
      </c>
    </row>
    <row r="82" spans="2:5" ht="13.5" x14ac:dyDescent="0.2">
      <c r="B82" s="89"/>
      <c r="C82" s="92" t="s">
        <v>46</v>
      </c>
      <c r="D82" s="93">
        <v>47</v>
      </c>
      <c r="E82" s="94">
        <v>1.0079348059189364E-2</v>
      </c>
    </row>
    <row r="83" spans="2:5" ht="13.5" x14ac:dyDescent="0.2">
      <c r="B83" s="87" t="s">
        <v>60</v>
      </c>
      <c r="C83" s="47" t="s">
        <v>147</v>
      </c>
      <c r="D83" s="10">
        <v>13</v>
      </c>
      <c r="E83" s="11">
        <v>2.7879047823289728E-3</v>
      </c>
    </row>
    <row r="84" spans="2:5" ht="13.5" x14ac:dyDescent="0.2">
      <c r="B84" s="88"/>
      <c r="C84" s="47" t="s">
        <v>146</v>
      </c>
      <c r="D84" s="10">
        <v>5</v>
      </c>
      <c r="E84" s="11">
        <v>1.0722710701265279E-3</v>
      </c>
    </row>
    <row r="85" spans="2:5" ht="13.5" x14ac:dyDescent="0.2">
      <c r="B85" s="89"/>
      <c r="C85" s="92" t="s">
        <v>46</v>
      </c>
      <c r="D85" s="93">
        <v>18</v>
      </c>
      <c r="E85" s="94">
        <v>3.8601758524555007E-3</v>
      </c>
    </row>
    <row r="86" spans="2:5" ht="13.5" x14ac:dyDescent="0.2">
      <c r="B86" s="87" t="s">
        <v>89</v>
      </c>
      <c r="C86" s="47" t="s">
        <v>147</v>
      </c>
      <c r="D86" s="10">
        <v>8</v>
      </c>
      <c r="E86" s="11">
        <v>1.7156337122024449E-3</v>
      </c>
    </row>
    <row r="87" spans="2:5" ht="13.5" x14ac:dyDescent="0.2">
      <c r="B87" s="88"/>
      <c r="C87" s="47" t="s">
        <v>146</v>
      </c>
      <c r="D87" s="10">
        <v>7</v>
      </c>
      <c r="E87" s="11">
        <v>1.5011794981771391E-3</v>
      </c>
    </row>
    <row r="88" spans="2:5" ht="13.5" x14ac:dyDescent="0.2">
      <c r="B88" s="89"/>
      <c r="C88" s="92" t="s">
        <v>46</v>
      </c>
      <c r="D88" s="93">
        <v>15</v>
      </c>
      <c r="E88" s="94">
        <v>3.2168132103795838E-3</v>
      </c>
    </row>
    <row r="89" spans="2:5" ht="13.5" x14ac:dyDescent="0.2">
      <c r="B89" s="87" t="s">
        <v>62</v>
      </c>
      <c r="C89" s="47" t="s">
        <v>147</v>
      </c>
      <c r="D89" s="10">
        <v>50</v>
      </c>
      <c r="E89" s="11">
        <v>1.072271070126528E-2</v>
      </c>
    </row>
    <row r="90" spans="2:5" ht="13.5" x14ac:dyDescent="0.2">
      <c r="B90" s="88"/>
      <c r="C90" s="47" t="s">
        <v>146</v>
      </c>
      <c r="D90" s="10">
        <v>19</v>
      </c>
      <c r="E90" s="11">
        <v>4.0746300664808062E-3</v>
      </c>
    </row>
    <row r="91" spans="2:5" ht="13.5" x14ac:dyDescent="0.2">
      <c r="B91" s="89"/>
      <c r="C91" s="92" t="s">
        <v>46</v>
      </c>
      <c r="D91" s="93">
        <v>69</v>
      </c>
      <c r="E91" s="94">
        <v>1.4797340767746086E-2</v>
      </c>
    </row>
    <row r="92" spans="2:5" ht="13.5" x14ac:dyDescent="0.2">
      <c r="B92" s="87" t="s">
        <v>81</v>
      </c>
      <c r="C92" s="47" t="s">
        <v>147</v>
      </c>
      <c r="D92" s="10">
        <v>93</v>
      </c>
      <c r="E92" s="11">
        <v>1.994424190435342E-2</v>
      </c>
    </row>
    <row r="93" spans="2:5" ht="13.5" x14ac:dyDescent="0.2">
      <c r="B93" s="88"/>
      <c r="C93" s="47" t="s">
        <v>146</v>
      </c>
      <c r="D93" s="10">
        <v>34</v>
      </c>
      <c r="E93" s="11">
        <v>7.2914432768603904E-3</v>
      </c>
    </row>
    <row r="94" spans="2:5" ht="13.5" x14ac:dyDescent="0.2">
      <c r="B94" s="89"/>
      <c r="C94" s="92" t="s">
        <v>46</v>
      </c>
      <c r="D94" s="93">
        <v>127</v>
      </c>
      <c r="E94" s="94">
        <v>2.723568518121381E-2</v>
      </c>
    </row>
    <row r="95" spans="2:5" ht="13.5" x14ac:dyDescent="0.2">
      <c r="B95" s="87" t="s">
        <v>77</v>
      </c>
      <c r="C95" s="47" t="s">
        <v>147</v>
      </c>
      <c r="D95" s="10">
        <v>50</v>
      </c>
      <c r="E95" s="11">
        <v>1.072271070126528E-2</v>
      </c>
    </row>
    <row r="96" spans="2:5" ht="13.5" x14ac:dyDescent="0.2">
      <c r="B96" s="88"/>
      <c r="C96" s="47" t="s">
        <v>146</v>
      </c>
      <c r="D96" s="10">
        <v>28</v>
      </c>
      <c r="E96" s="11">
        <v>6.0047179927085565E-3</v>
      </c>
    </row>
    <row r="97" spans="2:5" ht="13.5" x14ac:dyDescent="0.2">
      <c r="B97" s="89"/>
      <c r="C97" s="92" t="s">
        <v>46</v>
      </c>
      <c r="D97" s="93">
        <v>78</v>
      </c>
      <c r="E97" s="94">
        <v>1.6727428693973836E-2</v>
      </c>
    </row>
    <row r="98" spans="2:5" ht="13.5" x14ac:dyDescent="0.2">
      <c r="B98" s="87" t="s">
        <v>65</v>
      </c>
      <c r="C98" s="47" t="s">
        <v>147</v>
      </c>
      <c r="D98" s="10">
        <v>15</v>
      </c>
      <c r="E98" s="11">
        <v>3.2168132103795838E-3</v>
      </c>
    </row>
    <row r="99" spans="2:5" ht="13.5" x14ac:dyDescent="0.2">
      <c r="B99" s="88"/>
      <c r="C99" s="47" t="s">
        <v>146</v>
      </c>
      <c r="D99" s="10">
        <v>13</v>
      </c>
      <c r="E99" s="11">
        <v>2.7879047823289728E-3</v>
      </c>
    </row>
    <row r="100" spans="2:5" ht="13.5" x14ac:dyDescent="0.2">
      <c r="B100" s="89"/>
      <c r="C100" s="92" t="s">
        <v>46</v>
      </c>
      <c r="D100" s="93">
        <v>28</v>
      </c>
      <c r="E100" s="94">
        <v>6.0047179927085565E-3</v>
      </c>
    </row>
    <row r="101" spans="2:5" ht="13.5" x14ac:dyDescent="0.2">
      <c r="B101" s="87" t="s">
        <v>69</v>
      </c>
      <c r="C101" s="47" t="s">
        <v>147</v>
      </c>
      <c r="D101" s="10">
        <v>7</v>
      </c>
      <c r="E101" s="11">
        <v>1.5011794981771391E-3</v>
      </c>
    </row>
    <row r="102" spans="2:5" ht="13.5" x14ac:dyDescent="0.2">
      <c r="B102" s="88"/>
      <c r="C102" s="47" t="s">
        <v>146</v>
      </c>
      <c r="D102" s="10">
        <v>7</v>
      </c>
      <c r="E102" s="11">
        <v>1.5011794981771391E-3</v>
      </c>
    </row>
    <row r="103" spans="2:5" ht="13.5" x14ac:dyDescent="0.2">
      <c r="B103" s="89"/>
      <c r="C103" s="92" t="s">
        <v>46</v>
      </c>
      <c r="D103" s="93">
        <v>14</v>
      </c>
      <c r="E103" s="94">
        <v>3.0023589963542783E-3</v>
      </c>
    </row>
    <row r="104" spans="2:5" ht="13.5" x14ac:dyDescent="0.2">
      <c r="B104" s="87" t="s">
        <v>53</v>
      </c>
      <c r="C104" s="47" t="s">
        <v>147</v>
      </c>
      <c r="D104" s="10">
        <v>6</v>
      </c>
      <c r="E104" s="11">
        <v>1.2867252841518336E-3</v>
      </c>
    </row>
    <row r="105" spans="2:5" ht="13.5" x14ac:dyDescent="0.2">
      <c r="B105" s="89"/>
      <c r="C105" s="92" t="s">
        <v>46</v>
      </c>
      <c r="D105" s="93">
        <v>6</v>
      </c>
      <c r="E105" s="94">
        <v>1.2867252841518336E-3</v>
      </c>
    </row>
    <row r="106" spans="2:5" ht="13.5" x14ac:dyDescent="0.2">
      <c r="B106" s="87" t="s">
        <v>87</v>
      </c>
      <c r="C106" s="47" t="s">
        <v>147</v>
      </c>
      <c r="D106" s="10">
        <v>123</v>
      </c>
      <c r="E106" s="11">
        <v>2.6377868325112588E-2</v>
      </c>
    </row>
    <row r="107" spans="2:5" ht="13.5" x14ac:dyDescent="0.2">
      <c r="B107" s="88"/>
      <c r="C107" s="47" t="s">
        <v>146</v>
      </c>
      <c r="D107" s="10">
        <v>51</v>
      </c>
      <c r="E107" s="11">
        <v>1.0937164915290586E-2</v>
      </c>
    </row>
    <row r="108" spans="2:5" ht="13.5" x14ac:dyDescent="0.2">
      <c r="B108" s="89"/>
      <c r="C108" s="92" t="s">
        <v>46</v>
      </c>
      <c r="D108" s="93">
        <v>174</v>
      </c>
      <c r="E108" s="94">
        <v>3.7315033240403174E-2</v>
      </c>
    </row>
    <row r="109" spans="2:5" ht="13.5" x14ac:dyDescent="0.2">
      <c r="B109" s="87" t="s">
        <v>79</v>
      </c>
      <c r="C109" s="47" t="s">
        <v>147</v>
      </c>
      <c r="D109" s="10">
        <v>33</v>
      </c>
      <c r="E109" s="11">
        <v>7.0769890628350849E-3</v>
      </c>
    </row>
    <row r="110" spans="2:5" ht="13.5" x14ac:dyDescent="0.2">
      <c r="B110" s="88"/>
      <c r="C110" s="47" t="s">
        <v>146</v>
      </c>
      <c r="D110" s="10">
        <v>15</v>
      </c>
      <c r="E110" s="11">
        <v>3.2168132103795838E-3</v>
      </c>
    </row>
    <row r="111" spans="2:5" ht="13.5" x14ac:dyDescent="0.2">
      <c r="B111" s="89"/>
      <c r="C111" s="92" t="s">
        <v>46</v>
      </c>
      <c r="D111" s="93">
        <v>48</v>
      </c>
      <c r="E111" s="94">
        <v>1.0293802273214669E-2</v>
      </c>
    </row>
    <row r="112" spans="2:5" ht="13.5" x14ac:dyDescent="0.2">
      <c r="B112" s="87" t="s">
        <v>64</v>
      </c>
      <c r="C112" s="47" t="s">
        <v>147</v>
      </c>
      <c r="D112" s="10">
        <v>37</v>
      </c>
      <c r="E112" s="11">
        <v>7.9348059189363069E-3</v>
      </c>
    </row>
    <row r="113" spans="2:5" ht="13.5" x14ac:dyDescent="0.2">
      <c r="B113" s="88"/>
      <c r="C113" s="47" t="s">
        <v>146</v>
      </c>
      <c r="D113" s="10">
        <v>10</v>
      </c>
      <c r="E113" s="11">
        <v>2.1445421402530558E-3</v>
      </c>
    </row>
    <row r="114" spans="2:5" ht="13.5" x14ac:dyDescent="0.2">
      <c r="B114" s="89"/>
      <c r="C114" s="92" t="s">
        <v>46</v>
      </c>
      <c r="D114" s="93">
        <v>47</v>
      </c>
      <c r="E114" s="94">
        <v>1.0079348059189364E-2</v>
      </c>
    </row>
    <row r="115" spans="2:5" ht="13.5" x14ac:dyDescent="0.2">
      <c r="B115" s="87" t="s">
        <v>66</v>
      </c>
      <c r="C115" s="47" t="s">
        <v>147</v>
      </c>
      <c r="D115" s="10">
        <v>53</v>
      </c>
      <c r="E115" s="11">
        <v>1.1366073343341197E-2</v>
      </c>
    </row>
    <row r="116" spans="2:5" ht="13.5" x14ac:dyDescent="0.2">
      <c r="B116" s="88"/>
      <c r="C116" s="47" t="s">
        <v>146</v>
      </c>
      <c r="D116" s="10">
        <v>27</v>
      </c>
      <c r="E116" s="11">
        <v>5.790263778683251E-3</v>
      </c>
    </row>
    <row r="117" spans="2:5" ht="13.5" x14ac:dyDescent="0.2">
      <c r="B117" s="89"/>
      <c r="C117" s="92" t="s">
        <v>46</v>
      </c>
      <c r="D117" s="93">
        <v>80</v>
      </c>
      <c r="E117" s="94">
        <v>1.7156337122024447E-2</v>
      </c>
    </row>
    <row r="118" spans="2:5" ht="13.5" x14ac:dyDescent="0.2">
      <c r="B118" s="87" t="s">
        <v>74</v>
      </c>
      <c r="C118" s="47" t="s">
        <v>147</v>
      </c>
      <c r="D118" s="10">
        <v>42</v>
      </c>
      <c r="E118" s="11">
        <v>9.0070769890628344E-3</v>
      </c>
    </row>
    <row r="119" spans="2:5" ht="13.5" x14ac:dyDescent="0.2">
      <c r="B119" s="88"/>
      <c r="C119" s="47" t="s">
        <v>146</v>
      </c>
      <c r="D119" s="10">
        <v>26</v>
      </c>
      <c r="E119" s="11">
        <v>5.5758095646579455E-3</v>
      </c>
    </row>
    <row r="120" spans="2:5" ht="13.5" x14ac:dyDescent="0.2">
      <c r="B120" s="89"/>
      <c r="C120" s="92" t="s">
        <v>46</v>
      </c>
      <c r="D120" s="93">
        <v>68</v>
      </c>
      <c r="E120" s="94">
        <v>1.4582886553720781E-2</v>
      </c>
    </row>
    <row r="121" spans="2:5" ht="13.5" x14ac:dyDescent="0.2">
      <c r="B121" s="87" t="s">
        <v>86</v>
      </c>
      <c r="C121" s="47" t="s">
        <v>147</v>
      </c>
      <c r="D121" s="10">
        <v>121</v>
      </c>
      <c r="E121" s="11">
        <v>2.5948959897061977E-2</v>
      </c>
    </row>
    <row r="122" spans="2:5" ht="13.5" x14ac:dyDescent="0.2">
      <c r="B122" s="88"/>
      <c r="C122" s="47" t="s">
        <v>146</v>
      </c>
      <c r="D122" s="10">
        <v>78</v>
      </c>
      <c r="E122" s="11">
        <v>1.6727428693973836E-2</v>
      </c>
    </row>
    <row r="123" spans="2:5" ht="13.5" x14ac:dyDescent="0.2">
      <c r="B123" s="89"/>
      <c r="C123" s="92" t="s">
        <v>46</v>
      </c>
      <c r="D123" s="93">
        <v>199</v>
      </c>
      <c r="E123" s="94">
        <v>4.2676388591035813E-2</v>
      </c>
    </row>
    <row r="124" spans="2:5" ht="13.5" x14ac:dyDescent="0.2">
      <c r="B124" s="87" t="s">
        <v>70</v>
      </c>
      <c r="C124" s="47" t="s">
        <v>147</v>
      </c>
      <c r="D124" s="10">
        <v>14</v>
      </c>
      <c r="E124" s="11">
        <v>3.0023589963542783E-3</v>
      </c>
    </row>
    <row r="125" spans="2:5" ht="13.5" x14ac:dyDescent="0.2">
      <c r="B125" s="88"/>
      <c r="C125" s="47" t="s">
        <v>146</v>
      </c>
      <c r="D125" s="10">
        <v>13</v>
      </c>
      <c r="E125" s="11">
        <v>2.7879047823289728E-3</v>
      </c>
    </row>
    <row r="126" spans="2:5" ht="13.5" x14ac:dyDescent="0.2">
      <c r="B126" s="89"/>
      <c r="C126" s="92" t="s">
        <v>46</v>
      </c>
      <c r="D126" s="93">
        <v>27</v>
      </c>
      <c r="E126" s="94">
        <v>5.790263778683251E-3</v>
      </c>
    </row>
    <row r="127" spans="2:5" ht="13.5" x14ac:dyDescent="0.2">
      <c r="B127" s="87" t="s">
        <v>83</v>
      </c>
      <c r="C127" s="47" t="s">
        <v>147</v>
      </c>
      <c r="D127" s="10">
        <v>40</v>
      </c>
      <c r="E127" s="11">
        <v>8.5781685610122234E-3</v>
      </c>
    </row>
    <row r="128" spans="2:5" ht="13.5" x14ac:dyDescent="0.2">
      <c r="B128" s="88"/>
      <c r="C128" s="47" t="s">
        <v>146</v>
      </c>
      <c r="D128" s="10">
        <v>16</v>
      </c>
      <c r="E128" s="11">
        <v>3.4312674244048897E-3</v>
      </c>
    </row>
    <row r="129" spans="2:5" ht="13.5" x14ac:dyDescent="0.2">
      <c r="B129" s="89"/>
      <c r="C129" s="92" t="s">
        <v>46</v>
      </c>
      <c r="D129" s="93">
        <v>56</v>
      </c>
      <c r="E129" s="94">
        <v>1.2009435985417113E-2</v>
      </c>
    </row>
    <row r="130" spans="2:5" ht="13.5" x14ac:dyDescent="0.2">
      <c r="B130" s="87" t="s">
        <v>136</v>
      </c>
      <c r="C130" s="47" t="s">
        <v>147</v>
      </c>
      <c r="D130" s="10">
        <v>40</v>
      </c>
      <c r="E130" s="11">
        <v>8.5781685610122234E-3</v>
      </c>
    </row>
    <row r="131" spans="2:5" ht="13.5" x14ac:dyDescent="0.2">
      <c r="B131" s="88"/>
      <c r="C131" s="47" t="s">
        <v>146</v>
      </c>
      <c r="D131" s="10">
        <v>30</v>
      </c>
      <c r="E131" s="11">
        <v>6.4336264207591675E-3</v>
      </c>
    </row>
    <row r="132" spans="2:5" ht="13.5" x14ac:dyDescent="0.2">
      <c r="B132" s="89"/>
      <c r="C132" s="92" t="s">
        <v>46</v>
      </c>
      <c r="D132" s="93">
        <v>70</v>
      </c>
      <c r="E132" s="94">
        <v>1.5011794981771392E-2</v>
      </c>
    </row>
    <row r="133" spans="2:5" ht="13.5" x14ac:dyDescent="0.2">
      <c r="B133" s="87" t="s">
        <v>85</v>
      </c>
      <c r="C133" s="47" t="s">
        <v>147</v>
      </c>
      <c r="D133" s="10">
        <v>46</v>
      </c>
      <c r="E133" s="11">
        <v>9.8648938451640581E-3</v>
      </c>
    </row>
    <row r="134" spans="2:5" ht="13.5" x14ac:dyDescent="0.2">
      <c r="B134" s="88"/>
      <c r="C134" s="47" t="s">
        <v>146</v>
      </c>
      <c r="D134" s="10">
        <v>37</v>
      </c>
      <c r="E134" s="11">
        <v>7.9348059189363069E-3</v>
      </c>
    </row>
    <row r="135" spans="2:5" ht="13.5" x14ac:dyDescent="0.2">
      <c r="B135" s="89"/>
      <c r="C135" s="92" t="s">
        <v>46</v>
      </c>
      <c r="D135" s="93">
        <v>83</v>
      </c>
      <c r="E135" s="94">
        <v>1.7799699764100365E-2</v>
      </c>
    </row>
    <row r="136" spans="2:5" ht="13.5" x14ac:dyDescent="0.2">
      <c r="B136" s="87" t="s">
        <v>63</v>
      </c>
      <c r="C136" s="47" t="s">
        <v>147</v>
      </c>
      <c r="D136" s="10">
        <v>18</v>
      </c>
      <c r="E136" s="11">
        <v>3.8601758524555007E-3</v>
      </c>
    </row>
    <row r="137" spans="2:5" ht="13.5" x14ac:dyDescent="0.2">
      <c r="B137" s="88"/>
      <c r="C137" s="47" t="s">
        <v>146</v>
      </c>
      <c r="D137" s="10">
        <v>7</v>
      </c>
      <c r="E137" s="11">
        <v>1.5011794981771391E-3</v>
      </c>
    </row>
    <row r="138" spans="2:5" ht="13.5" x14ac:dyDescent="0.2">
      <c r="B138" s="89"/>
      <c r="C138" s="92" t="s">
        <v>46</v>
      </c>
      <c r="D138" s="93">
        <v>25</v>
      </c>
      <c r="E138" s="94">
        <v>5.3613553506326401E-3</v>
      </c>
    </row>
    <row r="139" spans="2:5" ht="13.5" x14ac:dyDescent="0.2">
      <c r="B139" s="87" t="s">
        <v>54</v>
      </c>
      <c r="C139" s="47" t="s">
        <v>147</v>
      </c>
      <c r="D139" s="10">
        <v>1</v>
      </c>
      <c r="E139" s="11">
        <v>2.1445421402530561E-4</v>
      </c>
    </row>
    <row r="140" spans="2:5" ht="13.5" x14ac:dyDescent="0.2">
      <c r="B140" s="88"/>
      <c r="C140" s="47" t="s">
        <v>146</v>
      </c>
      <c r="D140" s="10">
        <v>2</v>
      </c>
      <c r="E140" s="11">
        <v>4.2890842805061121E-4</v>
      </c>
    </row>
    <row r="141" spans="2:5" ht="13.5" x14ac:dyDescent="0.2">
      <c r="B141" s="89"/>
      <c r="C141" s="92" t="s">
        <v>46</v>
      </c>
      <c r="D141" s="93">
        <v>3</v>
      </c>
      <c r="E141" s="94">
        <v>6.4336264207591682E-4</v>
      </c>
    </row>
    <row r="142" spans="2:5" ht="13.5" x14ac:dyDescent="0.2">
      <c r="B142" s="87" t="s">
        <v>17</v>
      </c>
      <c r="C142" s="47" t="s">
        <v>147</v>
      </c>
      <c r="D142" s="10">
        <v>15</v>
      </c>
      <c r="E142" s="11">
        <v>3.2168132103795838E-3</v>
      </c>
    </row>
    <row r="143" spans="2:5" ht="13.5" x14ac:dyDescent="0.2">
      <c r="B143" s="88"/>
      <c r="C143" s="47" t="s">
        <v>146</v>
      </c>
      <c r="D143" s="10">
        <v>4</v>
      </c>
      <c r="E143" s="11">
        <v>8.5781685610122243E-4</v>
      </c>
    </row>
    <row r="144" spans="2:5" ht="13.5" x14ac:dyDescent="0.2">
      <c r="B144" s="89"/>
      <c r="C144" s="92" t="s">
        <v>46</v>
      </c>
      <c r="D144" s="93">
        <v>19</v>
      </c>
      <c r="E144" s="94">
        <v>4.0746300664808062E-3</v>
      </c>
    </row>
    <row r="145" spans="2:5" ht="13.5" x14ac:dyDescent="0.2">
      <c r="B145" s="84" t="s">
        <v>142</v>
      </c>
      <c r="C145" s="85"/>
      <c r="D145" s="95">
        <v>4663</v>
      </c>
      <c r="E145" s="96">
        <v>1</v>
      </c>
    </row>
    <row r="147" spans="2:5" x14ac:dyDescent="0.2">
      <c r="B147" s="17" t="s">
        <v>199</v>
      </c>
    </row>
    <row r="148" spans="2:5" x14ac:dyDescent="0.2">
      <c r="B148" s="18" t="s">
        <v>47</v>
      </c>
    </row>
    <row r="149" spans="2:5" x14ac:dyDescent="0.2">
      <c r="B149" s="19" t="s">
        <v>48</v>
      </c>
    </row>
    <row r="150" spans="2:5" x14ac:dyDescent="0.2">
      <c r="B150" s="17" t="s">
        <v>49</v>
      </c>
    </row>
    <row r="151" spans="2:5" x14ac:dyDescent="0.2">
      <c r="B151" s="17" t="s">
        <v>200</v>
      </c>
    </row>
  </sheetData>
  <mergeCells count="48">
    <mergeCell ref="B142:B144"/>
    <mergeCell ref="B145:C145"/>
    <mergeCell ref="B124:B126"/>
    <mergeCell ref="B127:B129"/>
    <mergeCell ref="B130:B132"/>
    <mergeCell ref="B133:B135"/>
    <mergeCell ref="B136:B138"/>
    <mergeCell ref="B139:B141"/>
    <mergeCell ref="B95:B97"/>
    <mergeCell ref="B98:B100"/>
    <mergeCell ref="B101:B103"/>
    <mergeCell ref="B104:B105"/>
    <mergeCell ref="B106:B108"/>
    <mergeCell ref="B109:B111"/>
    <mergeCell ref="B112:B114"/>
    <mergeCell ref="B115:B117"/>
    <mergeCell ref="B118:B120"/>
    <mergeCell ref="B121:B123"/>
    <mergeCell ref="B68:B70"/>
    <mergeCell ref="B71:B73"/>
    <mergeCell ref="B74:B76"/>
    <mergeCell ref="B77:B79"/>
    <mergeCell ref="B65:B67"/>
    <mergeCell ref="B80:B82"/>
    <mergeCell ref="B83:B85"/>
    <mergeCell ref="B86:B88"/>
    <mergeCell ref="B89:B91"/>
    <mergeCell ref="B92:B94"/>
    <mergeCell ref="B40:B42"/>
    <mergeCell ref="B48:B50"/>
    <mergeCell ref="B37:B39"/>
    <mergeCell ref="B43:B44"/>
    <mergeCell ref="B45:B47"/>
    <mergeCell ref="B51:B53"/>
    <mergeCell ref="B54:B56"/>
    <mergeCell ref="B57:B59"/>
    <mergeCell ref="B60:B62"/>
    <mergeCell ref="B63:B64"/>
    <mergeCell ref="B8:E10"/>
    <mergeCell ref="B12:B14"/>
    <mergeCell ref="B15:B17"/>
    <mergeCell ref="B18:B20"/>
    <mergeCell ref="B21:B23"/>
    <mergeCell ref="B32:B34"/>
    <mergeCell ref="B24:B25"/>
    <mergeCell ref="B26:B28"/>
    <mergeCell ref="B29:B31"/>
    <mergeCell ref="B35:B36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rowBreaks count="2" manualBreakCount="2">
    <brk id="59" max="16383" man="1"/>
    <brk id="109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2">
    <tabColor rgb="FF00B0F0"/>
  </sheetPr>
  <dimension ref="A1:G34"/>
  <sheetViews>
    <sheetView showGridLines="0" zoomScale="89" zoomScaleNormal="89" zoomScaleSheetLayoutView="100" workbookViewId="0">
      <selection activeCell="E16" sqref="E16"/>
    </sheetView>
  </sheetViews>
  <sheetFormatPr baseColWidth="10" defaultColWidth="11.42578125" defaultRowHeight="11.25" x14ac:dyDescent="0.2"/>
  <cols>
    <col min="1" max="1" width="5.7109375" style="1" customWidth="1"/>
    <col min="2" max="2" width="19" style="33" customWidth="1"/>
    <col min="3" max="3" width="17.140625" style="33" customWidth="1"/>
    <col min="4" max="4" width="17.140625" style="46" customWidth="1"/>
    <col min="5" max="5" width="16.5703125" style="46" customWidth="1"/>
    <col min="6" max="6" width="16.5703125" style="33" customWidth="1"/>
    <col min="7" max="7" width="5.7109375" style="1" customWidth="1"/>
    <col min="8" max="16384" width="11.42578125" style="1"/>
  </cols>
  <sheetData>
    <row r="1" spans="1:7" s="48" customFormat="1" ht="15" x14ac:dyDescent="0.25">
      <c r="B1" s="37"/>
      <c r="C1" s="33"/>
    </row>
    <row r="2" spans="1:7" s="33" customFormat="1" x14ac:dyDescent="0.2">
      <c r="B2" s="52"/>
    </row>
    <row r="3" spans="1:7" ht="15" customHeight="1" x14ac:dyDescent="0.2">
      <c r="B3" s="53"/>
      <c r="C3" s="2"/>
      <c r="D3" s="1"/>
      <c r="E3" s="1"/>
      <c r="G3" s="33"/>
    </row>
    <row r="4" spans="1:7" ht="30" customHeight="1" x14ac:dyDescent="0.2">
      <c r="B4" s="53"/>
      <c r="C4" s="2"/>
      <c r="D4" s="1"/>
      <c r="E4" s="1"/>
      <c r="G4" s="33"/>
    </row>
    <row r="5" spans="1:7" ht="15" customHeight="1" x14ac:dyDescent="0.2">
      <c r="B5" s="53"/>
      <c r="C5" s="2"/>
      <c r="D5" s="1"/>
      <c r="E5" s="1"/>
      <c r="G5" s="33"/>
    </row>
    <row r="6" spans="1:7" s="33" customFormat="1" x14ac:dyDescent="0.2">
      <c r="B6" s="41"/>
      <c r="C6" s="35"/>
    </row>
    <row r="7" spans="1:7" s="33" customFormat="1" x14ac:dyDescent="0.2">
      <c r="A7" s="37"/>
      <c r="B7" s="52"/>
      <c r="C7" s="37"/>
    </row>
    <row r="8" spans="1:7" s="48" customFormat="1" ht="15" customHeight="1" x14ac:dyDescent="0.25">
      <c r="B8" s="90" t="s">
        <v>159</v>
      </c>
      <c r="C8" s="90"/>
      <c r="D8" s="90"/>
      <c r="E8" s="90"/>
      <c r="F8" s="90"/>
    </row>
    <row r="9" spans="1:7" s="48" customFormat="1" ht="15" customHeight="1" x14ac:dyDescent="0.25">
      <c r="A9" s="50"/>
      <c r="B9" s="90"/>
      <c r="C9" s="90"/>
      <c r="D9" s="90"/>
      <c r="E9" s="90"/>
      <c r="F9" s="90"/>
      <c r="G9" s="51"/>
    </row>
    <row r="10" spans="1:7" s="48" customFormat="1" ht="15" customHeight="1" x14ac:dyDescent="0.25">
      <c r="A10" s="50"/>
      <c r="B10" s="91"/>
      <c r="C10" s="91"/>
      <c r="D10" s="91"/>
      <c r="E10" s="91"/>
      <c r="F10" s="91"/>
      <c r="G10" s="50"/>
    </row>
    <row r="11" spans="1:7" s="48" customFormat="1" ht="36.950000000000003" customHeight="1" x14ac:dyDescent="0.25">
      <c r="B11" s="49" t="s">
        <v>145</v>
      </c>
      <c r="C11" s="49" t="s">
        <v>158</v>
      </c>
      <c r="D11" s="49" t="s">
        <v>2</v>
      </c>
      <c r="E11" s="49" t="s">
        <v>157</v>
      </c>
      <c r="F11" s="49" t="s">
        <v>156</v>
      </c>
    </row>
    <row r="12" spans="1:7" ht="13.5" x14ac:dyDescent="0.2">
      <c r="B12" s="87" t="s">
        <v>147</v>
      </c>
      <c r="C12" s="47" t="s">
        <v>155</v>
      </c>
      <c r="D12" s="10">
        <v>3</v>
      </c>
      <c r="E12" s="97">
        <v>1.011804384485666E-3</v>
      </c>
      <c r="F12" s="11">
        <f t="shared" ref="F12:F28" si="0">D12/$D$28</f>
        <v>6.4336264207591682E-4</v>
      </c>
    </row>
    <row r="13" spans="1:7" ht="13.5" x14ac:dyDescent="0.2">
      <c r="B13" s="88"/>
      <c r="C13" s="47" t="s">
        <v>154</v>
      </c>
      <c r="D13" s="10">
        <v>64</v>
      </c>
      <c r="E13" s="97">
        <v>2.1585160202360877E-2</v>
      </c>
      <c r="F13" s="11">
        <f t="shared" si="0"/>
        <v>1.3725069697619559E-2</v>
      </c>
    </row>
    <row r="14" spans="1:7" ht="13.5" x14ac:dyDescent="0.2">
      <c r="B14" s="88"/>
      <c r="C14" s="47" t="s">
        <v>153</v>
      </c>
      <c r="D14" s="10">
        <v>584</v>
      </c>
      <c r="E14" s="97">
        <v>0.196964586846543</v>
      </c>
      <c r="F14" s="11">
        <f t="shared" si="0"/>
        <v>0.12524126099077848</v>
      </c>
    </row>
    <row r="15" spans="1:7" ht="13.5" x14ac:dyDescent="0.2">
      <c r="B15" s="88"/>
      <c r="C15" s="47" t="s">
        <v>152</v>
      </c>
      <c r="D15" s="10">
        <v>1101</v>
      </c>
      <c r="E15" s="97">
        <v>0.37133220910623949</v>
      </c>
      <c r="F15" s="11">
        <f t="shared" si="0"/>
        <v>0.23611408964186145</v>
      </c>
    </row>
    <row r="16" spans="1:7" ht="27" x14ac:dyDescent="0.2">
      <c r="B16" s="88"/>
      <c r="C16" s="47" t="s">
        <v>151</v>
      </c>
      <c r="D16" s="10">
        <v>831</v>
      </c>
      <c r="E16" s="97">
        <v>0.28026981450252952</v>
      </c>
      <c r="F16" s="11">
        <f t="shared" si="0"/>
        <v>0.17821145185502896</v>
      </c>
    </row>
    <row r="17" spans="2:6" ht="13.5" x14ac:dyDescent="0.2">
      <c r="B17" s="88"/>
      <c r="C17" s="47" t="s">
        <v>150</v>
      </c>
      <c r="D17" s="10">
        <v>345</v>
      </c>
      <c r="E17" s="97">
        <v>0.1163575042158516</v>
      </c>
      <c r="F17" s="11">
        <f t="shared" si="0"/>
        <v>7.3986703838730433E-2</v>
      </c>
    </row>
    <row r="18" spans="2:6" ht="13.5" x14ac:dyDescent="0.2">
      <c r="B18" s="88"/>
      <c r="C18" s="47" t="s">
        <v>149</v>
      </c>
      <c r="D18" s="10">
        <v>35</v>
      </c>
      <c r="E18" s="97">
        <v>1.1804384485666104E-2</v>
      </c>
      <c r="F18" s="11">
        <f t="shared" si="0"/>
        <v>7.5058974908856959E-3</v>
      </c>
    </row>
    <row r="19" spans="2:6" ht="13.5" x14ac:dyDescent="0.2">
      <c r="B19" s="89"/>
      <c r="C19" s="47" t="s">
        <v>148</v>
      </c>
      <c r="D19" s="10">
        <v>2</v>
      </c>
      <c r="E19" s="97">
        <v>6.7453625632377741E-4</v>
      </c>
      <c r="F19" s="11">
        <f t="shared" si="0"/>
        <v>4.2890842805061121E-4</v>
      </c>
    </row>
    <row r="20" spans="2:6" ht="13.5" x14ac:dyDescent="0.2">
      <c r="B20" s="87" t="s">
        <v>146</v>
      </c>
      <c r="C20" s="47" t="s">
        <v>155</v>
      </c>
      <c r="D20" s="10">
        <v>3</v>
      </c>
      <c r="E20" s="98">
        <v>1.7667844522968198E-3</v>
      </c>
      <c r="F20" s="11">
        <f t="shared" si="0"/>
        <v>6.4336264207591682E-4</v>
      </c>
    </row>
    <row r="21" spans="2:6" ht="13.5" x14ac:dyDescent="0.2">
      <c r="B21" s="88"/>
      <c r="C21" s="47" t="s">
        <v>154</v>
      </c>
      <c r="D21" s="10">
        <v>42</v>
      </c>
      <c r="E21" s="98">
        <v>2.4734982332155476E-2</v>
      </c>
      <c r="F21" s="11">
        <f t="shared" si="0"/>
        <v>9.0070769890628344E-3</v>
      </c>
    </row>
    <row r="22" spans="2:6" ht="13.5" x14ac:dyDescent="0.2">
      <c r="B22" s="88"/>
      <c r="C22" s="47" t="s">
        <v>153</v>
      </c>
      <c r="D22" s="10">
        <v>244</v>
      </c>
      <c r="E22" s="98">
        <v>0.143698468786808</v>
      </c>
      <c r="F22" s="11">
        <f t="shared" si="0"/>
        <v>5.2326828222174562E-2</v>
      </c>
    </row>
    <row r="23" spans="2:6" ht="13.5" x14ac:dyDescent="0.2">
      <c r="B23" s="88"/>
      <c r="C23" s="47" t="s">
        <v>152</v>
      </c>
      <c r="D23" s="10">
        <v>562</v>
      </c>
      <c r="E23" s="98">
        <v>0.33097762073027093</v>
      </c>
      <c r="F23" s="11">
        <f t="shared" si="0"/>
        <v>0.12052326828222175</v>
      </c>
    </row>
    <row r="24" spans="2:6" ht="27" x14ac:dyDescent="0.2">
      <c r="B24" s="88"/>
      <c r="C24" s="47" t="s">
        <v>151</v>
      </c>
      <c r="D24" s="10">
        <v>568</v>
      </c>
      <c r="E24" s="98">
        <v>0.33451118963486454</v>
      </c>
      <c r="F24" s="11">
        <f t="shared" si="0"/>
        <v>0.12180999356637358</v>
      </c>
    </row>
    <row r="25" spans="2:6" ht="13.5" x14ac:dyDescent="0.2">
      <c r="B25" s="88"/>
      <c r="C25" s="47" t="s">
        <v>150</v>
      </c>
      <c r="D25" s="10">
        <v>247</v>
      </c>
      <c r="E25" s="98">
        <v>0.14546525323910484</v>
      </c>
      <c r="F25" s="11">
        <f t="shared" si="0"/>
        <v>5.2970190864250484E-2</v>
      </c>
    </row>
    <row r="26" spans="2:6" ht="13.5" x14ac:dyDescent="0.2">
      <c r="B26" s="88"/>
      <c r="C26" s="47" t="s">
        <v>149</v>
      </c>
      <c r="D26" s="10">
        <v>27</v>
      </c>
      <c r="E26" s="98">
        <v>1.5901060070671377E-2</v>
      </c>
      <c r="F26" s="11">
        <f t="shared" si="0"/>
        <v>5.790263778683251E-3</v>
      </c>
    </row>
    <row r="27" spans="2:6" ht="13.5" x14ac:dyDescent="0.2">
      <c r="B27" s="89"/>
      <c r="C27" s="47" t="s">
        <v>148</v>
      </c>
      <c r="D27" s="10">
        <v>5</v>
      </c>
      <c r="E27" s="98">
        <v>2.9446407538280331E-3</v>
      </c>
      <c r="F27" s="11">
        <f t="shared" si="0"/>
        <v>1.0722710701265279E-3</v>
      </c>
    </row>
    <row r="28" spans="2:6" ht="13.5" x14ac:dyDescent="0.2">
      <c r="B28" s="99" t="s">
        <v>46</v>
      </c>
      <c r="C28" s="99"/>
      <c r="D28" s="95">
        <v>4663</v>
      </c>
      <c r="E28" s="96"/>
      <c r="F28" s="96">
        <f t="shared" si="0"/>
        <v>1</v>
      </c>
    </row>
    <row r="30" spans="2:6" x14ac:dyDescent="0.2">
      <c r="B30" s="17" t="s">
        <v>199</v>
      </c>
    </row>
    <row r="31" spans="2:6" x14ac:dyDescent="0.2">
      <c r="B31" s="18" t="s">
        <v>47</v>
      </c>
    </row>
    <row r="32" spans="2:6" x14ac:dyDescent="0.2">
      <c r="B32" s="19" t="s">
        <v>48</v>
      </c>
    </row>
    <row r="33" spans="2:2" x14ac:dyDescent="0.2">
      <c r="B33" s="17" t="s">
        <v>49</v>
      </c>
    </row>
    <row r="34" spans="2:2" x14ac:dyDescent="0.2">
      <c r="B34" s="17" t="s">
        <v>200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rgb="FF7030A0"/>
  </sheetPr>
  <dimension ref="A1:D39"/>
  <sheetViews>
    <sheetView showGridLines="0" zoomScaleNormal="100" zoomScaleSheetLayoutView="115" workbookViewId="0">
      <selection activeCell="C37" sqref="C37"/>
    </sheetView>
  </sheetViews>
  <sheetFormatPr baseColWidth="10" defaultColWidth="11.42578125" defaultRowHeight="15" x14ac:dyDescent="0.25"/>
  <cols>
    <col min="1" max="1" width="9.28515625" style="8" customWidth="1"/>
    <col min="2" max="2" width="21.7109375" style="8" customWidth="1"/>
    <col min="3" max="3" width="17.7109375" style="16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4" s="1" customFormat="1" ht="15" customHeight="1" x14ac:dyDescent="0.2">
      <c r="C1" s="2"/>
    </row>
    <row r="2" spans="1:4" s="1" customFormat="1" ht="15" customHeight="1" x14ac:dyDescent="0.2">
      <c r="C2" s="2"/>
    </row>
    <row r="3" spans="1:4" s="1" customFormat="1" ht="15" customHeight="1" x14ac:dyDescent="0.2">
      <c r="A3" s="1" t="s">
        <v>0</v>
      </c>
      <c r="C3" s="2"/>
    </row>
    <row r="4" spans="1:4" s="1" customFormat="1" ht="30" customHeight="1" x14ac:dyDescent="0.2">
      <c r="C4" s="2"/>
      <c r="D4" s="3"/>
    </row>
    <row r="5" spans="1:4" s="1" customFormat="1" ht="15" customHeight="1" x14ac:dyDescent="0.2">
      <c r="C5" s="2"/>
      <c r="D5" s="3"/>
    </row>
    <row r="6" spans="1:4" s="1" customFormat="1" ht="15" customHeight="1" x14ac:dyDescent="0.2">
      <c r="C6" s="2"/>
      <c r="D6" s="3"/>
    </row>
    <row r="7" spans="1:4" s="1" customFormat="1" ht="15" customHeight="1" x14ac:dyDescent="0.2">
      <c r="B7" s="79" t="s">
        <v>206</v>
      </c>
      <c r="C7" s="79"/>
      <c r="D7" s="79"/>
    </row>
    <row r="8" spans="1:4" s="1" customFormat="1" ht="15" customHeight="1" x14ac:dyDescent="0.2">
      <c r="B8" s="79"/>
      <c r="C8" s="79"/>
      <c r="D8" s="79"/>
    </row>
    <row r="9" spans="1:4" s="1" customFormat="1" ht="33" customHeight="1" x14ac:dyDescent="0.2">
      <c r="B9" s="79"/>
      <c r="C9" s="79"/>
      <c r="D9" s="79"/>
    </row>
    <row r="10" spans="1:4" s="1" customFormat="1" ht="4.5" customHeight="1" x14ac:dyDescent="0.2">
      <c r="B10" s="4"/>
      <c r="C10" s="4"/>
      <c r="D10" s="4"/>
    </row>
    <row r="11" spans="1:4" s="1" customFormat="1" ht="33" customHeight="1" x14ac:dyDescent="0.2">
      <c r="B11" s="5" t="s">
        <v>179</v>
      </c>
      <c r="C11" s="6" t="s">
        <v>2</v>
      </c>
      <c r="D11" s="7" t="s">
        <v>3</v>
      </c>
    </row>
    <row r="12" spans="1:4" x14ac:dyDescent="0.25">
      <c r="B12" s="9" t="s">
        <v>178</v>
      </c>
      <c r="C12" s="10">
        <v>2634</v>
      </c>
      <c r="D12" s="11">
        <f t="shared" ref="D12:D33" si="0">C12/$C$33</f>
        <v>0.56487239974265491</v>
      </c>
    </row>
    <row r="13" spans="1:4" x14ac:dyDescent="0.25">
      <c r="B13" s="9" t="s">
        <v>177</v>
      </c>
      <c r="C13" s="10">
        <v>974</v>
      </c>
      <c r="D13" s="11">
        <f t="shared" si="0"/>
        <v>0.20887840446064765</v>
      </c>
    </row>
    <row r="14" spans="1:4" x14ac:dyDescent="0.25">
      <c r="B14" s="9" t="s">
        <v>176</v>
      </c>
      <c r="C14" s="10">
        <v>282</v>
      </c>
      <c r="D14" s="11">
        <f t="shared" si="0"/>
        <v>6.0476088355136182E-2</v>
      </c>
    </row>
    <row r="15" spans="1:4" x14ac:dyDescent="0.25">
      <c r="B15" s="9" t="s">
        <v>175</v>
      </c>
      <c r="C15" s="10">
        <v>269</v>
      </c>
      <c r="D15" s="11">
        <f t="shared" si="0"/>
        <v>5.7688183572807208E-2</v>
      </c>
    </row>
    <row r="16" spans="1:4" x14ac:dyDescent="0.25">
      <c r="B16" s="9" t="s">
        <v>173</v>
      </c>
      <c r="C16" s="10">
        <v>104</v>
      </c>
      <c r="D16" s="11">
        <f t="shared" si="0"/>
        <v>2.2303238258631782E-2</v>
      </c>
    </row>
    <row r="17" spans="2:4" x14ac:dyDescent="0.25">
      <c r="B17" s="9" t="s">
        <v>174</v>
      </c>
      <c r="C17" s="10">
        <v>94</v>
      </c>
      <c r="D17" s="11">
        <f t="shared" si="0"/>
        <v>2.0158696118378727E-2</v>
      </c>
    </row>
    <row r="18" spans="2:4" x14ac:dyDescent="0.25">
      <c r="B18" s="9" t="s">
        <v>172</v>
      </c>
      <c r="C18" s="10">
        <v>80</v>
      </c>
      <c r="D18" s="11">
        <f t="shared" si="0"/>
        <v>1.7156337122024447E-2</v>
      </c>
    </row>
    <row r="19" spans="2:4" x14ac:dyDescent="0.25">
      <c r="B19" s="9" t="s">
        <v>171</v>
      </c>
      <c r="C19" s="10">
        <v>63</v>
      </c>
      <c r="D19" s="11">
        <f t="shared" si="0"/>
        <v>1.3510615483594253E-2</v>
      </c>
    </row>
    <row r="20" spans="2:4" x14ac:dyDescent="0.25">
      <c r="B20" s="9" t="s">
        <v>170</v>
      </c>
      <c r="C20" s="10">
        <v>37</v>
      </c>
      <c r="D20" s="11">
        <f t="shared" si="0"/>
        <v>7.9348059189363069E-3</v>
      </c>
    </row>
    <row r="21" spans="2:4" x14ac:dyDescent="0.25">
      <c r="B21" s="9" t="s">
        <v>169</v>
      </c>
      <c r="C21" s="10">
        <v>33</v>
      </c>
      <c r="D21" s="11">
        <f t="shared" si="0"/>
        <v>7.0769890628350849E-3</v>
      </c>
    </row>
    <row r="22" spans="2:4" x14ac:dyDescent="0.25">
      <c r="B22" s="9" t="s">
        <v>168</v>
      </c>
      <c r="C22" s="10">
        <v>18</v>
      </c>
      <c r="D22" s="11">
        <f t="shared" si="0"/>
        <v>3.8601758524555007E-3</v>
      </c>
    </row>
    <row r="23" spans="2:4" x14ac:dyDescent="0.25">
      <c r="B23" s="9" t="s">
        <v>167</v>
      </c>
      <c r="C23" s="10">
        <v>18</v>
      </c>
      <c r="D23" s="11">
        <f t="shared" si="0"/>
        <v>3.8601758524555007E-3</v>
      </c>
    </row>
    <row r="24" spans="2:4" x14ac:dyDescent="0.25">
      <c r="B24" s="9" t="s">
        <v>166</v>
      </c>
      <c r="C24" s="10">
        <v>13</v>
      </c>
      <c r="D24" s="11">
        <f t="shared" si="0"/>
        <v>2.7879047823289728E-3</v>
      </c>
    </row>
    <row r="25" spans="2:4" x14ac:dyDescent="0.25">
      <c r="B25" s="9" t="s">
        <v>162</v>
      </c>
      <c r="C25" s="10">
        <v>11</v>
      </c>
      <c r="D25" s="11">
        <f t="shared" si="0"/>
        <v>2.3589963542783618E-3</v>
      </c>
    </row>
    <row r="26" spans="2:4" x14ac:dyDescent="0.25">
      <c r="B26" s="9" t="s">
        <v>163</v>
      </c>
      <c r="C26" s="10">
        <v>10</v>
      </c>
      <c r="D26" s="11">
        <f t="shared" si="0"/>
        <v>2.1445421402530558E-3</v>
      </c>
    </row>
    <row r="27" spans="2:4" x14ac:dyDescent="0.25">
      <c r="B27" s="9" t="s">
        <v>164</v>
      </c>
      <c r="C27" s="10">
        <v>7</v>
      </c>
      <c r="D27" s="11">
        <f t="shared" si="0"/>
        <v>1.5011794981771391E-3</v>
      </c>
    </row>
    <row r="28" spans="2:4" x14ac:dyDescent="0.25">
      <c r="B28" s="9" t="s">
        <v>160</v>
      </c>
      <c r="C28" s="10">
        <v>6</v>
      </c>
      <c r="D28" s="11">
        <f t="shared" si="0"/>
        <v>1.2867252841518336E-3</v>
      </c>
    </row>
    <row r="29" spans="2:4" x14ac:dyDescent="0.25">
      <c r="B29" s="9" t="s">
        <v>165</v>
      </c>
      <c r="C29" s="10">
        <v>5</v>
      </c>
      <c r="D29" s="11">
        <f t="shared" si="0"/>
        <v>1.0722710701265279E-3</v>
      </c>
    </row>
    <row r="30" spans="2:4" x14ac:dyDescent="0.25">
      <c r="B30" s="9" t="s">
        <v>161</v>
      </c>
      <c r="C30" s="10">
        <v>2</v>
      </c>
      <c r="D30" s="11">
        <f t="shared" si="0"/>
        <v>4.2890842805061121E-4</v>
      </c>
    </row>
    <row r="31" spans="2:4" x14ac:dyDescent="0.25">
      <c r="B31" s="9" t="s">
        <v>204</v>
      </c>
      <c r="C31" s="10">
        <v>2</v>
      </c>
      <c r="D31" s="11">
        <f t="shared" si="0"/>
        <v>4.2890842805061121E-4</v>
      </c>
    </row>
    <row r="32" spans="2:4" x14ac:dyDescent="0.25">
      <c r="B32" s="9" t="s">
        <v>205</v>
      </c>
      <c r="C32" s="10">
        <v>1</v>
      </c>
      <c r="D32" s="11">
        <f t="shared" si="0"/>
        <v>2.1445421402530561E-4</v>
      </c>
    </row>
    <row r="33" spans="1:4" x14ac:dyDescent="0.25">
      <c r="B33" s="13" t="s">
        <v>46</v>
      </c>
      <c r="C33" s="14">
        <v>4663</v>
      </c>
      <c r="D33" s="15">
        <f t="shared" si="0"/>
        <v>1</v>
      </c>
    </row>
    <row r="35" spans="1:4" x14ac:dyDescent="0.25">
      <c r="A35" s="42" t="s">
        <v>199</v>
      </c>
    </row>
    <row r="36" spans="1:4" x14ac:dyDescent="0.25">
      <c r="A36" s="42" t="s">
        <v>47</v>
      </c>
    </row>
    <row r="37" spans="1:4" x14ac:dyDescent="0.25">
      <c r="A37" s="42" t="s">
        <v>48</v>
      </c>
    </row>
    <row r="38" spans="1:4" x14ac:dyDescent="0.25">
      <c r="A38" s="42" t="s">
        <v>49</v>
      </c>
    </row>
    <row r="39" spans="1:4" x14ac:dyDescent="0.25">
      <c r="A39" s="42" t="s">
        <v>200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Aguascalientes_EdoUsa</vt:lpstr>
      <vt:lpstr>Aguascalientes_Cons</vt:lpstr>
      <vt:lpstr>AguascalientesXCons</vt:lpstr>
      <vt:lpstr>Aguascalientes_EdoMun</vt:lpstr>
      <vt:lpstr>Aguascalientes_USAMuni</vt:lpstr>
      <vt:lpstr>Aguascalientes_MUNICIPIO</vt:lpstr>
      <vt:lpstr>Aguascalientes_educ_gral</vt:lpstr>
      <vt:lpstr>Aguascalientes_NivelE_Cons</vt:lpstr>
      <vt:lpstr>Aguascalientes_EducCons</vt:lpstr>
      <vt:lpstr>Aguascalientes_GenGral</vt:lpstr>
      <vt:lpstr>Aguascalientes_GENERO</vt:lpstr>
      <vt:lpstr>Aguascalientes_Gen_Edad</vt:lpstr>
      <vt:lpstr>Aguascalientes_ocup_gral</vt:lpstr>
      <vt:lpstr>Aguascalientes_EducCons!Área_de_impresión</vt:lpstr>
      <vt:lpstr>Aguascalientes_MUNICIPIO!Área_de_impresión</vt:lpstr>
      <vt:lpstr>Aguascalientes_NivelE_Cons!Área_de_impresión</vt:lpstr>
      <vt:lpstr>Aguascalientes_USAMuni!Área_de_impresión</vt:lpstr>
      <vt:lpstr>Aguascalientes_Cons!Títulos_a_imprimir</vt:lpstr>
      <vt:lpstr>Aguascalientes_EdoMun!Títulos_a_imprimir</vt:lpstr>
      <vt:lpstr>Aguascalientes_EdoUsa!Títulos_a_imprimir</vt:lpstr>
      <vt:lpstr>Aguascalientes_educ_gral!Títulos_a_imprimir</vt:lpstr>
      <vt:lpstr>Aguascalientes_EducCons!Títulos_a_imprimir</vt:lpstr>
      <vt:lpstr>Aguascalientes_Gen_Edad!Títulos_a_imprimir</vt:lpstr>
      <vt:lpstr>Aguascalientes_GENERO!Títulos_a_imprimir</vt:lpstr>
      <vt:lpstr>Aguascalientes_GenGral!Títulos_a_imprimir</vt:lpstr>
      <vt:lpstr>Aguascalientes_MUNICIPIO!Títulos_a_imprimir</vt:lpstr>
      <vt:lpstr>Aguascalientes_NivelE_Cons!Títulos_a_imprimir</vt:lpstr>
      <vt:lpstr>Aguascalientes_ocup_gral!Títulos_a_imprimir</vt:lpstr>
      <vt:lpstr>Aguascalientes_USAMuni!Títulos_a_imprimir</vt:lpstr>
      <vt:lpstr>AguascalientesXCons!Títulos_a_imprimir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dcterms:created xsi:type="dcterms:W3CDTF">2020-06-02T18:53:53Z</dcterms:created>
  <dcterms:modified xsi:type="dcterms:W3CDTF">2021-10-26T23:36:58Z</dcterms:modified>
</cp:coreProperties>
</file>