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Sonora_Cons_2017" sheetId="1" r:id="rId1"/>
  </sheets>
  <definedNames>
    <definedName name="_xlnm._FilterDatabase" localSheetId="0" hidden="1">Sonora_Cons_2017!$B$11:$D$12</definedName>
    <definedName name="_xlnm.Print_Titles" localSheetId="0">Sonora_Cons_2017!$1:$11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<sst xmlns="http://schemas.openxmlformats.org/spreadsheetml/2006/main" count="61" uniqueCount="61">
  <si>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</si>
  <si>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</si>
  <si>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</si>
  <si>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</si>
  <si>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</si>
  <si>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</si>
  <si>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Eagle Pass</t>
  </si>
  <si>
    <t>Del Río</t>
  </si>
  <si>
    <t>Presidio</t>
  </si>
  <si>
    <t>Brownsville</t>
  </si>
  <si>
    <t>Laredo</t>
  </si>
  <si>
    <t>Boston</t>
  </si>
  <si>
    <t>Filadelfia</t>
  </si>
  <si>
    <t>Detroit</t>
  </si>
  <si>
    <t>Mcallen</t>
  </si>
  <si>
    <t>Nueva Orleans</t>
  </si>
  <si>
    <t>Washington</t>
  </si>
  <si>
    <t>Miami</t>
  </si>
  <si>
    <t>Austin</t>
  </si>
  <si>
    <t>Nueva York</t>
  </si>
  <si>
    <t>Saint Paul</t>
  </si>
  <si>
    <t>Milwaukee</t>
  </si>
  <si>
    <t>Caléxico</t>
  </si>
  <si>
    <t>Douglas</t>
  </si>
  <si>
    <t>Orlando</t>
  </si>
  <si>
    <t>San Antonio</t>
  </si>
  <si>
    <t>El Paso</t>
  </si>
  <si>
    <t>Omaha</t>
  </si>
  <si>
    <t>Oxnard</t>
  </si>
  <si>
    <t>Raleigh</t>
  </si>
  <si>
    <t>Indianápolis</t>
  </si>
  <si>
    <t>Portland</t>
  </si>
  <si>
    <t>Little Rock</t>
  </si>
  <si>
    <t>Seattle</t>
  </si>
  <si>
    <t>Kansas City</t>
  </si>
  <si>
    <t>Atlanta</t>
  </si>
  <si>
    <t>Boise</t>
  </si>
  <si>
    <t>Houston</t>
  </si>
  <si>
    <t>Dallas</t>
  </si>
  <si>
    <t>San Diego</t>
  </si>
  <si>
    <t>Albuquerque</t>
  </si>
  <si>
    <t>San José</t>
  </si>
  <si>
    <t>Santa Ana</t>
  </si>
  <si>
    <t>Chicago</t>
  </si>
  <si>
    <t>San Francisco</t>
  </si>
  <si>
    <t>Sacramento</t>
  </si>
  <si>
    <t>Denver</t>
  </si>
  <si>
    <t>Nogales</t>
  </si>
  <si>
    <t>Yuma</t>
  </si>
  <si>
    <t>Salt Lake City</t>
  </si>
  <si>
    <t>Fresno</t>
  </si>
  <si>
    <t>San Bernardino</t>
  </si>
  <si>
    <t>Las Vegas</t>
  </si>
  <si>
    <t>Los Ángeles</t>
  </si>
  <si>
    <t>Phoenix</t>
  </si>
  <si>
    <t>Tucson</t>
  </si>
  <si>
    <t>Porcentaje de Matrículas</t>
  </si>
  <si>
    <t>Número de Matrículas</t>
  </si>
  <si>
    <t>Consulado</t>
  </si>
  <si>
    <t>MATRÍCULAS CONSULARES DE ALTA SEGURIDAD EXPEDIDAS DURANTE EL 2017 A ORIGINARIOS DE SONORA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</si>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</sst>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SONORA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1247</v>
      </c>
      <c r="D12" s="9">
        <f>C12/$C$62</f>
        <v>0.18811283753205613</v>
      </c>
    </row>
    <row r="13" spans="1:4" x14ac:dyDescent="0.25">
      <c r="B13" s="11" t="s">
        <v>54</v>
      </c>
      <c r="C13" s="10">
        <v>859</v>
      </c>
      <c r="D13" s="9">
        <f>C13/$C$62</f>
        <v>0.12958213908583496</v>
      </c>
    </row>
    <row r="14" spans="1:4" s="12" customFormat="1" ht="15.75" x14ac:dyDescent="0.25">
      <c r="A14" s="1"/>
      <c r="B14" s="11" t="s">
        <v>53</v>
      </c>
      <c r="C14" s="10">
        <v>688</v>
      </c>
      <c r="D14" s="9">
        <f>C14/$C$62</f>
        <v>0.10378639312113441</v>
      </c>
    </row>
    <row r="15" spans="1:4" s="12" customFormat="1" ht="15.75" x14ac:dyDescent="0.25">
      <c r="A15" s="1"/>
      <c r="B15" s="11" t="s">
        <v>52</v>
      </c>
      <c r="C15" s="10">
        <v>421</v>
      </c>
      <c r="D15" s="9">
        <f>C15/$C$62</f>
        <v>6.350882486046161E-2</v>
      </c>
    </row>
    <row r="16" spans="1:4" x14ac:dyDescent="0.25">
      <c r="B16" s="11" t="s">
        <v>51</v>
      </c>
      <c r="C16" s="10">
        <v>365</v>
      </c>
      <c r="D16" s="9">
        <f>C16/$C$62</f>
        <v>5.5061095187811132E-2</v>
      </c>
    </row>
    <row r="17" spans="2:4" x14ac:dyDescent="0.25">
      <c r="B17" s="11" t="s">
        <v>50</v>
      </c>
      <c r="C17" s="10">
        <v>234</v>
      </c>
      <c r="D17" s="9">
        <f>C17/$C$62</f>
        <v>3.5299441846432342E-2</v>
      </c>
    </row>
    <row r="18" spans="2:4" x14ac:dyDescent="0.25">
      <c r="B18" s="11" t="s">
        <v>49</v>
      </c>
      <c r="C18" s="10">
        <v>226</v>
      </c>
      <c r="D18" s="9">
        <f>C18/$C$62</f>
        <v>3.409262332176799E-2</v>
      </c>
    </row>
    <row r="19" spans="2:4" x14ac:dyDescent="0.25">
      <c r="B19" s="11" t="s">
        <v>48</v>
      </c>
      <c r="C19" s="10">
        <v>184</v>
      </c>
      <c r="D19" s="9">
        <f>C19/$C$62</f>
        <v>2.7756826067280131E-2</v>
      </c>
    </row>
    <row r="20" spans="2:4" x14ac:dyDescent="0.25">
      <c r="B20" s="11" t="s">
        <v>47</v>
      </c>
      <c r="C20" s="10">
        <v>179</v>
      </c>
      <c r="D20" s="9">
        <f>C20/$C$62</f>
        <v>2.7002564489364913E-2</v>
      </c>
    </row>
    <row r="21" spans="2:4" x14ac:dyDescent="0.25">
      <c r="B21" s="11" t="s">
        <v>46</v>
      </c>
      <c r="C21" s="10">
        <v>168</v>
      </c>
      <c r="D21" s="9">
        <f>C21/$C$62</f>
        <v>2.5343189017951427E-2</v>
      </c>
    </row>
    <row r="22" spans="2:4" x14ac:dyDescent="0.25">
      <c r="B22" s="11" t="s">
        <v>45</v>
      </c>
      <c r="C22" s="10">
        <v>147</v>
      </c>
      <c r="D22" s="9">
        <f>C22/$C$62</f>
        <v>2.2175290390707498E-2</v>
      </c>
    </row>
    <row r="23" spans="2:4" x14ac:dyDescent="0.25">
      <c r="B23" s="11" t="s">
        <v>44</v>
      </c>
      <c r="C23" s="10">
        <v>147</v>
      </c>
      <c r="D23" s="9">
        <f>C23/$C$62</f>
        <v>2.2175290390707498E-2</v>
      </c>
    </row>
    <row r="24" spans="2:4" x14ac:dyDescent="0.25">
      <c r="B24" s="11" t="s">
        <v>43</v>
      </c>
      <c r="C24" s="10">
        <v>140</v>
      </c>
      <c r="D24" s="9">
        <f>C24/$C$62</f>
        <v>2.1119324181626188E-2</v>
      </c>
    </row>
    <row r="25" spans="2:4" x14ac:dyDescent="0.25">
      <c r="B25" s="11" t="s">
        <v>42</v>
      </c>
      <c r="C25" s="10">
        <v>133</v>
      </c>
      <c r="D25" s="9">
        <f>C25/$C$62</f>
        <v>2.0063357972544878E-2</v>
      </c>
    </row>
    <row r="26" spans="2:4" x14ac:dyDescent="0.25">
      <c r="B26" s="11" t="s">
        <v>41</v>
      </c>
      <c r="C26" s="10">
        <v>124</v>
      </c>
      <c r="D26" s="9">
        <f>C26/$C$62</f>
        <v>1.8705687132297481E-2</v>
      </c>
    </row>
    <row r="27" spans="2:4" x14ac:dyDescent="0.25">
      <c r="B27" s="11" t="s">
        <v>40</v>
      </c>
      <c r="C27" s="10">
        <v>117</v>
      </c>
      <c r="D27" s="9">
        <f>C27/$C$62</f>
        <v>1.7649720923216171E-2</v>
      </c>
    </row>
    <row r="28" spans="2:4" x14ac:dyDescent="0.25">
      <c r="B28" s="11" t="s">
        <v>39</v>
      </c>
      <c r="C28" s="10">
        <v>102</v>
      </c>
      <c r="D28" s="9">
        <f>C28/$C$62</f>
        <v>1.5386936189470509E-2</v>
      </c>
    </row>
    <row r="29" spans="2:4" x14ac:dyDescent="0.25">
      <c r="B29" s="11" t="s">
        <v>38</v>
      </c>
      <c r="C29" s="10">
        <v>95</v>
      </c>
      <c r="D29" s="9">
        <f>C29/$C$62</f>
        <v>1.4330969980389199E-2</v>
      </c>
    </row>
    <row r="30" spans="2:4" x14ac:dyDescent="0.25">
      <c r="B30" s="11" t="s">
        <v>37</v>
      </c>
      <c r="C30" s="10">
        <v>88</v>
      </c>
      <c r="D30" s="9">
        <f>C30/$C$62</f>
        <v>1.327500377130789E-2</v>
      </c>
    </row>
    <row r="31" spans="2:4" x14ac:dyDescent="0.25">
      <c r="B31" s="11" t="s">
        <v>36</v>
      </c>
      <c r="C31" s="10">
        <v>71</v>
      </c>
      <c r="D31" s="9">
        <f>C31/$C$62</f>
        <v>1.0710514406396138E-2</v>
      </c>
    </row>
    <row r="32" spans="2:4" x14ac:dyDescent="0.25">
      <c r="B32" s="11" t="s">
        <v>35</v>
      </c>
      <c r="C32" s="10">
        <v>69</v>
      </c>
      <c r="D32" s="9">
        <f>C32/$C$62</f>
        <v>1.040880977523005E-2</v>
      </c>
    </row>
    <row r="33" spans="2:4" x14ac:dyDescent="0.25">
      <c r="B33" s="11" t="s">
        <v>34</v>
      </c>
      <c r="C33" s="10">
        <v>63</v>
      </c>
      <c r="D33" s="9">
        <f>C33/$C$62</f>
        <v>9.5036958817317843E-3</v>
      </c>
    </row>
    <row r="34" spans="2:4" x14ac:dyDescent="0.25">
      <c r="B34" s="11" t="s">
        <v>33</v>
      </c>
      <c r="C34" s="10">
        <v>58</v>
      </c>
      <c r="D34" s="9">
        <f>C34/$C$62</f>
        <v>8.7494343038165643E-3</v>
      </c>
    </row>
    <row r="35" spans="2:4" x14ac:dyDescent="0.25">
      <c r="B35" s="11" t="s">
        <v>32</v>
      </c>
      <c r="C35" s="10">
        <v>57</v>
      </c>
      <c r="D35" s="9">
        <f>C35/$C$62</f>
        <v>8.5985819882335186E-3</v>
      </c>
    </row>
    <row r="36" spans="2:4" x14ac:dyDescent="0.25">
      <c r="B36" s="11" t="s">
        <v>31</v>
      </c>
      <c r="C36" s="10">
        <v>55</v>
      </c>
      <c r="D36" s="9">
        <f>C36/$C$62</f>
        <v>8.2968773570674306E-3</v>
      </c>
    </row>
    <row r="37" spans="2:4" x14ac:dyDescent="0.25">
      <c r="B37" s="11" t="s">
        <v>30</v>
      </c>
      <c r="C37" s="10">
        <v>51</v>
      </c>
      <c r="D37" s="9">
        <f>C37/$C$62</f>
        <v>7.6934680947352545E-3</v>
      </c>
    </row>
    <row r="38" spans="2:4" x14ac:dyDescent="0.25">
      <c r="B38" s="11" t="s">
        <v>29</v>
      </c>
      <c r="C38" s="10">
        <v>49</v>
      </c>
      <c r="D38" s="9">
        <f>C38/$C$62</f>
        <v>7.3917634635691657E-3</v>
      </c>
    </row>
    <row r="39" spans="2:4" x14ac:dyDescent="0.25">
      <c r="B39" s="11" t="s">
        <v>28</v>
      </c>
      <c r="C39" s="10">
        <v>48</v>
      </c>
      <c r="D39" s="9">
        <f>C39/$C$62</f>
        <v>7.2409111479861217E-3</v>
      </c>
    </row>
    <row r="40" spans="2:4" x14ac:dyDescent="0.25">
      <c r="B40" s="11" t="s">
        <v>27</v>
      </c>
      <c r="C40" s="10">
        <v>40</v>
      </c>
      <c r="D40" s="9">
        <f>C40/$C$62</f>
        <v>6.0340926233217679E-3</v>
      </c>
    </row>
    <row r="41" spans="2:4" x14ac:dyDescent="0.25">
      <c r="B41" s="11" t="s">
        <v>26</v>
      </c>
      <c r="C41" s="10">
        <v>38</v>
      </c>
      <c r="D41" s="9">
        <f>C41/$C$62</f>
        <v>5.7323879921556799E-3</v>
      </c>
    </row>
    <row r="42" spans="2:4" x14ac:dyDescent="0.25">
      <c r="B42" s="11" t="s">
        <v>25</v>
      </c>
      <c r="C42" s="10">
        <v>37</v>
      </c>
      <c r="D42" s="9">
        <f>C42/$C$62</f>
        <v>5.581535676572635E-3</v>
      </c>
    </row>
    <row r="43" spans="2:4" x14ac:dyDescent="0.25">
      <c r="B43" s="11" t="s">
        <v>24</v>
      </c>
      <c r="C43" s="10">
        <v>35</v>
      </c>
      <c r="D43" s="9">
        <f>C43/$C$62</f>
        <v>5.279831045406547E-3</v>
      </c>
    </row>
    <row r="44" spans="2:4" x14ac:dyDescent="0.25">
      <c r="B44" s="11" t="s">
        <v>23</v>
      </c>
      <c r="C44" s="10">
        <v>33</v>
      </c>
      <c r="D44" s="9">
        <f>C44/$C$62</f>
        <v>4.9781264142404582E-3</v>
      </c>
    </row>
    <row r="45" spans="2:4" x14ac:dyDescent="0.25">
      <c r="B45" s="11" t="s">
        <v>22</v>
      </c>
      <c r="C45" s="10">
        <v>32</v>
      </c>
      <c r="D45" s="9">
        <f>C45/$C$62</f>
        <v>4.8272740986574142E-3</v>
      </c>
    </row>
    <row r="46" spans="2:4" x14ac:dyDescent="0.25">
      <c r="B46" s="11" t="s">
        <v>21</v>
      </c>
      <c r="C46" s="10">
        <v>32</v>
      </c>
      <c r="D46" s="9">
        <f>C46/$C$62</f>
        <v>4.8272740986574142E-3</v>
      </c>
    </row>
    <row r="47" spans="2:4" x14ac:dyDescent="0.25">
      <c r="B47" s="11" t="s">
        <v>20</v>
      </c>
      <c r="C47" s="10">
        <v>28</v>
      </c>
      <c r="D47" s="9">
        <f>C47/$C$62</f>
        <v>4.2238648363252373E-3</v>
      </c>
    </row>
    <row r="48" spans="2:4" x14ac:dyDescent="0.25">
      <c r="B48" s="11" t="s">
        <v>19</v>
      </c>
      <c r="C48" s="10">
        <v>25</v>
      </c>
      <c r="D48" s="9">
        <f>C48/$C$62</f>
        <v>3.7713078895761048E-3</v>
      </c>
    </row>
    <row r="49" spans="2:4" x14ac:dyDescent="0.25">
      <c r="B49" s="11" t="s">
        <v>18</v>
      </c>
      <c r="C49" s="10">
        <v>24</v>
      </c>
      <c r="D49" s="9">
        <f>C49/$C$62</f>
        <v>3.6204555739930608E-3</v>
      </c>
    </row>
    <row r="50" spans="2:4" x14ac:dyDescent="0.25">
      <c r="B50" s="11" t="s">
        <v>17</v>
      </c>
      <c r="C50" s="10">
        <v>23</v>
      </c>
      <c r="D50" s="9">
        <f>C50/$C$62</f>
        <v>3.4696032584100164E-3</v>
      </c>
    </row>
    <row r="51" spans="2:4" x14ac:dyDescent="0.25">
      <c r="B51" s="11" t="s">
        <v>16</v>
      </c>
      <c r="C51" s="10">
        <v>21</v>
      </c>
      <c r="D51" s="9">
        <f>C51/$C$62</f>
        <v>3.1678986272439284E-3</v>
      </c>
    </row>
    <row r="52" spans="2:4" x14ac:dyDescent="0.25">
      <c r="B52" s="11" t="s">
        <v>15</v>
      </c>
      <c r="C52" s="10">
        <v>17</v>
      </c>
      <c r="D52" s="9">
        <f>C52/$C$62</f>
        <v>2.5644893649117515E-3</v>
      </c>
    </row>
    <row r="53" spans="2:4" x14ac:dyDescent="0.25">
      <c r="B53" s="11" t="s">
        <v>14</v>
      </c>
      <c r="C53" s="10">
        <v>14</v>
      </c>
      <c r="D53" s="9">
        <f>C53/$C$62</f>
        <v>2.1119324181626186E-3</v>
      </c>
    </row>
    <row r="54" spans="2:4" x14ac:dyDescent="0.25">
      <c r="B54" s="11" t="s">
        <v>13</v>
      </c>
      <c r="C54" s="10">
        <v>12</v>
      </c>
      <c r="D54" s="9">
        <f>C54/$C$62</f>
        <v>1.8102277869965304E-3</v>
      </c>
    </row>
    <row r="55" spans="2:4" x14ac:dyDescent="0.25">
      <c r="B55" s="11" t="s">
        <v>12</v>
      </c>
      <c r="C55" s="10">
        <v>11</v>
      </c>
      <c r="D55" s="9">
        <f>C55/$C$62</f>
        <v>1.6593754714134862E-3</v>
      </c>
    </row>
    <row r="56" spans="2:4" x14ac:dyDescent="0.25">
      <c r="B56" s="11" t="s">
        <v>11</v>
      </c>
      <c r="C56" s="10">
        <v>6</v>
      </c>
      <c r="D56" s="9">
        <f>C56/$C$62</f>
        <v>9.0511389349826521E-4</v>
      </c>
    </row>
    <row r="57" spans="2:4" x14ac:dyDescent="0.25">
      <c r="B57" s="11" t="s">
        <v>10</v>
      </c>
      <c r="C57" s="10">
        <v>6</v>
      </c>
      <c r="D57" s="9">
        <f>C57/$C$62</f>
        <v>9.0511389349826521E-4</v>
      </c>
    </row>
    <row r="58" spans="2:4" x14ac:dyDescent="0.25">
      <c r="B58" s="11" t="s">
        <v>9</v>
      </c>
      <c r="C58" s="10">
        <v>5</v>
      </c>
      <c r="D58" s="9">
        <f>C58/$C$62</f>
        <v>7.5426157791522099E-4</v>
      </c>
    </row>
    <row r="59" spans="2:4" x14ac:dyDescent="0.25">
      <c r="B59" s="11" t="s">
        <v>8</v>
      </c>
      <c r="C59" s="10">
        <v>5</v>
      </c>
      <c r="D59" s="9">
        <f>C59/$C$62</f>
        <v>7.5426157791522099E-4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6629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Sonora_Cons_2017</vt:lpstr>
      <vt:lpstr>Sonora_Cons_2017!Títulos_a_imprimir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2018-06-15T17:22:50Z</cp:lastPrinted>
  <dcterms:created xsi:type="dcterms:W3CDTF">2018-06-15T17:22:49Z</dcterms:created>
  <dcterms:modified xsi:type="dcterms:W3CDTF">2018-06-15T17:22:50Z</dcterms:modified>
</cp:coreProperties>
</file>