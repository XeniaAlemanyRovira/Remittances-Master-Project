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Trabajo Jesús\matriculas2013\repmex\RepMex Finales\"/>
    </mc:Choice>
  </mc:AlternateContent>
  <bookViews>
    <workbookView xWindow="0" yWindow="0" windowWidth="23040" windowHeight="8805" tabRatio="866"/>
  </bookViews>
  <sheets>
    <sheet name="Índice" sheetId="14" r:id="rId1"/>
    <sheet name="Quintana Roo_EdoUsa" sheetId="1" r:id="rId2"/>
    <sheet name="Quintana Roo_Cons" sheetId="15" r:id="rId3"/>
    <sheet name="Quintana Roo_EdoMun" sheetId="4" r:id="rId4"/>
    <sheet name="Quintana Roo_USAMuni" sheetId="5" r:id="rId5"/>
    <sheet name="Quintana Roo_MUNICIPIO" sheetId="6" r:id="rId6"/>
    <sheet name="Quintana Roo_educ_gral" sheetId="7" r:id="rId7"/>
    <sheet name="Quintana Roo_NivelE_Cons" sheetId="8" r:id="rId8"/>
    <sheet name="Quintana Roo_EducCons" sheetId="9" r:id="rId9"/>
    <sheet name="Quintana Roo_GenGral" sheetId="10" r:id="rId10"/>
    <sheet name="Quintana Roo_GENERO" sheetId="11" r:id="rId11"/>
    <sheet name="Quintana Roo_GenCon" sheetId="17" r:id="rId12"/>
    <sheet name="Quintana Roo_Gen_Edad" sheetId="12" r:id="rId13"/>
    <sheet name="Quintana Roo_ocup_gral" sheetId="13" r:id="rId14"/>
  </sheets>
  <definedNames>
    <definedName name="_xlnm._FilterDatabase" localSheetId="2" hidden="1">'Quintana Roo_Cons'!$B$11:$D$11</definedName>
    <definedName name="_xlnm._FilterDatabase" localSheetId="3" hidden="1">'Quintana Roo_EdoMun'!$B$11:$D$11</definedName>
    <definedName name="_xlnm._FilterDatabase" localSheetId="1" hidden="1">'Quintana Roo_EdoUsa'!$B$11:$D$11</definedName>
    <definedName name="_xlnm._FilterDatabase" localSheetId="6" hidden="1">'Quintana Roo_educ_gral'!$B$11:$D$11</definedName>
    <definedName name="_xlnm._FilterDatabase" localSheetId="8" hidden="1">'Quintana Roo_EducCons'!$B$9:$E$246</definedName>
    <definedName name="_xlnm._FilterDatabase" localSheetId="11" hidden="1">'Quintana Roo_GenCon'!$B$15:$E$133</definedName>
    <definedName name="_xlnm._FilterDatabase" localSheetId="10" hidden="1">'Quintana Roo_GENERO'!$B$12:$E$113</definedName>
    <definedName name="_xlnm._FilterDatabase" localSheetId="9" hidden="1">'Quintana Roo_GenGral'!#REF!</definedName>
    <definedName name="_xlnm._FilterDatabase" localSheetId="5" hidden="1">'Quintana Roo_MUNICIPIO'!$B$9:$E$174</definedName>
    <definedName name="_xlnm._FilterDatabase" localSheetId="7" hidden="1">'Quintana Roo_NivelE_Cons'!$B$9:$E$209</definedName>
    <definedName name="_xlnm._FilterDatabase" localSheetId="13" hidden="1">'Quintana Roo_ocup_gral'!$B$11:$D$11</definedName>
    <definedName name="_xlnm._FilterDatabase" localSheetId="4" hidden="1">'Quintana Roo_USAMuni'!$B$9:$E$147</definedName>
    <definedName name="_xlnm.Print_Area" localSheetId="8">'Quintana Roo_EducCons'!$A$1:$E$9</definedName>
    <definedName name="_xlnm.Print_Area" localSheetId="5">'Quintana Roo_MUNICIPIO'!$A$1:$E$9</definedName>
    <definedName name="_xlnm.Print_Area" localSheetId="7">'Quintana Roo_NivelE_Cons'!$A$1:$E$9</definedName>
    <definedName name="_xlnm.Print_Area" localSheetId="4">'Quintana Roo_USAMuni'!$A$1:$E$9</definedName>
    <definedName name="_xlnm.Print_Titles" localSheetId="2">'Quintana Roo_Cons'!$1:$11</definedName>
    <definedName name="_xlnm.Print_Titles" localSheetId="3">'Quintana Roo_EdoMun'!$1:$11</definedName>
    <definedName name="_xlnm.Print_Titles" localSheetId="1">'Quintana Roo_EdoUsa'!$1:$11</definedName>
    <definedName name="_xlnm.Print_Titles" localSheetId="6">'Quintana Roo_educ_gral'!$1:$11</definedName>
    <definedName name="_xlnm.Print_Titles" localSheetId="8">'Quintana Roo_EducCons'!$1:$9</definedName>
    <definedName name="_xlnm.Print_Titles" localSheetId="12">'Quintana Roo_Gen_Edad'!$1:$12</definedName>
    <definedName name="_xlnm.Print_Titles" localSheetId="10">'Quintana Roo_GENERO'!$1:$12</definedName>
    <definedName name="_xlnm.Print_Titles" localSheetId="9">'Quintana Roo_GenGral'!$1:$10</definedName>
    <definedName name="_xlnm.Print_Titles" localSheetId="5">'Quintana Roo_MUNICIPIO'!$1:$9</definedName>
    <definedName name="_xlnm.Print_Titles" localSheetId="7">'Quintana Roo_NivelE_Cons'!$1:$9</definedName>
    <definedName name="_xlnm.Print_Titles" localSheetId="13">'Quintana Roo_ocup_gral'!$1:$11</definedName>
    <definedName name="_xlnm.Print_Titles" localSheetId="4">'Quintana Roo_USAMuni'!$1:$9</definedName>
  </definedNames>
  <calcPr calcId="152511"/>
</workbook>
</file>

<file path=xl/calcChain.xml><?xml version="1.0" encoding="utf-8"?>
<calcChain xmlns="http://schemas.openxmlformats.org/spreadsheetml/2006/main">
  <c r="C14" i="10" l="1"/>
</calcChain>
</file>

<file path=xl/sharedStrings.xml><?xml version="1.0" encoding="utf-8"?>
<sst xmlns="http://schemas.openxmlformats.org/spreadsheetml/2006/main" count="1442" uniqueCount="179">
  <si>
    <t>Aguascalientes</t>
  </si>
  <si>
    <t xml:space="preserve">Estado </t>
  </si>
  <si>
    <t>Número de Matrículas</t>
  </si>
  <si>
    <t>Porcentaje de Matrículas</t>
  </si>
  <si>
    <t>California</t>
  </si>
  <si>
    <t>Texas</t>
  </si>
  <si>
    <t>Illinois</t>
  </si>
  <si>
    <t>Oklahoma</t>
  </si>
  <si>
    <t>Colorado</t>
  </si>
  <si>
    <t>Indiana</t>
  </si>
  <si>
    <t>Florida</t>
  </si>
  <si>
    <t>Nevada</t>
  </si>
  <si>
    <t>Georgia</t>
  </si>
  <si>
    <t>Arkansas</t>
  </si>
  <si>
    <t>Tennessee</t>
  </si>
  <si>
    <t>North Carolina</t>
  </si>
  <si>
    <t>Kansas</t>
  </si>
  <si>
    <t>Washington</t>
  </si>
  <si>
    <t>New Mexico</t>
  </si>
  <si>
    <t>Kentucky</t>
  </si>
  <si>
    <t>Utah</t>
  </si>
  <si>
    <t>Wisconsin</t>
  </si>
  <si>
    <t>Arizona</t>
  </si>
  <si>
    <t>Nebraska</t>
  </si>
  <si>
    <t>Iowa</t>
  </si>
  <si>
    <t>Missouri</t>
  </si>
  <si>
    <t>Virginia</t>
  </si>
  <si>
    <t>Michigan</t>
  </si>
  <si>
    <t>Louisiana</t>
  </si>
  <si>
    <t>Minnesota</t>
  </si>
  <si>
    <t>Oregon</t>
  </si>
  <si>
    <t>South Carolina</t>
  </si>
  <si>
    <t>New York</t>
  </si>
  <si>
    <t>Ohio</t>
  </si>
  <si>
    <t>Alabama</t>
  </si>
  <si>
    <t>Mississippi</t>
  </si>
  <si>
    <t>Pennsylvania</t>
  </si>
  <si>
    <t>Maryland</t>
  </si>
  <si>
    <t>New Jersey</t>
  </si>
  <si>
    <t>Fuente: Expedición de Matrículas Consulares de Alta Seguridad en los Consulados de México en E.E.U.U.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</si>
  <si>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</si>
  <si>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</si>
  <si>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</si>
  <si>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</si>
  <si>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</si>
  <si>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</si>
  <si>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</si>
  <si>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</si>
  <si>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MUJER</t>
  </si>
  <si>
    <t>HOMBRE</t>
  </si>
  <si>
    <t>Género</t>
  </si>
  <si>
    <t>Entre 66 y 75 Años</t>
  </si>
  <si>
    <t>Hasta 10 Años</t>
  </si>
  <si>
    <t>Edad Cumplida</t>
  </si>
  <si>
    <t>Ocupación</t>
  </si>
  <si>
    <t xml:space="preserve">Da clic al texto para ir a la información, selecciona                 para regresar. </t>
  </si>
  <si>
    <t>1. Por Estados de USA</t>
  </si>
  <si>
    <t>2.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</si>
  <si>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</si>
  <si>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</si>
  <si>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</si>
  <si>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</si>
  <si>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</si>
  <si>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</si>
  <si>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</si>
  <si>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</si>
  <si>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</si>
  <si>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</si>
  <si>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</si>
  <si>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</si>
  <si>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>Tamaño de la muestra: 951,570</t>
  </si>
  <si>
    <t>Elaborado por: Sistematización de Información y Estadística del Instituto de los Mexicanos en el Exterior</t>
  </si>
  <si>
    <t>Secretaria de Relaciones Exteriores</t>
  </si>
  <si>
    <t>Mayo del 2014</t>
  </si>
  <si>
    <t>CHICAGO</t>
  </si>
  <si>
    <t>LOS ANGELES</t>
  </si>
  <si>
    <t>LITTLE ROCK</t>
  </si>
  <si>
    <t>DENVER</t>
  </si>
  <si>
    <t>DALLAS</t>
  </si>
  <si>
    <t>HOUSTON</t>
  </si>
  <si>
    <t>SAN BERNARDINO</t>
  </si>
  <si>
    <t>ATLANTA</t>
  </si>
  <si>
    <t>FRESNO</t>
  </si>
  <si>
    <t>SANTA ANA</t>
  </si>
  <si>
    <t>RALEIGH</t>
  </si>
  <si>
    <t>INDIANAPOLIS</t>
  </si>
  <si>
    <t>KANSAS CITY</t>
  </si>
  <si>
    <t>SAN FRANCISCO</t>
  </si>
  <si>
    <t>SACRAMENTO</t>
  </si>
  <si>
    <t>AUSTIN</t>
  </si>
  <si>
    <t>ORLANDO</t>
  </si>
  <si>
    <t>OXNARD</t>
  </si>
  <si>
    <t>LAS VEGAS</t>
  </si>
  <si>
    <t>SAN ANTONIO</t>
  </si>
  <si>
    <t>OMAHA</t>
  </si>
  <si>
    <t>SALT LAKE CITY</t>
  </si>
  <si>
    <t>SAN JOSE</t>
  </si>
  <si>
    <t>ALBUQUERQUE</t>
  </si>
  <si>
    <t>DETROIT</t>
  </si>
  <si>
    <t>MIAMI</t>
  </si>
  <si>
    <t>SAN DIEGO</t>
  </si>
  <si>
    <t>MC ALLEN</t>
  </si>
  <si>
    <t>WASHINGTON</t>
  </si>
  <si>
    <t>SEATTLE</t>
  </si>
  <si>
    <t>PORTLAND</t>
  </si>
  <si>
    <t>SAINT PAUL</t>
  </si>
  <si>
    <t>PHOENIX</t>
  </si>
  <si>
    <t>NUEVA ORLEANS</t>
  </si>
  <si>
    <t>FILADELFIA</t>
  </si>
  <si>
    <t>EL PASO</t>
  </si>
  <si>
    <t>LAREDO</t>
  </si>
  <si>
    <t>NUEVA YORK</t>
  </si>
  <si>
    <t>BOSTON</t>
  </si>
  <si>
    <t>BROWNSVILLE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</si>
  <si>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</si>
  <si>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</si>
  <si>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</si>
  <si>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</si>
  <si>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</si>
  <si>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</si>
  <si>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</si>
  <si>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</si>
  <si>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</si>
  <si>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</si>
  <si>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</si>
  <si>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</si>
  <si>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</si>
  <si>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</si>
  <si>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</si>
  <si>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2o. ANO DE PROFESIONAL</t>
  </si>
  <si>
    <t>3er. ANO DE PROFESIONAL</t>
  </si>
  <si>
    <t>PROFESIONAL PASANTE</t>
  </si>
  <si>
    <t>PROFESIONAL TITULADO</t>
  </si>
  <si>
    <t>MENORES DE EDAD</t>
  </si>
  <si>
    <t>POSGRADO [DOCTORADO]</t>
  </si>
  <si>
    <t>Entre 11 y 20 Años</t>
  </si>
  <si>
    <t>Entre 21 y 35 Años</t>
  </si>
  <si>
    <t>Entre 36 y 50 Años</t>
  </si>
  <si>
    <t>Entre 51 y 65 Años</t>
  </si>
  <si>
    <t>Entre 76 y 85 Años</t>
  </si>
  <si>
    <t>Porcentaje con respecto al total de matrículas</t>
  </si>
  <si>
    <t>EMPLEADO(A)</t>
  </si>
  <si>
    <t>HOGAR</t>
  </si>
  <si>
    <t>OBRERO(A)</t>
  </si>
  <si>
    <t>ESTUDIANTE</t>
  </si>
  <si>
    <t>COCINERO(A)</t>
  </si>
  <si>
    <t>OTRO</t>
  </si>
  <si>
    <t>ALBANIL</t>
  </si>
  <si>
    <t>JARDINERO(A)</t>
  </si>
  <si>
    <t>PINTOR(A)</t>
  </si>
  <si>
    <t>CAMPESINO(A)</t>
  </si>
  <si>
    <t>MESERO(A)</t>
  </si>
  <si>
    <t>COMERCIANTE</t>
  </si>
  <si>
    <t>OPERARIO(A)</t>
  </si>
  <si>
    <t>CAJERO(A)</t>
  </si>
  <si>
    <t>CHOFER</t>
  </si>
  <si>
    <t>PROFESIONISTA</t>
  </si>
  <si>
    <t>PANADERO(A)</t>
  </si>
  <si>
    <t>5.2 Por Estado de USA</t>
  </si>
  <si>
    <t>5.3 Por Circunscripción Consular</t>
  </si>
  <si>
    <t>alifornia</t>
  </si>
  <si>
    <t>Massachusetts</t>
  </si>
  <si>
    <t>Matrículas consulares expedidas a originarios de Quintana Roo en el 2013.</t>
  </si>
  <si>
    <t>MATRÍCULAS CONSULARES DE ALTA SEGURIDAD EXPEDIDAS A ORIGINARIOS DE QUINTANA ROO POR ESTADO DE LA UNIÓN AMERICANA. DURANTE EL 2013</t>
  </si>
  <si>
    <t>MATRÍCULAS CONSULARES DE ALTA SEGURIDAD EXPEDIDAS DURANTE EL 2013 A ORIGINARIOS DE QUINTANA ROO EN LOS CONSULADOS DE MÉXICO EN EE.UU.</t>
  </si>
  <si>
    <t>MATRÍCULAS CONSULARES DE ALTA SEGURIDAD EXPEDIDAS POR MUNICIPIO A ORIGINARIOS DE QUINTANA ROO EN LOS CONSULADOS DE MÉXICO EN EE.UU. 2013</t>
  </si>
  <si>
    <t>OTHON P. BLANCO</t>
  </si>
  <si>
    <t>BENITO JUAREZ</t>
  </si>
  <si>
    <t>JOSE MARIA MORELOS</t>
  </si>
  <si>
    <t>FELIPE CARRILLO PUERTO</t>
  </si>
  <si>
    <t>COZUMEL</t>
  </si>
  <si>
    <t>ISLA MUJERES</t>
  </si>
  <si>
    <t>LAZARO CARDENAS</t>
  </si>
  <si>
    <t>MATRÍCULAS CONSULARES EXPEDIDAS EN EE.UU. A ORIGINARIOS DE QUINTANA ROO POR NIVEL DE EDUCACIÓN, 2013.</t>
  </si>
  <si>
    <t>MATRÍCULAS CONSULARES EXPEDIDAS A ORIGINARIOS DE QUINTANA ROO POR GÉNERO Y ESTADO DE MÉXICO 2013.</t>
  </si>
  <si>
    <t>MATRÍCULAS CONSULARES EXPEDIDAS A ORIGINARIOS DE QUINTANA ROO POR GÉNERO Y EDAD EN EE.UU.</t>
  </si>
  <si>
    <t>MATRÍCULAS CONSULARES EXPEDIDAS EN EE.UU. A ORIGINARIOS DE QUINTANA ROO POR PERFIL OCUPACIONAL, 2013.</t>
  </si>
  <si>
    <r>
      <t>MATRÍCULAS CONSULARES EXPEDIDAS A ORIGINARIOS DE QUINTANA ROO POR GÉNERO Y CONSULADO DE MÉXICO 2013</t>
    </r>
    <r>
      <rPr>
        <sz val="11"/>
        <color rgb="FF000000"/>
        <rFont val="Montserrat"/>
      </rPr>
      <t>.</t>
    </r>
  </si>
  <si>
    <t>MATRÍCULAS CONSULARES EXPEDIDAS A ORIGINARIOS DE QUINTANA ROO POR GÉNERO EN EE.UU DURANTE EL 2013.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</si>
</sst>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8" formatCode="#.0%"/>
  </numFmts>
  <fonts count="25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11"/>
      <color theme="1"/>
      <name val="Soberana Sans"/>
      <family val="3"/>
    </font>
    <font>
      <sz val="11"/>
      <name val="Calibri"/>
      <family val="2"/>
      <scheme val="minor"/>
    </font>
    <font>
      <sz val="11"/>
      <name val="Soberana Sans"/>
      <family val="3"/>
    </font>
    <font>
      <sz val="10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1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4"/>
      <color rgb="FF000000"/>
      <name val="Times New Roman"/>
      <family val="1"/>
    </font>
    <font>
      <sz val="9"/>
      <name val="Montserrat"/>
    </font>
    <font>
      <sz val="7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rgb="FF00000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8" fillId="0" borderId="0"/>
    <xf numFmtId="0" fontId="9" fillId="0" borderId="0"/>
    <xf numFmtId="0" fontId="15" fillId="0" borderId="0" applyNumberFormat="0" applyFill="0" applyBorder="0" applyAlignment="0" applyProtection="0"/>
  </cellStyleXfs>
  <cellXfs count="89">
    <xf numFmtId="0" fontId="0" fillId="0" borderId="0" xfId="0"/>
    <xf numFmtId="0" fontId="1" fillId="0" borderId="0" xfId="0" applyFont="1"/>
    <xf numFmtId="1" fontId="1" fillId="0" borderId="0" xfId="0" applyNumberFormat="1" applyFont="1"/>
    <xf numFmtId="3" fontId="1" fillId="0" borderId="0" xfId="0" applyNumberFormat="1" applyFont="1"/>
    <xf numFmtId="0" fontId="3" fillId="0" borderId="0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" fontId="4" fillId="2" borderId="2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7" fillId="3" borderId="0" xfId="0" applyFont="1" applyFill="1"/>
    <xf numFmtId="0" fontId="10" fillId="2" borderId="2" xfId="2" applyFont="1" applyFill="1" applyBorder="1" applyAlignment="1">
      <alignment horizontal="center" vertical="center" wrapText="1"/>
    </xf>
    <xf numFmtId="1" fontId="10" fillId="2" borderId="2" xfId="2" applyNumberFormat="1" applyFont="1" applyFill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 wrapText="1"/>
    </xf>
    <xf numFmtId="0" fontId="1" fillId="3" borderId="0" xfId="0" applyFont="1" applyFill="1"/>
    <xf numFmtId="0" fontId="11" fillId="3" borderId="0" xfId="0" applyFont="1" applyFill="1" applyAlignment="1"/>
    <xf numFmtId="0" fontId="12" fillId="3" borderId="0" xfId="0" applyFont="1" applyFill="1"/>
    <xf numFmtId="0" fontId="12" fillId="3" borderId="0" xfId="0" applyFont="1" applyFill="1" applyAlignment="1">
      <alignment vertical="center"/>
    </xf>
    <xf numFmtId="0" fontId="1" fillId="3" borderId="0" xfId="0" applyFont="1" applyFill="1" applyBorder="1"/>
    <xf numFmtId="3" fontId="1" fillId="3" borderId="0" xfId="0" applyNumberFormat="1" applyFont="1" applyFill="1" applyBorder="1"/>
    <xf numFmtId="1" fontId="1" fillId="3" borderId="0" xfId="0" applyNumberFormat="1" applyFont="1" applyFill="1" applyBorder="1"/>
    <xf numFmtId="0" fontId="12" fillId="3" borderId="0" xfId="0" applyFont="1" applyFill="1" applyBorder="1"/>
    <xf numFmtId="0" fontId="12" fillId="3" borderId="0" xfId="0" applyFont="1" applyFill="1" applyBorder="1" applyAlignment="1">
      <alignment vertical="center"/>
    </xf>
    <xf numFmtId="3" fontId="1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8" fillId="3" borderId="0" xfId="0" applyFont="1" applyFill="1" applyBorder="1"/>
    <xf numFmtId="0" fontId="1" fillId="3" borderId="0" xfId="0" applyFont="1" applyFill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4" fillId="0" borderId="0" xfId="0" applyFont="1"/>
    <xf numFmtId="0" fontId="14" fillId="0" borderId="8" xfId="0" applyFont="1" applyBorder="1" applyAlignment="1">
      <alignment horizontal="left"/>
    </xf>
    <xf numFmtId="0" fontId="14" fillId="0" borderId="0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14" fillId="0" borderId="8" xfId="0" applyFont="1" applyBorder="1" applyAlignment="1">
      <alignment horizontal="left" wrapText="1"/>
    </xf>
    <xf numFmtId="0" fontId="14" fillId="0" borderId="0" xfId="0" applyFont="1" applyBorder="1" applyAlignment="1">
      <alignment horizontal="left" wrapText="1"/>
    </xf>
    <xf numFmtId="0" fontId="14" fillId="0" borderId="9" xfId="0" applyFont="1" applyBorder="1" applyAlignment="1">
      <alignment horizontal="left" wrapText="1"/>
    </xf>
    <xf numFmtId="0" fontId="14" fillId="0" borderId="8" xfId="0" applyFont="1" applyBorder="1" applyAlignment="1"/>
    <xf numFmtId="0" fontId="14" fillId="0" borderId="0" xfId="0" applyFont="1" applyBorder="1" applyAlignment="1"/>
    <xf numFmtId="0" fontId="14" fillId="0" borderId="9" xfId="0" applyFont="1" applyBorder="1" applyAlignment="1"/>
    <xf numFmtId="0" fontId="14" fillId="0" borderId="8" xfId="0" applyFont="1" applyBorder="1"/>
    <xf numFmtId="0" fontId="14" fillId="0" borderId="0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11" xfId="0" applyFont="1" applyBorder="1"/>
    <xf numFmtId="0" fontId="14" fillId="0" borderId="12" xfId="0" applyFont="1" applyBorder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3" borderId="4" xfId="0" applyFont="1" applyFill="1" applyBorder="1" applyAlignment="1">
      <alignment horizontal="center" vertical="distributed"/>
    </xf>
    <xf numFmtId="0" fontId="8" fillId="0" borderId="0" xfId="1"/>
    <xf numFmtId="0" fontId="8" fillId="0" borderId="0" xfId="1" applyAlignment="1"/>
    <xf numFmtId="0" fontId="2" fillId="0" borderId="0" xfId="0" applyFont="1" applyBorder="1" applyAlignment="1">
      <alignment horizontal="center" vertical="center" wrapText="1"/>
    </xf>
    <xf numFmtId="0" fontId="5" fillId="3" borderId="0" xfId="0" applyFont="1" applyFill="1" applyAlignment="1">
      <alignment horizontal="center" wrapText="1"/>
    </xf>
    <xf numFmtId="0" fontId="17" fillId="0" borderId="0" xfId="1" applyFont="1" applyAlignment="1"/>
    <xf numFmtId="0" fontId="18" fillId="0" borderId="0" xfId="1" applyFont="1" applyAlignment="1"/>
    <xf numFmtId="0" fontId="19" fillId="3" borderId="3" xfId="0" applyFont="1" applyFill="1" applyBorder="1" applyAlignment="1">
      <alignment horizontal="left" vertical="center" wrapText="1"/>
    </xf>
    <xf numFmtId="0" fontId="19" fillId="3" borderId="3" xfId="0" applyFont="1" applyFill="1" applyBorder="1" applyAlignment="1">
      <alignment horizontal="center" vertical="center" wrapText="1"/>
    </xf>
    <xf numFmtId="10" fontId="19" fillId="3" borderId="3" xfId="0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center" vertical="center" wrapText="1"/>
    </xf>
    <xf numFmtId="10" fontId="4" fillId="4" borderId="0" xfId="0" applyNumberFormat="1" applyFont="1" applyFill="1" applyAlignment="1">
      <alignment horizontal="center" vertical="center" wrapText="1"/>
    </xf>
    <xf numFmtId="0" fontId="20" fillId="3" borderId="0" xfId="0" applyFont="1" applyFill="1"/>
    <xf numFmtId="3" fontId="20" fillId="3" borderId="0" xfId="0" applyNumberFormat="1" applyFont="1" applyFill="1"/>
    <xf numFmtId="0" fontId="19" fillId="3" borderId="3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20" fillId="3" borderId="3" xfId="0" applyFont="1" applyFill="1" applyBorder="1"/>
    <xf numFmtId="3" fontId="20" fillId="3" borderId="3" xfId="0" applyNumberFormat="1" applyFont="1" applyFill="1" applyBorder="1"/>
    <xf numFmtId="0" fontId="20" fillId="0" borderId="3" xfId="0" applyFont="1" applyBorder="1"/>
    <xf numFmtId="3" fontId="20" fillId="0" borderId="3" xfId="0" applyNumberFormat="1" applyFont="1" applyBorder="1"/>
    <xf numFmtId="49" fontId="4" fillId="5" borderId="3" xfId="0" applyNumberFormat="1" applyFont="1" applyFill="1" applyBorder="1" applyAlignment="1">
      <alignment vertical="center" wrapText="1"/>
    </xf>
    <xf numFmtId="3" fontId="4" fillId="5" borderId="3" xfId="0" applyNumberFormat="1" applyFont="1" applyFill="1" applyBorder="1" applyAlignment="1">
      <alignment horizontal="right" vertical="center" wrapText="1"/>
    </xf>
    <xf numFmtId="168" fontId="4" fillId="5" borderId="3" xfId="0" applyNumberFormat="1" applyFont="1" applyFill="1" applyBorder="1" applyAlignment="1">
      <alignment horizontal="right" vertical="center" wrapText="1"/>
    </xf>
    <xf numFmtId="168" fontId="19" fillId="3" borderId="3" xfId="0" applyNumberFormat="1" applyFont="1" applyFill="1" applyBorder="1" applyAlignment="1">
      <alignment horizontal="right" vertical="center" wrapText="1"/>
    </xf>
    <xf numFmtId="9" fontId="4" fillId="4" borderId="0" xfId="0" applyNumberFormat="1" applyFont="1" applyFill="1" applyAlignment="1">
      <alignment horizontal="center" vertical="center" wrapText="1"/>
    </xf>
    <xf numFmtId="0" fontId="22" fillId="2" borderId="5" xfId="0" applyFont="1" applyFill="1" applyBorder="1" applyAlignment="1">
      <alignment horizontal="center" wrapText="1"/>
    </xf>
    <xf numFmtId="0" fontId="22" fillId="2" borderId="6" xfId="0" applyFont="1" applyFill="1" applyBorder="1" applyAlignment="1">
      <alignment horizontal="center" wrapText="1"/>
    </xf>
    <xf numFmtId="0" fontId="22" fillId="2" borderId="7" xfId="0" applyFont="1" applyFill="1" applyBorder="1" applyAlignment="1">
      <alignment horizontal="center" wrapText="1"/>
    </xf>
    <xf numFmtId="0" fontId="23" fillId="0" borderId="8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9" xfId="0" applyFont="1" applyBorder="1" applyAlignment="1">
      <alignment horizontal="left" wrapText="1"/>
    </xf>
    <xf numFmtId="0" fontId="8" fillId="0" borderId="0" xfId="1"/>
    <xf numFmtId="0" fontId="23" fillId="0" borderId="8" xfId="0" applyFont="1" applyBorder="1"/>
    <xf numFmtId="0" fontId="24" fillId="0" borderId="8" xfId="3" applyFont="1" applyBorder="1" applyAlignment="1">
      <alignment horizontal="left"/>
    </xf>
    <xf numFmtId="0" fontId="24" fillId="0" borderId="0" xfId="3" applyFont="1" applyBorder="1" applyAlignment="1">
      <alignment horizontal="left"/>
    </xf>
    <xf numFmtId="0" fontId="17" fillId="0" borderId="0" xfId="1" applyFont="1"/>
    <xf numFmtId="0" fontId="18" fillId="0" borderId="0" xfId="1" applyFont="1"/>
    <xf numFmtId="0" fontId="4" fillId="6" borderId="3" xfId="0" applyFont="1" applyFill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 wrapText="1"/>
    </xf>
    <xf numFmtId="10" fontId="4" fillId="6" borderId="3" xfId="0" applyNumberFormat="1" applyFont="1" applyFill="1" applyBorder="1" applyAlignment="1">
      <alignment horizontal="center" vertical="center" wrapText="1"/>
    </xf>
  </cellXfs>
  <cellStyles count="4">
    <cellStyle name="Hipervínculo" xfId="3" builtinId="8"/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3.png"/><Relationship Id="rId1" Type="http://schemas.openxmlformats.org/officeDocument/2006/relationships/image" Target="../media/image4.jpe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629366</xdr:colOff>
      <xdr:row>1</xdr:row>
      <xdr:rowOff>179078</xdr:rowOff>
    </xdr:from>
    <xdr:to>
      <xdr:col>3</xdr:col>
      <xdr:colOff>1141463</xdr:colOff>
      <xdr:row>2</xdr:row>
      <xdr:rowOff>179079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55179" y="710891"/>
          <a:ext cx="512097" cy="2301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152400</xdr:rowOff>
    </xdr:from>
    <xdr:to>
      <xdr:col>5</xdr:col>
      <xdr:colOff>216822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52975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38100</xdr:rowOff>
    </xdr:from>
    <xdr:to>
      <xdr:col>5</xdr:col>
      <xdr:colOff>64422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QUEINTANA ROO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</a:t>
          </a:r>
          <a:r>
            <a:rPr lang="es-MX" sz="1000" baseline="0">
              <a:latin typeface="Montserrat" panose="00000500000000000000" pitchFamily="2" charset="0"/>
            </a:rPr>
            <a:t> DE QUINTANA ROO </a:t>
          </a:r>
          <a:r>
            <a:rPr lang="es-MX" sz="1000">
              <a:latin typeface="Montserrat" panose="00000500000000000000" pitchFamily="2" charset="0"/>
            </a:rPr>
            <a:t>POR ESTADO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486103</xdr:colOff>
      <xdr:row>7</xdr:row>
      <xdr:rowOff>131379</xdr:rowOff>
    </xdr:from>
    <xdr:to>
      <xdr:col>4</xdr:col>
      <xdr:colOff>998200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3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ROO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</a:t>
          </a:r>
          <a:r>
            <a:rPr lang="es-MX" sz="1000" baseline="0">
              <a:latin typeface="Montserrat" panose="00000500000000000000" pitchFamily="2" charset="0"/>
            </a:rPr>
            <a:t> QUINTANA ROO </a:t>
          </a:r>
          <a:r>
            <a:rPr lang="es-MX" sz="1000">
              <a:latin typeface="Montserrat" panose="00000500000000000000" pitchFamily="2" charset="0"/>
            </a:rPr>
            <a:t>EN LOS CONSULADOS DE MÉXICO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548137</xdr:colOff>
      <xdr:row>7</xdr:row>
      <xdr:rowOff>80873</xdr:rowOff>
    </xdr:from>
    <xdr:to>
      <xdr:col>4</xdr:col>
      <xdr:colOff>1060234</xdr:colOff>
      <xdr:row>7</xdr:row>
      <xdr:rowOff>265228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4835" y="181514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1162050</xdr:colOff>
      <xdr:row>7</xdr:row>
      <xdr:rowOff>114300</xdr:rowOff>
    </xdr:from>
    <xdr:to>
      <xdr:col>4</xdr:col>
      <xdr:colOff>493047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10075" y="16383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ROO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 QUINTANA</a:t>
          </a:r>
          <a:r>
            <a:rPr lang="es-MX" sz="1000" baseline="0">
              <a:latin typeface="Montserrat" panose="00000500000000000000" pitchFamily="2" charset="0"/>
            </a:rPr>
            <a:t> ROO </a:t>
          </a:r>
          <a:r>
            <a:rPr lang="es-MX" sz="1000">
              <a:latin typeface="Montserrat" panose="00000500000000000000" pitchFamily="2" charset="0"/>
            </a:rPr>
            <a:t>POR NIVEL DE EDUCACIÓN Y ESTADO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</a:t>
          </a:r>
          <a:r>
            <a:rPr lang="es-MX" sz="1000" baseline="0">
              <a:latin typeface="Montserrat" panose="00000500000000000000" pitchFamily="2" charset="0"/>
            </a:rPr>
            <a:t> QUINTANA ROO  </a:t>
          </a:r>
          <a:r>
            <a:rPr lang="es-MX" sz="1000">
              <a:latin typeface="Montserrat" panose="00000500000000000000" pitchFamily="2" charset="0"/>
            </a:rPr>
            <a:t>POR CONSULADO Y NIVEL DE EDUCACIÓN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170793</xdr:rowOff>
    </xdr:from>
    <xdr:to>
      <xdr:col>4</xdr:col>
      <xdr:colOff>1070459</xdr:colOff>
      <xdr:row>7</xdr:row>
      <xdr:rowOff>355148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9115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180975</xdr:rowOff>
    </xdr:from>
    <xdr:to>
      <xdr:col>5</xdr:col>
      <xdr:colOff>64422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1006928</xdr:colOff>
      <xdr:row>7</xdr:row>
      <xdr:rowOff>185057</xdr:rowOff>
    </xdr:from>
    <xdr:to>
      <xdr:col>6</xdr:col>
      <xdr:colOff>125654</xdr:colOff>
      <xdr:row>8</xdr:row>
      <xdr:rowOff>178912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8814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542925</xdr:colOff>
      <xdr:row>2</xdr:row>
      <xdr:rowOff>28575</xdr:rowOff>
    </xdr:from>
    <xdr:to>
      <xdr:col>5</xdr:col>
      <xdr:colOff>276225</xdr:colOff>
      <xdr:row>9</xdr:row>
      <xdr:rowOff>0</xdr:rowOff>
    </xdr:to>
    <xdr:sp macro="" textlink="">
      <xdr:nvSpPr>
        <xdr:cNvPr id="7" name="Rectángulo 6"/>
        <xdr:cNvSpPr/>
      </xdr:nvSpPr>
      <xdr:spPr>
        <a:xfrm>
          <a:off x="542925" y="409575"/>
          <a:ext cx="3543300" cy="1304925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</a:p>
      </xdr:txBody>
    </xdr:sp>
    <xdr:clientData/>
  </xdr:twoCellAnchor>
  <xdr:oneCellAnchor>
    <xdr:from>
      <xdr:col>0</xdr:col>
      <xdr:colOff>552450</xdr:colOff>
      <xdr:row>2</xdr:row>
      <xdr:rowOff>66675</xdr:rowOff>
    </xdr:from>
    <xdr:ext cx="1097650" cy="598411"/>
    <xdr:pic>
      <xdr:nvPicPr>
        <xdr:cNvPr id="6" name="Imagen 5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" y="44767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4</xdr:col>
      <xdr:colOff>114300</xdr:colOff>
      <xdr:row>2</xdr:row>
      <xdr:rowOff>57150</xdr:rowOff>
    </xdr:from>
    <xdr:ext cx="853107" cy="335729"/>
    <xdr:pic>
      <xdr:nvPicPr>
        <xdr:cNvPr id="10" name="Imagen 9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62300" y="43815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12</xdr:row>
      <xdr:rowOff>0</xdr:rowOff>
    </xdr:from>
    <xdr:to>
      <xdr:col>5</xdr:col>
      <xdr:colOff>512097</xdr:colOff>
      <xdr:row>12</xdr:row>
      <xdr:rowOff>184355</xdr:rowOff>
    </xdr:to>
    <xdr:sp macro="" textlink="">
      <xdr:nvSpPr>
        <xdr:cNvPr id="8" name="Rectángulo redondeado 1">
          <a:hlinkClick xmlns:r="http://schemas.openxmlformats.org/officeDocument/2006/relationships" r:id="rId3"/>
        </xdr:cNvPr>
        <xdr:cNvSpPr/>
      </xdr:nvSpPr>
      <xdr:spPr>
        <a:xfrm>
          <a:off x="5019675" y="2324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128428</xdr:colOff>
      <xdr:row>8</xdr:row>
      <xdr:rowOff>0</xdr:rowOff>
    </xdr:from>
    <xdr:to>
      <xdr:col>6</xdr:col>
      <xdr:colOff>255244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1518" y="157323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7</xdr:row>
      <xdr:rowOff>123825</xdr:rowOff>
    </xdr:from>
    <xdr:to>
      <xdr:col>5</xdr:col>
      <xdr:colOff>7272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6478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showGridLines="0" tabSelected="1" view="pageBreakPreview" zoomScaleNormal="100" zoomScaleSheetLayoutView="100" workbookViewId="0">
      <selection activeCell="B12" sqref="B12:D12"/>
    </sheetView>
  </sheetViews>
  <sheetFormatPr baseColWidth="10" defaultColWidth="11.42578125" defaultRowHeight="18"/>
  <cols>
    <col min="1" max="1" width="5.140625" style="30" customWidth="1"/>
    <col min="2" max="2" width="20" style="30" customWidth="1"/>
    <col min="3" max="3" width="24.7109375" style="30" customWidth="1"/>
    <col min="4" max="4" width="20.42578125" style="30" customWidth="1"/>
    <col min="5" max="16384" width="11.42578125" style="30"/>
  </cols>
  <sheetData>
    <row r="1" spans="1:4" ht="42" customHeight="1" thickBot="1">
      <c r="A1" s="74" t="s">
        <v>162</v>
      </c>
      <c r="B1" s="75"/>
      <c r="C1" s="75"/>
      <c r="D1" s="76"/>
    </row>
    <row r="2" spans="1:4">
      <c r="A2" s="31"/>
      <c r="B2" s="32"/>
      <c r="C2" s="32"/>
      <c r="D2" s="33"/>
    </row>
    <row r="3" spans="1:4">
      <c r="A3" s="77" t="s">
        <v>55</v>
      </c>
      <c r="B3" s="78"/>
      <c r="C3" s="78"/>
      <c r="D3" s="79"/>
    </row>
    <row r="4" spans="1:4">
      <c r="A4" s="77"/>
      <c r="B4" s="78"/>
      <c r="C4" s="78"/>
      <c r="D4" s="79"/>
    </row>
    <row r="5" spans="1:4">
      <c r="A5" s="34"/>
      <c r="B5" s="35"/>
      <c r="C5" s="35"/>
      <c r="D5" s="36"/>
    </row>
    <row r="6" spans="1:4" ht="18.75">
      <c r="A6" s="82" t="s">
        <v>56</v>
      </c>
      <c r="B6" s="83"/>
      <c r="C6" s="83"/>
      <c r="D6" s="49"/>
    </row>
    <row r="7" spans="1:4">
      <c r="A7" s="37"/>
      <c r="B7" s="38"/>
      <c r="C7" s="38"/>
      <c r="D7" s="39"/>
    </row>
    <row r="8" spans="1:4" ht="18.75">
      <c r="A8" s="82" t="s">
        <v>57</v>
      </c>
      <c r="B8" s="83"/>
      <c r="C8" s="83"/>
      <c r="D8" s="49"/>
    </row>
    <row r="9" spans="1:4">
      <c r="A9" s="40"/>
      <c r="B9" s="41"/>
      <c r="C9" s="41"/>
      <c r="D9" s="42"/>
    </row>
    <row r="10" spans="1:4" ht="18.75">
      <c r="A10" s="81" t="s">
        <v>58</v>
      </c>
      <c r="B10" s="41"/>
      <c r="C10" s="41"/>
      <c r="D10" s="42"/>
    </row>
    <row r="11" spans="1:4" ht="18.75">
      <c r="A11" s="40"/>
      <c r="B11" s="82" t="s">
        <v>59</v>
      </c>
      <c r="C11" s="83"/>
      <c r="D11" s="83"/>
    </row>
    <row r="12" spans="1:4" ht="18.75">
      <c r="A12" s="40"/>
      <c r="B12" s="82" t="s">
        <v>60</v>
      </c>
      <c r="C12" s="83"/>
      <c r="D12" s="83"/>
    </row>
    <row r="13" spans="1:4" ht="18.75">
      <c r="A13" s="40"/>
      <c r="B13" s="82" t="s">
        <v>61</v>
      </c>
      <c r="C13" s="83"/>
      <c r="D13" s="83"/>
    </row>
    <row r="14" spans="1:4">
      <c r="A14" s="40"/>
      <c r="B14" s="41"/>
      <c r="C14" s="41"/>
      <c r="D14" s="42"/>
    </row>
    <row r="15" spans="1:4" ht="18.75">
      <c r="A15" s="81" t="s">
        <v>62</v>
      </c>
      <c r="B15" s="41"/>
      <c r="C15" s="41"/>
      <c r="D15" s="42"/>
    </row>
    <row r="16" spans="1:4" ht="18.75">
      <c r="A16" s="40"/>
      <c r="B16" s="82" t="s">
        <v>63</v>
      </c>
      <c r="C16" s="83"/>
      <c r="D16" s="83"/>
    </row>
    <row r="17" spans="1:4" ht="18.75">
      <c r="A17" s="40"/>
      <c r="B17" s="82" t="s">
        <v>64</v>
      </c>
      <c r="C17" s="83"/>
      <c r="D17" s="83"/>
    </row>
    <row r="18" spans="1:4" ht="18.75">
      <c r="A18" s="40"/>
      <c r="B18" s="82" t="s">
        <v>65</v>
      </c>
      <c r="C18" s="83"/>
      <c r="D18" s="83"/>
    </row>
    <row r="19" spans="1:4">
      <c r="A19" s="40"/>
      <c r="B19" s="41"/>
      <c r="C19" s="41"/>
      <c r="D19" s="42"/>
    </row>
    <row r="20" spans="1:4" ht="18.75">
      <c r="A20" s="81" t="s">
        <v>66</v>
      </c>
      <c r="B20" s="41"/>
      <c r="C20" s="41"/>
      <c r="D20" s="42"/>
    </row>
    <row r="21" spans="1:4" ht="18.75">
      <c r="A21" s="40"/>
      <c r="B21" s="82" t="s">
        <v>67</v>
      </c>
      <c r="C21" s="83"/>
      <c r="D21" s="83"/>
    </row>
    <row r="22" spans="1:4" ht="18.75" customHeight="1">
      <c r="A22" s="40"/>
      <c r="B22" s="82" t="s">
        <v>158</v>
      </c>
      <c r="C22" s="83"/>
      <c r="D22" s="83"/>
    </row>
    <row r="23" spans="1:4" ht="18.75">
      <c r="A23" s="40"/>
      <c r="B23" s="82" t="s">
        <v>159</v>
      </c>
      <c r="C23" s="83"/>
      <c r="D23" s="83"/>
    </row>
    <row r="24" spans="1:4" ht="18.75">
      <c r="A24" s="82" t="s">
        <v>68</v>
      </c>
      <c r="B24" s="83"/>
      <c r="C24" s="83"/>
      <c r="D24" s="49"/>
    </row>
    <row r="25" spans="1:4">
      <c r="A25" s="40"/>
      <c r="B25" s="80"/>
      <c r="C25" s="80"/>
      <c r="D25" s="80"/>
    </row>
    <row r="26" spans="1:4" ht="18.75">
      <c r="A26" s="82" t="s">
        <v>69</v>
      </c>
      <c r="B26" s="83"/>
      <c r="C26" s="83"/>
      <c r="D26" s="49"/>
    </row>
    <row r="27" spans="1:4" ht="18.75" thickBot="1">
      <c r="A27" s="43"/>
      <c r="B27" s="44"/>
      <c r="C27" s="44"/>
      <c r="D27" s="45"/>
    </row>
  </sheetData>
  <mergeCells count="16">
    <mergeCell ref="A26:C26"/>
    <mergeCell ref="B11:D11"/>
    <mergeCell ref="A1:D1"/>
    <mergeCell ref="A3:D4"/>
    <mergeCell ref="A6:C6"/>
    <mergeCell ref="A8:C8"/>
    <mergeCell ref="B25:D25"/>
    <mergeCell ref="B22:D22"/>
    <mergeCell ref="B12:D12"/>
    <mergeCell ref="B13:D13"/>
    <mergeCell ref="B16:D16"/>
    <mergeCell ref="B17:D17"/>
    <mergeCell ref="B18:D18"/>
    <mergeCell ref="B21:D21"/>
    <mergeCell ref="B23:D23"/>
    <mergeCell ref="A24:C24"/>
  </mergeCells>
  <hyperlinks>
    <hyperlink ref="A6" location="Aguascalientes_EdoUsa!A1" display="1. Por Estados de USA"/>
    <hyperlink ref="A8" location="Aguascalientes_Cons_2018!A1" display="2. Por Circunscripción Consular"/>
    <hyperlink ref="A24" location="Aguascalientes_Gen_Edad!A1" display="6. Por estructura de Edad"/>
    <hyperlink ref="A26" location="Aguascalientes_ocup_gral!A1" display="7. Por Ocupación"/>
    <hyperlink ref="A8" location="Aguascalientes_Cons!A1" display="2. Por Circunscripción Consular"/>
    <hyperlink ref="B12:D12" location="'Quintana Roo_USAMuni'!A1" display="3.2 Por Estado de USA"/>
    <hyperlink ref="B22" location="Aguascalientes_GENERO!A1" display="5.3 Por Circunscripción Consular"/>
    <hyperlink ref="B21" location="Aguascalientes_GenGral!A1" display="5.1 Género General"/>
    <hyperlink ref="B18" location="Aguascalientes_EducCons!A1" display="4.3 Por Circunscripción Consular"/>
    <hyperlink ref="B17" location="Aguascalientes_NivelE_Cons!A1" display="4.2 Por Estado de USA"/>
    <hyperlink ref="B16" location="Aguascalientes_educ_gral!A1" display="4.1 Educación general"/>
    <hyperlink ref="B13" location="Aguascalientes_MUNICIPIO!A1" display="3.3 Por Circunscripción Consular"/>
    <hyperlink ref="B11" location="Aguascalientes_EdoMun!A1" display="3.1 Municipio general"/>
    <hyperlink ref="A6:D6" location="'Baja California_EdoUsa'!A1" display="1. Por Estados de USA"/>
    <hyperlink ref="A8:D8" location="'Baja California_Cons'!A1" display="2. Por Circunscripción Consular"/>
    <hyperlink ref="B11:D11" location="'Quintana Roo_EdoMun'!A1" display="3.1 Municipio general"/>
    <hyperlink ref="B13:D13" location="'Quintana Roo_MUNICIPIO'!A1" display="3.3 Por Circunscripción Consular"/>
    <hyperlink ref="B16:D16" location="'Quintana Roo_educ_gral'!A1" display="4.1 Educación general"/>
    <hyperlink ref="B17:D17" location="'Quintana Roo_NivelE_Cons'!A1" display="4.2 Por Estado de USA"/>
    <hyperlink ref="B18:D18" location="'Quintana Roo_EducCons'!A1" display="4.3 Por Circunscripción Consular"/>
    <hyperlink ref="B21:D21" location="'Quintana Roo_GenGral'!A1" display="5.1 Género General"/>
    <hyperlink ref="B22:D22" location="'Quintana Roo_GENERO'!A1" display="5.2 Por Estado de USA"/>
    <hyperlink ref="B23" location="'Baja California Sur_GenCon'!A1" display="5.3 Por Circunscripción Consular"/>
    <hyperlink ref="A24:D24" location="'Baja California Sur_Gen_Edad'!A1" display="6. Por estructura de Edad"/>
    <hyperlink ref="A6:C6" location="'Quintana Roo_EdoUsa'!A1" display="1. Por Estados de USA"/>
    <hyperlink ref="A8:C8" location="'Quintana Roo_Cons'!A1" display="2. Por Circunscripción Consular"/>
    <hyperlink ref="A26:D26" location="'Baja California Sur_ocup_gral'!A1" display="7. Por Ocupación"/>
    <hyperlink ref="B23:D23" location="'Quintana Roo_GenCon'!A1" display="5.3 Por Circunscripción Consular"/>
    <hyperlink ref="A24:C24" location="'Quintana Roo_Gen_Edad'!A1" display="6. Por estructura de Edad"/>
    <hyperlink ref="A26:C26" location="'Quintana Roo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0000"/>
  </sheetPr>
  <dimension ref="A1:K56"/>
  <sheetViews>
    <sheetView showGridLines="0" zoomScaleNormal="100" zoomScaleSheetLayoutView="115" workbookViewId="0">
      <selection activeCell="B50" sqref="B50:B54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>
      <c r="A1" s="1" t="s">
        <v>160</v>
      </c>
      <c r="C1" s="2"/>
    </row>
    <row r="2" spans="1:4" s="1" customFormat="1" ht="15" customHeight="1">
      <c r="C2" s="2"/>
    </row>
    <row r="3" spans="1:4" s="1" customFormat="1" ht="15" customHeight="1">
      <c r="A3" s="1" t="s">
        <v>0</v>
      </c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51" t="s">
        <v>163</v>
      </c>
      <c r="C7" s="51"/>
      <c r="D7" s="51"/>
    </row>
    <row r="8" spans="1:4" s="1" customFormat="1" ht="15" customHeight="1">
      <c r="B8" s="51"/>
      <c r="C8" s="51"/>
      <c r="D8" s="51"/>
    </row>
    <row r="9" spans="1:4" s="1" customFormat="1" ht="33" customHeight="1">
      <c r="B9" s="51"/>
      <c r="C9" s="51"/>
      <c r="D9" s="51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1</v>
      </c>
      <c r="C11" s="6" t="s">
        <v>2</v>
      </c>
      <c r="D11" s="7" t="s">
        <v>3</v>
      </c>
    </row>
    <row r="12" spans="1:4">
      <c r="B12" s="55" t="s">
        <v>34</v>
      </c>
      <c r="C12" s="56">
        <v>47</v>
      </c>
      <c r="D12" s="57">
        <v>6.3E-2</v>
      </c>
    </row>
    <row r="13" spans="1:4">
      <c r="B13" s="55" t="s">
        <v>22</v>
      </c>
      <c r="C13" s="56">
        <v>2</v>
      </c>
      <c r="D13" s="57">
        <v>3.0000000000000001E-3</v>
      </c>
    </row>
    <row r="14" spans="1:4">
      <c r="B14" s="55" t="s">
        <v>13</v>
      </c>
      <c r="C14" s="56">
        <v>8</v>
      </c>
      <c r="D14" s="57">
        <v>1.0999999999999999E-2</v>
      </c>
    </row>
    <row r="15" spans="1:4">
      <c r="B15" s="55" t="s">
        <v>4</v>
      </c>
      <c r="C15" s="56">
        <v>267</v>
      </c>
      <c r="D15" s="57">
        <v>0.35899999999999999</v>
      </c>
    </row>
    <row r="16" spans="1:4">
      <c r="B16" s="55" t="s">
        <v>8</v>
      </c>
      <c r="C16" s="56">
        <v>19</v>
      </c>
      <c r="D16" s="57">
        <v>2.5999999999999999E-2</v>
      </c>
    </row>
    <row r="17" spans="2:4">
      <c r="B17" s="55" t="s">
        <v>10</v>
      </c>
      <c r="C17" s="56">
        <v>33</v>
      </c>
      <c r="D17" s="57">
        <v>4.3999999999999997E-2</v>
      </c>
    </row>
    <row r="18" spans="2:4">
      <c r="B18" s="55" t="s">
        <v>12</v>
      </c>
      <c r="C18" s="56">
        <v>23</v>
      </c>
      <c r="D18" s="57">
        <v>3.1E-2</v>
      </c>
    </row>
    <row r="19" spans="2:4">
      <c r="B19" s="55" t="s">
        <v>6</v>
      </c>
      <c r="C19" s="56">
        <v>18</v>
      </c>
      <c r="D19" s="57">
        <v>2.4E-2</v>
      </c>
    </row>
    <row r="20" spans="2:4">
      <c r="B20" s="55" t="s">
        <v>9</v>
      </c>
      <c r="C20" s="56">
        <v>8</v>
      </c>
      <c r="D20" s="57">
        <v>1.0999999999999999E-2</v>
      </c>
    </row>
    <row r="21" spans="2:4">
      <c r="B21" s="55" t="s">
        <v>24</v>
      </c>
      <c r="C21" s="56">
        <v>2</v>
      </c>
      <c r="D21" s="57">
        <v>3.0000000000000001E-3</v>
      </c>
    </row>
    <row r="22" spans="2:4">
      <c r="B22" s="55" t="s">
        <v>16</v>
      </c>
      <c r="C22" s="56">
        <v>12</v>
      </c>
      <c r="D22" s="57">
        <v>1.6E-2</v>
      </c>
    </row>
    <row r="23" spans="2:4">
      <c r="B23" s="55" t="s">
        <v>19</v>
      </c>
      <c r="C23" s="56">
        <v>3</v>
      </c>
      <c r="D23" s="57">
        <v>4.0000000000000001E-3</v>
      </c>
    </row>
    <row r="24" spans="2:4">
      <c r="B24" s="55" t="s">
        <v>28</v>
      </c>
      <c r="C24" s="56">
        <v>1</v>
      </c>
      <c r="D24" s="57">
        <v>1E-3</v>
      </c>
    </row>
    <row r="25" spans="2:4">
      <c r="B25" s="55" t="s">
        <v>37</v>
      </c>
      <c r="C25" s="56">
        <v>2</v>
      </c>
      <c r="D25" s="57">
        <v>3.0000000000000001E-3</v>
      </c>
    </row>
    <row r="26" spans="2:4">
      <c r="B26" s="55" t="s">
        <v>161</v>
      </c>
      <c r="C26" s="56">
        <v>1</v>
      </c>
      <c r="D26" s="57">
        <v>1E-3</v>
      </c>
    </row>
    <row r="27" spans="2:4">
      <c r="B27" s="55" t="s">
        <v>27</v>
      </c>
      <c r="C27" s="56">
        <v>8</v>
      </c>
      <c r="D27" s="57">
        <v>1.0999999999999999E-2</v>
      </c>
    </row>
    <row r="28" spans="2:4">
      <c r="B28" s="55" t="s">
        <v>29</v>
      </c>
      <c r="C28" s="56">
        <v>10</v>
      </c>
      <c r="D28" s="57">
        <v>1.2999999999999999E-2</v>
      </c>
    </row>
    <row r="29" spans="2:4">
      <c r="B29" s="55" t="s">
        <v>35</v>
      </c>
      <c r="C29" s="56">
        <v>5</v>
      </c>
      <c r="D29" s="57">
        <v>7.0000000000000001E-3</v>
      </c>
    </row>
    <row r="30" spans="2:4">
      <c r="B30" s="55" t="s">
        <v>25</v>
      </c>
      <c r="C30" s="56">
        <v>11</v>
      </c>
      <c r="D30" s="57">
        <v>1.4999999999999999E-2</v>
      </c>
    </row>
    <row r="31" spans="2:4">
      <c r="B31" s="55" t="s">
        <v>23</v>
      </c>
      <c r="C31" s="56">
        <v>2</v>
      </c>
      <c r="D31" s="57">
        <v>3.0000000000000001E-3</v>
      </c>
    </row>
    <row r="32" spans="2:4">
      <c r="B32" s="55" t="s">
        <v>11</v>
      </c>
      <c r="C32" s="56">
        <v>8</v>
      </c>
      <c r="D32" s="57">
        <v>1.0999999999999999E-2</v>
      </c>
    </row>
    <row r="33" spans="2:4">
      <c r="B33" s="55" t="s">
        <v>38</v>
      </c>
      <c r="C33" s="56">
        <v>2</v>
      </c>
      <c r="D33" s="57">
        <v>3.0000000000000001E-3</v>
      </c>
    </row>
    <row r="34" spans="2:4">
      <c r="B34" s="55" t="s">
        <v>18</v>
      </c>
      <c r="C34" s="56">
        <v>5</v>
      </c>
      <c r="D34" s="57">
        <v>7.0000000000000001E-3</v>
      </c>
    </row>
    <row r="35" spans="2:4">
      <c r="B35" s="55" t="s">
        <v>32</v>
      </c>
      <c r="C35" s="56">
        <v>7</v>
      </c>
      <c r="D35" s="57">
        <v>8.9999999999999993E-3</v>
      </c>
    </row>
    <row r="36" spans="2:4">
      <c r="B36" s="55" t="s">
        <v>15</v>
      </c>
      <c r="C36" s="56">
        <v>28</v>
      </c>
      <c r="D36" s="57">
        <v>3.7999999999999999E-2</v>
      </c>
    </row>
    <row r="37" spans="2:4">
      <c r="B37" s="55" t="s">
        <v>33</v>
      </c>
      <c r="C37" s="56">
        <v>4</v>
      </c>
      <c r="D37" s="57">
        <v>5.0000000000000001E-3</v>
      </c>
    </row>
    <row r="38" spans="2:4">
      <c r="B38" s="55" t="s">
        <v>7</v>
      </c>
      <c r="C38" s="56">
        <v>8</v>
      </c>
      <c r="D38" s="57">
        <v>1.0999999999999999E-2</v>
      </c>
    </row>
    <row r="39" spans="2:4">
      <c r="B39" s="55" t="s">
        <v>30</v>
      </c>
      <c r="C39" s="56">
        <v>19</v>
      </c>
      <c r="D39" s="57">
        <v>2.5999999999999999E-2</v>
      </c>
    </row>
    <row r="40" spans="2:4">
      <c r="B40" s="55" t="s">
        <v>36</v>
      </c>
      <c r="C40" s="56">
        <v>5</v>
      </c>
      <c r="D40" s="57">
        <v>7.0000000000000001E-3</v>
      </c>
    </row>
    <row r="41" spans="2:4">
      <c r="B41" s="55" t="s">
        <v>31</v>
      </c>
      <c r="C41" s="56">
        <v>5</v>
      </c>
      <c r="D41" s="57">
        <v>7.0000000000000001E-3</v>
      </c>
    </row>
    <row r="42" spans="2:4">
      <c r="B42" s="55" t="s">
        <v>14</v>
      </c>
      <c r="C42" s="56">
        <v>12</v>
      </c>
      <c r="D42" s="57">
        <v>1.6E-2</v>
      </c>
    </row>
    <row r="43" spans="2:4">
      <c r="B43" s="55" t="s">
        <v>5</v>
      </c>
      <c r="C43" s="56">
        <v>109</v>
      </c>
      <c r="D43" s="57">
        <v>0.14699999999999999</v>
      </c>
    </row>
    <row r="44" spans="2:4">
      <c r="B44" s="55" t="s">
        <v>20</v>
      </c>
      <c r="C44" s="56">
        <v>11</v>
      </c>
      <c r="D44" s="57">
        <v>1.4999999999999999E-2</v>
      </c>
    </row>
    <row r="45" spans="2:4">
      <c r="B45" s="55" t="s">
        <v>26</v>
      </c>
      <c r="C45" s="56">
        <v>19</v>
      </c>
      <c r="D45" s="57">
        <v>2.5999999999999999E-2</v>
      </c>
    </row>
    <row r="46" spans="2:4">
      <c r="B46" s="55" t="s">
        <v>17</v>
      </c>
      <c r="C46" s="56">
        <v>16</v>
      </c>
      <c r="D46" s="57">
        <v>2.1999999999999999E-2</v>
      </c>
    </row>
    <row r="47" spans="2:4">
      <c r="B47" s="55" t="s">
        <v>21</v>
      </c>
      <c r="C47" s="56">
        <v>3</v>
      </c>
      <c r="D47" s="57">
        <v>4.0000000000000001E-3</v>
      </c>
    </row>
    <row r="48" spans="2:4">
      <c r="B48" s="58" t="s">
        <v>47</v>
      </c>
      <c r="C48" s="59">
        <v>743</v>
      </c>
      <c r="D48" s="60">
        <v>1</v>
      </c>
    </row>
    <row r="49" spans="2:11">
      <c r="B49" s="61"/>
      <c r="C49" s="62"/>
      <c r="D49" s="61"/>
    </row>
    <row r="50" spans="2:11">
      <c r="B50" s="85" t="s">
        <v>70</v>
      </c>
      <c r="C50" s="84"/>
      <c r="D50" s="84"/>
      <c r="E50" s="49"/>
      <c r="F50" s="49"/>
      <c r="G50" s="49"/>
      <c r="H50" s="49"/>
      <c r="I50" s="49"/>
      <c r="J50" s="49"/>
      <c r="K50" s="49"/>
    </row>
    <row r="51" spans="2:11">
      <c r="B51" s="85" t="s">
        <v>39</v>
      </c>
      <c r="C51" s="84"/>
      <c r="D51" s="84"/>
      <c r="E51" s="49"/>
      <c r="F51" s="49"/>
      <c r="G51" s="49"/>
      <c r="H51" s="49"/>
      <c r="I51" s="49"/>
      <c r="J51" s="49"/>
      <c r="K51" s="49"/>
    </row>
    <row r="52" spans="2:11">
      <c r="B52" s="85" t="s">
        <v>71</v>
      </c>
      <c r="C52" s="84"/>
      <c r="D52" s="84"/>
      <c r="E52" s="49"/>
      <c r="F52" s="49"/>
      <c r="G52" s="49"/>
      <c r="H52" s="49"/>
      <c r="I52" s="49"/>
      <c r="J52" s="49"/>
      <c r="K52" s="49"/>
    </row>
    <row r="53" spans="2:11">
      <c r="B53" s="85" t="s">
        <v>72</v>
      </c>
      <c r="C53" s="84"/>
      <c r="D53" s="84"/>
      <c r="E53" s="49"/>
      <c r="F53" s="49"/>
      <c r="G53" s="49"/>
      <c r="H53" s="49"/>
      <c r="I53" s="49"/>
      <c r="J53" s="49"/>
      <c r="K53" s="49"/>
    </row>
    <row r="54" spans="2:11">
      <c r="B54" s="85" t="s">
        <v>73</v>
      </c>
      <c r="C54" s="84"/>
      <c r="D54" s="84"/>
      <c r="E54" s="49"/>
      <c r="F54" s="49"/>
      <c r="G54" s="49"/>
      <c r="H54" s="49"/>
      <c r="I54" s="49"/>
      <c r="J54" s="49"/>
      <c r="K54" s="49"/>
    </row>
    <row r="55" spans="2:11">
      <c r="B55" s="61"/>
      <c r="C55" s="62"/>
      <c r="D55" s="61"/>
    </row>
    <row r="56" spans="2:11">
      <c r="B56" s="61"/>
      <c r="C56" s="62"/>
      <c r="D56" s="6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P58"/>
  <sheetViews>
    <sheetView showGridLines="0" zoomScaleNormal="100" zoomScaleSheetLayoutView="115" workbookViewId="0">
      <selection activeCell="B52" sqref="B52:D52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164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40</v>
      </c>
      <c r="C11" s="6" t="s">
        <v>2</v>
      </c>
      <c r="D11" s="7" t="s">
        <v>3</v>
      </c>
    </row>
    <row r="12" spans="1:16">
      <c r="B12" s="55" t="s">
        <v>87</v>
      </c>
      <c r="C12" s="56">
        <v>135</v>
      </c>
      <c r="D12" s="57">
        <v>0.182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5" t="s">
        <v>81</v>
      </c>
      <c r="C13" s="56">
        <v>77</v>
      </c>
      <c r="D13" s="57">
        <v>0.104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5" t="s">
        <v>75</v>
      </c>
      <c r="C14" s="56">
        <v>52</v>
      </c>
      <c r="D14" s="57">
        <v>7.0000000000000007E-2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5" t="s">
        <v>78</v>
      </c>
      <c r="C15" s="56">
        <v>43</v>
      </c>
      <c r="D15" s="57">
        <v>5.8000000000000003E-2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5" t="s">
        <v>84</v>
      </c>
      <c r="C16" s="56">
        <v>33</v>
      </c>
      <c r="D16" s="57">
        <v>4.3999999999999997E-2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5" t="s">
        <v>79</v>
      </c>
      <c r="C17" s="56">
        <v>31</v>
      </c>
      <c r="D17" s="57">
        <v>4.2000000000000003E-2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5" t="s">
        <v>86</v>
      </c>
      <c r="C18" s="56">
        <v>24</v>
      </c>
      <c r="D18" s="57">
        <v>3.2000000000000001E-2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5" t="s">
        <v>74</v>
      </c>
      <c r="C19" s="56">
        <v>22</v>
      </c>
      <c r="D19" s="57">
        <v>0.03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5" t="s">
        <v>90</v>
      </c>
      <c r="C20" s="56">
        <v>21</v>
      </c>
      <c r="D20" s="57">
        <v>2.8000000000000001E-2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5" t="s">
        <v>102</v>
      </c>
      <c r="C21" s="56">
        <v>21</v>
      </c>
      <c r="D21" s="57">
        <v>2.8000000000000001E-2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5" t="s">
        <v>76</v>
      </c>
      <c r="C22" s="56">
        <v>20</v>
      </c>
      <c r="D22" s="57">
        <v>2.7E-2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5" t="s">
        <v>104</v>
      </c>
      <c r="C23" s="56">
        <v>20</v>
      </c>
      <c r="D23" s="57">
        <v>2.7E-2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5" t="s">
        <v>77</v>
      </c>
      <c r="C24" s="56">
        <v>19</v>
      </c>
      <c r="D24" s="57">
        <v>2.5999999999999999E-2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5" t="s">
        <v>96</v>
      </c>
      <c r="C25" s="56">
        <v>17</v>
      </c>
      <c r="D25" s="57">
        <v>2.3E-2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5" t="s">
        <v>82</v>
      </c>
      <c r="C26" s="56">
        <v>15</v>
      </c>
      <c r="D26" s="57">
        <v>0.02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5" t="s">
        <v>83</v>
      </c>
      <c r="C27" s="56">
        <v>15</v>
      </c>
      <c r="D27" s="57">
        <v>0.02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5" t="s">
        <v>103</v>
      </c>
      <c r="C28" s="56">
        <v>15</v>
      </c>
      <c r="D28" s="57">
        <v>0.02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5" t="s">
        <v>89</v>
      </c>
      <c r="C29" s="56">
        <v>14</v>
      </c>
      <c r="D29" s="57">
        <v>1.9E-2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5" t="s">
        <v>88</v>
      </c>
      <c r="C30" s="56">
        <v>14</v>
      </c>
      <c r="D30" s="57">
        <v>1.9E-2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5" t="s">
        <v>85</v>
      </c>
      <c r="C31" s="56">
        <v>12</v>
      </c>
      <c r="D31" s="57">
        <v>1.6E-2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5" t="s">
        <v>99</v>
      </c>
      <c r="C32" s="56">
        <v>12</v>
      </c>
      <c r="D32" s="57">
        <v>1.6E-2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5" t="s">
        <v>105</v>
      </c>
      <c r="C33" s="56">
        <v>12</v>
      </c>
      <c r="D33" s="57">
        <v>1.6E-2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5" t="s">
        <v>95</v>
      </c>
      <c r="C34" s="56">
        <v>11</v>
      </c>
      <c r="D34" s="57">
        <v>1.4999999999999999E-2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5" t="s">
        <v>91</v>
      </c>
      <c r="C35" s="56">
        <v>10</v>
      </c>
      <c r="D35" s="57">
        <v>1.2999999999999999E-2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5" t="s">
        <v>98</v>
      </c>
      <c r="C36" s="56">
        <v>8</v>
      </c>
      <c r="D36" s="57">
        <v>1.0999999999999999E-2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5" t="s">
        <v>101</v>
      </c>
      <c r="C37" s="56">
        <v>8</v>
      </c>
      <c r="D37" s="57">
        <v>1.0999999999999999E-2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5" t="s">
        <v>111</v>
      </c>
      <c r="C38" s="56">
        <v>8</v>
      </c>
      <c r="D38" s="57">
        <v>1.0999999999999999E-2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5" t="s">
        <v>92</v>
      </c>
      <c r="C39" s="56">
        <v>7</v>
      </c>
      <c r="D39" s="57">
        <v>8.9999999999999993E-3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5" t="s">
        <v>80</v>
      </c>
      <c r="C40" s="56">
        <v>7</v>
      </c>
      <c r="D40" s="57">
        <v>8.9999999999999993E-3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5" t="s">
        <v>113</v>
      </c>
      <c r="C41" s="56">
        <v>6</v>
      </c>
      <c r="D41" s="57">
        <v>8.0000000000000002E-3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5" t="s">
        <v>108</v>
      </c>
      <c r="C42" s="56">
        <v>6</v>
      </c>
      <c r="D42" s="57">
        <v>8.0000000000000002E-3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5" t="s">
        <v>107</v>
      </c>
      <c r="C43" s="56">
        <v>6</v>
      </c>
      <c r="D43" s="57">
        <v>8.0000000000000002E-3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5" t="s">
        <v>97</v>
      </c>
      <c r="C44" s="56">
        <v>4</v>
      </c>
      <c r="D44" s="57">
        <v>5.0000000000000001E-3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5" t="s">
        <v>94</v>
      </c>
      <c r="C45" s="56">
        <v>4</v>
      </c>
      <c r="D45" s="57">
        <v>5.0000000000000001E-3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5" t="s">
        <v>93</v>
      </c>
      <c r="C46" s="56">
        <v>4</v>
      </c>
      <c r="D46" s="57">
        <v>5.0000000000000001E-3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5" t="s">
        <v>100</v>
      </c>
      <c r="C47" s="56">
        <v>3</v>
      </c>
      <c r="D47" s="57">
        <v>4.0000000000000001E-3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5" t="s">
        <v>109</v>
      </c>
      <c r="C48" s="56">
        <v>2</v>
      </c>
      <c r="D48" s="57">
        <v>3.0000000000000001E-3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5" t="s">
        <v>110</v>
      </c>
      <c r="C49" s="56">
        <v>2</v>
      </c>
      <c r="D49" s="57">
        <v>3.0000000000000001E-3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5" t="s">
        <v>106</v>
      </c>
      <c r="C50" s="56">
        <v>2</v>
      </c>
      <c r="D50" s="57">
        <v>3.0000000000000001E-3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5" t="s">
        <v>112</v>
      </c>
      <c r="C51" s="56">
        <v>1</v>
      </c>
      <c r="D51" s="57">
        <v>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8" t="s">
        <v>47</v>
      </c>
      <c r="C52" s="59">
        <v>743</v>
      </c>
      <c r="D52" s="60">
        <v>1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 ht="18" customHeight="1"/>
    <row r="54" spans="2:16" ht="18" customHeight="1">
      <c r="B54" s="54" t="s">
        <v>70</v>
      </c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</row>
    <row r="55" spans="2:16" ht="18" customHeight="1">
      <c r="B55" s="54" t="s">
        <v>39</v>
      </c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</row>
    <row r="56" spans="2:16" ht="18" customHeight="1">
      <c r="B56" s="54" t="s">
        <v>71</v>
      </c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</row>
    <row r="57" spans="2:16">
      <c r="B57" s="54" t="s">
        <v>72</v>
      </c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</row>
    <row r="58" spans="2:16">
      <c r="B58" s="54" t="s">
        <v>73</v>
      </c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</sheetPr>
  <dimension ref="A1:P25"/>
  <sheetViews>
    <sheetView showGridLines="0" zoomScaleNormal="100" zoomScaleSheetLayoutView="115" workbookViewId="0">
      <selection activeCell="B19" sqref="B19:D19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165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41</v>
      </c>
      <c r="C11" s="6" t="s">
        <v>2</v>
      </c>
      <c r="D11" s="7" t="s">
        <v>3</v>
      </c>
    </row>
    <row r="12" spans="1:16">
      <c r="B12" s="55" t="s">
        <v>166</v>
      </c>
      <c r="C12" s="56">
        <v>465</v>
      </c>
      <c r="D12" s="57">
        <v>0.626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5" t="s">
        <v>167</v>
      </c>
      <c r="C13" s="56">
        <v>133</v>
      </c>
      <c r="D13" s="57">
        <v>0.17899999999999999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5" t="s">
        <v>168</v>
      </c>
      <c r="C14" s="56">
        <v>82</v>
      </c>
      <c r="D14" s="57">
        <v>0.11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 ht="27">
      <c r="B15" s="55" t="s">
        <v>169</v>
      </c>
      <c r="C15" s="56">
        <v>45</v>
      </c>
      <c r="D15" s="57">
        <v>6.0999999999999999E-2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5" t="s">
        <v>170</v>
      </c>
      <c r="C16" s="56">
        <v>9</v>
      </c>
      <c r="D16" s="57">
        <v>1.2E-2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5" t="s">
        <v>171</v>
      </c>
      <c r="C17" s="56">
        <v>7</v>
      </c>
      <c r="D17" s="57">
        <v>8.9999999999999993E-3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5" t="s">
        <v>172</v>
      </c>
      <c r="C18" s="56">
        <v>2</v>
      </c>
      <c r="D18" s="57">
        <v>3.0000000000000001E-3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8" t="s">
        <v>47</v>
      </c>
      <c r="C19" s="59">
        <v>743</v>
      </c>
      <c r="D19" s="60">
        <v>1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 ht="18" customHeight="1"/>
    <row r="21" spans="2:16" ht="18" customHeight="1">
      <c r="B21" s="54" t="s">
        <v>70</v>
      </c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</row>
    <row r="22" spans="2:16" ht="18" customHeight="1">
      <c r="B22" s="54" t="s">
        <v>39</v>
      </c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</row>
    <row r="23" spans="2:16" ht="18" customHeight="1">
      <c r="B23" s="54" t="s">
        <v>71</v>
      </c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</row>
    <row r="24" spans="2:16">
      <c r="B24" s="54" t="s">
        <v>72</v>
      </c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</row>
    <row r="25" spans="2:16">
      <c r="B25" s="54" t="s">
        <v>73</v>
      </c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P153"/>
  <sheetViews>
    <sheetView showGridLines="0" zoomScaleNormal="100" zoomScaleSheetLayoutView="85" workbookViewId="0">
      <selection activeCell="C13" sqref="C13:E146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40.5" customHeight="1">
      <c r="B9" s="12" t="s">
        <v>43</v>
      </c>
      <c r="C9" s="14" t="s">
        <v>42</v>
      </c>
      <c r="D9" s="13" t="s">
        <v>2</v>
      </c>
      <c r="E9" s="12" t="s">
        <v>3</v>
      </c>
    </row>
    <row r="10" spans="1:16" ht="15" customHeight="1">
      <c r="B10" s="63" t="s">
        <v>34</v>
      </c>
      <c r="C10" s="55" t="s">
        <v>167</v>
      </c>
      <c r="D10" s="56">
        <v>6</v>
      </c>
      <c r="E10" s="57">
        <v>8.0000000000000002E-3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3"/>
      <c r="C11" s="55" t="s">
        <v>168</v>
      </c>
      <c r="D11" s="56">
        <v>1</v>
      </c>
      <c r="E11" s="57">
        <v>1E-3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3"/>
      <c r="C12" s="55" t="s">
        <v>166</v>
      </c>
      <c r="D12" s="56">
        <v>40</v>
      </c>
      <c r="E12" s="57">
        <v>5.3999999999999999E-2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3"/>
      <c r="C13" s="86" t="s">
        <v>47</v>
      </c>
      <c r="D13" s="87">
        <v>47</v>
      </c>
      <c r="E13" s="88">
        <v>6.3E-2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3" t="s">
        <v>22</v>
      </c>
      <c r="C14" s="55" t="s">
        <v>166</v>
      </c>
      <c r="D14" s="56">
        <v>2</v>
      </c>
      <c r="E14" s="57">
        <v>3.0000000000000001E-3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3"/>
      <c r="C15" s="86" t="s">
        <v>47</v>
      </c>
      <c r="D15" s="87">
        <v>2</v>
      </c>
      <c r="E15" s="88">
        <v>3.0000000000000001E-3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3" t="s">
        <v>13</v>
      </c>
      <c r="C16" s="55" t="s">
        <v>167</v>
      </c>
      <c r="D16" s="56">
        <v>4</v>
      </c>
      <c r="E16" s="57">
        <v>5.0000000000000001E-3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3"/>
      <c r="C17" s="55" t="s">
        <v>166</v>
      </c>
      <c r="D17" s="56">
        <v>4</v>
      </c>
      <c r="E17" s="57">
        <v>5.0000000000000001E-3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3"/>
      <c r="C18" s="86" t="s">
        <v>47</v>
      </c>
      <c r="D18" s="87">
        <v>8</v>
      </c>
      <c r="E18" s="88">
        <v>1.0999999999999999E-2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3" t="s">
        <v>4</v>
      </c>
      <c r="C19" s="55" t="s">
        <v>167</v>
      </c>
      <c r="D19" s="56">
        <v>44</v>
      </c>
      <c r="E19" s="57">
        <v>5.8999999999999997E-2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3"/>
      <c r="C20" s="55" t="s">
        <v>170</v>
      </c>
      <c r="D20" s="56">
        <v>4</v>
      </c>
      <c r="E20" s="57">
        <v>5.0000000000000001E-3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3"/>
      <c r="C21" s="55" t="s">
        <v>169</v>
      </c>
      <c r="D21" s="56">
        <v>27</v>
      </c>
      <c r="E21" s="57">
        <v>3.5999999999999997E-2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3"/>
      <c r="C22" s="55" t="s">
        <v>171</v>
      </c>
      <c r="D22" s="56">
        <v>1</v>
      </c>
      <c r="E22" s="57">
        <v>1E-3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3"/>
      <c r="C23" s="55" t="s">
        <v>168</v>
      </c>
      <c r="D23" s="56">
        <v>49</v>
      </c>
      <c r="E23" s="57">
        <v>6.6000000000000003E-2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3"/>
      <c r="C24" s="55" t="s">
        <v>166</v>
      </c>
      <c r="D24" s="56">
        <v>142</v>
      </c>
      <c r="E24" s="57">
        <v>0.191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3"/>
      <c r="C25" s="86" t="s">
        <v>47</v>
      </c>
      <c r="D25" s="87">
        <v>267</v>
      </c>
      <c r="E25" s="88">
        <v>0.35899999999999999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3" t="s">
        <v>8</v>
      </c>
      <c r="C26" s="55" t="s">
        <v>167</v>
      </c>
      <c r="D26" s="56">
        <v>6</v>
      </c>
      <c r="E26" s="57">
        <v>8.0000000000000002E-3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3"/>
      <c r="C27" s="55" t="s">
        <v>169</v>
      </c>
      <c r="D27" s="56">
        <v>1</v>
      </c>
      <c r="E27" s="57">
        <v>1E-3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3"/>
      <c r="C28" s="55" t="s">
        <v>171</v>
      </c>
      <c r="D28" s="56">
        <v>1</v>
      </c>
      <c r="E28" s="57">
        <v>1E-3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3"/>
      <c r="C29" s="55" t="s">
        <v>168</v>
      </c>
      <c r="D29" s="56">
        <v>1</v>
      </c>
      <c r="E29" s="57">
        <v>1E-3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3"/>
      <c r="C30" s="55" t="s">
        <v>166</v>
      </c>
      <c r="D30" s="56">
        <v>10</v>
      </c>
      <c r="E30" s="57">
        <v>1.2999999999999999E-2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3"/>
      <c r="C31" s="86" t="s">
        <v>47</v>
      </c>
      <c r="D31" s="87">
        <v>19</v>
      </c>
      <c r="E31" s="88">
        <v>2.5999999999999999E-2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3" t="s">
        <v>10</v>
      </c>
      <c r="C32" s="55" t="s">
        <v>167</v>
      </c>
      <c r="D32" s="56">
        <v>5</v>
      </c>
      <c r="E32" s="57">
        <v>7.0000000000000001E-3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3"/>
      <c r="C33" s="55" t="s">
        <v>170</v>
      </c>
      <c r="D33" s="56">
        <v>1</v>
      </c>
      <c r="E33" s="57">
        <v>1E-3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3"/>
      <c r="C34" s="55" t="s">
        <v>169</v>
      </c>
      <c r="D34" s="56">
        <v>2</v>
      </c>
      <c r="E34" s="57">
        <v>3.0000000000000001E-3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3"/>
      <c r="C35" s="55" t="s">
        <v>171</v>
      </c>
      <c r="D35" s="56">
        <v>2</v>
      </c>
      <c r="E35" s="57">
        <v>3.0000000000000001E-3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3"/>
      <c r="C36" s="55" t="s">
        <v>168</v>
      </c>
      <c r="D36" s="56">
        <v>1</v>
      </c>
      <c r="E36" s="57">
        <v>1E-3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3"/>
      <c r="C37" s="55" t="s">
        <v>166</v>
      </c>
      <c r="D37" s="56">
        <v>22</v>
      </c>
      <c r="E37" s="57">
        <v>0.03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3"/>
      <c r="C38" s="86" t="s">
        <v>47</v>
      </c>
      <c r="D38" s="87">
        <v>33</v>
      </c>
      <c r="E38" s="88">
        <v>4.3999999999999997E-2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3" t="s">
        <v>12</v>
      </c>
      <c r="C39" s="55" t="s">
        <v>167</v>
      </c>
      <c r="D39" s="56">
        <v>1</v>
      </c>
      <c r="E39" s="57">
        <v>1E-3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3"/>
      <c r="C40" s="55" t="s">
        <v>169</v>
      </c>
      <c r="D40" s="56">
        <v>1</v>
      </c>
      <c r="E40" s="57">
        <v>1E-3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3"/>
      <c r="C41" s="55" t="s">
        <v>168</v>
      </c>
      <c r="D41" s="56">
        <v>1</v>
      </c>
      <c r="E41" s="57">
        <v>1E-3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3"/>
      <c r="C42" s="55" t="s">
        <v>166</v>
      </c>
      <c r="D42" s="56">
        <v>20</v>
      </c>
      <c r="E42" s="57">
        <v>2.7E-2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3"/>
      <c r="C43" s="86" t="s">
        <v>47</v>
      </c>
      <c r="D43" s="87">
        <v>23</v>
      </c>
      <c r="E43" s="88">
        <v>3.1E-2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3" t="s">
        <v>6</v>
      </c>
      <c r="C44" s="55" t="s">
        <v>167</v>
      </c>
      <c r="D44" s="56">
        <v>4</v>
      </c>
      <c r="E44" s="57">
        <v>5.0000000000000001E-3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3"/>
      <c r="C45" s="55" t="s">
        <v>168</v>
      </c>
      <c r="D45" s="56">
        <v>1</v>
      </c>
      <c r="E45" s="57">
        <v>1E-3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3"/>
      <c r="C46" s="55" t="s">
        <v>166</v>
      </c>
      <c r="D46" s="56">
        <v>13</v>
      </c>
      <c r="E46" s="57">
        <v>1.7000000000000001E-2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3"/>
      <c r="C47" s="86" t="s">
        <v>47</v>
      </c>
      <c r="D47" s="87">
        <v>18</v>
      </c>
      <c r="E47" s="88">
        <v>2.4E-2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3" t="s">
        <v>9</v>
      </c>
      <c r="C48" s="55" t="s">
        <v>167</v>
      </c>
      <c r="D48" s="56">
        <v>4</v>
      </c>
      <c r="E48" s="57">
        <v>5.0000000000000001E-3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3"/>
      <c r="C49" s="55" t="s">
        <v>170</v>
      </c>
      <c r="D49" s="56">
        <v>1</v>
      </c>
      <c r="E49" s="57">
        <v>1E-3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3"/>
      <c r="C50" s="55" t="s">
        <v>169</v>
      </c>
      <c r="D50" s="56">
        <v>1</v>
      </c>
      <c r="E50" s="57">
        <v>1E-3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3"/>
      <c r="C51" s="55" t="s">
        <v>166</v>
      </c>
      <c r="D51" s="56">
        <v>2</v>
      </c>
      <c r="E51" s="57">
        <v>3.0000000000000001E-3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3"/>
      <c r="C52" s="86" t="s">
        <v>47</v>
      </c>
      <c r="D52" s="87">
        <v>8</v>
      </c>
      <c r="E52" s="88">
        <v>1.0999999999999999E-2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3" t="s">
        <v>24</v>
      </c>
      <c r="C53" s="55" t="s">
        <v>166</v>
      </c>
      <c r="D53" s="56">
        <v>2</v>
      </c>
      <c r="E53" s="57">
        <v>3.0000000000000001E-3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3"/>
      <c r="C54" s="86" t="s">
        <v>47</v>
      </c>
      <c r="D54" s="87">
        <v>2</v>
      </c>
      <c r="E54" s="88">
        <v>3.0000000000000001E-3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3" t="s">
        <v>16</v>
      </c>
      <c r="C55" s="55" t="s">
        <v>169</v>
      </c>
      <c r="D55" s="56">
        <v>1</v>
      </c>
      <c r="E55" s="57">
        <v>1E-3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3"/>
      <c r="C56" s="55" t="s">
        <v>168</v>
      </c>
      <c r="D56" s="56">
        <v>5</v>
      </c>
      <c r="E56" s="57">
        <v>7.0000000000000001E-3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3"/>
      <c r="C57" s="55" t="s">
        <v>166</v>
      </c>
      <c r="D57" s="56">
        <v>6</v>
      </c>
      <c r="E57" s="57">
        <v>8.0000000000000002E-3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3"/>
      <c r="C58" s="86" t="s">
        <v>47</v>
      </c>
      <c r="D58" s="87">
        <v>12</v>
      </c>
      <c r="E58" s="88">
        <v>1.6E-2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3" t="s">
        <v>19</v>
      </c>
      <c r="C59" s="55" t="s">
        <v>167</v>
      </c>
      <c r="D59" s="56">
        <v>2</v>
      </c>
      <c r="E59" s="57">
        <v>3.0000000000000001E-3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3"/>
      <c r="C60" s="55" t="s">
        <v>166</v>
      </c>
      <c r="D60" s="56">
        <v>1</v>
      </c>
      <c r="E60" s="57">
        <v>1E-3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3"/>
      <c r="C61" s="86" t="s">
        <v>47</v>
      </c>
      <c r="D61" s="87">
        <v>3</v>
      </c>
      <c r="E61" s="88">
        <v>4.0000000000000001E-3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3" t="s">
        <v>28</v>
      </c>
      <c r="C62" s="55" t="s">
        <v>166</v>
      </c>
      <c r="D62" s="56">
        <v>1</v>
      </c>
      <c r="E62" s="57">
        <v>1E-3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3"/>
      <c r="C63" s="86" t="s">
        <v>47</v>
      </c>
      <c r="D63" s="87">
        <v>1</v>
      </c>
      <c r="E63" s="88">
        <v>1E-3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3" t="s">
        <v>37</v>
      </c>
      <c r="C64" s="55" t="s">
        <v>166</v>
      </c>
      <c r="D64" s="56">
        <v>2</v>
      </c>
      <c r="E64" s="57">
        <v>3.0000000000000001E-3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3"/>
      <c r="C65" s="86" t="s">
        <v>47</v>
      </c>
      <c r="D65" s="87">
        <v>2</v>
      </c>
      <c r="E65" s="88">
        <v>3.0000000000000001E-3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3" t="s">
        <v>161</v>
      </c>
      <c r="C66" s="55" t="s">
        <v>166</v>
      </c>
      <c r="D66" s="56">
        <v>1</v>
      </c>
      <c r="E66" s="57">
        <v>1E-3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3"/>
      <c r="C67" s="86" t="s">
        <v>47</v>
      </c>
      <c r="D67" s="87">
        <v>1</v>
      </c>
      <c r="E67" s="88">
        <v>1E-3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3" t="s">
        <v>27</v>
      </c>
      <c r="C68" s="55" t="s">
        <v>167</v>
      </c>
      <c r="D68" s="56">
        <v>1</v>
      </c>
      <c r="E68" s="57">
        <v>1E-3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3"/>
      <c r="C69" s="55" t="s">
        <v>166</v>
      </c>
      <c r="D69" s="56">
        <v>7</v>
      </c>
      <c r="E69" s="57">
        <v>8.9999999999999993E-3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3"/>
      <c r="C70" s="86" t="s">
        <v>47</v>
      </c>
      <c r="D70" s="87">
        <v>8</v>
      </c>
      <c r="E70" s="88">
        <v>1.0999999999999999E-2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3" t="s">
        <v>29</v>
      </c>
      <c r="C71" s="55" t="s">
        <v>167</v>
      </c>
      <c r="D71" s="56">
        <v>1</v>
      </c>
      <c r="E71" s="57">
        <v>1E-3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3"/>
      <c r="C72" s="55" t="s">
        <v>171</v>
      </c>
      <c r="D72" s="56">
        <v>1</v>
      </c>
      <c r="E72" s="57">
        <v>1E-3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3"/>
      <c r="C73" s="55" t="s">
        <v>166</v>
      </c>
      <c r="D73" s="56">
        <v>8</v>
      </c>
      <c r="E73" s="57">
        <v>1.0999999999999999E-2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3"/>
      <c r="C74" s="86" t="s">
        <v>47</v>
      </c>
      <c r="D74" s="87">
        <v>10</v>
      </c>
      <c r="E74" s="88">
        <v>1.2999999999999999E-2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3" t="s">
        <v>35</v>
      </c>
      <c r="C75" s="55" t="s">
        <v>167</v>
      </c>
      <c r="D75" s="56">
        <v>1</v>
      </c>
      <c r="E75" s="57">
        <v>1E-3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3"/>
      <c r="C76" s="55" t="s">
        <v>166</v>
      </c>
      <c r="D76" s="56">
        <v>4</v>
      </c>
      <c r="E76" s="57">
        <v>5.0000000000000001E-3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3"/>
      <c r="C77" s="86" t="s">
        <v>47</v>
      </c>
      <c r="D77" s="87">
        <v>5</v>
      </c>
      <c r="E77" s="88">
        <v>7.0000000000000001E-3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3" t="s">
        <v>25</v>
      </c>
      <c r="C78" s="55" t="s">
        <v>167</v>
      </c>
      <c r="D78" s="56">
        <v>4</v>
      </c>
      <c r="E78" s="57">
        <v>5.0000000000000001E-3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3"/>
      <c r="C79" s="55" t="s">
        <v>166</v>
      </c>
      <c r="D79" s="56">
        <v>7</v>
      </c>
      <c r="E79" s="57">
        <v>8.9999999999999993E-3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3"/>
      <c r="C80" s="86" t="s">
        <v>47</v>
      </c>
      <c r="D80" s="87">
        <v>11</v>
      </c>
      <c r="E80" s="88">
        <v>1.4999999999999999E-2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3" t="s">
        <v>23</v>
      </c>
      <c r="C81" s="55" t="s">
        <v>168</v>
      </c>
      <c r="D81" s="56">
        <v>1</v>
      </c>
      <c r="E81" s="57">
        <v>1E-3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3"/>
      <c r="C82" s="55" t="s">
        <v>166</v>
      </c>
      <c r="D82" s="56">
        <v>1</v>
      </c>
      <c r="E82" s="57">
        <v>1E-3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3"/>
      <c r="C83" s="86" t="s">
        <v>47</v>
      </c>
      <c r="D83" s="87">
        <v>2</v>
      </c>
      <c r="E83" s="88">
        <v>3.0000000000000001E-3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3" t="s">
        <v>11</v>
      </c>
      <c r="C84" s="55" t="s">
        <v>167</v>
      </c>
      <c r="D84" s="56">
        <v>2</v>
      </c>
      <c r="E84" s="57">
        <v>3.0000000000000001E-3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3"/>
      <c r="C85" s="55" t="s">
        <v>169</v>
      </c>
      <c r="D85" s="56">
        <v>2</v>
      </c>
      <c r="E85" s="57">
        <v>3.0000000000000001E-3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3"/>
      <c r="C86" s="55" t="s">
        <v>166</v>
      </c>
      <c r="D86" s="56">
        <v>4</v>
      </c>
      <c r="E86" s="57">
        <v>5.0000000000000001E-3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3"/>
      <c r="C87" s="86" t="s">
        <v>47</v>
      </c>
      <c r="D87" s="87">
        <v>8</v>
      </c>
      <c r="E87" s="88">
        <v>1.0999999999999999E-2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3" t="s">
        <v>38</v>
      </c>
      <c r="C88" s="55" t="s">
        <v>166</v>
      </c>
      <c r="D88" s="56">
        <v>2</v>
      </c>
      <c r="E88" s="57">
        <v>3.0000000000000001E-3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3"/>
      <c r="C89" s="86" t="s">
        <v>47</v>
      </c>
      <c r="D89" s="87">
        <v>2</v>
      </c>
      <c r="E89" s="88">
        <v>3.0000000000000001E-3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3" t="s">
        <v>18</v>
      </c>
      <c r="C90" s="55" t="s">
        <v>167</v>
      </c>
      <c r="D90" s="56">
        <v>3</v>
      </c>
      <c r="E90" s="57">
        <v>4.0000000000000001E-3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3"/>
      <c r="C91" s="55" t="s">
        <v>171</v>
      </c>
      <c r="D91" s="56">
        <v>1</v>
      </c>
      <c r="E91" s="57">
        <v>1E-3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3"/>
      <c r="C92" s="55" t="s">
        <v>166</v>
      </c>
      <c r="D92" s="56">
        <v>1</v>
      </c>
      <c r="E92" s="57">
        <v>1E-3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3"/>
      <c r="C93" s="86" t="s">
        <v>47</v>
      </c>
      <c r="D93" s="87">
        <v>5</v>
      </c>
      <c r="E93" s="88">
        <v>7.0000000000000001E-3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3" t="s">
        <v>32</v>
      </c>
      <c r="C94" s="55" t="s">
        <v>167</v>
      </c>
      <c r="D94" s="56">
        <v>1</v>
      </c>
      <c r="E94" s="57">
        <v>1E-3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3"/>
      <c r="C95" s="55" t="s">
        <v>166</v>
      </c>
      <c r="D95" s="56">
        <v>6</v>
      </c>
      <c r="E95" s="57">
        <v>8.0000000000000002E-3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3"/>
      <c r="C96" s="86" t="s">
        <v>47</v>
      </c>
      <c r="D96" s="87">
        <v>7</v>
      </c>
      <c r="E96" s="88">
        <v>8.9999999999999993E-3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3" t="s">
        <v>15</v>
      </c>
      <c r="C97" s="55" t="s">
        <v>167</v>
      </c>
      <c r="D97" s="56">
        <v>4</v>
      </c>
      <c r="E97" s="57">
        <v>5.0000000000000001E-3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3"/>
      <c r="C98" s="55" t="s">
        <v>168</v>
      </c>
      <c r="D98" s="56">
        <v>1</v>
      </c>
      <c r="E98" s="57">
        <v>1E-3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3"/>
      <c r="C99" s="55" t="s">
        <v>172</v>
      </c>
      <c r="D99" s="56">
        <v>1</v>
      </c>
      <c r="E99" s="57">
        <v>1E-3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3"/>
      <c r="C100" s="55" t="s">
        <v>166</v>
      </c>
      <c r="D100" s="56">
        <v>22</v>
      </c>
      <c r="E100" s="57">
        <v>0.03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3"/>
      <c r="C101" s="86" t="s">
        <v>47</v>
      </c>
      <c r="D101" s="87">
        <v>28</v>
      </c>
      <c r="E101" s="88">
        <v>3.7999999999999999E-2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3" t="s">
        <v>33</v>
      </c>
      <c r="C102" s="55" t="s">
        <v>167</v>
      </c>
      <c r="D102" s="56">
        <v>1</v>
      </c>
      <c r="E102" s="57">
        <v>1E-3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3"/>
      <c r="C103" s="55" t="s">
        <v>169</v>
      </c>
      <c r="D103" s="56">
        <v>1</v>
      </c>
      <c r="E103" s="57">
        <v>1E-3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3"/>
      <c r="C104" s="55" t="s">
        <v>166</v>
      </c>
      <c r="D104" s="56">
        <v>2</v>
      </c>
      <c r="E104" s="57">
        <v>3.0000000000000001E-3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3"/>
      <c r="C105" s="86" t="s">
        <v>47</v>
      </c>
      <c r="D105" s="87">
        <v>4</v>
      </c>
      <c r="E105" s="88">
        <v>5.0000000000000001E-3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3" t="s">
        <v>7</v>
      </c>
      <c r="C106" s="55" t="s">
        <v>167</v>
      </c>
      <c r="D106" s="56">
        <v>1</v>
      </c>
      <c r="E106" s="57">
        <v>1E-3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3"/>
      <c r="C107" s="55" t="s">
        <v>169</v>
      </c>
      <c r="D107" s="56">
        <v>1</v>
      </c>
      <c r="E107" s="57">
        <v>1E-3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3"/>
      <c r="C108" s="55" t="s">
        <v>166</v>
      </c>
      <c r="D108" s="56">
        <v>6</v>
      </c>
      <c r="E108" s="57">
        <v>8.0000000000000002E-3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3"/>
      <c r="C109" s="86" t="s">
        <v>47</v>
      </c>
      <c r="D109" s="87">
        <v>8</v>
      </c>
      <c r="E109" s="88">
        <v>1.0999999999999999E-2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3" t="s">
        <v>30</v>
      </c>
      <c r="C110" s="55" t="s">
        <v>167</v>
      </c>
      <c r="D110" s="56">
        <v>2</v>
      </c>
      <c r="E110" s="57">
        <v>3.0000000000000001E-3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3"/>
      <c r="C111" s="55" t="s">
        <v>170</v>
      </c>
      <c r="D111" s="56">
        <v>1</v>
      </c>
      <c r="E111" s="57">
        <v>1E-3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3"/>
      <c r="C112" s="55" t="s">
        <v>169</v>
      </c>
      <c r="D112" s="56">
        <v>3</v>
      </c>
      <c r="E112" s="57">
        <v>4.0000000000000001E-3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3"/>
      <c r="C113" s="55" t="s">
        <v>168</v>
      </c>
      <c r="D113" s="56">
        <v>1</v>
      </c>
      <c r="E113" s="57">
        <v>1E-3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3"/>
      <c r="C114" s="55" t="s">
        <v>166</v>
      </c>
      <c r="D114" s="56">
        <v>12</v>
      </c>
      <c r="E114" s="57">
        <v>1.6E-2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3"/>
      <c r="C115" s="86" t="s">
        <v>47</v>
      </c>
      <c r="D115" s="87">
        <v>19</v>
      </c>
      <c r="E115" s="88">
        <v>2.5999999999999999E-2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3" t="s">
        <v>36</v>
      </c>
      <c r="C116" s="55" t="s">
        <v>167</v>
      </c>
      <c r="D116" s="56">
        <v>3</v>
      </c>
      <c r="E116" s="57">
        <v>4.0000000000000001E-3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3"/>
      <c r="C117" s="55" t="s">
        <v>166</v>
      </c>
      <c r="D117" s="56">
        <v>2</v>
      </c>
      <c r="E117" s="57">
        <v>3.0000000000000001E-3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3"/>
      <c r="C118" s="86" t="s">
        <v>47</v>
      </c>
      <c r="D118" s="87">
        <v>5</v>
      </c>
      <c r="E118" s="88">
        <v>7.0000000000000001E-3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3" t="s">
        <v>31</v>
      </c>
      <c r="C119" s="55" t="s">
        <v>167</v>
      </c>
      <c r="D119" s="56">
        <v>1</v>
      </c>
      <c r="E119" s="57">
        <v>1E-3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3"/>
      <c r="C120" s="55" t="s">
        <v>166</v>
      </c>
      <c r="D120" s="56">
        <v>4</v>
      </c>
      <c r="E120" s="57">
        <v>5.0000000000000001E-3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3"/>
      <c r="C121" s="86" t="s">
        <v>47</v>
      </c>
      <c r="D121" s="87">
        <v>5</v>
      </c>
      <c r="E121" s="88">
        <v>7.0000000000000001E-3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3" t="s">
        <v>14</v>
      </c>
      <c r="C122" s="55" t="s">
        <v>167</v>
      </c>
      <c r="D122" s="56">
        <v>2</v>
      </c>
      <c r="E122" s="57">
        <v>3.0000000000000001E-3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3"/>
      <c r="C123" s="55" t="s">
        <v>166</v>
      </c>
      <c r="D123" s="56">
        <v>10</v>
      </c>
      <c r="E123" s="57">
        <v>1.2999999999999999E-2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3"/>
      <c r="C124" s="86" t="s">
        <v>47</v>
      </c>
      <c r="D124" s="87">
        <v>12</v>
      </c>
      <c r="E124" s="88">
        <v>1.6E-2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3" t="s">
        <v>5</v>
      </c>
      <c r="C125" s="55" t="s">
        <v>167</v>
      </c>
      <c r="D125" s="56">
        <v>21</v>
      </c>
      <c r="E125" s="57">
        <v>2.8000000000000001E-2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3"/>
      <c r="C126" s="55" t="s">
        <v>170</v>
      </c>
      <c r="D126" s="56">
        <v>2</v>
      </c>
      <c r="E126" s="57">
        <v>3.0000000000000001E-3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3"/>
      <c r="C127" s="55" t="s">
        <v>169</v>
      </c>
      <c r="D127" s="56">
        <v>4</v>
      </c>
      <c r="E127" s="57">
        <v>5.0000000000000001E-3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3"/>
      <c r="C128" s="55" t="s">
        <v>171</v>
      </c>
      <c r="D128" s="56">
        <v>1</v>
      </c>
      <c r="E128" s="57">
        <v>1E-3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3"/>
      <c r="C129" s="55" t="s">
        <v>168</v>
      </c>
      <c r="D129" s="56">
        <v>8</v>
      </c>
      <c r="E129" s="57">
        <v>1.0999999999999999E-2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3"/>
      <c r="C130" s="55" t="s">
        <v>172</v>
      </c>
      <c r="D130" s="56">
        <v>1</v>
      </c>
      <c r="E130" s="57">
        <v>1E-3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3"/>
      <c r="C131" s="55" t="s">
        <v>166</v>
      </c>
      <c r="D131" s="56">
        <v>72</v>
      </c>
      <c r="E131" s="57">
        <v>9.7000000000000003E-2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3"/>
      <c r="C132" s="86" t="s">
        <v>47</v>
      </c>
      <c r="D132" s="87">
        <v>109</v>
      </c>
      <c r="E132" s="88">
        <v>0.14699999999999999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3" t="s">
        <v>20</v>
      </c>
      <c r="C133" s="55" t="s">
        <v>167</v>
      </c>
      <c r="D133" s="56">
        <v>4</v>
      </c>
      <c r="E133" s="57">
        <v>5.0000000000000001E-3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3"/>
      <c r="C134" s="55" t="s">
        <v>169</v>
      </c>
      <c r="D134" s="56">
        <v>1</v>
      </c>
      <c r="E134" s="57">
        <v>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3"/>
      <c r="C135" s="55" t="s">
        <v>168</v>
      </c>
      <c r="D135" s="56">
        <v>2</v>
      </c>
      <c r="E135" s="57">
        <v>3.0000000000000001E-3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3"/>
      <c r="C136" s="55" t="s">
        <v>166</v>
      </c>
      <c r="D136" s="56">
        <v>4</v>
      </c>
      <c r="E136" s="57">
        <v>5.0000000000000001E-3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3"/>
      <c r="C137" s="86" t="s">
        <v>47</v>
      </c>
      <c r="D137" s="87">
        <v>11</v>
      </c>
      <c r="E137" s="88">
        <v>1.4999999999999999E-2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3" t="s">
        <v>26</v>
      </c>
      <c r="C138" s="55" t="s">
        <v>167</v>
      </c>
      <c r="D138" s="56">
        <v>2</v>
      </c>
      <c r="E138" s="57">
        <v>3.0000000000000001E-3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3"/>
      <c r="C139" s="55" t="s">
        <v>166</v>
      </c>
      <c r="D139" s="56">
        <v>17</v>
      </c>
      <c r="E139" s="57">
        <v>2.3E-2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3"/>
      <c r="C140" s="86" t="s">
        <v>47</v>
      </c>
      <c r="D140" s="87">
        <v>19</v>
      </c>
      <c r="E140" s="88">
        <v>2.5999999999999999E-2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3" t="s">
        <v>17</v>
      </c>
      <c r="C141" s="55" t="s">
        <v>167</v>
      </c>
      <c r="D141" s="56">
        <v>3</v>
      </c>
      <c r="E141" s="57">
        <v>4.0000000000000001E-3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3"/>
      <c r="C142" s="55" t="s">
        <v>168</v>
      </c>
      <c r="D142" s="56">
        <v>10</v>
      </c>
      <c r="E142" s="57">
        <v>1.2999999999999999E-2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3"/>
      <c r="C143" s="55" t="s">
        <v>166</v>
      </c>
      <c r="D143" s="56">
        <v>3</v>
      </c>
      <c r="E143" s="57">
        <v>4.0000000000000001E-3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3"/>
      <c r="C144" s="86" t="s">
        <v>47</v>
      </c>
      <c r="D144" s="87">
        <v>16</v>
      </c>
      <c r="E144" s="88">
        <v>2.1999999999999999E-2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3" t="s">
        <v>21</v>
      </c>
      <c r="C145" s="55" t="s">
        <v>166</v>
      </c>
      <c r="D145" s="56">
        <v>3</v>
      </c>
      <c r="E145" s="57">
        <v>4.0000000000000001E-3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3"/>
      <c r="C146" s="86" t="s">
        <v>47</v>
      </c>
      <c r="D146" s="87">
        <v>3</v>
      </c>
      <c r="E146" s="88">
        <v>4.0000000000000001E-3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8" customHeight="1">
      <c r="B147" s="64" t="s">
        <v>47</v>
      </c>
      <c r="C147" s="64"/>
      <c r="D147" s="59">
        <v>743</v>
      </c>
      <c r="E147" s="73">
        <v>1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8" customHeight="1"/>
    <row r="149" spans="2:16" ht="18" customHeight="1">
      <c r="B149" s="54" t="s">
        <v>70</v>
      </c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</row>
    <row r="150" spans="2:16" ht="18" customHeight="1">
      <c r="B150" s="54" t="s">
        <v>39</v>
      </c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</row>
    <row r="151" spans="2:16" ht="18" customHeight="1">
      <c r="B151" s="54" t="s">
        <v>71</v>
      </c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</row>
    <row r="152" spans="2:16" ht="18" customHeight="1">
      <c r="B152" s="54" t="s">
        <v>72</v>
      </c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</row>
    <row r="153" spans="2:16" ht="15" customHeight="1">
      <c r="B153" s="54" t="s">
        <v>73</v>
      </c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</row>
  </sheetData>
  <autoFilter ref="B9:E147"/>
  <mergeCells count="38">
    <mergeCell ref="B147:C147"/>
    <mergeCell ref="B141:B144"/>
    <mergeCell ref="B145:B146"/>
    <mergeCell ref="B10:B13"/>
    <mergeCell ref="B14:B15"/>
    <mergeCell ref="B16:B18"/>
    <mergeCell ref="B19:B25"/>
    <mergeCell ref="B26:B31"/>
    <mergeCell ref="B32:B38"/>
    <mergeCell ref="B39:B43"/>
    <mergeCell ref="B44:B47"/>
    <mergeCell ref="B48:B52"/>
    <mergeCell ref="B53:B54"/>
    <mergeCell ref="B55:B58"/>
    <mergeCell ref="B59:B61"/>
    <mergeCell ref="B62:B63"/>
    <mergeCell ref="B64:B65"/>
    <mergeCell ref="B119:B121"/>
    <mergeCell ref="B122:B124"/>
    <mergeCell ref="B125:B132"/>
    <mergeCell ref="B133:B137"/>
    <mergeCell ref="B138:B140"/>
    <mergeCell ref="B7:E8"/>
    <mergeCell ref="B102:B105"/>
    <mergeCell ref="B106:B109"/>
    <mergeCell ref="B110:B115"/>
    <mergeCell ref="B116:B118"/>
    <mergeCell ref="B66:B67"/>
    <mergeCell ref="B68:B70"/>
    <mergeCell ref="B71:B74"/>
    <mergeCell ref="B75:B77"/>
    <mergeCell ref="B78:B80"/>
    <mergeCell ref="B81:B83"/>
    <mergeCell ref="B84:B87"/>
    <mergeCell ref="B88:B89"/>
    <mergeCell ref="B90:B93"/>
    <mergeCell ref="B94:B96"/>
    <mergeCell ref="B97:B10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P180"/>
  <sheetViews>
    <sheetView showGridLines="0" zoomScaleNormal="100" zoomScaleSheetLayoutView="85" workbookViewId="0">
      <selection activeCell="C12" sqref="C12:E173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40.5" customHeight="1">
      <c r="B9" s="12" t="s">
        <v>40</v>
      </c>
      <c r="C9" s="14" t="s">
        <v>42</v>
      </c>
      <c r="D9" s="13" t="s">
        <v>2</v>
      </c>
      <c r="E9" s="12" t="s">
        <v>3</v>
      </c>
    </row>
    <row r="10" spans="1:16" ht="15" customHeight="1">
      <c r="B10" s="63" t="s">
        <v>97</v>
      </c>
      <c r="C10" s="55" t="s">
        <v>167</v>
      </c>
      <c r="D10" s="56">
        <v>3</v>
      </c>
      <c r="E10" s="57">
        <v>4.0000000000000001E-3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3"/>
      <c r="C11" s="55" t="s">
        <v>171</v>
      </c>
      <c r="D11" s="56">
        <v>1</v>
      </c>
      <c r="E11" s="57">
        <v>1E-3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3"/>
      <c r="C12" s="86" t="s">
        <v>47</v>
      </c>
      <c r="D12" s="87">
        <v>4</v>
      </c>
      <c r="E12" s="88">
        <v>5.0000000000000001E-3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3" t="s">
        <v>81</v>
      </c>
      <c r="C13" s="55" t="s">
        <v>167</v>
      </c>
      <c r="D13" s="56">
        <v>9</v>
      </c>
      <c r="E13" s="57">
        <v>1.2E-2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3"/>
      <c r="C14" s="55" t="s">
        <v>169</v>
      </c>
      <c r="D14" s="56">
        <v>1</v>
      </c>
      <c r="E14" s="57">
        <v>1E-3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3"/>
      <c r="C15" s="55" t="s">
        <v>168</v>
      </c>
      <c r="D15" s="56">
        <v>2</v>
      </c>
      <c r="E15" s="57">
        <v>3.0000000000000001E-3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3"/>
      <c r="C16" s="55" t="s">
        <v>166</v>
      </c>
      <c r="D16" s="56">
        <v>65</v>
      </c>
      <c r="E16" s="57">
        <v>8.6999999999999994E-2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3"/>
      <c r="C17" s="86" t="s">
        <v>47</v>
      </c>
      <c r="D17" s="87">
        <v>77</v>
      </c>
      <c r="E17" s="88">
        <v>0.104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3" t="s">
        <v>89</v>
      </c>
      <c r="C18" s="55" t="s">
        <v>167</v>
      </c>
      <c r="D18" s="56">
        <v>3</v>
      </c>
      <c r="E18" s="57">
        <v>4.0000000000000001E-3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3"/>
      <c r="C19" s="55" t="s">
        <v>170</v>
      </c>
      <c r="D19" s="56">
        <v>1</v>
      </c>
      <c r="E19" s="57">
        <v>1E-3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3"/>
      <c r="C20" s="55" t="s">
        <v>169</v>
      </c>
      <c r="D20" s="56">
        <v>1</v>
      </c>
      <c r="E20" s="57">
        <v>1E-3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3"/>
      <c r="C21" s="55" t="s">
        <v>166</v>
      </c>
      <c r="D21" s="56">
        <v>9</v>
      </c>
      <c r="E21" s="57">
        <v>1.2E-2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3"/>
      <c r="C22" s="86" t="s">
        <v>47</v>
      </c>
      <c r="D22" s="87">
        <v>14</v>
      </c>
      <c r="E22" s="88">
        <v>1.9E-2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3" t="s">
        <v>112</v>
      </c>
      <c r="C23" s="55" t="s">
        <v>166</v>
      </c>
      <c r="D23" s="56">
        <v>1</v>
      </c>
      <c r="E23" s="57">
        <v>1E-3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3"/>
      <c r="C24" s="86" t="s">
        <v>47</v>
      </c>
      <c r="D24" s="87">
        <v>1</v>
      </c>
      <c r="E24" s="88">
        <v>1E-3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3" t="s">
        <v>113</v>
      </c>
      <c r="C25" s="55" t="s">
        <v>169</v>
      </c>
      <c r="D25" s="56">
        <v>1</v>
      </c>
      <c r="E25" s="57">
        <v>1E-3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3"/>
      <c r="C26" s="55" t="s">
        <v>166</v>
      </c>
      <c r="D26" s="56">
        <v>5</v>
      </c>
      <c r="E26" s="57">
        <v>7.0000000000000001E-3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3"/>
      <c r="C27" s="86" t="s">
        <v>47</v>
      </c>
      <c r="D27" s="87">
        <v>6</v>
      </c>
      <c r="E27" s="88">
        <v>8.0000000000000002E-3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3" t="s">
        <v>74</v>
      </c>
      <c r="C28" s="55" t="s">
        <v>167</v>
      </c>
      <c r="D28" s="56">
        <v>6</v>
      </c>
      <c r="E28" s="57">
        <v>8.0000000000000002E-3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3"/>
      <c r="C29" s="55" t="s">
        <v>170</v>
      </c>
      <c r="D29" s="56">
        <v>1</v>
      </c>
      <c r="E29" s="57">
        <v>1E-3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3"/>
      <c r="C30" s="55" t="s">
        <v>168</v>
      </c>
      <c r="D30" s="56">
        <v>1</v>
      </c>
      <c r="E30" s="57">
        <v>1E-3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3"/>
      <c r="C31" s="55" t="s">
        <v>166</v>
      </c>
      <c r="D31" s="56">
        <v>14</v>
      </c>
      <c r="E31" s="57">
        <v>1.9E-2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3"/>
      <c r="C32" s="86" t="s">
        <v>47</v>
      </c>
      <c r="D32" s="87">
        <v>22</v>
      </c>
      <c r="E32" s="88">
        <v>0.03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3" t="s">
        <v>78</v>
      </c>
      <c r="C33" s="55" t="s">
        <v>167</v>
      </c>
      <c r="D33" s="56">
        <v>8</v>
      </c>
      <c r="E33" s="57">
        <v>1.0999999999999999E-2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3"/>
      <c r="C34" s="55" t="s">
        <v>169</v>
      </c>
      <c r="D34" s="56">
        <v>1</v>
      </c>
      <c r="E34" s="57">
        <v>1E-3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3"/>
      <c r="C35" s="55" t="s">
        <v>168</v>
      </c>
      <c r="D35" s="56">
        <v>2</v>
      </c>
      <c r="E35" s="57">
        <v>3.0000000000000001E-3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3"/>
      <c r="C36" s="55" t="s">
        <v>172</v>
      </c>
      <c r="D36" s="56">
        <v>1</v>
      </c>
      <c r="E36" s="57">
        <v>1E-3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3"/>
      <c r="C37" s="55" t="s">
        <v>166</v>
      </c>
      <c r="D37" s="56">
        <v>31</v>
      </c>
      <c r="E37" s="57">
        <v>4.2000000000000003E-2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3"/>
      <c r="C38" s="86" t="s">
        <v>47</v>
      </c>
      <c r="D38" s="87">
        <v>43</v>
      </c>
      <c r="E38" s="88">
        <v>5.8000000000000003E-2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3" t="s">
        <v>77</v>
      </c>
      <c r="C39" s="55" t="s">
        <v>167</v>
      </c>
      <c r="D39" s="56">
        <v>6</v>
      </c>
      <c r="E39" s="57">
        <v>8.0000000000000002E-3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3"/>
      <c r="C40" s="55" t="s">
        <v>169</v>
      </c>
      <c r="D40" s="56">
        <v>1</v>
      </c>
      <c r="E40" s="57">
        <v>1E-3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3"/>
      <c r="C41" s="55" t="s">
        <v>171</v>
      </c>
      <c r="D41" s="56">
        <v>1</v>
      </c>
      <c r="E41" s="57">
        <v>1E-3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3"/>
      <c r="C42" s="55" t="s">
        <v>168</v>
      </c>
      <c r="D42" s="56">
        <v>1</v>
      </c>
      <c r="E42" s="57">
        <v>1E-3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3"/>
      <c r="C43" s="55" t="s">
        <v>166</v>
      </c>
      <c r="D43" s="56">
        <v>10</v>
      </c>
      <c r="E43" s="57">
        <v>1.2999999999999999E-2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3"/>
      <c r="C44" s="86" t="s">
        <v>47</v>
      </c>
      <c r="D44" s="87">
        <v>19</v>
      </c>
      <c r="E44" s="88">
        <v>2.5999999999999999E-2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3" t="s">
        <v>98</v>
      </c>
      <c r="C45" s="55" t="s">
        <v>167</v>
      </c>
      <c r="D45" s="56">
        <v>1</v>
      </c>
      <c r="E45" s="57">
        <v>1E-3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3"/>
      <c r="C46" s="55" t="s">
        <v>166</v>
      </c>
      <c r="D46" s="56">
        <v>7</v>
      </c>
      <c r="E46" s="57">
        <v>8.9999999999999993E-3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3"/>
      <c r="C47" s="86" t="s">
        <v>47</v>
      </c>
      <c r="D47" s="87">
        <v>8</v>
      </c>
      <c r="E47" s="88">
        <v>1.0999999999999999E-2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3" t="s">
        <v>109</v>
      </c>
      <c r="C48" s="55" t="s">
        <v>166</v>
      </c>
      <c r="D48" s="56">
        <v>2</v>
      </c>
      <c r="E48" s="57">
        <v>3.0000000000000001E-3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3"/>
      <c r="C49" s="86" t="s">
        <v>47</v>
      </c>
      <c r="D49" s="87">
        <v>2</v>
      </c>
      <c r="E49" s="88">
        <v>3.0000000000000001E-3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3" t="s">
        <v>108</v>
      </c>
      <c r="C50" s="55" t="s">
        <v>167</v>
      </c>
      <c r="D50" s="56">
        <v>3</v>
      </c>
      <c r="E50" s="57">
        <v>4.0000000000000001E-3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3"/>
      <c r="C51" s="55" t="s">
        <v>166</v>
      </c>
      <c r="D51" s="56">
        <v>3</v>
      </c>
      <c r="E51" s="57">
        <v>4.0000000000000001E-3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3"/>
      <c r="C52" s="86" t="s">
        <v>47</v>
      </c>
      <c r="D52" s="87">
        <v>6</v>
      </c>
      <c r="E52" s="88">
        <v>8.0000000000000002E-3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3" t="s">
        <v>82</v>
      </c>
      <c r="C53" s="55" t="s">
        <v>167</v>
      </c>
      <c r="D53" s="56">
        <v>1</v>
      </c>
      <c r="E53" s="57">
        <v>1E-3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3"/>
      <c r="C54" s="55" t="s">
        <v>169</v>
      </c>
      <c r="D54" s="56">
        <v>1</v>
      </c>
      <c r="E54" s="57">
        <v>1E-3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3"/>
      <c r="C55" s="55" t="s">
        <v>166</v>
      </c>
      <c r="D55" s="56">
        <v>13</v>
      </c>
      <c r="E55" s="57">
        <v>1.7000000000000001E-2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3"/>
      <c r="C56" s="86" t="s">
        <v>47</v>
      </c>
      <c r="D56" s="87">
        <v>15</v>
      </c>
      <c r="E56" s="88">
        <v>0.02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3" t="s">
        <v>79</v>
      </c>
      <c r="C57" s="55" t="s">
        <v>167</v>
      </c>
      <c r="D57" s="56">
        <v>6</v>
      </c>
      <c r="E57" s="57">
        <v>8.0000000000000002E-3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3"/>
      <c r="C58" s="55" t="s">
        <v>170</v>
      </c>
      <c r="D58" s="56">
        <v>1</v>
      </c>
      <c r="E58" s="57">
        <v>1E-3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3"/>
      <c r="C59" s="55" t="s">
        <v>169</v>
      </c>
      <c r="D59" s="56">
        <v>1</v>
      </c>
      <c r="E59" s="57">
        <v>1E-3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3"/>
      <c r="C60" s="55" t="s">
        <v>168</v>
      </c>
      <c r="D60" s="56">
        <v>3</v>
      </c>
      <c r="E60" s="57">
        <v>4.0000000000000001E-3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3"/>
      <c r="C61" s="55" t="s">
        <v>166</v>
      </c>
      <c r="D61" s="56">
        <v>20</v>
      </c>
      <c r="E61" s="57">
        <v>2.7E-2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3"/>
      <c r="C62" s="86" t="s">
        <v>47</v>
      </c>
      <c r="D62" s="87">
        <v>31</v>
      </c>
      <c r="E62" s="88">
        <v>4.2000000000000003E-2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3" t="s">
        <v>85</v>
      </c>
      <c r="C63" s="55" t="s">
        <v>167</v>
      </c>
      <c r="D63" s="56">
        <v>5</v>
      </c>
      <c r="E63" s="57">
        <v>7.0000000000000001E-3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3"/>
      <c r="C64" s="55" t="s">
        <v>169</v>
      </c>
      <c r="D64" s="56">
        <v>2</v>
      </c>
      <c r="E64" s="57">
        <v>3.0000000000000001E-3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3"/>
      <c r="C65" s="55" t="s">
        <v>166</v>
      </c>
      <c r="D65" s="56">
        <v>5</v>
      </c>
      <c r="E65" s="57">
        <v>7.0000000000000001E-3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3"/>
      <c r="C66" s="86" t="s">
        <v>47</v>
      </c>
      <c r="D66" s="87">
        <v>12</v>
      </c>
      <c r="E66" s="88">
        <v>1.6E-2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3" t="s">
        <v>86</v>
      </c>
      <c r="C67" s="55" t="s">
        <v>167</v>
      </c>
      <c r="D67" s="56">
        <v>4</v>
      </c>
      <c r="E67" s="57">
        <v>5.0000000000000001E-3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3"/>
      <c r="C68" s="55" t="s">
        <v>169</v>
      </c>
      <c r="D68" s="56">
        <v>1</v>
      </c>
      <c r="E68" s="57">
        <v>1E-3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3"/>
      <c r="C69" s="55" t="s">
        <v>168</v>
      </c>
      <c r="D69" s="56">
        <v>5</v>
      </c>
      <c r="E69" s="57">
        <v>7.0000000000000001E-3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3"/>
      <c r="C70" s="55" t="s">
        <v>166</v>
      </c>
      <c r="D70" s="56">
        <v>14</v>
      </c>
      <c r="E70" s="57">
        <v>1.9E-2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3"/>
      <c r="C71" s="86" t="s">
        <v>47</v>
      </c>
      <c r="D71" s="87">
        <v>24</v>
      </c>
      <c r="E71" s="88">
        <v>3.2000000000000001E-2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3" t="s">
        <v>110</v>
      </c>
      <c r="C72" s="55" t="s">
        <v>167</v>
      </c>
      <c r="D72" s="56">
        <v>1</v>
      </c>
      <c r="E72" s="57">
        <v>1E-3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3"/>
      <c r="C73" s="55" t="s">
        <v>168</v>
      </c>
      <c r="D73" s="56">
        <v>1</v>
      </c>
      <c r="E73" s="57">
        <v>1E-3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3"/>
      <c r="C74" s="86" t="s">
        <v>47</v>
      </c>
      <c r="D74" s="87">
        <v>2</v>
      </c>
      <c r="E74" s="88">
        <v>3.0000000000000001E-3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3" t="s">
        <v>92</v>
      </c>
      <c r="C75" s="55" t="s">
        <v>167</v>
      </c>
      <c r="D75" s="56">
        <v>2</v>
      </c>
      <c r="E75" s="57">
        <v>3.0000000000000001E-3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3"/>
      <c r="C76" s="55" t="s">
        <v>169</v>
      </c>
      <c r="D76" s="56">
        <v>1</v>
      </c>
      <c r="E76" s="57">
        <v>1E-3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3"/>
      <c r="C77" s="55" t="s">
        <v>166</v>
      </c>
      <c r="D77" s="56">
        <v>4</v>
      </c>
      <c r="E77" s="57">
        <v>5.0000000000000001E-3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3"/>
      <c r="C78" s="86" t="s">
        <v>47</v>
      </c>
      <c r="D78" s="87">
        <v>7</v>
      </c>
      <c r="E78" s="88">
        <v>8.9999999999999993E-3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3" t="s">
        <v>76</v>
      </c>
      <c r="C79" s="55" t="s">
        <v>167</v>
      </c>
      <c r="D79" s="56">
        <v>5</v>
      </c>
      <c r="E79" s="57">
        <v>7.0000000000000001E-3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3"/>
      <c r="C80" s="55" t="s">
        <v>169</v>
      </c>
      <c r="D80" s="56">
        <v>1</v>
      </c>
      <c r="E80" s="57">
        <v>1E-3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3"/>
      <c r="C81" s="55" t="s">
        <v>166</v>
      </c>
      <c r="D81" s="56">
        <v>14</v>
      </c>
      <c r="E81" s="57">
        <v>1.9E-2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3"/>
      <c r="C82" s="86" t="s">
        <v>47</v>
      </c>
      <c r="D82" s="87">
        <v>20</v>
      </c>
      <c r="E82" s="88">
        <v>2.7E-2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3" t="s">
        <v>75</v>
      </c>
      <c r="C83" s="55" t="s">
        <v>167</v>
      </c>
      <c r="D83" s="56">
        <v>22</v>
      </c>
      <c r="E83" s="57">
        <v>0.03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3"/>
      <c r="C84" s="55" t="s">
        <v>170</v>
      </c>
      <c r="D84" s="56">
        <v>3</v>
      </c>
      <c r="E84" s="57">
        <v>4.0000000000000001E-3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3"/>
      <c r="C85" s="55" t="s">
        <v>166</v>
      </c>
      <c r="D85" s="56">
        <v>27</v>
      </c>
      <c r="E85" s="57">
        <v>3.5999999999999997E-2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3"/>
      <c r="C86" s="86" t="s">
        <v>47</v>
      </c>
      <c r="D86" s="87">
        <v>52</v>
      </c>
      <c r="E86" s="88">
        <v>7.0000000000000007E-2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3" t="s">
        <v>101</v>
      </c>
      <c r="C87" s="55" t="s">
        <v>167</v>
      </c>
      <c r="D87" s="56">
        <v>1</v>
      </c>
      <c r="E87" s="57">
        <v>1E-3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3"/>
      <c r="C88" s="55" t="s">
        <v>171</v>
      </c>
      <c r="D88" s="56">
        <v>1</v>
      </c>
      <c r="E88" s="57">
        <v>1E-3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3"/>
      <c r="C89" s="55" t="s">
        <v>168</v>
      </c>
      <c r="D89" s="56">
        <v>1</v>
      </c>
      <c r="E89" s="57">
        <v>1E-3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3"/>
      <c r="C90" s="55" t="s">
        <v>166</v>
      </c>
      <c r="D90" s="56">
        <v>5</v>
      </c>
      <c r="E90" s="57">
        <v>7.0000000000000001E-3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3"/>
      <c r="C91" s="86" t="s">
        <v>47</v>
      </c>
      <c r="D91" s="87">
        <v>8</v>
      </c>
      <c r="E91" s="88">
        <v>1.0999999999999999E-2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3" t="s">
        <v>99</v>
      </c>
      <c r="C92" s="55" t="s">
        <v>167</v>
      </c>
      <c r="D92" s="56">
        <v>1</v>
      </c>
      <c r="E92" s="57">
        <v>1E-3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3"/>
      <c r="C93" s="55" t="s">
        <v>170</v>
      </c>
      <c r="D93" s="56">
        <v>1</v>
      </c>
      <c r="E93" s="57">
        <v>1E-3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3"/>
      <c r="C94" s="55" t="s">
        <v>169</v>
      </c>
      <c r="D94" s="56">
        <v>2</v>
      </c>
      <c r="E94" s="57">
        <v>3.0000000000000001E-3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3"/>
      <c r="C95" s="55" t="s">
        <v>166</v>
      </c>
      <c r="D95" s="56">
        <v>8</v>
      </c>
      <c r="E95" s="57">
        <v>1.0999999999999999E-2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3"/>
      <c r="C96" s="86" t="s">
        <v>47</v>
      </c>
      <c r="D96" s="87">
        <v>12</v>
      </c>
      <c r="E96" s="88">
        <v>1.6E-2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3" t="s">
        <v>107</v>
      </c>
      <c r="C97" s="55" t="s">
        <v>167</v>
      </c>
      <c r="D97" s="56">
        <v>1</v>
      </c>
      <c r="E97" s="57">
        <v>1E-3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3"/>
      <c r="C98" s="55" t="s">
        <v>166</v>
      </c>
      <c r="D98" s="56">
        <v>5</v>
      </c>
      <c r="E98" s="57">
        <v>7.0000000000000001E-3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3"/>
      <c r="C99" s="86" t="s">
        <v>47</v>
      </c>
      <c r="D99" s="87">
        <v>6</v>
      </c>
      <c r="E99" s="88">
        <v>8.0000000000000002E-3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3" t="s">
        <v>111</v>
      </c>
      <c r="C100" s="55" t="s">
        <v>167</v>
      </c>
      <c r="D100" s="56">
        <v>1</v>
      </c>
      <c r="E100" s="57">
        <v>1E-3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3"/>
      <c r="C101" s="55" t="s">
        <v>166</v>
      </c>
      <c r="D101" s="56">
        <v>7</v>
      </c>
      <c r="E101" s="57">
        <v>8.9999999999999993E-3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3"/>
      <c r="C102" s="86" t="s">
        <v>47</v>
      </c>
      <c r="D102" s="87">
        <v>8</v>
      </c>
      <c r="E102" s="88">
        <v>1.0999999999999999E-2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3" t="s">
        <v>94</v>
      </c>
      <c r="C103" s="55" t="s">
        <v>168</v>
      </c>
      <c r="D103" s="56">
        <v>1</v>
      </c>
      <c r="E103" s="57">
        <v>1E-3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3"/>
      <c r="C104" s="55" t="s">
        <v>166</v>
      </c>
      <c r="D104" s="56">
        <v>3</v>
      </c>
      <c r="E104" s="57">
        <v>4.0000000000000001E-3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3"/>
      <c r="C105" s="86" t="s">
        <v>47</v>
      </c>
      <c r="D105" s="87">
        <v>4</v>
      </c>
      <c r="E105" s="88">
        <v>5.0000000000000001E-3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3" t="s">
        <v>90</v>
      </c>
      <c r="C106" s="55" t="s">
        <v>167</v>
      </c>
      <c r="D106" s="56">
        <v>4</v>
      </c>
      <c r="E106" s="57">
        <v>5.0000000000000001E-3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3"/>
      <c r="C107" s="55" t="s">
        <v>171</v>
      </c>
      <c r="D107" s="56">
        <v>2</v>
      </c>
      <c r="E107" s="57">
        <v>3.0000000000000001E-3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3"/>
      <c r="C108" s="55" t="s">
        <v>168</v>
      </c>
      <c r="D108" s="56">
        <v>1</v>
      </c>
      <c r="E108" s="57">
        <v>1E-3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3"/>
      <c r="C109" s="55" t="s">
        <v>166</v>
      </c>
      <c r="D109" s="56">
        <v>14</v>
      </c>
      <c r="E109" s="57">
        <v>1.9E-2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3"/>
      <c r="C110" s="86" t="s">
        <v>47</v>
      </c>
      <c r="D110" s="87">
        <v>21</v>
      </c>
      <c r="E110" s="88">
        <v>2.8000000000000001E-2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3" t="s">
        <v>91</v>
      </c>
      <c r="C111" s="55" t="s">
        <v>167</v>
      </c>
      <c r="D111" s="56">
        <v>4</v>
      </c>
      <c r="E111" s="57">
        <v>5.0000000000000001E-3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3"/>
      <c r="C112" s="55" t="s">
        <v>169</v>
      </c>
      <c r="D112" s="56">
        <v>1</v>
      </c>
      <c r="E112" s="57">
        <v>1E-3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3"/>
      <c r="C113" s="55" t="s">
        <v>166</v>
      </c>
      <c r="D113" s="56">
        <v>5</v>
      </c>
      <c r="E113" s="57">
        <v>7.0000000000000001E-3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3"/>
      <c r="C114" s="86" t="s">
        <v>47</v>
      </c>
      <c r="D114" s="87">
        <v>10</v>
      </c>
      <c r="E114" s="88">
        <v>1.2999999999999999E-2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3" t="s">
        <v>106</v>
      </c>
      <c r="C115" s="55" t="s">
        <v>166</v>
      </c>
      <c r="D115" s="56">
        <v>2</v>
      </c>
      <c r="E115" s="57">
        <v>3.0000000000000001E-3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3"/>
      <c r="C116" s="86" t="s">
        <v>47</v>
      </c>
      <c r="D116" s="87">
        <v>2</v>
      </c>
      <c r="E116" s="88">
        <v>3.0000000000000001E-3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3" t="s">
        <v>104</v>
      </c>
      <c r="C117" s="55" t="s">
        <v>167</v>
      </c>
      <c r="D117" s="56">
        <v>3</v>
      </c>
      <c r="E117" s="57">
        <v>4.0000000000000001E-3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3"/>
      <c r="C118" s="55" t="s">
        <v>170</v>
      </c>
      <c r="D118" s="56">
        <v>1</v>
      </c>
      <c r="E118" s="57">
        <v>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3"/>
      <c r="C119" s="55" t="s">
        <v>169</v>
      </c>
      <c r="D119" s="56">
        <v>3</v>
      </c>
      <c r="E119" s="57">
        <v>4.0000000000000001E-3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3"/>
      <c r="C120" s="55" t="s">
        <v>168</v>
      </c>
      <c r="D120" s="56">
        <v>1</v>
      </c>
      <c r="E120" s="57">
        <v>1E-3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3"/>
      <c r="C121" s="55" t="s">
        <v>166</v>
      </c>
      <c r="D121" s="56">
        <v>12</v>
      </c>
      <c r="E121" s="57">
        <v>1.6E-2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3"/>
      <c r="C122" s="86" t="s">
        <v>47</v>
      </c>
      <c r="D122" s="87">
        <v>20</v>
      </c>
      <c r="E122" s="88">
        <v>2.7E-2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3" t="s">
        <v>84</v>
      </c>
      <c r="C123" s="55" t="s">
        <v>167</v>
      </c>
      <c r="D123" s="56">
        <v>5</v>
      </c>
      <c r="E123" s="57">
        <v>7.0000000000000001E-3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3"/>
      <c r="C124" s="55" t="s">
        <v>168</v>
      </c>
      <c r="D124" s="56">
        <v>1</v>
      </c>
      <c r="E124" s="57">
        <v>1E-3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3"/>
      <c r="C125" s="55" t="s">
        <v>172</v>
      </c>
      <c r="D125" s="56">
        <v>1</v>
      </c>
      <c r="E125" s="57">
        <v>1E-3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3"/>
      <c r="C126" s="55" t="s">
        <v>166</v>
      </c>
      <c r="D126" s="56">
        <v>26</v>
      </c>
      <c r="E126" s="57">
        <v>3.5000000000000003E-2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3"/>
      <c r="C127" s="86" t="s">
        <v>47</v>
      </c>
      <c r="D127" s="87">
        <v>33</v>
      </c>
      <c r="E127" s="88">
        <v>4.3999999999999997E-2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3" t="s">
        <v>88</v>
      </c>
      <c r="C128" s="55" t="s">
        <v>167</v>
      </c>
      <c r="D128" s="56">
        <v>3</v>
      </c>
      <c r="E128" s="57">
        <v>4.0000000000000001E-3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3"/>
      <c r="C129" s="55" t="s">
        <v>169</v>
      </c>
      <c r="D129" s="56">
        <v>3</v>
      </c>
      <c r="E129" s="57">
        <v>4.0000000000000001E-3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3"/>
      <c r="C130" s="55" t="s">
        <v>168</v>
      </c>
      <c r="D130" s="56">
        <v>1</v>
      </c>
      <c r="E130" s="57">
        <v>1E-3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3"/>
      <c r="C131" s="55" t="s">
        <v>166</v>
      </c>
      <c r="D131" s="56">
        <v>7</v>
      </c>
      <c r="E131" s="57">
        <v>8.9999999999999993E-3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3"/>
      <c r="C132" s="86" t="s">
        <v>47</v>
      </c>
      <c r="D132" s="87">
        <v>14</v>
      </c>
      <c r="E132" s="88">
        <v>1.9E-2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3" t="s">
        <v>105</v>
      </c>
      <c r="C133" s="55" t="s">
        <v>167</v>
      </c>
      <c r="D133" s="56">
        <v>1</v>
      </c>
      <c r="E133" s="57">
        <v>1E-3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3"/>
      <c r="C134" s="55" t="s">
        <v>171</v>
      </c>
      <c r="D134" s="56">
        <v>1</v>
      </c>
      <c r="E134" s="57">
        <v>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3"/>
      <c r="C135" s="55" t="s">
        <v>166</v>
      </c>
      <c r="D135" s="56">
        <v>10</v>
      </c>
      <c r="E135" s="57">
        <v>1.2999999999999999E-2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3"/>
      <c r="C136" s="86" t="s">
        <v>47</v>
      </c>
      <c r="D136" s="87">
        <v>12</v>
      </c>
      <c r="E136" s="88">
        <v>1.6E-2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3" t="s">
        <v>95</v>
      </c>
      <c r="C137" s="55" t="s">
        <v>167</v>
      </c>
      <c r="D137" s="56">
        <v>4</v>
      </c>
      <c r="E137" s="57">
        <v>5.0000000000000001E-3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3"/>
      <c r="C138" s="55" t="s">
        <v>169</v>
      </c>
      <c r="D138" s="56">
        <v>1</v>
      </c>
      <c r="E138" s="57">
        <v>1E-3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3"/>
      <c r="C139" s="55" t="s">
        <v>168</v>
      </c>
      <c r="D139" s="56">
        <v>2</v>
      </c>
      <c r="E139" s="57">
        <v>3.0000000000000001E-3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3"/>
      <c r="C140" s="55" t="s">
        <v>166</v>
      </c>
      <c r="D140" s="56">
        <v>4</v>
      </c>
      <c r="E140" s="57">
        <v>5.0000000000000001E-3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3"/>
      <c r="C141" s="86" t="s">
        <v>47</v>
      </c>
      <c r="D141" s="87">
        <v>11</v>
      </c>
      <c r="E141" s="88">
        <v>1.4999999999999999E-2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3" t="s">
        <v>93</v>
      </c>
      <c r="C142" s="55" t="s">
        <v>167</v>
      </c>
      <c r="D142" s="56">
        <v>2</v>
      </c>
      <c r="E142" s="57">
        <v>3.0000000000000001E-3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3"/>
      <c r="C143" s="55" t="s">
        <v>168</v>
      </c>
      <c r="D143" s="56">
        <v>1</v>
      </c>
      <c r="E143" s="57">
        <v>1E-3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3"/>
      <c r="C144" s="55" t="s">
        <v>166</v>
      </c>
      <c r="D144" s="56">
        <v>1</v>
      </c>
      <c r="E144" s="57">
        <v>1E-3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3"/>
      <c r="C145" s="86" t="s">
        <v>47</v>
      </c>
      <c r="D145" s="87">
        <v>4</v>
      </c>
      <c r="E145" s="88">
        <v>5.0000000000000001E-3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3" t="s">
        <v>80</v>
      </c>
      <c r="C146" s="55" t="s">
        <v>167</v>
      </c>
      <c r="D146" s="56">
        <v>4</v>
      </c>
      <c r="E146" s="57">
        <v>5.0000000000000001E-3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3"/>
      <c r="C147" s="55" t="s">
        <v>166</v>
      </c>
      <c r="D147" s="56">
        <v>3</v>
      </c>
      <c r="E147" s="57">
        <v>4.0000000000000001E-3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3"/>
      <c r="C148" s="86" t="s">
        <v>47</v>
      </c>
      <c r="D148" s="87">
        <v>7</v>
      </c>
      <c r="E148" s="88">
        <v>8.9999999999999993E-3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3" t="s">
        <v>100</v>
      </c>
      <c r="C149" s="55" t="s">
        <v>166</v>
      </c>
      <c r="D149" s="56">
        <v>3</v>
      </c>
      <c r="E149" s="57">
        <v>4.0000000000000001E-3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3"/>
      <c r="C150" s="86" t="s">
        <v>47</v>
      </c>
      <c r="D150" s="87">
        <v>3</v>
      </c>
      <c r="E150" s="88">
        <v>4.0000000000000001E-3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3" t="s">
        <v>87</v>
      </c>
      <c r="C151" s="55" t="s">
        <v>167</v>
      </c>
      <c r="D151" s="56">
        <v>4</v>
      </c>
      <c r="E151" s="57">
        <v>5.0000000000000001E-3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3"/>
      <c r="C152" s="55" t="s">
        <v>170</v>
      </c>
      <c r="D152" s="56">
        <v>1</v>
      </c>
      <c r="E152" s="57">
        <v>1E-3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3"/>
      <c r="C153" s="55" t="s">
        <v>169</v>
      </c>
      <c r="D153" s="56">
        <v>19</v>
      </c>
      <c r="E153" s="57">
        <v>2.5999999999999999E-2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3"/>
      <c r="C154" s="55" t="s">
        <v>171</v>
      </c>
      <c r="D154" s="56">
        <v>1</v>
      </c>
      <c r="E154" s="57">
        <v>1E-3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3"/>
      <c r="C155" s="55" t="s">
        <v>168</v>
      </c>
      <c r="D155" s="56">
        <v>46</v>
      </c>
      <c r="E155" s="57">
        <v>6.2E-2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3"/>
      <c r="C156" s="55" t="s">
        <v>166</v>
      </c>
      <c r="D156" s="56">
        <v>64</v>
      </c>
      <c r="E156" s="57">
        <v>8.5999999999999993E-2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3"/>
      <c r="C157" s="86" t="s">
        <v>47</v>
      </c>
      <c r="D157" s="87">
        <v>135</v>
      </c>
      <c r="E157" s="88">
        <v>0.182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3" t="s">
        <v>96</v>
      </c>
      <c r="C158" s="55" t="s">
        <v>167</v>
      </c>
      <c r="D158" s="56">
        <v>3</v>
      </c>
      <c r="E158" s="57">
        <v>4.0000000000000001E-3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3"/>
      <c r="C159" s="55" t="s">
        <v>169</v>
      </c>
      <c r="D159" s="56">
        <v>2</v>
      </c>
      <c r="E159" s="57">
        <v>3.0000000000000001E-3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3"/>
      <c r="C160" s="55" t="s">
        <v>168</v>
      </c>
      <c r="D160" s="56">
        <v>2</v>
      </c>
      <c r="E160" s="57">
        <v>3.0000000000000001E-3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3"/>
      <c r="C161" s="55" t="s">
        <v>166</v>
      </c>
      <c r="D161" s="56">
        <v>10</v>
      </c>
      <c r="E161" s="57">
        <v>1.2999999999999999E-2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3"/>
      <c r="C162" s="86" t="s">
        <v>47</v>
      </c>
      <c r="D162" s="87">
        <v>17</v>
      </c>
      <c r="E162" s="88">
        <v>2.3E-2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3" t="s">
        <v>83</v>
      </c>
      <c r="C163" s="55" t="s">
        <v>167</v>
      </c>
      <c r="D163" s="56">
        <v>3</v>
      </c>
      <c r="E163" s="57">
        <v>4.0000000000000001E-3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3"/>
      <c r="C164" s="55" t="s">
        <v>169</v>
      </c>
      <c r="D164" s="56">
        <v>2</v>
      </c>
      <c r="E164" s="57">
        <v>3.0000000000000001E-3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3"/>
      <c r="C165" s="55" t="s">
        <v>166</v>
      </c>
      <c r="D165" s="56">
        <v>10</v>
      </c>
      <c r="E165" s="57">
        <v>1.2999999999999999E-2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3"/>
      <c r="C166" s="86" t="s">
        <v>47</v>
      </c>
      <c r="D166" s="87">
        <v>15</v>
      </c>
      <c r="E166" s="88">
        <v>0.02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3" t="s">
        <v>103</v>
      </c>
      <c r="C167" s="55" t="s">
        <v>167</v>
      </c>
      <c r="D167" s="56">
        <v>2</v>
      </c>
      <c r="E167" s="57">
        <v>3.0000000000000001E-3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3"/>
      <c r="C168" s="55" t="s">
        <v>168</v>
      </c>
      <c r="D168" s="56">
        <v>10</v>
      </c>
      <c r="E168" s="57">
        <v>1.2999999999999999E-2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3"/>
      <c r="C169" s="55" t="s">
        <v>166</v>
      </c>
      <c r="D169" s="56">
        <v>3</v>
      </c>
      <c r="E169" s="57">
        <v>4.0000000000000001E-3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3"/>
      <c r="C170" s="86" t="s">
        <v>47</v>
      </c>
      <c r="D170" s="87">
        <v>15</v>
      </c>
      <c r="E170" s="88">
        <v>0.02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3" t="s">
        <v>102</v>
      </c>
      <c r="C171" s="55" t="s">
        <v>167</v>
      </c>
      <c r="D171" s="56">
        <v>2</v>
      </c>
      <c r="E171" s="57">
        <v>3.0000000000000001E-3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3"/>
      <c r="C172" s="55" t="s">
        <v>166</v>
      </c>
      <c r="D172" s="56">
        <v>19</v>
      </c>
      <c r="E172" s="57">
        <v>2.5999999999999999E-2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3"/>
      <c r="C173" s="86" t="s">
        <v>47</v>
      </c>
      <c r="D173" s="87">
        <v>21</v>
      </c>
      <c r="E173" s="88">
        <v>2.8000000000000001E-2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8" customHeight="1">
      <c r="B174" s="64" t="s">
        <v>47</v>
      </c>
      <c r="C174" s="64"/>
      <c r="D174" s="59">
        <v>743</v>
      </c>
      <c r="E174" s="60">
        <v>1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8" customHeight="1"/>
    <row r="176" spans="2:16" ht="18" customHeight="1">
      <c r="B176" s="54" t="s">
        <v>70</v>
      </c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</row>
    <row r="177" spans="2:16" ht="18" customHeight="1">
      <c r="B177" s="54" t="s">
        <v>39</v>
      </c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</row>
    <row r="178" spans="2:16" ht="18" customHeight="1">
      <c r="B178" s="54" t="s">
        <v>71</v>
      </c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</row>
    <row r="179" spans="2:16" ht="18" customHeight="1">
      <c r="B179" s="54" t="s">
        <v>72</v>
      </c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</row>
    <row r="180" spans="2:16" ht="15" customHeight="1">
      <c r="B180" s="54" t="s">
        <v>73</v>
      </c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</row>
  </sheetData>
  <autoFilter ref="B9:E174"/>
  <mergeCells count="42">
    <mergeCell ref="B163:B166"/>
    <mergeCell ref="B167:B170"/>
    <mergeCell ref="B171:B173"/>
    <mergeCell ref="B174:C174"/>
    <mergeCell ref="B128:B132"/>
    <mergeCell ref="B133:B136"/>
    <mergeCell ref="B149:B150"/>
    <mergeCell ref="B151:B157"/>
    <mergeCell ref="B158:B162"/>
    <mergeCell ref="B137:B141"/>
    <mergeCell ref="B142:B145"/>
    <mergeCell ref="B146:B148"/>
    <mergeCell ref="B28:B32"/>
    <mergeCell ref="B33:B38"/>
    <mergeCell ref="B39:B44"/>
    <mergeCell ref="B45:B47"/>
    <mergeCell ref="B48:B49"/>
    <mergeCell ref="B97:B99"/>
    <mergeCell ref="B100:B102"/>
    <mergeCell ref="B103:B105"/>
    <mergeCell ref="B106:B110"/>
    <mergeCell ref="B111:B114"/>
    <mergeCell ref="B115:B116"/>
    <mergeCell ref="B117:B122"/>
    <mergeCell ref="B123:B127"/>
    <mergeCell ref="B75:B78"/>
    <mergeCell ref="B79:B82"/>
    <mergeCell ref="B83:B86"/>
    <mergeCell ref="B87:B91"/>
    <mergeCell ref="B92:B96"/>
    <mergeCell ref="B7:E8"/>
    <mergeCell ref="B50:B52"/>
    <mergeCell ref="B63:B66"/>
    <mergeCell ref="B67:B71"/>
    <mergeCell ref="B72:B74"/>
    <mergeCell ref="B53:B56"/>
    <mergeCell ref="B57:B62"/>
    <mergeCell ref="B10:B12"/>
    <mergeCell ref="B13:B17"/>
    <mergeCell ref="B18:B22"/>
    <mergeCell ref="B23:B24"/>
    <mergeCell ref="B25:B2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92D050"/>
  </sheetPr>
  <dimension ref="A1:P39"/>
  <sheetViews>
    <sheetView showGridLines="0" zoomScaleNormal="100" zoomScaleSheetLayoutView="115" workbookViewId="0">
      <selection activeCell="B33" sqref="B33:D33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173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45</v>
      </c>
      <c r="C11" s="6" t="s">
        <v>44</v>
      </c>
      <c r="D11" s="7" t="s">
        <v>3</v>
      </c>
    </row>
    <row r="12" spans="1:16">
      <c r="B12" s="55" t="s">
        <v>114</v>
      </c>
      <c r="C12" s="56">
        <v>6</v>
      </c>
      <c r="D12" s="57">
        <v>8.0000000000000002E-3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5" t="s">
        <v>115</v>
      </c>
      <c r="C13" s="56">
        <v>2</v>
      </c>
      <c r="D13" s="57">
        <v>3.0000000000000001E-3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5" t="s">
        <v>116</v>
      </c>
      <c r="C14" s="56">
        <v>4</v>
      </c>
      <c r="D14" s="57">
        <v>5.0000000000000001E-3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5" t="s">
        <v>117</v>
      </c>
      <c r="C15" s="56">
        <v>6</v>
      </c>
      <c r="D15" s="57">
        <v>8.0000000000000002E-3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5" t="s">
        <v>118</v>
      </c>
      <c r="C16" s="56">
        <v>6</v>
      </c>
      <c r="D16" s="57">
        <v>8.0000000000000002E-3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5" t="s">
        <v>119</v>
      </c>
      <c r="C17" s="56">
        <v>10</v>
      </c>
      <c r="D17" s="57">
        <v>1.2999999999999999E-2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5" t="s">
        <v>120</v>
      </c>
      <c r="C18" s="56">
        <v>38</v>
      </c>
      <c r="D18" s="57">
        <v>5.0999999999999997E-2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 ht="27">
      <c r="B19" s="55" t="s">
        <v>121</v>
      </c>
      <c r="C19" s="56">
        <v>89</v>
      </c>
      <c r="D19" s="57">
        <v>0.12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5" t="s">
        <v>122</v>
      </c>
      <c r="C20" s="56">
        <v>5</v>
      </c>
      <c r="D20" s="57">
        <v>7.0000000000000001E-3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5" t="s">
        <v>123</v>
      </c>
      <c r="C21" s="56">
        <v>12</v>
      </c>
      <c r="D21" s="57">
        <v>1.6E-2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5" t="s">
        <v>124</v>
      </c>
      <c r="C22" s="56">
        <v>19</v>
      </c>
      <c r="D22" s="57">
        <v>2.5999999999999999E-2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 ht="27">
      <c r="B23" s="55" t="s">
        <v>125</v>
      </c>
      <c r="C23" s="56">
        <v>285</v>
      </c>
      <c r="D23" s="57">
        <v>0.38400000000000001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 ht="27">
      <c r="B24" s="55" t="s">
        <v>126</v>
      </c>
      <c r="C24" s="56">
        <v>6</v>
      </c>
      <c r="D24" s="57">
        <v>8.0000000000000002E-3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 ht="27">
      <c r="B25" s="55" t="s">
        <v>127</v>
      </c>
      <c r="C25" s="56">
        <v>77</v>
      </c>
      <c r="D25" s="57">
        <v>0.104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 ht="27">
      <c r="B26" s="55" t="s">
        <v>128</v>
      </c>
      <c r="C26" s="56">
        <v>160</v>
      </c>
      <c r="D26" s="57">
        <v>0.215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 ht="27">
      <c r="B27" s="55" t="s">
        <v>129</v>
      </c>
      <c r="C27" s="56">
        <v>2</v>
      </c>
      <c r="D27" s="57">
        <v>3.0000000000000001E-3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 ht="27">
      <c r="B28" s="55" t="s">
        <v>130</v>
      </c>
      <c r="C28" s="56">
        <v>1</v>
      </c>
      <c r="D28" s="57">
        <v>1E-3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 ht="27">
      <c r="B29" s="55" t="s">
        <v>131</v>
      </c>
      <c r="C29" s="56">
        <v>3</v>
      </c>
      <c r="D29" s="57">
        <v>4.0000000000000001E-3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 ht="27">
      <c r="B30" s="55" t="s">
        <v>132</v>
      </c>
      <c r="C30" s="56">
        <v>10</v>
      </c>
      <c r="D30" s="57">
        <v>1.2999999999999999E-2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5" t="s">
        <v>133</v>
      </c>
      <c r="C31" s="56">
        <v>1</v>
      </c>
      <c r="D31" s="57">
        <v>1E-3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 ht="27">
      <c r="B32" s="55" t="s">
        <v>134</v>
      </c>
      <c r="C32" s="56">
        <v>1</v>
      </c>
      <c r="D32" s="57">
        <v>1E-3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8" t="s">
        <v>47</v>
      </c>
      <c r="C33" s="59">
        <v>743</v>
      </c>
      <c r="D33" s="60">
        <v>1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 ht="18" customHeight="1"/>
    <row r="35" spans="2:16" ht="18" customHeight="1">
      <c r="B35" s="54" t="s">
        <v>70</v>
      </c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</row>
    <row r="36" spans="2:16" ht="18" customHeight="1">
      <c r="B36" s="54" t="s">
        <v>39</v>
      </c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</row>
    <row r="37" spans="2:16" ht="18" customHeight="1">
      <c r="B37" s="54" t="s">
        <v>71</v>
      </c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</row>
    <row r="38" spans="2:16">
      <c r="B38" s="54" t="s">
        <v>72</v>
      </c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</row>
    <row r="39" spans="2:16">
      <c r="B39" s="54" t="s">
        <v>73</v>
      </c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P215"/>
  <sheetViews>
    <sheetView showGridLines="0" zoomScaleNormal="100" zoomScaleSheetLayoutView="85" workbookViewId="0">
      <selection activeCell="C14" sqref="C14:E208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40.5" customHeight="1">
      <c r="B9" s="12" t="s">
        <v>46</v>
      </c>
      <c r="C9" s="14" t="s">
        <v>43</v>
      </c>
      <c r="D9" s="13" t="s">
        <v>2</v>
      </c>
      <c r="E9" s="12" t="s">
        <v>3</v>
      </c>
    </row>
    <row r="10" spans="1:16" ht="15" customHeight="1">
      <c r="B10" s="63" t="s">
        <v>114</v>
      </c>
      <c r="C10" s="55" t="s">
        <v>4</v>
      </c>
      <c r="D10" s="56">
        <v>3</v>
      </c>
      <c r="E10" s="57">
        <v>4.0000000000000001E-3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3"/>
      <c r="C11" s="55" t="s">
        <v>10</v>
      </c>
      <c r="D11" s="56">
        <v>1</v>
      </c>
      <c r="E11" s="57">
        <v>1E-3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3"/>
      <c r="C12" s="55" t="s">
        <v>16</v>
      </c>
      <c r="D12" s="56">
        <v>1</v>
      </c>
      <c r="E12" s="57">
        <v>1E-3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3"/>
      <c r="C13" s="55" t="s">
        <v>5</v>
      </c>
      <c r="D13" s="56">
        <v>1</v>
      </c>
      <c r="E13" s="57">
        <v>1E-3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3"/>
      <c r="C14" s="86" t="s">
        <v>47</v>
      </c>
      <c r="D14" s="87">
        <v>6</v>
      </c>
      <c r="E14" s="88">
        <v>8.0000000000000002E-3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3" t="s">
        <v>115</v>
      </c>
      <c r="C15" s="55" t="s">
        <v>4</v>
      </c>
      <c r="D15" s="56">
        <v>1</v>
      </c>
      <c r="E15" s="57">
        <v>1E-3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3"/>
      <c r="C16" s="55" t="s">
        <v>16</v>
      </c>
      <c r="D16" s="56">
        <v>1</v>
      </c>
      <c r="E16" s="57">
        <v>1E-3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3"/>
      <c r="C17" s="86" t="s">
        <v>47</v>
      </c>
      <c r="D17" s="87">
        <v>2</v>
      </c>
      <c r="E17" s="88">
        <v>3.0000000000000001E-3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3" t="s">
        <v>116</v>
      </c>
      <c r="C18" s="55" t="s">
        <v>34</v>
      </c>
      <c r="D18" s="56">
        <v>1</v>
      </c>
      <c r="E18" s="57">
        <v>1E-3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3"/>
      <c r="C19" s="55" t="s">
        <v>4</v>
      </c>
      <c r="D19" s="56">
        <v>2</v>
      </c>
      <c r="E19" s="57">
        <v>3.0000000000000001E-3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3"/>
      <c r="C20" s="55" t="s">
        <v>10</v>
      </c>
      <c r="D20" s="56">
        <v>1</v>
      </c>
      <c r="E20" s="57">
        <v>1E-3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3"/>
      <c r="C21" s="86" t="s">
        <v>47</v>
      </c>
      <c r="D21" s="87">
        <v>4</v>
      </c>
      <c r="E21" s="88">
        <v>5.0000000000000001E-3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3" t="s">
        <v>117</v>
      </c>
      <c r="C22" s="55" t="s">
        <v>4</v>
      </c>
      <c r="D22" s="56">
        <v>2</v>
      </c>
      <c r="E22" s="57">
        <v>3.0000000000000001E-3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3"/>
      <c r="C23" s="55" t="s">
        <v>11</v>
      </c>
      <c r="D23" s="56">
        <v>1</v>
      </c>
      <c r="E23" s="57">
        <v>1E-3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3"/>
      <c r="C24" s="55" t="s">
        <v>18</v>
      </c>
      <c r="D24" s="56">
        <v>1</v>
      </c>
      <c r="E24" s="57">
        <v>1E-3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3"/>
      <c r="C25" s="55" t="s">
        <v>5</v>
      </c>
      <c r="D25" s="56">
        <v>2</v>
      </c>
      <c r="E25" s="57">
        <v>3.0000000000000001E-3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3"/>
      <c r="C26" s="86" t="s">
        <v>47</v>
      </c>
      <c r="D26" s="87">
        <v>6</v>
      </c>
      <c r="E26" s="88">
        <v>8.0000000000000002E-3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3" t="s">
        <v>118</v>
      </c>
      <c r="C27" s="55" t="s">
        <v>4</v>
      </c>
      <c r="D27" s="56">
        <v>1</v>
      </c>
      <c r="E27" s="57">
        <v>1E-3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3"/>
      <c r="C28" s="55" t="s">
        <v>10</v>
      </c>
      <c r="D28" s="56">
        <v>2</v>
      </c>
      <c r="E28" s="57">
        <v>3.0000000000000001E-3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3"/>
      <c r="C29" s="55" t="s">
        <v>32</v>
      </c>
      <c r="D29" s="56">
        <v>1</v>
      </c>
      <c r="E29" s="57">
        <v>1E-3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3"/>
      <c r="C30" s="55" t="s">
        <v>14</v>
      </c>
      <c r="D30" s="56">
        <v>1</v>
      </c>
      <c r="E30" s="57">
        <v>1E-3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3"/>
      <c r="C31" s="55" t="s">
        <v>5</v>
      </c>
      <c r="D31" s="56">
        <v>1</v>
      </c>
      <c r="E31" s="57">
        <v>1E-3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3"/>
      <c r="C32" s="86" t="s">
        <v>47</v>
      </c>
      <c r="D32" s="87">
        <v>6</v>
      </c>
      <c r="E32" s="88">
        <v>8.0000000000000002E-3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3" t="s">
        <v>119</v>
      </c>
      <c r="C33" s="55" t="s">
        <v>4</v>
      </c>
      <c r="D33" s="56">
        <v>4</v>
      </c>
      <c r="E33" s="57">
        <v>5.0000000000000001E-3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3"/>
      <c r="C34" s="55" t="s">
        <v>10</v>
      </c>
      <c r="D34" s="56">
        <v>1</v>
      </c>
      <c r="E34" s="57">
        <v>1E-3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3"/>
      <c r="C35" s="55" t="s">
        <v>12</v>
      </c>
      <c r="D35" s="56">
        <v>1</v>
      </c>
      <c r="E35" s="57">
        <v>1E-3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3"/>
      <c r="C36" s="55" t="s">
        <v>15</v>
      </c>
      <c r="D36" s="56">
        <v>1</v>
      </c>
      <c r="E36" s="57">
        <v>1E-3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3"/>
      <c r="C37" s="55" t="s">
        <v>5</v>
      </c>
      <c r="D37" s="56">
        <v>2</v>
      </c>
      <c r="E37" s="57">
        <v>3.0000000000000001E-3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3"/>
      <c r="C38" s="55" t="s">
        <v>17</v>
      </c>
      <c r="D38" s="56">
        <v>1</v>
      </c>
      <c r="E38" s="57">
        <v>1E-3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3"/>
      <c r="C39" s="86" t="s">
        <v>47</v>
      </c>
      <c r="D39" s="87">
        <v>10</v>
      </c>
      <c r="E39" s="88">
        <v>1.2999999999999999E-2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3" t="s">
        <v>120</v>
      </c>
      <c r="C40" s="55" t="s">
        <v>34</v>
      </c>
      <c r="D40" s="56">
        <v>5</v>
      </c>
      <c r="E40" s="57">
        <v>7.0000000000000001E-3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3"/>
      <c r="C41" s="55" t="s">
        <v>13</v>
      </c>
      <c r="D41" s="56">
        <v>1</v>
      </c>
      <c r="E41" s="57">
        <v>1E-3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3"/>
      <c r="C42" s="55" t="s">
        <v>4</v>
      </c>
      <c r="D42" s="56">
        <v>15</v>
      </c>
      <c r="E42" s="57">
        <v>0.02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3"/>
      <c r="C43" s="55" t="s">
        <v>10</v>
      </c>
      <c r="D43" s="56">
        <v>1</v>
      </c>
      <c r="E43" s="57">
        <v>1E-3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3"/>
      <c r="C44" s="55" t="s">
        <v>12</v>
      </c>
      <c r="D44" s="56">
        <v>2</v>
      </c>
      <c r="E44" s="57">
        <v>3.0000000000000001E-3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3"/>
      <c r="C45" s="55" t="s">
        <v>16</v>
      </c>
      <c r="D45" s="56">
        <v>1</v>
      </c>
      <c r="E45" s="57">
        <v>1E-3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3"/>
      <c r="C46" s="55" t="s">
        <v>27</v>
      </c>
      <c r="D46" s="56">
        <v>1</v>
      </c>
      <c r="E46" s="57">
        <v>1E-3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3"/>
      <c r="C47" s="55" t="s">
        <v>25</v>
      </c>
      <c r="D47" s="56">
        <v>1</v>
      </c>
      <c r="E47" s="57">
        <v>1E-3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3"/>
      <c r="C48" s="55" t="s">
        <v>15</v>
      </c>
      <c r="D48" s="56">
        <v>1</v>
      </c>
      <c r="E48" s="57">
        <v>1E-3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3"/>
      <c r="C49" s="55" t="s">
        <v>30</v>
      </c>
      <c r="D49" s="56">
        <v>3</v>
      </c>
      <c r="E49" s="57">
        <v>4.0000000000000001E-3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3"/>
      <c r="C50" s="55" t="s">
        <v>5</v>
      </c>
      <c r="D50" s="56">
        <v>4</v>
      </c>
      <c r="E50" s="57">
        <v>5.0000000000000001E-3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3"/>
      <c r="C51" s="55" t="s">
        <v>20</v>
      </c>
      <c r="D51" s="56">
        <v>1</v>
      </c>
      <c r="E51" s="57">
        <v>1E-3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3"/>
      <c r="C52" s="55" t="s">
        <v>26</v>
      </c>
      <c r="D52" s="56">
        <v>1</v>
      </c>
      <c r="E52" s="57">
        <v>1E-3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3"/>
      <c r="C53" s="55" t="s">
        <v>17</v>
      </c>
      <c r="D53" s="56">
        <v>1</v>
      </c>
      <c r="E53" s="57">
        <v>1E-3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3"/>
      <c r="C54" s="86" t="s">
        <v>47</v>
      </c>
      <c r="D54" s="87">
        <v>38</v>
      </c>
      <c r="E54" s="88">
        <v>5.0999999999999997E-2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3" t="s">
        <v>121</v>
      </c>
      <c r="C55" s="55" t="s">
        <v>34</v>
      </c>
      <c r="D55" s="56">
        <v>14</v>
      </c>
      <c r="E55" s="57">
        <v>1.9E-2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3"/>
      <c r="C56" s="55" t="s">
        <v>13</v>
      </c>
      <c r="D56" s="56">
        <v>1</v>
      </c>
      <c r="E56" s="57">
        <v>1E-3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3"/>
      <c r="C57" s="55" t="s">
        <v>4</v>
      </c>
      <c r="D57" s="56">
        <v>30</v>
      </c>
      <c r="E57" s="57">
        <v>0.04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3"/>
      <c r="C58" s="55" t="s">
        <v>8</v>
      </c>
      <c r="D58" s="56">
        <v>1</v>
      </c>
      <c r="E58" s="57">
        <v>1E-3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3"/>
      <c r="C59" s="55" t="s">
        <v>10</v>
      </c>
      <c r="D59" s="56">
        <v>4</v>
      </c>
      <c r="E59" s="57">
        <v>5.0000000000000001E-3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3"/>
      <c r="C60" s="55" t="s">
        <v>12</v>
      </c>
      <c r="D60" s="56">
        <v>3</v>
      </c>
      <c r="E60" s="57">
        <v>4.0000000000000001E-3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3"/>
      <c r="C61" s="55" t="s">
        <v>6</v>
      </c>
      <c r="D61" s="56">
        <v>4</v>
      </c>
      <c r="E61" s="57">
        <v>5.0000000000000001E-3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3"/>
      <c r="C62" s="55" t="s">
        <v>9</v>
      </c>
      <c r="D62" s="56">
        <v>1</v>
      </c>
      <c r="E62" s="57">
        <v>1E-3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3"/>
      <c r="C63" s="55" t="s">
        <v>16</v>
      </c>
      <c r="D63" s="56">
        <v>1</v>
      </c>
      <c r="E63" s="57">
        <v>1E-3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3"/>
      <c r="C64" s="55" t="s">
        <v>27</v>
      </c>
      <c r="D64" s="56">
        <v>1</v>
      </c>
      <c r="E64" s="57">
        <v>1E-3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3"/>
      <c r="C65" s="55" t="s">
        <v>35</v>
      </c>
      <c r="D65" s="56">
        <v>1</v>
      </c>
      <c r="E65" s="57">
        <v>1E-3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3"/>
      <c r="C66" s="55" t="s">
        <v>15</v>
      </c>
      <c r="D66" s="56">
        <v>5</v>
      </c>
      <c r="E66" s="57">
        <v>7.0000000000000001E-3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3"/>
      <c r="C67" s="55" t="s">
        <v>33</v>
      </c>
      <c r="D67" s="56">
        <v>1</v>
      </c>
      <c r="E67" s="57">
        <v>1E-3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3"/>
      <c r="C68" s="55" t="s">
        <v>7</v>
      </c>
      <c r="D68" s="56">
        <v>2</v>
      </c>
      <c r="E68" s="57">
        <v>3.0000000000000001E-3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3"/>
      <c r="C69" s="55" t="s">
        <v>30</v>
      </c>
      <c r="D69" s="56">
        <v>2</v>
      </c>
      <c r="E69" s="57">
        <v>3.0000000000000001E-3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3"/>
      <c r="C70" s="55" t="s">
        <v>31</v>
      </c>
      <c r="D70" s="56">
        <v>2</v>
      </c>
      <c r="E70" s="57">
        <v>3.0000000000000001E-3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3"/>
      <c r="C71" s="55" t="s">
        <v>14</v>
      </c>
      <c r="D71" s="56">
        <v>3</v>
      </c>
      <c r="E71" s="57">
        <v>4.0000000000000001E-3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3"/>
      <c r="C72" s="55" t="s">
        <v>5</v>
      </c>
      <c r="D72" s="56">
        <v>9</v>
      </c>
      <c r="E72" s="57">
        <v>1.2E-2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3"/>
      <c r="C73" s="55" t="s">
        <v>26</v>
      </c>
      <c r="D73" s="56">
        <v>2</v>
      </c>
      <c r="E73" s="57">
        <v>3.0000000000000001E-3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3"/>
      <c r="C74" s="55" t="s">
        <v>17</v>
      </c>
      <c r="D74" s="56">
        <v>2</v>
      </c>
      <c r="E74" s="57">
        <v>3.0000000000000001E-3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3"/>
      <c r="C75" s="86" t="s">
        <v>47</v>
      </c>
      <c r="D75" s="87">
        <v>89</v>
      </c>
      <c r="E75" s="88">
        <v>0.12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3" t="s">
        <v>122</v>
      </c>
      <c r="C76" s="55" t="s">
        <v>4</v>
      </c>
      <c r="D76" s="56">
        <v>1</v>
      </c>
      <c r="E76" s="57">
        <v>1E-3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3"/>
      <c r="C77" s="55" t="s">
        <v>10</v>
      </c>
      <c r="D77" s="56">
        <v>1</v>
      </c>
      <c r="E77" s="57">
        <v>1E-3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3"/>
      <c r="C78" s="55" t="s">
        <v>12</v>
      </c>
      <c r="D78" s="56">
        <v>1</v>
      </c>
      <c r="E78" s="57">
        <v>1E-3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3"/>
      <c r="C79" s="55" t="s">
        <v>5</v>
      </c>
      <c r="D79" s="56">
        <v>2</v>
      </c>
      <c r="E79" s="57">
        <v>3.0000000000000001E-3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3"/>
      <c r="C80" s="86" t="s">
        <v>47</v>
      </c>
      <c r="D80" s="87">
        <v>5</v>
      </c>
      <c r="E80" s="88">
        <v>7.0000000000000001E-3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3" t="s">
        <v>123</v>
      </c>
      <c r="C81" s="55" t="s">
        <v>34</v>
      </c>
      <c r="D81" s="56">
        <v>1</v>
      </c>
      <c r="E81" s="57">
        <v>1E-3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3"/>
      <c r="C82" s="55" t="s">
        <v>4</v>
      </c>
      <c r="D82" s="56">
        <v>3</v>
      </c>
      <c r="E82" s="57">
        <v>4.0000000000000001E-3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3"/>
      <c r="C83" s="55" t="s">
        <v>8</v>
      </c>
      <c r="D83" s="56">
        <v>1</v>
      </c>
      <c r="E83" s="57">
        <v>1E-3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3"/>
      <c r="C84" s="55" t="s">
        <v>16</v>
      </c>
      <c r="D84" s="56">
        <v>1</v>
      </c>
      <c r="E84" s="57">
        <v>1E-3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3"/>
      <c r="C85" s="55" t="s">
        <v>161</v>
      </c>
      <c r="D85" s="56">
        <v>1</v>
      </c>
      <c r="E85" s="57">
        <v>1E-3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3"/>
      <c r="C86" s="55" t="s">
        <v>25</v>
      </c>
      <c r="D86" s="56">
        <v>1</v>
      </c>
      <c r="E86" s="57">
        <v>1E-3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3"/>
      <c r="C87" s="55" t="s">
        <v>32</v>
      </c>
      <c r="D87" s="56">
        <v>1</v>
      </c>
      <c r="E87" s="57">
        <v>1E-3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3"/>
      <c r="C88" s="55" t="s">
        <v>5</v>
      </c>
      <c r="D88" s="56">
        <v>2</v>
      </c>
      <c r="E88" s="57">
        <v>3.0000000000000001E-3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3"/>
      <c r="C89" s="55" t="s">
        <v>20</v>
      </c>
      <c r="D89" s="56">
        <v>1</v>
      </c>
      <c r="E89" s="57">
        <v>1E-3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3"/>
      <c r="C90" s="86" t="s">
        <v>47</v>
      </c>
      <c r="D90" s="87">
        <v>12</v>
      </c>
      <c r="E90" s="88">
        <v>1.6E-2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3" t="s">
        <v>124</v>
      </c>
      <c r="C91" s="55" t="s">
        <v>34</v>
      </c>
      <c r="D91" s="56">
        <v>2</v>
      </c>
      <c r="E91" s="57">
        <v>3.0000000000000001E-3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3"/>
      <c r="C92" s="55" t="s">
        <v>13</v>
      </c>
      <c r="D92" s="56">
        <v>1</v>
      </c>
      <c r="E92" s="57">
        <v>1E-3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3"/>
      <c r="C93" s="55" t="s">
        <v>4</v>
      </c>
      <c r="D93" s="56">
        <v>3</v>
      </c>
      <c r="E93" s="57">
        <v>4.0000000000000001E-3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3"/>
      <c r="C94" s="55" t="s">
        <v>10</v>
      </c>
      <c r="D94" s="56">
        <v>3</v>
      </c>
      <c r="E94" s="57">
        <v>4.0000000000000001E-3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3"/>
      <c r="C95" s="55" t="s">
        <v>6</v>
      </c>
      <c r="D95" s="56">
        <v>1</v>
      </c>
      <c r="E95" s="57">
        <v>1E-3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3"/>
      <c r="C96" s="55" t="s">
        <v>27</v>
      </c>
      <c r="D96" s="56">
        <v>2</v>
      </c>
      <c r="E96" s="57">
        <v>3.0000000000000001E-3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3"/>
      <c r="C97" s="55" t="s">
        <v>25</v>
      </c>
      <c r="D97" s="56">
        <v>1</v>
      </c>
      <c r="E97" s="57">
        <v>1E-3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3"/>
      <c r="C98" s="55" t="s">
        <v>15</v>
      </c>
      <c r="D98" s="56">
        <v>1</v>
      </c>
      <c r="E98" s="57">
        <v>1E-3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3"/>
      <c r="C99" s="55" t="s">
        <v>30</v>
      </c>
      <c r="D99" s="56">
        <v>1</v>
      </c>
      <c r="E99" s="57">
        <v>1E-3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3"/>
      <c r="C100" s="55" t="s">
        <v>36</v>
      </c>
      <c r="D100" s="56">
        <v>1</v>
      </c>
      <c r="E100" s="57">
        <v>1E-3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3"/>
      <c r="C101" s="55" t="s">
        <v>5</v>
      </c>
      <c r="D101" s="56">
        <v>3</v>
      </c>
      <c r="E101" s="57">
        <v>4.0000000000000001E-3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3"/>
      <c r="C102" s="86" t="s">
        <v>47</v>
      </c>
      <c r="D102" s="87">
        <v>19</v>
      </c>
      <c r="E102" s="88">
        <v>2.5999999999999999E-2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3" t="s">
        <v>125</v>
      </c>
      <c r="C103" s="55" t="s">
        <v>34</v>
      </c>
      <c r="D103" s="56">
        <v>11</v>
      </c>
      <c r="E103" s="57">
        <v>1.4999999999999999E-2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3"/>
      <c r="C104" s="55" t="s">
        <v>22</v>
      </c>
      <c r="D104" s="56">
        <v>1</v>
      </c>
      <c r="E104" s="57">
        <v>1E-3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3"/>
      <c r="C105" s="55" t="s">
        <v>13</v>
      </c>
      <c r="D105" s="56">
        <v>2</v>
      </c>
      <c r="E105" s="57">
        <v>3.0000000000000001E-3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3"/>
      <c r="C106" s="55" t="s">
        <v>4</v>
      </c>
      <c r="D106" s="56">
        <v>110</v>
      </c>
      <c r="E106" s="57">
        <v>0.14799999999999999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3"/>
      <c r="C107" s="55" t="s">
        <v>8</v>
      </c>
      <c r="D107" s="56">
        <v>8</v>
      </c>
      <c r="E107" s="57">
        <v>1.0999999999999999E-2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3"/>
      <c r="C108" s="55" t="s">
        <v>10</v>
      </c>
      <c r="D108" s="56">
        <v>10</v>
      </c>
      <c r="E108" s="57">
        <v>1.2999999999999999E-2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3"/>
      <c r="C109" s="55" t="s">
        <v>12</v>
      </c>
      <c r="D109" s="56">
        <v>10</v>
      </c>
      <c r="E109" s="57">
        <v>1.2999999999999999E-2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3"/>
      <c r="C110" s="55" t="s">
        <v>6</v>
      </c>
      <c r="D110" s="56">
        <v>8</v>
      </c>
      <c r="E110" s="57">
        <v>1.0999999999999999E-2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3"/>
      <c r="C111" s="55" t="s">
        <v>9</v>
      </c>
      <c r="D111" s="56">
        <v>3</v>
      </c>
      <c r="E111" s="57">
        <v>4.0000000000000001E-3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3"/>
      <c r="C112" s="55" t="s">
        <v>24</v>
      </c>
      <c r="D112" s="56">
        <v>2</v>
      </c>
      <c r="E112" s="57">
        <v>3.0000000000000001E-3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3"/>
      <c r="C113" s="55" t="s">
        <v>16</v>
      </c>
      <c r="D113" s="56">
        <v>2</v>
      </c>
      <c r="E113" s="57">
        <v>3.0000000000000001E-3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3"/>
      <c r="C114" s="55" t="s">
        <v>19</v>
      </c>
      <c r="D114" s="56">
        <v>2</v>
      </c>
      <c r="E114" s="57">
        <v>3.0000000000000001E-3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3"/>
      <c r="C115" s="55" t="s">
        <v>37</v>
      </c>
      <c r="D115" s="56">
        <v>2</v>
      </c>
      <c r="E115" s="57">
        <v>3.0000000000000001E-3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3"/>
      <c r="C116" s="55" t="s">
        <v>27</v>
      </c>
      <c r="D116" s="56">
        <v>3</v>
      </c>
      <c r="E116" s="57">
        <v>4.0000000000000001E-3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3"/>
      <c r="C117" s="55" t="s">
        <v>29</v>
      </c>
      <c r="D117" s="56">
        <v>8</v>
      </c>
      <c r="E117" s="57">
        <v>1.0999999999999999E-2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3"/>
      <c r="C118" s="55" t="s">
        <v>35</v>
      </c>
      <c r="D118" s="56">
        <v>4</v>
      </c>
      <c r="E118" s="57">
        <v>5.0000000000000001E-3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3"/>
      <c r="C119" s="55" t="s">
        <v>25</v>
      </c>
      <c r="D119" s="56">
        <v>1</v>
      </c>
      <c r="E119" s="57">
        <v>1E-3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3"/>
      <c r="C120" s="55" t="s">
        <v>23</v>
      </c>
      <c r="D120" s="56">
        <v>2</v>
      </c>
      <c r="E120" s="57">
        <v>3.0000000000000001E-3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3"/>
      <c r="C121" s="55" t="s">
        <v>11</v>
      </c>
      <c r="D121" s="56">
        <v>1</v>
      </c>
      <c r="E121" s="57">
        <v>1E-3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3"/>
      <c r="C122" s="55" t="s">
        <v>38</v>
      </c>
      <c r="D122" s="56">
        <v>2</v>
      </c>
      <c r="E122" s="57">
        <v>3.0000000000000001E-3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3"/>
      <c r="C123" s="55" t="s">
        <v>32</v>
      </c>
      <c r="D123" s="56">
        <v>2</v>
      </c>
      <c r="E123" s="57">
        <v>3.0000000000000001E-3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3"/>
      <c r="C124" s="55" t="s">
        <v>15</v>
      </c>
      <c r="D124" s="56">
        <v>13</v>
      </c>
      <c r="E124" s="57">
        <v>1.7000000000000001E-2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3"/>
      <c r="C125" s="55" t="s">
        <v>33</v>
      </c>
      <c r="D125" s="56">
        <v>2</v>
      </c>
      <c r="E125" s="57">
        <v>3.0000000000000001E-3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3"/>
      <c r="C126" s="55" t="s">
        <v>7</v>
      </c>
      <c r="D126" s="56">
        <v>2</v>
      </c>
      <c r="E126" s="57">
        <v>3.0000000000000001E-3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3"/>
      <c r="C127" s="55" t="s">
        <v>30</v>
      </c>
      <c r="D127" s="56">
        <v>8</v>
      </c>
      <c r="E127" s="57">
        <v>1.0999999999999999E-2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3"/>
      <c r="C128" s="55" t="s">
        <v>36</v>
      </c>
      <c r="D128" s="56">
        <v>1</v>
      </c>
      <c r="E128" s="57">
        <v>1E-3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3"/>
      <c r="C129" s="55" t="s">
        <v>31</v>
      </c>
      <c r="D129" s="56">
        <v>2</v>
      </c>
      <c r="E129" s="57">
        <v>3.0000000000000001E-3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3"/>
      <c r="C130" s="55" t="s">
        <v>14</v>
      </c>
      <c r="D130" s="56">
        <v>4</v>
      </c>
      <c r="E130" s="57">
        <v>5.0000000000000001E-3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3"/>
      <c r="C131" s="55" t="s">
        <v>5</v>
      </c>
      <c r="D131" s="56">
        <v>38</v>
      </c>
      <c r="E131" s="57">
        <v>5.0999999999999997E-2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3"/>
      <c r="C132" s="55" t="s">
        <v>26</v>
      </c>
      <c r="D132" s="56">
        <v>12</v>
      </c>
      <c r="E132" s="57">
        <v>1.6E-2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3"/>
      <c r="C133" s="55" t="s">
        <v>17</v>
      </c>
      <c r="D133" s="56">
        <v>6</v>
      </c>
      <c r="E133" s="57">
        <v>8.0000000000000002E-3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3"/>
      <c r="C134" s="55" t="s">
        <v>21</v>
      </c>
      <c r="D134" s="56">
        <v>3</v>
      </c>
      <c r="E134" s="57">
        <v>4.0000000000000001E-3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3"/>
      <c r="C135" s="86" t="s">
        <v>47</v>
      </c>
      <c r="D135" s="87">
        <v>285</v>
      </c>
      <c r="E135" s="88">
        <v>0.38400000000000001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3" t="s">
        <v>126</v>
      </c>
      <c r="C136" s="55" t="s">
        <v>4</v>
      </c>
      <c r="D136" s="56">
        <v>1</v>
      </c>
      <c r="E136" s="57">
        <v>1E-3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3"/>
      <c r="C137" s="55" t="s">
        <v>8</v>
      </c>
      <c r="D137" s="56">
        <v>1</v>
      </c>
      <c r="E137" s="57">
        <v>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3"/>
      <c r="C138" s="55" t="s">
        <v>10</v>
      </c>
      <c r="D138" s="56">
        <v>1</v>
      </c>
      <c r="E138" s="57">
        <v>1E-3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3"/>
      <c r="C139" s="55" t="s">
        <v>36</v>
      </c>
      <c r="D139" s="56">
        <v>1</v>
      </c>
      <c r="E139" s="57">
        <v>1E-3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3"/>
      <c r="C140" s="55" t="s">
        <v>5</v>
      </c>
      <c r="D140" s="56">
        <v>2</v>
      </c>
      <c r="E140" s="57">
        <v>3.0000000000000001E-3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3"/>
      <c r="C141" s="86" t="s">
        <v>47</v>
      </c>
      <c r="D141" s="87">
        <v>6</v>
      </c>
      <c r="E141" s="88">
        <v>8.0000000000000002E-3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3" t="s">
        <v>127</v>
      </c>
      <c r="C142" s="55" t="s">
        <v>34</v>
      </c>
      <c r="D142" s="56">
        <v>3</v>
      </c>
      <c r="E142" s="57">
        <v>4.0000000000000001E-3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3"/>
      <c r="C143" s="55" t="s">
        <v>22</v>
      </c>
      <c r="D143" s="56">
        <v>1</v>
      </c>
      <c r="E143" s="57">
        <v>1E-3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3"/>
      <c r="C144" s="55" t="s">
        <v>4</v>
      </c>
      <c r="D144" s="56">
        <v>32</v>
      </c>
      <c r="E144" s="57">
        <v>4.2999999999999997E-2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3"/>
      <c r="C145" s="55" t="s">
        <v>8</v>
      </c>
      <c r="D145" s="56">
        <v>2</v>
      </c>
      <c r="E145" s="57">
        <v>3.0000000000000001E-3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3"/>
      <c r="C146" s="55" t="s">
        <v>10</v>
      </c>
      <c r="D146" s="56">
        <v>5</v>
      </c>
      <c r="E146" s="57">
        <v>7.0000000000000001E-3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3"/>
      <c r="C147" s="55" t="s">
        <v>12</v>
      </c>
      <c r="D147" s="56">
        <v>3</v>
      </c>
      <c r="E147" s="57">
        <v>4.0000000000000001E-3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3"/>
      <c r="C148" s="55" t="s">
        <v>9</v>
      </c>
      <c r="D148" s="56">
        <v>2</v>
      </c>
      <c r="E148" s="57">
        <v>3.0000000000000001E-3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3"/>
      <c r="C149" s="55" t="s">
        <v>16</v>
      </c>
      <c r="D149" s="56">
        <v>2</v>
      </c>
      <c r="E149" s="57">
        <v>3.0000000000000001E-3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3"/>
      <c r="C150" s="55" t="s">
        <v>19</v>
      </c>
      <c r="D150" s="56">
        <v>1</v>
      </c>
      <c r="E150" s="57">
        <v>1E-3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3"/>
      <c r="C151" s="55" t="s">
        <v>29</v>
      </c>
      <c r="D151" s="56">
        <v>1</v>
      </c>
      <c r="E151" s="57">
        <v>1E-3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3"/>
      <c r="C152" s="55" t="s">
        <v>25</v>
      </c>
      <c r="D152" s="56">
        <v>5</v>
      </c>
      <c r="E152" s="57">
        <v>7.0000000000000001E-3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3"/>
      <c r="C153" s="55" t="s">
        <v>15</v>
      </c>
      <c r="D153" s="56">
        <v>2</v>
      </c>
      <c r="E153" s="57">
        <v>3.0000000000000001E-3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3"/>
      <c r="C154" s="55" t="s">
        <v>33</v>
      </c>
      <c r="D154" s="56">
        <v>1</v>
      </c>
      <c r="E154" s="57">
        <v>1E-3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3"/>
      <c r="C155" s="55" t="s">
        <v>7</v>
      </c>
      <c r="D155" s="56">
        <v>1</v>
      </c>
      <c r="E155" s="57">
        <v>1E-3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3"/>
      <c r="C156" s="55" t="s">
        <v>30</v>
      </c>
      <c r="D156" s="56">
        <v>1</v>
      </c>
      <c r="E156" s="57">
        <v>1E-3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3"/>
      <c r="C157" s="55" t="s">
        <v>36</v>
      </c>
      <c r="D157" s="56">
        <v>1</v>
      </c>
      <c r="E157" s="57">
        <v>1E-3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3"/>
      <c r="C158" s="55" t="s">
        <v>14</v>
      </c>
      <c r="D158" s="56">
        <v>1</v>
      </c>
      <c r="E158" s="57">
        <v>1E-3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3"/>
      <c r="C159" s="55" t="s">
        <v>5</v>
      </c>
      <c r="D159" s="56">
        <v>8</v>
      </c>
      <c r="E159" s="57">
        <v>1.0999999999999999E-2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3"/>
      <c r="C160" s="55" t="s">
        <v>20</v>
      </c>
      <c r="D160" s="56">
        <v>4</v>
      </c>
      <c r="E160" s="57">
        <v>5.0000000000000001E-3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3"/>
      <c r="C161" s="55" t="s">
        <v>26</v>
      </c>
      <c r="D161" s="56">
        <v>1</v>
      </c>
      <c r="E161" s="57">
        <v>1E-3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3"/>
      <c r="C162" s="86" t="s">
        <v>47</v>
      </c>
      <c r="D162" s="87">
        <v>77</v>
      </c>
      <c r="E162" s="88">
        <v>0.104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3" t="s">
        <v>128</v>
      </c>
      <c r="C163" s="55" t="s">
        <v>34</v>
      </c>
      <c r="D163" s="56">
        <v>10</v>
      </c>
      <c r="E163" s="57">
        <v>1.2999999999999999E-2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3"/>
      <c r="C164" s="55" t="s">
        <v>13</v>
      </c>
      <c r="D164" s="56">
        <v>3</v>
      </c>
      <c r="E164" s="57">
        <v>4.0000000000000001E-3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3"/>
      <c r="C165" s="55" t="s">
        <v>4</v>
      </c>
      <c r="D165" s="56">
        <v>54</v>
      </c>
      <c r="E165" s="57">
        <v>7.2999999999999995E-2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3"/>
      <c r="C166" s="55" t="s">
        <v>8</v>
      </c>
      <c r="D166" s="56">
        <v>6</v>
      </c>
      <c r="E166" s="57">
        <v>8.0000000000000002E-3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3"/>
      <c r="C167" s="55" t="s">
        <v>10</v>
      </c>
      <c r="D167" s="56">
        <v>3</v>
      </c>
      <c r="E167" s="57">
        <v>4.0000000000000001E-3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3"/>
      <c r="C168" s="55" t="s">
        <v>12</v>
      </c>
      <c r="D168" s="56">
        <v>2</v>
      </c>
      <c r="E168" s="57">
        <v>3.0000000000000001E-3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3"/>
      <c r="C169" s="55" t="s">
        <v>6</v>
      </c>
      <c r="D169" s="56">
        <v>5</v>
      </c>
      <c r="E169" s="57">
        <v>7.0000000000000001E-3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3"/>
      <c r="C170" s="55" t="s">
        <v>9</v>
      </c>
      <c r="D170" s="56">
        <v>2</v>
      </c>
      <c r="E170" s="57">
        <v>3.0000000000000001E-3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3"/>
      <c r="C171" s="55" t="s">
        <v>16</v>
      </c>
      <c r="D171" s="56">
        <v>2</v>
      </c>
      <c r="E171" s="57">
        <v>3.0000000000000001E-3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3"/>
      <c r="C172" s="55" t="s">
        <v>28</v>
      </c>
      <c r="D172" s="56">
        <v>1</v>
      </c>
      <c r="E172" s="57">
        <v>1E-3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3"/>
      <c r="C173" s="55" t="s">
        <v>27</v>
      </c>
      <c r="D173" s="56">
        <v>1</v>
      </c>
      <c r="E173" s="57">
        <v>1E-3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3"/>
      <c r="C174" s="55" t="s">
        <v>29</v>
      </c>
      <c r="D174" s="56">
        <v>1</v>
      </c>
      <c r="E174" s="57">
        <v>1E-3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3"/>
      <c r="C175" s="55" t="s">
        <v>25</v>
      </c>
      <c r="D175" s="56">
        <v>1</v>
      </c>
      <c r="E175" s="57">
        <v>1E-3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3"/>
      <c r="C176" s="55" t="s">
        <v>11</v>
      </c>
      <c r="D176" s="56">
        <v>6</v>
      </c>
      <c r="E176" s="57">
        <v>8.0000000000000002E-3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3"/>
      <c r="C177" s="55" t="s">
        <v>18</v>
      </c>
      <c r="D177" s="56">
        <v>1</v>
      </c>
      <c r="E177" s="57">
        <v>1E-3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3"/>
      <c r="C178" s="55" t="s">
        <v>32</v>
      </c>
      <c r="D178" s="56">
        <v>3</v>
      </c>
      <c r="E178" s="57">
        <v>4.0000000000000001E-3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3"/>
      <c r="C179" s="55" t="s">
        <v>15</v>
      </c>
      <c r="D179" s="56">
        <v>5</v>
      </c>
      <c r="E179" s="57">
        <v>7.0000000000000001E-3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3"/>
      <c r="C180" s="55" t="s">
        <v>7</v>
      </c>
      <c r="D180" s="56">
        <v>3</v>
      </c>
      <c r="E180" s="57">
        <v>4.0000000000000001E-3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3"/>
      <c r="C181" s="55" t="s">
        <v>30</v>
      </c>
      <c r="D181" s="56">
        <v>3</v>
      </c>
      <c r="E181" s="57">
        <v>4.0000000000000001E-3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3"/>
      <c r="C182" s="55" t="s">
        <v>36</v>
      </c>
      <c r="D182" s="56">
        <v>1</v>
      </c>
      <c r="E182" s="57">
        <v>1E-3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3"/>
      <c r="C183" s="55" t="s">
        <v>31</v>
      </c>
      <c r="D183" s="56">
        <v>1</v>
      </c>
      <c r="E183" s="57">
        <v>1E-3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3"/>
      <c r="C184" s="55" t="s">
        <v>14</v>
      </c>
      <c r="D184" s="56">
        <v>3</v>
      </c>
      <c r="E184" s="57">
        <v>4.0000000000000001E-3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3"/>
      <c r="C185" s="55" t="s">
        <v>5</v>
      </c>
      <c r="D185" s="56">
        <v>30</v>
      </c>
      <c r="E185" s="57">
        <v>0.04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3"/>
      <c r="C186" s="55" t="s">
        <v>20</v>
      </c>
      <c r="D186" s="56">
        <v>5</v>
      </c>
      <c r="E186" s="57">
        <v>7.0000000000000001E-3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3"/>
      <c r="C187" s="55" t="s">
        <v>26</v>
      </c>
      <c r="D187" s="56">
        <v>3</v>
      </c>
      <c r="E187" s="57">
        <v>4.0000000000000001E-3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3"/>
      <c r="C188" s="55" t="s">
        <v>17</v>
      </c>
      <c r="D188" s="56">
        <v>5</v>
      </c>
      <c r="E188" s="57">
        <v>7.0000000000000001E-3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3"/>
      <c r="C189" s="86" t="s">
        <v>47</v>
      </c>
      <c r="D189" s="87">
        <v>160</v>
      </c>
      <c r="E189" s="88">
        <v>0.215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21" customHeight="1">
      <c r="B190" s="63" t="s">
        <v>129</v>
      </c>
      <c r="C190" s="55" t="s">
        <v>4</v>
      </c>
      <c r="D190" s="56">
        <v>2</v>
      </c>
      <c r="E190" s="57">
        <v>3.0000000000000001E-3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3"/>
      <c r="C191" s="86" t="s">
        <v>47</v>
      </c>
      <c r="D191" s="87">
        <v>2</v>
      </c>
      <c r="E191" s="88">
        <v>3.0000000000000001E-3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21" customHeight="1">
      <c r="B192" s="63" t="s">
        <v>130</v>
      </c>
      <c r="C192" s="55" t="s">
        <v>18</v>
      </c>
      <c r="D192" s="56">
        <v>1</v>
      </c>
      <c r="E192" s="57">
        <v>1E-3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3"/>
      <c r="C193" s="86" t="s">
        <v>47</v>
      </c>
      <c r="D193" s="87">
        <v>1</v>
      </c>
      <c r="E193" s="88">
        <v>1E-3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3" t="s">
        <v>131</v>
      </c>
      <c r="C194" s="55" t="s">
        <v>4</v>
      </c>
      <c r="D194" s="56">
        <v>1</v>
      </c>
      <c r="E194" s="57">
        <v>1E-3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3"/>
      <c r="C195" s="55" t="s">
        <v>12</v>
      </c>
      <c r="D195" s="56">
        <v>1</v>
      </c>
      <c r="E195" s="57">
        <v>1E-3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3"/>
      <c r="C196" s="55" t="s">
        <v>18</v>
      </c>
      <c r="D196" s="56">
        <v>1</v>
      </c>
      <c r="E196" s="57">
        <v>1E-3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3"/>
      <c r="C197" s="86" t="s">
        <v>47</v>
      </c>
      <c r="D197" s="87">
        <v>3</v>
      </c>
      <c r="E197" s="88">
        <v>4.0000000000000001E-3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3" t="s">
        <v>132</v>
      </c>
      <c r="C198" s="55" t="s">
        <v>4</v>
      </c>
      <c r="D198" s="56">
        <v>1</v>
      </c>
      <c r="E198" s="57">
        <v>1E-3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3"/>
      <c r="C199" s="55" t="s">
        <v>16</v>
      </c>
      <c r="D199" s="56">
        <v>1</v>
      </c>
      <c r="E199" s="57">
        <v>1E-3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3"/>
      <c r="C200" s="55" t="s">
        <v>18</v>
      </c>
      <c r="D200" s="56">
        <v>1</v>
      </c>
      <c r="E200" s="57">
        <v>1E-3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3"/>
      <c r="C201" s="55" t="s">
        <v>30</v>
      </c>
      <c r="D201" s="56">
        <v>1</v>
      </c>
      <c r="E201" s="57">
        <v>1E-3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3"/>
      <c r="C202" s="55" t="s">
        <v>5</v>
      </c>
      <c r="D202" s="56">
        <v>5</v>
      </c>
      <c r="E202" s="57">
        <v>7.0000000000000001E-3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3"/>
      <c r="C203" s="55" t="s">
        <v>17</v>
      </c>
      <c r="D203" s="56">
        <v>1</v>
      </c>
      <c r="E203" s="57">
        <v>1E-3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3"/>
      <c r="C204" s="86" t="s">
        <v>47</v>
      </c>
      <c r="D204" s="87">
        <v>10</v>
      </c>
      <c r="E204" s="88">
        <v>1.2999999999999999E-2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21" customHeight="1">
      <c r="B205" s="63" t="s">
        <v>133</v>
      </c>
      <c r="C205" s="55" t="s">
        <v>25</v>
      </c>
      <c r="D205" s="56">
        <v>1</v>
      </c>
      <c r="E205" s="57">
        <v>1E-3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3"/>
      <c r="C206" s="86" t="s">
        <v>47</v>
      </c>
      <c r="D206" s="87">
        <v>1</v>
      </c>
      <c r="E206" s="88">
        <v>1E-3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21" customHeight="1">
      <c r="B207" s="63" t="s">
        <v>134</v>
      </c>
      <c r="C207" s="55" t="s">
        <v>4</v>
      </c>
      <c r="D207" s="56">
        <v>1</v>
      </c>
      <c r="E207" s="57">
        <v>1E-3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3"/>
      <c r="C208" s="86" t="s">
        <v>47</v>
      </c>
      <c r="D208" s="87">
        <v>1</v>
      </c>
      <c r="E208" s="88">
        <v>1E-3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8" customHeight="1">
      <c r="B209" s="64" t="s">
        <v>47</v>
      </c>
      <c r="C209" s="64"/>
      <c r="D209" s="59">
        <v>743</v>
      </c>
      <c r="E209" s="60">
        <v>1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8" customHeight="1"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</row>
    <row r="211" spans="2:16" ht="18" customHeight="1">
      <c r="B211" s="54" t="s">
        <v>70</v>
      </c>
      <c r="C211" s="54"/>
      <c r="D211" s="54"/>
      <c r="E211" s="54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</row>
    <row r="212" spans="2:16" ht="18" customHeight="1">
      <c r="B212" s="54" t="s">
        <v>39</v>
      </c>
      <c r="C212" s="54"/>
      <c r="D212" s="54"/>
      <c r="E212" s="54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</row>
    <row r="213" spans="2:16" ht="18" customHeight="1">
      <c r="B213" s="54" t="s">
        <v>71</v>
      </c>
      <c r="C213" s="54"/>
      <c r="D213" s="54"/>
      <c r="E213" s="54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</row>
    <row r="214" spans="2:16" ht="18" customHeight="1">
      <c r="B214" s="54" t="s">
        <v>72</v>
      </c>
      <c r="C214" s="54"/>
      <c r="D214" s="54"/>
      <c r="E214" s="54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</row>
    <row r="215" spans="2:16" ht="15" customHeight="1">
      <c r="B215" s="54" t="s">
        <v>73</v>
      </c>
      <c r="C215" s="54"/>
      <c r="D215" s="54"/>
      <c r="E215" s="54"/>
    </row>
  </sheetData>
  <autoFilter ref="B9:E209"/>
  <mergeCells count="23">
    <mergeCell ref="B207:B208"/>
    <mergeCell ref="B209:C209"/>
    <mergeCell ref="B15:B17"/>
    <mergeCell ref="B18:B21"/>
    <mergeCell ref="B22:B26"/>
    <mergeCell ref="B27:B32"/>
    <mergeCell ref="B205:B206"/>
    <mergeCell ref="B190:B191"/>
    <mergeCell ref="B192:B193"/>
    <mergeCell ref="B194:B197"/>
    <mergeCell ref="B198:B204"/>
    <mergeCell ref="B7:E8"/>
    <mergeCell ref="B91:B102"/>
    <mergeCell ref="B103:B135"/>
    <mergeCell ref="B136:B141"/>
    <mergeCell ref="B142:B162"/>
    <mergeCell ref="B163:B189"/>
    <mergeCell ref="B33:B39"/>
    <mergeCell ref="B40:B54"/>
    <mergeCell ref="B55:B75"/>
    <mergeCell ref="B76:B80"/>
    <mergeCell ref="B81:B90"/>
    <mergeCell ref="B10:B1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P252"/>
  <sheetViews>
    <sheetView showGridLines="0" zoomScaleNormal="100" zoomScaleSheetLayoutView="85" workbookViewId="0">
      <selection activeCell="C15" sqref="C15:E245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40.5" customHeight="1">
      <c r="B9" s="12" t="s">
        <v>45</v>
      </c>
      <c r="C9" s="14" t="s">
        <v>40</v>
      </c>
      <c r="D9" s="13" t="s">
        <v>2</v>
      </c>
      <c r="E9" s="12" t="s">
        <v>3</v>
      </c>
    </row>
    <row r="10" spans="1:16" ht="15" customHeight="1">
      <c r="B10" s="63" t="s">
        <v>114</v>
      </c>
      <c r="C10" s="55" t="s">
        <v>86</v>
      </c>
      <c r="D10" s="56">
        <v>1</v>
      </c>
      <c r="E10" s="57">
        <v>1E-3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3"/>
      <c r="C11" s="55" t="s">
        <v>101</v>
      </c>
      <c r="D11" s="56">
        <v>1</v>
      </c>
      <c r="E11" s="57">
        <v>1E-3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3"/>
      <c r="C12" s="55" t="s">
        <v>90</v>
      </c>
      <c r="D12" s="56">
        <v>1</v>
      </c>
      <c r="E12" s="57">
        <v>1E-3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3"/>
      <c r="C13" s="55" t="s">
        <v>87</v>
      </c>
      <c r="D13" s="56">
        <v>2</v>
      </c>
      <c r="E13" s="57">
        <v>3.0000000000000001E-3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3"/>
      <c r="C14" s="55" t="s">
        <v>83</v>
      </c>
      <c r="D14" s="56">
        <v>1</v>
      </c>
      <c r="E14" s="57">
        <v>1E-3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3"/>
      <c r="C15" s="86" t="s">
        <v>47</v>
      </c>
      <c r="D15" s="87">
        <v>6</v>
      </c>
      <c r="E15" s="88">
        <v>8.0000000000000002E-3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3" t="s">
        <v>115</v>
      </c>
      <c r="C16" s="55" t="s">
        <v>86</v>
      </c>
      <c r="D16" s="56">
        <v>1</v>
      </c>
      <c r="E16" s="57">
        <v>1E-3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3"/>
      <c r="C17" s="55" t="s">
        <v>87</v>
      </c>
      <c r="D17" s="56">
        <v>1</v>
      </c>
      <c r="E17" s="57">
        <v>1E-3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3"/>
      <c r="C18" s="86" t="s">
        <v>47</v>
      </c>
      <c r="D18" s="87">
        <v>2</v>
      </c>
      <c r="E18" s="88">
        <v>3.0000000000000001E-3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3" t="s">
        <v>116</v>
      </c>
      <c r="C19" s="55" t="s">
        <v>81</v>
      </c>
      <c r="D19" s="56">
        <v>1</v>
      </c>
      <c r="E19" s="57">
        <v>1E-3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3"/>
      <c r="C20" s="55" t="s">
        <v>75</v>
      </c>
      <c r="D20" s="56">
        <v>1</v>
      </c>
      <c r="E20" s="57">
        <v>1E-3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3"/>
      <c r="C21" s="55" t="s">
        <v>90</v>
      </c>
      <c r="D21" s="56">
        <v>1</v>
      </c>
      <c r="E21" s="57">
        <v>1E-3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3"/>
      <c r="C22" s="55" t="s">
        <v>87</v>
      </c>
      <c r="D22" s="56">
        <v>1</v>
      </c>
      <c r="E22" s="57">
        <v>1E-3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3"/>
      <c r="C23" s="86" t="s">
        <v>47</v>
      </c>
      <c r="D23" s="87">
        <v>4</v>
      </c>
      <c r="E23" s="88">
        <v>5.0000000000000001E-3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3" t="s">
        <v>117</v>
      </c>
      <c r="C24" s="55" t="s">
        <v>97</v>
      </c>
      <c r="D24" s="56">
        <v>1</v>
      </c>
      <c r="E24" s="57">
        <v>1E-3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3"/>
      <c r="C25" s="55" t="s">
        <v>89</v>
      </c>
      <c r="D25" s="56">
        <v>1</v>
      </c>
      <c r="E25" s="57">
        <v>1E-3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3"/>
      <c r="C26" s="55" t="s">
        <v>79</v>
      </c>
      <c r="D26" s="56">
        <v>1</v>
      </c>
      <c r="E26" s="57">
        <v>1E-3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3"/>
      <c r="C27" s="55" t="s">
        <v>92</v>
      </c>
      <c r="D27" s="56">
        <v>1</v>
      </c>
      <c r="E27" s="57">
        <v>1E-3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3"/>
      <c r="C28" s="55" t="s">
        <v>87</v>
      </c>
      <c r="D28" s="56">
        <v>1</v>
      </c>
      <c r="E28" s="57">
        <v>1E-3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3"/>
      <c r="C29" s="55" t="s">
        <v>83</v>
      </c>
      <c r="D29" s="56">
        <v>1</v>
      </c>
      <c r="E29" s="57">
        <v>1E-3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3"/>
      <c r="C30" s="86" t="s">
        <v>47</v>
      </c>
      <c r="D30" s="87">
        <v>6</v>
      </c>
      <c r="E30" s="88">
        <v>8.0000000000000002E-3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3" t="s">
        <v>118</v>
      </c>
      <c r="C31" s="55" t="s">
        <v>109</v>
      </c>
      <c r="D31" s="56">
        <v>1</v>
      </c>
      <c r="E31" s="57">
        <v>1E-3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3"/>
      <c r="C32" s="55" t="s">
        <v>76</v>
      </c>
      <c r="D32" s="56">
        <v>1</v>
      </c>
      <c r="E32" s="57">
        <v>1E-3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3"/>
      <c r="C33" s="55" t="s">
        <v>99</v>
      </c>
      <c r="D33" s="56">
        <v>1</v>
      </c>
      <c r="E33" s="57">
        <v>1E-3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3"/>
      <c r="C34" s="55" t="s">
        <v>111</v>
      </c>
      <c r="D34" s="56">
        <v>1</v>
      </c>
      <c r="E34" s="57">
        <v>1E-3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3"/>
      <c r="C35" s="55" t="s">
        <v>90</v>
      </c>
      <c r="D35" s="56">
        <v>1</v>
      </c>
      <c r="E35" s="57">
        <v>1E-3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3"/>
      <c r="C36" s="55" t="s">
        <v>87</v>
      </c>
      <c r="D36" s="56">
        <v>1</v>
      </c>
      <c r="E36" s="57">
        <v>1E-3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3"/>
      <c r="C37" s="86" t="s">
        <v>47</v>
      </c>
      <c r="D37" s="87">
        <v>6</v>
      </c>
      <c r="E37" s="88">
        <v>8.0000000000000002E-3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3" t="s">
        <v>119</v>
      </c>
      <c r="C38" s="55" t="s">
        <v>81</v>
      </c>
      <c r="D38" s="56">
        <v>1</v>
      </c>
      <c r="E38" s="57">
        <v>1E-3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3"/>
      <c r="C39" s="55" t="s">
        <v>78</v>
      </c>
      <c r="D39" s="56">
        <v>1</v>
      </c>
      <c r="E39" s="57">
        <v>1E-3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3"/>
      <c r="C40" s="55" t="s">
        <v>79</v>
      </c>
      <c r="D40" s="56">
        <v>1</v>
      </c>
      <c r="E40" s="57">
        <v>1E-3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3"/>
      <c r="C41" s="55" t="s">
        <v>75</v>
      </c>
      <c r="D41" s="56">
        <v>2</v>
      </c>
      <c r="E41" s="57">
        <v>3.0000000000000001E-3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3"/>
      <c r="C42" s="55" t="s">
        <v>99</v>
      </c>
      <c r="D42" s="56">
        <v>1</v>
      </c>
      <c r="E42" s="57">
        <v>1E-3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3"/>
      <c r="C43" s="55" t="s">
        <v>84</v>
      </c>
      <c r="D43" s="56">
        <v>1</v>
      </c>
      <c r="E43" s="57">
        <v>1E-3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3"/>
      <c r="C44" s="55" t="s">
        <v>87</v>
      </c>
      <c r="D44" s="56">
        <v>1</v>
      </c>
      <c r="E44" s="57">
        <v>1E-3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3"/>
      <c r="C45" s="55" t="s">
        <v>96</v>
      </c>
      <c r="D45" s="56">
        <v>1</v>
      </c>
      <c r="E45" s="57">
        <v>1E-3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3"/>
      <c r="C46" s="55" t="s">
        <v>103</v>
      </c>
      <c r="D46" s="56">
        <v>1</v>
      </c>
      <c r="E46" s="57">
        <v>1E-3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3"/>
      <c r="C47" s="86" t="s">
        <v>47</v>
      </c>
      <c r="D47" s="87">
        <v>10</v>
      </c>
      <c r="E47" s="88">
        <v>1.2999999999999999E-2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3" t="s">
        <v>120</v>
      </c>
      <c r="C48" s="55" t="s">
        <v>81</v>
      </c>
      <c r="D48" s="56">
        <v>7</v>
      </c>
      <c r="E48" s="57">
        <v>8.9999999999999993E-3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3"/>
      <c r="C49" s="55" t="s">
        <v>78</v>
      </c>
      <c r="D49" s="56">
        <v>3</v>
      </c>
      <c r="E49" s="57">
        <v>4.0000000000000001E-3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3"/>
      <c r="C50" s="55" t="s">
        <v>98</v>
      </c>
      <c r="D50" s="56">
        <v>1</v>
      </c>
      <c r="E50" s="57">
        <v>1E-3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3"/>
      <c r="C51" s="55" t="s">
        <v>82</v>
      </c>
      <c r="D51" s="56">
        <v>1</v>
      </c>
      <c r="E51" s="57">
        <v>1E-3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3"/>
      <c r="C52" s="55" t="s">
        <v>79</v>
      </c>
      <c r="D52" s="56">
        <v>1</v>
      </c>
      <c r="E52" s="57">
        <v>1E-3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3"/>
      <c r="C53" s="55" t="s">
        <v>86</v>
      </c>
      <c r="D53" s="56">
        <v>2</v>
      </c>
      <c r="E53" s="57">
        <v>3.0000000000000001E-3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3"/>
      <c r="C54" s="55" t="s">
        <v>76</v>
      </c>
      <c r="D54" s="56">
        <v>1</v>
      </c>
      <c r="E54" s="57">
        <v>1E-3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3"/>
      <c r="C55" s="55" t="s">
        <v>75</v>
      </c>
      <c r="D55" s="56">
        <v>1</v>
      </c>
      <c r="E55" s="57">
        <v>1E-3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3"/>
      <c r="C56" s="55" t="s">
        <v>90</v>
      </c>
      <c r="D56" s="56">
        <v>1</v>
      </c>
      <c r="E56" s="57">
        <v>1E-3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3"/>
      <c r="C57" s="55" t="s">
        <v>91</v>
      </c>
      <c r="D57" s="56">
        <v>3</v>
      </c>
      <c r="E57" s="57">
        <v>4.0000000000000001E-3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3"/>
      <c r="C58" s="55" t="s">
        <v>104</v>
      </c>
      <c r="D58" s="56">
        <v>4</v>
      </c>
      <c r="E58" s="57">
        <v>5.0000000000000001E-3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3"/>
      <c r="C59" s="55" t="s">
        <v>84</v>
      </c>
      <c r="D59" s="56">
        <v>1</v>
      </c>
      <c r="E59" s="57">
        <v>1E-3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3"/>
      <c r="C60" s="55" t="s">
        <v>95</v>
      </c>
      <c r="D60" s="56">
        <v>1</v>
      </c>
      <c r="E60" s="57">
        <v>1E-3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3"/>
      <c r="C61" s="55" t="s">
        <v>100</v>
      </c>
      <c r="D61" s="56">
        <v>1</v>
      </c>
      <c r="E61" s="57">
        <v>1E-3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3"/>
      <c r="C62" s="55" t="s">
        <v>87</v>
      </c>
      <c r="D62" s="56">
        <v>7</v>
      </c>
      <c r="E62" s="57">
        <v>8.9999999999999993E-3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3"/>
      <c r="C63" s="55" t="s">
        <v>96</v>
      </c>
      <c r="D63" s="56">
        <v>1</v>
      </c>
      <c r="E63" s="57">
        <v>1E-3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3"/>
      <c r="C64" s="55" t="s">
        <v>83</v>
      </c>
      <c r="D64" s="56">
        <v>1</v>
      </c>
      <c r="E64" s="57">
        <v>1E-3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3"/>
      <c r="C65" s="55" t="s">
        <v>102</v>
      </c>
      <c r="D65" s="56">
        <v>1</v>
      </c>
      <c r="E65" s="57">
        <v>1E-3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3"/>
      <c r="C66" s="86" t="s">
        <v>47</v>
      </c>
      <c r="D66" s="87">
        <v>38</v>
      </c>
      <c r="E66" s="88">
        <v>5.0999999999999997E-2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3" t="s">
        <v>121</v>
      </c>
      <c r="C67" s="55" t="s">
        <v>81</v>
      </c>
      <c r="D67" s="56">
        <v>18</v>
      </c>
      <c r="E67" s="57">
        <v>2.4E-2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3"/>
      <c r="C68" s="55" t="s">
        <v>89</v>
      </c>
      <c r="D68" s="56">
        <v>1</v>
      </c>
      <c r="E68" s="57">
        <v>1E-3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3"/>
      <c r="C69" s="55" t="s">
        <v>74</v>
      </c>
      <c r="D69" s="56">
        <v>4</v>
      </c>
      <c r="E69" s="57">
        <v>5.0000000000000001E-3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3"/>
      <c r="C70" s="55" t="s">
        <v>78</v>
      </c>
      <c r="D70" s="56">
        <v>6</v>
      </c>
      <c r="E70" s="57">
        <v>8.0000000000000002E-3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3"/>
      <c r="C71" s="55" t="s">
        <v>77</v>
      </c>
      <c r="D71" s="56">
        <v>1</v>
      </c>
      <c r="E71" s="57">
        <v>1E-3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3"/>
      <c r="C72" s="55" t="s">
        <v>98</v>
      </c>
      <c r="D72" s="56">
        <v>1</v>
      </c>
      <c r="E72" s="57">
        <v>1E-3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3"/>
      <c r="C73" s="55" t="s">
        <v>79</v>
      </c>
      <c r="D73" s="56">
        <v>2</v>
      </c>
      <c r="E73" s="57">
        <v>3.0000000000000001E-3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3"/>
      <c r="C74" s="55" t="s">
        <v>85</v>
      </c>
      <c r="D74" s="56">
        <v>2</v>
      </c>
      <c r="E74" s="57">
        <v>3.0000000000000001E-3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3"/>
      <c r="C75" s="55" t="s">
        <v>86</v>
      </c>
      <c r="D75" s="56">
        <v>1</v>
      </c>
      <c r="E75" s="57">
        <v>1E-3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3"/>
      <c r="C76" s="55" t="s">
        <v>76</v>
      </c>
      <c r="D76" s="56">
        <v>5</v>
      </c>
      <c r="E76" s="57">
        <v>7.0000000000000001E-3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3"/>
      <c r="C77" s="55" t="s">
        <v>75</v>
      </c>
      <c r="D77" s="56">
        <v>4</v>
      </c>
      <c r="E77" s="57">
        <v>5.0000000000000001E-3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3"/>
      <c r="C78" s="55" t="s">
        <v>99</v>
      </c>
      <c r="D78" s="56">
        <v>1</v>
      </c>
      <c r="E78" s="57">
        <v>1E-3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3"/>
      <c r="C79" s="55" t="s">
        <v>107</v>
      </c>
      <c r="D79" s="56">
        <v>1</v>
      </c>
      <c r="E79" s="57">
        <v>1E-3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3"/>
      <c r="C80" s="55" t="s">
        <v>90</v>
      </c>
      <c r="D80" s="56">
        <v>3</v>
      </c>
      <c r="E80" s="57">
        <v>4.0000000000000001E-3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3"/>
      <c r="C81" s="55" t="s">
        <v>91</v>
      </c>
      <c r="D81" s="56">
        <v>1</v>
      </c>
      <c r="E81" s="57">
        <v>1E-3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3"/>
      <c r="C82" s="55" t="s">
        <v>104</v>
      </c>
      <c r="D82" s="56">
        <v>2</v>
      </c>
      <c r="E82" s="57">
        <v>3.0000000000000001E-3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3"/>
      <c r="C83" s="55" t="s">
        <v>84</v>
      </c>
      <c r="D83" s="56">
        <v>7</v>
      </c>
      <c r="E83" s="57">
        <v>8.9999999999999993E-3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3"/>
      <c r="C84" s="55" t="s">
        <v>88</v>
      </c>
      <c r="D84" s="56">
        <v>1</v>
      </c>
      <c r="E84" s="57">
        <v>1E-3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3"/>
      <c r="C85" s="55" t="s">
        <v>87</v>
      </c>
      <c r="D85" s="56">
        <v>23</v>
      </c>
      <c r="E85" s="57">
        <v>3.1E-2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3"/>
      <c r="C86" s="55" t="s">
        <v>83</v>
      </c>
      <c r="D86" s="56">
        <v>1</v>
      </c>
      <c r="E86" s="57">
        <v>1E-3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3"/>
      <c r="C87" s="55" t="s">
        <v>103</v>
      </c>
      <c r="D87" s="56">
        <v>2</v>
      </c>
      <c r="E87" s="57">
        <v>3.0000000000000001E-3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3"/>
      <c r="C88" s="55" t="s">
        <v>102</v>
      </c>
      <c r="D88" s="56">
        <v>2</v>
      </c>
      <c r="E88" s="57">
        <v>3.0000000000000001E-3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3"/>
      <c r="C89" s="86" t="s">
        <v>47</v>
      </c>
      <c r="D89" s="87">
        <v>89</v>
      </c>
      <c r="E89" s="88">
        <v>0.12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3" t="s">
        <v>122</v>
      </c>
      <c r="C90" s="55" t="s">
        <v>81</v>
      </c>
      <c r="D90" s="56">
        <v>1</v>
      </c>
      <c r="E90" s="57">
        <v>1E-3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3"/>
      <c r="C91" s="55" t="s">
        <v>78</v>
      </c>
      <c r="D91" s="56">
        <v>1</v>
      </c>
      <c r="E91" s="57">
        <v>1E-3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3"/>
      <c r="C92" s="55" t="s">
        <v>79</v>
      </c>
      <c r="D92" s="56">
        <v>1</v>
      </c>
      <c r="E92" s="57">
        <v>1E-3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3"/>
      <c r="C93" s="55" t="s">
        <v>90</v>
      </c>
      <c r="D93" s="56">
        <v>1</v>
      </c>
      <c r="E93" s="57">
        <v>1E-3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3"/>
      <c r="C94" s="55" t="s">
        <v>96</v>
      </c>
      <c r="D94" s="56">
        <v>1</v>
      </c>
      <c r="E94" s="57">
        <v>1E-3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3"/>
      <c r="C95" s="86" t="s">
        <v>47</v>
      </c>
      <c r="D95" s="87">
        <v>5</v>
      </c>
      <c r="E95" s="88">
        <v>7.0000000000000001E-3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3" t="s">
        <v>123</v>
      </c>
      <c r="C96" s="55" t="s">
        <v>81</v>
      </c>
      <c r="D96" s="56">
        <v>1</v>
      </c>
      <c r="E96" s="57">
        <v>1E-3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3"/>
      <c r="C97" s="55" t="s">
        <v>112</v>
      </c>
      <c r="D97" s="56">
        <v>1</v>
      </c>
      <c r="E97" s="57">
        <v>1E-3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3"/>
      <c r="C98" s="55" t="s">
        <v>78</v>
      </c>
      <c r="D98" s="56">
        <v>1</v>
      </c>
      <c r="E98" s="57">
        <v>1E-3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3"/>
      <c r="C99" s="55" t="s">
        <v>77</v>
      </c>
      <c r="D99" s="56">
        <v>1</v>
      </c>
      <c r="E99" s="57">
        <v>1E-3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3"/>
      <c r="C100" s="55" t="s">
        <v>79</v>
      </c>
      <c r="D100" s="56">
        <v>1</v>
      </c>
      <c r="E100" s="57">
        <v>1E-3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3"/>
      <c r="C101" s="55" t="s">
        <v>86</v>
      </c>
      <c r="D101" s="56">
        <v>2</v>
      </c>
      <c r="E101" s="57">
        <v>3.0000000000000001E-3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3"/>
      <c r="C102" s="55" t="s">
        <v>111</v>
      </c>
      <c r="D102" s="56">
        <v>1</v>
      </c>
      <c r="E102" s="57">
        <v>1E-3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3"/>
      <c r="C103" s="55" t="s">
        <v>95</v>
      </c>
      <c r="D103" s="56">
        <v>1</v>
      </c>
      <c r="E103" s="57">
        <v>1E-3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3"/>
      <c r="C104" s="55" t="s">
        <v>87</v>
      </c>
      <c r="D104" s="56">
        <v>2</v>
      </c>
      <c r="E104" s="57">
        <v>3.0000000000000001E-3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3"/>
      <c r="C105" s="55" t="s">
        <v>96</v>
      </c>
      <c r="D105" s="56">
        <v>1</v>
      </c>
      <c r="E105" s="57">
        <v>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3"/>
      <c r="C106" s="86" t="s">
        <v>47</v>
      </c>
      <c r="D106" s="87">
        <v>12</v>
      </c>
      <c r="E106" s="88">
        <v>1.6E-2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3" t="s">
        <v>124</v>
      </c>
      <c r="C107" s="55" t="s">
        <v>81</v>
      </c>
      <c r="D107" s="56">
        <v>2</v>
      </c>
      <c r="E107" s="57">
        <v>3.0000000000000001E-3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3"/>
      <c r="C108" s="55" t="s">
        <v>74</v>
      </c>
      <c r="D108" s="56">
        <v>1</v>
      </c>
      <c r="E108" s="57">
        <v>1E-3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3"/>
      <c r="C109" s="55" t="s">
        <v>98</v>
      </c>
      <c r="D109" s="56">
        <v>2</v>
      </c>
      <c r="E109" s="57">
        <v>3.0000000000000001E-3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3"/>
      <c r="C110" s="55" t="s">
        <v>108</v>
      </c>
      <c r="D110" s="56">
        <v>1</v>
      </c>
      <c r="E110" s="57">
        <v>1E-3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3"/>
      <c r="C111" s="55" t="s">
        <v>79</v>
      </c>
      <c r="D111" s="56">
        <v>3</v>
      </c>
      <c r="E111" s="57">
        <v>4.0000000000000001E-3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3"/>
      <c r="C112" s="55" t="s">
        <v>86</v>
      </c>
      <c r="D112" s="56">
        <v>1</v>
      </c>
      <c r="E112" s="57">
        <v>1E-3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3"/>
      <c r="C113" s="55" t="s">
        <v>76</v>
      </c>
      <c r="D113" s="56">
        <v>1</v>
      </c>
      <c r="E113" s="57">
        <v>1E-3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3"/>
      <c r="C114" s="55" t="s">
        <v>75</v>
      </c>
      <c r="D114" s="56">
        <v>3</v>
      </c>
      <c r="E114" s="57">
        <v>4.0000000000000001E-3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3"/>
      <c r="C115" s="55" t="s">
        <v>99</v>
      </c>
      <c r="D115" s="56">
        <v>3</v>
      </c>
      <c r="E115" s="57">
        <v>4.0000000000000001E-3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3"/>
      <c r="C116" s="55" t="s">
        <v>104</v>
      </c>
      <c r="D116" s="56">
        <v>1</v>
      </c>
      <c r="E116" s="57">
        <v>1E-3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3"/>
      <c r="C117" s="55" t="s">
        <v>84</v>
      </c>
      <c r="D117" s="56">
        <v>1</v>
      </c>
      <c r="E117" s="57">
        <v>1E-3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3"/>
      <c r="C118" s="86" t="s">
        <v>47</v>
      </c>
      <c r="D118" s="87">
        <v>19</v>
      </c>
      <c r="E118" s="88">
        <v>2.5999999999999999E-2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3" t="s">
        <v>125</v>
      </c>
      <c r="C119" s="55" t="s">
        <v>81</v>
      </c>
      <c r="D119" s="56">
        <v>23</v>
      </c>
      <c r="E119" s="57">
        <v>3.1E-2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3"/>
      <c r="C120" s="55" t="s">
        <v>89</v>
      </c>
      <c r="D120" s="56">
        <v>4</v>
      </c>
      <c r="E120" s="57">
        <v>5.0000000000000001E-3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3"/>
      <c r="C121" s="55" t="s">
        <v>113</v>
      </c>
      <c r="D121" s="56">
        <v>4</v>
      </c>
      <c r="E121" s="57">
        <v>5.0000000000000001E-3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3"/>
      <c r="C122" s="55" t="s">
        <v>74</v>
      </c>
      <c r="D122" s="56">
        <v>10</v>
      </c>
      <c r="E122" s="57">
        <v>1.2999999999999999E-2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3"/>
      <c r="C123" s="55" t="s">
        <v>78</v>
      </c>
      <c r="D123" s="56">
        <v>18</v>
      </c>
      <c r="E123" s="57">
        <v>2.4E-2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3"/>
      <c r="C124" s="55" t="s">
        <v>77</v>
      </c>
      <c r="D124" s="56">
        <v>8</v>
      </c>
      <c r="E124" s="57">
        <v>1.0999999999999999E-2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3"/>
      <c r="C125" s="55" t="s">
        <v>98</v>
      </c>
      <c r="D125" s="56">
        <v>3</v>
      </c>
      <c r="E125" s="57">
        <v>4.0000000000000001E-3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3"/>
      <c r="C126" s="55" t="s">
        <v>108</v>
      </c>
      <c r="D126" s="56">
        <v>2</v>
      </c>
      <c r="E126" s="57">
        <v>3.0000000000000001E-3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3"/>
      <c r="C127" s="55" t="s">
        <v>82</v>
      </c>
      <c r="D127" s="56">
        <v>6</v>
      </c>
      <c r="E127" s="57">
        <v>8.0000000000000002E-3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3"/>
      <c r="C128" s="55" t="s">
        <v>79</v>
      </c>
      <c r="D128" s="56">
        <v>5</v>
      </c>
      <c r="E128" s="57">
        <v>7.0000000000000001E-3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3"/>
      <c r="C129" s="55" t="s">
        <v>85</v>
      </c>
      <c r="D129" s="56">
        <v>6</v>
      </c>
      <c r="E129" s="57">
        <v>8.0000000000000002E-3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3"/>
      <c r="C130" s="55" t="s">
        <v>86</v>
      </c>
      <c r="D130" s="56">
        <v>4</v>
      </c>
      <c r="E130" s="57">
        <v>5.0000000000000001E-3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3"/>
      <c r="C131" s="55" t="s">
        <v>92</v>
      </c>
      <c r="D131" s="56">
        <v>1</v>
      </c>
      <c r="E131" s="57">
        <v>1E-3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3"/>
      <c r="C132" s="55" t="s">
        <v>76</v>
      </c>
      <c r="D132" s="56">
        <v>5</v>
      </c>
      <c r="E132" s="57">
        <v>7.0000000000000001E-3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3"/>
      <c r="C133" s="55" t="s">
        <v>75</v>
      </c>
      <c r="D133" s="56">
        <v>20</v>
      </c>
      <c r="E133" s="57">
        <v>2.7E-2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3"/>
      <c r="C134" s="55" t="s">
        <v>101</v>
      </c>
      <c r="D134" s="56">
        <v>3</v>
      </c>
      <c r="E134" s="57">
        <v>4.0000000000000001E-3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3"/>
      <c r="C135" s="55" t="s">
        <v>99</v>
      </c>
      <c r="D135" s="56">
        <v>4</v>
      </c>
      <c r="E135" s="57">
        <v>5.0000000000000001E-3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3"/>
      <c r="C136" s="55" t="s">
        <v>107</v>
      </c>
      <c r="D136" s="56">
        <v>4</v>
      </c>
      <c r="E136" s="57">
        <v>5.0000000000000001E-3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3"/>
      <c r="C137" s="55" t="s">
        <v>111</v>
      </c>
      <c r="D137" s="56">
        <v>3</v>
      </c>
      <c r="E137" s="57">
        <v>4.0000000000000001E-3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3"/>
      <c r="C138" s="55" t="s">
        <v>94</v>
      </c>
      <c r="D138" s="56">
        <v>4</v>
      </c>
      <c r="E138" s="57">
        <v>5.0000000000000001E-3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3"/>
      <c r="C139" s="55" t="s">
        <v>90</v>
      </c>
      <c r="D139" s="56">
        <v>6</v>
      </c>
      <c r="E139" s="57">
        <v>8.0000000000000002E-3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3"/>
      <c r="C140" s="55" t="s">
        <v>106</v>
      </c>
      <c r="D140" s="56">
        <v>1</v>
      </c>
      <c r="E140" s="57">
        <v>1E-3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3"/>
      <c r="C141" s="55" t="s">
        <v>104</v>
      </c>
      <c r="D141" s="56">
        <v>8</v>
      </c>
      <c r="E141" s="57">
        <v>1.0999999999999999E-2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3"/>
      <c r="C142" s="55" t="s">
        <v>84</v>
      </c>
      <c r="D142" s="56">
        <v>15</v>
      </c>
      <c r="E142" s="57">
        <v>0.02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3"/>
      <c r="C143" s="55" t="s">
        <v>88</v>
      </c>
      <c r="D143" s="56">
        <v>5</v>
      </c>
      <c r="E143" s="57">
        <v>7.0000000000000001E-3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3"/>
      <c r="C144" s="55" t="s">
        <v>105</v>
      </c>
      <c r="D144" s="56">
        <v>10</v>
      </c>
      <c r="E144" s="57">
        <v>1.2999999999999999E-2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3"/>
      <c r="C145" s="55" t="s">
        <v>93</v>
      </c>
      <c r="D145" s="56">
        <v>4</v>
      </c>
      <c r="E145" s="57">
        <v>5.0000000000000001E-3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3"/>
      <c r="C146" s="55" t="s">
        <v>80</v>
      </c>
      <c r="D146" s="56">
        <v>3</v>
      </c>
      <c r="E146" s="57">
        <v>4.0000000000000001E-3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3"/>
      <c r="C147" s="55" t="s">
        <v>87</v>
      </c>
      <c r="D147" s="56">
        <v>64</v>
      </c>
      <c r="E147" s="57">
        <v>8.5999999999999993E-2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3"/>
      <c r="C148" s="55" t="s">
        <v>96</v>
      </c>
      <c r="D148" s="56">
        <v>7</v>
      </c>
      <c r="E148" s="57">
        <v>8.9999999999999993E-3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3"/>
      <c r="C149" s="55" t="s">
        <v>83</v>
      </c>
      <c r="D149" s="56">
        <v>5</v>
      </c>
      <c r="E149" s="57">
        <v>7.0000000000000001E-3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3"/>
      <c r="C150" s="55" t="s">
        <v>103</v>
      </c>
      <c r="D150" s="56">
        <v>6</v>
      </c>
      <c r="E150" s="57">
        <v>8.0000000000000002E-3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3"/>
      <c r="C151" s="55" t="s">
        <v>102</v>
      </c>
      <c r="D151" s="56">
        <v>14</v>
      </c>
      <c r="E151" s="57">
        <v>1.9E-2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3"/>
      <c r="C152" s="86" t="s">
        <v>47</v>
      </c>
      <c r="D152" s="87">
        <v>285</v>
      </c>
      <c r="E152" s="88">
        <v>0.38400000000000001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3" t="s">
        <v>126</v>
      </c>
      <c r="C153" s="55" t="s">
        <v>78</v>
      </c>
      <c r="D153" s="56">
        <v>1</v>
      </c>
      <c r="E153" s="57">
        <v>1E-3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3"/>
      <c r="C154" s="55" t="s">
        <v>77</v>
      </c>
      <c r="D154" s="56">
        <v>1</v>
      </c>
      <c r="E154" s="57">
        <v>1E-3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3"/>
      <c r="C155" s="55" t="s">
        <v>108</v>
      </c>
      <c r="D155" s="56">
        <v>1</v>
      </c>
      <c r="E155" s="57">
        <v>1E-3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3"/>
      <c r="C156" s="55" t="s">
        <v>79</v>
      </c>
      <c r="D156" s="56">
        <v>1</v>
      </c>
      <c r="E156" s="57">
        <v>1E-3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3"/>
      <c r="C157" s="55" t="s">
        <v>90</v>
      </c>
      <c r="D157" s="56">
        <v>1</v>
      </c>
      <c r="E157" s="57">
        <v>1E-3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3"/>
      <c r="C158" s="55" t="s">
        <v>87</v>
      </c>
      <c r="D158" s="56">
        <v>1</v>
      </c>
      <c r="E158" s="57">
        <v>1E-3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3"/>
      <c r="C159" s="86" t="s">
        <v>47</v>
      </c>
      <c r="D159" s="87">
        <v>6</v>
      </c>
      <c r="E159" s="88">
        <v>8.0000000000000002E-3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3" t="s">
        <v>127</v>
      </c>
      <c r="C160" s="55" t="s">
        <v>81</v>
      </c>
      <c r="D160" s="56">
        <v>7</v>
      </c>
      <c r="E160" s="57">
        <v>8.9999999999999993E-3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3"/>
      <c r="C161" s="55" t="s">
        <v>89</v>
      </c>
      <c r="D161" s="56">
        <v>1</v>
      </c>
      <c r="E161" s="57">
        <v>1E-3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3"/>
      <c r="C162" s="55" t="s">
        <v>74</v>
      </c>
      <c r="D162" s="56">
        <v>1</v>
      </c>
      <c r="E162" s="57">
        <v>1E-3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3"/>
      <c r="C163" s="55" t="s">
        <v>78</v>
      </c>
      <c r="D163" s="56">
        <v>2</v>
      </c>
      <c r="E163" s="57">
        <v>3.0000000000000001E-3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3"/>
      <c r="C164" s="55" t="s">
        <v>77</v>
      </c>
      <c r="D164" s="56">
        <v>2</v>
      </c>
      <c r="E164" s="57">
        <v>3.0000000000000001E-3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3"/>
      <c r="C165" s="55" t="s">
        <v>108</v>
      </c>
      <c r="D165" s="56">
        <v>1</v>
      </c>
      <c r="E165" s="57">
        <v>1E-3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3"/>
      <c r="C166" s="55" t="s">
        <v>82</v>
      </c>
      <c r="D166" s="56">
        <v>5</v>
      </c>
      <c r="E166" s="57">
        <v>7.0000000000000001E-3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3"/>
      <c r="C167" s="55" t="s">
        <v>79</v>
      </c>
      <c r="D167" s="56">
        <v>4</v>
      </c>
      <c r="E167" s="57">
        <v>5.0000000000000001E-3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3"/>
      <c r="C168" s="55" t="s">
        <v>85</v>
      </c>
      <c r="D168" s="56">
        <v>3</v>
      </c>
      <c r="E168" s="57">
        <v>4.0000000000000001E-3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3"/>
      <c r="C169" s="55" t="s">
        <v>86</v>
      </c>
      <c r="D169" s="56">
        <v>7</v>
      </c>
      <c r="E169" s="57">
        <v>8.9999999999999993E-3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3"/>
      <c r="C170" s="55" t="s">
        <v>110</v>
      </c>
      <c r="D170" s="56">
        <v>1</v>
      </c>
      <c r="E170" s="57">
        <v>1E-3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3"/>
      <c r="C171" s="55" t="s">
        <v>76</v>
      </c>
      <c r="D171" s="56">
        <v>1</v>
      </c>
      <c r="E171" s="57">
        <v>1E-3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3"/>
      <c r="C172" s="55" t="s">
        <v>75</v>
      </c>
      <c r="D172" s="56">
        <v>8</v>
      </c>
      <c r="E172" s="57">
        <v>1.0999999999999999E-2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3"/>
      <c r="C173" s="55" t="s">
        <v>99</v>
      </c>
      <c r="D173" s="56">
        <v>1</v>
      </c>
      <c r="E173" s="57">
        <v>1E-3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3"/>
      <c r="C174" s="55" t="s">
        <v>90</v>
      </c>
      <c r="D174" s="56">
        <v>4</v>
      </c>
      <c r="E174" s="57">
        <v>5.0000000000000001E-3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3"/>
      <c r="C175" s="55" t="s">
        <v>91</v>
      </c>
      <c r="D175" s="56">
        <v>3</v>
      </c>
      <c r="E175" s="57">
        <v>4.0000000000000001E-3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3"/>
      <c r="C176" s="55" t="s">
        <v>106</v>
      </c>
      <c r="D176" s="56">
        <v>1</v>
      </c>
      <c r="E176" s="57">
        <v>1E-3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3"/>
      <c r="C177" s="55" t="s">
        <v>104</v>
      </c>
      <c r="D177" s="56">
        <v>1</v>
      </c>
      <c r="E177" s="57">
        <v>1E-3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3"/>
      <c r="C178" s="55" t="s">
        <v>84</v>
      </c>
      <c r="D178" s="56">
        <v>2</v>
      </c>
      <c r="E178" s="57">
        <v>3.0000000000000001E-3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3"/>
      <c r="C179" s="55" t="s">
        <v>88</v>
      </c>
      <c r="D179" s="56">
        <v>1</v>
      </c>
      <c r="E179" s="57">
        <v>1E-3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3"/>
      <c r="C180" s="55" t="s">
        <v>105</v>
      </c>
      <c r="D180" s="56">
        <v>1</v>
      </c>
      <c r="E180" s="57">
        <v>1E-3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3"/>
      <c r="C181" s="55" t="s">
        <v>95</v>
      </c>
      <c r="D181" s="56">
        <v>4</v>
      </c>
      <c r="E181" s="57">
        <v>5.0000000000000001E-3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3"/>
      <c r="C182" s="55" t="s">
        <v>100</v>
      </c>
      <c r="D182" s="56">
        <v>1</v>
      </c>
      <c r="E182" s="57">
        <v>1E-3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3"/>
      <c r="C183" s="55" t="s">
        <v>87</v>
      </c>
      <c r="D183" s="56">
        <v>9</v>
      </c>
      <c r="E183" s="57">
        <v>1.2E-2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3"/>
      <c r="C184" s="55" t="s">
        <v>96</v>
      </c>
      <c r="D184" s="56">
        <v>1</v>
      </c>
      <c r="E184" s="57">
        <v>1E-3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3"/>
      <c r="C185" s="55" t="s">
        <v>83</v>
      </c>
      <c r="D185" s="56">
        <v>4</v>
      </c>
      <c r="E185" s="57">
        <v>5.0000000000000001E-3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3"/>
      <c r="C186" s="55" t="s">
        <v>102</v>
      </c>
      <c r="D186" s="56">
        <v>1</v>
      </c>
      <c r="E186" s="57">
        <v>1E-3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3"/>
      <c r="C187" s="86" t="s">
        <v>47</v>
      </c>
      <c r="D187" s="87">
        <v>77</v>
      </c>
      <c r="E187" s="88">
        <v>0.104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3" t="s">
        <v>128</v>
      </c>
      <c r="C188" s="55" t="s">
        <v>81</v>
      </c>
      <c r="D188" s="56">
        <v>15</v>
      </c>
      <c r="E188" s="57">
        <v>0.02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3"/>
      <c r="C189" s="55" t="s">
        <v>89</v>
      </c>
      <c r="D189" s="56">
        <v>5</v>
      </c>
      <c r="E189" s="57">
        <v>7.0000000000000001E-3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3"/>
      <c r="C190" s="55" t="s">
        <v>113</v>
      </c>
      <c r="D190" s="56">
        <v>2</v>
      </c>
      <c r="E190" s="57">
        <v>3.0000000000000001E-3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3"/>
      <c r="C191" s="55" t="s">
        <v>74</v>
      </c>
      <c r="D191" s="56">
        <v>6</v>
      </c>
      <c r="E191" s="57">
        <v>8.0000000000000002E-3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3"/>
      <c r="C192" s="55" t="s">
        <v>78</v>
      </c>
      <c r="D192" s="56">
        <v>9</v>
      </c>
      <c r="E192" s="57">
        <v>1.2E-2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3"/>
      <c r="C193" s="55" t="s">
        <v>77</v>
      </c>
      <c r="D193" s="56">
        <v>6</v>
      </c>
      <c r="E193" s="57">
        <v>8.0000000000000002E-3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3"/>
      <c r="C194" s="55" t="s">
        <v>98</v>
      </c>
      <c r="D194" s="56">
        <v>1</v>
      </c>
      <c r="E194" s="57">
        <v>1E-3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3"/>
      <c r="C195" s="55" t="s">
        <v>109</v>
      </c>
      <c r="D195" s="56">
        <v>1</v>
      </c>
      <c r="E195" s="57">
        <v>1E-3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3"/>
      <c r="C196" s="55" t="s">
        <v>108</v>
      </c>
      <c r="D196" s="56">
        <v>1</v>
      </c>
      <c r="E196" s="57">
        <v>1E-3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3"/>
      <c r="C197" s="55" t="s">
        <v>82</v>
      </c>
      <c r="D197" s="56">
        <v>3</v>
      </c>
      <c r="E197" s="57">
        <v>4.0000000000000001E-3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3"/>
      <c r="C198" s="55" t="s">
        <v>79</v>
      </c>
      <c r="D198" s="56">
        <v>10</v>
      </c>
      <c r="E198" s="57">
        <v>1.2999999999999999E-2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3"/>
      <c r="C199" s="55" t="s">
        <v>85</v>
      </c>
      <c r="D199" s="56">
        <v>1</v>
      </c>
      <c r="E199" s="57">
        <v>1E-3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3"/>
      <c r="C200" s="55" t="s">
        <v>86</v>
      </c>
      <c r="D200" s="56">
        <v>3</v>
      </c>
      <c r="E200" s="57">
        <v>4.0000000000000001E-3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3"/>
      <c r="C201" s="55" t="s">
        <v>110</v>
      </c>
      <c r="D201" s="56">
        <v>1</v>
      </c>
      <c r="E201" s="57">
        <v>1E-3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3"/>
      <c r="C202" s="55" t="s">
        <v>92</v>
      </c>
      <c r="D202" s="56">
        <v>5</v>
      </c>
      <c r="E202" s="57">
        <v>7.0000000000000001E-3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3"/>
      <c r="C203" s="55" t="s">
        <v>76</v>
      </c>
      <c r="D203" s="56">
        <v>6</v>
      </c>
      <c r="E203" s="57">
        <v>8.0000000000000002E-3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3"/>
      <c r="C204" s="55" t="s">
        <v>75</v>
      </c>
      <c r="D204" s="56">
        <v>12</v>
      </c>
      <c r="E204" s="57">
        <v>1.6E-2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3"/>
      <c r="C205" s="55" t="s">
        <v>101</v>
      </c>
      <c r="D205" s="56">
        <v>3</v>
      </c>
      <c r="E205" s="57">
        <v>4.0000000000000001E-3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3"/>
      <c r="C206" s="55" t="s">
        <v>99</v>
      </c>
      <c r="D206" s="56">
        <v>1</v>
      </c>
      <c r="E206" s="57">
        <v>1E-3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3"/>
      <c r="C207" s="55" t="s">
        <v>107</v>
      </c>
      <c r="D207" s="56">
        <v>1</v>
      </c>
      <c r="E207" s="57">
        <v>1E-3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3"/>
      <c r="C208" s="55" t="s">
        <v>111</v>
      </c>
      <c r="D208" s="56">
        <v>3</v>
      </c>
      <c r="E208" s="57">
        <v>4.0000000000000001E-3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3"/>
      <c r="C209" s="55" t="s">
        <v>90</v>
      </c>
      <c r="D209" s="56">
        <v>2</v>
      </c>
      <c r="E209" s="57">
        <v>3.0000000000000001E-3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3"/>
      <c r="C210" s="55" t="s">
        <v>91</v>
      </c>
      <c r="D210" s="56">
        <v>3</v>
      </c>
      <c r="E210" s="57">
        <v>4.0000000000000001E-3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3"/>
      <c r="C211" s="55" t="s">
        <v>104</v>
      </c>
      <c r="D211" s="56">
        <v>3</v>
      </c>
      <c r="E211" s="57">
        <v>4.0000000000000001E-3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3"/>
      <c r="C212" s="55" t="s">
        <v>84</v>
      </c>
      <c r="D212" s="56">
        <v>6</v>
      </c>
      <c r="E212" s="57">
        <v>8.0000000000000002E-3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3"/>
      <c r="C213" s="55" t="s">
        <v>88</v>
      </c>
      <c r="D213" s="56">
        <v>7</v>
      </c>
      <c r="E213" s="57">
        <v>8.9999999999999993E-3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3"/>
      <c r="C214" s="55" t="s">
        <v>105</v>
      </c>
      <c r="D214" s="56">
        <v>1</v>
      </c>
      <c r="E214" s="57">
        <v>1E-3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3"/>
      <c r="C215" s="55" t="s">
        <v>95</v>
      </c>
      <c r="D215" s="56">
        <v>5</v>
      </c>
      <c r="E215" s="57">
        <v>7.0000000000000001E-3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3"/>
      <c r="C216" s="55" t="s">
        <v>80</v>
      </c>
      <c r="D216" s="56">
        <v>4</v>
      </c>
      <c r="E216" s="57">
        <v>5.0000000000000001E-3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3"/>
      <c r="C217" s="55" t="s">
        <v>87</v>
      </c>
      <c r="D217" s="56">
        <v>20</v>
      </c>
      <c r="E217" s="57">
        <v>2.7E-2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3"/>
      <c r="C218" s="55" t="s">
        <v>96</v>
      </c>
      <c r="D218" s="56">
        <v>5</v>
      </c>
      <c r="E218" s="57">
        <v>7.0000000000000001E-3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3"/>
      <c r="C219" s="55" t="s">
        <v>83</v>
      </c>
      <c r="D219" s="56">
        <v>1</v>
      </c>
      <c r="E219" s="57">
        <v>1E-3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3"/>
      <c r="C220" s="55" t="s">
        <v>103</v>
      </c>
      <c r="D220" s="56">
        <v>5</v>
      </c>
      <c r="E220" s="57">
        <v>7.0000000000000001E-3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3"/>
      <c r="C221" s="55" t="s">
        <v>102</v>
      </c>
      <c r="D221" s="56">
        <v>3</v>
      </c>
      <c r="E221" s="57">
        <v>4.0000000000000001E-3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3"/>
      <c r="C222" s="86" t="s">
        <v>47</v>
      </c>
      <c r="D222" s="87">
        <v>160</v>
      </c>
      <c r="E222" s="88">
        <v>0.215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3" t="s">
        <v>129</v>
      </c>
      <c r="C223" s="55" t="s">
        <v>100</v>
      </c>
      <c r="D223" s="56">
        <v>1</v>
      </c>
      <c r="E223" s="57">
        <v>1E-3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3"/>
      <c r="C224" s="55" t="s">
        <v>87</v>
      </c>
      <c r="D224" s="56">
        <v>1</v>
      </c>
      <c r="E224" s="57">
        <v>1E-3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3"/>
      <c r="C225" s="86" t="s">
        <v>47</v>
      </c>
      <c r="D225" s="87">
        <v>2</v>
      </c>
      <c r="E225" s="88">
        <v>3.0000000000000001E-3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21" customHeight="1">
      <c r="B226" s="63" t="s">
        <v>130</v>
      </c>
      <c r="C226" s="55" t="s">
        <v>97</v>
      </c>
      <c r="D226" s="56">
        <v>1</v>
      </c>
      <c r="E226" s="57">
        <v>1E-3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3"/>
      <c r="C227" s="86" t="s">
        <v>47</v>
      </c>
      <c r="D227" s="87">
        <v>1</v>
      </c>
      <c r="E227" s="88">
        <v>1E-3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3" t="s">
        <v>131</v>
      </c>
      <c r="C228" s="55" t="s">
        <v>97</v>
      </c>
      <c r="D228" s="56">
        <v>1</v>
      </c>
      <c r="E228" s="57">
        <v>1E-3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3"/>
      <c r="C229" s="55" t="s">
        <v>81</v>
      </c>
      <c r="D229" s="56">
        <v>1</v>
      </c>
      <c r="E229" s="57">
        <v>1E-3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3"/>
      <c r="C230" s="55" t="s">
        <v>75</v>
      </c>
      <c r="D230" s="56">
        <v>1</v>
      </c>
      <c r="E230" s="57">
        <v>1E-3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3"/>
      <c r="C231" s="86" t="s">
        <v>47</v>
      </c>
      <c r="D231" s="87">
        <v>3</v>
      </c>
      <c r="E231" s="88">
        <v>4.0000000000000001E-3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3" t="s">
        <v>132</v>
      </c>
      <c r="C232" s="55" t="s">
        <v>97</v>
      </c>
      <c r="D232" s="56">
        <v>1</v>
      </c>
      <c r="E232" s="57">
        <v>1E-3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3"/>
      <c r="C233" s="55" t="s">
        <v>89</v>
      </c>
      <c r="D233" s="56">
        <v>2</v>
      </c>
      <c r="E233" s="57">
        <v>3.0000000000000001E-3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3"/>
      <c r="C234" s="55" t="s">
        <v>78</v>
      </c>
      <c r="D234" s="56">
        <v>1</v>
      </c>
      <c r="E234" s="57">
        <v>1E-3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3"/>
      <c r="C235" s="55" t="s">
        <v>79</v>
      </c>
      <c r="D235" s="56">
        <v>1</v>
      </c>
      <c r="E235" s="57">
        <v>1E-3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3"/>
      <c r="C236" s="55" t="s">
        <v>86</v>
      </c>
      <c r="D236" s="56">
        <v>1</v>
      </c>
      <c r="E236" s="57">
        <v>1E-3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3"/>
      <c r="C237" s="55" t="s">
        <v>101</v>
      </c>
      <c r="D237" s="56">
        <v>1</v>
      </c>
      <c r="E237" s="57">
        <v>1E-3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3"/>
      <c r="C238" s="55" t="s">
        <v>104</v>
      </c>
      <c r="D238" s="56">
        <v>1</v>
      </c>
      <c r="E238" s="57">
        <v>1E-3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3"/>
      <c r="C239" s="55" t="s">
        <v>83</v>
      </c>
      <c r="D239" s="56">
        <v>1</v>
      </c>
      <c r="E239" s="57">
        <v>1E-3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3"/>
      <c r="C240" s="55" t="s">
        <v>103</v>
      </c>
      <c r="D240" s="56">
        <v>1</v>
      </c>
      <c r="E240" s="57">
        <v>1E-3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3"/>
      <c r="C241" s="86" t="s">
        <v>47</v>
      </c>
      <c r="D241" s="87">
        <v>10</v>
      </c>
      <c r="E241" s="88">
        <v>1.2999999999999999E-2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21" customHeight="1">
      <c r="B242" s="63" t="s">
        <v>133</v>
      </c>
      <c r="C242" s="55" t="s">
        <v>86</v>
      </c>
      <c r="D242" s="56">
        <v>1</v>
      </c>
      <c r="E242" s="57">
        <v>1E-3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3"/>
      <c r="C243" s="86" t="s">
        <v>47</v>
      </c>
      <c r="D243" s="87">
        <v>1</v>
      </c>
      <c r="E243" s="88">
        <v>1E-3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21" customHeight="1">
      <c r="B244" s="63" t="s">
        <v>134</v>
      </c>
      <c r="C244" s="55" t="s">
        <v>87</v>
      </c>
      <c r="D244" s="56">
        <v>1</v>
      </c>
      <c r="E244" s="57">
        <v>1E-3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3"/>
      <c r="C245" s="86" t="s">
        <v>47</v>
      </c>
      <c r="D245" s="87">
        <v>1</v>
      </c>
      <c r="E245" s="88">
        <v>1E-3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8" customHeight="1">
      <c r="B246" s="64" t="s">
        <v>47</v>
      </c>
      <c r="C246" s="64"/>
      <c r="D246" s="59">
        <v>743</v>
      </c>
      <c r="E246" s="60">
        <v>1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8" customHeight="1"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</row>
    <row r="248" spans="2:16" ht="18" customHeight="1">
      <c r="B248" s="54" t="s">
        <v>70</v>
      </c>
      <c r="C248" s="54"/>
      <c r="D248" s="54"/>
      <c r="E248" s="54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</row>
    <row r="249" spans="2:16" ht="18" customHeight="1">
      <c r="B249" s="54" t="s">
        <v>39</v>
      </c>
      <c r="C249" s="54"/>
      <c r="D249" s="54"/>
      <c r="E249" s="54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</row>
    <row r="250" spans="2:16" ht="18" customHeight="1">
      <c r="B250" s="54" t="s">
        <v>71</v>
      </c>
      <c r="C250" s="54"/>
      <c r="D250" s="54"/>
      <c r="E250" s="54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</row>
    <row r="251" spans="2:16" ht="18" customHeight="1">
      <c r="B251" s="54" t="s">
        <v>72</v>
      </c>
      <c r="C251" s="54"/>
      <c r="D251" s="54"/>
      <c r="E251" s="54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</row>
    <row r="252" spans="2:16" ht="15" customHeight="1">
      <c r="B252" s="54" t="s">
        <v>73</v>
      </c>
      <c r="C252" s="54"/>
      <c r="D252" s="54"/>
      <c r="E252" s="54"/>
    </row>
  </sheetData>
  <autoFilter ref="B9:E246"/>
  <mergeCells count="23">
    <mergeCell ref="B228:B231"/>
    <mergeCell ref="B232:B241"/>
    <mergeCell ref="B242:B243"/>
    <mergeCell ref="B244:B245"/>
    <mergeCell ref="B246:C246"/>
    <mergeCell ref="B153:B159"/>
    <mergeCell ref="B160:B187"/>
    <mergeCell ref="B188:B222"/>
    <mergeCell ref="B223:B225"/>
    <mergeCell ref="B226:B227"/>
    <mergeCell ref="B67:B89"/>
    <mergeCell ref="B90:B95"/>
    <mergeCell ref="B96:B106"/>
    <mergeCell ref="B107:B118"/>
    <mergeCell ref="B119:B152"/>
    <mergeCell ref="B38:B47"/>
    <mergeCell ref="B48:B66"/>
    <mergeCell ref="B7:E8"/>
    <mergeCell ref="B10:B15"/>
    <mergeCell ref="B16:B18"/>
    <mergeCell ref="B19:B23"/>
    <mergeCell ref="B24:B30"/>
    <mergeCell ref="B31:B3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theme="9" tint="0.39997558519241921"/>
  </sheetPr>
  <dimension ref="A1:O34"/>
  <sheetViews>
    <sheetView showGridLines="0" zoomScaleNormal="100" zoomScaleSheetLayoutView="115" workbookViewId="0">
      <selection activeCell="G26" sqref="G26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5" s="1" customFormat="1" ht="15" customHeight="1">
      <c r="C1" s="2"/>
    </row>
    <row r="2" spans="1:15" s="1" customFormat="1" ht="15" customHeight="1">
      <c r="C2" s="2"/>
    </row>
    <row r="3" spans="1:15" s="1" customFormat="1" ht="15" customHeight="1">
      <c r="A3" s="1" t="s">
        <v>0</v>
      </c>
      <c r="C3" s="2"/>
    </row>
    <row r="4" spans="1:15" s="1" customFormat="1" ht="30" customHeight="1">
      <c r="C4" s="2"/>
      <c r="D4" s="3"/>
    </row>
    <row r="5" spans="1:15" s="1" customFormat="1" ht="15" customHeight="1">
      <c r="C5" s="2"/>
      <c r="D5" s="3"/>
    </row>
    <row r="6" spans="1:15" s="1" customFormat="1" ht="15" customHeight="1">
      <c r="C6" s="2"/>
      <c r="D6" s="3"/>
    </row>
    <row r="7" spans="1:15" s="1" customFormat="1" ht="15" customHeight="1">
      <c r="B7" s="51" t="s">
        <v>178</v>
      </c>
      <c r="C7" s="51"/>
      <c r="D7" s="51"/>
    </row>
    <row r="8" spans="1:15" s="1" customFormat="1" ht="15" customHeight="1">
      <c r="B8" s="51"/>
      <c r="C8" s="51"/>
      <c r="D8" s="51"/>
    </row>
    <row r="9" spans="1:15" s="1" customFormat="1" ht="33" customHeight="1">
      <c r="B9" s="51"/>
      <c r="C9" s="51"/>
      <c r="D9" s="51"/>
    </row>
    <row r="10" spans="1:15" s="1" customFormat="1" ht="4.5" customHeight="1">
      <c r="B10" s="4"/>
      <c r="C10" s="4"/>
      <c r="D10" s="4"/>
    </row>
    <row r="11" spans="1:15" ht="27">
      <c r="B11" s="5" t="s">
        <v>50</v>
      </c>
      <c r="C11" s="6" t="s">
        <v>2</v>
      </c>
      <c r="D11" s="7" t="s">
        <v>3</v>
      </c>
    </row>
    <row r="12" spans="1:15">
      <c r="B12" s="65" t="s">
        <v>49</v>
      </c>
      <c r="C12" s="66">
        <v>479</v>
      </c>
      <c r="D12" s="72">
        <v>0.64468371467025576</v>
      </c>
    </row>
    <row r="13" spans="1:15" ht="18.75">
      <c r="A13" s="46"/>
      <c r="B13" s="67" t="s">
        <v>48</v>
      </c>
      <c r="C13" s="68">
        <v>264</v>
      </c>
      <c r="D13" s="72">
        <v>0.3553162853297443</v>
      </c>
      <c r="E13"/>
      <c r="F13"/>
      <c r="G13"/>
      <c r="H13"/>
      <c r="I13"/>
      <c r="J13"/>
      <c r="K13"/>
      <c r="L13"/>
      <c r="M13"/>
      <c r="N13"/>
      <c r="O13"/>
    </row>
    <row r="14" spans="1:15">
      <c r="A14" s="47"/>
      <c r="B14" s="69" t="s">
        <v>47</v>
      </c>
      <c r="C14" s="70">
        <f>SUM(C12:C13)</f>
        <v>743</v>
      </c>
      <c r="D14" s="71">
        <v>1</v>
      </c>
      <c r="E14"/>
      <c r="F14"/>
      <c r="G14"/>
      <c r="H14"/>
      <c r="I14"/>
      <c r="J14"/>
      <c r="K14"/>
      <c r="L14"/>
      <c r="M14"/>
      <c r="N14"/>
      <c r="O14"/>
    </row>
    <row r="15" spans="1:15">
      <c r="A15" s="47"/>
      <c r="B15"/>
      <c r="C15"/>
      <c r="D15"/>
      <c r="E15"/>
      <c r="F15"/>
      <c r="G15"/>
      <c r="H15"/>
      <c r="I15"/>
      <c r="J15"/>
      <c r="K15"/>
      <c r="L15"/>
      <c r="M15"/>
      <c r="N15"/>
      <c r="O15"/>
    </row>
    <row r="16" spans="1:15">
      <c r="A16" s="47"/>
      <c r="B16" s="54" t="s">
        <v>70</v>
      </c>
      <c r="C16"/>
      <c r="D16"/>
      <c r="E16"/>
      <c r="F16"/>
      <c r="G16"/>
      <c r="H16"/>
      <c r="I16"/>
      <c r="J16"/>
      <c r="K16"/>
      <c r="L16"/>
      <c r="M16"/>
      <c r="N16"/>
      <c r="O16"/>
    </row>
    <row r="17" spans="1:15">
      <c r="A17" s="47"/>
      <c r="B17" s="54" t="s">
        <v>39</v>
      </c>
      <c r="C17"/>
      <c r="D17"/>
      <c r="E17"/>
      <c r="F17"/>
      <c r="G17"/>
      <c r="H17"/>
      <c r="I17"/>
      <c r="J17"/>
      <c r="K17"/>
      <c r="L17"/>
      <c r="M17"/>
      <c r="N17"/>
      <c r="O17"/>
    </row>
    <row r="18" spans="1:15">
      <c r="A18" s="47"/>
      <c r="B18" s="54" t="s">
        <v>71</v>
      </c>
      <c r="C18"/>
      <c r="D18"/>
      <c r="E18"/>
      <c r="F18"/>
      <c r="G18"/>
      <c r="H18"/>
      <c r="I18"/>
      <c r="J18"/>
      <c r="K18"/>
      <c r="L18"/>
      <c r="M18"/>
      <c r="N18"/>
      <c r="O18"/>
    </row>
    <row r="19" spans="1:15">
      <c r="A19" s="47"/>
      <c r="B19" s="54" t="s">
        <v>72</v>
      </c>
      <c r="C19"/>
      <c r="D19"/>
      <c r="E19"/>
      <c r="F19"/>
      <c r="G19"/>
      <c r="H19"/>
      <c r="I19"/>
      <c r="J19"/>
      <c r="K19"/>
      <c r="L19"/>
      <c r="M19"/>
      <c r="N19"/>
      <c r="O19"/>
    </row>
    <row r="20" spans="1:15">
      <c r="A20" s="47"/>
      <c r="B20" s="54" t="s">
        <v>73</v>
      </c>
      <c r="C20"/>
      <c r="D20"/>
      <c r="E20"/>
      <c r="F20"/>
      <c r="G20"/>
      <c r="H20"/>
      <c r="I20"/>
      <c r="J20"/>
      <c r="K20"/>
      <c r="L20"/>
      <c r="M20"/>
      <c r="N20"/>
      <c r="O20"/>
    </row>
    <row r="21" spans="1:15">
      <c r="A21" s="47"/>
      <c r="B21"/>
      <c r="C21"/>
      <c r="D21"/>
      <c r="E21"/>
      <c r="F21"/>
      <c r="G21"/>
      <c r="H21"/>
      <c r="I21"/>
      <c r="J21"/>
      <c r="K21"/>
      <c r="L21"/>
      <c r="M21"/>
      <c r="N21"/>
      <c r="O21"/>
    </row>
    <row r="22" spans="1:15">
      <c r="A22" s="47"/>
      <c r="B22"/>
      <c r="C22"/>
      <c r="D22"/>
      <c r="E22"/>
      <c r="F22"/>
      <c r="G22"/>
      <c r="H22"/>
      <c r="I22"/>
      <c r="J22"/>
      <c r="K22"/>
      <c r="L22"/>
      <c r="M22"/>
      <c r="N22"/>
      <c r="O22"/>
    </row>
    <row r="23" spans="1:15">
      <c r="A23" s="47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>
      <c r="A24" s="47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>
      <c r="B25" s="50"/>
      <c r="C25" s="50"/>
      <c r="D25" s="50"/>
      <c r="E25" s="50"/>
      <c r="F25" s="50"/>
      <c r="G25" s="50"/>
      <c r="H25"/>
      <c r="I25"/>
      <c r="J25"/>
      <c r="K25"/>
      <c r="L25"/>
      <c r="M25"/>
      <c r="N25"/>
      <c r="O25"/>
    </row>
    <row r="26" spans="1:15">
      <c r="B26" s="50"/>
      <c r="C26" s="50"/>
      <c r="D26" s="50"/>
      <c r="E26" s="50"/>
      <c r="F26" s="50"/>
      <c r="G26" s="50"/>
      <c r="H26"/>
      <c r="I26"/>
      <c r="J26"/>
      <c r="K26"/>
      <c r="L26"/>
      <c r="M26"/>
      <c r="N26"/>
      <c r="O26"/>
    </row>
    <row r="27" spans="1:15">
      <c r="B27" s="50"/>
      <c r="C27" s="50"/>
      <c r="D27" s="50"/>
      <c r="E27" s="50"/>
      <c r="F27" s="50"/>
      <c r="G27" s="50"/>
      <c r="H27"/>
      <c r="I27"/>
      <c r="J27"/>
      <c r="K27"/>
      <c r="L27"/>
      <c r="M27"/>
      <c r="N27"/>
      <c r="O27"/>
    </row>
    <row r="28" spans="1:15">
      <c r="B28" s="50"/>
      <c r="C28" s="50"/>
      <c r="D28" s="50"/>
      <c r="E28" s="50"/>
      <c r="F28" s="50"/>
      <c r="G28" s="50"/>
      <c r="H28"/>
      <c r="I28"/>
      <c r="J28"/>
      <c r="K28"/>
      <c r="L28"/>
      <c r="M28"/>
      <c r="N28"/>
      <c r="O28"/>
    </row>
    <row r="29" spans="1:15">
      <c r="B29" s="50"/>
      <c r="C29" s="50"/>
      <c r="D29" s="50"/>
      <c r="E29" s="50"/>
      <c r="F29" s="50"/>
      <c r="G29" s="50"/>
      <c r="H29"/>
      <c r="I29"/>
      <c r="J29"/>
      <c r="K29"/>
      <c r="L29"/>
      <c r="M29"/>
      <c r="N29"/>
      <c r="O29"/>
    </row>
    <row r="30" spans="1:15" ht="18" customHeight="1">
      <c r="H30" s="50"/>
      <c r="I30" s="50"/>
      <c r="J30" s="50"/>
      <c r="K30" s="50"/>
      <c r="L30" s="50"/>
      <c r="M30" s="50"/>
      <c r="N30" s="50"/>
      <c r="O30" s="50"/>
    </row>
    <row r="31" spans="1:15" ht="18" customHeight="1">
      <c r="H31" s="50"/>
      <c r="I31" s="50"/>
      <c r="J31" s="50"/>
      <c r="K31" s="50"/>
      <c r="L31" s="50"/>
      <c r="M31" s="50"/>
      <c r="N31" s="50"/>
      <c r="O31" s="50"/>
    </row>
    <row r="32" spans="1:15" ht="18" customHeight="1">
      <c r="H32" s="50"/>
      <c r="I32" s="50"/>
      <c r="J32" s="50"/>
      <c r="K32" s="50"/>
      <c r="L32" s="50"/>
      <c r="M32" s="50"/>
      <c r="N32" s="50"/>
      <c r="O32" s="50"/>
    </row>
    <row r="33" spans="8:15" ht="18" customHeight="1">
      <c r="H33" s="50"/>
      <c r="I33" s="50"/>
      <c r="J33" s="50"/>
      <c r="K33" s="50"/>
      <c r="L33" s="50"/>
      <c r="M33" s="50"/>
      <c r="N33" s="50"/>
      <c r="O33" s="50"/>
    </row>
    <row r="34" spans="8:15">
      <c r="H34" s="50"/>
      <c r="I34" s="50"/>
      <c r="J34" s="50"/>
      <c r="K34" s="50"/>
      <c r="L34" s="50"/>
      <c r="M34" s="50"/>
      <c r="N34" s="50"/>
      <c r="O34" s="5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00B050"/>
  </sheetPr>
  <dimension ref="A1:P119"/>
  <sheetViews>
    <sheetView showGridLines="0" zoomScaleNormal="100" zoomScaleSheetLayoutView="100" workbookViewId="0">
      <selection activeCell="C15" sqref="C15:E112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4.7109375" style="15" customWidth="1"/>
    <col min="4" max="4" width="23.5703125" style="24" customWidth="1"/>
    <col min="5" max="5" width="15.140625" style="15" bestFit="1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F3" s="15"/>
    </row>
    <row r="4" spans="1:16" ht="30" customHeight="1">
      <c r="B4" s="29"/>
      <c r="C4" s="2"/>
      <c r="D4" s="1"/>
      <c r="F4" s="15"/>
    </row>
    <row r="5" spans="1:16" ht="15" customHeight="1">
      <c r="B5" s="29"/>
      <c r="C5" s="2"/>
      <c r="D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51" t="s">
        <v>174</v>
      </c>
      <c r="C8" s="51"/>
      <c r="D8" s="51"/>
      <c r="E8" s="51"/>
    </row>
    <row r="9" spans="1:16" s="25" customFormat="1" ht="15" customHeight="1">
      <c r="A9" s="26"/>
      <c r="B9" s="51"/>
      <c r="C9" s="51"/>
      <c r="D9" s="51"/>
      <c r="E9" s="51"/>
      <c r="F9" s="27"/>
    </row>
    <row r="10" spans="1:16" s="25" customFormat="1" ht="15" customHeight="1">
      <c r="A10" s="26"/>
      <c r="B10" s="51"/>
      <c r="C10" s="51"/>
      <c r="D10" s="51"/>
      <c r="E10" s="51"/>
      <c r="F10" s="26"/>
    </row>
    <row r="11" spans="1:16" s="25" customFormat="1" ht="15" customHeight="1">
      <c r="A11" s="26"/>
      <c r="B11" s="48"/>
      <c r="C11" s="48"/>
      <c r="D11" s="48"/>
      <c r="E11" s="48"/>
      <c r="F11" s="26"/>
    </row>
    <row r="12" spans="1:16" s="25" customFormat="1" ht="30.75" customHeight="1">
      <c r="B12" s="12" t="s">
        <v>43</v>
      </c>
      <c r="C12" s="12" t="s">
        <v>50</v>
      </c>
      <c r="D12" s="12" t="s">
        <v>2</v>
      </c>
      <c r="E12" s="12" t="s">
        <v>3</v>
      </c>
    </row>
    <row r="13" spans="1:16" ht="15">
      <c r="B13" s="63" t="s">
        <v>34</v>
      </c>
      <c r="C13" s="55" t="s">
        <v>49</v>
      </c>
      <c r="D13" s="56">
        <v>35</v>
      </c>
      <c r="E13" s="57">
        <v>4.7E-2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63"/>
      <c r="C14" s="55" t="s">
        <v>48</v>
      </c>
      <c r="D14" s="56">
        <v>12</v>
      </c>
      <c r="E14" s="57">
        <v>1.6E-2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63"/>
      <c r="C15" s="86" t="s">
        <v>47</v>
      </c>
      <c r="D15" s="87">
        <v>47</v>
      </c>
      <c r="E15" s="88">
        <v>6.3E-2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63" t="s">
        <v>22</v>
      </c>
      <c r="C16" s="55" t="s">
        <v>49</v>
      </c>
      <c r="D16" s="56">
        <v>2</v>
      </c>
      <c r="E16" s="57">
        <v>3.0000000000000001E-3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63"/>
      <c r="C17" s="86" t="s">
        <v>47</v>
      </c>
      <c r="D17" s="87">
        <v>2</v>
      </c>
      <c r="E17" s="88">
        <v>3.0000000000000001E-3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63" t="s">
        <v>13</v>
      </c>
      <c r="C18" s="55" t="s">
        <v>49</v>
      </c>
      <c r="D18" s="56">
        <v>2</v>
      </c>
      <c r="E18" s="57">
        <v>3.0000000000000001E-3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63"/>
      <c r="C19" s="55" t="s">
        <v>48</v>
      </c>
      <c r="D19" s="56">
        <v>6</v>
      </c>
      <c r="E19" s="57">
        <v>8.0000000000000002E-3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63"/>
      <c r="C20" s="86" t="s">
        <v>47</v>
      </c>
      <c r="D20" s="87">
        <v>8</v>
      </c>
      <c r="E20" s="88">
        <v>1.0999999999999999E-2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63" t="s">
        <v>4</v>
      </c>
      <c r="C21" s="55" t="s">
        <v>49</v>
      </c>
      <c r="D21" s="56">
        <v>185</v>
      </c>
      <c r="E21" s="57">
        <v>0.249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63"/>
      <c r="C22" s="55" t="s">
        <v>48</v>
      </c>
      <c r="D22" s="56">
        <v>82</v>
      </c>
      <c r="E22" s="57">
        <v>0.11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63"/>
      <c r="C23" s="86" t="s">
        <v>47</v>
      </c>
      <c r="D23" s="87">
        <v>267</v>
      </c>
      <c r="E23" s="88">
        <v>0.35899999999999999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63" t="s">
        <v>8</v>
      </c>
      <c r="C24" s="55" t="s">
        <v>49</v>
      </c>
      <c r="D24" s="56">
        <v>11</v>
      </c>
      <c r="E24" s="57">
        <v>1.4999999999999999E-2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63"/>
      <c r="C25" s="55" t="s">
        <v>48</v>
      </c>
      <c r="D25" s="56">
        <v>8</v>
      </c>
      <c r="E25" s="57">
        <v>1.0999999999999999E-2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63"/>
      <c r="C26" s="86" t="s">
        <v>47</v>
      </c>
      <c r="D26" s="87">
        <v>19</v>
      </c>
      <c r="E26" s="88">
        <v>2.5999999999999999E-2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63" t="s">
        <v>10</v>
      </c>
      <c r="C27" s="55" t="s">
        <v>49</v>
      </c>
      <c r="D27" s="56">
        <v>22</v>
      </c>
      <c r="E27" s="57">
        <v>0.03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63"/>
      <c r="C28" s="55" t="s">
        <v>48</v>
      </c>
      <c r="D28" s="56">
        <v>11</v>
      </c>
      <c r="E28" s="57">
        <v>1.4999999999999999E-2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63"/>
      <c r="C29" s="86" t="s">
        <v>47</v>
      </c>
      <c r="D29" s="87">
        <v>33</v>
      </c>
      <c r="E29" s="88">
        <v>4.3999999999999997E-2</v>
      </c>
      <c r="F29"/>
      <c r="G29"/>
      <c r="H29"/>
      <c r="I29"/>
      <c r="J29"/>
      <c r="K29"/>
      <c r="L29"/>
      <c r="M29"/>
      <c r="N29"/>
      <c r="O29"/>
      <c r="P29"/>
    </row>
    <row r="30" spans="2:16" ht="15">
      <c r="B30" s="63" t="s">
        <v>12</v>
      </c>
      <c r="C30" s="55" t="s">
        <v>49</v>
      </c>
      <c r="D30" s="56">
        <v>16</v>
      </c>
      <c r="E30" s="57">
        <v>2.1999999999999999E-2</v>
      </c>
      <c r="F30"/>
      <c r="G30"/>
      <c r="H30"/>
      <c r="I30"/>
      <c r="J30"/>
      <c r="K30"/>
      <c r="L30"/>
      <c r="M30"/>
      <c r="N30"/>
      <c r="O30"/>
      <c r="P30"/>
    </row>
    <row r="31" spans="2:16" ht="15">
      <c r="B31" s="63"/>
      <c r="C31" s="55" t="s">
        <v>48</v>
      </c>
      <c r="D31" s="56">
        <v>7</v>
      </c>
      <c r="E31" s="57">
        <v>8.9999999999999993E-3</v>
      </c>
      <c r="F31"/>
      <c r="G31"/>
      <c r="H31"/>
      <c r="I31"/>
      <c r="J31"/>
      <c r="K31"/>
      <c r="L31"/>
      <c r="M31"/>
      <c r="N31"/>
      <c r="O31"/>
      <c r="P31"/>
    </row>
    <row r="32" spans="2:16" ht="15">
      <c r="B32" s="63"/>
      <c r="C32" s="86" t="s">
        <v>47</v>
      </c>
      <c r="D32" s="87">
        <v>23</v>
      </c>
      <c r="E32" s="88">
        <v>3.1E-2</v>
      </c>
      <c r="F32"/>
      <c r="G32"/>
      <c r="H32"/>
      <c r="I32"/>
      <c r="J32"/>
      <c r="K32"/>
      <c r="L32"/>
      <c r="M32"/>
      <c r="N32"/>
      <c r="O32"/>
      <c r="P32"/>
    </row>
    <row r="33" spans="2:16" ht="15">
      <c r="B33" s="63" t="s">
        <v>6</v>
      </c>
      <c r="C33" s="55" t="s">
        <v>49</v>
      </c>
      <c r="D33" s="56">
        <v>13</v>
      </c>
      <c r="E33" s="57">
        <v>1.7000000000000001E-2</v>
      </c>
      <c r="F33"/>
      <c r="G33"/>
      <c r="H33"/>
      <c r="I33"/>
      <c r="J33"/>
      <c r="K33"/>
      <c r="L33"/>
      <c r="M33"/>
      <c r="N33"/>
      <c r="O33"/>
      <c r="P33"/>
    </row>
    <row r="34" spans="2:16" ht="15">
      <c r="B34" s="63"/>
      <c r="C34" s="55" t="s">
        <v>48</v>
      </c>
      <c r="D34" s="56">
        <v>5</v>
      </c>
      <c r="E34" s="57">
        <v>7.0000000000000001E-3</v>
      </c>
      <c r="F34"/>
      <c r="G34"/>
      <c r="H34"/>
      <c r="I34"/>
      <c r="J34"/>
      <c r="K34"/>
      <c r="L34"/>
      <c r="M34"/>
      <c r="N34"/>
      <c r="O34"/>
      <c r="P34"/>
    </row>
    <row r="35" spans="2:16" ht="15">
      <c r="B35" s="63"/>
      <c r="C35" s="86" t="s">
        <v>47</v>
      </c>
      <c r="D35" s="87">
        <v>18</v>
      </c>
      <c r="E35" s="88">
        <v>2.4E-2</v>
      </c>
      <c r="F35"/>
      <c r="G35"/>
      <c r="H35"/>
      <c r="I35"/>
      <c r="J35"/>
      <c r="K35"/>
      <c r="L35"/>
      <c r="M35"/>
      <c r="N35"/>
      <c r="O35"/>
      <c r="P35"/>
    </row>
    <row r="36" spans="2:16" ht="15">
      <c r="B36" s="63" t="s">
        <v>9</v>
      </c>
      <c r="C36" s="55" t="s">
        <v>49</v>
      </c>
      <c r="D36" s="56">
        <v>6</v>
      </c>
      <c r="E36" s="57">
        <v>8.0000000000000002E-3</v>
      </c>
      <c r="F36"/>
      <c r="G36"/>
      <c r="H36"/>
      <c r="I36"/>
      <c r="J36"/>
      <c r="K36"/>
      <c r="L36"/>
      <c r="M36"/>
      <c r="N36"/>
      <c r="O36"/>
      <c r="P36"/>
    </row>
    <row r="37" spans="2:16" ht="15">
      <c r="B37" s="63"/>
      <c r="C37" s="55" t="s">
        <v>48</v>
      </c>
      <c r="D37" s="56">
        <v>2</v>
      </c>
      <c r="E37" s="57">
        <v>3.0000000000000001E-3</v>
      </c>
      <c r="F37"/>
      <c r="G37"/>
      <c r="H37"/>
      <c r="I37"/>
      <c r="J37"/>
      <c r="K37"/>
      <c r="L37"/>
      <c r="M37"/>
      <c r="N37"/>
      <c r="O37"/>
      <c r="P37"/>
    </row>
    <row r="38" spans="2:16" ht="15">
      <c r="B38" s="63"/>
      <c r="C38" s="86" t="s">
        <v>47</v>
      </c>
      <c r="D38" s="87">
        <v>8</v>
      </c>
      <c r="E38" s="88">
        <v>1.0999999999999999E-2</v>
      </c>
      <c r="F38"/>
      <c r="G38"/>
      <c r="H38"/>
      <c r="I38"/>
      <c r="J38"/>
      <c r="K38"/>
      <c r="L38"/>
      <c r="M38"/>
      <c r="N38"/>
      <c r="O38"/>
      <c r="P38"/>
    </row>
    <row r="39" spans="2:16" ht="15">
      <c r="B39" s="63" t="s">
        <v>24</v>
      </c>
      <c r="C39" s="55" t="s">
        <v>49</v>
      </c>
      <c r="D39" s="56">
        <v>2</v>
      </c>
      <c r="E39" s="57">
        <v>3.0000000000000001E-3</v>
      </c>
      <c r="F39"/>
      <c r="G39"/>
      <c r="H39"/>
      <c r="I39"/>
      <c r="J39"/>
      <c r="K39"/>
      <c r="L39"/>
      <c r="M39"/>
      <c r="N39"/>
      <c r="O39"/>
      <c r="P39"/>
    </row>
    <row r="40" spans="2:16" ht="15">
      <c r="B40" s="63"/>
      <c r="C40" s="86" t="s">
        <v>47</v>
      </c>
      <c r="D40" s="87">
        <v>2</v>
      </c>
      <c r="E40" s="88">
        <v>3.0000000000000001E-3</v>
      </c>
      <c r="F40"/>
      <c r="G40"/>
      <c r="H40"/>
      <c r="I40"/>
      <c r="J40"/>
      <c r="K40"/>
      <c r="L40"/>
      <c r="M40"/>
      <c r="N40"/>
      <c r="O40"/>
      <c r="P40"/>
    </row>
    <row r="41" spans="2:16" ht="15">
      <c r="B41" s="63" t="s">
        <v>16</v>
      </c>
      <c r="C41" s="55" t="s">
        <v>49</v>
      </c>
      <c r="D41" s="56">
        <v>9</v>
      </c>
      <c r="E41" s="57">
        <v>1.2E-2</v>
      </c>
      <c r="F41"/>
      <c r="G41"/>
      <c r="H41"/>
      <c r="I41"/>
      <c r="J41"/>
      <c r="K41"/>
      <c r="L41"/>
      <c r="M41"/>
      <c r="N41"/>
      <c r="O41"/>
      <c r="P41"/>
    </row>
    <row r="42" spans="2:16" ht="15">
      <c r="B42" s="63"/>
      <c r="C42" s="55" t="s">
        <v>48</v>
      </c>
      <c r="D42" s="56">
        <v>3</v>
      </c>
      <c r="E42" s="57">
        <v>4.0000000000000001E-3</v>
      </c>
      <c r="F42"/>
      <c r="G42"/>
      <c r="H42"/>
      <c r="I42"/>
      <c r="J42"/>
      <c r="K42"/>
      <c r="L42"/>
      <c r="M42"/>
      <c r="N42"/>
      <c r="O42"/>
      <c r="P42"/>
    </row>
    <row r="43" spans="2:16" ht="15">
      <c r="B43" s="63"/>
      <c r="C43" s="86" t="s">
        <v>47</v>
      </c>
      <c r="D43" s="87">
        <v>12</v>
      </c>
      <c r="E43" s="88">
        <v>1.6E-2</v>
      </c>
      <c r="F43"/>
      <c r="G43"/>
      <c r="H43"/>
      <c r="I43"/>
      <c r="J43"/>
      <c r="K43"/>
      <c r="L43"/>
      <c r="M43"/>
      <c r="N43"/>
      <c r="O43"/>
      <c r="P43"/>
    </row>
    <row r="44" spans="2:16" ht="15">
      <c r="B44" s="63" t="s">
        <v>19</v>
      </c>
      <c r="C44" s="55" t="s">
        <v>49</v>
      </c>
      <c r="D44" s="56">
        <v>1</v>
      </c>
      <c r="E44" s="57">
        <v>1E-3</v>
      </c>
      <c r="F44"/>
      <c r="G44"/>
      <c r="H44"/>
      <c r="I44"/>
      <c r="J44"/>
      <c r="K44"/>
      <c r="L44"/>
      <c r="M44"/>
      <c r="N44"/>
      <c r="O44"/>
      <c r="P44"/>
    </row>
    <row r="45" spans="2:16" ht="15">
      <c r="B45" s="63"/>
      <c r="C45" s="55" t="s">
        <v>48</v>
      </c>
      <c r="D45" s="56">
        <v>2</v>
      </c>
      <c r="E45" s="57">
        <v>3.0000000000000001E-3</v>
      </c>
      <c r="F45"/>
      <c r="G45"/>
      <c r="H45"/>
      <c r="I45"/>
      <c r="J45"/>
      <c r="K45"/>
      <c r="L45"/>
      <c r="M45"/>
      <c r="N45"/>
      <c r="O45"/>
      <c r="P45"/>
    </row>
    <row r="46" spans="2:16" ht="15">
      <c r="B46" s="63"/>
      <c r="C46" s="86" t="s">
        <v>47</v>
      </c>
      <c r="D46" s="87">
        <v>3</v>
      </c>
      <c r="E46" s="88">
        <v>4.0000000000000001E-3</v>
      </c>
      <c r="F46"/>
      <c r="G46"/>
      <c r="H46"/>
      <c r="I46"/>
      <c r="J46"/>
      <c r="K46"/>
      <c r="L46"/>
      <c r="M46"/>
      <c r="N46"/>
      <c r="O46"/>
      <c r="P46"/>
    </row>
    <row r="47" spans="2:16" ht="15">
      <c r="B47" s="63" t="s">
        <v>28</v>
      </c>
      <c r="C47" s="55" t="s">
        <v>49</v>
      </c>
      <c r="D47" s="56">
        <v>1</v>
      </c>
      <c r="E47" s="57">
        <v>1E-3</v>
      </c>
      <c r="F47"/>
      <c r="G47"/>
      <c r="H47"/>
      <c r="I47"/>
      <c r="J47"/>
      <c r="K47"/>
      <c r="L47"/>
      <c r="M47"/>
      <c r="N47"/>
      <c r="O47"/>
      <c r="P47"/>
    </row>
    <row r="48" spans="2:16" ht="15">
      <c r="B48" s="63"/>
      <c r="C48" s="86" t="s">
        <v>47</v>
      </c>
      <c r="D48" s="87">
        <v>1</v>
      </c>
      <c r="E48" s="88">
        <v>1E-3</v>
      </c>
      <c r="F48"/>
      <c r="G48"/>
      <c r="H48"/>
      <c r="I48"/>
      <c r="J48"/>
      <c r="K48"/>
      <c r="L48"/>
      <c r="M48"/>
      <c r="N48"/>
      <c r="O48"/>
      <c r="P48"/>
    </row>
    <row r="49" spans="2:16" ht="15">
      <c r="B49" s="63" t="s">
        <v>37</v>
      </c>
      <c r="C49" s="55" t="s">
        <v>49</v>
      </c>
      <c r="D49" s="56">
        <v>2</v>
      </c>
      <c r="E49" s="57">
        <v>3.0000000000000001E-3</v>
      </c>
      <c r="F49"/>
      <c r="G49"/>
      <c r="H49"/>
      <c r="I49"/>
      <c r="J49"/>
      <c r="K49"/>
      <c r="L49"/>
      <c r="M49"/>
      <c r="N49"/>
      <c r="O49"/>
      <c r="P49"/>
    </row>
    <row r="50" spans="2:16" ht="15">
      <c r="B50" s="63"/>
      <c r="C50" s="86" t="s">
        <v>47</v>
      </c>
      <c r="D50" s="87">
        <v>2</v>
      </c>
      <c r="E50" s="88">
        <v>3.0000000000000001E-3</v>
      </c>
      <c r="F50"/>
      <c r="G50"/>
      <c r="H50"/>
      <c r="I50"/>
      <c r="J50"/>
      <c r="K50"/>
      <c r="L50"/>
      <c r="M50"/>
      <c r="N50"/>
      <c r="O50"/>
      <c r="P50"/>
    </row>
    <row r="51" spans="2:16" ht="15">
      <c r="B51" s="63" t="s">
        <v>161</v>
      </c>
      <c r="C51" s="55" t="s">
        <v>49</v>
      </c>
      <c r="D51" s="56">
        <v>1</v>
      </c>
      <c r="E51" s="57">
        <v>1E-3</v>
      </c>
      <c r="F51"/>
      <c r="G51"/>
      <c r="H51"/>
      <c r="I51"/>
      <c r="J51"/>
      <c r="K51"/>
      <c r="L51"/>
      <c r="M51"/>
      <c r="N51"/>
      <c r="O51"/>
      <c r="P51"/>
    </row>
    <row r="52" spans="2:16" ht="15">
      <c r="B52" s="63"/>
      <c r="C52" s="86" t="s">
        <v>47</v>
      </c>
      <c r="D52" s="87">
        <v>1</v>
      </c>
      <c r="E52" s="88">
        <v>1E-3</v>
      </c>
      <c r="F52"/>
      <c r="G52"/>
      <c r="H52"/>
      <c r="I52"/>
      <c r="J52"/>
      <c r="K52"/>
      <c r="L52"/>
      <c r="M52"/>
      <c r="N52"/>
      <c r="O52"/>
      <c r="P52"/>
    </row>
    <row r="53" spans="2:16" ht="15">
      <c r="B53" s="63" t="s">
        <v>27</v>
      </c>
      <c r="C53" s="55" t="s">
        <v>49</v>
      </c>
      <c r="D53" s="56">
        <v>5</v>
      </c>
      <c r="E53" s="57">
        <v>7.0000000000000001E-3</v>
      </c>
      <c r="F53"/>
      <c r="G53"/>
      <c r="H53"/>
      <c r="I53"/>
      <c r="J53"/>
      <c r="K53"/>
      <c r="L53"/>
      <c r="M53"/>
      <c r="N53"/>
      <c r="O53"/>
      <c r="P53"/>
    </row>
    <row r="54" spans="2:16" ht="15">
      <c r="B54" s="63"/>
      <c r="C54" s="55" t="s">
        <v>48</v>
      </c>
      <c r="D54" s="56">
        <v>3</v>
      </c>
      <c r="E54" s="57">
        <v>4.0000000000000001E-3</v>
      </c>
      <c r="F54"/>
      <c r="G54"/>
      <c r="H54"/>
      <c r="I54"/>
      <c r="J54"/>
      <c r="K54"/>
      <c r="L54"/>
      <c r="M54"/>
      <c r="N54"/>
      <c r="O54"/>
      <c r="P54"/>
    </row>
    <row r="55" spans="2:16" ht="15">
      <c r="B55" s="63"/>
      <c r="C55" s="86" t="s">
        <v>47</v>
      </c>
      <c r="D55" s="87">
        <v>8</v>
      </c>
      <c r="E55" s="88">
        <v>1.0999999999999999E-2</v>
      </c>
      <c r="F55"/>
      <c r="G55"/>
      <c r="H55"/>
      <c r="I55"/>
      <c r="J55"/>
      <c r="K55"/>
      <c r="L55"/>
      <c r="M55"/>
      <c r="N55"/>
      <c r="O55"/>
      <c r="P55"/>
    </row>
    <row r="56" spans="2:16" ht="15">
      <c r="B56" s="63" t="s">
        <v>29</v>
      </c>
      <c r="C56" s="55" t="s">
        <v>49</v>
      </c>
      <c r="D56" s="56">
        <v>4</v>
      </c>
      <c r="E56" s="57">
        <v>5.0000000000000001E-3</v>
      </c>
      <c r="F56"/>
      <c r="G56"/>
      <c r="H56"/>
      <c r="I56"/>
      <c r="J56"/>
      <c r="K56"/>
      <c r="L56"/>
      <c r="M56"/>
      <c r="N56"/>
      <c r="O56"/>
      <c r="P56"/>
    </row>
    <row r="57" spans="2:16" ht="15">
      <c r="B57" s="63"/>
      <c r="C57" s="55" t="s">
        <v>48</v>
      </c>
      <c r="D57" s="56">
        <v>6</v>
      </c>
      <c r="E57" s="57">
        <v>8.0000000000000002E-3</v>
      </c>
      <c r="F57"/>
      <c r="G57"/>
      <c r="H57"/>
      <c r="I57"/>
      <c r="J57"/>
      <c r="K57"/>
      <c r="L57"/>
      <c r="M57"/>
      <c r="N57"/>
      <c r="O57"/>
      <c r="P57"/>
    </row>
    <row r="58" spans="2:16" ht="15">
      <c r="B58" s="63"/>
      <c r="C58" s="86" t="s">
        <v>47</v>
      </c>
      <c r="D58" s="87">
        <v>10</v>
      </c>
      <c r="E58" s="88">
        <v>1.2999999999999999E-2</v>
      </c>
      <c r="F58"/>
      <c r="G58"/>
      <c r="H58"/>
      <c r="I58"/>
      <c r="J58"/>
      <c r="K58"/>
      <c r="L58"/>
      <c r="M58"/>
      <c r="N58"/>
      <c r="O58"/>
      <c r="P58"/>
    </row>
    <row r="59" spans="2:16" ht="15">
      <c r="B59" s="63" t="s">
        <v>35</v>
      </c>
      <c r="C59" s="55" t="s">
        <v>49</v>
      </c>
      <c r="D59" s="56">
        <v>3</v>
      </c>
      <c r="E59" s="57">
        <v>4.0000000000000001E-3</v>
      </c>
      <c r="F59"/>
      <c r="G59"/>
      <c r="H59"/>
      <c r="I59"/>
      <c r="J59"/>
      <c r="K59"/>
      <c r="L59"/>
      <c r="M59"/>
      <c r="N59"/>
      <c r="O59"/>
      <c r="P59"/>
    </row>
    <row r="60" spans="2:16" ht="15">
      <c r="B60" s="63"/>
      <c r="C60" s="55" t="s">
        <v>48</v>
      </c>
      <c r="D60" s="56">
        <v>2</v>
      </c>
      <c r="E60" s="57">
        <v>3.0000000000000001E-3</v>
      </c>
      <c r="F60"/>
      <c r="G60"/>
      <c r="H60"/>
      <c r="I60"/>
      <c r="J60"/>
      <c r="K60"/>
      <c r="L60"/>
      <c r="M60"/>
      <c r="N60"/>
      <c r="O60"/>
      <c r="P60"/>
    </row>
    <row r="61" spans="2:16" ht="15">
      <c r="B61" s="63"/>
      <c r="C61" s="86" t="s">
        <v>47</v>
      </c>
      <c r="D61" s="87">
        <v>5</v>
      </c>
      <c r="E61" s="88">
        <v>7.0000000000000001E-3</v>
      </c>
      <c r="F61"/>
      <c r="G61"/>
      <c r="H61"/>
      <c r="I61"/>
      <c r="J61"/>
      <c r="K61"/>
      <c r="L61"/>
      <c r="M61"/>
      <c r="N61"/>
      <c r="O61"/>
      <c r="P61"/>
    </row>
    <row r="62" spans="2:16" ht="15">
      <c r="B62" s="63" t="s">
        <v>25</v>
      </c>
      <c r="C62" s="55" t="s">
        <v>49</v>
      </c>
      <c r="D62" s="56">
        <v>7</v>
      </c>
      <c r="E62" s="57">
        <v>8.9999999999999993E-3</v>
      </c>
      <c r="F62"/>
      <c r="G62"/>
      <c r="H62"/>
      <c r="I62"/>
      <c r="J62"/>
      <c r="K62"/>
      <c r="L62"/>
      <c r="M62"/>
      <c r="N62"/>
      <c r="O62"/>
      <c r="P62"/>
    </row>
    <row r="63" spans="2:16" ht="15">
      <c r="B63" s="63"/>
      <c r="C63" s="55" t="s">
        <v>48</v>
      </c>
      <c r="D63" s="56">
        <v>4</v>
      </c>
      <c r="E63" s="57">
        <v>5.0000000000000001E-3</v>
      </c>
      <c r="F63"/>
      <c r="G63"/>
      <c r="H63"/>
      <c r="I63"/>
      <c r="J63"/>
      <c r="K63"/>
      <c r="L63"/>
      <c r="M63"/>
      <c r="N63"/>
      <c r="O63"/>
      <c r="P63"/>
    </row>
    <row r="64" spans="2:16" ht="15">
      <c r="B64" s="63"/>
      <c r="C64" s="86" t="s">
        <v>47</v>
      </c>
      <c r="D64" s="87">
        <v>11</v>
      </c>
      <c r="E64" s="88">
        <v>1.4999999999999999E-2</v>
      </c>
      <c r="F64"/>
      <c r="G64"/>
      <c r="H64"/>
      <c r="I64"/>
      <c r="J64"/>
      <c r="K64"/>
      <c r="L64"/>
      <c r="M64"/>
      <c r="N64"/>
      <c r="O64"/>
      <c r="P64"/>
    </row>
    <row r="65" spans="2:16" ht="15">
      <c r="B65" s="63" t="s">
        <v>23</v>
      </c>
      <c r="C65" s="55" t="s">
        <v>49</v>
      </c>
      <c r="D65" s="56">
        <v>1</v>
      </c>
      <c r="E65" s="57">
        <v>1E-3</v>
      </c>
      <c r="F65"/>
      <c r="G65"/>
      <c r="H65"/>
      <c r="I65"/>
      <c r="J65"/>
      <c r="K65"/>
      <c r="L65"/>
      <c r="M65"/>
      <c r="N65"/>
      <c r="O65"/>
      <c r="P65"/>
    </row>
    <row r="66" spans="2:16" ht="15">
      <c r="B66" s="63"/>
      <c r="C66" s="55" t="s">
        <v>48</v>
      </c>
      <c r="D66" s="56">
        <v>1</v>
      </c>
      <c r="E66" s="57">
        <v>1E-3</v>
      </c>
      <c r="F66"/>
      <c r="G66"/>
      <c r="H66"/>
      <c r="I66"/>
      <c r="J66"/>
      <c r="K66"/>
      <c r="L66"/>
      <c r="M66"/>
      <c r="N66"/>
      <c r="O66"/>
      <c r="P66"/>
    </row>
    <row r="67" spans="2:16" ht="15">
      <c r="B67" s="63"/>
      <c r="C67" s="86" t="s">
        <v>47</v>
      </c>
      <c r="D67" s="87">
        <v>2</v>
      </c>
      <c r="E67" s="88">
        <v>3.0000000000000001E-3</v>
      </c>
      <c r="F67"/>
      <c r="G67"/>
      <c r="H67"/>
      <c r="I67"/>
      <c r="J67"/>
      <c r="K67"/>
      <c r="L67"/>
      <c r="M67"/>
      <c r="N67"/>
      <c r="O67"/>
      <c r="P67"/>
    </row>
    <row r="68" spans="2:16" ht="15">
      <c r="B68" s="63" t="s">
        <v>11</v>
      </c>
      <c r="C68" s="55" t="s">
        <v>49</v>
      </c>
      <c r="D68" s="56">
        <v>5</v>
      </c>
      <c r="E68" s="57">
        <v>7.0000000000000001E-3</v>
      </c>
      <c r="F68"/>
      <c r="G68"/>
      <c r="H68"/>
      <c r="I68"/>
      <c r="J68"/>
      <c r="K68"/>
      <c r="L68"/>
      <c r="M68"/>
      <c r="N68"/>
      <c r="O68"/>
      <c r="P68"/>
    </row>
    <row r="69" spans="2:16" ht="15">
      <c r="B69" s="63"/>
      <c r="C69" s="55" t="s">
        <v>48</v>
      </c>
      <c r="D69" s="56">
        <v>3</v>
      </c>
      <c r="E69" s="57">
        <v>4.0000000000000001E-3</v>
      </c>
      <c r="F69"/>
      <c r="G69"/>
      <c r="H69"/>
      <c r="I69"/>
      <c r="J69"/>
      <c r="K69"/>
      <c r="L69"/>
      <c r="M69"/>
      <c r="N69"/>
      <c r="O69"/>
      <c r="P69"/>
    </row>
    <row r="70" spans="2:16" ht="15">
      <c r="B70" s="63"/>
      <c r="C70" s="86" t="s">
        <v>47</v>
      </c>
      <c r="D70" s="87">
        <v>8</v>
      </c>
      <c r="E70" s="88">
        <v>1.0999999999999999E-2</v>
      </c>
      <c r="F70"/>
      <c r="G70"/>
      <c r="H70"/>
      <c r="I70"/>
      <c r="J70"/>
      <c r="K70"/>
      <c r="L70"/>
      <c r="M70"/>
      <c r="N70"/>
      <c r="O70"/>
      <c r="P70"/>
    </row>
    <row r="71" spans="2:16" ht="15">
      <c r="B71" s="63" t="s">
        <v>38</v>
      </c>
      <c r="C71" s="55" t="s">
        <v>48</v>
      </c>
      <c r="D71" s="56">
        <v>2</v>
      </c>
      <c r="E71" s="57">
        <v>3.0000000000000001E-3</v>
      </c>
      <c r="F71"/>
      <c r="G71"/>
      <c r="H71"/>
      <c r="I71"/>
      <c r="J71"/>
      <c r="K71"/>
      <c r="L71"/>
      <c r="M71"/>
      <c r="N71"/>
      <c r="O71"/>
      <c r="P71"/>
    </row>
    <row r="72" spans="2:16" ht="15">
      <c r="B72" s="63"/>
      <c r="C72" s="86" t="s">
        <v>47</v>
      </c>
      <c r="D72" s="87">
        <v>2</v>
      </c>
      <c r="E72" s="88">
        <v>3.0000000000000001E-3</v>
      </c>
      <c r="F72"/>
      <c r="G72"/>
      <c r="H72"/>
      <c r="I72"/>
      <c r="J72"/>
      <c r="K72"/>
      <c r="L72"/>
      <c r="M72"/>
      <c r="N72"/>
      <c r="O72"/>
      <c r="P72"/>
    </row>
    <row r="73" spans="2:16" ht="15">
      <c r="B73" s="63" t="s">
        <v>18</v>
      </c>
      <c r="C73" s="55" t="s">
        <v>49</v>
      </c>
      <c r="D73" s="56">
        <v>3</v>
      </c>
      <c r="E73" s="57">
        <v>4.0000000000000001E-3</v>
      </c>
      <c r="F73"/>
      <c r="G73"/>
      <c r="H73"/>
      <c r="I73"/>
      <c r="J73"/>
      <c r="K73"/>
      <c r="L73"/>
      <c r="M73"/>
      <c r="N73"/>
      <c r="O73"/>
      <c r="P73"/>
    </row>
    <row r="74" spans="2:16" ht="15">
      <c r="B74" s="63"/>
      <c r="C74" s="55" t="s">
        <v>48</v>
      </c>
      <c r="D74" s="56">
        <v>2</v>
      </c>
      <c r="E74" s="57">
        <v>3.0000000000000001E-3</v>
      </c>
      <c r="F74"/>
      <c r="G74"/>
      <c r="H74"/>
      <c r="I74"/>
      <c r="J74"/>
      <c r="K74"/>
      <c r="L74"/>
      <c r="M74"/>
      <c r="N74"/>
      <c r="O74"/>
      <c r="P74"/>
    </row>
    <row r="75" spans="2:16" ht="15">
      <c r="B75" s="63"/>
      <c r="C75" s="86" t="s">
        <v>47</v>
      </c>
      <c r="D75" s="87">
        <v>5</v>
      </c>
      <c r="E75" s="88">
        <v>7.0000000000000001E-3</v>
      </c>
      <c r="F75"/>
      <c r="G75"/>
      <c r="H75"/>
      <c r="I75"/>
      <c r="J75"/>
      <c r="K75"/>
      <c r="L75"/>
      <c r="M75"/>
      <c r="N75"/>
      <c r="O75"/>
      <c r="P75"/>
    </row>
    <row r="76" spans="2:16" ht="15">
      <c r="B76" s="63" t="s">
        <v>32</v>
      </c>
      <c r="C76" s="55" t="s">
        <v>49</v>
      </c>
      <c r="D76" s="56">
        <v>2</v>
      </c>
      <c r="E76" s="57">
        <v>3.0000000000000001E-3</v>
      </c>
      <c r="F76"/>
      <c r="G76"/>
      <c r="H76"/>
      <c r="I76"/>
      <c r="J76"/>
      <c r="K76"/>
      <c r="L76"/>
      <c r="M76"/>
      <c r="N76"/>
      <c r="O76"/>
      <c r="P76"/>
    </row>
    <row r="77" spans="2:16" ht="15">
      <c r="B77" s="63"/>
      <c r="C77" s="55" t="s">
        <v>48</v>
      </c>
      <c r="D77" s="56">
        <v>5</v>
      </c>
      <c r="E77" s="57">
        <v>7.0000000000000001E-3</v>
      </c>
      <c r="F77"/>
      <c r="G77"/>
      <c r="H77"/>
      <c r="I77"/>
      <c r="J77"/>
      <c r="K77"/>
      <c r="L77"/>
      <c r="M77"/>
      <c r="N77"/>
      <c r="O77"/>
      <c r="P77"/>
    </row>
    <row r="78" spans="2:16" ht="15">
      <c r="B78" s="63"/>
      <c r="C78" s="86" t="s">
        <v>47</v>
      </c>
      <c r="D78" s="87">
        <v>7</v>
      </c>
      <c r="E78" s="88">
        <v>8.9999999999999993E-3</v>
      </c>
      <c r="F78"/>
      <c r="G78"/>
      <c r="H78"/>
      <c r="I78"/>
      <c r="J78"/>
      <c r="K78"/>
      <c r="L78"/>
      <c r="M78"/>
      <c r="N78"/>
      <c r="O78"/>
      <c r="P78"/>
    </row>
    <row r="79" spans="2:16" ht="15">
      <c r="B79" s="63" t="s">
        <v>15</v>
      </c>
      <c r="C79" s="55" t="s">
        <v>49</v>
      </c>
      <c r="D79" s="56">
        <v>12</v>
      </c>
      <c r="E79" s="57">
        <v>1.6E-2</v>
      </c>
      <c r="F79"/>
      <c r="G79"/>
      <c r="H79"/>
      <c r="I79"/>
      <c r="J79"/>
      <c r="K79"/>
      <c r="L79"/>
      <c r="M79"/>
      <c r="N79"/>
      <c r="O79"/>
      <c r="P79"/>
    </row>
    <row r="80" spans="2:16" ht="15">
      <c r="B80" s="63"/>
      <c r="C80" s="55" t="s">
        <v>48</v>
      </c>
      <c r="D80" s="56">
        <v>16</v>
      </c>
      <c r="E80" s="57">
        <v>2.1999999999999999E-2</v>
      </c>
      <c r="F80"/>
      <c r="G80"/>
      <c r="H80"/>
      <c r="I80"/>
      <c r="J80"/>
      <c r="K80"/>
      <c r="L80"/>
      <c r="M80"/>
      <c r="N80"/>
      <c r="O80"/>
      <c r="P80"/>
    </row>
    <row r="81" spans="2:16" ht="15">
      <c r="B81" s="63"/>
      <c r="C81" s="86" t="s">
        <v>47</v>
      </c>
      <c r="D81" s="87">
        <v>28</v>
      </c>
      <c r="E81" s="88">
        <v>3.7999999999999999E-2</v>
      </c>
      <c r="F81"/>
      <c r="G81"/>
      <c r="H81"/>
      <c r="I81"/>
      <c r="J81"/>
      <c r="K81"/>
      <c r="L81"/>
      <c r="M81"/>
      <c r="N81"/>
      <c r="O81"/>
      <c r="P81"/>
    </row>
    <row r="82" spans="2:16" ht="15">
      <c r="B82" s="63" t="s">
        <v>33</v>
      </c>
      <c r="C82" s="55" t="s">
        <v>49</v>
      </c>
      <c r="D82" s="56">
        <v>4</v>
      </c>
      <c r="E82" s="57">
        <v>5.0000000000000001E-3</v>
      </c>
      <c r="F82"/>
      <c r="G82"/>
      <c r="H82"/>
      <c r="I82"/>
      <c r="J82"/>
      <c r="K82"/>
      <c r="L82"/>
      <c r="M82"/>
      <c r="N82"/>
      <c r="O82"/>
      <c r="P82"/>
    </row>
    <row r="83" spans="2:16" ht="15">
      <c r="B83" s="63"/>
      <c r="C83" s="86" t="s">
        <v>47</v>
      </c>
      <c r="D83" s="87">
        <v>4</v>
      </c>
      <c r="E83" s="88">
        <v>5.0000000000000001E-3</v>
      </c>
      <c r="F83"/>
      <c r="G83"/>
      <c r="H83"/>
      <c r="I83"/>
      <c r="J83"/>
      <c r="K83"/>
      <c r="L83"/>
      <c r="M83"/>
      <c r="N83"/>
      <c r="O83"/>
      <c r="P83"/>
    </row>
    <row r="84" spans="2:16" ht="15">
      <c r="B84" s="63" t="s">
        <v>7</v>
      </c>
      <c r="C84" s="55" t="s">
        <v>49</v>
      </c>
      <c r="D84" s="56">
        <v>6</v>
      </c>
      <c r="E84" s="57">
        <v>8.0000000000000002E-3</v>
      </c>
      <c r="F84"/>
      <c r="G84"/>
      <c r="H84"/>
      <c r="I84"/>
      <c r="J84"/>
      <c r="K84"/>
      <c r="L84"/>
      <c r="M84"/>
      <c r="N84"/>
      <c r="O84"/>
      <c r="P84"/>
    </row>
    <row r="85" spans="2:16" ht="15">
      <c r="B85" s="63"/>
      <c r="C85" s="55" t="s">
        <v>48</v>
      </c>
      <c r="D85" s="56">
        <v>2</v>
      </c>
      <c r="E85" s="57">
        <v>3.0000000000000001E-3</v>
      </c>
      <c r="F85"/>
      <c r="G85"/>
      <c r="H85"/>
      <c r="I85"/>
      <c r="J85"/>
      <c r="K85"/>
      <c r="L85"/>
      <c r="M85"/>
      <c r="N85"/>
      <c r="O85"/>
      <c r="P85"/>
    </row>
    <row r="86" spans="2:16" ht="15">
      <c r="B86" s="63"/>
      <c r="C86" s="86" t="s">
        <v>47</v>
      </c>
      <c r="D86" s="87">
        <v>8</v>
      </c>
      <c r="E86" s="88">
        <v>1.0999999999999999E-2</v>
      </c>
      <c r="F86"/>
      <c r="G86"/>
      <c r="H86"/>
      <c r="I86"/>
      <c r="J86"/>
      <c r="K86"/>
      <c r="L86"/>
      <c r="M86"/>
      <c r="N86"/>
      <c r="O86"/>
      <c r="P86"/>
    </row>
    <row r="87" spans="2:16" ht="15">
      <c r="B87" s="63" t="s">
        <v>30</v>
      </c>
      <c r="C87" s="55" t="s">
        <v>49</v>
      </c>
      <c r="D87" s="56">
        <v>11</v>
      </c>
      <c r="E87" s="57">
        <v>1.4999999999999999E-2</v>
      </c>
      <c r="F87"/>
      <c r="G87"/>
      <c r="H87"/>
      <c r="I87"/>
      <c r="J87"/>
      <c r="K87"/>
      <c r="L87"/>
      <c r="M87"/>
      <c r="N87"/>
      <c r="O87"/>
      <c r="P87"/>
    </row>
    <row r="88" spans="2:16" ht="15">
      <c r="B88" s="63"/>
      <c r="C88" s="55" t="s">
        <v>48</v>
      </c>
      <c r="D88" s="56">
        <v>8</v>
      </c>
      <c r="E88" s="57">
        <v>1.0999999999999999E-2</v>
      </c>
      <c r="F88"/>
      <c r="G88"/>
      <c r="H88"/>
      <c r="I88"/>
      <c r="J88"/>
      <c r="K88"/>
      <c r="L88"/>
      <c r="M88"/>
      <c r="N88"/>
      <c r="O88"/>
      <c r="P88"/>
    </row>
    <row r="89" spans="2:16" ht="15">
      <c r="B89" s="63"/>
      <c r="C89" s="86" t="s">
        <v>47</v>
      </c>
      <c r="D89" s="87">
        <v>19</v>
      </c>
      <c r="E89" s="88">
        <v>2.5999999999999999E-2</v>
      </c>
      <c r="F89"/>
      <c r="G89"/>
      <c r="H89"/>
      <c r="I89"/>
      <c r="J89"/>
      <c r="K89"/>
      <c r="L89"/>
      <c r="M89"/>
      <c r="N89"/>
      <c r="O89"/>
      <c r="P89"/>
    </row>
    <row r="90" spans="2:16" ht="15">
      <c r="B90" s="63" t="s">
        <v>36</v>
      </c>
      <c r="C90" s="55" t="s">
        <v>49</v>
      </c>
      <c r="D90" s="56">
        <v>3</v>
      </c>
      <c r="E90" s="57">
        <v>4.0000000000000001E-3</v>
      </c>
      <c r="F90"/>
      <c r="G90"/>
      <c r="H90"/>
      <c r="I90"/>
      <c r="J90"/>
      <c r="K90"/>
      <c r="L90"/>
      <c r="M90"/>
      <c r="N90"/>
      <c r="O90"/>
      <c r="P90"/>
    </row>
    <row r="91" spans="2:16" ht="15">
      <c r="B91" s="63"/>
      <c r="C91" s="55" t="s">
        <v>48</v>
      </c>
      <c r="D91" s="56">
        <v>2</v>
      </c>
      <c r="E91" s="57">
        <v>3.0000000000000001E-3</v>
      </c>
      <c r="F91"/>
      <c r="G91"/>
      <c r="H91"/>
      <c r="I91"/>
      <c r="J91"/>
      <c r="K91"/>
      <c r="L91"/>
      <c r="M91"/>
      <c r="N91"/>
      <c r="O91"/>
      <c r="P91"/>
    </row>
    <row r="92" spans="2:16" ht="15">
      <c r="B92" s="63"/>
      <c r="C92" s="86" t="s">
        <v>47</v>
      </c>
      <c r="D92" s="87">
        <v>5</v>
      </c>
      <c r="E92" s="88">
        <v>7.0000000000000001E-3</v>
      </c>
      <c r="F92"/>
      <c r="G92"/>
      <c r="H92"/>
      <c r="I92"/>
      <c r="J92"/>
      <c r="K92"/>
      <c r="L92"/>
      <c r="M92"/>
      <c r="N92"/>
      <c r="O92"/>
      <c r="P92"/>
    </row>
    <row r="93" spans="2:16" ht="15">
      <c r="B93" s="63" t="s">
        <v>31</v>
      </c>
      <c r="C93" s="55" t="s">
        <v>49</v>
      </c>
      <c r="D93" s="56">
        <v>1</v>
      </c>
      <c r="E93" s="57">
        <v>1E-3</v>
      </c>
      <c r="F93"/>
      <c r="G93"/>
      <c r="H93"/>
      <c r="I93"/>
      <c r="J93"/>
      <c r="K93"/>
      <c r="L93"/>
      <c r="M93"/>
      <c r="N93"/>
      <c r="O93"/>
      <c r="P93"/>
    </row>
    <row r="94" spans="2:16" ht="15">
      <c r="B94" s="63"/>
      <c r="C94" s="55" t="s">
        <v>48</v>
      </c>
      <c r="D94" s="56">
        <v>4</v>
      </c>
      <c r="E94" s="57">
        <v>5.0000000000000001E-3</v>
      </c>
      <c r="F94"/>
      <c r="G94"/>
      <c r="H94"/>
      <c r="I94"/>
      <c r="J94"/>
      <c r="K94"/>
      <c r="L94"/>
      <c r="M94"/>
      <c r="N94"/>
      <c r="O94"/>
      <c r="P94"/>
    </row>
    <row r="95" spans="2:16" ht="15">
      <c r="B95" s="63"/>
      <c r="C95" s="86" t="s">
        <v>47</v>
      </c>
      <c r="D95" s="87">
        <v>5</v>
      </c>
      <c r="E95" s="88">
        <v>7.0000000000000001E-3</v>
      </c>
      <c r="F95"/>
      <c r="G95"/>
      <c r="H95"/>
      <c r="I95"/>
      <c r="J95"/>
      <c r="K95"/>
      <c r="L95"/>
      <c r="M95"/>
      <c r="N95"/>
      <c r="O95"/>
      <c r="P95"/>
    </row>
    <row r="96" spans="2:16" ht="15">
      <c r="B96" s="63" t="s">
        <v>14</v>
      </c>
      <c r="C96" s="55" t="s">
        <v>49</v>
      </c>
      <c r="D96" s="56">
        <v>7</v>
      </c>
      <c r="E96" s="57">
        <v>8.9999999999999993E-3</v>
      </c>
      <c r="F96"/>
      <c r="G96"/>
      <c r="H96"/>
      <c r="I96"/>
      <c r="J96"/>
      <c r="K96"/>
      <c r="L96"/>
      <c r="M96"/>
      <c r="N96"/>
      <c r="O96"/>
      <c r="P96"/>
    </row>
    <row r="97" spans="2:16" ht="15">
      <c r="B97" s="63"/>
      <c r="C97" s="55" t="s">
        <v>48</v>
      </c>
      <c r="D97" s="56">
        <v>5</v>
      </c>
      <c r="E97" s="57">
        <v>7.0000000000000001E-3</v>
      </c>
      <c r="F97"/>
      <c r="G97"/>
      <c r="H97"/>
      <c r="I97"/>
      <c r="J97"/>
      <c r="K97"/>
      <c r="L97"/>
      <c r="M97"/>
      <c r="N97"/>
      <c r="O97"/>
      <c r="P97"/>
    </row>
    <row r="98" spans="2:16" ht="15">
      <c r="B98" s="63"/>
      <c r="C98" s="86" t="s">
        <v>47</v>
      </c>
      <c r="D98" s="87">
        <v>12</v>
      </c>
      <c r="E98" s="88">
        <v>1.6E-2</v>
      </c>
      <c r="F98"/>
      <c r="G98"/>
      <c r="H98"/>
      <c r="I98"/>
      <c r="J98"/>
      <c r="K98"/>
      <c r="L98"/>
      <c r="M98"/>
      <c r="N98"/>
      <c r="O98"/>
      <c r="P98"/>
    </row>
    <row r="99" spans="2:16" ht="15">
      <c r="B99" s="63" t="s">
        <v>5</v>
      </c>
      <c r="C99" s="55" t="s">
        <v>49</v>
      </c>
      <c r="D99" s="56">
        <v>58</v>
      </c>
      <c r="E99" s="57">
        <v>7.8E-2</v>
      </c>
      <c r="F99"/>
      <c r="G99"/>
      <c r="H99"/>
      <c r="I99"/>
      <c r="J99"/>
      <c r="K99"/>
      <c r="L99"/>
      <c r="M99"/>
      <c r="N99"/>
      <c r="O99"/>
      <c r="P99"/>
    </row>
    <row r="100" spans="2:16" ht="15">
      <c r="B100" s="63"/>
      <c r="C100" s="55" t="s">
        <v>48</v>
      </c>
      <c r="D100" s="56">
        <v>51</v>
      </c>
      <c r="E100" s="57">
        <v>6.9000000000000006E-2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>
      <c r="B101" s="63"/>
      <c r="C101" s="86" t="s">
        <v>47</v>
      </c>
      <c r="D101" s="87">
        <v>109</v>
      </c>
      <c r="E101" s="88">
        <v>0.14699999999999999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>
      <c r="B102" s="63" t="s">
        <v>20</v>
      </c>
      <c r="C102" s="55" t="s">
        <v>49</v>
      </c>
      <c r="D102" s="56">
        <v>7</v>
      </c>
      <c r="E102" s="57">
        <v>8.9999999999999993E-3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>
      <c r="B103" s="63"/>
      <c r="C103" s="55" t="s">
        <v>48</v>
      </c>
      <c r="D103" s="56">
        <v>4</v>
      </c>
      <c r="E103" s="57">
        <v>5.0000000000000001E-3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>
      <c r="B104" s="63"/>
      <c r="C104" s="86" t="s">
        <v>47</v>
      </c>
      <c r="D104" s="87">
        <v>11</v>
      </c>
      <c r="E104" s="88">
        <v>1.4999999999999999E-2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>
      <c r="B105" s="63" t="s">
        <v>26</v>
      </c>
      <c r="C105" s="55" t="s">
        <v>49</v>
      </c>
      <c r="D105" s="56">
        <v>15</v>
      </c>
      <c r="E105" s="57">
        <v>0.02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>
      <c r="B106" s="63"/>
      <c r="C106" s="55" t="s">
        <v>48</v>
      </c>
      <c r="D106" s="56">
        <v>4</v>
      </c>
      <c r="E106" s="57">
        <v>5.0000000000000001E-3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>
      <c r="B107" s="63"/>
      <c r="C107" s="86" t="s">
        <v>47</v>
      </c>
      <c r="D107" s="87">
        <v>19</v>
      </c>
      <c r="E107" s="88">
        <v>2.5999999999999999E-2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>
      <c r="B108" s="63" t="s">
        <v>17</v>
      </c>
      <c r="C108" s="55" t="s">
        <v>49</v>
      </c>
      <c r="D108" s="56">
        <v>14</v>
      </c>
      <c r="E108" s="57">
        <v>1.9E-2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>
      <c r="B109" s="63"/>
      <c r="C109" s="55" t="s">
        <v>48</v>
      </c>
      <c r="D109" s="56">
        <v>2</v>
      </c>
      <c r="E109" s="57">
        <v>3.0000000000000001E-3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>
      <c r="B110" s="63"/>
      <c r="C110" s="86" t="s">
        <v>47</v>
      </c>
      <c r="D110" s="87">
        <v>16</v>
      </c>
      <c r="E110" s="88">
        <v>2.1999999999999999E-2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>
      <c r="B111" s="63" t="s">
        <v>21</v>
      </c>
      <c r="C111" s="55" t="s">
        <v>49</v>
      </c>
      <c r="D111" s="56">
        <v>3</v>
      </c>
      <c r="E111" s="57">
        <v>4.0000000000000001E-3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>
      <c r="B112" s="63"/>
      <c r="C112" s="86" t="s">
        <v>47</v>
      </c>
      <c r="D112" s="87">
        <v>3</v>
      </c>
      <c r="E112" s="88">
        <v>4.0000000000000001E-3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>
      <c r="B113" s="64" t="s">
        <v>47</v>
      </c>
      <c r="C113" s="64"/>
      <c r="D113" s="59">
        <v>743</v>
      </c>
      <c r="E113" s="60">
        <v>1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8" customHeight="1"/>
    <row r="115" spans="2:16" ht="18" customHeight="1">
      <c r="B115" s="54" t="s">
        <v>70</v>
      </c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</row>
    <row r="116" spans="2:16" ht="18" customHeight="1">
      <c r="B116" s="54" t="s">
        <v>39</v>
      </c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</row>
    <row r="117" spans="2:16" ht="18" customHeight="1">
      <c r="B117" s="54" t="s">
        <v>71</v>
      </c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</row>
    <row r="118" spans="2:16">
      <c r="B118" s="54" t="s">
        <v>72</v>
      </c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</row>
    <row r="119" spans="2:16">
      <c r="B119" s="54" t="s">
        <v>73</v>
      </c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</row>
  </sheetData>
  <autoFilter ref="B12:E113"/>
  <mergeCells count="38">
    <mergeCell ref="B71:B72"/>
    <mergeCell ref="B82:B83"/>
    <mergeCell ref="B56:B58"/>
    <mergeCell ref="B59:B61"/>
    <mergeCell ref="B62:B64"/>
    <mergeCell ref="B65:B67"/>
    <mergeCell ref="B68:B70"/>
    <mergeCell ref="B30:B32"/>
    <mergeCell ref="B33:B35"/>
    <mergeCell ref="B47:B48"/>
    <mergeCell ref="B49:B50"/>
    <mergeCell ref="B51:B52"/>
    <mergeCell ref="B102:B104"/>
    <mergeCell ref="B105:B107"/>
    <mergeCell ref="B108:B110"/>
    <mergeCell ref="B111:B112"/>
    <mergeCell ref="B113:C113"/>
    <mergeCell ref="B8:E10"/>
    <mergeCell ref="B73:B75"/>
    <mergeCell ref="B76:B78"/>
    <mergeCell ref="B79:B81"/>
    <mergeCell ref="B84:B86"/>
    <mergeCell ref="B13:B15"/>
    <mergeCell ref="B36:B38"/>
    <mergeCell ref="B41:B43"/>
    <mergeCell ref="B44:B46"/>
    <mergeCell ref="B53:B55"/>
    <mergeCell ref="B24:B26"/>
    <mergeCell ref="B27:B29"/>
    <mergeCell ref="B39:B40"/>
    <mergeCell ref="B16:B17"/>
    <mergeCell ref="B18:B20"/>
    <mergeCell ref="B21:B23"/>
    <mergeCell ref="B90:B92"/>
    <mergeCell ref="B93:B95"/>
    <mergeCell ref="B96:B98"/>
    <mergeCell ref="B99:B101"/>
    <mergeCell ref="B87:B89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-0.249977111117893"/>
  </sheetPr>
  <dimension ref="B11:P139"/>
  <sheetViews>
    <sheetView showGridLines="0" workbookViewId="0">
      <selection activeCell="C18" sqref="C18:E132"/>
    </sheetView>
  </sheetViews>
  <sheetFormatPr baseColWidth="10" defaultRowHeight="15"/>
  <cols>
    <col min="2" max="2" width="21.140625" customWidth="1"/>
    <col min="3" max="3" width="14.140625" customWidth="1"/>
    <col min="4" max="4" width="13.7109375" customWidth="1"/>
    <col min="5" max="5" width="14.85546875" customWidth="1"/>
  </cols>
  <sheetData>
    <row r="11" spans="2:5" ht="15" customHeight="1">
      <c r="B11" s="51" t="s">
        <v>177</v>
      </c>
      <c r="C11" s="51"/>
      <c r="D11" s="51"/>
      <c r="E11" s="51"/>
    </row>
    <row r="12" spans="2:5">
      <c r="B12" s="51"/>
      <c r="C12" s="51"/>
      <c r="D12" s="51"/>
      <c r="E12" s="51"/>
    </row>
    <row r="13" spans="2:5">
      <c r="B13" s="51"/>
      <c r="C13" s="51"/>
      <c r="D13" s="51"/>
      <c r="E13" s="51"/>
    </row>
    <row r="15" spans="2:5" ht="36" customHeight="1">
      <c r="B15" s="12" t="s">
        <v>40</v>
      </c>
      <c r="C15" s="12" t="s">
        <v>50</v>
      </c>
      <c r="D15" s="12" t="s">
        <v>2</v>
      </c>
      <c r="E15" s="12" t="s">
        <v>3</v>
      </c>
    </row>
    <row r="16" spans="2:5">
      <c r="B16" s="63" t="s">
        <v>97</v>
      </c>
      <c r="C16" s="55" t="s">
        <v>49</v>
      </c>
      <c r="D16" s="56">
        <v>2</v>
      </c>
      <c r="E16" s="57">
        <v>3.0000000000000001E-3</v>
      </c>
    </row>
    <row r="17" spans="2:5">
      <c r="B17" s="63"/>
      <c r="C17" s="55" t="s">
        <v>48</v>
      </c>
      <c r="D17" s="56">
        <v>2</v>
      </c>
      <c r="E17" s="57">
        <v>3.0000000000000001E-3</v>
      </c>
    </row>
    <row r="18" spans="2:5">
      <c r="B18" s="63"/>
      <c r="C18" s="86" t="s">
        <v>47</v>
      </c>
      <c r="D18" s="87">
        <v>4</v>
      </c>
      <c r="E18" s="88">
        <v>5.0000000000000001E-3</v>
      </c>
    </row>
    <row r="19" spans="2:5">
      <c r="B19" s="63" t="s">
        <v>81</v>
      </c>
      <c r="C19" s="55" t="s">
        <v>49</v>
      </c>
      <c r="D19" s="56">
        <v>55</v>
      </c>
      <c r="E19" s="57">
        <v>7.3999999999999996E-2</v>
      </c>
    </row>
    <row r="20" spans="2:5">
      <c r="B20" s="63"/>
      <c r="C20" s="55" t="s">
        <v>48</v>
      </c>
      <c r="D20" s="56">
        <v>22</v>
      </c>
      <c r="E20" s="57">
        <v>0.03</v>
      </c>
    </row>
    <row r="21" spans="2:5">
      <c r="B21" s="63"/>
      <c r="C21" s="86" t="s">
        <v>47</v>
      </c>
      <c r="D21" s="87">
        <v>77</v>
      </c>
      <c r="E21" s="88">
        <v>0.104</v>
      </c>
    </row>
    <row r="22" spans="2:5">
      <c r="B22" s="63" t="s">
        <v>89</v>
      </c>
      <c r="C22" s="55" t="s">
        <v>49</v>
      </c>
      <c r="D22" s="56">
        <v>10</v>
      </c>
      <c r="E22" s="57">
        <v>1.2999999999999999E-2</v>
      </c>
    </row>
    <row r="23" spans="2:5">
      <c r="B23" s="63"/>
      <c r="C23" s="55" t="s">
        <v>48</v>
      </c>
      <c r="D23" s="56">
        <v>4</v>
      </c>
      <c r="E23" s="57">
        <v>5.0000000000000001E-3</v>
      </c>
    </row>
    <row r="24" spans="2:5">
      <c r="B24" s="63"/>
      <c r="C24" s="86" t="s">
        <v>47</v>
      </c>
      <c r="D24" s="87">
        <v>14</v>
      </c>
      <c r="E24" s="88">
        <v>1.9E-2</v>
      </c>
    </row>
    <row r="25" spans="2:5">
      <c r="B25" s="63" t="s">
        <v>112</v>
      </c>
      <c r="C25" s="55" t="s">
        <v>49</v>
      </c>
      <c r="D25" s="56">
        <v>1</v>
      </c>
      <c r="E25" s="57">
        <v>1E-3</v>
      </c>
    </row>
    <row r="26" spans="2:5">
      <c r="B26" s="63"/>
      <c r="C26" s="86" t="s">
        <v>47</v>
      </c>
      <c r="D26" s="87">
        <v>1</v>
      </c>
      <c r="E26" s="88">
        <v>1E-3</v>
      </c>
    </row>
    <row r="27" spans="2:5">
      <c r="B27" s="63" t="s">
        <v>113</v>
      </c>
      <c r="C27" s="55" t="s">
        <v>49</v>
      </c>
      <c r="D27" s="56">
        <v>3</v>
      </c>
      <c r="E27" s="57">
        <v>4.0000000000000001E-3</v>
      </c>
    </row>
    <row r="28" spans="2:5">
      <c r="B28" s="63"/>
      <c r="C28" s="55" t="s">
        <v>48</v>
      </c>
      <c r="D28" s="56">
        <v>3</v>
      </c>
      <c r="E28" s="57">
        <v>4.0000000000000001E-3</v>
      </c>
    </row>
    <row r="29" spans="2:5">
      <c r="B29" s="63"/>
      <c r="C29" s="86" t="s">
        <v>47</v>
      </c>
      <c r="D29" s="87">
        <v>6</v>
      </c>
      <c r="E29" s="88">
        <v>8.0000000000000002E-3</v>
      </c>
    </row>
    <row r="30" spans="2:5">
      <c r="B30" s="63" t="s">
        <v>74</v>
      </c>
      <c r="C30" s="55" t="s">
        <v>49</v>
      </c>
      <c r="D30" s="56">
        <v>17</v>
      </c>
      <c r="E30" s="57">
        <v>2.3E-2</v>
      </c>
    </row>
    <row r="31" spans="2:5">
      <c r="B31" s="63"/>
      <c r="C31" s="55" t="s">
        <v>48</v>
      </c>
      <c r="D31" s="56">
        <v>5</v>
      </c>
      <c r="E31" s="57">
        <v>7.0000000000000001E-3</v>
      </c>
    </row>
    <row r="32" spans="2:5">
      <c r="B32" s="63"/>
      <c r="C32" s="86" t="s">
        <v>47</v>
      </c>
      <c r="D32" s="87">
        <v>22</v>
      </c>
      <c r="E32" s="88">
        <v>0.03</v>
      </c>
    </row>
    <row r="33" spans="2:5">
      <c r="B33" s="63" t="s">
        <v>78</v>
      </c>
      <c r="C33" s="55" t="s">
        <v>49</v>
      </c>
      <c r="D33" s="56">
        <v>21</v>
      </c>
      <c r="E33" s="57">
        <v>2.8000000000000001E-2</v>
      </c>
    </row>
    <row r="34" spans="2:5">
      <c r="B34" s="63"/>
      <c r="C34" s="55" t="s">
        <v>48</v>
      </c>
      <c r="D34" s="56">
        <v>22</v>
      </c>
      <c r="E34" s="57">
        <v>0.03</v>
      </c>
    </row>
    <row r="35" spans="2:5">
      <c r="B35" s="63"/>
      <c r="C35" s="86" t="s">
        <v>47</v>
      </c>
      <c r="D35" s="87">
        <v>43</v>
      </c>
      <c r="E35" s="88">
        <v>5.8000000000000003E-2</v>
      </c>
    </row>
    <row r="36" spans="2:5">
      <c r="B36" s="63" t="s">
        <v>77</v>
      </c>
      <c r="C36" s="55" t="s">
        <v>49</v>
      </c>
      <c r="D36" s="56">
        <v>11</v>
      </c>
      <c r="E36" s="57">
        <v>1.4999999999999999E-2</v>
      </c>
    </row>
    <row r="37" spans="2:5">
      <c r="B37" s="63"/>
      <c r="C37" s="55" t="s">
        <v>48</v>
      </c>
      <c r="D37" s="56">
        <v>8</v>
      </c>
      <c r="E37" s="57">
        <v>1.0999999999999999E-2</v>
      </c>
    </row>
    <row r="38" spans="2:5">
      <c r="B38" s="63"/>
      <c r="C38" s="86" t="s">
        <v>47</v>
      </c>
      <c r="D38" s="87">
        <v>19</v>
      </c>
      <c r="E38" s="88">
        <v>2.5999999999999999E-2</v>
      </c>
    </row>
    <row r="39" spans="2:5">
      <c r="B39" s="63" t="s">
        <v>98</v>
      </c>
      <c r="C39" s="55" t="s">
        <v>49</v>
      </c>
      <c r="D39" s="56">
        <v>5</v>
      </c>
      <c r="E39" s="57">
        <v>7.0000000000000001E-3</v>
      </c>
    </row>
    <row r="40" spans="2:5">
      <c r="B40" s="63"/>
      <c r="C40" s="55" t="s">
        <v>48</v>
      </c>
      <c r="D40" s="56">
        <v>3</v>
      </c>
      <c r="E40" s="57">
        <v>4.0000000000000001E-3</v>
      </c>
    </row>
    <row r="41" spans="2:5">
      <c r="B41" s="63"/>
      <c r="C41" s="86" t="s">
        <v>47</v>
      </c>
      <c r="D41" s="87">
        <v>8</v>
      </c>
      <c r="E41" s="88">
        <v>1.0999999999999999E-2</v>
      </c>
    </row>
    <row r="42" spans="2:5">
      <c r="B42" s="63" t="s">
        <v>109</v>
      </c>
      <c r="C42" s="55" t="s">
        <v>49</v>
      </c>
      <c r="D42" s="56">
        <v>2</v>
      </c>
      <c r="E42" s="57">
        <v>3.0000000000000001E-3</v>
      </c>
    </row>
    <row r="43" spans="2:5">
      <c r="B43" s="63"/>
      <c r="C43" s="86" t="s">
        <v>47</v>
      </c>
      <c r="D43" s="87">
        <v>2</v>
      </c>
      <c r="E43" s="88">
        <v>3.0000000000000001E-3</v>
      </c>
    </row>
    <row r="44" spans="2:5">
      <c r="B44" s="63" t="s">
        <v>108</v>
      </c>
      <c r="C44" s="55" t="s">
        <v>49</v>
      </c>
      <c r="D44" s="56">
        <v>3</v>
      </c>
      <c r="E44" s="57">
        <v>4.0000000000000001E-3</v>
      </c>
    </row>
    <row r="45" spans="2:5">
      <c r="B45" s="63"/>
      <c r="C45" s="55" t="s">
        <v>48</v>
      </c>
      <c r="D45" s="56">
        <v>3</v>
      </c>
      <c r="E45" s="57">
        <v>4.0000000000000001E-3</v>
      </c>
    </row>
    <row r="46" spans="2:5">
      <c r="B46" s="63"/>
      <c r="C46" s="86" t="s">
        <v>47</v>
      </c>
      <c r="D46" s="87">
        <v>6</v>
      </c>
      <c r="E46" s="88">
        <v>8.0000000000000002E-3</v>
      </c>
    </row>
    <row r="47" spans="2:5">
      <c r="B47" s="63" t="s">
        <v>82</v>
      </c>
      <c r="C47" s="55" t="s">
        <v>49</v>
      </c>
      <c r="D47" s="56">
        <v>8</v>
      </c>
      <c r="E47" s="57">
        <v>1.0999999999999999E-2</v>
      </c>
    </row>
    <row r="48" spans="2:5">
      <c r="B48" s="63"/>
      <c r="C48" s="55" t="s">
        <v>48</v>
      </c>
      <c r="D48" s="56">
        <v>7</v>
      </c>
      <c r="E48" s="57">
        <v>8.9999999999999993E-3</v>
      </c>
    </row>
    <row r="49" spans="2:5">
      <c r="B49" s="63"/>
      <c r="C49" s="86" t="s">
        <v>47</v>
      </c>
      <c r="D49" s="87">
        <v>15</v>
      </c>
      <c r="E49" s="88">
        <v>0.02</v>
      </c>
    </row>
    <row r="50" spans="2:5">
      <c r="B50" s="63" t="s">
        <v>79</v>
      </c>
      <c r="C50" s="55" t="s">
        <v>49</v>
      </c>
      <c r="D50" s="56">
        <v>18</v>
      </c>
      <c r="E50" s="57">
        <v>2.4E-2</v>
      </c>
    </row>
    <row r="51" spans="2:5">
      <c r="B51" s="63"/>
      <c r="C51" s="55" t="s">
        <v>48</v>
      </c>
      <c r="D51" s="56">
        <v>13</v>
      </c>
      <c r="E51" s="57">
        <v>1.7000000000000001E-2</v>
      </c>
    </row>
    <row r="52" spans="2:5">
      <c r="B52" s="63"/>
      <c r="C52" s="86" t="s">
        <v>47</v>
      </c>
      <c r="D52" s="87">
        <v>31</v>
      </c>
      <c r="E52" s="88">
        <v>4.2000000000000003E-2</v>
      </c>
    </row>
    <row r="53" spans="2:5">
      <c r="B53" s="63" t="s">
        <v>85</v>
      </c>
      <c r="C53" s="55" t="s">
        <v>49</v>
      </c>
      <c r="D53" s="56">
        <v>8</v>
      </c>
      <c r="E53" s="57">
        <v>1.0999999999999999E-2</v>
      </c>
    </row>
    <row r="54" spans="2:5">
      <c r="B54" s="63"/>
      <c r="C54" s="55" t="s">
        <v>48</v>
      </c>
      <c r="D54" s="56">
        <v>4</v>
      </c>
      <c r="E54" s="57">
        <v>5.0000000000000001E-3</v>
      </c>
    </row>
    <row r="55" spans="2:5">
      <c r="B55" s="63"/>
      <c r="C55" s="86" t="s">
        <v>47</v>
      </c>
      <c r="D55" s="87">
        <v>12</v>
      </c>
      <c r="E55" s="88">
        <v>1.6E-2</v>
      </c>
    </row>
    <row r="56" spans="2:5">
      <c r="B56" s="63" t="s">
        <v>86</v>
      </c>
      <c r="C56" s="55" t="s">
        <v>49</v>
      </c>
      <c r="D56" s="56">
        <v>17</v>
      </c>
      <c r="E56" s="57">
        <v>2.3E-2</v>
      </c>
    </row>
    <row r="57" spans="2:5">
      <c r="B57" s="63"/>
      <c r="C57" s="55" t="s">
        <v>48</v>
      </c>
      <c r="D57" s="56">
        <v>7</v>
      </c>
      <c r="E57" s="57">
        <v>8.9999999999999993E-3</v>
      </c>
    </row>
    <row r="58" spans="2:5">
      <c r="B58" s="63"/>
      <c r="C58" s="86" t="s">
        <v>47</v>
      </c>
      <c r="D58" s="87">
        <v>24</v>
      </c>
      <c r="E58" s="88">
        <v>3.2000000000000001E-2</v>
      </c>
    </row>
    <row r="59" spans="2:5">
      <c r="B59" s="63" t="s">
        <v>110</v>
      </c>
      <c r="C59" s="55" t="s">
        <v>49</v>
      </c>
      <c r="D59" s="56">
        <v>1</v>
      </c>
      <c r="E59" s="57">
        <v>1E-3</v>
      </c>
    </row>
    <row r="60" spans="2:5">
      <c r="B60" s="63"/>
      <c r="C60" s="55" t="s">
        <v>48</v>
      </c>
      <c r="D60" s="56">
        <v>1</v>
      </c>
      <c r="E60" s="57">
        <v>1E-3</v>
      </c>
    </row>
    <row r="61" spans="2:5">
      <c r="B61" s="63"/>
      <c r="C61" s="86" t="s">
        <v>47</v>
      </c>
      <c r="D61" s="87">
        <v>2</v>
      </c>
      <c r="E61" s="88">
        <v>3.0000000000000001E-3</v>
      </c>
    </row>
    <row r="62" spans="2:5">
      <c r="B62" s="63" t="s">
        <v>92</v>
      </c>
      <c r="C62" s="55" t="s">
        <v>49</v>
      </c>
      <c r="D62" s="56">
        <v>4</v>
      </c>
      <c r="E62" s="57">
        <v>5.0000000000000001E-3</v>
      </c>
    </row>
    <row r="63" spans="2:5">
      <c r="B63" s="63"/>
      <c r="C63" s="55" t="s">
        <v>48</v>
      </c>
      <c r="D63" s="56">
        <v>3</v>
      </c>
      <c r="E63" s="57">
        <v>4.0000000000000001E-3</v>
      </c>
    </row>
    <row r="64" spans="2:5">
      <c r="B64" s="63"/>
      <c r="C64" s="86" t="s">
        <v>47</v>
      </c>
      <c r="D64" s="87">
        <v>7</v>
      </c>
      <c r="E64" s="88">
        <v>8.9999999999999993E-3</v>
      </c>
    </row>
    <row r="65" spans="2:5">
      <c r="B65" s="63" t="s">
        <v>76</v>
      </c>
      <c r="C65" s="55" t="s">
        <v>49</v>
      </c>
      <c r="D65" s="56">
        <v>10</v>
      </c>
      <c r="E65" s="57">
        <v>1.2999999999999999E-2</v>
      </c>
    </row>
    <row r="66" spans="2:5">
      <c r="B66" s="63"/>
      <c r="C66" s="55" t="s">
        <v>48</v>
      </c>
      <c r="D66" s="56">
        <v>10</v>
      </c>
      <c r="E66" s="57">
        <v>1.2999999999999999E-2</v>
      </c>
    </row>
    <row r="67" spans="2:5">
      <c r="B67" s="63"/>
      <c r="C67" s="86" t="s">
        <v>47</v>
      </c>
      <c r="D67" s="87">
        <v>20</v>
      </c>
      <c r="E67" s="88">
        <v>2.7E-2</v>
      </c>
    </row>
    <row r="68" spans="2:5">
      <c r="B68" s="63" t="s">
        <v>75</v>
      </c>
      <c r="C68" s="55" t="s">
        <v>49</v>
      </c>
      <c r="D68" s="56">
        <v>29</v>
      </c>
      <c r="E68" s="57">
        <v>3.9E-2</v>
      </c>
    </row>
    <row r="69" spans="2:5">
      <c r="B69" s="63"/>
      <c r="C69" s="55" t="s">
        <v>48</v>
      </c>
      <c r="D69" s="56">
        <v>23</v>
      </c>
      <c r="E69" s="57">
        <v>3.1E-2</v>
      </c>
    </row>
    <row r="70" spans="2:5">
      <c r="B70" s="63"/>
      <c r="C70" s="86" t="s">
        <v>47</v>
      </c>
      <c r="D70" s="87">
        <v>52</v>
      </c>
      <c r="E70" s="88">
        <v>7.0000000000000007E-2</v>
      </c>
    </row>
    <row r="71" spans="2:5">
      <c r="B71" s="63" t="s">
        <v>101</v>
      </c>
      <c r="C71" s="55" t="s">
        <v>49</v>
      </c>
      <c r="D71" s="56">
        <v>2</v>
      </c>
      <c r="E71" s="57">
        <v>3.0000000000000001E-3</v>
      </c>
    </row>
    <row r="72" spans="2:5">
      <c r="B72" s="63"/>
      <c r="C72" s="55" t="s">
        <v>48</v>
      </c>
      <c r="D72" s="56">
        <v>6</v>
      </c>
      <c r="E72" s="57">
        <v>8.0000000000000002E-3</v>
      </c>
    </row>
    <row r="73" spans="2:5">
      <c r="B73" s="63"/>
      <c r="C73" s="86" t="s">
        <v>47</v>
      </c>
      <c r="D73" s="87">
        <v>8</v>
      </c>
      <c r="E73" s="88">
        <v>1.0999999999999999E-2</v>
      </c>
    </row>
    <row r="74" spans="2:5">
      <c r="B74" s="63" t="s">
        <v>99</v>
      </c>
      <c r="C74" s="55" t="s">
        <v>49</v>
      </c>
      <c r="D74" s="56">
        <v>10</v>
      </c>
      <c r="E74" s="57">
        <v>1.2999999999999999E-2</v>
      </c>
    </row>
    <row r="75" spans="2:5">
      <c r="B75" s="63"/>
      <c r="C75" s="55" t="s">
        <v>48</v>
      </c>
      <c r="D75" s="56">
        <v>2</v>
      </c>
      <c r="E75" s="57">
        <v>3.0000000000000001E-3</v>
      </c>
    </row>
    <row r="76" spans="2:5">
      <c r="B76" s="63"/>
      <c r="C76" s="86" t="s">
        <v>47</v>
      </c>
      <c r="D76" s="87">
        <v>12</v>
      </c>
      <c r="E76" s="88">
        <v>1.6E-2</v>
      </c>
    </row>
    <row r="77" spans="2:5">
      <c r="B77" s="63" t="s">
        <v>107</v>
      </c>
      <c r="C77" s="55" t="s">
        <v>49</v>
      </c>
      <c r="D77" s="56">
        <v>4</v>
      </c>
      <c r="E77" s="57">
        <v>5.0000000000000001E-3</v>
      </c>
    </row>
    <row r="78" spans="2:5">
      <c r="B78" s="63"/>
      <c r="C78" s="55" t="s">
        <v>48</v>
      </c>
      <c r="D78" s="56">
        <v>2</v>
      </c>
      <c r="E78" s="57">
        <v>3.0000000000000001E-3</v>
      </c>
    </row>
    <row r="79" spans="2:5">
      <c r="B79" s="63"/>
      <c r="C79" s="86" t="s">
        <v>47</v>
      </c>
      <c r="D79" s="87">
        <v>6</v>
      </c>
      <c r="E79" s="88">
        <v>8.0000000000000002E-3</v>
      </c>
    </row>
    <row r="80" spans="2:5">
      <c r="B80" s="63" t="s">
        <v>111</v>
      </c>
      <c r="C80" s="55" t="s">
        <v>49</v>
      </c>
      <c r="D80" s="56">
        <v>2</v>
      </c>
      <c r="E80" s="57">
        <v>3.0000000000000001E-3</v>
      </c>
    </row>
    <row r="81" spans="2:5">
      <c r="B81" s="63"/>
      <c r="C81" s="55" t="s">
        <v>48</v>
      </c>
      <c r="D81" s="56">
        <v>6</v>
      </c>
      <c r="E81" s="57">
        <v>8.0000000000000002E-3</v>
      </c>
    </row>
    <row r="82" spans="2:5">
      <c r="B82" s="63"/>
      <c r="C82" s="86" t="s">
        <v>47</v>
      </c>
      <c r="D82" s="87">
        <v>8</v>
      </c>
      <c r="E82" s="88">
        <v>1.0999999999999999E-2</v>
      </c>
    </row>
    <row r="83" spans="2:5">
      <c r="B83" s="63" t="s">
        <v>94</v>
      </c>
      <c r="C83" s="55" t="s">
        <v>49</v>
      </c>
      <c r="D83" s="56">
        <v>3</v>
      </c>
      <c r="E83" s="57">
        <v>4.0000000000000001E-3</v>
      </c>
    </row>
    <row r="84" spans="2:5">
      <c r="B84" s="63"/>
      <c r="C84" s="55" t="s">
        <v>48</v>
      </c>
      <c r="D84" s="56">
        <v>1</v>
      </c>
      <c r="E84" s="57">
        <v>1E-3</v>
      </c>
    </row>
    <row r="85" spans="2:5">
      <c r="B85" s="63"/>
      <c r="C85" s="86" t="s">
        <v>47</v>
      </c>
      <c r="D85" s="87">
        <v>4</v>
      </c>
      <c r="E85" s="88">
        <v>5.0000000000000001E-3</v>
      </c>
    </row>
    <row r="86" spans="2:5">
      <c r="B86" s="63" t="s">
        <v>90</v>
      </c>
      <c r="C86" s="55" t="s">
        <v>49</v>
      </c>
      <c r="D86" s="56">
        <v>12</v>
      </c>
      <c r="E86" s="57">
        <v>1.6E-2</v>
      </c>
    </row>
    <row r="87" spans="2:5">
      <c r="B87" s="63"/>
      <c r="C87" s="55" t="s">
        <v>48</v>
      </c>
      <c r="D87" s="56">
        <v>9</v>
      </c>
      <c r="E87" s="57">
        <v>1.2E-2</v>
      </c>
    </row>
    <row r="88" spans="2:5">
      <c r="B88" s="63"/>
      <c r="C88" s="86" t="s">
        <v>47</v>
      </c>
      <c r="D88" s="87">
        <v>21</v>
      </c>
      <c r="E88" s="88">
        <v>2.8000000000000001E-2</v>
      </c>
    </row>
    <row r="89" spans="2:5">
      <c r="B89" s="63" t="s">
        <v>91</v>
      </c>
      <c r="C89" s="55" t="s">
        <v>49</v>
      </c>
      <c r="D89" s="56">
        <v>6</v>
      </c>
      <c r="E89" s="57">
        <v>8.0000000000000002E-3</v>
      </c>
    </row>
    <row r="90" spans="2:5">
      <c r="B90" s="63"/>
      <c r="C90" s="55" t="s">
        <v>48</v>
      </c>
      <c r="D90" s="56">
        <v>4</v>
      </c>
      <c r="E90" s="57">
        <v>5.0000000000000001E-3</v>
      </c>
    </row>
    <row r="91" spans="2:5">
      <c r="B91" s="63"/>
      <c r="C91" s="86" t="s">
        <v>47</v>
      </c>
      <c r="D91" s="87">
        <v>10</v>
      </c>
      <c r="E91" s="88">
        <v>1.2999999999999999E-2</v>
      </c>
    </row>
    <row r="92" spans="2:5">
      <c r="B92" s="63" t="s">
        <v>106</v>
      </c>
      <c r="C92" s="55" t="s">
        <v>49</v>
      </c>
      <c r="D92" s="56">
        <v>2</v>
      </c>
      <c r="E92" s="57">
        <v>3.0000000000000001E-3</v>
      </c>
    </row>
    <row r="93" spans="2:5">
      <c r="B93" s="63"/>
      <c r="C93" s="86" t="s">
        <v>47</v>
      </c>
      <c r="D93" s="87">
        <v>2</v>
      </c>
      <c r="E93" s="88">
        <v>3.0000000000000001E-3</v>
      </c>
    </row>
    <row r="94" spans="2:5">
      <c r="B94" s="63" t="s">
        <v>104</v>
      </c>
      <c r="C94" s="55" t="s">
        <v>49</v>
      </c>
      <c r="D94" s="56">
        <v>12</v>
      </c>
      <c r="E94" s="57">
        <v>1.6E-2</v>
      </c>
    </row>
    <row r="95" spans="2:5">
      <c r="B95" s="63"/>
      <c r="C95" s="55" t="s">
        <v>48</v>
      </c>
      <c r="D95" s="56">
        <v>8</v>
      </c>
      <c r="E95" s="57">
        <v>1.0999999999999999E-2</v>
      </c>
    </row>
    <row r="96" spans="2:5">
      <c r="B96" s="63"/>
      <c r="C96" s="86" t="s">
        <v>47</v>
      </c>
      <c r="D96" s="87">
        <v>20</v>
      </c>
      <c r="E96" s="88">
        <v>2.7E-2</v>
      </c>
    </row>
    <row r="97" spans="2:5">
      <c r="B97" s="63" t="s">
        <v>84</v>
      </c>
      <c r="C97" s="55" t="s">
        <v>49</v>
      </c>
      <c r="D97" s="56">
        <v>13</v>
      </c>
      <c r="E97" s="57">
        <v>1.7000000000000001E-2</v>
      </c>
    </row>
    <row r="98" spans="2:5">
      <c r="B98" s="63"/>
      <c r="C98" s="55" t="s">
        <v>48</v>
      </c>
      <c r="D98" s="56">
        <v>20</v>
      </c>
      <c r="E98" s="57">
        <v>2.7E-2</v>
      </c>
    </row>
    <row r="99" spans="2:5">
      <c r="B99" s="63"/>
      <c r="C99" s="86" t="s">
        <v>47</v>
      </c>
      <c r="D99" s="87">
        <v>33</v>
      </c>
      <c r="E99" s="88">
        <v>4.3999999999999997E-2</v>
      </c>
    </row>
    <row r="100" spans="2:5">
      <c r="B100" s="63" t="s">
        <v>88</v>
      </c>
      <c r="C100" s="55" t="s">
        <v>49</v>
      </c>
      <c r="D100" s="56">
        <v>8</v>
      </c>
      <c r="E100" s="57">
        <v>1.0999999999999999E-2</v>
      </c>
    </row>
    <row r="101" spans="2:5">
      <c r="B101" s="63"/>
      <c r="C101" s="55" t="s">
        <v>48</v>
      </c>
      <c r="D101" s="56">
        <v>6</v>
      </c>
      <c r="E101" s="57">
        <v>8.0000000000000002E-3</v>
      </c>
    </row>
    <row r="102" spans="2:5">
      <c r="B102" s="63"/>
      <c r="C102" s="86" t="s">
        <v>47</v>
      </c>
      <c r="D102" s="87">
        <v>14</v>
      </c>
      <c r="E102" s="88">
        <v>1.9E-2</v>
      </c>
    </row>
    <row r="103" spans="2:5">
      <c r="B103" s="63" t="s">
        <v>105</v>
      </c>
      <c r="C103" s="55" t="s">
        <v>49</v>
      </c>
      <c r="D103" s="56">
        <v>6</v>
      </c>
      <c r="E103" s="57">
        <v>8.0000000000000002E-3</v>
      </c>
    </row>
    <row r="104" spans="2:5">
      <c r="B104" s="63"/>
      <c r="C104" s="55" t="s">
        <v>48</v>
      </c>
      <c r="D104" s="56">
        <v>6</v>
      </c>
      <c r="E104" s="57">
        <v>8.0000000000000002E-3</v>
      </c>
    </row>
    <row r="105" spans="2:5">
      <c r="B105" s="63"/>
      <c r="C105" s="86" t="s">
        <v>47</v>
      </c>
      <c r="D105" s="87">
        <v>12</v>
      </c>
      <c r="E105" s="88">
        <v>1.6E-2</v>
      </c>
    </row>
    <row r="106" spans="2:5">
      <c r="B106" s="63" t="s">
        <v>95</v>
      </c>
      <c r="C106" s="55" t="s">
        <v>49</v>
      </c>
      <c r="D106" s="56">
        <v>7</v>
      </c>
      <c r="E106" s="57">
        <v>8.9999999999999993E-3</v>
      </c>
    </row>
    <row r="107" spans="2:5">
      <c r="B107" s="63"/>
      <c r="C107" s="55" t="s">
        <v>48</v>
      </c>
      <c r="D107" s="56">
        <v>4</v>
      </c>
      <c r="E107" s="57">
        <v>5.0000000000000001E-3</v>
      </c>
    </row>
    <row r="108" spans="2:5">
      <c r="B108" s="63"/>
      <c r="C108" s="86" t="s">
        <v>47</v>
      </c>
      <c r="D108" s="87">
        <v>11</v>
      </c>
      <c r="E108" s="88">
        <v>1.4999999999999999E-2</v>
      </c>
    </row>
    <row r="109" spans="2:5">
      <c r="B109" s="63" t="s">
        <v>93</v>
      </c>
      <c r="C109" s="55" t="s">
        <v>49</v>
      </c>
      <c r="D109" s="56">
        <v>2</v>
      </c>
      <c r="E109" s="57">
        <v>3.0000000000000001E-3</v>
      </c>
    </row>
    <row r="110" spans="2:5">
      <c r="B110" s="63"/>
      <c r="C110" s="55" t="s">
        <v>48</v>
      </c>
      <c r="D110" s="56">
        <v>2</v>
      </c>
      <c r="E110" s="57">
        <v>3.0000000000000001E-3</v>
      </c>
    </row>
    <row r="111" spans="2:5">
      <c r="B111" s="63"/>
      <c r="C111" s="86" t="s">
        <v>47</v>
      </c>
      <c r="D111" s="87">
        <v>4</v>
      </c>
      <c r="E111" s="88">
        <v>5.0000000000000001E-3</v>
      </c>
    </row>
    <row r="112" spans="2:5">
      <c r="B112" s="63" t="s">
        <v>80</v>
      </c>
      <c r="C112" s="55" t="s">
        <v>49</v>
      </c>
      <c r="D112" s="56">
        <v>3</v>
      </c>
      <c r="E112" s="57">
        <v>4.0000000000000001E-3</v>
      </c>
    </row>
    <row r="113" spans="2:5">
      <c r="B113" s="63"/>
      <c r="C113" s="55" t="s">
        <v>48</v>
      </c>
      <c r="D113" s="56">
        <v>4</v>
      </c>
      <c r="E113" s="57">
        <v>5.0000000000000001E-3</v>
      </c>
    </row>
    <row r="114" spans="2:5">
      <c r="B114" s="63"/>
      <c r="C114" s="86" t="s">
        <v>47</v>
      </c>
      <c r="D114" s="87">
        <v>7</v>
      </c>
      <c r="E114" s="88">
        <v>8.9999999999999993E-3</v>
      </c>
    </row>
    <row r="115" spans="2:5">
      <c r="B115" s="63" t="s">
        <v>100</v>
      </c>
      <c r="C115" s="55" t="s">
        <v>49</v>
      </c>
      <c r="D115" s="56">
        <v>2</v>
      </c>
      <c r="E115" s="57">
        <v>3.0000000000000001E-3</v>
      </c>
    </row>
    <row r="116" spans="2:5">
      <c r="B116" s="63"/>
      <c r="C116" s="55" t="s">
        <v>48</v>
      </c>
      <c r="D116" s="56">
        <v>1</v>
      </c>
      <c r="E116" s="57">
        <v>1E-3</v>
      </c>
    </row>
    <row r="117" spans="2:5">
      <c r="B117" s="63"/>
      <c r="C117" s="86" t="s">
        <v>47</v>
      </c>
      <c r="D117" s="87">
        <v>3</v>
      </c>
      <c r="E117" s="88">
        <v>4.0000000000000001E-3</v>
      </c>
    </row>
    <row r="118" spans="2:5">
      <c r="B118" s="63" t="s">
        <v>87</v>
      </c>
      <c r="C118" s="55" t="s">
        <v>49</v>
      </c>
      <c r="D118" s="56">
        <v>108</v>
      </c>
      <c r="E118" s="57">
        <v>0.14499999999999999</v>
      </c>
    </row>
    <row r="119" spans="2:5">
      <c r="B119" s="63"/>
      <c r="C119" s="55" t="s">
        <v>48</v>
      </c>
      <c r="D119" s="56">
        <v>27</v>
      </c>
      <c r="E119" s="57">
        <v>3.5999999999999997E-2</v>
      </c>
    </row>
    <row r="120" spans="2:5">
      <c r="B120" s="63"/>
      <c r="C120" s="86" t="s">
        <v>47</v>
      </c>
      <c r="D120" s="87">
        <v>135</v>
      </c>
      <c r="E120" s="88">
        <v>0.182</v>
      </c>
    </row>
    <row r="121" spans="2:5">
      <c r="B121" s="63" t="s">
        <v>96</v>
      </c>
      <c r="C121" s="55" t="s">
        <v>49</v>
      </c>
      <c r="D121" s="56">
        <v>13</v>
      </c>
      <c r="E121" s="57">
        <v>1.7000000000000001E-2</v>
      </c>
    </row>
    <row r="122" spans="2:5">
      <c r="B122" s="63"/>
      <c r="C122" s="55" t="s">
        <v>48</v>
      </c>
      <c r="D122" s="56">
        <v>4</v>
      </c>
      <c r="E122" s="57">
        <v>5.0000000000000001E-3</v>
      </c>
    </row>
    <row r="123" spans="2:5">
      <c r="B123" s="63"/>
      <c r="C123" s="86" t="s">
        <v>47</v>
      </c>
      <c r="D123" s="87">
        <v>17</v>
      </c>
      <c r="E123" s="88">
        <v>2.3E-2</v>
      </c>
    </row>
    <row r="124" spans="2:5">
      <c r="B124" s="63" t="s">
        <v>83</v>
      </c>
      <c r="C124" s="55" t="s">
        <v>49</v>
      </c>
      <c r="D124" s="56">
        <v>9</v>
      </c>
      <c r="E124" s="57">
        <v>1.2E-2</v>
      </c>
    </row>
    <row r="125" spans="2:5">
      <c r="B125" s="63"/>
      <c r="C125" s="55" t="s">
        <v>48</v>
      </c>
      <c r="D125" s="56">
        <v>6</v>
      </c>
      <c r="E125" s="57">
        <v>8.0000000000000002E-3</v>
      </c>
    </row>
    <row r="126" spans="2:5">
      <c r="B126" s="63"/>
      <c r="C126" s="86" t="s">
        <v>47</v>
      </c>
      <c r="D126" s="87">
        <v>15</v>
      </c>
      <c r="E126" s="88">
        <v>0.02</v>
      </c>
    </row>
    <row r="127" spans="2:5">
      <c r="B127" s="63" t="s">
        <v>103</v>
      </c>
      <c r="C127" s="55" t="s">
        <v>49</v>
      </c>
      <c r="D127" s="56">
        <v>13</v>
      </c>
      <c r="E127" s="57">
        <v>1.7000000000000001E-2</v>
      </c>
    </row>
    <row r="128" spans="2:5">
      <c r="B128" s="63"/>
      <c r="C128" s="55" t="s">
        <v>48</v>
      </c>
      <c r="D128" s="56">
        <v>2</v>
      </c>
      <c r="E128" s="57">
        <v>3.0000000000000001E-3</v>
      </c>
    </row>
    <row r="129" spans="2:16">
      <c r="B129" s="63"/>
      <c r="C129" s="86" t="s">
        <v>47</v>
      </c>
      <c r="D129" s="87">
        <v>15</v>
      </c>
      <c r="E129" s="88">
        <v>0.02</v>
      </c>
    </row>
    <row r="130" spans="2:16">
      <c r="B130" s="63" t="s">
        <v>102</v>
      </c>
      <c r="C130" s="55" t="s">
        <v>49</v>
      </c>
      <c r="D130" s="56">
        <v>17</v>
      </c>
      <c r="E130" s="57">
        <v>2.3E-2</v>
      </c>
    </row>
    <row r="131" spans="2:16">
      <c r="B131" s="63"/>
      <c r="C131" s="55" t="s">
        <v>48</v>
      </c>
      <c r="D131" s="56">
        <v>4</v>
      </c>
      <c r="E131" s="57">
        <v>5.0000000000000001E-3</v>
      </c>
    </row>
    <row r="132" spans="2:16">
      <c r="B132" s="63"/>
      <c r="C132" s="86" t="s">
        <v>47</v>
      </c>
      <c r="D132" s="87">
        <v>21</v>
      </c>
      <c r="E132" s="88">
        <v>2.8000000000000001E-2</v>
      </c>
    </row>
    <row r="133" spans="2:16">
      <c r="B133" s="64" t="s">
        <v>47</v>
      </c>
      <c r="C133" s="64"/>
      <c r="D133" s="59">
        <v>743</v>
      </c>
      <c r="E133" s="60">
        <v>1</v>
      </c>
    </row>
    <row r="134" spans="2:16" ht="18" customHeight="1"/>
    <row r="135" spans="2:16" ht="18" customHeight="1">
      <c r="B135" s="54" t="s">
        <v>70</v>
      </c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</row>
    <row r="136" spans="2:16" ht="18" customHeight="1">
      <c r="B136" s="54" t="s">
        <v>39</v>
      </c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</row>
    <row r="137" spans="2:16" ht="18" customHeight="1">
      <c r="B137" s="54" t="s">
        <v>71</v>
      </c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</row>
    <row r="138" spans="2:16">
      <c r="B138" s="54" t="s">
        <v>72</v>
      </c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</row>
    <row r="139" spans="2:16">
      <c r="B139" s="54" t="s">
        <v>73</v>
      </c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</row>
  </sheetData>
  <autoFilter ref="B15:E133"/>
  <mergeCells count="42">
    <mergeCell ref="B11:E13"/>
    <mergeCell ref="B133:C133"/>
    <mergeCell ref="B39:B41"/>
    <mergeCell ref="B112:B114"/>
    <mergeCell ref="B115:B117"/>
    <mergeCell ref="B103:B105"/>
    <mergeCell ref="B106:B108"/>
    <mergeCell ref="B109:B111"/>
    <mergeCell ref="B89:B91"/>
    <mergeCell ref="B94:B96"/>
    <mergeCell ref="B97:B99"/>
    <mergeCell ref="B100:B102"/>
    <mergeCell ref="B74:B76"/>
    <mergeCell ref="B118:B120"/>
    <mergeCell ref="B121:B123"/>
    <mergeCell ref="B25:B26"/>
    <mergeCell ref="B42:B43"/>
    <mergeCell ref="B92:B93"/>
    <mergeCell ref="B65:B67"/>
    <mergeCell ref="B68:B70"/>
    <mergeCell ref="B71:B73"/>
    <mergeCell ref="B19:B21"/>
    <mergeCell ref="B22:B24"/>
    <mergeCell ref="B30:B32"/>
    <mergeCell ref="B33:B35"/>
    <mergeCell ref="B36:B38"/>
    <mergeCell ref="B16:B18"/>
    <mergeCell ref="B27:B29"/>
    <mergeCell ref="B124:B126"/>
    <mergeCell ref="B127:B129"/>
    <mergeCell ref="B130:B132"/>
    <mergeCell ref="B44:B46"/>
    <mergeCell ref="B47:B49"/>
    <mergeCell ref="B50:B52"/>
    <mergeCell ref="B53:B55"/>
    <mergeCell ref="B56:B58"/>
    <mergeCell ref="B77:B79"/>
    <mergeCell ref="B80:B82"/>
    <mergeCell ref="B83:B85"/>
    <mergeCell ref="B86:B88"/>
    <mergeCell ref="B59:B61"/>
    <mergeCell ref="B62:B6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00B0F0"/>
  </sheetPr>
  <dimension ref="A1:P33"/>
  <sheetViews>
    <sheetView showGridLines="0" zoomScaleNormal="100" zoomScaleSheetLayoutView="100" workbookViewId="0">
      <selection activeCell="B27" sqref="B27:B31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7.140625" style="15" customWidth="1"/>
    <col min="4" max="4" width="17.140625" style="24" customWidth="1"/>
    <col min="5" max="5" width="16.5703125" style="24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E3" s="1"/>
      <c r="F3" s="15"/>
    </row>
    <row r="4" spans="1:16" ht="30" customHeight="1">
      <c r="B4" s="29"/>
      <c r="C4" s="2"/>
      <c r="D4" s="1"/>
      <c r="E4" s="1"/>
      <c r="F4" s="15"/>
    </row>
    <row r="5" spans="1:16" ht="15" customHeight="1">
      <c r="B5" s="29"/>
      <c r="C5" s="2"/>
      <c r="D5" s="1"/>
      <c r="E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51" t="s">
        <v>175</v>
      </c>
      <c r="C8" s="51"/>
      <c r="D8" s="51"/>
      <c r="E8" s="51"/>
    </row>
    <row r="9" spans="1:16" s="25" customFormat="1" ht="15" customHeight="1">
      <c r="A9" s="26"/>
      <c r="B9" s="51"/>
      <c r="C9" s="51"/>
      <c r="D9" s="51"/>
      <c r="E9" s="51"/>
      <c r="F9" s="27"/>
    </row>
    <row r="10" spans="1:16" s="25" customFormat="1" ht="15" customHeight="1">
      <c r="A10" s="26"/>
      <c r="B10" s="51"/>
      <c r="C10" s="51"/>
      <c r="D10" s="51"/>
      <c r="E10" s="51"/>
      <c r="F10" s="26"/>
    </row>
    <row r="11" spans="1:16" s="25" customFormat="1" ht="15" customHeight="1">
      <c r="A11" s="26"/>
      <c r="B11" s="48"/>
      <c r="C11" s="48"/>
      <c r="D11" s="48"/>
      <c r="E11" s="48"/>
      <c r="F11" s="26"/>
    </row>
    <row r="12" spans="1:16" s="25" customFormat="1" ht="36.950000000000003" customHeight="1">
      <c r="B12" s="12" t="s">
        <v>50</v>
      </c>
      <c r="C12" s="12" t="s">
        <v>53</v>
      </c>
      <c r="D12" s="12" t="s">
        <v>2</v>
      </c>
      <c r="E12" s="12" t="s">
        <v>140</v>
      </c>
    </row>
    <row r="13" spans="1:16" ht="15">
      <c r="B13" s="63" t="s">
        <v>49</v>
      </c>
      <c r="C13" s="55" t="s">
        <v>135</v>
      </c>
      <c r="D13" s="56">
        <v>75</v>
      </c>
      <c r="E13" s="57">
        <v>0.10100000000000001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63"/>
      <c r="C14" s="55" t="s">
        <v>136</v>
      </c>
      <c r="D14" s="56">
        <v>321</v>
      </c>
      <c r="E14" s="57">
        <v>0.432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63"/>
      <c r="C15" s="55" t="s">
        <v>137</v>
      </c>
      <c r="D15" s="56">
        <v>76</v>
      </c>
      <c r="E15" s="57">
        <v>0.10199999999999999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63"/>
      <c r="C16" s="55" t="s">
        <v>138</v>
      </c>
      <c r="D16" s="56">
        <v>4</v>
      </c>
      <c r="E16" s="57">
        <v>5.0000000000000001E-3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63"/>
      <c r="C17" s="55" t="s">
        <v>51</v>
      </c>
      <c r="D17" s="56">
        <v>2</v>
      </c>
      <c r="E17" s="57">
        <v>3.0000000000000001E-3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63"/>
      <c r="C18" s="55" t="s">
        <v>52</v>
      </c>
      <c r="D18" s="56">
        <v>1</v>
      </c>
      <c r="E18" s="57">
        <v>1E-3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63" t="s">
        <v>48</v>
      </c>
      <c r="C19" s="55" t="s">
        <v>135</v>
      </c>
      <c r="D19" s="56">
        <v>44</v>
      </c>
      <c r="E19" s="57">
        <v>5.8999999999999997E-2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63"/>
      <c r="C20" s="55" t="s">
        <v>136</v>
      </c>
      <c r="D20" s="56">
        <v>173</v>
      </c>
      <c r="E20" s="57">
        <v>0.23300000000000001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63"/>
      <c r="C21" s="55" t="s">
        <v>137</v>
      </c>
      <c r="D21" s="56">
        <v>38</v>
      </c>
      <c r="E21" s="57">
        <v>5.0999999999999997E-2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63"/>
      <c r="C22" s="55" t="s">
        <v>138</v>
      </c>
      <c r="D22" s="56">
        <v>5</v>
      </c>
      <c r="E22" s="57">
        <v>7.0000000000000001E-3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63"/>
      <c r="C23" s="55" t="s">
        <v>139</v>
      </c>
      <c r="D23" s="56">
        <v>2</v>
      </c>
      <c r="E23" s="57">
        <v>3.0000000000000001E-3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63"/>
      <c r="C24" s="55" t="s">
        <v>52</v>
      </c>
      <c r="D24" s="56">
        <v>2</v>
      </c>
      <c r="E24" s="57">
        <v>3.0000000000000001E-3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64" t="s">
        <v>47</v>
      </c>
      <c r="C25" s="64"/>
      <c r="D25" s="59">
        <v>743</v>
      </c>
      <c r="E25" s="60">
        <v>1</v>
      </c>
      <c r="F25"/>
      <c r="G25"/>
      <c r="H25"/>
      <c r="I25"/>
      <c r="J25"/>
      <c r="K25"/>
      <c r="L25"/>
      <c r="M25"/>
      <c r="N25"/>
      <c r="O25"/>
      <c r="P25"/>
    </row>
    <row r="26" spans="2:16" ht="18" customHeight="1">
      <c r="B26" s="61"/>
      <c r="C26" s="61"/>
      <c r="D26" s="62"/>
      <c r="E26" s="62"/>
    </row>
    <row r="27" spans="2:16" ht="18" customHeight="1">
      <c r="B27" s="54" t="s">
        <v>70</v>
      </c>
      <c r="C27" s="53"/>
      <c r="D27" s="53"/>
      <c r="E27" s="53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</row>
    <row r="28" spans="2:16" ht="18" customHeight="1">
      <c r="B28" s="54" t="s">
        <v>39</v>
      </c>
      <c r="C28" s="53"/>
      <c r="D28" s="53"/>
      <c r="E28" s="53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</row>
    <row r="29" spans="2:16" ht="18" customHeight="1">
      <c r="B29" s="54" t="s">
        <v>71</v>
      </c>
      <c r="C29" s="53"/>
      <c r="D29" s="53"/>
      <c r="E29" s="53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</row>
    <row r="30" spans="2:16" ht="13.5">
      <c r="B30" s="54" t="s">
        <v>72</v>
      </c>
      <c r="C30" s="53"/>
      <c r="D30" s="53"/>
      <c r="E30" s="53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</row>
    <row r="31" spans="2:16" ht="13.5">
      <c r="B31" s="54" t="s">
        <v>73</v>
      </c>
      <c r="C31" s="53"/>
      <c r="D31" s="53"/>
      <c r="E31" s="53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</row>
    <row r="32" spans="2:16" ht="13.5">
      <c r="B32" s="61"/>
      <c r="C32" s="61"/>
      <c r="D32" s="62"/>
      <c r="E32" s="62"/>
    </row>
    <row r="33" spans="2:5" ht="13.5">
      <c r="B33" s="61"/>
      <c r="C33" s="61"/>
      <c r="D33" s="62"/>
      <c r="E33" s="62"/>
    </row>
  </sheetData>
  <mergeCells count="4">
    <mergeCell ref="B8:E10"/>
    <mergeCell ref="B13:B18"/>
    <mergeCell ref="B19:B24"/>
    <mergeCell ref="B25:C25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7030A0"/>
  </sheetPr>
  <dimension ref="A1:P35"/>
  <sheetViews>
    <sheetView showGridLines="0" topLeftCell="A7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176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54</v>
      </c>
      <c r="C11" s="6" t="s">
        <v>2</v>
      </c>
      <c r="D11" s="7" t="s">
        <v>3</v>
      </c>
    </row>
    <row r="12" spans="1:16">
      <c r="B12" s="55" t="s">
        <v>141</v>
      </c>
      <c r="C12" s="56">
        <v>394</v>
      </c>
      <c r="D12" s="57">
        <v>0.53029999999999999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5" t="s">
        <v>142</v>
      </c>
      <c r="C13" s="56">
        <v>117</v>
      </c>
      <c r="D13" s="57">
        <v>0.1575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5" t="s">
        <v>144</v>
      </c>
      <c r="C14" s="56">
        <v>97</v>
      </c>
      <c r="D14" s="57">
        <v>0.13059999999999999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5" t="s">
        <v>143</v>
      </c>
      <c r="C15" s="56">
        <v>43</v>
      </c>
      <c r="D15" s="57">
        <v>5.79E-2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5" t="s">
        <v>145</v>
      </c>
      <c r="C16" s="56">
        <v>35</v>
      </c>
      <c r="D16" s="57">
        <v>4.7100000000000003E-2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5" t="s">
        <v>150</v>
      </c>
      <c r="C17" s="56">
        <v>12</v>
      </c>
      <c r="D17" s="57">
        <v>1.6199999999999999E-2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5" t="s">
        <v>148</v>
      </c>
      <c r="C18" s="56">
        <v>10</v>
      </c>
      <c r="D18" s="57">
        <v>1.35E-2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5" t="s">
        <v>149</v>
      </c>
      <c r="C19" s="56">
        <v>8</v>
      </c>
      <c r="D19" s="57">
        <v>1.0800000000000001E-2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5" t="s">
        <v>147</v>
      </c>
      <c r="C20" s="56">
        <v>7</v>
      </c>
      <c r="D20" s="57">
        <v>9.4000000000000004E-3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5" t="s">
        <v>146</v>
      </c>
      <c r="C21" s="56">
        <v>6</v>
      </c>
      <c r="D21" s="57">
        <v>8.0999999999999996E-3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5" t="s">
        <v>151</v>
      </c>
      <c r="C22" s="56">
        <v>4</v>
      </c>
      <c r="D22" s="57">
        <v>5.4000000000000003E-3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5" t="s">
        <v>154</v>
      </c>
      <c r="C23" s="56">
        <v>3</v>
      </c>
      <c r="D23" s="57">
        <v>4.0000000000000001E-3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5" t="s">
        <v>156</v>
      </c>
      <c r="C24" s="56">
        <v>3</v>
      </c>
      <c r="D24" s="57">
        <v>4.0000000000000001E-3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5" t="s">
        <v>155</v>
      </c>
      <c r="C25" s="56">
        <v>1</v>
      </c>
      <c r="D25" s="57">
        <v>1.2999999999999999E-3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5" t="s">
        <v>152</v>
      </c>
      <c r="C26" s="56">
        <v>1</v>
      </c>
      <c r="D26" s="57">
        <v>1.2999999999999999E-3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5" t="s">
        <v>153</v>
      </c>
      <c r="C27" s="56">
        <v>1</v>
      </c>
      <c r="D27" s="57">
        <v>1.2999999999999999E-3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5" t="s">
        <v>157</v>
      </c>
      <c r="C28" s="56">
        <v>1</v>
      </c>
      <c r="D28" s="57">
        <v>1.2999999999999999E-3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8" t="s">
        <v>47</v>
      </c>
      <c r="C29" s="59">
        <v>743</v>
      </c>
      <c r="D29" s="60">
        <v>1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 ht="18" customHeight="1">
      <c r="I30" s="50"/>
      <c r="J30" s="50"/>
      <c r="K30" s="50"/>
      <c r="L30" s="50"/>
      <c r="M30" s="50"/>
      <c r="N30" s="50"/>
      <c r="O30" s="50"/>
      <c r="P30" s="50"/>
    </row>
    <row r="31" spans="2:16" ht="18" customHeight="1">
      <c r="B31" s="54" t="s">
        <v>70</v>
      </c>
      <c r="C31" s="54"/>
      <c r="D31" s="54"/>
      <c r="E31" s="54"/>
      <c r="F31" s="54"/>
      <c r="G31" s="54"/>
      <c r="H31" s="54"/>
      <c r="I31" s="50"/>
      <c r="J31" s="50"/>
      <c r="K31" s="50"/>
      <c r="L31" s="50"/>
      <c r="M31" s="50"/>
      <c r="N31" s="50"/>
      <c r="O31" s="50"/>
      <c r="P31" s="50"/>
    </row>
    <row r="32" spans="2:16" ht="18" customHeight="1">
      <c r="B32" s="54" t="s">
        <v>39</v>
      </c>
      <c r="C32" s="54"/>
      <c r="D32" s="54"/>
      <c r="E32" s="54"/>
      <c r="F32" s="54"/>
      <c r="G32" s="54"/>
      <c r="H32" s="54"/>
      <c r="I32" s="50"/>
      <c r="J32" s="50"/>
      <c r="K32" s="50"/>
      <c r="L32" s="50"/>
      <c r="M32" s="50"/>
      <c r="N32" s="50"/>
      <c r="O32" s="50"/>
      <c r="P32" s="50"/>
    </row>
    <row r="33" spans="2:16" ht="18" customHeight="1">
      <c r="B33" s="54" t="s">
        <v>71</v>
      </c>
      <c r="C33" s="54"/>
      <c r="D33" s="54"/>
      <c r="E33" s="54"/>
      <c r="F33" s="54"/>
      <c r="G33" s="54"/>
      <c r="H33" s="54"/>
      <c r="I33" s="50"/>
      <c r="J33" s="50"/>
      <c r="K33" s="50"/>
      <c r="L33" s="50"/>
      <c r="M33" s="50"/>
      <c r="N33" s="50"/>
      <c r="O33" s="50"/>
      <c r="P33" s="50"/>
    </row>
    <row r="34" spans="2:16">
      <c r="B34" s="54" t="s">
        <v>72</v>
      </c>
      <c r="C34" s="54"/>
      <c r="D34" s="54"/>
      <c r="E34" s="54"/>
      <c r="F34" s="54"/>
      <c r="G34" s="54"/>
      <c r="H34" s="54"/>
      <c r="I34" s="50"/>
      <c r="J34" s="50"/>
      <c r="K34" s="50"/>
      <c r="L34" s="50"/>
      <c r="M34" s="50"/>
      <c r="N34" s="50"/>
      <c r="O34" s="50"/>
      <c r="P34" s="50"/>
    </row>
    <row r="35" spans="2:16">
      <c r="B35" s="54" t="s">
        <v>73</v>
      </c>
      <c r="C35" s="54"/>
      <c r="D35" s="54"/>
      <c r="E35" s="54"/>
      <c r="F35" s="54"/>
      <c r="G35" s="54"/>
      <c r="H35" s="5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16</vt:i4>
      </vt:variant>
    </vt:vector>
  </HeadingPairs>
  <TitlesOfParts>
    <vt:vector size="30" baseType="lpstr">
      <vt:lpstr>Índice</vt:lpstr>
      <vt:lpstr>Quintana Roo_EdoUsa</vt:lpstr>
      <vt:lpstr>Quintana Roo_Cons</vt:lpstr>
      <vt:lpstr>Quintana Roo_EdoMun</vt:lpstr>
      <vt:lpstr>Quintana Roo_USAMuni</vt:lpstr>
      <vt:lpstr>Quintana Roo_MUNICIPIO</vt:lpstr>
      <vt:lpstr>Quintana Roo_educ_gral</vt:lpstr>
      <vt:lpstr>Quintana Roo_NivelE_Cons</vt:lpstr>
      <vt:lpstr>Quintana Roo_EducCons</vt:lpstr>
      <vt:lpstr>Quintana Roo_GenGral</vt:lpstr>
      <vt:lpstr>Quintana Roo_GENERO</vt:lpstr>
      <vt:lpstr>Quintana Roo_GenCon</vt:lpstr>
      <vt:lpstr>Quintana Roo_Gen_Edad</vt:lpstr>
      <vt:lpstr>Quintana Roo_ocup_gral</vt:lpstr>
      <vt:lpstr>'Quintana Roo_EducCons'!Área_de_impresión</vt:lpstr>
      <vt:lpstr>'Quintana Roo_MUNICIPIO'!Área_de_impresión</vt:lpstr>
      <vt:lpstr>'Quintana Roo_NivelE_Cons'!Área_de_impresión</vt:lpstr>
      <vt:lpstr>'Quintana Roo_USAMuni'!Área_de_impresión</vt:lpstr>
      <vt:lpstr>'Quintana Roo_Cons'!Títulos_a_imprimir</vt:lpstr>
      <vt:lpstr>'Quintana Roo_EdoMun'!Títulos_a_imprimir</vt:lpstr>
      <vt:lpstr>'Quintana Roo_EdoUsa'!Títulos_a_imprimir</vt:lpstr>
      <vt:lpstr>'Quintana Roo_educ_gral'!Títulos_a_imprimir</vt:lpstr>
      <vt:lpstr>'Quintana Roo_EducCons'!Títulos_a_imprimir</vt:lpstr>
      <vt:lpstr>'Quintana Roo_Gen_Edad'!Títulos_a_imprimir</vt:lpstr>
      <vt:lpstr>'Quintana Roo_GENERO'!Títulos_a_imprimir</vt:lpstr>
      <vt:lpstr>'Quintana Roo_GenGral'!Títulos_a_imprimir</vt:lpstr>
      <vt:lpstr>'Quintana Roo_MUNICIPIO'!Títulos_a_imprimir</vt:lpstr>
      <vt:lpstr>'Quintana Roo_NivelE_Cons'!Títulos_a_imprimir</vt:lpstr>
      <vt:lpstr>'Quintana Roo_ocup_gral'!Títulos_a_imprimir</vt:lpstr>
      <vt:lpstr>'Quintana Roo_USAMuni'!Títulos_a_imprimir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2020-06-02T18:53:53Z</dcterms:created>
  <dcterms:modified xsi:type="dcterms:W3CDTF">2022-05-20T18:07:40Z</dcterms:modified>
</cp:coreProperties>
</file>