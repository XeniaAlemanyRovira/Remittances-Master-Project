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4"/>
  </bookViews>
  <sheets>
    <sheet name="Índice" sheetId="14" r:id="rId1"/>
    <sheet name="Colima_EdoUsa" sheetId="1" r:id="rId2"/>
    <sheet name="Colima_Cons" sheetId="15" r:id="rId3"/>
    <sheet name="Colima_EdoMun" sheetId="4" r:id="rId4"/>
    <sheet name="Colima_USAMuni" sheetId="5" r:id="rId5"/>
    <sheet name="Colima_MUNICIPIO" sheetId="6" r:id="rId6"/>
    <sheet name="Colima_educ_gral" sheetId="7" r:id="rId7"/>
    <sheet name="Colima_NivelE_Cons" sheetId="8" r:id="rId8"/>
    <sheet name="Colima_EducCons" sheetId="9" r:id="rId9"/>
    <sheet name="Colima_GenGral" sheetId="10" r:id="rId10"/>
    <sheet name="Colima_GENERO" sheetId="11" r:id="rId11"/>
    <sheet name="Colima_GenCon" sheetId="17" r:id="rId12"/>
    <sheet name="Colima_Gen_Edad" sheetId="12" r:id="rId13"/>
    <sheet name="Colima_ocup_gral" sheetId="13" r:id="rId14"/>
  </sheets>
  <definedNames>
    <definedName name="_xlnm._FilterDatabase" localSheetId="2" hidden="1">Colima_Cons!$B$11:$D$11</definedName>
    <definedName name="_xlnm._FilterDatabase" localSheetId="3" hidden="1">Colima_EdoMun!$B$11:$D$11</definedName>
    <definedName name="_xlnm._FilterDatabase" localSheetId="1" hidden="1">Colima_EdoUsa!$B$11:$D$11</definedName>
    <definedName name="_xlnm._FilterDatabase" localSheetId="6" hidden="1">Colima_educ_gral!$B$11:$D$11</definedName>
    <definedName name="_xlnm._FilterDatabase" localSheetId="8" hidden="1">Colima_EducCons!$B$9:$E$520</definedName>
    <definedName name="_xlnm._FilterDatabase" localSheetId="11" hidden="1">Colima_GenCon!$B$15:$E$146</definedName>
    <definedName name="_xlnm._FilterDatabase" localSheetId="10" hidden="1">Colima_GENERO!$B$12:$E$140</definedName>
    <definedName name="_xlnm._FilterDatabase" localSheetId="9" hidden="1">Colima_GenGral!#REF!</definedName>
    <definedName name="_xlnm._FilterDatabase" localSheetId="5" hidden="1">Colima_MUNICIPIO!$B$9:$E$361</definedName>
    <definedName name="_xlnm._FilterDatabase" localSheetId="7" hidden="1">Colima_NivelE_Cons!$B$9:$E$376</definedName>
    <definedName name="_xlnm._FilterDatabase" localSheetId="13" hidden="1">Colima_ocup_gral!$B$11:$D$11</definedName>
    <definedName name="_xlnm._FilterDatabase" localSheetId="4" hidden="1">Colima_USAMuni!$B$9:$E$277</definedName>
    <definedName name="_xlnm.Print_Area" localSheetId="8">Colima_EducCons!$A$1:$E$9</definedName>
    <definedName name="_xlnm.Print_Area" localSheetId="5">Colima_MUNICIPIO!$A$1:$E$9</definedName>
    <definedName name="_xlnm.Print_Area" localSheetId="7">Colima_NivelE_Cons!$A$1:$E$9</definedName>
    <definedName name="_xlnm.Print_Area" localSheetId="4">Colima_USAMuni!$A$1:$E$9</definedName>
    <definedName name="_xlnm.Print_Titles" localSheetId="2">Colima_Cons!$1:$11</definedName>
    <definedName name="_xlnm.Print_Titles" localSheetId="3">Colima_EdoMun!$1:$11</definedName>
    <definedName name="_xlnm.Print_Titles" localSheetId="1">Colima_EdoUsa!$1:$11</definedName>
    <definedName name="_xlnm.Print_Titles" localSheetId="6">Colima_educ_gral!$1:$11</definedName>
    <definedName name="_xlnm.Print_Titles" localSheetId="8">Colima_EducCons!$1:$9</definedName>
    <definedName name="_xlnm.Print_Titles" localSheetId="12">Colima_Gen_Edad!$1:$12</definedName>
    <definedName name="_xlnm.Print_Titles" localSheetId="10">Colima_GENERO!$1:$12</definedName>
    <definedName name="_xlnm.Print_Titles" localSheetId="9">Colima_GenGral!$1:$10</definedName>
    <definedName name="_xlnm.Print_Titles" localSheetId="5">Colima_MUNICIPIO!$1:$9</definedName>
    <definedName name="_xlnm.Print_Titles" localSheetId="7">Colima_NivelE_Cons!$1:$9</definedName>
    <definedName name="_xlnm.Print_Titles" localSheetId="13">Colima_ocup_gral!$1:$11</definedName>
    <definedName name="_xlnm.Print_Titles" localSheetId="4">Colima_USAMuni!$1:$9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<sst xmlns="http://schemas.openxmlformats.org/spreadsheetml/2006/main" count="2295" uniqueCount="205">
  <si>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</si>
  <si>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</si>
  <si>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</si>
  <si>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</si>
  <si>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</si>
  <si>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</si>
  <si>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</si>
  <si>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</si>
  <si>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</si>
  <si>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</si>
  <si>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</si>
  <si>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</si>
  <si>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</si>
  <si>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</si>
  <si>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</si>
  <si>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</si>
  <si>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</si>
  <si>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</si>
  <si>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</si>
  <si>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</si>
  <si>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</si>
  <si>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</si>
  <si>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</si>
  <si>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</si>
  <si>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</si>
  <si>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</si>
  <si>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</si>
  <si>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</si>
  <si>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</si>
  <si>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</si>
  <si>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</si>
  <si>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</si>
  <si>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</si>
  <si>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</si>
  <si>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</si>
  <si>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</si>
  <si>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</si>
  <si>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</si>
  <si>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</si>
  <si>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</si>
  <si>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</si>
  <si>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Wyoming</t>
  </si>
  <si>
    <t>Massachusetts</t>
  </si>
  <si>
    <t>South Dakota</t>
  </si>
  <si>
    <t>Total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</si>
  <si>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</si>
  <si>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</si>
  <si>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</si>
  <si>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</si>
  <si>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</si>
  <si>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</si>
  <si>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</si>
  <si>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</si>
  <si>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</si>
  <si>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</si>
  <si>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</si>
  <si>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</si>
  <si>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</si>
  <si>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</si>
  <si>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</si>
  <si>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</si>
  <si>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</si>
  <si>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</si>
  <si>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</si>
  <si>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</si>
  <si>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</si>
  <si>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</si>
  <si>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</si>
  <si>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</si>
  <si>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</si>
  <si>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</si>
  <si>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</si>
  <si>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</si>
  <si>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</si>
  <si>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</si>
  <si>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</si>
  <si>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</si>
  <si>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</si>
  <si>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</si>
  <si>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</si>
  <si>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</si>
  <si>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</si>
  <si>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</si>
  <si>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</si>
  <si>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</si>
  <si>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</si>
  <si>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</si>
  <si>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</si>
  <si>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</si>
  <si>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</si>
  <si>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</si>
  <si>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</si>
  <si>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</si>
  <si>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</si>
  <si>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</si>
  <si>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</si>
  <si>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</si>
  <si>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</si>
  <si>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</si>
  <si>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</si>
  <si>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</si>
  <si>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</si>
  <si>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</si>
  <si>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</si>
  <si>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</si>
  <si>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</si>
  <si>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</si>
  <si>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</si>
  <si>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</si>
  <si>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</si>
  <si>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</si>
  <si>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</si>
  <si>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</si>
  <si>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</si>
  <si>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</si>
  <si>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</si>
  <si>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</si>
  <si>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</si>
  <si>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</si>
  <si>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</si>
  <si>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</si>
  <si>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</si>
  <si>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</si>
  <si>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YUMA</t>
  </si>
  <si>
    <t>ANCHORAGE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</si>
  <si>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</si>
  <si>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</si>
  <si>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</si>
  <si>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</si>
  <si>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</si>
  <si>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</si>
  <si>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</si>
  <si>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</si>
  <si>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</si>
  <si>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</si>
  <si>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</si>
  <si>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</si>
  <si>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</si>
  <si>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</si>
  <si>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</si>
  <si>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</si>
  <si>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</si>
  <si>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</si>
  <si>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</si>
  <si>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</si>
  <si>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</si>
  <si>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</si>
  <si>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</si>
  <si>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</si>
  <si>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</si>
  <si>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</si>
  <si>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</si>
  <si>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</si>
  <si>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</si>
  <si>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</si>
  <si>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</si>
  <si>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</si>
  <si>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</si>
  <si>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</si>
  <si>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</si>
  <si>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</si>
  <si>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</si>
  <si>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</si>
  <si>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</si>
  <si>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</si>
  <si>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</si>
  <si>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</si>
  <si>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</si>
  <si>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</si>
  <si>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</si>
  <si>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</si>
  <si>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</si>
  <si>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</si>
  <si>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</si>
  <si>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SACERDOTE</t>
  </si>
  <si>
    <t>CARNICERO</t>
  </si>
  <si>
    <t>5.2 Por Estado de USA</t>
  </si>
  <si>
    <t>5.3 Por Circunscripción Consular</t>
  </si>
  <si>
    <t>Vermont</t>
  </si>
  <si>
    <t>alifornia</t>
  </si>
  <si>
    <t>TAXISTA</t>
  </si>
  <si>
    <t>New Hampshire</t>
  </si>
  <si>
    <t>CUAUHTEMOC</t>
  </si>
  <si>
    <t>20. ANO DE PROFESIONAL</t>
  </si>
  <si>
    <t>Maine</t>
  </si>
  <si>
    <t>Matrículas consulares expedidas a originarios de Colima en el 2013.</t>
  </si>
  <si>
    <t>MATRÍCULAS CONSULARES DE ALTA SEGURIDAD EXPEDIDAS A ORIGINARIOS DE COLIMA POR ESTADO DE LA UNIÓN AMERICANA. DURANTE EL 2013</t>
  </si>
  <si>
    <t>MATRÍCULAS CONSULARES DE ALTA SEGURIDAD EXPEDIDAS DURANTE EL 2013 A ORIGINARIOS DE COLIMA EN LOS CONSULADOS DE MÉXICO EN EE.UU.</t>
  </si>
  <si>
    <t>COLIMA</t>
  </si>
  <si>
    <t>TECOMAN</t>
  </si>
  <si>
    <t>MANZANILLO</t>
  </si>
  <si>
    <t>ARMERIA</t>
  </si>
  <si>
    <t>VILLA DE ALVAREZ</t>
  </si>
  <si>
    <t>COQUIMATLAN</t>
  </si>
  <si>
    <t>COMALA</t>
  </si>
  <si>
    <t>MINATITLAN</t>
  </si>
  <si>
    <t>IXTLAHUACAN</t>
  </si>
  <si>
    <t>MATRÍCULAS CONSULARES DE ALTA SEGURIDAD EXPEDIDAS POR MUNICIPIO A ORIGINARIOS DEL ESTADO DE COLIMA  EN LOS CONSULADOS DE MÉXICO EN EE.UU. 2013</t>
  </si>
  <si>
    <t>MATRÍCULAS CONSULARES EXPEDIDAS EN EE.UU. A ORIGINARIOS DE COLIMA POR NIVEL DE EDUCACIÓN, 2013.</t>
  </si>
  <si>
    <t>Mayo de 2014</t>
  </si>
  <si>
    <t>MATRÍCULAS CONSULARES EXPEDIDAS A ORIGINARIOS DE COLIMA POR GÉNERO Y ESTADO DE MÉXICO 2013.</t>
  </si>
  <si>
    <t>MATRÍCULAS CONSULARES EXPEDIDAS A ORIGINARIOS DE COLIMA POR GÉNERO Y EDAD EN EE.UU.</t>
  </si>
  <si>
    <t>MATRÍCULAS CONSULARES EXPEDIDAS EN EE.UU. A ORIGINARIOS DE COLIMA POR PERFIL OCUPACIONAL, 2013.</t>
  </si>
  <si>
    <t>MATRÍCULAS CONSULARES EXPEDIDAS A ORIGINARIOS DE COLIMA POR GÉNERO EN EE.UU DURANTE EL 2013.</t>
  </si>
  <si>
    <r>
      <t>MATRÍCULAS CONSULARES EXPEDIDAS A ORIGINARIOS DE COLIMA POR GÉNERO Y CONSULADO DE MÉXICO 2013</t>
    </r>
    <r>
      <rPr>
        <sz val="11"/>
        <color rgb="FF000000"/>
        <rFont val="Montserrat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</si>
</sst>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0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rgb="FF00000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18" fillId="0" borderId="8" xfId="0" applyFont="1" applyBorder="1"/>
    <xf numFmtId="0" fontId="20" fillId="0" borderId="0" xfId="1" applyFont="1" applyAlignment="1"/>
    <xf numFmtId="3" fontId="21" fillId="4" borderId="0" xfId="0" applyNumberFormat="1" applyFont="1" applyFill="1" applyAlignment="1">
      <alignment horizontal="center" vertical="center" wrapText="1"/>
    </xf>
    <xf numFmtId="10" fontId="21" fillId="4" borderId="0" xfId="0" applyNumberFormat="1" applyFont="1" applyFill="1" applyAlignment="1">
      <alignment horizontal="center" vertical="center" wrapText="1"/>
    </xf>
    <xf numFmtId="0" fontId="21" fillId="3" borderId="3" xfId="0" applyFont="1" applyFill="1" applyBorder="1" applyAlignment="1">
      <alignment horizontal="left" vertical="center" wrapText="1"/>
    </xf>
    <xf numFmtId="0" fontId="21" fillId="3" borderId="3" xfId="0" applyFont="1" applyFill="1" applyBorder="1" applyAlignment="1">
      <alignment horizontal="center" vertical="center" wrapText="1"/>
    </xf>
    <xf numFmtId="10" fontId="21" fillId="3" borderId="3" xfId="0" applyNumberFormat="1" applyFont="1" applyFill="1" applyBorder="1" applyAlignment="1">
      <alignment horizontal="center" vertical="center" wrapText="1"/>
    </xf>
    <xf numFmtId="3" fontId="21" fillId="3" borderId="3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9" fontId="4" fillId="4" borderId="0" xfId="0" applyNumberFormat="1" applyFont="1" applyFill="1" applyAlignment="1">
      <alignment horizontal="center" vertical="center" wrapText="1"/>
    </xf>
    <xf numFmtId="0" fontId="22" fillId="3" borderId="3" xfId="0" applyFont="1" applyFill="1" applyBorder="1"/>
    <xf numFmtId="3" fontId="22" fillId="3" borderId="3" xfId="0" applyNumberFormat="1" applyFont="1" applyFill="1" applyBorder="1"/>
    <xf numFmtId="0" fontId="22" fillId="0" borderId="3" xfId="0" applyFont="1" applyBorder="1"/>
    <xf numFmtId="3" fontId="22" fillId="0" borderId="3" xfId="0" applyNumberFormat="1" applyFont="1" applyBorder="1"/>
    <xf numFmtId="49" fontId="4" fillId="6" borderId="3" xfId="0" applyNumberFormat="1" applyFont="1" applyFill="1" applyBorder="1" applyAlignment="1">
      <alignment vertical="center" wrapText="1"/>
    </xf>
    <xf numFmtId="3" fontId="4" fillId="6" borderId="3" xfId="0" applyNumberFormat="1" applyFont="1" applyFill="1" applyBorder="1" applyAlignment="1">
      <alignment horizontal="right" vertical="center" wrapText="1"/>
    </xf>
    <xf numFmtId="164" fontId="4" fillId="6" borderId="3" xfId="0" applyNumberFormat="1" applyFont="1" applyFill="1" applyBorder="1" applyAlignment="1">
      <alignment horizontal="right" vertical="center" wrapText="1"/>
    </xf>
    <xf numFmtId="165" fontId="22" fillId="0" borderId="3" xfId="0" applyNumberFormat="1" applyFont="1" applyBorder="1"/>
    <xf numFmtId="165" fontId="22" fillId="3" borderId="3" xfId="0" applyNumberFormat="1" applyFont="1" applyFill="1" applyBorder="1"/>
    <xf numFmtId="0" fontId="22" fillId="0" borderId="0" xfId="0" applyFont="1"/>
    <xf numFmtId="0" fontId="24" fillId="0" borderId="0" xfId="1" applyFont="1" applyAlignment="1"/>
    <xf numFmtId="0" fontId="22" fillId="3" borderId="0" xfId="0" applyFont="1" applyFill="1"/>
    <xf numFmtId="3" fontId="22" fillId="3" borderId="0" xfId="0" applyNumberFormat="1" applyFont="1" applyFill="1"/>
    <xf numFmtId="0" fontId="4" fillId="5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3" fontId="4" fillId="5" borderId="3" xfId="0" applyNumberFormat="1" applyFont="1" applyFill="1" applyBorder="1" applyAlignment="1">
      <alignment horizontal="center" vertical="center" wrapText="1"/>
    </xf>
    <xf numFmtId="9" fontId="4" fillId="5" borderId="3" xfId="0" applyNumberFormat="1" applyFont="1" applyFill="1" applyBorder="1" applyAlignment="1">
      <alignment horizontal="center" vertical="center" wrapText="1"/>
    </xf>
    <xf numFmtId="0" fontId="19" fillId="0" borderId="8" xfId="3" applyFont="1" applyBorder="1" applyAlignment="1">
      <alignment horizontal="left"/>
    </xf>
    <xf numFmtId="0" fontId="19" fillId="0" borderId="0" xfId="3" applyFont="1" applyBorder="1" applyAlignment="1">
      <alignment horizontal="left"/>
    </xf>
    <xf numFmtId="0" fontId="17" fillId="2" borderId="5" xfId="0" applyFont="1" applyFill="1" applyBorder="1" applyAlignment="1">
      <alignment horizontal="center" wrapText="1"/>
    </xf>
    <xf numFmtId="0" fontId="17" fillId="2" borderId="6" xfId="0" applyFont="1" applyFill="1" applyBorder="1" applyAlignment="1">
      <alignment horizontal="center" wrapText="1"/>
    </xf>
    <xf numFmtId="0" fontId="17" fillId="2" borderId="7" xfId="0" applyFont="1" applyFill="1" applyBorder="1" applyAlignment="1">
      <alignment horizontal="center" wrapText="1"/>
    </xf>
    <xf numFmtId="0" fontId="18" fillId="0" borderId="8" xfId="0" applyFont="1" applyBorder="1" applyAlignment="1">
      <alignment horizontal="left" wrapText="1"/>
    </xf>
    <xf numFmtId="0" fontId="18" fillId="0" borderId="0" xfId="0" applyFont="1" applyBorder="1" applyAlignment="1">
      <alignment horizontal="left" wrapText="1"/>
    </xf>
    <xf numFmtId="0" fontId="18" fillId="0" borderId="9" xfId="0" applyFont="1" applyBorder="1" applyAlignment="1">
      <alignment horizontal="left" wrapText="1"/>
    </xf>
    <xf numFmtId="0" fontId="0" fillId="0" borderId="0" xfId="0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21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1" fillId="4" borderId="0" xfId="0" applyFont="1" applyFill="1" applyAlignment="1">
      <alignment horizontal="left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591266</xdr:colOff>
      <xdr:row>1</xdr:row>
      <xdr:rowOff>155267</xdr:rowOff>
    </xdr:from>
    <xdr:to>
      <xdr:col>3</xdr:col>
      <xdr:colOff>1103363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1549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295275</xdr:colOff>
      <xdr:row>11</xdr:row>
      <xdr:rowOff>114300</xdr:rowOff>
    </xdr:from>
    <xdr:to>
      <xdr:col>6</xdr:col>
      <xdr:colOff>42651</xdr:colOff>
      <xdr:row>12</xdr:row>
      <xdr:rowOff>108155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314950" y="2209800"/>
          <a:ext cx="50937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2" t="s">
        <v>185</v>
      </c>
      <c r="B1" s="83"/>
      <c r="C1" s="83"/>
      <c r="D1" s="84"/>
    </row>
    <row r="2" spans="1:4">
      <c r="A2" s="31"/>
      <c r="B2" s="32"/>
      <c r="C2" s="32"/>
      <c r="D2" s="33"/>
    </row>
    <row r="3" spans="1:4">
      <c r="A3" s="85" t="s">
        <v>61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34"/>
      <c r="B5" s="35"/>
      <c r="C5" s="35"/>
      <c r="D5" s="36"/>
    </row>
    <row r="6" spans="1:4" ht="18.75">
      <c r="A6" s="80" t="s">
        <v>62</v>
      </c>
      <c r="B6" s="81"/>
      <c r="C6" s="81"/>
      <c r="D6"/>
    </row>
    <row r="7" spans="1:4">
      <c r="A7" s="37"/>
      <c r="B7" s="38"/>
      <c r="C7" s="38"/>
      <c r="D7" s="39"/>
    </row>
    <row r="8" spans="1:4" ht="18.75">
      <c r="A8" s="80" t="s">
        <v>63</v>
      </c>
      <c r="B8" s="81"/>
      <c r="C8" s="81"/>
      <c r="D8"/>
    </row>
    <row r="9" spans="1:4">
      <c r="A9" s="40"/>
      <c r="B9" s="41"/>
      <c r="C9" s="41"/>
      <c r="D9" s="42"/>
    </row>
    <row r="10" spans="1:4" ht="18.75">
      <c r="A10" s="50" t="s">
        <v>64</v>
      </c>
      <c r="B10" s="41"/>
      <c r="C10" s="41"/>
      <c r="D10" s="42"/>
    </row>
    <row r="11" spans="1:4" ht="18.75">
      <c r="A11" s="40"/>
      <c r="B11" s="80" t="s">
        <v>65</v>
      </c>
      <c r="C11" s="81"/>
      <c r="D11" s="81"/>
    </row>
    <row r="12" spans="1:4" ht="18.75">
      <c r="A12" s="40"/>
      <c r="B12" s="80" t="s">
        <v>66</v>
      </c>
      <c r="C12" s="81"/>
      <c r="D12" s="81"/>
    </row>
    <row r="13" spans="1:4" ht="18.75">
      <c r="A13" s="40"/>
      <c r="B13" s="80" t="s">
        <v>67</v>
      </c>
      <c r="C13" s="81"/>
      <c r="D13" s="81"/>
    </row>
    <row r="14" spans="1:4">
      <c r="A14" s="40"/>
      <c r="B14" s="41"/>
      <c r="C14" s="41"/>
      <c r="D14" s="42"/>
    </row>
    <row r="15" spans="1:4" ht="18.75">
      <c r="A15" s="50" t="s">
        <v>68</v>
      </c>
      <c r="B15" s="41"/>
      <c r="C15" s="41"/>
      <c r="D15" s="42"/>
    </row>
    <row r="16" spans="1:4" ht="18.75">
      <c r="A16" s="40"/>
      <c r="B16" s="80" t="s">
        <v>69</v>
      </c>
      <c r="C16" s="81"/>
      <c r="D16" s="81"/>
    </row>
    <row r="17" spans="1:4" ht="18.75">
      <c r="A17" s="40"/>
      <c r="B17" s="80" t="s">
        <v>70</v>
      </c>
      <c r="C17" s="81"/>
      <c r="D17" s="81"/>
    </row>
    <row r="18" spans="1:4" ht="18.75">
      <c r="A18" s="40"/>
      <c r="B18" s="80" t="s">
        <v>71</v>
      </c>
      <c r="C18" s="81"/>
      <c r="D18" s="81"/>
    </row>
    <row r="19" spans="1:4">
      <c r="A19" s="40"/>
      <c r="B19" s="41"/>
      <c r="C19" s="41"/>
      <c r="D19" s="42"/>
    </row>
    <row r="20" spans="1:4" ht="18.75">
      <c r="A20" s="50" t="s">
        <v>72</v>
      </c>
      <c r="B20" s="41"/>
      <c r="C20" s="41"/>
      <c r="D20" s="42"/>
    </row>
    <row r="21" spans="1:4" ht="18.75">
      <c r="A21" s="40"/>
      <c r="B21" s="80" t="s">
        <v>73</v>
      </c>
      <c r="C21" s="81"/>
      <c r="D21" s="81"/>
    </row>
    <row r="22" spans="1:4" ht="18.75" customHeight="1">
      <c r="A22" s="40"/>
      <c r="B22" s="80" t="s">
        <v>176</v>
      </c>
      <c r="C22" s="81"/>
      <c r="D22" s="81"/>
    </row>
    <row r="23" spans="1:4" ht="18.75">
      <c r="A23" s="40"/>
      <c r="B23" s="80" t="s">
        <v>177</v>
      </c>
      <c r="C23" s="81"/>
      <c r="D23" s="81"/>
    </row>
    <row r="24" spans="1:4" ht="18.75">
      <c r="A24" s="80" t="s">
        <v>74</v>
      </c>
      <c r="B24" s="81"/>
      <c r="C24" s="81"/>
      <c r="D24"/>
    </row>
    <row r="25" spans="1:4">
      <c r="A25" s="40"/>
      <c r="B25" s="88"/>
      <c r="C25" s="88"/>
      <c r="D25" s="88"/>
    </row>
    <row r="26" spans="1:4" ht="18.75">
      <c r="A26" s="80" t="s">
        <v>75</v>
      </c>
      <c r="B26" s="81"/>
      <c r="C26" s="81"/>
      <c r="D26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Colim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Colima_EdoMun!A1" display="3.1 Municipio general"/>
    <hyperlink ref="B13:D13" location="Colima_MUNICIPIO!A1" display="3.3 Por Circunscripción Consular"/>
    <hyperlink ref="B16:D16" location="Colima_educ_gral!A1" display="4.1 Educación general"/>
    <hyperlink ref="B17:D17" location="Colima_NivelE_Cons!A1" display="4.2 Por Estado de USA"/>
    <hyperlink ref="B18:D18" location="Colima_EducCons!A1" display="4.3 Por Circunscripción Consular"/>
    <hyperlink ref="B21:D21" location="Colima_GenGral!A1" display="5.1 Género General"/>
    <hyperlink ref="B22:D22" location="Colim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Colima_EdoUsa!A1" display="1. Por Estados de USA"/>
    <hyperlink ref="A8:C8" location="Colima_Cons!A1" display="2. Por Circunscripción Consular"/>
    <hyperlink ref="A26:D26" location="'Baja California Sur_ocup_gral'!A1" display="7. Por Ocupación"/>
    <hyperlink ref="B23:D23" location="Colima_GenCon!A1" display="5.3 Por Circunscripción Consular"/>
    <hyperlink ref="A24:C24" location="Colima_Gen_Edad!A1" display="6. Por estructura de Edad"/>
    <hyperlink ref="A26:C26" location="Colim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2"/>
  <sheetViews>
    <sheetView showGridLines="0" topLeftCell="A22" zoomScaleNormal="100" zoomScaleSheetLayoutView="115" workbookViewId="0">
      <selection activeCell="G54" sqref="G54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179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9" t="s">
        <v>186</v>
      </c>
      <c r="C7" s="89"/>
      <c r="D7" s="89"/>
    </row>
    <row r="8" spans="1:16" s="1" customFormat="1" ht="15" customHeight="1">
      <c r="B8" s="89"/>
      <c r="C8" s="89"/>
      <c r="D8" s="89"/>
    </row>
    <row r="9" spans="1:16" s="1" customFormat="1" ht="33" customHeight="1">
      <c r="B9" s="89"/>
      <c r="C9" s="89"/>
      <c r="D9" s="89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4" t="s">
        <v>35</v>
      </c>
      <c r="C12" s="55">
        <v>16</v>
      </c>
      <c r="D12" s="56">
        <v>3.0000000000000001E-3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76</v>
      </c>
      <c r="C13" s="55">
        <v>1</v>
      </c>
      <c r="D13" s="56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22</v>
      </c>
      <c r="C14" s="55">
        <v>39</v>
      </c>
      <c r="D14" s="56">
        <v>6.0000000000000001E-3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13</v>
      </c>
      <c r="C15" s="55">
        <v>14</v>
      </c>
      <c r="D15" s="56">
        <v>2E-3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4</v>
      </c>
      <c r="C16" s="57">
        <v>4211</v>
      </c>
      <c r="D16" s="56">
        <v>0.70099999999999996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8</v>
      </c>
      <c r="C17" s="55">
        <v>51</v>
      </c>
      <c r="D17" s="56">
        <v>8.0000000000000002E-3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38</v>
      </c>
      <c r="C18" s="55">
        <v>5</v>
      </c>
      <c r="D18" s="56">
        <v>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10</v>
      </c>
      <c r="C19" s="55">
        <v>55</v>
      </c>
      <c r="D19" s="56">
        <v>8.9999999999999993E-3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12</v>
      </c>
      <c r="C20" s="55">
        <v>39</v>
      </c>
      <c r="D20" s="56">
        <v>6.0000000000000001E-3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26</v>
      </c>
      <c r="C21" s="55">
        <v>48</v>
      </c>
      <c r="D21" s="56">
        <v>8.0000000000000002E-3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6</v>
      </c>
      <c r="C22" s="55">
        <v>168</v>
      </c>
      <c r="D22" s="56">
        <v>2.8000000000000001E-2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9</v>
      </c>
      <c r="C23" s="55">
        <v>21</v>
      </c>
      <c r="D23" s="56">
        <v>3.0000000000000001E-3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24</v>
      </c>
      <c r="C24" s="55">
        <v>16</v>
      </c>
      <c r="D24" s="56">
        <v>3.0000000000000001E-3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16</v>
      </c>
      <c r="C25" s="55">
        <v>15</v>
      </c>
      <c r="D25" s="56">
        <v>2E-3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19</v>
      </c>
      <c r="C26" s="55">
        <v>8</v>
      </c>
      <c r="D26" s="56">
        <v>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29</v>
      </c>
      <c r="C27" s="55">
        <v>4</v>
      </c>
      <c r="D27" s="56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184</v>
      </c>
      <c r="C28" s="55">
        <v>2</v>
      </c>
      <c r="D28" s="56">
        <v>0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39</v>
      </c>
      <c r="C29" s="55">
        <v>1</v>
      </c>
      <c r="D29" s="56">
        <v>0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42</v>
      </c>
      <c r="C30" s="55">
        <v>3</v>
      </c>
      <c r="D30" s="56">
        <v>0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28</v>
      </c>
      <c r="C31" s="55">
        <v>13</v>
      </c>
      <c r="D31" s="56">
        <v>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30</v>
      </c>
      <c r="C32" s="55">
        <v>9</v>
      </c>
      <c r="D32" s="56">
        <v>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36</v>
      </c>
      <c r="C33" s="55">
        <v>2</v>
      </c>
      <c r="D33" s="56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25</v>
      </c>
      <c r="C34" s="55">
        <v>28</v>
      </c>
      <c r="D34" s="56">
        <v>5.0000000000000001E-3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23</v>
      </c>
      <c r="C35" s="55">
        <v>9</v>
      </c>
      <c r="D35" s="56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11</v>
      </c>
      <c r="C36" s="55">
        <v>269</v>
      </c>
      <c r="D36" s="56">
        <v>4.4999999999999998E-2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181</v>
      </c>
      <c r="C37" s="55">
        <v>17</v>
      </c>
      <c r="D37" s="56">
        <v>3.0000000000000001E-3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40</v>
      </c>
      <c r="C38" s="55">
        <v>8</v>
      </c>
      <c r="D38" s="56">
        <v>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18</v>
      </c>
      <c r="C39" s="55">
        <v>12</v>
      </c>
      <c r="D39" s="56">
        <v>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33</v>
      </c>
      <c r="C40" s="55">
        <v>9</v>
      </c>
      <c r="D40" s="56">
        <v>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15</v>
      </c>
      <c r="C41" s="55">
        <v>44</v>
      </c>
      <c r="D41" s="56">
        <v>7.0000000000000001E-3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34</v>
      </c>
      <c r="C42" s="55">
        <v>10</v>
      </c>
      <c r="D42" s="56">
        <v>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7</v>
      </c>
      <c r="C43" s="55">
        <v>13</v>
      </c>
      <c r="D43" s="56">
        <v>2E-3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31</v>
      </c>
      <c r="C44" s="55">
        <v>149</v>
      </c>
      <c r="D44" s="56">
        <v>2.5000000000000001E-2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37</v>
      </c>
      <c r="C45" s="55">
        <v>4</v>
      </c>
      <c r="D45" s="56">
        <v>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32</v>
      </c>
      <c r="C46" s="55">
        <v>6</v>
      </c>
      <c r="D46" s="56">
        <v>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43</v>
      </c>
      <c r="C47" s="55">
        <v>1</v>
      </c>
      <c r="D47" s="56">
        <v>0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14</v>
      </c>
      <c r="C48" s="55">
        <v>19</v>
      </c>
      <c r="D48" s="56">
        <v>3.0000000000000001E-3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5</v>
      </c>
      <c r="C49" s="55">
        <v>372</v>
      </c>
      <c r="D49" s="56">
        <v>6.2E-2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20</v>
      </c>
      <c r="C50" s="55">
        <v>75</v>
      </c>
      <c r="D50" s="56">
        <v>1.2E-2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178</v>
      </c>
      <c r="C51" s="55">
        <v>1</v>
      </c>
      <c r="D51" s="56">
        <v>0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27</v>
      </c>
      <c r="C52" s="55">
        <v>5</v>
      </c>
      <c r="D52" s="56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17</v>
      </c>
      <c r="C53" s="55">
        <v>197</v>
      </c>
      <c r="D53" s="56">
        <v>3.3000000000000002E-2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21</v>
      </c>
      <c r="C54" s="55">
        <v>13</v>
      </c>
      <c r="D54" s="56">
        <v>2E-3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41</v>
      </c>
      <c r="C55" s="55">
        <v>7</v>
      </c>
      <c r="D55" s="56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8" t="s">
        <v>53</v>
      </c>
      <c r="C56" s="59">
        <v>6009</v>
      </c>
      <c r="D56" s="60">
        <v>1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 ht="18" customHeight="1"/>
    <row r="58" spans="2:16" ht="18" customHeight="1">
      <c r="B58" s="51" t="s">
        <v>77</v>
      </c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</row>
    <row r="59" spans="2:16" ht="18" customHeight="1">
      <c r="B59" s="51" t="s">
        <v>45</v>
      </c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</row>
    <row r="60" spans="2:16" ht="18" customHeight="1">
      <c r="B60" s="51" t="s">
        <v>78</v>
      </c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</row>
    <row r="61" spans="2:16">
      <c r="B61" s="51" t="s">
        <v>79</v>
      </c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</row>
    <row r="62" spans="2:16">
      <c r="B62" s="51" t="s">
        <v>80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2"/>
  <sheetViews>
    <sheetView showGridLines="0" topLeftCell="A25" zoomScaleNormal="100" zoomScaleSheetLayoutView="115" workbookViewId="0">
      <selection activeCell="B56" sqref="B56:D5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9" t="s">
        <v>187</v>
      </c>
      <c r="C7" s="89"/>
      <c r="D7" s="89"/>
    </row>
    <row r="8" spans="1:16" s="1" customFormat="1" ht="15" customHeight="1">
      <c r="B8" s="89"/>
      <c r="C8" s="89"/>
      <c r="D8" s="89"/>
    </row>
    <row r="9" spans="1:16" s="1" customFormat="1" ht="33" customHeight="1">
      <c r="B9" s="89"/>
      <c r="C9" s="89"/>
      <c r="D9" s="89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4" t="s">
        <v>82</v>
      </c>
      <c r="C12" s="57">
        <v>1582</v>
      </c>
      <c r="D12" s="56">
        <v>0.26300000000000001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89</v>
      </c>
      <c r="C13" s="55">
        <v>869</v>
      </c>
      <c r="D13" s="56">
        <v>0.14499999999999999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95</v>
      </c>
      <c r="C14" s="55">
        <v>482</v>
      </c>
      <c r="D14" s="56">
        <v>0.08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87</v>
      </c>
      <c r="C15" s="55">
        <v>373</v>
      </c>
      <c r="D15" s="56">
        <v>6.2E-2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103</v>
      </c>
      <c r="C16" s="55">
        <v>278</v>
      </c>
      <c r="D16" s="56">
        <v>4.5999999999999999E-2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94</v>
      </c>
      <c r="C17" s="55">
        <v>247</v>
      </c>
      <c r="D17" s="56">
        <v>4.1000000000000002E-2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99</v>
      </c>
      <c r="C18" s="55">
        <v>230</v>
      </c>
      <c r="D18" s="56">
        <v>3.7999999999999999E-2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81</v>
      </c>
      <c r="C19" s="55">
        <v>190</v>
      </c>
      <c r="D19" s="56">
        <v>3.2000000000000001E-2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90</v>
      </c>
      <c r="C20" s="55">
        <v>182</v>
      </c>
      <c r="D20" s="56">
        <v>0.03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111</v>
      </c>
      <c r="C21" s="55">
        <v>180</v>
      </c>
      <c r="D21" s="56">
        <v>0.03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112</v>
      </c>
      <c r="C22" s="55">
        <v>164</v>
      </c>
      <c r="D22" s="56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85</v>
      </c>
      <c r="C23" s="55">
        <v>159</v>
      </c>
      <c r="D23" s="56">
        <v>2.5999999999999999E-2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107</v>
      </c>
      <c r="C24" s="55">
        <v>116</v>
      </c>
      <c r="D24" s="56">
        <v>1.9E-2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98</v>
      </c>
      <c r="C25" s="55">
        <v>112</v>
      </c>
      <c r="D25" s="56">
        <v>1.9E-2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86</v>
      </c>
      <c r="C26" s="55">
        <v>109</v>
      </c>
      <c r="D26" s="56">
        <v>1.7999999999999999E-2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102</v>
      </c>
      <c r="C27" s="55">
        <v>80</v>
      </c>
      <c r="D27" s="56">
        <v>1.2999999999999999E-2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88</v>
      </c>
      <c r="C28" s="55">
        <v>62</v>
      </c>
      <c r="D28" s="56">
        <v>0.01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110</v>
      </c>
      <c r="C29" s="55">
        <v>59</v>
      </c>
      <c r="D29" s="56">
        <v>0.01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84</v>
      </c>
      <c r="C30" s="55">
        <v>53</v>
      </c>
      <c r="D30" s="56">
        <v>8.9999999999999993E-3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91</v>
      </c>
      <c r="C31" s="55">
        <v>50</v>
      </c>
      <c r="D31" s="56">
        <v>8.0000000000000002E-3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93</v>
      </c>
      <c r="C32" s="55">
        <v>43</v>
      </c>
      <c r="D32" s="56">
        <v>7.0000000000000001E-3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83</v>
      </c>
      <c r="C33" s="55">
        <v>38</v>
      </c>
      <c r="D33" s="56">
        <v>6.0000000000000001E-3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100</v>
      </c>
      <c r="C34" s="55">
        <v>34</v>
      </c>
      <c r="D34" s="56">
        <v>6.0000000000000001E-3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114</v>
      </c>
      <c r="C35" s="55">
        <v>32</v>
      </c>
      <c r="D35" s="56">
        <v>5.0000000000000001E-3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96</v>
      </c>
      <c r="C36" s="55">
        <v>30</v>
      </c>
      <c r="D36" s="56">
        <v>5.0000000000000001E-3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97</v>
      </c>
      <c r="C37" s="55">
        <v>29</v>
      </c>
      <c r="D37" s="56">
        <v>5.0000000000000001E-3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106</v>
      </c>
      <c r="C38" s="55">
        <v>26</v>
      </c>
      <c r="D38" s="56">
        <v>4.0000000000000001E-3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92</v>
      </c>
      <c r="C39" s="55">
        <v>25</v>
      </c>
      <c r="D39" s="56">
        <v>4.0000000000000001E-3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101</v>
      </c>
      <c r="C40" s="55">
        <v>25</v>
      </c>
      <c r="D40" s="56">
        <v>4.0000000000000001E-3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121</v>
      </c>
      <c r="C41" s="55">
        <v>23</v>
      </c>
      <c r="D41" s="56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108</v>
      </c>
      <c r="C42" s="55">
        <v>20</v>
      </c>
      <c r="D42" s="56">
        <v>3.0000000000000001E-3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105</v>
      </c>
      <c r="C43" s="55">
        <v>17</v>
      </c>
      <c r="D43" s="56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119</v>
      </c>
      <c r="C44" s="55">
        <v>17</v>
      </c>
      <c r="D44" s="56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113</v>
      </c>
      <c r="C45" s="55">
        <v>11</v>
      </c>
      <c r="D45" s="56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117</v>
      </c>
      <c r="C46" s="55">
        <v>9</v>
      </c>
      <c r="D46" s="56">
        <v>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116</v>
      </c>
      <c r="C47" s="55">
        <v>9</v>
      </c>
      <c r="D47" s="56">
        <v>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104</v>
      </c>
      <c r="C48" s="55">
        <v>8</v>
      </c>
      <c r="D48" s="56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122</v>
      </c>
      <c r="C49" s="55">
        <v>8</v>
      </c>
      <c r="D49" s="56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118</v>
      </c>
      <c r="C50" s="55">
        <v>7</v>
      </c>
      <c r="D50" s="56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115</v>
      </c>
      <c r="C51" s="55">
        <v>6</v>
      </c>
      <c r="D51" s="56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109</v>
      </c>
      <c r="C52" s="55">
        <v>6</v>
      </c>
      <c r="D52" s="56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123</v>
      </c>
      <c r="C53" s="55">
        <v>5</v>
      </c>
      <c r="D53" s="56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120</v>
      </c>
      <c r="C54" s="55">
        <v>3</v>
      </c>
      <c r="D54" s="56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124</v>
      </c>
      <c r="C55" s="55">
        <v>1</v>
      </c>
      <c r="D55" s="56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8" t="s">
        <v>53</v>
      </c>
      <c r="C56" s="59">
        <v>6009</v>
      </c>
      <c r="D56" s="60">
        <v>1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 ht="18" customHeight="1"/>
    <row r="58" spans="2:16" ht="18" customHeight="1">
      <c r="B58" s="51" t="s">
        <v>77</v>
      </c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</row>
    <row r="59" spans="2:16" ht="18" customHeight="1">
      <c r="B59" s="51" t="s">
        <v>45</v>
      </c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</row>
    <row r="60" spans="2:16" ht="18" customHeight="1">
      <c r="B60" s="51" t="s">
        <v>78</v>
      </c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</row>
    <row r="61" spans="2:16">
      <c r="B61" s="51" t="s">
        <v>79</v>
      </c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</row>
    <row r="62" spans="2:16">
      <c r="B62" s="51" t="s">
        <v>80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28"/>
  <sheetViews>
    <sheetView showGridLines="0" zoomScaleNormal="100" zoomScaleSheetLayoutView="115" workbookViewId="0">
      <selection activeCell="H15" sqref="H1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9" t="s">
        <v>197</v>
      </c>
      <c r="C7" s="89"/>
      <c r="D7" s="89"/>
    </row>
    <row r="8" spans="1:16" s="1" customFormat="1" ht="15" customHeight="1">
      <c r="B8" s="89"/>
      <c r="C8" s="89"/>
      <c r="D8" s="89"/>
    </row>
    <row r="9" spans="1:16" s="1" customFormat="1" ht="33" customHeight="1">
      <c r="B9" s="89"/>
      <c r="C9" s="89"/>
      <c r="D9" s="89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4" t="s">
        <v>188</v>
      </c>
      <c r="C12" s="57">
        <v>1765</v>
      </c>
      <c r="D12" s="56">
        <v>0.29399999999999998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189</v>
      </c>
      <c r="C13" s="57">
        <v>1513</v>
      </c>
      <c r="D13" s="56">
        <v>0.252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190</v>
      </c>
      <c r="C14" s="57">
        <v>1090</v>
      </c>
      <c r="D14" s="56">
        <v>0.18099999999999999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191</v>
      </c>
      <c r="C15" s="55">
        <v>336</v>
      </c>
      <c r="D15" s="56">
        <v>5.6000000000000001E-2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192</v>
      </c>
      <c r="C16" s="55">
        <v>329</v>
      </c>
      <c r="D16" s="56">
        <v>5.5E-2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193</v>
      </c>
      <c r="C17" s="55">
        <v>248</v>
      </c>
      <c r="D17" s="56">
        <v>4.1000000000000002E-2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182</v>
      </c>
      <c r="C18" s="55">
        <v>245</v>
      </c>
      <c r="D18" s="56">
        <v>4.1000000000000002E-2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194</v>
      </c>
      <c r="C19" s="55">
        <v>213</v>
      </c>
      <c r="D19" s="56">
        <v>3.5000000000000003E-2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195</v>
      </c>
      <c r="C20" s="55">
        <v>145</v>
      </c>
      <c r="D20" s="56">
        <v>2.4E-2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196</v>
      </c>
      <c r="C21" s="55">
        <v>125</v>
      </c>
      <c r="D21" s="56">
        <v>2.1000000000000001E-2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8" t="s">
        <v>53</v>
      </c>
      <c r="C22" s="59">
        <v>6009</v>
      </c>
      <c r="D22" s="60">
        <v>1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18" customHeight="1"/>
    <row r="24" spans="2:16" ht="18" customHeight="1">
      <c r="B24" s="51" t="s">
        <v>77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</row>
    <row r="25" spans="2:16" ht="18" customHeight="1">
      <c r="B25" s="51" t="s">
        <v>45</v>
      </c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</row>
    <row r="26" spans="2:16" ht="18" customHeight="1">
      <c r="B26" s="51" t="s">
        <v>78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</row>
    <row r="27" spans="2:16">
      <c r="B27" s="51" t="s">
        <v>79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</row>
    <row r="28" spans="2:16">
      <c r="B28" s="51" t="s">
        <v>80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283"/>
  <sheetViews>
    <sheetView showGridLines="0" tabSelected="1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0"/>
      <c r="C7" s="90"/>
      <c r="D7" s="90"/>
      <c r="E7" s="90"/>
    </row>
    <row r="8" spans="1:16" s="15" customFormat="1" ht="33" customHeight="1">
      <c r="A8" s="16"/>
      <c r="B8" s="90"/>
      <c r="C8" s="90"/>
      <c r="D8" s="90"/>
      <c r="E8" s="90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91" t="s">
        <v>35</v>
      </c>
      <c r="C10" s="54" t="s">
        <v>188</v>
      </c>
      <c r="D10" s="55">
        <v>6</v>
      </c>
      <c r="E10" s="56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1"/>
      <c r="C11" s="54" t="s">
        <v>182</v>
      </c>
      <c r="D11" s="55">
        <v>3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1"/>
      <c r="C12" s="54" t="s">
        <v>190</v>
      </c>
      <c r="D12" s="55">
        <v>2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1"/>
      <c r="C13" s="54" t="s">
        <v>189</v>
      </c>
      <c r="D13" s="55">
        <v>5</v>
      </c>
      <c r="E13" s="56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1"/>
      <c r="C14" s="75" t="s">
        <v>53</v>
      </c>
      <c r="D14" s="76">
        <v>16</v>
      </c>
      <c r="E14" s="77">
        <v>3.0000000000000001E-3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1" t="s">
        <v>76</v>
      </c>
      <c r="C15" s="54" t="s">
        <v>188</v>
      </c>
      <c r="D15" s="55">
        <v>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1"/>
      <c r="C16" s="75" t="s">
        <v>53</v>
      </c>
      <c r="D16" s="76">
        <v>1</v>
      </c>
      <c r="E16" s="7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1" t="s">
        <v>22</v>
      </c>
      <c r="C17" s="54" t="s">
        <v>191</v>
      </c>
      <c r="D17" s="55">
        <v>4</v>
      </c>
      <c r="E17" s="56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1"/>
      <c r="C18" s="54" t="s">
        <v>188</v>
      </c>
      <c r="D18" s="55">
        <v>13</v>
      </c>
      <c r="E18" s="56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1"/>
      <c r="C19" s="54" t="s">
        <v>193</v>
      </c>
      <c r="D19" s="55">
        <v>2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1"/>
      <c r="C20" s="54" t="s">
        <v>190</v>
      </c>
      <c r="D20" s="55">
        <v>11</v>
      </c>
      <c r="E20" s="56">
        <v>2E-3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1"/>
      <c r="C21" s="54" t="s">
        <v>189</v>
      </c>
      <c r="D21" s="55">
        <v>7</v>
      </c>
      <c r="E21" s="56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1"/>
      <c r="C22" s="54" t="s">
        <v>192</v>
      </c>
      <c r="D22" s="55">
        <v>2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1"/>
      <c r="C23" s="75" t="s">
        <v>53</v>
      </c>
      <c r="D23" s="76">
        <v>39</v>
      </c>
      <c r="E23" s="77">
        <v>6.0000000000000001E-3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1" t="s">
        <v>13</v>
      </c>
      <c r="C24" s="54" t="s">
        <v>188</v>
      </c>
      <c r="D24" s="55">
        <v>8</v>
      </c>
      <c r="E24" s="56">
        <v>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1"/>
      <c r="C25" s="54" t="s">
        <v>194</v>
      </c>
      <c r="D25" s="55">
        <v>2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1"/>
      <c r="C26" s="54" t="s">
        <v>196</v>
      </c>
      <c r="D26" s="55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1"/>
      <c r="C27" s="54" t="s">
        <v>190</v>
      </c>
      <c r="D27" s="55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1"/>
      <c r="C28" s="54" t="s">
        <v>189</v>
      </c>
      <c r="D28" s="55">
        <v>2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1"/>
      <c r="C29" s="75" t="s">
        <v>53</v>
      </c>
      <c r="D29" s="76">
        <v>14</v>
      </c>
      <c r="E29" s="77">
        <v>2E-3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1" t="s">
        <v>4</v>
      </c>
      <c r="C30" s="54" t="s">
        <v>191</v>
      </c>
      <c r="D30" s="55">
        <v>255</v>
      </c>
      <c r="E30" s="56">
        <v>4.2000000000000003E-2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1"/>
      <c r="C31" s="54" t="s">
        <v>188</v>
      </c>
      <c r="D31" s="57">
        <v>1242</v>
      </c>
      <c r="E31" s="56">
        <v>0.20699999999999999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1"/>
      <c r="C32" s="54" t="s">
        <v>194</v>
      </c>
      <c r="D32" s="55">
        <v>148</v>
      </c>
      <c r="E32" s="56">
        <v>2.5000000000000001E-2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1"/>
      <c r="C33" s="54" t="s">
        <v>193</v>
      </c>
      <c r="D33" s="55">
        <v>209</v>
      </c>
      <c r="E33" s="56">
        <v>3.5000000000000003E-2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1"/>
      <c r="C34" s="54" t="s">
        <v>182</v>
      </c>
      <c r="D34" s="55">
        <v>184</v>
      </c>
      <c r="E34" s="56">
        <v>3.1E-2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1"/>
      <c r="C35" s="54" t="s">
        <v>196</v>
      </c>
      <c r="D35" s="55">
        <v>69</v>
      </c>
      <c r="E35" s="56">
        <v>1.0999999999999999E-2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1"/>
      <c r="C36" s="54" t="s">
        <v>190</v>
      </c>
      <c r="D36" s="55">
        <v>710</v>
      </c>
      <c r="E36" s="56">
        <v>0.11799999999999999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1"/>
      <c r="C37" s="54" t="s">
        <v>195</v>
      </c>
      <c r="D37" s="55">
        <v>94</v>
      </c>
      <c r="E37" s="56">
        <v>1.6E-2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1"/>
      <c r="C38" s="54" t="s">
        <v>189</v>
      </c>
      <c r="D38" s="57">
        <v>1071</v>
      </c>
      <c r="E38" s="56">
        <v>0.17799999999999999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1"/>
      <c r="C39" s="54" t="s">
        <v>192</v>
      </c>
      <c r="D39" s="55">
        <v>229</v>
      </c>
      <c r="E39" s="56">
        <v>3.7999999999999999E-2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1"/>
      <c r="C40" s="75" t="s">
        <v>53</v>
      </c>
      <c r="D40" s="78">
        <v>4211</v>
      </c>
      <c r="E40" s="77">
        <v>0.70099999999999996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1" t="s">
        <v>8</v>
      </c>
      <c r="C41" s="54" t="s">
        <v>188</v>
      </c>
      <c r="D41" s="55">
        <v>21</v>
      </c>
      <c r="E41" s="56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1"/>
      <c r="C42" s="54" t="s">
        <v>194</v>
      </c>
      <c r="D42" s="55">
        <v>1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1"/>
      <c r="C43" s="54" t="s">
        <v>193</v>
      </c>
      <c r="D43" s="55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1"/>
      <c r="C44" s="54" t="s">
        <v>182</v>
      </c>
      <c r="D44" s="55">
        <v>7</v>
      </c>
      <c r="E44" s="56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1"/>
      <c r="C45" s="54" t="s">
        <v>196</v>
      </c>
      <c r="D45" s="55">
        <v>3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1"/>
      <c r="C46" s="54" t="s">
        <v>190</v>
      </c>
      <c r="D46" s="55">
        <v>7</v>
      </c>
      <c r="E46" s="56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1"/>
      <c r="C47" s="54" t="s">
        <v>195</v>
      </c>
      <c r="D47" s="55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1"/>
      <c r="C48" s="54" t="s">
        <v>189</v>
      </c>
      <c r="D48" s="55">
        <v>9</v>
      </c>
      <c r="E48" s="56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1"/>
      <c r="C49" s="54" t="s">
        <v>192</v>
      </c>
      <c r="D49" s="55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1"/>
      <c r="C50" s="75" t="s">
        <v>53</v>
      </c>
      <c r="D50" s="76">
        <v>51</v>
      </c>
      <c r="E50" s="77">
        <v>8.0000000000000002E-3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1" t="s">
        <v>38</v>
      </c>
      <c r="C51" s="54" t="s">
        <v>188</v>
      </c>
      <c r="D51" s="55">
        <v>4</v>
      </c>
      <c r="E51" s="56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1"/>
      <c r="C52" s="54" t="s">
        <v>189</v>
      </c>
      <c r="D52" s="55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1"/>
      <c r="C53" s="75" t="s">
        <v>53</v>
      </c>
      <c r="D53" s="76">
        <v>5</v>
      </c>
      <c r="E53" s="77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1" t="s">
        <v>10</v>
      </c>
      <c r="C54" s="54" t="s">
        <v>191</v>
      </c>
      <c r="D54" s="55">
        <v>2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1"/>
      <c r="C55" s="54" t="s">
        <v>188</v>
      </c>
      <c r="D55" s="55">
        <v>7</v>
      </c>
      <c r="E55" s="56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1"/>
      <c r="C56" s="54" t="s">
        <v>194</v>
      </c>
      <c r="D56" s="55">
        <v>4</v>
      </c>
      <c r="E56" s="56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1"/>
      <c r="C57" s="54" t="s">
        <v>182</v>
      </c>
      <c r="D57" s="55">
        <v>1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1"/>
      <c r="C58" s="54" t="s">
        <v>190</v>
      </c>
      <c r="D58" s="55">
        <v>17</v>
      </c>
      <c r="E58" s="56">
        <v>3.0000000000000001E-3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1"/>
      <c r="C59" s="54" t="s">
        <v>189</v>
      </c>
      <c r="D59" s="55">
        <v>21</v>
      </c>
      <c r="E59" s="56">
        <v>3.0000000000000001E-3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1"/>
      <c r="C60" s="54" t="s">
        <v>192</v>
      </c>
      <c r="D60" s="55">
        <v>3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1"/>
      <c r="C61" s="75" t="s">
        <v>53</v>
      </c>
      <c r="D61" s="76">
        <v>55</v>
      </c>
      <c r="E61" s="77">
        <v>8.9999999999999993E-3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1" t="s">
        <v>12</v>
      </c>
      <c r="C62" s="54" t="s">
        <v>191</v>
      </c>
      <c r="D62" s="55">
        <v>3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1"/>
      <c r="C63" s="54" t="s">
        <v>188</v>
      </c>
      <c r="D63" s="55">
        <v>9</v>
      </c>
      <c r="E63" s="56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1"/>
      <c r="C64" s="54" t="s">
        <v>193</v>
      </c>
      <c r="D64" s="55">
        <v>2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1"/>
      <c r="C65" s="54" t="s">
        <v>182</v>
      </c>
      <c r="D65" s="55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1"/>
      <c r="C66" s="54" t="s">
        <v>190</v>
      </c>
      <c r="D66" s="55">
        <v>11</v>
      </c>
      <c r="E66" s="56">
        <v>2E-3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1"/>
      <c r="C67" s="54" t="s">
        <v>189</v>
      </c>
      <c r="D67" s="55">
        <v>11</v>
      </c>
      <c r="E67" s="56">
        <v>2E-3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1"/>
      <c r="C68" s="54" t="s">
        <v>192</v>
      </c>
      <c r="D68" s="55">
        <v>2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1"/>
      <c r="C69" s="75" t="s">
        <v>53</v>
      </c>
      <c r="D69" s="76">
        <v>39</v>
      </c>
      <c r="E69" s="77">
        <v>6.0000000000000001E-3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1" t="s">
        <v>26</v>
      </c>
      <c r="C70" s="54" t="s">
        <v>191</v>
      </c>
      <c r="D70" s="55">
        <v>3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1"/>
      <c r="C71" s="54" t="s">
        <v>188</v>
      </c>
      <c r="D71" s="55">
        <v>8</v>
      </c>
      <c r="E71" s="56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1"/>
      <c r="C72" s="54" t="s">
        <v>194</v>
      </c>
      <c r="D72" s="55">
        <v>2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1"/>
      <c r="C73" s="54" t="s">
        <v>193</v>
      </c>
      <c r="D73" s="55">
        <v>2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1"/>
      <c r="C74" s="54" t="s">
        <v>196</v>
      </c>
      <c r="D74" s="55">
        <v>4</v>
      </c>
      <c r="E74" s="56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1"/>
      <c r="C75" s="54" t="s">
        <v>190</v>
      </c>
      <c r="D75" s="55">
        <v>8</v>
      </c>
      <c r="E75" s="56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1"/>
      <c r="C76" s="54" t="s">
        <v>195</v>
      </c>
      <c r="D76" s="55">
        <v>3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1"/>
      <c r="C77" s="54" t="s">
        <v>189</v>
      </c>
      <c r="D77" s="55">
        <v>14</v>
      </c>
      <c r="E77" s="56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1"/>
      <c r="C78" s="54" t="s">
        <v>192</v>
      </c>
      <c r="D78" s="55">
        <v>4</v>
      </c>
      <c r="E78" s="56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1"/>
      <c r="C79" s="75" t="s">
        <v>53</v>
      </c>
      <c r="D79" s="76">
        <v>48</v>
      </c>
      <c r="E79" s="77">
        <v>8.0000000000000002E-3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1" t="s">
        <v>6</v>
      </c>
      <c r="C80" s="54" t="s">
        <v>191</v>
      </c>
      <c r="D80" s="55">
        <v>5</v>
      </c>
      <c r="E80" s="56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1"/>
      <c r="C81" s="54" t="s">
        <v>188</v>
      </c>
      <c r="D81" s="55">
        <v>30</v>
      </c>
      <c r="E81" s="56">
        <v>5.0000000000000001E-3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1"/>
      <c r="C82" s="54" t="s">
        <v>194</v>
      </c>
      <c r="D82" s="55">
        <v>6</v>
      </c>
      <c r="E82" s="56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1"/>
      <c r="C83" s="54" t="s">
        <v>193</v>
      </c>
      <c r="D83" s="55">
        <v>3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1"/>
      <c r="C84" s="54" t="s">
        <v>182</v>
      </c>
      <c r="D84" s="55">
        <v>4</v>
      </c>
      <c r="E84" s="56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1"/>
      <c r="C85" s="54" t="s">
        <v>196</v>
      </c>
      <c r="D85" s="55">
        <v>5</v>
      </c>
      <c r="E85" s="56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1"/>
      <c r="C86" s="54" t="s">
        <v>190</v>
      </c>
      <c r="D86" s="55">
        <v>52</v>
      </c>
      <c r="E86" s="56">
        <v>8.9999999999999993E-3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1"/>
      <c r="C87" s="54" t="s">
        <v>195</v>
      </c>
      <c r="D87" s="55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1"/>
      <c r="C88" s="54" t="s">
        <v>189</v>
      </c>
      <c r="D88" s="55">
        <v>55</v>
      </c>
      <c r="E88" s="56">
        <v>8.9999999999999993E-3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1"/>
      <c r="C89" s="54" t="s">
        <v>192</v>
      </c>
      <c r="D89" s="55">
        <v>7</v>
      </c>
      <c r="E89" s="56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1"/>
      <c r="C90" s="75" t="s">
        <v>53</v>
      </c>
      <c r="D90" s="76">
        <v>168</v>
      </c>
      <c r="E90" s="77">
        <v>2.8000000000000001E-2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1" t="s">
        <v>9</v>
      </c>
      <c r="C91" s="54" t="s">
        <v>188</v>
      </c>
      <c r="D91" s="55">
        <v>6</v>
      </c>
      <c r="E91" s="56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1"/>
      <c r="C92" s="54" t="s">
        <v>193</v>
      </c>
      <c r="D92" s="55">
        <v>1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1"/>
      <c r="C93" s="54" t="s">
        <v>196</v>
      </c>
      <c r="D93" s="55">
        <v>1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1"/>
      <c r="C94" s="54" t="s">
        <v>190</v>
      </c>
      <c r="D94" s="55">
        <v>3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1"/>
      <c r="C95" s="54" t="s">
        <v>195</v>
      </c>
      <c r="D95" s="55">
        <v>3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1"/>
      <c r="C96" s="54" t="s">
        <v>189</v>
      </c>
      <c r="D96" s="55">
        <v>5</v>
      </c>
      <c r="E96" s="56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1"/>
      <c r="C97" s="54" t="s">
        <v>192</v>
      </c>
      <c r="D97" s="55">
        <v>2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1"/>
      <c r="C98" s="75" t="s">
        <v>53</v>
      </c>
      <c r="D98" s="76">
        <v>21</v>
      </c>
      <c r="E98" s="77">
        <v>3.0000000000000001E-3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1" t="s">
        <v>24</v>
      </c>
      <c r="C99" s="54" t="s">
        <v>191</v>
      </c>
      <c r="D99" s="55">
        <v>1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1"/>
      <c r="C100" s="54" t="s">
        <v>188</v>
      </c>
      <c r="D100" s="55">
        <v>7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1"/>
      <c r="C101" s="54" t="s">
        <v>190</v>
      </c>
      <c r="D101" s="55">
        <v>4</v>
      </c>
      <c r="E101" s="56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1"/>
      <c r="C102" s="54" t="s">
        <v>189</v>
      </c>
      <c r="D102" s="55">
        <v>4</v>
      </c>
      <c r="E102" s="56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1"/>
      <c r="C103" s="75" t="s">
        <v>53</v>
      </c>
      <c r="D103" s="76">
        <v>16</v>
      </c>
      <c r="E103" s="77">
        <v>3.0000000000000001E-3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1" t="s">
        <v>16</v>
      </c>
      <c r="C104" s="54" t="s">
        <v>191</v>
      </c>
      <c r="D104" s="55">
        <v>1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1"/>
      <c r="C105" s="54" t="s">
        <v>188</v>
      </c>
      <c r="D105" s="55">
        <v>7</v>
      </c>
      <c r="E105" s="56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1"/>
      <c r="C106" s="54" t="s">
        <v>193</v>
      </c>
      <c r="D106" s="55">
        <v>2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1"/>
      <c r="C107" s="54" t="s">
        <v>190</v>
      </c>
      <c r="D107" s="55">
        <v>1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1"/>
      <c r="C108" s="54" t="s">
        <v>195</v>
      </c>
      <c r="D108" s="55">
        <v>1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1"/>
      <c r="C109" s="54" t="s">
        <v>189</v>
      </c>
      <c r="D109" s="55">
        <v>3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1"/>
      <c r="C110" s="75" t="s">
        <v>53</v>
      </c>
      <c r="D110" s="76">
        <v>15</v>
      </c>
      <c r="E110" s="77">
        <v>2E-3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1" t="s">
        <v>19</v>
      </c>
      <c r="C111" s="54" t="s">
        <v>191</v>
      </c>
      <c r="D111" s="55">
        <v>1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1"/>
      <c r="C112" s="54" t="s">
        <v>188</v>
      </c>
      <c r="D112" s="55">
        <v>4</v>
      </c>
      <c r="E112" s="56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1"/>
      <c r="C113" s="54" t="s">
        <v>189</v>
      </c>
      <c r="D113" s="55">
        <v>3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1"/>
      <c r="C114" s="75" t="s">
        <v>53</v>
      </c>
      <c r="D114" s="76">
        <v>8</v>
      </c>
      <c r="E114" s="77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1" t="s">
        <v>29</v>
      </c>
      <c r="C115" s="54" t="s">
        <v>188</v>
      </c>
      <c r="D115" s="55">
        <v>1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1"/>
      <c r="C116" s="54" t="s">
        <v>190</v>
      </c>
      <c r="D116" s="55">
        <v>2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1"/>
      <c r="C117" s="54" t="s">
        <v>195</v>
      </c>
      <c r="D117" s="55">
        <v>1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1"/>
      <c r="C118" s="75" t="s">
        <v>53</v>
      </c>
      <c r="D118" s="76">
        <v>4</v>
      </c>
      <c r="E118" s="7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1" t="s">
        <v>184</v>
      </c>
      <c r="C119" s="54" t="s">
        <v>190</v>
      </c>
      <c r="D119" s="55">
        <v>1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1"/>
      <c r="C120" s="54" t="s">
        <v>195</v>
      </c>
      <c r="D120" s="55">
        <v>1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1"/>
      <c r="C121" s="75" t="s">
        <v>53</v>
      </c>
      <c r="D121" s="76">
        <v>2</v>
      </c>
      <c r="E121" s="7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1" t="s">
        <v>39</v>
      </c>
      <c r="C122" s="54" t="s">
        <v>188</v>
      </c>
      <c r="D122" s="55">
        <v>1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1"/>
      <c r="C123" s="75" t="s">
        <v>53</v>
      </c>
      <c r="D123" s="76">
        <v>1</v>
      </c>
      <c r="E123" s="7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1" t="s">
        <v>42</v>
      </c>
      <c r="C124" s="54" t="s">
        <v>188</v>
      </c>
      <c r="D124" s="55">
        <v>1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1"/>
      <c r="C125" s="54" t="s">
        <v>194</v>
      </c>
      <c r="D125" s="55">
        <v>1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1"/>
      <c r="C126" s="54" t="s">
        <v>189</v>
      </c>
      <c r="D126" s="55">
        <v>1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1"/>
      <c r="C127" s="75" t="s">
        <v>53</v>
      </c>
      <c r="D127" s="76">
        <v>3</v>
      </c>
      <c r="E127" s="7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1" t="s">
        <v>28</v>
      </c>
      <c r="C128" s="54" t="s">
        <v>188</v>
      </c>
      <c r="D128" s="55">
        <v>4</v>
      </c>
      <c r="E128" s="56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1"/>
      <c r="C129" s="54" t="s">
        <v>190</v>
      </c>
      <c r="D129" s="55">
        <v>1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1"/>
      <c r="C130" s="54" t="s">
        <v>189</v>
      </c>
      <c r="D130" s="55">
        <v>8</v>
      </c>
      <c r="E130" s="56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1"/>
      <c r="C131" s="75" t="s">
        <v>53</v>
      </c>
      <c r="D131" s="76">
        <v>13</v>
      </c>
      <c r="E131" s="77">
        <v>2E-3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1" t="s">
        <v>30</v>
      </c>
      <c r="C132" s="54" t="s">
        <v>188</v>
      </c>
      <c r="D132" s="55">
        <v>2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1"/>
      <c r="C133" s="54" t="s">
        <v>193</v>
      </c>
      <c r="D133" s="55">
        <v>1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1"/>
      <c r="C134" s="54" t="s">
        <v>190</v>
      </c>
      <c r="D134" s="55">
        <v>1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1"/>
      <c r="C135" s="54" t="s">
        <v>189</v>
      </c>
      <c r="D135" s="55">
        <v>5</v>
      </c>
      <c r="E135" s="56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1"/>
      <c r="C136" s="75" t="s">
        <v>53</v>
      </c>
      <c r="D136" s="76">
        <v>9</v>
      </c>
      <c r="E136" s="77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1" t="s">
        <v>36</v>
      </c>
      <c r="C137" s="54" t="s">
        <v>188</v>
      </c>
      <c r="D137" s="55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1"/>
      <c r="C138" s="54" t="s">
        <v>189</v>
      </c>
      <c r="D138" s="55">
        <v>1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1"/>
      <c r="C139" s="75" t="s">
        <v>53</v>
      </c>
      <c r="D139" s="76">
        <v>2</v>
      </c>
      <c r="E139" s="7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1" t="s">
        <v>25</v>
      </c>
      <c r="C140" s="54" t="s">
        <v>191</v>
      </c>
      <c r="D140" s="55">
        <v>7</v>
      </c>
      <c r="E140" s="56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1"/>
      <c r="C141" s="54" t="s">
        <v>188</v>
      </c>
      <c r="D141" s="55">
        <v>4</v>
      </c>
      <c r="E141" s="56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1"/>
      <c r="C142" s="54" t="s">
        <v>190</v>
      </c>
      <c r="D142" s="55">
        <v>3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1"/>
      <c r="C143" s="54" t="s">
        <v>189</v>
      </c>
      <c r="D143" s="55">
        <v>14</v>
      </c>
      <c r="E143" s="56">
        <v>2E-3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1"/>
      <c r="C144" s="75" t="s">
        <v>53</v>
      </c>
      <c r="D144" s="76">
        <v>28</v>
      </c>
      <c r="E144" s="77">
        <v>5.0000000000000001E-3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1" t="s">
        <v>23</v>
      </c>
      <c r="C145" s="54" t="s">
        <v>191</v>
      </c>
      <c r="D145" s="55">
        <v>1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1"/>
      <c r="C146" s="54" t="s">
        <v>188</v>
      </c>
      <c r="D146" s="55">
        <v>2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1"/>
      <c r="C147" s="54" t="s">
        <v>194</v>
      </c>
      <c r="D147" s="55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1"/>
      <c r="C148" s="54" t="s">
        <v>190</v>
      </c>
      <c r="D148" s="55">
        <v>1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1"/>
      <c r="C149" s="54" t="s">
        <v>189</v>
      </c>
      <c r="D149" s="55">
        <v>3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1"/>
      <c r="C150" s="54" t="s">
        <v>192</v>
      </c>
      <c r="D150" s="55">
        <v>1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1"/>
      <c r="C151" s="75" t="s">
        <v>53</v>
      </c>
      <c r="D151" s="76">
        <v>9</v>
      </c>
      <c r="E151" s="77">
        <v>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1" t="s">
        <v>11</v>
      </c>
      <c r="C152" s="54" t="s">
        <v>191</v>
      </c>
      <c r="D152" s="55">
        <v>5</v>
      </c>
      <c r="E152" s="56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1"/>
      <c r="C153" s="54" t="s">
        <v>188</v>
      </c>
      <c r="D153" s="55">
        <v>98</v>
      </c>
      <c r="E153" s="56">
        <v>1.6E-2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1"/>
      <c r="C154" s="54" t="s">
        <v>194</v>
      </c>
      <c r="D154" s="55">
        <v>7</v>
      </c>
      <c r="E154" s="56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1"/>
      <c r="C155" s="54" t="s">
        <v>193</v>
      </c>
      <c r="D155" s="55">
        <v>6</v>
      </c>
      <c r="E155" s="56">
        <v>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1"/>
      <c r="C156" s="54" t="s">
        <v>182</v>
      </c>
      <c r="D156" s="55">
        <v>13</v>
      </c>
      <c r="E156" s="56">
        <v>2E-3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1"/>
      <c r="C157" s="54" t="s">
        <v>196</v>
      </c>
      <c r="D157" s="55">
        <v>5</v>
      </c>
      <c r="E157" s="56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1"/>
      <c r="C158" s="54" t="s">
        <v>190</v>
      </c>
      <c r="D158" s="55">
        <v>48</v>
      </c>
      <c r="E158" s="56">
        <v>8.0000000000000002E-3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1"/>
      <c r="C159" s="54" t="s">
        <v>195</v>
      </c>
      <c r="D159" s="55">
        <v>20</v>
      </c>
      <c r="E159" s="56">
        <v>3.0000000000000001E-3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1"/>
      <c r="C160" s="54" t="s">
        <v>189</v>
      </c>
      <c r="D160" s="55">
        <v>40</v>
      </c>
      <c r="E160" s="56">
        <v>7.0000000000000001E-3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1"/>
      <c r="C161" s="54" t="s">
        <v>192</v>
      </c>
      <c r="D161" s="55">
        <v>27</v>
      </c>
      <c r="E161" s="56">
        <v>4.0000000000000001E-3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1"/>
      <c r="C162" s="75" t="s">
        <v>53</v>
      </c>
      <c r="D162" s="76">
        <v>269</v>
      </c>
      <c r="E162" s="77">
        <v>4.4999999999999998E-2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1" t="s">
        <v>181</v>
      </c>
      <c r="C163" s="54" t="s">
        <v>188</v>
      </c>
      <c r="D163" s="55">
        <v>2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1"/>
      <c r="C164" s="54" t="s">
        <v>194</v>
      </c>
      <c r="D164" s="55">
        <v>3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1"/>
      <c r="C165" s="54" t="s">
        <v>193</v>
      </c>
      <c r="D165" s="55">
        <v>1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1"/>
      <c r="C166" s="54" t="s">
        <v>190</v>
      </c>
      <c r="D166" s="55">
        <v>11</v>
      </c>
      <c r="E166" s="56">
        <v>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1"/>
      <c r="C167" s="75" t="s">
        <v>53</v>
      </c>
      <c r="D167" s="76">
        <v>17</v>
      </c>
      <c r="E167" s="77">
        <v>3.0000000000000001E-3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1" t="s">
        <v>40</v>
      </c>
      <c r="C168" s="54" t="s">
        <v>188</v>
      </c>
      <c r="D168" s="55">
        <v>2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1"/>
      <c r="C169" s="54" t="s">
        <v>196</v>
      </c>
      <c r="D169" s="55">
        <v>1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1"/>
      <c r="C170" s="54" t="s">
        <v>190</v>
      </c>
      <c r="D170" s="55">
        <v>4</v>
      </c>
      <c r="E170" s="56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1"/>
      <c r="C171" s="54" t="s">
        <v>189</v>
      </c>
      <c r="D171" s="55">
        <v>1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1"/>
      <c r="C172" s="75" t="s">
        <v>53</v>
      </c>
      <c r="D172" s="76">
        <v>8</v>
      </c>
      <c r="E172" s="77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1" t="s">
        <v>18</v>
      </c>
      <c r="C173" s="54" t="s">
        <v>188</v>
      </c>
      <c r="D173" s="55">
        <v>2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1"/>
      <c r="C174" s="54" t="s">
        <v>182</v>
      </c>
      <c r="D174" s="55">
        <v>1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1"/>
      <c r="C175" s="54" t="s">
        <v>196</v>
      </c>
      <c r="D175" s="55">
        <v>3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1"/>
      <c r="C176" s="54" t="s">
        <v>190</v>
      </c>
      <c r="D176" s="55">
        <v>2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1"/>
      <c r="C177" s="54" t="s">
        <v>189</v>
      </c>
      <c r="D177" s="55">
        <v>3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1"/>
      <c r="C178" s="54" t="s">
        <v>192</v>
      </c>
      <c r="D178" s="55">
        <v>1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1"/>
      <c r="C179" s="75" t="s">
        <v>53</v>
      </c>
      <c r="D179" s="76">
        <v>12</v>
      </c>
      <c r="E179" s="77">
        <v>2E-3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1" t="s">
        <v>33</v>
      </c>
      <c r="C180" s="54" t="s">
        <v>188</v>
      </c>
      <c r="D180" s="55">
        <v>3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1"/>
      <c r="C181" s="54" t="s">
        <v>182</v>
      </c>
      <c r="D181" s="55">
        <v>2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1"/>
      <c r="C182" s="54" t="s">
        <v>190</v>
      </c>
      <c r="D182" s="55">
        <v>1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1"/>
      <c r="C183" s="54" t="s">
        <v>189</v>
      </c>
      <c r="D183" s="55">
        <v>3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1"/>
      <c r="C184" s="75" t="s">
        <v>53</v>
      </c>
      <c r="D184" s="76">
        <v>9</v>
      </c>
      <c r="E184" s="77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1" t="s">
        <v>15</v>
      </c>
      <c r="C185" s="54" t="s">
        <v>191</v>
      </c>
      <c r="D185" s="55">
        <v>7</v>
      </c>
      <c r="E185" s="56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1"/>
      <c r="C186" s="54" t="s">
        <v>188</v>
      </c>
      <c r="D186" s="55">
        <v>10</v>
      </c>
      <c r="E186" s="56">
        <v>2E-3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1"/>
      <c r="C187" s="54" t="s">
        <v>194</v>
      </c>
      <c r="D187" s="55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1"/>
      <c r="C188" s="54" t="s">
        <v>193</v>
      </c>
      <c r="D188" s="55">
        <v>2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1"/>
      <c r="C189" s="54" t="s">
        <v>182</v>
      </c>
      <c r="D189" s="55">
        <v>1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1"/>
      <c r="C190" s="54" t="s">
        <v>196</v>
      </c>
      <c r="D190" s="55">
        <v>4</v>
      </c>
      <c r="E190" s="56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1"/>
      <c r="C191" s="54" t="s">
        <v>190</v>
      </c>
      <c r="D191" s="55">
        <v>12</v>
      </c>
      <c r="E191" s="56">
        <v>2E-3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1"/>
      <c r="C192" s="54" t="s">
        <v>189</v>
      </c>
      <c r="D192" s="55">
        <v>7</v>
      </c>
      <c r="E192" s="56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1"/>
      <c r="C193" s="75" t="s">
        <v>53</v>
      </c>
      <c r="D193" s="76">
        <v>44</v>
      </c>
      <c r="E193" s="77">
        <v>7.0000000000000001E-3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1" t="s">
        <v>34</v>
      </c>
      <c r="C194" s="54" t="s">
        <v>188</v>
      </c>
      <c r="D194" s="55">
        <v>6</v>
      </c>
      <c r="E194" s="56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1"/>
      <c r="C195" s="54" t="s">
        <v>182</v>
      </c>
      <c r="D195" s="55">
        <v>1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1"/>
      <c r="C196" s="54" t="s">
        <v>189</v>
      </c>
      <c r="D196" s="55">
        <v>1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1"/>
      <c r="C197" s="54" t="s">
        <v>192</v>
      </c>
      <c r="D197" s="55">
        <v>2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1"/>
      <c r="C198" s="75" t="s">
        <v>53</v>
      </c>
      <c r="D198" s="76">
        <v>10</v>
      </c>
      <c r="E198" s="77">
        <v>2E-3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1" t="s">
        <v>7</v>
      </c>
      <c r="C199" s="54" t="s">
        <v>188</v>
      </c>
      <c r="D199" s="55">
        <v>6</v>
      </c>
      <c r="E199" s="56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1"/>
      <c r="C200" s="54" t="s">
        <v>193</v>
      </c>
      <c r="D200" s="55">
        <v>1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1"/>
      <c r="C201" s="54" t="s">
        <v>196</v>
      </c>
      <c r="D201" s="55">
        <v>1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1"/>
      <c r="C202" s="54" t="s">
        <v>190</v>
      </c>
      <c r="D202" s="55">
        <v>2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1"/>
      <c r="C203" s="54" t="s">
        <v>189</v>
      </c>
      <c r="D203" s="55">
        <v>3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1"/>
      <c r="C204" s="75" t="s">
        <v>53</v>
      </c>
      <c r="D204" s="76">
        <v>13</v>
      </c>
      <c r="E204" s="77">
        <v>2E-3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1" t="s">
        <v>31</v>
      </c>
      <c r="C205" s="54" t="s">
        <v>191</v>
      </c>
      <c r="D205" s="55">
        <v>7</v>
      </c>
      <c r="E205" s="56">
        <v>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1"/>
      <c r="C206" s="54" t="s">
        <v>188</v>
      </c>
      <c r="D206" s="55">
        <v>44</v>
      </c>
      <c r="E206" s="56">
        <v>7.0000000000000001E-3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1"/>
      <c r="C207" s="54" t="s">
        <v>194</v>
      </c>
      <c r="D207" s="55">
        <v>6</v>
      </c>
      <c r="E207" s="56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1"/>
      <c r="C208" s="54" t="s">
        <v>193</v>
      </c>
      <c r="D208" s="55">
        <v>6</v>
      </c>
      <c r="E208" s="56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1"/>
      <c r="C209" s="54" t="s">
        <v>182</v>
      </c>
      <c r="D209" s="55">
        <v>8</v>
      </c>
      <c r="E209" s="56">
        <v>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1"/>
      <c r="C210" s="54" t="s">
        <v>196</v>
      </c>
      <c r="D210" s="55">
        <v>5</v>
      </c>
      <c r="E210" s="56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1"/>
      <c r="C211" s="54" t="s">
        <v>190</v>
      </c>
      <c r="D211" s="55">
        <v>15</v>
      </c>
      <c r="E211" s="56">
        <v>2E-3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1"/>
      <c r="C212" s="54" t="s">
        <v>195</v>
      </c>
      <c r="D212" s="55">
        <v>2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1"/>
      <c r="C213" s="54" t="s">
        <v>189</v>
      </c>
      <c r="D213" s="55">
        <v>47</v>
      </c>
      <c r="E213" s="56">
        <v>8.0000000000000002E-3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1"/>
      <c r="C214" s="54" t="s">
        <v>192</v>
      </c>
      <c r="D214" s="55">
        <v>9</v>
      </c>
      <c r="E214" s="56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1"/>
      <c r="C215" s="75" t="s">
        <v>53</v>
      </c>
      <c r="D215" s="76">
        <v>149</v>
      </c>
      <c r="E215" s="77">
        <v>2.5000000000000001E-2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1" t="s">
        <v>37</v>
      </c>
      <c r="C216" s="54" t="s">
        <v>188</v>
      </c>
      <c r="D216" s="55">
        <v>2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1"/>
      <c r="C217" s="54" t="s">
        <v>190</v>
      </c>
      <c r="D217" s="55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1"/>
      <c r="C218" s="54" t="s">
        <v>189</v>
      </c>
      <c r="D218" s="55">
        <v>1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1"/>
      <c r="C219" s="75" t="s">
        <v>53</v>
      </c>
      <c r="D219" s="76">
        <v>4</v>
      </c>
      <c r="E219" s="77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1" t="s">
        <v>32</v>
      </c>
      <c r="C220" s="54" t="s">
        <v>188</v>
      </c>
      <c r="D220" s="55">
        <v>5</v>
      </c>
      <c r="E220" s="56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1"/>
      <c r="C221" s="54" t="s">
        <v>189</v>
      </c>
      <c r="D221" s="55">
        <v>1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1"/>
      <c r="C222" s="75" t="s">
        <v>53</v>
      </c>
      <c r="D222" s="76">
        <v>6</v>
      </c>
      <c r="E222" s="77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1" t="s">
        <v>43</v>
      </c>
      <c r="C223" s="54" t="s">
        <v>188</v>
      </c>
      <c r="D223" s="55">
        <v>1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1"/>
      <c r="C224" s="75" t="s">
        <v>53</v>
      </c>
      <c r="D224" s="76">
        <v>1</v>
      </c>
      <c r="E224" s="77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1" t="s">
        <v>14</v>
      </c>
      <c r="C225" s="54" t="s">
        <v>191</v>
      </c>
      <c r="D225" s="55">
        <v>1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1"/>
      <c r="C226" s="54" t="s">
        <v>188</v>
      </c>
      <c r="D226" s="55">
        <v>6</v>
      </c>
      <c r="E226" s="56">
        <v>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1"/>
      <c r="C227" s="54" t="s">
        <v>194</v>
      </c>
      <c r="D227" s="55">
        <v>6</v>
      </c>
      <c r="E227" s="56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1"/>
      <c r="C228" s="54" t="s">
        <v>196</v>
      </c>
      <c r="D228" s="55">
        <v>1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1"/>
      <c r="C229" s="54" t="s">
        <v>190</v>
      </c>
      <c r="D229" s="55">
        <v>3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1"/>
      <c r="C230" s="54" t="s">
        <v>189</v>
      </c>
      <c r="D230" s="55">
        <v>2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1"/>
      <c r="C231" s="75" t="s">
        <v>53</v>
      </c>
      <c r="D231" s="76">
        <v>19</v>
      </c>
      <c r="E231" s="77">
        <v>3.0000000000000001E-3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1" t="s">
        <v>5</v>
      </c>
      <c r="C232" s="54" t="s">
        <v>191</v>
      </c>
      <c r="D232" s="55">
        <v>12</v>
      </c>
      <c r="E232" s="56">
        <v>2E-3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1"/>
      <c r="C233" s="54" t="s">
        <v>188</v>
      </c>
      <c r="D233" s="55">
        <v>107</v>
      </c>
      <c r="E233" s="56">
        <v>1.7999999999999999E-2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1"/>
      <c r="C234" s="54" t="s">
        <v>194</v>
      </c>
      <c r="D234" s="55">
        <v>16</v>
      </c>
      <c r="E234" s="56">
        <v>3.0000000000000001E-3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1"/>
      <c r="C235" s="54" t="s">
        <v>193</v>
      </c>
      <c r="D235" s="55">
        <v>7</v>
      </c>
      <c r="E235" s="56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1"/>
      <c r="C236" s="54" t="s">
        <v>182</v>
      </c>
      <c r="D236" s="55">
        <v>10</v>
      </c>
      <c r="E236" s="56">
        <v>2E-3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1"/>
      <c r="C237" s="54" t="s">
        <v>196</v>
      </c>
      <c r="D237" s="55">
        <v>7</v>
      </c>
      <c r="E237" s="56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1"/>
      <c r="C238" s="54" t="s">
        <v>190</v>
      </c>
      <c r="D238" s="55">
        <v>114</v>
      </c>
      <c r="E238" s="56">
        <v>1.9E-2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1"/>
      <c r="C239" s="54" t="s">
        <v>195</v>
      </c>
      <c r="D239" s="55">
        <v>6</v>
      </c>
      <c r="E239" s="56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1"/>
      <c r="C240" s="54" t="s">
        <v>189</v>
      </c>
      <c r="D240" s="55">
        <v>75</v>
      </c>
      <c r="E240" s="56">
        <v>1.2E-2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1"/>
      <c r="C241" s="54" t="s">
        <v>192</v>
      </c>
      <c r="D241" s="55">
        <v>18</v>
      </c>
      <c r="E241" s="56">
        <v>3.0000000000000001E-3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1"/>
      <c r="C242" s="75" t="s">
        <v>53</v>
      </c>
      <c r="D242" s="76">
        <v>372</v>
      </c>
      <c r="E242" s="77">
        <v>6.2E-2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1" t="s">
        <v>20</v>
      </c>
      <c r="C243" s="54" t="s">
        <v>191</v>
      </c>
      <c r="D243" s="55">
        <v>4</v>
      </c>
      <c r="E243" s="56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1"/>
      <c r="C244" s="54" t="s">
        <v>188</v>
      </c>
      <c r="D244" s="55">
        <v>22</v>
      </c>
      <c r="E244" s="56">
        <v>4.0000000000000001E-3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1"/>
      <c r="C245" s="54" t="s">
        <v>194</v>
      </c>
      <c r="D245" s="55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1"/>
      <c r="C246" s="54" t="s">
        <v>182</v>
      </c>
      <c r="D246" s="55">
        <v>3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1"/>
      <c r="C247" s="54" t="s">
        <v>196</v>
      </c>
      <c r="D247" s="55">
        <v>2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1"/>
      <c r="C248" s="54" t="s">
        <v>190</v>
      </c>
      <c r="D248" s="55">
        <v>19</v>
      </c>
      <c r="E248" s="56">
        <v>3.0000000000000001E-3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1"/>
      <c r="C249" s="54" t="s">
        <v>189</v>
      </c>
      <c r="D249" s="55">
        <v>18</v>
      </c>
      <c r="E249" s="56">
        <v>3.0000000000000001E-3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1"/>
      <c r="C250" s="54" t="s">
        <v>192</v>
      </c>
      <c r="D250" s="55">
        <v>6</v>
      </c>
      <c r="E250" s="56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1"/>
      <c r="C251" s="75" t="s">
        <v>53</v>
      </c>
      <c r="D251" s="76">
        <v>75</v>
      </c>
      <c r="E251" s="77">
        <v>1.2E-2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1" t="s">
        <v>178</v>
      </c>
      <c r="C252" s="54" t="s">
        <v>190</v>
      </c>
      <c r="D252" s="55">
        <v>1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1"/>
      <c r="C253" s="75" t="s">
        <v>53</v>
      </c>
      <c r="D253" s="76">
        <v>1</v>
      </c>
      <c r="E253" s="7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1" t="s">
        <v>27</v>
      </c>
      <c r="C254" s="54" t="s">
        <v>190</v>
      </c>
      <c r="D254" s="55">
        <v>4</v>
      </c>
      <c r="E254" s="56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1"/>
      <c r="C255" s="54" t="s">
        <v>189</v>
      </c>
      <c r="D255" s="55">
        <v>1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1"/>
      <c r="C256" s="75" t="s">
        <v>53</v>
      </c>
      <c r="D256" s="76">
        <v>5</v>
      </c>
      <c r="E256" s="77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1" t="s">
        <v>17</v>
      </c>
      <c r="C257" s="54" t="s">
        <v>191</v>
      </c>
      <c r="D257" s="55">
        <v>17</v>
      </c>
      <c r="E257" s="56">
        <v>3.0000000000000001E-3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1"/>
      <c r="C258" s="54" t="s">
        <v>188</v>
      </c>
      <c r="D258" s="55">
        <v>53</v>
      </c>
      <c r="E258" s="56">
        <v>8.9999999999999993E-3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1"/>
      <c r="C259" s="54" t="s">
        <v>194</v>
      </c>
      <c r="D259" s="55">
        <v>8</v>
      </c>
      <c r="E259" s="56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1"/>
      <c r="C260" s="54" t="s">
        <v>193</v>
      </c>
      <c r="D260" s="55">
        <v>1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1"/>
      <c r="C261" s="54" t="s">
        <v>182</v>
      </c>
      <c r="D261" s="55">
        <v>6</v>
      </c>
      <c r="E261" s="56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1"/>
      <c r="C262" s="54" t="s">
        <v>196</v>
      </c>
      <c r="D262" s="55">
        <v>13</v>
      </c>
      <c r="E262" s="56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1"/>
      <c r="C263" s="54" t="s">
        <v>190</v>
      </c>
      <c r="D263" s="55">
        <v>17</v>
      </c>
      <c r="E263" s="56">
        <v>3.0000000000000001E-3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1"/>
      <c r="C264" s="54" t="s">
        <v>195</v>
      </c>
      <c r="D264" s="55">
        <v>7</v>
      </c>
      <c r="E264" s="56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1"/>
      <c r="C265" s="54" t="s">
        <v>189</v>
      </c>
      <c r="D265" s="55">
        <v>62</v>
      </c>
      <c r="E265" s="56">
        <v>0.01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1"/>
      <c r="C266" s="54" t="s">
        <v>192</v>
      </c>
      <c r="D266" s="55">
        <v>13</v>
      </c>
      <c r="E266" s="56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1"/>
      <c r="C267" s="75" t="s">
        <v>53</v>
      </c>
      <c r="D267" s="76">
        <v>197</v>
      </c>
      <c r="E267" s="77">
        <v>3.3000000000000002E-2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1" t="s">
        <v>21</v>
      </c>
      <c r="C268" s="54" t="s">
        <v>188</v>
      </c>
      <c r="D268" s="55">
        <v>4</v>
      </c>
      <c r="E268" s="56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1"/>
      <c r="C269" s="54" t="s">
        <v>195</v>
      </c>
      <c r="D269" s="55">
        <v>5</v>
      </c>
      <c r="E269" s="56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1"/>
      <c r="C270" s="54" t="s">
        <v>189</v>
      </c>
      <c r="D270" s="55">
        <v>2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1"/>
      <c r="C271" s="54" t="s">
        <v>192</v>
      </c>
      <c r="D271" s="55">
        <v>2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1"/>
      <c r="C272" s="75" t="s">
        <v>53</v>
      </c>
      <c r="D272" s="76">
        <v>13</v>
      </c>
      <c r="E272" s="77">
        <v>2E-3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1" t="s">
        <v>41</v>
      </c>
      <c r="C273" s="54" t="s">
        <v>188</v>
      </c>
      <c r="D273" s="55">
        <v>3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1"/>
      <c r="C274" s="54" t="s">
        <v>193</v>
      </c>
      <c r="D274" s="55">
        <v>1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1"/>
      <c r="C275" s="54" t="s">
        <v>189</v>
      </c>
      <c r="D275" s="55">
        <v>3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1"/>
      <c r="C276" s="75" t="s">
        <v>53</v>
      </c>
      <c r="D276" s="76">
        <v>7</v>
      </c>
      <c r="E276" s="77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8" customHeight="1">
      <c r="B277" s="92" t="s">
        <v>44</v>
      </c>
      <c r="C277" s="92"/>
      <c r="D277" s="59">
        <v>6009</v>
      </c>
      <c r="E277" s="61">
        <v>1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8" customHeight="1"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</row>
    <row r="279" spans="2:16" ht="18" customHeight="1">
      <c r="B279" s="51" t="s">
        <v>77</v>
      </c>
      <c r="C279" s="51"/>
      <c r="D279" s="51"/>
      <c r="E279" s="51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</row>
    <row r="280" spans="2:16" ht="18" customHeight="1">
      <c r="B280" s="51" t="s">
        <v>45</v>
      </c>
      <c r="C280" s="51"/>
      <c r="D280" s="51"/>
      <c r="E280" s="51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</row>
    <row r="281" spans="2:16" ht="18" customHeight="1">
      <c r="B281" s="51" t="s">
        <v>78</v>
      </c>
      <c r="C281" s="51"/>
      <c r="D281" s="51"/>
      <c r="E281" s="51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</row>
    <row r="282" spans="2:16" ht="18" customHeight="1">
      <c r="B282" s="51" t="s">
        <v>79</v>
      </c>
      <c r="C282" s="51"/>
      <c r="D282" s="51"/>
      <c r="E282" s="51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</row>
    <row r="283" spans="2:16" ht="15" customHeight="1">
      <c r="B283" s="51" t="s">
        <v>80</v>
      </c>
      <c r="C283" s="51"/>
      <c r="D283" s="51"/>
      <c r="E283" s="51"/>
    </row>
  </sheetData>
  <autoFilter ref="B9:E277"/>
  <mergeCells count="46">
    <mergeCell ref="B277:C277"/>
    <mergeCell ref="B225:B231"/>
    <mergeCell ref="B232:B242"/>
    <mergeCell ref="B243:B251"/>
    <mergeCell ref="B252:B253"/>
    <mergeCell ref="B254:B256"/>
    <mergeCell ref="B257:B267"/>
    <mergeCell ref="B268:B272"/>
    <mergeCell ref="B273:B276"/>
    <mergeCell ref="B220:B222"/>
    <mergeCell ref="B223:B224"/>
    <mergeCell ref="B104:B110"/>
    <mergeCell ref="B111:B114"/>
    <mergeCell ref="B115:B118"/>
    <mergeCell ref="B119:B121"/>
    <mergeCell ref="B122:B123"/>
    <mergeCell ref="B124:B127"/>
    <mergeCell ref="B128:B131"/>
    <mergeCell ref="B132:B136"/>
    <mergeCell ref="B137:B139"/>
    <mergeCell ref="B140:B144"/>
    <mergeCell ref="B145:B151"/>
    <mergeCell ref="B152:B162"/>
    <mergeCell ref="B173:B179"/>
    <mergeCell ref="B180:B184"/>
    <mergeCell ref="B205:B215"/>
    <mergeCell ref="B216:B219"/>
    <mergeCell ref="B185:B193"/>
    <mergeCell ref="B194:B198"/>
    <mergeCell ref="B199:B204"/>
    <mergeCell ref="B7:E8"/>
    <mergeCell ref="B163:B167"/>
    <mergeCell ref="B168:B172"/>
    <mergeCell ref="B10:B14"/>
    <mergeCell ref="B15:B16"/>
    <mergeCell ref="B17:B23"/>
    <mergeCell ref="B24:B29"/>
    <mergeCell ref="B80:B90"/>
    <mergeCell ref="B91:B98"/>
    <mergeCell ref="B99:B103"/>
    <mergeCell ref="B30:B40"/>
    <mergeCell ref="B41:B50"/>
    <mergeCell ref="B51:B53"/>
    <mergeCell ref="B54:B61"/>
    <mergeCell ref="B62:B69"/>
    <mergeCell ref="B70:B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367"/>
  <sheetViews>
    <sheetView showGridLines="0" zoomScaleNormal="100" zoomScaleSheetLayoutView="85" workbookViewId="0">
      <selection activeCell="C15" sqref="C15:E360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0"/>
      <c r="C7" s="90"/>
      <c r="D7" s="90"/>
      <c r="E7" s="90"/>
    </row>
    <row r="8" spans="1:16" s="15" customFormat="1" ht="33" customHeight="1">
      <c r="A8" s="16"/>
      <c r="B8" s="90"/>
      <c r="C8" s="90"/>
      <c r="D8" s="90"/>
      <c r="E8" s="90"/>
    </row>
    <row r="9" spans="1:16" s="1" customFormat="1" ht="40.5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91" t="s">
        <v>104</v>
      </c>
      <c r="C10" s="54" t="s">
        <v>188</v>
      </c>
      <c r="D10" s="55">
        <v>2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1"/>
      <c r="C11" s="54" t="s">
        <v>182</v>
      </c>
      <c r="D11" s="55">
        <v>1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1"/>
      <c r="C12" s="54" t="s">
        <v>190</v>
      </c>
      <c r="D12" s="55">
        <v>2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1"/>
      <c r="C13" s="54" t="s">
        <v>189</v>
      </c>
      <c r="D13" s="55">
        <v>2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1"/>
      <c r="C14" s="54" t="s">
        <v>192</v>
      </c>
      <c r="D14" s="55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1"/>
      <c r="C15" s="75" t="s">
        <v>53</v>
      </c>
      <c r="D15" s="76">
        <v>8</v>
      </c>
      <c r="E15" s="77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1" t="s">
        <v>124</v>
      </c>
      <c r="C16" s="54" t="s">
        <v>188</v>
      </c>
      <c r="D16" s="55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1"/>
      <c r="C17" s="75" t="s">
        <v>53</v>
      </c>
      <c r="D17" s="76">
        <v>1</v>
      </c>
      <c r="E17" s="7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1" t="s">
        <v>88</v>
      </c>
      <c r="C18" s="54" t="s">
        <v>191</v>
      </c>
      <c r="D18" s="55">
        <v>4</v>
      </c>
      <c r="E18" s="56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1"/>
      <c r="C19" s="54" t="s">
        <v>188</v>
      </c>
      <c r="D19" s="55">
        <v>17</v>
      </c>
      <c r="E19" s="56">
        <v>3.0000000000000001E-3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1"/>
      <c r="C20" s="54" t="s">
        <v>194</v>
      </c>
      <c r="D20" s="55">
        <v>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1"/>
      <c r="C21" s="54" t="s">
        <v>193</v>
      </c>
      <c r="D21" s="55">
        <v>2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1"/>
      <c r="C22" s="54" t="s">
        <v>182</v>
      </c>
      <c r="D22" s="55">
        <v>4</v>
      </c>
      <c r="E22" s="56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1"/>
      <c r="C23" s="54" t="s">
        <v>190</v>
      </c>
      <c r="D23" s="55">
        <v>15</v>
      </c>
      <c r="E23" s="56">
        <v>2E-3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1"/>
      <c r="C24" s="54" t="s">
        <v>189</v>
      </c>
      <c r="D24" s="55">
        <v>17</v>
      </c>
      <c r="E24" s="56">
        <v>3.0000000000000001E-3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1"/>
      <c r="C25" s="54" t="s">
        <v>192</v>
      </c>
      <c r="D25" s="55">
        <v>2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1"/>
      <c r="C26" s="75" t="s">
        <v>53</v>
      </c>
      <c r="D26" s="76">
        <v>62</v>
      </c>
      <c r="E26" s="77">
        <v>0.01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1" t="s">
        <v>96</v>
      </c>
      <c r="C27" s="54" t="s">
        <v>191</v>
      </c>
      <c r="D27" s="55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1"/>
      <c r="C28" s="54" t="s">
        <v>188</v>
      </c>
      <c r="D28" s="55">
        <v>6</v>
      </c>
      <c r="E28" s="56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1"/>
      <c r="C29" s="54" t="s">
        <v>194</v>
      </c>
      <c r="D29" s="55">
        <v>1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1"/>
      <c r="C30" s="54" t="s">
        <v>196</v>
      </c>
      <c r="D30" s="55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1"/>
      <c r="C31" s="54" t="s">
        <v>190</v>
      </c>
      <c r="D31" s="55">
        <v>12</v>
      </c>
      <c r="E31" s="56">
        <v>2E-3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1"/>
      <c r="C32" s="54" t="s">
        <v>195</v>
      </c>
      <c r="D32" s="55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1"/>
      <c r="C33" s="54" t="s">
        <v>189</v>
      </c>
      <c r="D33" s="55">
        <v>7</v>
      </c>
      <c r="E33" s="56">
        <v>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1"/>
      <c r="C34" s="54" t="s">
        <v>192</v>
      </c>
      <c r="D34" s="55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1"/>
      <c r="C35" s="75" t="s">
        <v>53</v>
      </c>
      <c r="D35" s="76">
        <v>30</v>
      </c>
      <c r="E35" s="77">
        <v>5.0000000000000001E-3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1" t="s">
        <v>110</v>
      </c>
      <c r="C36" s="54" t="s">
        <v>191</v>
      </c>
      <c r="D36" s="55">
        <v>3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1"/>
      <c r="C37" s="54" t="s">
        <v>188</v>
      </c>
      <c r="D37" s="55">
        <v>13</v>
      </c>
      <c r="E37" s="56">
        <v>2E-3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1"/>
      <c r="C38" s="54" t="s">
        <v>194</v>
      </c>
      <c r="D38" s="55">
        <v>2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1"/>
      <c r="C39" s="54" t="s">
        <v>193</v>
      </c>
      <c r="D39" s="55">
        <v>3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1"/>
      <c r="C40" s="54" t="s">
        <v>196</v>
      </c>
      <c r="D40" s="55">
        <v>4</v>
      </c>
      <c r="E40" s="56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1"/>
      <c r="C41" s="54" t="s">
        <v>190</v>
      </c>
      <c r="D41" s="55">
        <v>12</v>
      </c>
      <c r="E41" s="56">
        <v>2E-3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1"/>
      <c r="C42" s="54" t="s">
        <v>195</v>
      </c>
      <c r="D42" s="55">
        <v>3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1"/>
      <c r="C43" s="54" t="s">
        <v>189</v>
      </c>
      <c r="D43" s="55">
        <v>15</v>
      </c>
      <c r="E43" s="56">
        <v>2E-3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1"/>
      <c r="C44" s="54" t="s">
        <v>192</v>
      </c>
      <c r="D44" s="55">
        <v>4</v>
      </c>
      <c r="E44" s="56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1"/>
      <c r="C45" s="75" t="s">
        <v>53</v>
      </c>
      <c r="D45" s="76">
        <v>59</v>
      </c>
      <c r="E45" s="77">
        <v>0.01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1" t="s">
        <v>121</v>
      </c>
      <c r="C46" s="54" t="s">
        <v>188</v>
      </c>
      <c r="D46" s="55">
        <v>3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1"/>
      <c r="C47" s="54" t="s">
        <v>194</v>
      </c>
      <c r="D47" s="55">
        <v>4</v>
      </c>
      <c r="E47" s="56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1"/>
      <c r="C48" s="54" t="s">
        <v>193</v>
      </c>
      <c r="D48" s="55">
        <v>1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1"/>
      <c r="C49" s="54" t="s">
        <v>190</v>
      </c>
      <c r="D49" s="55">
        <v>13</v>
      </c>
      <c r="E49" s="56">
        <v>2E-3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1"/>
      <c r="C50" s="54" t="s">
        <v>195</v>
      </c>
      <c r="D50" s="55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1"/>
      <c r="C51" s="54" t="s">
        <v>189</v>
      </c>
      <c r="D51" s="55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1"/>
      <c r="C52" s="75" t="s">
        <v>53</v>
      </c>
      <c r="D52" s="76">
        <v>23</v>
      </c>
      <c r="E52" s="77">
        <v>4.0000000000000001E-3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1" t="s">
        <v>122</v>
      </c>
      <c r="C53" s="54" t="s">
        <v>188</v>
      </c>
      <c r="D53" s="55">
        <v>3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1"/>
      <c r="C54" s="54" t="s">
        <v>194</v>
      </c>
      <c r="D54" s="55">
        <v>1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1"/>
      <c r="C55" s="54" t="s">
        <v>182</v>
      </c>
      <c r="D55" s="55">
        <v>1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1"/>
      <c r="C56" s="54" t="s">
        <v>190</v>
      </c>
      <c r="D56" s="55">
        <v>2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1"/>
      <c r="C57" s="54" t="s">
        <v>189</v>
      </c>
      <c r="D57" s="55">
        <v>1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1"/>
      <c r="C58" s="75" t="s">
        <v>53</v>
      </c>
      <c r="D58" s="76">
        <v>8</v>
      </c>
      <c r="E58" s="77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1" t="s">
        <v>81</v>
      </c>
      <c r="C59" s="54" t="s">
        <v>191</v>
      </c>
      <c r="D59" s="55">
        <v>5</v>
      </c>
      <c r="E59" s="56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1"/>
      <c r="C60" s="54" t="s">
        <v>188</v>
      </c>
      <c r="D60" s="55">
        <v>38</v>
      </c>
      <c r="E60" s="56">
        <v>6.0000000000000001E-3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1"/>
      <c r="C61" s="54" t="s">
        <v>194</v>
      </c>
      <c r="D61" s="55">
        <v>6</v>
      </c>
      <c r="E61" s="56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1"/>
      <c r="C62" s="54" t="s">
        <v>193</v>
      </c>
      <c r="D62" s="55">
        <v>3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1"/>
      <c r="C63" s="54" t="s">
        <v>182</v>
      </c>
      <c r="D63" s="55">
        <v>4</v>
      </c>
      <c r="E63" s="56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1"/>
      <c r="C64" s="54" t="s">
        <v>196</v>
      </c>
      <c r="D64" s="55">
        <v>5</v>
      </c>
      <c r="E64" s="56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1"/>
      <c r="C65" s="54" t="s">
        <v>190</v>
      </c>
      <c r="D65" s="55">
        <v>53</v>
      </c>
      <c r="E65" s="56">
        <v>8.9999999999999993E-3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1"/>
      <c r="C66" s="54" t="s">
        <v>195</v>
      </c>
      <c r="D66" s="55">
        <v>8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1"/>
      <c r="C67" s="54" t="s">
        <v>189</v>
      </c>
      <c r="D67" s="55">
        <v>59</v>
      </c>
      <c r="E67" s="56">
        <v>0.01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1"/>
      <c r="C68" s="54" t="s">
        <v>192</v>
      </c>
      <c r="D68" s="55">
        <v>9</v>
      </c>
      <c r="E68" s="56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1"/>
      <c r="C69" s="75" t="s">
        <v>53</v>
      </c>
      <c r="D69" s="76">
        <v>190</v>
      </c>
      <c r="E69" s="77">
        <v>3.2000000000000001E-2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1" t="s">
        <v>85</v>
      </c>
      <c r="C70" s="54" t="s">
        <v>188</v>
      </c>
      <c r="D70" s="55">
        <v>38</v>
      </c>
      <c r="E70" s="56">
        <v>6.0000000000000001E-3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1"/>
      <c r="C71" s="54" t="s">
        <v>194</v>
      </c>
      <c r="D71" s="55">
        <v>9</v>
      </c>
      <c r="E71" s="56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1"/>
      <c r="C72" s="54" t="s">
        <v>193</v>
      </c>
      <c r="D72" s="55">
        <v>4</v>
      </c>
      <c r="E72" s="56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1"/>
      <c r="C73" s="54" t="s">
        <v>182</v>
      </c>
      <c r="D73" s="55">
        <v>4</v>
      </c>
      <c r="E73" s="56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1"/>
      <c r="C74" s="54" t="s">
        <v>190</v>
      </c>
      <c r="D74" s="55">
        <v>69</v>
      </c>
      <c r="E74" s="56">
        <v>1.0999999999999999E-2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1"/>
      <c r="C75" s="54" t="s">
        <v>195</v>
      </c>
      <c r="D75" s="55">
        <v>4</v>
      </c>
      <c r="E75" s="56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1"/>
      <c r="C76" s="54" t="s">
        <v>189</v>
      </c>
      <c r="D76" s="55">
        <v>25</v>
      </c>
      <c r="E76" s="56">
        <v>4.0000000000000001E-3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1"/>
      <c r="C77" s="54" t="s">
        <v>192</v>
      </c>
      <c r="D77" s="55">
        <v>6</v>
      </c>
      <c r="E77" s="56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1"/>
      <c r="C78" s="75" t="s">
        <v>53</v>
      </c>
      <c r="D78" s="76">
        <v>159</v>
      </c>
      <c r="E78" s="77">
        <v>2.5999999999999999E-2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1" t="s">
        <v>84</v>
      </c>
      <c r="C79" s="54" t="s">
        <v>188</v>
      </c>
      <c r="D79" s="55">
        <v>21</v>
      </c>
      <c r="E79" s="56">
        <v>3.0000000000000001E-3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1"/>
      <c r="C80" s="54" t="s">
        <v>194</v>
      </c>
      <c r="D80" s="55">
        <v>1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1"/>
      <c r="C81" s="54" t="s">
        <v>193</v>
      </c>
      <c r="D81" s="55">
        <v>1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1"/>
      <c r="C82" s="54" t="s">
        <v>182</v>
      </c>
      <c r="D82" s="55">
        <v>7</v>
      </c>
      <c r="E82" s="56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1"/>
      <c r="C83" s="54" t="s">
        <v>196</v>
      </c>
      <c r="D83" s="55">
        <v>3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1"/>
      <c r="C84" s="54" t="s">
        <v>190</v>
      </c>
      <c r="D84" s="55">
        <v>7</v>
      </c>
      <c r="E84" s="56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1"/>
      <c r="C85" s="54" t="s">
        <v>195</v>
      </c>
      <c r="D85" s="55">
        <v>1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1"/>
      <c r="C86" s="54" t="s">
        <v>189</v>
      </c>
      <c r="D86" s="55">
        <v>11</v>
      </c>
      <c r="E86" s="56">
        <v>2E-3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1"/>
      <c r="C87" s="54" t="s">
        <v>192</v>
      </c>
      <c r="D87" s="55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1"/>
      <c r="C88" s="75" t="s">
        <v>53</v>
      </c>
      <c r="D88" s="76">
        <v>53</v>
      </c>
      <c r="E88" s="77">
        <v>8.9999999999999993E-3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1" t="s">
        <v>105</v>
      </c>
      <c r="C89" s="54" t="s">
        <v>188</v>
      </c>
      <c r="D89" s="55">
        <v>6</v>
      </c>
      <c r="E89" s="56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1"/>
      <c r="C90" s="54" t="s">
        <v>182</v>
      </c>
      <c r="D90" s="55">
        <v>1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1"/>
      <c r="C91" s="54" t="s">
        <v>190</v>
      </c>
      <c r="D91" s="55">
        <v>1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1"/>
      <c r="C92" s="54" t="s">
        <v>189</v>
      </c>
      <c r="D92" s="55">
        <v>9</v>
      </c>
      <c r="E92" s="56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1"/>
      <c r="C93" s="75" t="s">
        <v>53</v>
      </c>
      <c r="D93" s="76">
        <v>17</v>
      </c>
      <c r="E93" s="77">
        <v>3.0000000000000001E-3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1" t="s">
        <v>117</v>
      </c>
      <c r="C94" s="54" t="s">
        <v>188</v>
      </c>
      <c r="D94" s="55">
        <v>1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1"/>
      <c r="C95" s="54" t="s">
        <v>196</v>
      </c>
      <c r="D95" s="55">
        <v>3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1"/>
      <c r="C96" s="54" t="s">
        <v>189</v>
      </c>
      <c r="D96" s="55">
        <v>5</v>
      </c>
      <c r="E96" s="56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1"/>
      <c r="C97" s="75" t="s">
        <v>53</v>
      </c>
      <c r="D97" s="76">
        <v>9</v>
      </c>
      <c r="E97" s="7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1" t="s">
        <v>116</v>
      </c>
      <c r="C98" s="54" t="s">
        <v>188</v>
      </c>
      <c r="D98" s="55">
        <v>4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1"/>
      <c r="C99" s="54" t="s">
        <v>190</v>
      </c>
      <c r="D99" s="55">
        <v>3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1"/>
      <c r="C100" s="54" t="s">
        <v>189</v>
      </c>
      <c r="D100" s="55">
        <v>2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1"/>
      <c r="C101" s="75" t="s">
        <v>53</v>
      </c>
      <c r="D101" s="76">
        <v>9</v>
      </c>
      <c r="E101" s="77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1" t="s">
        <v>89</v>
      </c>
      <c r="C102" s="54" t="s">
        <v>191</v>
      </c>
      <c r="D102" s="55">
        <v>44</v>
      </c>
      <c r="E102" s="56">
        <v>7.0000000000000001E-3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1"/>
      <c r="C103" s="54" t="s">
        <v>188</v>
      </c>
      <c r="D103" s="55">
        <v>239</v>
      </c>
      <c r="E103" s="56">
        <v>0.04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1"/>
      <c r="C104" s="54" t="s">
        <v>194</v>
      </c>
      <c r="D104" s="55">
        <v>15</v>
      </c>
      <c r="E104" s="56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1"/>
      <c r="C105" s="54" t="s">
        <v>193</v>
      </c>
      <c r="D105" s="55">
        <v>72</v>
      </c>
      <c r="E105" s="56">
        <v>1.2E-2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1"/>
      <c r="C106" s="54" t="s">
        <v>182</v>
      </c>
      <c r="D106" s="55">
        <v>22</v>
      </c>
      <c r="E106" s="56">
        <v>4.0000000000000001E-3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1"/>
      <c r="C107" s="54" t="s">
        <v>196</v>
      </c>
      <c r="D107" s="55">
        <v>20</v>
      </c>
      <c r="E107" s="56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1"/>
      <c r="C108" s="54" t="s">
        <v>190</v>
      </c>
      <c r="D108" s="55">
        <v>136</v>
      </c>
      <c r="E108" s="56">
        <v>2.3E-2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1"/>
      <c r="C109" s="54" t="s">
        <v>195</v>
      </c>
      <c r="D109" s="55">
        <v>14</v>
      </c>
      <c r="E109" s="56">
        <v>2E-3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1"/>
      <c r="C110" s="54" t="s">
        <v>189</v>
      </c>
      <c r="D110" s="55">
        <v>271</v>
      </c>
      <c r="E110" s="56">
        <v>4.4999999999999998E-2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1"/>
      <c r="C111" s="54" t="s">
        <v>192</v>
      </c>
      <c r="D111" s="55">
        <v>36</v>
      </c>
      <c r="E111" s="56">
        <v>6.0000000000000001E-3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1"/>
      <c r="C112" s="75" t="s">
        <v>53</v>
      </c>
      <c r="D112" s="76">
        <v>869</v>
      </c>
      <c r="E112" s="77">
        <v>0.14499999999999999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1" t="s">
        <v>86</v>
      </c>
      <c r="C113" s="54" t="s">
        <v>191</v>
      </c>
      <c r="D113" s="55">
        <v>7</v>
      </c>
      <c r="E113" s="56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1"/>
      <c r="C114" s="54" t="s">
        <v>188</v>
      </c>
      <c r="D114" s="55">
        <v>37</v>
      </c>
      <c r="E114" s="56">
        <v>6.0000000000000001E-3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1"/>
      <c r="C115" s="54" t="s">
        <v>194</v>
      </c>
      <c r="D115" s="55">
        <v>4</v>
      </c>
      <c r="E115" s="56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1"/>
      <c r="C116" s="54" t="s">
        <v>193</v>
      </c>
      <c r="D116" s="55">
        <v>1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1"/>
      <c r="C117" s="54" t="s">
        <v>182</v>
      </c>
      <c r="D117" s="55">
        <v>3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1"/>
      <c r="C118" s="54" t="s">
        <v>196</v>
      </c>
      <c r="D118" s="55">
        <v>3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1"/>
      <c r="C119" s="54" t="s">
        <v>190</v>
      </c>
      <c r="D119" s="55">
        <v>22</v>
      </c>
      <c r="E119" s="56">
        <v>4.0000000000000001E-3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1"/>
      <c r="C120" s="54" t="s">
        <v>195</v>
      </c>
      <c r="D120" s="55">
        <v>1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1"/>
      <c r="C121" s="54" t="s">
        <v>189</v>
      </c>
      <c r="D121" s="55">
        <v>25</v>
      </c>
      <c r="E121" s="56">
        <v>4.0000000000000001E-3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1"/>
      <c r="C122" s="54" t="s">
        <v>192</v>
      </c>
      <c r="D122" s="55">
        <v>6</v>
      </c>
      <c r="E122" s="56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1"/>
      <c r="C123" s="75" t="s">
        <v>53</v>
      </c>
      <c r="D123" s="76">
        <v>109</v>
      </c>
      <c r="E123" s="77">
        <v>1.7999999999999999E-2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1" t="s">
        <v>92</v>
      </c>
      <c r="C124" s="54" t="s">
        <v>191</v>
      </c>
      <c r="D124" s="55">
        <v>1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1"/>
      <c r="C125" s="54" t="s">
        <v>188</v>
      </c>
      <c r="D125" s="55">
        <v>10</v>
      </c>
      <c r="E125" s="56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1"/>
      <c r="C126" s="54" t="s">
        <v>193</v>
      </c>
      <c r="D126" s="55">
        <v>1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1"/>
      <c r="C127" s="54" t="s">
        <v>196</v>
      </c>
      <c r="D127" s="55">
        <v>1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1"/>
      <c r="C128" s="54" t="s">
        <v>190</v>
      </c>
      <c r="D128" s="55">
        <v>2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1"/>
      <c r="C129" s="54" t="s">
        <v>189</v>
      </c>
      <c r="D129" s="55">
        <v>6</v>
      </c>
      <c r="E129" s="56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1"/>
      <c r="C130" s="54" t="s">
        <v>192</v>
      </c>
      <c r="D130" s="55">
        <v>4</v>
      </c>
      <c r="E130" s="56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1"/>
      <c r="C131" s="75" t="s">
        <v>53</v>
      </c>
      <c r="D131" s="76">
        <v>25</v>
      </c>
      <c r="E131" s="77">
        <v>4.0000000000000001E-3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1" t="s">
        <v>93</v>
      </c>
      <c r="C132" s="54" t="s">
        <v>191</v>
      </c>
      <c r="D132" s="55">
        <v>8</v>
      </c>
      <c r="E132" s="56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1"/>
      <c r="C133" s="54" t="s">
        <v>188</v>
      </c>
      <c r="D133" s="55">
        <v>11</v>
      </c>
      <c r="E133" s="56">
        <v>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1"/>
      <c r="C134" s="54" t="s">
        <v>193</v>
      </c>
      <c r="D134" s="55">
        <v>2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1"/>
      <c r="C135" s="54" t="s">
        <v>190</v>
      </c>
      <c r="D135" s="55">
        <v>4</v>
      </c>
      <c r="E135" s="56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1"/>
      <c r="C136" s="54" t="s">
        <v>195</v>
      </c>
      <c r="D136" s="55">
        <v>1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1"/>
      <c r="C137" s="54" t="s">
        <v>189</v>
      </c>
      <c r="D137" s="55">
        <v>17</v>
      </c>
      <c r="E137" s="56">
        <v>3.0000000000000001E-3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1"/>
      <c r="C138" s="75" t="s">
        <v>53</v>
      </c>
      <c r="D138" s="76">
        <v>43</v>
      </c>
      <c r="E138" s="77">
        <v>7.0000000000000001E-3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1" t="s">
        <v>118</v>
      </c>
      <c r="C139" s="54" t="s">
        <v>188</v>
      </c>
      <c r="D139" s="55">
        <v>3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1"/>
      <c r="C140" s="54" t="s">
        <v>190</v>
      </c>
      <c r="D140" s="55">
        <v>1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1"/>
      <c r="C141" s="54" t="s">
        <v>189</v>
      </c>
      <c r="D141" s="55">
        <v>3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1"/>
      <c r="C142" s="75" t="s">
        <v>53</v>
      </c>
      <c r="D142" s="76">
        <v>7</v>
      </c>
      <c r="E142" s="77">
        <v>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1" t="s">
        <v>99</v>
      </c>
      <c r="C143" s="54" t="s">
        <v>191</v>
      </c>
      <c r="D143" s="55">
        <v>2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1"/>
      <c r="C144" s="54" t="s">
        <v>188</v>
      </c>
      <c r="D144" s="55">
        <v>85</v>
      </c>
      <c r="E144" s="56">
        <v>1.4E-2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1"/>
      <c r="C145" s="54" t="s">
        <v>194</v>
      </c>
      <c r="D145" s="55">
        <v>7</v>
      </c>
      <c r="E145" s="56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1"/>
      <c r="C146" s="54" t="s">
        <v>193</v>
      </c>
      <c r="D146" s="55">
        <v>3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1"/>
      <c r="C147" s="54" t="s">
        <v>182</v>
      </c>
      <c r="D147" s="55">
        <v>9</v>
      </c>
      <c r="E147" s="56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1"/>
      <c r="C148" s="54" t="s">
        <v>196</v>
      </c>
      <c r="D148" s="55">
        <v>4</v>
      </c>
      <c r="E148" s="56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1"/>
      <c r="C149" s="54" t="s">
        <v>190</v>
      </c>
      <c r="D149" s="55">
        <v>42</v>
      </c>
      <c r="E149" s="56">
        <v>7.0000000000000001E-3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1"/>
      <c r="C150" s="54" t="s">
        <v>195</v>
      </c>
      <c r="D150" s="55">
        <v>20</v>
      </c>
      <c r="E150" s="56">
        <v>3.0000000000000001E-3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1"/>
      <c r="C151" s="54" t="s">
        <v>189</v>
      </c>
      <c r="D151" s="55">
        <v>33</v>
      </c>
      <c r="E151" s="56">
        <v>5.0000000000000001E-3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1"/>
      <c r="C152" s="54" t="s">
        <v>192</v>
      </c>
      <c r="D152" s="55">
        <v>25</v>
      </c>
      <c r="E152" s="56">
        <v>4.0000000000000001E-3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1"/>
      <c r="C153" s="75" t="s">
        <v>53</v>
      </c>
      <c r="D153" s="76">
        <v>230</v>
      </c>
      <c r="E153" s="77">
        <v>3.7999999999999999E-2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1" t="s">
        <v>83</v>
      </c>
      <c r="C154" s="54" t="s">
        <v>188</v>
      </c>
      <c r="D154" s="55">
        <v>17</v>
      </c>
      <c r="E154" s="56">
        <v>3.0000000000000001E-3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1"/>
      <c r="C155" s="54" t="s">
        <v>194</v>
      </c>
      <c r="D155" s="55">
        <v>7</v>
      </c>
      <c r="E155" s="56">
        <v>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1"/>
      <c r="C156" s="54" t="s">
        <v>193</v>
      </c>
      <c r="D156" s="55">
        <v>1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1"/>
      <c r="C157" s="54" t="s">
        <v>196</v>
      </c>
      <c r="D157" s="55">
        <v>3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1"/>
      <c r="C158" s="54" t="s">
        <v>190</v>
      </c>
      <c r="D158" s="55">
        <v>4</v>
      </c>
      <c r="E158" s="56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1"/>
      <c r="C159" s="54" t="s">
        <v>189</v>
      </c>
      <c r="D159" s="55">
        <v>6</v>
      </c>
      <c r="E159" s="56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1"/>
      <c r="C160" s="75" t="s">
        <v>53</v>
      </c>
      <c r="D160" s="76">
        <v>38</v>
      </c>
      <c r="E160" s="77">
        <v>6.0000000000000001E-3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1" t="s">
        <v>82</v>
      </c>
      <c r="C161" s="54" t="s">
        <v>191</v>
      </c>
      <c r="D161" s="55">
        <v>92</v>
      </c>
      <c r="E161" s="56">
        <v>1.4999999999999999E-2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1"/>
      <c r="C162" s="54" t="s">
        <v>188</v>
      </c>
      <c r="D162" s="55">
        <v>523</v>
      </c>
      <c r="E162" s="56">
        <v>8.6999999999999994E-2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1"/>
      <c r="C163" s="54" t="s">
        <v>194</v>
      </c>
      <c r="D163" s="55">
        <v>81</v>
      </c>
      <c r="E163" s="56">
        <v>1.2999999999999999E-2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1"/>
      <c r="C164" s="54" t="s">
        <v>193</v>
      </c>
      <c r="D164" s="55">
        <v>80</v>
      </c>
      <c r="E164" s="56">
        <v>1.2999999999999999E-2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1"/>
      <c r="C165" s="54" t="s">
        <v>182</v>
      </c>
      <c r="D165" s="55">
        <v>82</v>
      </c>
      <c r="E165" s="56">
        <v>1.4E-2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1"/>
      <c r="C166" s="54" t="s">
        <v>196</v>
      </c>
      <c r="D166" s="55">
        <v>34</v>
      </c>
      <c r="E166" s="56">
        <v>6.0000000000000001E-3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1"/>
      <c r="C167" s="54" t="s">
        <v>190</v>
      </c>
      <c r="D167" s="55">
        <v>216</v>
      </c>
      <c r="E167" s="56">
        <v>3.5999999999999997E-2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1"/>
      <c r="C168" s="54" t="s">
        <v>195</v>
      </c>
      <c r="D168" s="55">
        <v>20</v>
      </c>
      <c r="E168" s="56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1"/>
      <c r="C169" s="54" t="s">
        <v>189</v>
      </c>
      <c r="D169" s="55">
        <v>349</v>
      </c>
      <c r="E169" s="56">
        <v>5.8000000000000003E-2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1"/>
      <c r="C170" s="54" t="s">
        <v>192</v>
      </c>
      <c r="D170" s="55">
        <v>105</v>
      </c>
      <c r="E170" s="56">
        <v>1.7000000000000001E-2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1"/>
      <c r="C171" s="75" t="s">
        <v>53</v>
      </c>
      <c r="D171" s="78">
        <v>1582</v>
      </c>
      <c r="E171" s="77">
        <v>0.26300000000000001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1" t="s">
        <v>108</v>
      </c>
      <c r="C172" s="54" t="s">
        <v>191</v>
      </c>
      <c r="D172" s="55">
        <v>3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1"/>
      <c r="C173" s="54" t="s">
        <v>188</v>
      </c>
      <c r="D173" s="55">
        <v>8</v>
      </c>
      <c r="E173" s="56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1"/>
      <c r="C174" s="54" t="s">
        <v>194</v>
      </c>
      <c r="D174" s="55">
        <v>1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1"/>
      <c r="C175" s="54" t="s">
        <v>193</v>
      </c>
      <c r="D175" s="55">
        <v>1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1"/>
      <c r="C176" s="54" t="s">
        <v>182</v>
      </c>
      <c r="D176" s="55">
        <v>1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1"/>
      <c r="C177" s="54" t="s">
        <v>190</v>
      </c>
      <c r="D177" s="55">
        <v>1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1"/>
      <c r="C178" s="54" t="s">
        <v>189</v>
      </c>
      <c r="D178" s="55">
        <v>5</v>
      </c>
      <c r="E178" s="56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1"/>
      <c r="C179" s="75" t="s">
        <v>53</v>
      </c>
      <c r="D179" s="76">
        <v>20</v>
      </c>
      <c r="E179" s="77">
        <v>3.0000000000000001E-3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1" t="s">
        <v>106</v>
      </c>
      <c r="C180" s="54" t="s">
        <v>191</v>
      </c>
      <c r="D180" s="55">
        <v>1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1"/>
      <c r="C181" s="54" t="s">
        <v>188</v>
      </c>
      <c r="D181" s="55">
        <v>3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1"/>
      <c r="C182" s="54" t="s">
        <v>194</v>
      </c>
      <c r="D182" s="55">
        <v>2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1"/>
      <c r="C183" s="54" t="s">
        <v>182</v>
      </c>
      <c r="D183" s="55">
        <v>1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1"/>
      <c r="C184" s="54" t="s">
        <v>190</v>
      </c>
      <c r="D184" s="55">
        <v>10</v>
      </c>
      <c r="E184" s="56">
        <v>2E-3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1"/>
      <c r="C185" s="54" t="s">
        <v>189</v>
      </c>
      <c r="D185" s="55">
        <v>7</v>
      </c>
      <c r="E185" s="56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1"/>
      <c r="C186" s="54" t="s">
        <v>192</v>
      </c>
      <c r="D186" s="55">
        <v>2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1"/>
      <c r="C187" s="75" t="s">
        <v>53</v>
      </c>
      <c r="D187" s="76">
        <v>26</v>
      </c>
      <c r="E187" s="77">
        <v>4.0000000000000001E-3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1" t="s">
        <v>115</v>
      </c>
      <c r="C188" s="54" t="s">
        <v>188</v>
      </c>
      <c r="D188" s="55">
        <v>2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1"/>
      <c r="C189" s="54" t="s">
        <v>190</v>
      </c>
      <c r="D189" s="55">
        <v>2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1"/>
      <c r="C190" s="54" t="s">
        <v>195</v>
      </c>
      <c r="D190" s="55">
        <v>1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1"/>
      <c r="C191" s="54" t="s">
        <v>189</v>
      </c>
      <c r="D191" s="55">
        <v>1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1"/>
      <c r="C192" s="75" t="s">
        <v>53</v>
      </c>
      <c r="D192" s="76">
        <v>6</v>
      </c>
      <c r="E192" s="77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1" t="s">
        <v>119</v>
      </c>
      <c r="C193" s="54" t="s">
        <v>188</v>
      </c>
      <c r="D193" s="55">
        <v>7</v>
      </c>
      <c r="E193" s="56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1"/>
      <c r="C194" s="54" t="s">
        <v>182</v>
      </c>
      <c r="D194" s="55">
        <v>2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1"/>
      <c r="C195" s="54" t="s">
        <v>196</v>
      </c>
      <c r="D195" s="55">
        <v>1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1"/>
      <c r="C196" s="54" t="s">
        <v>190</v>
      </c>
      <c r="D196" s="55">
        <v>3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1"/>
      <c r="C197" s="54" t="s">
        <v>189</v>
      </c>
      <c r="D197" s="55">
        <v>4</v>
      </c>
      <c r="E197" s="56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1"/>
      <c r="C198" s="75" t="s">
        <v>53</v>
      </c>
      <c r="D198" s="76">
        <v>17</v>
      </c>
      <c r="E198" s="77">
        <v>3.0000000000000001E-3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1" t="s">
        <v>101</v>
      </c>
      <c r="C199" s="54" t="s">
        <v>191</v>
      </c>
      <c r="D199" s="55">
        <v>2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1"/>
      <c r="C200" s="54" t="s">
        <v>188</v>
      </c>
      <c r="D200" s="55">
        <v>9</v>
      </c>
      <c r="E200" s="56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1"/>
      <c r="C201" s="54" t="s">
        <v>194</v>
      </c>
      <c r="D201" s="55">
        <v>1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1"/>
      <c r="C202" s="54" t="s">
        <v>190</v>
      </c>
      <c r="D202" s="55">
        <v>5</v>
      </c>
      <c r="E202" s="56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1"/>
      <c r="C203" s="54" t="s">
        <v>189</v>
      </c>
      <c r="D203" s="55">
        <v>7</v>
      </c>
      <c r="E203" s="56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1"/>
      <c r="C204" s="54" t="s">
        <v>192</v>
      </c>
      <c r="D204" s="55">
        <v>1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1"/>
      <c r="C205" s="75" t="s">
        <v>53</v>
      </c>
      <c r="D205" s="76">
        <v>25</v>
      </c>
      <c r="E205" s="77">
        <v>4.0000000000000001E-3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1" t="s">
        <v>97</v>
      </c>
      <c r="C206" s="54" t="s">
        <v>191</v>
      </c>
      <c r="D206" s="55">
        <v>1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1"/>
      <c r="C207" s="54" t="s">
        <v>188</v>
      </c>
      <c r="D207" s="55">
        <v>4</v>
      </c>
      <c r="E207" s="56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1"/>
      <c r="C208" s="54" t="s">
        <v>194</v>
      </c>
      <c r="D208" s="55">
        <v>2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1"/>
      <c r="C209" s="54" t="s">
        <v>190</v>
      </c>
      <c r="D209" s="55">
        <v>7</v>
      </c>
      <c r="E209" s="56">
        <v>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1"/>
      <c r="C210" s="54" t="s">
        <v>189</v>
      </c>
      <c r="D210" s="55">
        <v>14</v>
      </c>
      <c r="E210" s="56">
        <v>2E-3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1"/>
      <c r="C211" s="54" t="s">
        <v>192</v>
      </c>
      <c r="D211" s="55">
        <v>1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1"/>
      <c r="C212" s="75" t="s">
        <v>53</v>
      </c>
      <c r="D212" s="76">
        <v>29</v>
      </c>
      <c r="E212" s="77">
        <v>5.0000000000000001E-3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1" t="s">
        <v>98</v>
      </c>
      <c r="C213" s="54" t="s">
        <v>191</v>
      </c>
      <c r="D213" s="55">
        <v>4</v>
      </c>
      <c r="E213" s="56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1"/>
      <c r="C214" s="54" t="s">
        <v>188</v>
      </c>
      <c r="D214" s="55">
        <v>28</v>
      </c>
      <c r="E214" s="56">
        <v>5.0000000000000001E-3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1"/>
      <c r="C215" s="54" t="s">
        <v>194</v>
      </c>
      <c r="D215" s="55">
        <v>5</v>
      </c>
      <c r="E215" s="56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1"/>
      <c r="C216" s="54" t="s">
        <v>193</v>
      </c>
      <c r="D216" s="55">
        <v>7</v>
      </c>
      <c r="E216" s="56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1"/>
      <c r="C217" s="54" t="s">
        <v>182</v>
      </c>
      <c r="D217" s="55">
        <v>5</v>
      </c>
      <c r="E217" s="56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1"/>
      <c r="C218" s="54" t="s">
        <v>190</v>
      </c>
      <c r="D218" s="55">
        <v>13</v>
      </c>
      <c r="E218" s="56">
        <v>2E-3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1"/>
      <c r="C219" s="54" t="s">
        <v>195</v>
      </c>
      <c r="D219" s="55">
        <v>4</v>
      </c>
      <c r="E219" s="56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1"/>
      <c r="C220" s="54" t="s">
        <v>189</v>
      </c>
      <c r="D220" s="55">
        <v>40</v>
      </c>
      <c r="E220" s="56">
        <v>7.0000000000000001E-3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1"/>
      <c r="C221" s="54" t="s">
        <v>192</v>
      </c>
      <c r="D221" s="55">
        <v>6</v>
      </c>
      <c r="E221" s="56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1"/>
      <c r="C222" s="75" t="s">
        <v>53</v>
      </c>
      <c r="D222" s="76">
        <v>112</v>
      </c>
      <c r="E222" s="77">
        <v>1.9E-2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1" t="s">
        <v>114</v>
      </c>
      <c r="C223" s="54" t="s">
        <v>191</v>
      </c>
      <c r="D223" s="55">
        <v>4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1"/>
      <c r="C224" s="54" t="s">
        <v>188</v>
      </c>
      <c r="D224" s="55">
        <v>10</v>
      </c>
      <c r="E224" s="56">
        <v>2E-3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1"/>
      <c r="C225" s="54" t="s">
        <v>193</v>
      </c>
      <c r="D225" s="55">
        <v>1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1"/>
      <c r="C226" s="54" t="s">
        <v>190</v>
      </c>
      <c r="D226" s="55">
        <v>10</v>
      </c>
      <c r="E226" s="56">
        <v>2E-3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1"/>
      <c r="C227" s="54" t="s">
        <v>189</v>
      </c>
      <c r="D227" s="55">
        <v>5</v>
      </c>
      <c r="E227" s="56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1"/>
      <c r="C228" s="54" t="s">
        <v>192</v>
      </c>
      <c r="D228" s="55">
        <v>2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1"/>
      <c r="C229" s="75" t="s">
        <v>53</v>
      </c>
      <c r="D229" s="76">
        <v>32</v>
      </c>
      <c r="E229" s="77">
        <v>5.0000000000000001E-3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1" t="s">
        <v>112</v>
      </c>
      <c r="C230" s="54" t="s">
        <v>191</v>
      </c>
      <c r="D230" s="55">
        <v>8</v>
      </c>
      <c r="E230" s="56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1"/>
      <c r="C231" s="54" t="s">
        <v>188</v>
      </c>
      <c r="D231" s="55">
        <v>47</v>
      </c>
      <c r="E231" s="56">
        <v>8.0000000000000002E-3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1"/>
      <c r="C232" s="54" t="s">
        <v>194</v>
      </c>
      <c r="D232" s="55">
        <v>7</v>
      </c>
      <c r="E232" s="56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1"/>
      <c r="C233" s="54" t="s">
        <v>193</v>
      </c>
      <c r="D233" s="55">
        <v>6</v>
      </c>
      <c r="E233" s="56">
        <v>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1"/>
      <c r="C234" s="54" t="s">
        <v>182</v>
      </c>
      <c r="D234" s="55">
        <v>8</v>
      </c>
      <c r="E234" s="56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1"/>
      <c r="C235" s="54" t="s">
        <v>196</v>
      </c>
      <c r="D235" s="55">
        <v>5</v>
      </c>
      <c r="E235" s="56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1"/>
      <c r="C236" s="54" t="s">
        <v>190</v>
      </c>
      <c r="D236" s="55">
        <v>15</v>
      </c>
      <c r="E236" s="56">
        <v>2E-3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1"/>
      <c r="C237" s="54" t="s">
        <v>195</v>
      </c>
      <c r="D237" s="55">
        <v>4</v>
      </c>
      <c r="E237" s="56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1"/>
      <c r="C238" s="54" t="s">
        <v>189</v>
      </c>
      <c r="D238" s="55">
        <v>52</v>
      </c>
      <c r="E238" s="56">
        <v>8.9999999999999993E-3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1"/>
      <c r="C239" s="54" t="s">
        <v>192</v>
      </c>
      <c r="D239" s="55">
        <v>12</v>
      </c>
      <c r="E239" s="56">
        <v>2E-3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1"/>
      <c r="C240" s="75" t="s">
        <v>53</v>
      </c>
      <c r="D240" s="76">
        <v>164</v>
      </c>
      <c r="E240" s="77">
        <v>2.7E-2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1" t="s">
        <v>91</v>
      </c>
      <c r="C241" s="54" t="s">
        <v>191</v>
      </c>
      <c r="D241" s="55">
        <v>7</v>
      </c>
      <c r="E241" s="56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1"/>
      <c r="C242" s="54" t="s">
        <v>188</v>
      </c>
      <c r="D242" s="55">
        <v>15</v>
      </c>
      <c r="E242" s="56">
        <v>2E-3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1"/>
      <c r="C243" s="54" t="s">
        <v>194</v>
      </c>
      <c r="D243" s="55">
        <v>1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1"/>
      <c r="C244" s="54" t="s">
        <v>193</v>
      </c>
      <c r="D244" s="55">
        <v>2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1"/>
      <c r="C245" s="54" t="s">
        <v>182</v>
      </c>
      <c r="D245" s="55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1"/>
      <c r="C246" s="54" t="s">
        <v>196</v>
      </c>
      <c r="D246" s="55">
        <v>4</v>
      </c>
      <c r="E246" s="56">
        <v>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1"/>
      <c r="C247" s="54" t="s">
        <v>190</v>
      </c>
      <c r="D247" s="55">
        <v>12</v>
      </c>
      <c r="E247" s="56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1"/>
      <c r="C248" s="54" t="s">
        <v>189</v>
      </c>
      <c r="D248" s="55">
        <v>8</v>
      </c>
      <c r="E248" s="56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1"/>
      <c r="C249" s="75" t="s">
        <v>53</v>
      </c>
      <c r="D249" s="76">
        <v>50</v>
      </c>
      <c r="E249" s="77">
        <v>8.0000000000000002E-3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1" t="s">
        <v>95</v>
      </c>
      <c r="C250" s="54" t="s">
        <v>191</v>
      </c>
      <c r="D250" s="55">
        <v>31</v>
      </c>
      <c r="E250" s="56">
        <v>5.0000000000000001E-3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1"/>
      <c r="C251" s="54" t="s">
        <v>188</v>
      </c>
      <c r="D251" s="55">
        <v>156</v>
      </c>
      <c r="E251" s="56">
        <v>2.5999999999999999E-2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1"/>
      <c r="C252" s="54" t="s">
        <v>194</v>
      </c>
      <c r="D252" s="55">
        <v>27</v>
      </c>
      <c r="E252" s="56">
        <v>4.0000000000000001E-3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1"/>
      <c r="C253" s="54" t="s">
        <v>193</v>
      </c>
      <c r="D253" s="55">
        <v>15</v>
      </c>
      <c r="E253" s="56">
        <v>2E-3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1"/>
      <c r="C254" s="54" t="s">
        <v>182</v>
      </c>
      <c r="D254" s="55">
        <v>17</v>
      </c>
      <c r="E254" s="56">
        <v>3.0000000000000001E-3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1"/>
      <c r="C255" s="54" t="s">
        <v>196</v>
      </c>
      <c r="D255" s="55">
        <v>7</v>
      </c>
      <c r="E255" s="56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1"/>
      <c r="C256" s="54" t="s">
        <v>190</v>
      </c>
      <c r="D256" s="55">
        <v>90</v>
      </c>
      <c r="E256" s="56">
        <v>1.4999999999999999E-2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1"/>
      <c r="C257" s="54" t="s">
        <v>195</v>
      </c>
      <c r="D257" s="55">
        <v>11</v>
      </c>
      <c r="E257" s="56">
        <v>2E-3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1"/>
      <c r="C258" s="54" t="s">
        <v>189</v>
      </c>
      <c r="D258" s="55">
        <v>105</v>
      </c>
      <c r="E258" s="56">
        <v>1.7000000000000001E-2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1"/>
      <c r="C259" s="54" t="s">
        <v>192</v>
      </c>
      <c r="D259" s="55">
        <v>23</v>
      </c>
      <c r="E259" s="56">
        <v>4.0000000000000001E-3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1"/>
      <c r="C260" s="75" t="s">
        <v>53</v>
      </c>
      <c r="D260" s="76">
        <v>482</v>
      </c>
      <c r="E260" s="77">
        <v>0.08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1" t="s">
        <v>113</v>
      </c>
      <c r="C261" s="54" t="s">
        <v>188</v>
      </c>
      <c r="D261" s="55">
        <v>3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1"/>
      <c r="C262" s="54" t="s">
        <v>193</v>
      </c>
      <c r="D262" s="55">
        <v>1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1"/>
      <c r="C263" s="54" t="s">
        <v>190</v>
      </c>
      <c r="D263" s="55">
        <v>1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1"/>
      <c r="C264" s="54" t="s">
        <v>195</v>
      </c>
      <c r="D264" s="55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1"/>
      <c r="C265" s="54" t="s">
        <v>189</v>
      </c>
      <c r="D265" s="55">
        <v>5</v>
      </c>
      <c r="E265" s="56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1"/>
      <c r="C266" s="75" t="s">
        <v>53</v>
      </c>
      <c r="D266" s="76">
        <v>11</v>
      </c>
      <c r="E266" s="77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1" t="s">
        <v>102</v>
      </c>
      <c r="C267" s="54" t="s">
        <v>191</v>
      </c>
      <c r="D267" s="55">
        <v>4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1"/>
      <c r="C268" s="54" t="s">
        <v>188</v>
      </c>
      <c r="D268" s="55">
        <v>25</v>
      </c>
      <c r="E268" s="56">
        <v>4.0000000000000001E-3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1"/>
      <c r="C269" s="54" t="s">
        <v>194</v>
      </c>
      <c r="D269" s="55">
        <v>1</v>
      </c>
      <c r="E269" s="56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1"/>
      <c r="C270" s="54" t="s">
        <v>193</v>
      </c>
      <c r="D270" s="55">
        <v>1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1"/>
      <c r="C271" s="54" t="s">
        <v>182</v>
      </c>
      <c r="D271" s="55">
        <v>3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1"/>
      <c r="C272" s="54" t="s">
        <v>196</v>
      </c>
      <c r="D272" s="55">
        <v>2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1"/>
      <c r="C273" s="54" t="s">
        <v>190</v>
      </c>
      <c r="D273" s="55">
        <v>19</v>
      </c>
      <c r="E273" s="56">
        <v>3.0000000000000001E-3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1"/>
      <c r="C274" s="54" t="s">
        <v>189</v>
      </c>
      <c r="D274" s="55">
        <v>19</v>
      </c>
      <c r="E274" s="56">
        <v>3.0000000000000001E-3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1"/>
      <c r="C275" s="54" t="s">
        <v>192</v>
      </c>
      <c r="D275" s="55">
        <v>6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1"/>
      <c r="C276" s="75" t="s">
        <v>53</v>
      </c>
      <c r="D276" s="76">
        <v>80</v>
      </c>
      <c r="E276" s="77">
        <v>1.2999999999999999E-2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1" t="s">
        <v>100</v>
      </c>
      <c r="C277" s="54" t="s">
        <v>191</v>
      </c>
      <c r="D277" s="55">
        <v>1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1"/>
      <c r="C278" s="54" t="s">
        <v>188</v>
      </c>
      <c r="D278" s="55">
        <v>11</v>
      </c>
      <c r="E278" s="56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1"/>
      <c r="C279" s="54" t="s">
        <v>193</v>
      </c>
      <c r="D279" s="55">
        <v>1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1"/>
      <c r="C280" s="54" t="s">
        <v>182</v>
      </c>
      <c r="D280" s="55">
        <v>1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1"/>
      <c r="C281" s="54" t="s">
        <v>196</v>
      </c>
      <c r="D281" s="55">
        <v>3</v>
      </c>
      <c r="E281" s="56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1"/>
      <c r="C282" s="54" t="s">
        <v>190</v>
      </c>
      <c r="D282" s="55">
        <v>7</v>
      </c>
      <c r="E282" s="56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1"/>
      <c r="C283" s="54" t="s">
        <v>189</v>
      </c>
      <c r="D283" s="55">
        <v>5</v>
      </c>
      <c r="E283" s="56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1"/>
      <c r="C284" s="54" t="s">
        <v>192</v>
      </c>
      <c r="D284" s="55">
        <v>5</v>
      </c>
      <c r="E284" s="56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1"/>
      <c r="C285" s="75" t="s">
        <v>53</v>
      </c>
      <c r="D285" s="76">
        <v>34</v>
      </c>
      <c r="E285" s="77">
        <v>6.0000000000000001E-3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1" t="s">
        <v>87</v>
      </c>
      <c r="C286" s="54" t="s">
        <v>191</v>
      </c>
      <c r="D286" s="55">
        <v>31</v>
      </c>
      <c r="E286" s="56">
        <v>5.0000000000000001E-3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1"/>
      <c r="C287" s="54" t="s">
        <v>188</v>
      </c>
      <c r="D287" s="55">
        <v>103</v>
      </c>
      <c r="E287" s="56">
        <v>1.7000000000000001E-2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1"/>
      <c r="C288" s="54" t="s">
        <v>194</v>
      </c>
      <c r="D288" s="55">
        <v>5</v>
      </c>
      <c r="E288" s="56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1"/>
      <c r="C289" s="54" t="s">
        <v>193</v>
      </c>
      <c r="D289" s="55">
        <v>11</v>
      </c>
      <c r="E289" s="56">
        <v>2E-3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1"/>
      <c r="C290" s="54" t="s">
        <v>182</v>
      </c>
      <c r="D290" s="55">
        <v>31</v>
      </c>
      <c r="E290" s="56">
        <v>5.0000000000000001E-3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1"/>
      <c r="C291" s="54" t="s">
        <v>196</v>
      </c>
      <c r="D291" s="55">
        <v>5</v>
      </c>
      <c r="E291" s="56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1"/>
      <c r="C292" s="54" t="s">
        <v>190</v>
      </c>
      <c r="D292" s="55">
        <v>71</v>
      </c>
      <c r="E292" s="56">
        <v>1.2E-2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1"/>
      <c r="C293" s="54" t="s">
        <v>195</v>
      </c>
      <c r="D293" s="55">
        <v>12</v>
      </c>
      <c r="E293" s="56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1"/>
      <c r="C294" s="54" t="s">
        <v>189</v>
      </c>
      <c r="D294" s="55">
        <v>87</v>
      </c>
      <c r="E294" s="56">
        <v>1.4E-2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1"/>
      <c r="C295" s="54" t="s">
        <v>192</v>
      </c>
      <c r="D295" s="55">
        <v>17</v>
      </c>
      <c r="E295" s="56">
        <v>3.0000000000000001E-3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1"/>
      <c r="C296" s="75" t="s">
        <v>53</v>
      </c>
      <c r="D296" s="76">
        <v>373</v>
      </c>
      <c r="E296" s="77">
        <v>6.2E-2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1" t="s">
        <v>107</v>
      </c>
      <c r="C297" s="54" t="s">
        <v>191</v>
      </c>
      <c r="D297" s="55">
        <v>7</v>
      </c>
      <c r="E297" s="56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1"/>
      <c r="C298" s="54" t="s">
        <v>188</v>
      </c>
      <c r="D298" s="55">
        <v>35</v>
      </c>
      <c r="E298" s="56">
        <v>6.0000000000000001E-3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1"/>
      <c r="C299" s="54" t="s">
        <v>194</v>
      </c>
      <c r="D299" s="55">
        <v>2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1"/>
      <c r="C300" s="54" t="s">
        <v>182</v>
      </c>
      <c r="D300" s="55">
        <v>12</v>
      </c>
      <c r="E300" s="56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1"/>
      <c r="C301" s="54" t="s">
        <v>190</v>
      </c>
      <c r="D301" s="55">
        <v>28</v>
      </c>
      <c r="E301" s="56">
        <v>5.0000000000000001E-3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1"/>
      <c r="C302" s="54" t="s">
        <v>195</v>
      </c>
      <c r="D302" s="55">
        <v>1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1"/>
      <c r="C303" s="54" t="s">
        <v>189</v>
      </c>
      <c r="D303" s="55">
        <v>28</v>
      </c>
      <c r="E303" s="56">
        <v>5.0000000000000001E-3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1"/>
      <c r="C304" s="54" t="s">
        <v>192</v>
      </c>
      <c r="D304" s="55">
        <v>3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1"/>
      <c r="C305" s="75" t="s">
        <v>53</v>
      </c>
      <c r="D305" s="76">
        <v>116</v>
      </c>
      <c r="E305" s="77">
        <v>1.9E-2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1" t="s">
        <v>94</v>
      </c>
      <c r="C306" s="54" t="s">
        <v>191</v>
      </c>
      <c r="D306" s="55">
        <v>15</v>
      </c>
      <c r="E306" s="56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1"/>
      <c r="C307" s="54" t="s">
        <v>188</v>
      </c>
      <c r="D307" s="55">
        <v>64</v>
      </c>
      <c r="E307" s="56">
        <v>1.0999999999999999E-2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1"/>
      <c r="C308" s="54" t="s">
        <v>194</v>
      </c>
      <c r="D308" s="55">
        <v>2</v>
      </c>
      <c r="E308" s="56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1"/>
      <c r="C309" s="54" t="s">
        <v>193</v>
      </c>
      <c r="D309" s="55">
        <v>8</v>
      </c>
      <c r="E309" s="56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1"/>
      <c r="C310" s="54" t="s">
        <v>182</v>
      </c>
      <c r="D310" s="55">
        <v>8</v>
      </c>
      <c r="E310" s="56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1"/>
      <c r="C311" s="54" t="s">
        <v>190</v>
      </c>
      <c r="D311" s="55">
        <v>48</v>
      </c>
      <c r="E311" s="56">
        <v>8.0000000000000002E-3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1"/>
      <c r="C312" s="54" t="s">
        <v>195</v>
      </c>
      <c r="D312" s="55">
        <v>7</v>
      </c>
      <c r="E312" s="56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1"/>
      <c r="C313" s="54" t="s">
        <v>189</v>
      </c>
      <c r="D313" s="55">
        <v>81</v>
      </c>
      <c r="E313" s="56">
        <v>1.2999999999999999E-2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1"/>
      <c r="C314" s="54" t="s">
        <v>192</v>
      </c>
      <c r="D314" s="55">
        <v>14</v>
      </c>
      <c r="E314" s="56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1"/>
      <c r="C315" s="75" t="s">
        <v>53</v>
      </c>
      <c r="D315" s="76">
        <v>247</v>
      </c>
      <c r="E315" s="77">
        <v>4.1000000000000002E-2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1" t="s">
        <v>103</v>
      </c>
      <c r="C316" s="54" t="s">
        <v>191</v>
      </c>
      <c r="D316" s="55">
        <v>20</v>
      </c>
      <c r="E316" s="56">
        <v>3.0000000000000001E-3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1"/>
      <c r="C317" s="54" t="s">
        <v>188</v>
      </c>
      <c r="D317" s="55">
        <v>61</v>
      </c>
      <c r="E317" s="56">
        <v>0.01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1"/>
      <c r="C318" s="54" t="s">
        <v>194</v>
      </c>
      <c r="D318" s="55">
        <v>7</v>
      </c>
      <c r="E318" s="56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1"/>
      <c r="C319" s="54" t="s">
        <v>193</v>
      </c>
      <c r="D319" s="55">
        <v>12</v>
      </c>
      <c r="E319" s="56">
        <v>2E-3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1"/>
      <c r="C320" s="54" t="s">
        <v>182</v>
      </c>
      <c r="D320" s="55">
        <v>6</v>
      </c>
      <c r="E320" s="56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1"/>
      <c r="C321" s="54" t="s">
        <v>196</v>
      </c>
      <c r="D321" s="55">
        <v>2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1"/>
      <c r="C322" s="54" t="s">
        <v>190</v>
      </c>
      <c r="D322" s="55">
        <v>70</v>
      </c>
      <c r="E322" s="56">
        <v>1.2E-2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1"/>
      <c r="C323" s="54" t="s">
        <v>195</v>
      </c>
      <c r="D323" s="55">
        <v>21</v>
      </c>
      <c r="E323" s="56">
        <v>3.0000000000000001E-3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1"/>
      <c r="C324" s="54" t="s">
        <v>189</v>
      </c>
      <c r="D324" s="55">
        <v>61</v>
      </c>
      <c r="E324" s="56">
        <v>0.01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1"/>
      <c r="C325" s="54" t="s">
        <v>192</v>
      </c>
      <c r="D325" s="55">
        <v>18</v>
      </c>
      <c r="E325" s="56">
        <v>3.0000000000000001E-3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1"/>
      <c r="C326" s="75" t="s">
        <v>53</v>
      </c>
      <c r="D326" s="76">
        <v>278</v>
      </c>
      <c r="E326" s="77">
        <v>4.5999999999999999E-2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1" t="s">
        <v>90</v>
      </c>
      <c r="C327" s="54" t="s">
        <v>191</v>
      </c>
      <c r="D327" s="55">
        <v>14</v>
      </c>
      <c r="E327" s="56">
        <v>2E-3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1"/>
      <c r="C328" s="54" t="s">
        <v>188</v>
      </c>
      <c r="D328" s="55">
        <v>43</v>
      </c>
      <c r="E328" s="56">
        <v>7.0000000000000001E-3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1"/>
      <c r="C329" s="54" t="s">
        <v>194</v>
      </c>
      <c r="D329" s="55">
        <v>4</v>
      </c>
      <c r="E329" s="56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1"/>
      <c r="C330" s="54" t="s">
        <v>193</v>
      </c>
      <c r="D330" s="55">
        <v>6</v>
      </c>
      <c r="E330" s="56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1"/>
      <c r="C331" s="54" t="s">
        <v>182</v>
      </c>
      <c r="D331" s="55">
        <v>5</v>
      </c>
      <c r="E331" s="56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1"/>
      <c r="C332" s="54" t="s">
        <v>196</v>
      </c>
      <c r="D332" s="55">
        <v>2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1"/>
      <c r="C333" s="54" t="s">
        <v>190</v>
      </c>
      <c r="D333" s="55">
        <v>41</v>
      </c>
      <c r="E333" s="56">
        <v>7.0000000000000001E-3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1"/>
      <c r="C334" s="54" t="s">
        <v>195</v>
      </c>
      <c r="D334" s="55">
        <v>4</v>
      </c>
      <c r="E334" s="56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1"/>
      <c r="C335" s="54" t="s">
        <v>189</v>
      </c>
      <c r="D335" s="55">
        <v>54</v>
      </c>
      <c r="E335" s="56">
        <v>8.9999999999999993E-3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1"/>
      <c r="C336" s="54" t="s">
        <v>192</v>
      </c>
      <c r="D336" s="55">
        <v>9</v>
      </c>
      <c r="E336" s="56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1"/>
      <c r="C337" s="75" t="s">
        <v>53</v>
      </c>
      <c r="D337" s="76">
        <v>182</v>
      </c>
      <c r="E337" s="77">
        <v>0.03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1" t="s">
        <v>111</v>
      </c>
      <c r="C338" s="54" t="s">
        <v>191</v>
      </c>
      <c r="D338" s="55">
        <v>16</v>
      </c>
      <c r="E338" s="56">
        <v>3.0000000000000001E-3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1"/>
      <c r="C339" s="54" t="s">
        <v>188</v>
      </c>
      <c r="D339" s="55">
        <v>49</v>
      </c>
      <c r="E339" s="56">
        <v>8.0000000000000002E-3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1"/>
      <c r="C340" s="54" t="s">
        <v>194</v>
      </c>
      <c r="D340" s="55">
        <v>7</v>
      </c>
      <c r="E340" s="56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1"/>
      <c r="C341" s="54" t="s">
        <v>193</v>
      </c>
      <c r="D341" s="55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1"/>
      <c r="C342" s="54" t="s">
        <v>182</v>
      </c>
      <c r="D342" s="55">
        <v>6</v>
      </c>
      <c r="E342" s="56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1"/>
      <c r="C343" s="54" t="s">
        <v>196</v>
      </c>
      <c r="D343" s="55">
        <v>13</v>
      </c>
      <c r="E343" s="56">
        <v>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1"/>
      <c r="C344" s="54" t="s">
        <v>190</v>
      </c>
      <c r="D344" s="55">
        <v>16</v>
      </c>
      <c r="E344" s="56">
        <v>3.0000000000000001E-3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1"/>
      <c r="C345" s="54" t="s">
        <v>195</v>
      </c>
      <c r="D345" s="55">
        <v>5</v>
      </c>
      <c r="E345" s="56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1"/>
      <c r="C346" s="54" t="s">
        <v>189</v>
      </c>
      <c r="D346" s="55">
        <v>57</v>
      </c>
      <c r="E346" s="56">
        <v>8.9999999999999993E-3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1"/>
      <c r="C347" s="54" t="s">
        <v>192</v>
      </c>
      <c r="D347" s="55">
        <v>10</v>
      </c>
      <c r="E347" s="56">
        <v>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1"/>
      <c r="C348" s="75" t="s">
        <v>53</v>
      </c>
      <c r="D348" s="76">
        <v>180</v>
      </c>
      <c r="E348" s="77">
        <v>0.03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1" t="s">
        <v>120</v>
      </c>
      <c r="C349" s="54" t="s">
        <v>188</v>
      </c>
      <c r="D349" s="55">
        <v>1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1"/>
      <c r="C350" s="54" t="s">
        <v>190</v>
      </c>
      <c r="D350" s="55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1"/>
      <c r="C351" s="54" t="s">
        <v>189</v>
      </c>
      <c r="D351" s="55">
        <v>1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1"/>
      <c r="C352" s="75" t="s">
        <v>53</v>
      </c>
      <c r="D352" s="76">
        <v>3</v>
      </c>
      <c r="E352" s="77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1" t="s">
        <v>109</v>
      </c>
      <c r="C353" s="54" t="s">
        <v>188</v>
      </c>
      <c r="D353" s="55">
        <v>1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1"/>
      <c r="C354" s="54" t="s">
        <v>190</v>
      </c>
      <c r="D354" s="55">
        <v>4</v>
      </c>
      <c r="E354" s="56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1"/>
      <c r="C355" s="54" t="s">
        <v>189</v>
      </c>
      <c r="D355" s="55">
        <v>1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1"/>
      <c r="C356" s="75" t="s">
        <v>53</v>
      </c>
      <c r="D356" s="76">
        <v>6</v>
      </c>
      <c r="E356" s="77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1" t="s">
        <v>123</v>
      </c>
      <c r="C357" s="54" t="s">
        <v>188</v>
      </c>
      <c r="D357" s="55">
        <v>2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1"/>
      <c r="C358" s="54" t="s">
        <v>193</v>
      </c>
      <c r="D358" s="55">
        <v>1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1"/>
      <c r="C359" s="54" t="s">
        <v>189</v>
      </c>
      <c r="D359" s="55">
        <v>2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1"/>
      <c r="C360" s="75" t="s">
        <v>53</v>
      </c>
      <c r="D360" s="76">
        <v>5</v>
      </c>
      <c r="E360" s="77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8" customHeight="1">
      <c r="B361" s="92" t="s">
        <v>53</v>
      </c>
      <c r="C361" s="92"/>
      <c r="D361" s="59">
        <v>6009</v>
      </c>
      <c r="E361" s="60">
        <v>1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8" customHeight="1">
      <c r="G362" s="49"/>
      <c r="H362" s="49"/>
      <c r="I362" s="49"/>
      <c r="J362" s="49"/>
      <c r="K362" s="49"/>
      <c r="L362" s="49"/>
      <c r="M362" s="49"/>
      <c r="N362" s="49"/>
      <c r="O362" s="49"/>
      <c r="P362" s="49"/>
    </row>
    <row r="363" spans="2:16" ht="18" customHeight="1">
      <c r="B363" s="51" t="s">
        <v>77</v>
      </c>
      <c r="C363" s="51"/>
      <c r="D363" s="51"/>
      <c r="E363" s="51"/>
      <c r="F363" s="51"/>
      <c r="G363" s="49"/>
      <c r="H363" s="49"/>
      <c r="I363" s="49"/>
      <c r="J363" s="49"/>
      <c r="K363" s="49"/>
      <c r="L363" s="49"/>
      <c r="M363" s="49"/>
      <c r="N363" s="49"/>
      <c r="O363" s="49"/>
      <c r="P363" s="49"/>
    </row>
    <row r="364" spans="2:16" ht="18" customHeight="1">
      <c r="B364" s="51" t="s">
        <v>45</v>
      </c>
      <c r="C364" s="51"/>
      <c r="D364" s="51"/>
      <c r="E364" s="51"/>
      <c r="F364" s="51"/>
      <c r="G364" s="49"/>
      <c r="H364" s="49"/>
      <c r="I364" s="49"/>
      <c r="J364" s="49"/>
      <c r="K364" s="49"/>
      <c r="L364" s="49"/>
      <c r="M364" s="49"/>
      <c r="N364" s="49"/>
      <c r="O364" s="49"/>
      <c r="P364" s="49"/>
    </row>
    <row r="365" spans="2:16" ht="18" customHeight="1">
      <c r="B365" s="51" t="s">
        <v>78</v>
      </c>
      <c r="C365" s="51"/>
      <c r="D365" s="51"/>
      <c r="E365" s="51"/>
      <c r="F365" s="51"/>
      <c r="G365" s="49"/>
      <c r="H365" s="49"/>
      <c r="I365" s="49"/>
      <c r="J365" s="49"/>
      <c r="K365" s="49"/>
      <c r="L365" s="49"/>
      <c r="M365" s="49"/>
      <c r="N365" s="49"/>
      <c r="O365" s="49"/>
      <c r="P365" s="49"/>
    </row>
    <row r="366" spans="2:16" ht="18" customHeight="1">
      <c r="B366" s="51" t="s">
        <v>79</v>
      </c>
      <c r="C366" s="51"/>
      <c r="D366" s="51"/>
      <c r="E366" s="51"/>
      <c r="F366" s="51"/>
      <c r="G366" s="49"/>
      <c r="H366" s="49"/>
      <c r="I366" s="49"/>
      <c r="J366" s="49"/>
      <c r="K366" s="49"/>
      <c r="L366" s="49"/>
      <c r="M366" s="49"/>
      <c r="N366" s="49"/>
      <c r="O366" s="49"/>
      <c r="P366" s="49"/>
    </row>
    <row r="367" spans="2:16" ht="15" customHeight="1">
      <c r="B367" s="51" t="s">
        <v>80</v>
      </c>
      <c r="C367" s="51"/>
      <c r="D367" s="51"/>
      <c r="E367" s="51"/>
      <c r="F367" s="51"/>
    </row>
  </sheetData>
  <autoFilter ref="B9:E361"/>
  <mergeCells count="46">
    <mergeCell ref="B338:B348"/>
    <mergeCell ref="B349:B352"/>
    <mergeCell ref="B353:B356"/>
    <mergeCell ref="B357:B360"/>
    <mergeCell ref="B361:C361"/>
    <mergeCell ref="B286:B296"/>
    <mergeCell ref="B297:B305"/>
    <mergeCell ref="B306:B315"/>
    <mergeCell ref="B316:B326"/>
    <mergeCell ref="B327:B337"/>
    <mergeCell ref="B16:B17"/>
    <mergeCell ref="B18:B26"/>
    <mergeCell ref="B27:B35"/>
    <mergeCell ref="B36:B45"/>
    <mergeCell ref="B46:B52"/>
    <mergeCell ref="B53:B58"/>
    <mergeCell ref="B59:B69"/>
    <mergeCell ref="B70:B78"/>
    <mergeCell ref="B79:B88"/>
    <mergeCell ref="B89:B93"/>
    <mergeCell ref="B94:B97"/>
    <mergeCell ref="B98:B101"/>
    <mergeCell ref="B102:B112"/>
    <mergeCell ref="B139:B142"/>
    <mergeCell ref="B143:B153"/>
    <mergeCell ref="B180:B187"/>
    <mergeCell ref="B188:B192"/>
    <mergeCell ref="B113:B123"/>
    <mergeCell ref="B124:B131"/>
    <mergeCell ref="B132:B138"/>
    <mergeCell ref="B7:E8"/>
    <mergeCell ref="B161:B171"/>
    <mergeCell ref="B267:B276"/>
    <mergeCell ref="B277:B285"/>
    <mergeCell ref="B241:B249"/>
    <mergeCell ref="B250:B260"/>
    <mergeCell ref="B261:B266"/>
    <mergeCell ref="B10:B15"/>
    <mergeCell ref="B213:B222"/>
    <mergeCell ref="B223:B229"/>
    <mergeCell ref="B230:B240"/>
    <mergeCell ref="B193:B198"/>
    <mergeCell ref="B199:B205"/>
    <mergeCell ref="B206:B212"/>
    <mergeCell ref="B154:B160"/>
    <mergeCell ref="B172:B1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topLeftCell="A13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9" t="s">
        <v>198</v>
      </c>
      <c r="C7" s="89"/>
      <c r="D7" s="89"/>
    </row>
    <row r="8" spans="1:16" s="1" customFormat="1" ht="15" customHeight="1">
      <c r="B8" s="89"/>
      <c r="C8" s="89"/>
      <c r="D8" s="89"/>
    </row>
    <row r="9" spans="1:16" s="1" customFormat="1" ht="33" customHeight="1">
      <c r="B9" s="89"/>
      <c r="C9" s="89"/>
      <c r="D9" s="89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4" t="s">
        <v>125</v>
      </c>
      <c r="C12" s="55">
        <v>83</v>
      </c>
      <c r="D12" s="56">
        <v>1.4E-2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126</v>
      </c>
      <c r="C13" s="55">
        <v>17</v>
      </c>
      <c r="D13" s="56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127</v>
      </c>
      <c r="C14" s="55">
        <v>48</v>
      </c>
      <c r="D14" s="56">
        <v>8.0000000000000002E-3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128</v>
      </c>
      <c r="C15" s="55">
        <v>99</v>
      </c>
      <c r="D15" s="56">
        <v>1.6E-2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129</v>
      </c>
      <c r="C16" s="55">
        <v>66</v>
      </c>
      <c r="D16" s="56">
        <v>1.0999999999999999E-2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130</v>
      </c>
      <c r="C17" s="55">
        <v>94</v>
      </c>
      <c r="D17" s="56">
        <v>1.6E-2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131</v>
      </c>
      <c r="C18" s="55">
        <v>504</v>
      </c>
      <c r="D18" s="56">
        <v>8.4000000000000005E-2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4" t="s">
        <v>132</v>
      </c>
      <c r="C19" s="55">
        <v>879</v>
      </c>
      <c r="D19" s="56">
        <v>0.14599999999999999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133</v>
      </c>
      <c r="C20" s="55">
        <v>67</v>
      </c>
      <c r="D20" s="56">
        <v>1.0999999999999999E-2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134</v>
      </c>
      <c r="C21" s="55">
        <v>133</v>
      </c>
      <c r="D21" s="56">
        <v>2.1999999999999999E-2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135</v>
      </c>
      <c r="C22" s="55">
        <v>135</v>
      </c>
      <c r="D22" s="56">
        <v>2.1999999999999999E-2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4" t="s">
        <v>136</v>
      </c>
      <c r="C23" s="57">
        <v>1921</v>
      </c>
      <c r="D23" s="56">
        <v>0.32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17.25" customHeight="1">
      <c r="B24" s="54" t="s">
        <v>137</v>
      </c>
      <c r="C24" s="55">
        <v>103</v>
      </c>
      <c r="D24" s="56">
        <v>1.7000000000000001E-2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4" t="s">
        <v>138</v>
      </c>
      <c r="C25" s="55">
        <v>403</v>
      </c>
      <c r="D25" s="56">
        <v>6.7000000000000004E-2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4" t="s">
        <v>139</v>
      </c>
      <c r="C26" s="57">
        <v>1212</v>
      </c>
      <c r="D26" s="56">
        <v>0.20200000000000001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4" t="s">
        <v>140</v>
      </c>
      <c r="C27" s="55">
        <v>13</v>
      </c>
      <c r="D27" s="56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4" t="s">
        <v>183</v>
      </c>
      <c r="C28" s="55">
        <v>13</v>
      </c>
      <c r="D28" s="56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4" t="s">
        <v>142</v>
      </c>
      <c r="C29" s="55">
        <v>9</v>
      </c>
      <c r="D29" s="56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4" t="s">
        <v>143</v>
      </c>
      <c r="C30" s="55">
        <v>6</v>
      </c>
      <c r="D30" s="56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18.75" customHeight="1">
      <c r="B31" s="54" t="s">
        <v>144</v>
      </c>
      <c r="C31" s="55">
        <v>69</v>
      </c>
      <c r="D31" s="56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18" customHeight="1">
      <c r="B32" s="54" t="s">
        <v>145</v>
      </c>
      <c r="C32" s="55">
        <v>123</v>
      </c>
      <c r="D32" s="56">
        <v>0.02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146</v>
      </c>
      <c r="C33" s="55">
        <v>7</v>
      </c>
      <c r="D33" s="56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6.5" customHeight="1">
      <c r="B34" s="54" t="s">
        <v>147</v>
      </c>
      <c r="C34" s="55">
        <v>3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4" t="s">
        <v>148</v>
      </c>
      <c r="C35" s="55">
        <v>2</v>
      </c>
      <c r="D35" s="56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8" t="s">
        <v>53</v>
      </c>
      <c r="C36" s="59">
        <v>6009</v>
      </c>
      <c r="D36" s="60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1" t="s">
        <v>77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</row>
    <row r="39" spans="2:16" ht="18" customHeight="1">
      <c r="B39" s="51" t="s">
        <v>45</v>
      </c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</row>
    <row r="40" spans="2:16" ht="18" customHeight="1">
      <c r="B40" s="51" t="s">
        <v>78</v>
      </c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</row>
    <row r="41" spans="2:16">
      <c r="B41" s="51" t="s">
        <v>79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</row>
    <row r="42" spans="2:16">
      <c r="B42" s="51" t="s">
        <v>199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382"/>
  <sheetViews>
    <sheetView showGridLines="0" zoomScaleNormal="100" zoomScaleSheetLayoutView="85" workbookViewId="0">
      <selection activeCell="C21" sqref="C21:E375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0"/>
      <c r="C7" s="90"/>
      <c r="D7" s="90"/>
      <c r="E7" s="90"/>
    </row>
    <row r="8" spans="1:16" s="15" customFormat="1" ht="33" customHeight="1">
      <c r="A8" s="16"/>
      <c r="B8" s="90"/>
      <c r="C8" s="90"/>
      <c r="D8" s="90"/>
      <c r="E8" s="90"/>
    </row>
    <row r="9" spans="1:16" s="1" customFormat="1" ht="40.5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91" t="s">
        <v>125</v>
      </c>
      <c r="C10" s="54" t="s">
        <v>4</v>
      </c>
      <c r="D10" s="55">
        <v>62</v>
      </c>
      <c r="E10" s="56">
        <v>0.01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1"/>
      <c r="C11" s="54" t="s">
        <v>10</v>
      </c>
      <c r="D11" s="55">
        <v>1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1"/>
      <c r="C12" s="54" t="s">
        <v>6</v>
      </c>
      <c r="D12" s="55">
        <v>4</v>
      </c>
      <c r="E12" s="56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1"/>
      <c r="C13" s="54" t="s">
        <v>9</v>
      </c>
      <c r="D13" s="55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1"/>
      <c r="C14" s="54" t="s">
        <v>24</v>
      </c>
      <c r="D14" s="55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1"/>
      <c r="C15" s="54" t="s">
        <v>16</v>
      </c>
      <c r="D15" s="55">
        <v>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1"/>
      <c r="C16" s="54" t="s">
        <v>11</v>
      </c>
      <c r="D16" s="55">
        <v>3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1"/>
      <c r="C17" s="54" t="s">
        <v>40</v>
      </c>
      <c r="D17" s="55">
        <v>1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1"/>
      <c r="C18" s="54" t="s">
        <v>14</v>
      </c>
      <c r="D18" s="55">
        <v>1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1"/>
      <c r="C19" s="54" t="s">
        <v>5</v>
      </c>
      <c r="D19" s="55">
        <v>6</v>
      </c>
      <c r="E19" s="56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1"/>
      <c r="C20" s="54" t="s">
        <v>17</v>
      </c>
      <c r="D20" s="55">
        <v>2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1"/>
      <c r="C21" s="75" t="s">
        <v>53</v>
      </c>
      <c r="D21" s="76">
        <v>83</v>
      </c>
      <c r="E21" s="77">
        <v>1.4E-2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1" t="s">
        <v>126</v>
      </c>
      <c r="C22" s="54" t="s">
        <v>35</v>
      </c>
      <c r="D22" s="55">
        <v>1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1"/>
      <c r="C23" s="54" t="s">
        <v>4</v>
      </c>
      <c r="D23" s="55">
        <v>9</v>
      </c>
      <c r="E23" s="56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1"/>
      <c r="C24" s="54" t="s">
        <v>25</v>
      </c>
      <c r="D24" s="55">
        <v>1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1"/>
      <c r="C25" s="54" t="s">
        <v>181</v>
      </c>
      <c r="D25" s="55">
        <v>1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1"/>
      <c r="C26" s="54" t="s">
        <v>5</v>
      </c>
      <c r="D26" s="55">
        <v>3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1"/>
      <c r="C27" s="54" t="s">
        <v>20</v>
      </c>
      <c r="D27" s="55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1"/>
      <c r="C28" s="54" t="s">
        <v>17</v>
      </c>
      <c r="D28" s="55">
        <v>1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1"/>
      <c r="C29" s="75" t="s">
        <v>53</v>
      </c>
      <c r="D29" s="76">
        <v>17</v>
      </c>
      <c r="E29" s="77">
        <v>3.0000000000000001E-3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1" t="s">
        <v>127</v>
      </c>
      <c r="C30" s="54" t="s">
        <v>22</v>
      </c>
      <c r="D30" s="55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1"/>
      <c r="C31" s="54" t="s">
        <v>4</v>
      </c>
      <c r="D31" s="55">
        <v>37</v>
      </c>
      <c r="E31" s="56">
        <v>6.0000000000000001E-3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1"/>
      <c r="C32" s="54" t="s">
        <v>30</v>
      </c>
      <c r="D32" s="55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1"/>
      <c r="C33" s="54" t="s">
        <v>11</v>
      </c>
      <c r="D33" s="55">
        <v>1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1"/>
      <c r="C34" s="54" t="s">
        <v>181</v>
      </c>
      <c r="D34" s="55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1"/>
      <c r="C35" s="54" t="s">
        <v>33</v>
      </c>
      <c r="D35" s="55">
        <v>1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1"/>
      <c r="C36" s="54" t="s">
        <v>31</v>
      </c>
      <c r="D36" s="55">
        <v>1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1"/>
      <c r="C37" s="54" t="s">
        <v>5</v>
      </c>
      <c r="D37" s="55">
        <v>3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1"/>
      <c r="C38" s="54" t="s">
        <v>17</v>
      </c>
      <c r="D38" s="55">
        <v>2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1"/>
      <c r="C39" s="75" t="s">
        <v>53</v>
      </c>
      <c r="D39" s="76">
        <v>48</v>
      </c>
      <c r="E39" s="77">
        <v>8.0000000000000002E-3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1" t="s">
        <v>128</v>
      </c>
      <c r="C40" s="54" t="s">
        <v>22</v>
      </c>
      <c r="D40" s="55">
        <v>1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1"/>
      <c r="C41" s="54" t="s">
        <v>4</v>
      </c>
      <c r="D41" s="55">
        <v>72</v>
      </c>
      <c r="E41" s="56">
        <v>1.2E-2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1"/>
      <c r="C42" s="54" t="s">
        <v>10</v>
      </c>
      <c r="D42" s="55">
        <v>3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1"/>
      <c r="C43" s="54" t="s">
        <v>12</v>
      </c>
      <c r="D43" s="55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1"/>
      <c r="C44" s="54" t="s">
        <v>6</v>
      </c>
      <c r="D44" s="55">
        <v>2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1"/>
      <c r="C45" s="54" t="s">
        <v>16</v>
      </c>
      <c r="D45" s="55">
        <v>1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1"/>
      <c r="C46" s="54" t="s">
        <v>29</v>
      </c>
      <c r="D46" s="55">
        <v>1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1"/>
      <c r="C47" s="54" t="s">
        <v>25</v>
      </c>
      <c r="D47" s="55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1"/>
      <c r="C48" s="54" t="s">
        <v>11</v>
      </c>
      <c r="D48" s="55">
        <v>4</v>
      </c>
      <c r="E48" s="56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1"/>
      <c r="C49" s="54" t="s">
        <v>181</v>
      </c>
      <c r="D49" s="55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1"/>
      <c r="C50" s="54" t="s">
        <v>40</v>
      </c>
      <c r="D50" s="55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1"/>
      <c r="C51" s="54" t="s">
        <v>18</v>
      </c>
      <c r="D51" s="55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1"/>
      <c r="C52" s="54" t="s">
        <v>15</v>
      </c>
      <c r="D52" s="55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1"/>
      <c r="C53" s="54" t="s">
        <v>5</v>
      </c>
      <c r="D53" s="55">
        <v>3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1"/>
      <c r="C54" s="54" t="s">
        <v>17</v>
      </c>
      <c r="D54" s="55">
        <v>6</v>
      </c>
      <c r="E54" s="56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1"/>
      <c r="C55" s="75" t="s">
        <v>53</v>
      </c>
      <c r="D55" s="76">
        <v>99</v>
      </c>
      <c r="E55" s="77">
        <v>1.6E-2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1" t="s">
        <v>129</v>
      </c>
      <c r="C56" s="54" t="s">
        <v>4</v>
      </c>
      <c r="D56" s="55">
        <v>45</v>
      </c>
      <c r="E56" s="56">
        <v>7.0000000000000001E-3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1"/>
      <c r="C57" s="54" t="s">
        <v>10</v>
      </c>
      <c r="D57" s="55">
        <v>3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1"/>
      <c r="C58" s="54" t="s">
        <v>12</v>
      </c>
      <c r="D58" s="55">
        <v>1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1"/>
      <c r="C59" s="54" t="s">
        <v>6</v>
      </c>
      <c r="D59" s="55">
        <v>1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1"/>
      <c r="C60" s="54" t="s">
        <v>16</v>
      </c>
      <c r="D60" s="55">
        <v>1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1"/>
      <c r="C61" s="54" t="s">
        <v>28</v>
      </c>
      <c r="D61" s="55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1"/>
      <c r="C62" s="54" t="s">
        <v>30</v>
      </c>
      <c r="D62" s="55">
        <v>1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1"/>
      <c r="C63" s="54" t="s">
        <v>25</v>
      </c>
      <c r="D63" s="55">
        <v>2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1"/>
      <c r="C64" s="54" t="s">
        <v>11</v>
      </c>
      <c r="D64" s="55">
        <v>2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1"/>
      <c r="C65" s="54" t="s">
        <v>15</v>
      </c>
      <c r="D65" s="55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1"/>
      <c r="C66" s="54" t="s">
        <v>31</v>
      </c>
      <c r="D66" s="55">
        <v>1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1"/>
      <c r="C67" s="54" t="s">
        <v>5</v>
      </c>
      <c r="D67" s="55">
        <v>4</v>
      </c>
      <c r="E67" s="56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1"/>
      <c r="C68" s="54" t="s">
        <v>17</v>
      </c>
      <c r="D68" s="55">
        <v>3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1"/>
      <c r="C69" s="75" t="s">
        <v>53</v>
      </c>
      <c r="D69" s="76">
        <v>66</v>
      </c>
      <c r="E69" s="77">
        <v>1.0999999999999999E-2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1" t="s">
        <v>130</v>
      </c>
      <c r="C70" s="54" t="s">
        <v>22</v>
      </c>
      <c r="D70" s="55">
        <v>2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1"/>
      <c r="C71" s="54" t="s">
        <v>4</v>
      </c>
      <c r="D71" s="55">
        <v>64</v>
      </c>
      <c r="E71" s="56">
        <v>1.0999999999999999E-2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1"/>
      <c r="C72" s="54" t="s">
        <v>8</v>
      </c>
      <c r="D72" s="55">
        <v>3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1"/>
      <c r="C73" s="54" t="s">
        <v>10</v>
      </c>
      <c r="D73" s="55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1"/>
      <c r="C74" s="54" t="s">
        <v>12</v>
      </c>
      <c r="D74" s="55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1"/>
      <c r="C75" s="54" t="s">
        <v>6</v>
      </c>
      <c r="D75" s="55">
        <v>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1"/>
      <c r="C76" s="54" t="s">
        <v>9</v>
      </c>
      <c r="D76" s="55">
        <v>1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1"/>
      <c r="C77" s="54" t="s">
        <v>28</v>
      </c>
      <c r="D77" s="55">
        <v>1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1"/>
      <c r="C78" s="54" t="s">
        <v>25</v>
      </c>
      <c r="D78" s="55">
        <v>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1"/>
      <c r="C79" s="54" t="s">
        <v>11</v>
      </c>
      <c r="D79" s="55">
        <v>3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1"/>
      <c r="C80" s="54" t="s">
        <v>181</v>
      </c>
      <c r="D80" s="55">
        <v>1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1"/>
      <c r="C81" s="54" t="s">
        <v>33</v>
      </c>
      <c r="D81" s="55">
        <v>1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1"/>
      <c r="C82" s="54" t="s">
        <v>5</v>
      </c>
      <c r="D82" s="55">
        <v>8</v>
      </c>
      <c r="E82" s="56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1"/>
      <c r="C83" s="54" t="s">
        <v>17</v>
      </c>
      <c r="D83" s="55">
        <v>4</v>
      </c>
      <c r="E83" s="56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1"/>
      <c r="C84" s="54" t="s">
        <v>21</v>
      </c>
      <c r="D84" s="55">
        <v>1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1"/>
      <c r="C85" s="75" t="s">
        <v>53</v>
      </c>
      <c r="D85" s="76">
        <v>94</v>
      </c>
      <c r="E85" s="77">
        <v>1.6E-2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1" t="s">
        <v>131</v>
      </c>
      <c r="C86" s="54" t="s">
        <v>35</v>
      </c>
      <c r="D86" s="55">
        <v>1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1"/>
      <c r="C87" s="54" t="s">
        <v>76</v>
      </c>
      <c r="D87" s="55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1"/>
      <c r="C88" s="54" t="s">
        <v>22</v>
      </c>
      <c r="D88" s="55">
        <v>2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1"/>
      <c r="C89" s="54" t="s">
        <v>4</v>
      </c>
      <c r="D89" s="55">
        <v>362</v>
      </c>
      <c r="E89" s="56">
        <v>0.06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1"/>
      <c r="C90" s="54" t="s">
        <v>8</v>
      </c>
      <c r="D90" s="55">
        <v>4</v>
      </c>
      <c r="E90" s="56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1"/>
      <c r="C91" s="54" t="s">
        <v>38</v>
      </c>
      <c r="D91" s="55">
        <v>1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1"/>
      <c r="C92" s="54" t="s">
        <v>10</v>
      </c>
      <c r="D92" s="55">
        <v>4</v>
      </c>
      <c r="E92" s="56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1"/>
      <c r="C93" s="54" t="s">
        <v>12</v>
      </c>
      <c r="D93" s="55">
        <v>3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1"/>
      <c r="C94" s="54" t="s">
        <v>26</v>
      </c>
      <c r="D94" s="55">
        <v>7</v>
      </c>
      <c r="E94" s="56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1"/>
      <c r="C95" s="54" t="s">
        <v>6</v>
      </c>
      <c r="D95" s="55">
        <v>7</v>
      </c>
      <c r="E95" s="56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1"/>
      <c r="C96" s="54" t="s">
        <v>9</v>
      </c>
      <c r="D96" s="55">
        <v>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1"/>
      <c r="C97" s="54" t="s">
        <v>24</v>
      </c>
      <c r="D97" s="55">
        <v>1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1"/>
      <c r="C98" s="54" t="s">
        <v>16</v>
      </c>
      <c r="D98" s="55">
        <v>1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1"/>
      <c r="C99" s="54" t="s">
        <v>19</v>
      </c>
      <c r="D99" s="55">
        <v>2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1"/>
      <c r="C100" s="54" t="s">
        <v>28</v>
      </c>
      <c r="D100" s="55">
        <v>4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1"/>
      <c r="C101" s="54" t="s">
        <v>25</v>
      </c>
      <c r="D101" s="55">
        <v>4</v>
      </c>
      <c r="E101" s="56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1"/>
      <c r="C102" s="54" t="s">
        <v>11</v>
      </c>
      <c r="D102" s="55">
        <v>11</v>
      </c>
      <c r="E102" s="56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1"/>
      <c r="C103" s="54" t="s">
        <v>181</v>
      </c>
      <c r="D103" s="55">
        <v>1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1"/>
      <c r="C104" s="54" t="s">
        <v>40</v>
      </c>
      <c r="D104" s="55">
        <v>1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1"/>
      <c r="C105" s="54" t="s">
        <v>18</v>
      </c>
      <c r="D105" s="55">
        <v>4</v>
      </c>
      <c r="E105" s="56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1"/>
      <c r="C106" s="54" t="s">
        <v>33</v>
      </c>
      <c r="D106" s="55">
        <v>1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1"/>
      <c r="C107" s="54" t="s">
        <v>15</v>
      </c>
      <c r="D107" s="55">
        <v>2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1"/>
      <c r="C108" s="54" t="s">
        <v>34</v>
      </c>
      <c r="D108" s="55">
        <v>2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1"/>
      <c r="C109" s="54" t="s">
        <v>31</v>
      </c>
      <c r="D109" s="55">
        <v>10</v>
      </c>
      <c r="E109" s="56">
        <v>2E-3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1"/>
      <c r="C110" s="54" t="s">
        <v>14</v>
      </c>
      <c r="D110" s="55">
        <v>1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1"/>
      <c r="C111" s="54" t="s">
        <v>5</v>
      </c>
      <c r="D111" s="55">
        <v>27</v>
      </c>
      <c r="E111" s="56">
        <v>4.0000000000000001E-3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1"/>
      <c r="C112" s="54" t="s">
        <v>20</v>
      </c>
      <c r="D112" s="55">
        <v>10</v>
      </c>
      <c r="E112" s="56">
        <v>2E-3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1"/>
      <c r="C113" s="54" t="s">
        <v>17</v>
      </c>
      <c r="D113" s="55">
        <v>28</v>
      </c>
      <c r="E113" s="56">
        <v>5.0000000000000001E-3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1"/>
      <c r="C114" s="54" t="s">
        <v>21</v>
      </c>
      <c r="D114" s="55">
        <v>1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1"/>
      <c r="C115" s="75" t="s">
        <v>53</v>
      </c>
      <c r="D115" s="76">
        <v>504</v>
      </c>
      <c r="E115" s="77">
        <v>8.4000000000000005E-2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1" t="s">
        <v>132</v>
      </c>
      <c r="C116" s="54" t="s">
        <v>35</v>
      </c>
      <c r="D116" s="55">
        <v>5</v>
      </c>
      <c r="E116" s="56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1"/>
      <c r="C117" s="54" t="s">
        <v>22</v>
      </c>
      <c r="D117" s="55">
        <v>3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1"/>
      <c r="C118" s="54" t="s">
        <v>13</v>
      </c>
      <c r="D118" s="55">
        <v>1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1"/>
      <c r="C119" s="54" t="s">
        <v>4</v>
      </c>
      <c r="D119" s="55">
        <v>620</v>
      </c>
      <c r="E119" s="56">
        <v>0.10299999999999999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1"/>
      <c r="C120" s="54" t="s">
        <v>8</v>
      </c>
      <c r="D120" s="55">
        <v>5</v>
      </c>
      <c r="E120" s="56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1"/>
      <c r="C121" s="54" t="s">
        <v>38</v>
      </c>
      <c r="D121" s="55">
        <v>1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1"/>
      <c r="C122" s="54" t="s">
        <v>10</v>
      </c>
      <c r="D122" s="55">
        <v>9</v>
      </c>
      <c r="E122" s="56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1"/>
      <c r="C123" s="54" t="s">
        <v>12</v>
      </c>
      <c r="D123" s="55">
        <v>4</v>
      </c>
      <c r="E123" s="56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1"/>
      <c r="C124" s="54" t="s">
        <v>26</v>
      </c>
      <c r="D124" s="55">
        <v>15</v>
      </c>
      <c r="E124" s="56">
        <v>2E-3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1"/>
      <c r="C125" s="54" t="s">
        <v>6</v>
      </c>
      <c r="D125" s="55">
        <v>30</v>
      </c>
      <c r="E125" s="56">
        <v>5.0000000000000001E-3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1"/>
      <c r="C126" s="54" t="s">
        <v>9</v>
      </c>
      <c r="D126" s="55">
        <v>4</v>
      </c>
      <c r="E126" s="56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1"/>
      <c r="C127" s="54" t="s">
        <v>16</v>
      </c>
      <c r="D127" s="55">
        <v>2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1"/>
      <c r="C128" s="54" t="s">
        <v>19</v>
      </c>
      <c r="D128" s="55">
        <v>2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1"/>
      <c r="C129" s="54" t="s">
        <v>29</v>
      </c>
      <c r="D129" s="55">
        <v>1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1"/>
      <c r="C130" s="54" t="s">
        <v>30</v>
      </c>
      <c r="D130" s="55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1"/>
      <c r="C131" s="54" t="s">
        <v>36</v>
      </c>
      <c r="D131" s="55">
        <v>1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1"/>
      <c r="C132" s="54" t="s">
        <v>25</v>
      </c>
      <c r="D132" s="55">
        <v>1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1"/>
      <c r="C133" s="54" t="s">
        <v>23</v>
      </c>
      <c r="D133" s="55">
        <v>1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1"/>
      <c r="C134" s="54" t="s">
        <v>11</v>
      </c>
      <c r="D134" s="55">
        <v>43</v>
      </c>
      <c r="E134" s="56">
        <v>7.0000000000000001E-3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1"/>
      <c r="C135" s="54" t="s">
        <v>181</v>
      </c>
      <c r="D135" s="55">
        <v>3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1"/>
      <c r="C136" s="54" t="s">
        <v>40</v>
      </c>
      <c r="D136" s="55">
        <v>1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1"/>
      <c r="C137" s="54" t="s">
        <v>18</v>
      </c>
      <c r="D137" s="55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1"/>
      <c r="C138" s="54" t="s">
        <v>33</v>
      </c>
      <c r="D138" s="55">
        <v>1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1"/>
      <c r="C139" s="54" t="s">
        <v>15</v>
      </c>
      <c r="D139" s="55">
        <v>15</v>
      </c>
      <c r="E139" s="56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1"/>
      <c r="C140" s="54" t="s">
        <v>7</v>
      </c>
      <c r="D140" s="55">
        <v>2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1"/>
      <c r="C141" s="54" t="s">
        <v>31</v>
      </c>
      <c r="D141" s="55">
        <v>20</v>
      </c>
      <c r="E141" s="56">
        <v>3.0000000000000001E-3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1"/>
      <c r="C142" s="54" t="s">
        <v>37</v>
      </c>
      <c r="D142" s="55">
        <v>1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1"/>
      <c r="C143" s="54" t="s">
        <v>14</v>
      </c>
      <c r="D143" s="55">
        <v>4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1"/>
      <c r="C144" s="54" t="s">
        <v>5</v>
      </c>
      <c r="D144" s="55">
        <v>46</v>
      </c>
      <c r="E144" s="56">
        <v>8.0000000000000002E-3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1"/>
      <c r="C145" s="54" t="s">
        <v>20</v>
      </c>
      <c r="D145" s="55">
        <v>7</v>
      </c>
      <c r="E145" s="56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1"/>
      <c r="C146" s="54" t="s">
        <v>17</v>
      </c>
      <c r="D146" s="55">
        <v>27</v>
      </c>
      <c r="E146" s="56">
        <v>4.0000000000000001E-3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1"/>
      <c r="C147" s="54" t="s">
        <v>21</v>
      </c>
      <c r="D147" s="55">
        <v>2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1"/>
      <c r="C148" s="75" t="s">
        <v>53</v>
      </c>
      <c r="D148" s="76">
        <v>879</v>
      </c>
      <c r="E148" s="77">
        <v>0.14599999999999999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1" t="s">
        <v>133</v>
      </c>
      <c r="C149" s="54" t="s">
        <v>22</v>
      </c>
      <c r="D149" s="55">
        <v>3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1"/>
      <c r="C150" s="54" t="s">
        <v>4</v>
      </c>
      <c r="D150" s="55">
        <v>45</v>
      </c>
      <c r="E150" s="56">
        <v>7.0000000000000001E-3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1"/>
      <c r="C151" s="54" t="s">
        <v>8</v>
      </c>
      <c r="D151" s="55">
        <v>1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1"/>
      <c r="C152" s="54" t="s">
        <v>12</v>
      </c>
      <c r="D152" s="55">
        <v>1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1"/>
      <c r="C153" s="54" t="s">
        <v>6</v>
      </c>
      <c r="D153" s="55">
        <v>2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1"/>
      <c r="C154" s="54" t="s">
        <v>29</v>
      </c>
      <c r="D154" s="55">
        <v>1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1"/>
      <c r="C155" s="54" t="s">
        <v>23</v>
      </c>
      <c r="D155" s="55">
        <v>1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1"/>
      <c r="C156" s="54" t="s">
        <v>11</v>
      </c>
      <c r="D156" s="55">
        <v>2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1"/>
      <c r="C157" s="54" t="s">
        <v>34</v>
      </c>
      <c r="D157" s="55">
        <v>2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1"/>
      <c r="C158" s="54" t="s">
        <v>31</v>
      </c>
      <c r="D158" s="55">
        <v>2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1"/>
      <c r="C159" s="54" t="s">
        <v>5</v>
      </c>
      <c r="D159" s="55">
        <v>5</v>
      </c>
      <c r="E159" s="56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1"/>
      <c r="C160" s="54" t="s">
        <v>17</v>
      </c>
      <c r="D160" s="55">
        <v>2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1"/>
      <c r="C161" s="75" t="s">
        <v>53</v>
      </c>
      <c r="D161" s="76">
        <v>67</v>
      </c>
      <c r="E161" s="77">
        <v>1.0999999999999999E-2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1" t="s">
        <v>134</v>
      </c>
      <c r="C162" s="54" t="s">
        <v>13</v>
      </c>
      <c r="D162" s="55">
        <v>4</v>
      </c>
      <c r="E162" s="56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1"/>
      <c r="C163" s="54" t="s">
        <v>4</v>
      </c>
      <c r="D163" s="55">
        <v>78</v>
      </c>
      <c r="E163" s="56">
        <v>1.2999999999999999E-2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1"/>
      <c r="C164" s="54" t="s">
        <v>10</v>
      </c>
      <c r="D164" s="55">
        <v>3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1"/>
      <c r="C165" s="54" t="s">
        <v>12</v>
      </c>
      <c r="D165" s="55">
        <v>1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1"/>
      <c r="C166" s="54" t="s">
        <v>6</v>
      </c>
      <c r="D166" s="55">
        <v>6</v>
      </c>
      <c r="E166" s="56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1"/>
      <c r="C167" s="54" t="s">
        <v>24</v>
      </c>
      <c r="D167" s="55">
        <v>3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1"/>
      <c r="C168" s="54" t="s">
        <v>19</v>
      </c>
      <c r="D168" s="55">
        <v>1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1"/>
      <c r="C169" s="54" t="s">
        <v>39</v>
      </c>
      <c r="D169" s="55">
        <v>1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1"/>
      <c r="C170" s="54" t="s">
        <v>28</v>
      </c>
      <c r="D170" s="55">
        <v>1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1"/>
      <c r="C171" s="54" t="s">
        <v>11</v>
      </c>
      <c r="D171" s="55">
        <v>8</v>
      </c>
      <c r="E171" s="56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1"/>
      <c r="C172" s="54" t="s">
        <v>33</v>
      </c>
      <c r="D172" s="55">
        <v>1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1"/>
      <c r="C173" s="54" t="s">
        <v>31</v>
      </c>
      <c r="D173" s="55">
        <v>6</v>
      </c>
      <c r="E173" s="56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1"/>
      <c r="C174" s="54" t="s">
        <v>37</v>
      </c>
      <c r="D174" s="55">
        <v>1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1"/>
      <c r="C175" s="54" t="s">
        <v>32</v>
      </c>
      <c r="D175" s="55">
        <v>1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1"/>
      <c r="C176" s="54" t="s">
        <v>5</v>
      </c>
      <c r="D176" s="55">
        <v>8</v>
      </c>
      <c r="E176" s="56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1"/>
      <c r="C177" s="54" t="s">
        <v>17</v>
      </c>
      <c r="D177" s="55">
        <v>10</v>
      </c>
      <c r="E177" s="56">
        <v>2E-3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1"/>
      <c r="C178" s="75" t="s">
        <v>53</v>
      </c>
      <c r="D178" s="76">
        <v>133</v>
      </c>
      <c r="E178" s="77">
        <v>2.1999999999999999E-2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1" t="s">
        <v>135</v>
      </c>
      <c r="C179" s="54" t="s">
        <v>35</v>
      </c>
      <c r="D179" s="55">
        <v>1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1"/>
      <c r="C180" s="54" t="s">
        <v>13</v>
      </c>
      <c r="D180" s="55">
        <v>2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1"/>
      <c r="C181" s="54" t="s">
        <v>4</v>
      </c>
      <c r="D181" s="55">
        <v>82</v>
      </c>
      <c r="E181" s="56">
        <v>1.4E-2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1"/>
      <c r="C182" s="54" t="s">
        <v>10</v>
      </c>
      <c r="D182" s="55">
        <v>2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1"/>
      <c r="C183" s="54" t="s">
        <v>26</v>
      </c>
      <c r="D183" s="55">
        <v>1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1"/>
      <c r="C184" s="54" t="s">
        <v>6</v>
      </c>
      <c r="D184" s="55">
        <v>5</v>
      </c>
      <c r="E184" s="56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1"/>
      <c r="C185" s="54" t="s">
        <v>9</v>
      </c>
      <c r="D185" s="55">
        <v>1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1"/>
      <c r="C186" s="54" t="s">
        <v>16</v>
      </c>
      <c r="D186" s="55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1"/>
      <c r="C187" s="54" t="s">
        <v>19</v>
      </c>
      <c r="D187" s="55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1"/>
      <c r="C188" s="54" t="s">
        <v>184</v>
      </c>
      <c r="D188" s="55">
        <v>1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1"/>
      <c r="C189" s="54" t="s">
        <v>28</v>
      </c>
      <c r="D189" s="55">
        <v>2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1"/>
      <c r="C190" s="54" t="s">
        <v>25</v>
      </c>
      <c r="D190" s="55">
        <v>1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1"/>
      <c r="C191" s="54" t="s">
        <v>11</v>
      </c>
      <c r="D191" s="55">
        <v>9</v>
      </c>
      <c r="E191" s="56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1"/>
      <c r="C192" s="54" t="s">
        <v>31</v>
      </c>
      <c r="D192" s="55">
        <v>9</v>
      </c>
      <c r="E192" s="56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1"/>
      <c r="C193" s="54" t="s">
        <v>32</v>
      </c>
      <c r="D193" s="55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1"/>
      <c r="C194" s="54" t="s">
        <v>14</v>
      </c>
      <c r="D194" s="55">
        <v>1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1"/>
      <c r="C195" s="54" t="s">
        <v>5</v>
      </c>
      <c r="D195" s="55">
        <v>5</v>
      </c>
      <c r="E195" s="56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1"/>
      <c r="C196" s="54" t="s">
        <v>20</v>
      </c>
      <c r="D196" s="55">
        <v>3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1"/>
      <c r="C197" s="54" t="s">
        <v>17</v>
      </c>
      <c r="D197" s="55">
        <v>6</v>
      </c>
      <c r="E197" s="56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1"/>
      <c r="C198" s="54" t="s">
        <v>41</v>
      </c>
      <c r="D198" s="55">
        <v>1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1"/>
      <c r="C199" s="75" t="s">
        <v>53</v>
      </c>
      <c r="D199" s="76">
        <v>135</v>
      </c>
      <c r="E199" s="77">
        <v>2.1999999999999999E-2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1" t="s">
        <v>136</v>
      </c>
      <c r="C200" s="54" t="s">
        <v>35</v>
      </c>
      <c r="D200" s="55">
        <v>4</v>
      </c>
      <c r="E200" s="56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1"/>
      <c r="C201" s="54" t="s">
        <v>22</v>
      </c>
      <c r="D201" s="55">
        <v>10</v>
      </c>
      <c r="E201" s="56">
        <v>2E-3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1"/>
      <c r="C202" s="54" t="s">
        <v>13</v>
      </c>
      <c r="D202" s="55">
        <v>2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1"/>
      <c r="C203" s="54" t="s">
        <v>4</v>
      </c>
      <c r="D203" s="57">
        <v>1340</v>
      </c>
      <c r="E203" s="56">
        <v>0.223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1"/>
      <c r="C204" s="54" t="s">
        <v>8</v>
      </c>
      <c r="D204" s="55">
        <v>13</v>
      </c>
      <c r="E204" s="56">
        <v>2E-3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1"/>
      <c r="C205" s="54" t="s">
        <v>38</v>
      </c>
      <c r="D205" s="55">
        <v>1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1"/>
      <c r="C206" s="54" t="s">
        <v>10</v>
      </c>
      <c r="D206" s="55">
        <v>17</v>
      </c>
      <c r="E206" s="56">
        <v>3.0000000000000001E-3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1"/>
      <c r="C207" s="54" t="s">
        <v>12</v>
      </c>
      <c r="D207" s="55">
        <v>17</v>
      </c>
      <c r="E207" s="56">
        <v>3.0000000000000001E-3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1"/>
      <c r="C208" s="54" t="s">
        <v>26</v>
      </c>
      <c r="D208" s="55">
        <v>13</v>
      </c>
      <c r="E208" s="56">
        <v>2E-3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1"/>
      <c r="C209" s="54" t="s">
        <v>6</v>
      </c>
      <c r="D209" s="55">
        <v>68</v>
      </c>
      <c r="E209" s="56">
        <v>1.0999999999999999E-2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1"/>
      <c r="C210" s="54" t="s">
        <v>9</v>
      </c>
      <c r="D210" s="55">
        <v>9</v>
      </c>
      <c r="E210" s="56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1"/>
      <c r="C211" s="54" t="s">
        <v>24</v>
      </c>
      <c r="D211" s="55">
        <v>2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1"/>
      <c r="C212" s="54" t="s">
        <v>16</v>
      </c>
      <c r="D212" s="55">
        <v>5</v>
      </c>
      <c r="E212" s="56">
        <v>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1"/>
      <c r="C213" s="54" t="s">
        <v>19</v>
      </c>
      <c r="D213" s="55">
        <v>1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1"/>
      <c r="C214" s="54" t="s">
        <v>184</v>
      </c>
      <c r="D214" s="55">
        <v>1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1"/>
      <c r="C215" s="54" t="s">
        <v>42</v>
      </c>
      <c r="D215" s="55">
        <v>2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1"/>
      <c r="C216" s="54" t="s">
        <v>28</v>
      </c>
      <c r="D216" s="55">
        <v>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1"/>
      <c r="C217" s="54" t="s">
        <v>30</v>
      </c>
      <c r="D217" s="55">
        <v>2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1"/>
      <c r="C218" s="54" t="s">
        <v>25</v>
      </c>
      <c r="D218" s="55">
        <v>7</v>
      </c>
      <c r="E218" s="56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1"/>
      <c r="C219" s="54" t="s">
        <v>23</v>
      </c>
      <c r="D219" s="55">
        <v>5</v>
      </c>
      <c r="E219" s="56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1"/>
      <c r="C220" s="54" t="s">
        <v>11</v>
      </c>
      <c r="D220" s="55">
        <v>81</v>
      </c>
      <c r="E220" s="56">
        <v>1.2999999999999999E-2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1"/>
      <c r="C221" s="54" t="s">
        <v>181</v>
      </c>
      <c r="D221" s="55">
        <v>7</v>
      </c>
      <c r="E221" s="56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1"/>
      <c r="C222" s="54" t="s">
        <v>40</v>
      </c>
      <c r="D222" s="55">
        <v>1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1"/>
      <c r="C223" s="54" t="s">
        <v>18</v>
      </c>
      <c r="D223" s="55">
        <v>3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1"/>
      <c r="C224" s="54" t="s">
        <v>33</v>
      </c>
      <c r="D224" s="55">
        <v>2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1"/>
      <c r="C225" s="54" t="s">
        <v>15</v>
      </c>
      <c r="D225" s="55">
        <v>11</v>
      </c>
      <c r="E225" s="56">
        <v>2E-3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1"/>
      <c r="C226" s="54" t="s">
        <v>34</v>
      </c>
      <c r="D226" s="55">
        <v>5</v>
      </c>
      <c r="E226" s="56">
        <v>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1"/>
      <c r="C227" s="54" t="s">
        <v>7</v>
      </c>
      <c r="D227" s="55">
        <v>7</v>
      </c>
      <c r="E227" s="56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1"/>
      <c r="C228" s="54" t="s">
        <v>31</v>
      </c>
      <c r="D228" s="55">
        <v>49</v>
      </c>
      <c r="E228" s="56">
        <v>8.0000000000000002E-3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1"/>
      <c r="C229" s="54" t="s">
        <v>37</v>
      </c>
      <c r="D229" s="55">
        <v>2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1"/>
      <c r="C230" s="54" t="s">
        <v>32</v>
      </c>
      <c r="D230" s="55">
        <v>1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1"/>
      <c r="C231" s="54" t="s">
        <v>43</v>
      </c>
      <c r="D231" s="55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1"/>
      <c r="C232" s="54" t="s">
        <v>14</v>
      </c>
      <c r="D232" s="55">
        <v>6</v>
      </c>
      <c r="E232" s="56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1"/>
      <c r="C233" s="54" t="s">
        <v>5</v>
      </c>
      <c r="D233" s="55">
        <v>135</v>
      </c>
      <c r="E233" s="56">
        <v>2.1999999999999999E-2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1"/>
      <c r="C234" s="54" t="s">
        <v>20</v>
      </c>
      <c r="D234" s="55">
        <v>26</v>
      </c>
      <c r="E234" s="56">
        <v>4.0000000000000001E-3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1"/>
      <c r="C235" s="54" t="s">
        <v>178</v>
      </c>
      <c r="D235" s="55">
        <v>1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1"/>
      <c r="C236" s="54" t="s">
        <v>27</v>
      </c>
      <c r="D236" s="55">
        <v>3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1"/>
      <c r="C237" s="54" t="s">
        <v>17</v>
      </c>
      <c r="D237" s="55">
        <v>55</v>
      </c>
      <c r="E237" s="56">
        <v>8.9999999999999993E-3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1"/>
      <c r="C238" s="54" t="s">
        <v>21</v>
      </c>
      <c r="D238" s="55">
        <v>4</v>
      </c>
      <c r="E238" s="56">
        <v>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1"/>
      <c r="C239" s="54" t="s">
        <v>41</v>
      </c>
      <c r="D239" s="55">
        <v>1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1"/>
      <c r="C240" s="75" t="s">
        <v>53</v>
      </c>
      <c r="D240" s="78">
        <v>1921</v>
      </c>
      <c r="E240" s="77">
        <v>0.32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1" t="s">
        <v>137</v>
      </c>
      <c r="C241" s="54" t="s">
        <v>4</v>
      </c>
      <c r="D241" s="55">
        <v>77</v>
      </c>
      <c r="E241" s="56">
        <v>1.2999999999999999E-2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1"/>
      <c r="C242" s="54" t="s">
        <v>8</v>
      </c>
      <c r="D242" s="55">
        <v>3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1"/>
      <c r="C243" s="54" t="s">
        <v>10</v>
      </c>
      <c r="D243" s="55">
        <v>1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1"/>
      <c r="C244" s="54" t="s">
        <v>6</v>
      </c>
      <c r="D244" s="55">
        <v>1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1"/>
      <c r="C245" s="54" t="s">
        <v>24</v>
      </c>
      <c r="D245" s="55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1"/>
      <c r="C246" s="54" t="s">
        <v>30</v>
      </c>
      <c r="D246" s="55">
        <v>1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1"/>
      <c r="C247" s="54" t="s">
        <v>11</v>
      </c>
      <c r="D247" s="55">
        <v>5</v>
      </c>
      <c r="E247" s="56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1"/>
      <c r="C248" s="54" t="s">
        <v>15</v>
      </c>
      <c r="D248" s="55">
        <v>1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1"/>
      <c r="C249" s="54" t="s">
        <v>34</v>
      </c>
      <c r="D249" s="55">
        <v>1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1"/>
      <c r="C250" s="54" t="s">
        <v>31</v>
      </c>
      <c r="D250" s="55">
        <v>3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1"/>
      <c r="C251" s="54" t="s">
        <v>5</v>
      </c>
      <c r="D251" s="55">
        <v>6</v>
      </c>
      <c r="E251" s="56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1"/>
      <c r="C252" s="54" t="s">
        <v>17</v>
      </c>
      <c r="D252" s="55">
        <v>2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1"/>
      <c r="C253" s="54" t="s">
        <v>21</v>
      </c>
      <c r="D253" s="55">
        <v>1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1"/>
      <c r="C254" s="75" t="s">
        <v>53</v>
      </c>
      <c r="D254" s="76">
        <v>103</v>
      </c>
      <c r="E254" s="77">
        <v>1.7000000000000001E-2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1" t="s">
        <v>138</v>
      </c>
      <c r="C255" s="54" t="s">
        <v>22</v>
      </c>
      <c r="D255" s="55">
        <v>2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1"/>
      <c r="C256" s="54" t="s">
        <v>13</v>
      </c>
      <c r="D256" s="55">
        <v>1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1"/>
      <c r="C257" s="54" t="s">
        <v>4</v>
      </c>
      <c r="D257" s="55">
        <v>272</v>
      </c>
      <c r="E257" s="56">
        <v>4.4999999999999998E-2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1"/>
      <c r="C258" s="54" t="s">
        <v>8</v>
      </c>
      <c r="D258" s="55">
        <v>8</v>
      </c>
      <c r="E258" s="56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1"/>
      <c r="C259" s="54" t="s">
        <v>10</v>
      </c>
      <c r="D259" s="55">
        <v>4</v>
      </c>
      <c r="E259" s="56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1"/>
      <c r="C260" s="54" t="s">
        <v>12</v>
      </c>
      <c r="D260" s="55">
        <v>4</v>
      </c>
      <c r="E260" s="56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1"/>
      <c r="C261" s="54" t="s">
        <v>26</v>
      </c>
      <c r="D261" s="55">
        <v>4</v>
      </c>
      <c r="E261" s="56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1"/>
      <c r="C262" s="54" t="s">
        <v>6</v>
      </c>
      <c r="D262" s="55">
        <v>10</v>
      </c>
      <c r="E262" s="56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1"/>
      <c r="C263" s="54" t="s">
        <v>9</v>
      </c>
      <c r="D263" s="55">
        <v>2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1"/>
      <c r="C264" s="54" t="s">
        <v>24</v>
      </c>
      <c r="D264" s="55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1"/>
      <c r="C265" s="54" t="s">
        <v>16</v>
      </c>
      <c r="D265" s="55">
        <v>1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1"/>
      <c r="C266" s="54" t="s">
        <v>28</v>
      </c>
      <c r="D266" s="55">
        <v>1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1"/>
      <c r="C267" s="54" t="s">
        <v>25</v>
      </c>
      <c r="D267" s="55">
        <v>5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1"/>
      <c r="C268" s="54" t="s">
        <v>23</v>
      </c>
      <c r="D268" s="55">
        <v>2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1"/>
      <c r="C269" s="54" t="s">
        <v>11</v>
      </c>
      <c r="D269" s="55">
        <v>24</v>
      </c>
      <c r="E269" s="56">
        <v>4.0000000000000001E-3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1"/>
      <c r="C270" s="54" t="s">
        <v>18</v>
      </c>
      <c r="D270" s="55">
        <v>2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1"/>
      <c r="C271" s="54" t="s">
        <v>15</v>
      </c>
      <c r="D271" s="55">
        <v>6</v>
      </c>
      <c r="E271" s="56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1"/>
      <c r="C272" s="54" t="s">
        <v>7</v>
      </c>
      <c r="D272" s="55">
        <v>2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1"/>
      <c r="C273" s="54" t="s">
        <v>31</v>
      </c>
      <c r="D273" s="55">
        <v>13</v>
      </c>
      <c r="E273" s="56">
        <v>2E-3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1"/>
      <c r="C274" s="54" t="s">
        <v>32</v>
      </c>
      <c r="D274" s="55">
        <v>2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1"/>
      <c r="C275" s="54" t="s">
        <v>5</v>
      </c>
      <c r="D275" s="55">
        <v>21</v>
      </c>
      <c r="E275" s="56">
        <v>3.0000000000000001E-3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1"/>
      <c r="C276" s="54" t="s">
        <v>20</v>
      </c>
      <c r="D276" s="55">
        <v>7</v>
      </c>
      <c r="E276" s="56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1"/>
      <c r="C277" s="54" t="s">
        <v>17</v>
      </c>
      <c r="D277" s="55">
        <v>8</v>
      </c>
      <c r="E277" s="56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1"/>
      <c r="C278" s="54" t="s">
        <v>41</v>
      </c>
      <c r="D278" s="55">
        <v>1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1"/>
      <c r="C279" s="75" t="s">
        <v>53</v>
      </c>
      <c r="D279" s="76">
        <v>403</v>
      </c>
      <c r="E279" s="77">
        <v>6.7000000000000004E-2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1" t="s">
        <v>139</v>
      </c>
      <c r="C280" s="54" t="s">
        <v>35</v>
      </c>
      <c r="D280" s="55">
        <v>3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1"/>
      <c r="C281" s="54" t="s">
        <v>22</v>
      </c>
      <c r="D281" s="55">
        <v>12</v>
      </c>
      <c r="E281" s="56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1"/>
      <c r="C282" s="54" t="s">
        <v>13</v>
      </c>
      <c r="D282" s="55">
        <v>4</v>
      </c>
      <c r="E282" s="56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1"/>
      <c r="C283" s="54" t="s">
        <v>4</v>
      </c>
      <c r="D283" s="55">
        <v>888</v>
      </c>
      <c r="E283" s="56">
        <v>0.14799999999999999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1"/>
      <c r="C284" s="54" t="s">
        <v>8</v>
      </c>
      <c r="D284" s="55">
        <v>10</v>
      </c>
      <c r="E284" s="56">
        <v>2E-3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1"/>
      <c r="C285" s="54" t="s">
        <v>38</v>
      </c>
      <c r="D285" s="55">
        <v>2</v>
      </c>
      <c r="E285" s="56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1"/>
      <c r="C286" s="54" t="s">
        <v>10</v>
      </c>
      <c r="D286" s="55">
        <v>5</v>
      </c>
      <c r="E286" s="56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1"/>
      <c r="C287" s="54" t="s">
        <v>12</v>
      </c>
      <c r="D287" s="55">
        <v>4</v>
      </c>
      <c r="E287" s="56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1"/>
      <c r="C288" s="54" t="s">
        <v>26</v>
      </c>
      <c r="D288" s="55">
        <v>6</v>
      </c>
      <c r="E288" s="56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1"/>
      <c r="C289" s="54" t="s">
        <v>6</v>
      </c>
      <c r="D289" s="55">
        <v>28</v>
      </c>
      <c r="E289" s="56">
        <v>5.0000000000000001E-3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1"/>
      <c r="C290" s="54" t="s">
        <v>9</v>
      </c>
      <c r="D290" s="55">
        <v>2</v>
      </c>
      <c r="E290" s="56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1"/>
      <c r="C291" s="54" t="s">
        <v>24</v>
      </c>
      <c r="D291" s="55">
        <v>4</v>
      </c>
      <c r="E291" s="56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1"/>
      <c r="C292" s="54" t="s">
        <v>16</v>
      </c>
      <c r="D292" s="55">
        <v>1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1"/>
      <c r="C293" s="54" t="s">
        <v>29</v>
      </c>
      <c r="D293" s="55">
        <v>1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1"/>
      <c r="C294" s="54" t="s">
        <v>28</v>
      </c>
      <c r="D294" s="55">
        <v>2</v>
      </c>
      <c r="E294" s="56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1"/>
      <c r="C295" s="54" t="s">
        <v>30</v>
      </c>
      <c r="D295" s="55">
        <v>3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1"/>
      <c r="C296" s="54" t="s">
        <v>36</v>
      </c>
      <c r="D296" s="55">
        <v>1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1"/>
      <c r="C297" s="54" t="s">
        <v>25</v>
      </c>
      <c r="D297" s="55">
        <v>3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1"/>
      <c r="C298" s="54" t="s">
        <v>11</v>
      </c>
      <c r="D298" s="55">
        <v>59</v>
      </c>
      <c r="E298" s="56">
        <v>0.01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1"/>
      <c r="C299" s="54" t="s">
        <v>181</v>
      </c>
      <c r="D299" s="55">
        <v>1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1"/>
      <c r="C300" s="54" t="s">
        <v>40</v>
      </c>
      <c r="D300" s="55">
        <v>2</v>
      </c>
      <c r="E300" s="56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1"/>
      <c r="C301" s="54" t="s">
        <v>33</v>
      </c>
      <c r="D301" s="55">
        <v>1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1"/>
      <c r="C302" s="54" t="s">
        <v>15</v>
      </c>
      <c r="D302" s="55">
        <v>4</v>
      </c>
      <c r="E302" s="56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1"/>
      <c r="C303" s="54" t="s">
        <v>7</v>
      </c>
      <c r="D303" s="55">
        <v>2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1"/>
      <c r="C304" s="54" t="s">
        <v>31</v>
      </c>
      <c r="D304" s="55">
        <v>25</v>
      </c>
      <c r="E304" s="56">
        <v>4.0000000000000001E-3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1"/>
      <c r="C305" s="54" t="s">
        <v>32</v>
      </c>
      <c r="D305" s="55">
        <v>1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1"/>
      <c r="C306" s="54" t="s">
        <v>14</v>
      </c>
      <c r="D306" s="55">
        <v>5</v>
      </c>
      <c r="E306" s="56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1"/>
      <c r="C307" s="54" t="s">
        <v>5</v>
      </c>
      <c r="D307" s="55">
        <v>76</v>
      </c>
      <c r="E307" s="56">
        <v>1.2999999999999999E-2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1"/>
      <c r="C308" s="54" t="s">
        <v>20</v>
      </c>
      <c r="D308" s="55">
        <v>15</v>
      </c>
      <c r="E308" s="56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1"/>
      <c r="C309" s="54" t="s">
        <v>27</v>
      </c>
      <c r="D309" s="55">
        <v>2</v>
      </c>
      <c r="E309" s="56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1"/>
      <c r="C310" s="54" t="s">
        <v>17</v>
      </c>
      <c r="D310" s="55">
        <v>35</v>
      </c>
      <c r="E310" s="56">
        <v>6.0000000000000001E-3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1"/>
      <c r="C311" s="54" t="s">
        <v>21</v>
      </c>
      <c r="D311" s="55">
        <v>2</v>
      </c>
      <c r="E311" s="56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1"/>
      <c r="C312" s="54" t="s">
        <v>41</v>
      </c>
      <c r="D312" s="55">
        <v>3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1"/>
      <c r="C313" s="75" t="s">
        <v>53</v>
      </c>
      <c r="D313" s="78">
        <v>1212</v>
      </c>
      <c r="E313" s="77">
        <v>0.20200000000000001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1" t="s">
        <v>140</v>
      </c>
      <c r="C314" s="54" t="s">
        <v>4</v>
      </c>
      <c r="D314" s="55">
        <v>10</v>
      </c>
      <c r="E314" s="56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1"/>
      <c r="C315" s="54" t="s">
        <v>24</v>
      </c>
      <c r="D315" s="55">
        <v>1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1"/>
      <c r="C316" s="54" t="s">
        <v>5</v>
      </c>
      <c r="D316" s="55">
        <v>2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1"/>
      <c r="C317" s="75" t="s">
        <v>53</v>
      </c>
      <c r="D317" s="76">
        <v>13</v>
      </c>
      <c r="E317" s="77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1" t="s">
        <v>141</v>
      </c>
      <c r="C318" s="54" t="s">
        <v>4</v>
      </c>
      <c r="D318" s="55">
        <v>6</v>
      </c>
      <c r="E318" s="56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1"/>
      <c r="C319" s="54" t="s">
        <v>26</v>
      </c>
      <c r="D319" s="55">
        <v>1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1"/>
      <c r="C320" s="54" t="s">
        <v>24</v>
      </c>
      <c r="D320" s="55">
        <v>1</v>
      </c>
      <c r="E320" s="56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1"/>
      <c r="C321" s="54" t="s">
        <v>16</v>
      </c>
      <c r="D321" s="55">
        <v>1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1"/>
      <c r="C322" s="54" t="s">
        <v>11</v>
      </c>
      <c r="D322" s="55">
        <v>1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1"/>
      <c r="C323" s="54" t="s">
        <v>31</v>
      </c>
      <c r="D323" s="55">
        <v>2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1"/>
      <c r="C324" s="54" t="s">
        <v>20</v>
      </c>
      <c r="D324" s="55">
        <v>1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1"/>
      <c r="C325" s="75" t="s">
        <v>53</v>
      </c>
      <c r="D325" s="76">
        <v>13</v>
      </c>
      <c r="E325" s="77">
        <v>2E-3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1" t="s">
        <v>142</v>
      </c>
      <c r="C326" s="54" t="s">
        <v>4</v>
      </c>
      <c r="D326" s="55">
        <v>8</v>
      </c>
      <c r="E326" s="56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1"/>
      <c r="C327" s="54" t="s">
        <v>31</v>
      </c>
      <c r="D327" s="55">
        <v>1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1"/>
      <c r="C328" s="75" t="s">
        <v>53</v>
      </c>
      <c r="D328" s="76">
        <v>9</v>
      </c>
      <c r="E328" s="77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1" t="s">
        <v>143</v>
      </c>
      <c r="C329" s="54" t="s">
        <v>4</v>
      </c>
      <c r="D329" s="55">
        <v>5</v>
      </c>
      <c r="E329" s="56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1"/>
      <c r="C330" s="54" t="s">
        <v>10</v>
      </c>
      <c r="D330" s="55">
        <v>1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1"/>
      <c r="C331" s="75" t="s">
        <v>53</v>
      </c>
      <c r="D331" s="76">
        <v>6</v>
      </c>
      <c r="E331" s="77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1" t="s">
        <v>144</v>
      </c>
      <c r="C332" s="54" t="s">
        <v>35</v>
      </c>
      <c r="D332" s="55">
        <v>1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1"/>
      <c r="C333" s="54" t="s">
        <v>22</v>
      </c>
      <c r="D333" s="55">
        <v>2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1"/>
      <c r="C334" s="54" t="s">
        <v>4</v>
      </c>
      <c r="D334" s="55">
        <v>47</v>
      </c>
      <c r="E334" s="56">
        <v>8.0000000000000002E-3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1"/>
      <c r="C335" s="54" t="s">
        <v>8</v>
      </c>
      <c r="D335" s="55">
        <v>1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1"/>
      <c r="C336" s="54" t="s">
        <v>12</v>
      </c>
      <c r="D336" s="55">
        <v>2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1"/>
      <c r="C337" s="54" t="s">
        <v>6</v>
      </c>
      <c r="D337" s="55">
        <v>1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1"/>
      <c r="C338" s="54" t="s">
        <v>42</v>
      </c>
      <c r="D338" s="55">
        <v>1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1"/>
      <c r="C339" s="54" t="s">
        <v>11</v>
      </c>
      <c r="D339" s="55">
        <v>2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1"/>
      <c r="C340" s="54" t="s">
        <v>15</v>
      </c>
      <c r="D340" s="55">
        <v>2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1"/>
      <c r="C341" s="54" t="s">
        <v>31</v>
      </c>
      <c r="D341" s="55">
        <v>2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1"/>
      <c r="C342" s="54" t="s">
        <v>5</v>
      </c>
      <c r="D342" s="55">
        <v>4</v>
      </c>
      <c r="E342" s="56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1"/>
      <c r="C343" s="54" t="s">
        <v>20</v>
      </c>
      <c r="D343" s="55">
        <v>2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1"/>
      <c r="C344" s="54" t="s">
        <v>21</v>
      </c>
      <c r="D344" s="55">
        <v>2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1"/>
      <c r="C345" s="75" t="s">
        <v>53</v>
      </c>
      <c r="D345" s="76">
        <v>69</v>
      </c>
      <c r="E345" s="77">
        <v>1.0999999999999999E-2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1" t="s">
        <v>145</v>
      </c>
      <c r="C346" s="54" t="s">
        <v>22</v>
      </c>
      <c r="D346" s="55">
        <v>1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1"/>
      <c r="C347" s="54" t="s">
        <v>4</v>
      </c>
      <c r="D347" s="55">
        <v>72</v>
      </c>
      <c r="E347" s="56">
        <v>1.2E-2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1"/>
      <c r="C348" s="54" t="s">
        <v>8</v>
      </c>
      <c r="D348" s="55">
        <v>3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1"/>
      <c r="C349" s="54" t="s">
        <v>10</v>
      </c>
      <c r="D349" s="55">
        <v>1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1"/>
      <c r="C350" s="54" t="s">
        <v>26</v>
      </c>
      <c r="D350" s="55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1"/>
      <c r="C351" s="54" t="s">
        <v>6</v>
      </c>
      <c r="D351" s="55">
        <v>2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1"/>
      <c r="C352" s="54" t="s">
        <v>24</v>
      </c>
      <c r="D352" s="55">
        <v>1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1"/>
      <c r="C353" s="54" t="s">
        <v>19</v>
      </c>
      <c r="D353" s="55">
        <v>1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1"/>
      <c r="C354" s="54" t="s">
        <v>25</v>
      </c>
      <c r="D354" s="55">
        <v>1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1"/>
      <c r="C355" s="54" t="s">
        <v>11</v>
      </c>
      <c r="D355" s="55">
        <v>11</v>
      </c>
      <c r="E355" s="56">
        <v>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1"/>
      <c r="C356" s="54" t="s">
        <v>181</v>
      </c>
      <c r="D356" s="55">
        <v>1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1"/>
      <c r="C357" s="54" t="s">
        <v>40</v>
      </c>
      <c r="D357" s="55">
        <v>1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1"/>
      <c r="C358" s="54" t="s">
        <v>18</v>
      </c>
      <c r="D358" s="55">
        <v>1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1"/>
      <c r="C359" s="54" t="s">
        <v>33</v>
      </c>
      <c r="D359" s="55">
        <v>1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1"/>
      <c r="C360" s="54" t="s">
        <v>15</v>
      </c>
      <c r="D360" s="55">
        <v>1</v>
      </c>
      <c r="E360" s="56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1"/>
      <c r="C361" s="54" t="s">
        <v>31</v>
      </c>
      <c r="D361" s="55">
        <v>4</v>
      </c>
      <c r="E361" s="56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1"/>
      <c r="C362" s="54" t="s">
        <v>14</v>
      </c>
      <c r="D362" s="55">
        <v>1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1"/>
      <c r="C363" s="54" t="s">
        <v>5</v>
      </c>
      <c r="D363" s="55">
        <v>10</v>
      </c>
      <c r="E363" s="56">
        <v>2E-3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1"/>
      <c r="C364" s="54" t="s">
        <v>20</v>
      </c>
      <c r="D364" s="55">
        <v>3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1"/>
      <c r="C365" s="54" t="s">
        <v>17</v>
      </c>
      <c r="D365" s="55">
        <v>5</v>
      </c>
      <c r="E365" s="56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1"/>
      <c r="C366" s="54" t="s">
        <v>41</v>
      </c>
      <c r="D366" s="55">
        <v>1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1"/>
      <c r="C367" s="75" t="s">
        <v>53</v>
      </c>
      <c r="D367" s="76">
        <v>123</v>
      </c>
      <c r="E367" s="77">
        <v>0.02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1" t="s">
        <v>146</v>
      </c>
      <c r="C368" s="54" t="s">
        <v>4</v>
      </c>
      <c r="D368" s="55">
        <v>5</v>
      </c>
      <c r="E368" s="56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1"/>
      <c r="C369" s="54" t="s">
        <v>31</v>
      </c>
      <c r="D369" s="55">
        <v>1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1"/>
      <c r="C370" s="54" t="s">
        <v>17</v>
      </c>
      <c r="D370" s="55">
        <v>1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1"/>
      <c r="C371" s="75" t="s">
        <v>53</v>
      </c>
      <c r="D371" s="76">
        <v>7</v>
      </c>
      <c r="E371" s="77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21" customHeight="1">
      <c r="B372" s="91" t="s">
        <v>147</v>
      </c>
      <c r="C372" s="54" t="s">
        <v>4</v>
      </c>
      <c r="D372" s="55">
        <v>3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1"/>
      <c r="C373" s="75" t="s">
        <v>53</v>
      </c>
      <c r="D373" s="76">
        <v>3</v>
      </c>
      <c r="E373" s="7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21" customHeight="1">
      <c r="B374" s="91" t="s">
        <v>148</v>
      </c>
      <c r="C374" s="54" t="s">
        <v>4</v>
      </c>
      <c r="D374" s="55">
        <v>2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1"/>
      <c r="C375" s="75" t="s">
        <v>53</v>
      </c>
      <c r="D375" s="76">
        <v>2</v>
      </c>
      <c r="E375" s="7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8" customHeight="1">
      <c r="B376" s="92" t="s">
        <v>53</v>
      </c>
      <c r="C376" s="92"/>
      <c r="D376" s="59">
        <v>6009</v>
      </c>
      <c r="E376" s="60">
        <v>1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8" customHeight="1"/>
    <row r="378" spans="2:16" ht="18" customHeight="1">
      <c r="B378" s="51" t="s">
        <v>77</v>
      </c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</row>
    <row r="379" spans="2:16" ht="18" customHeight="1">
      <c r="B379" s="51" t="s">
        <v>45</v>
      </c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</row>
    <row r="380" spans="2:16" ht="18" customHeight="1">
      <c r="B380" s="51" t="s">
        <v>78</v>
      </c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</row>
    <row r="381" spans="2:16" ht="18" customHeight="1">
      <c r="B381" s="51" t="s">
        <v>79</v>
      </c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</row>
    <row r="382" spans="2:16" ht="15" customHeight="1">
      <c r="B382" s="51" t="s">
        <v>80</v>
      </c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</row>
  </sheetData>
  <autoFilter ref="B9:E376"/>
  <mergeCells count="26">
    <mergeCell ref="B376:C376"/>
    <mergeCell ref="B372:B373"/>
    <mergeCell ref="B326:B328"/>
    <mergeCell ref="B329:B331"/>
    <mergeCell ref="B332:B345"/>
    <mergeCell ref="B200:B240"/>
    <mergeCell ref="B241:B254"/>
    <mergeCell ref="B255:B279"/>
    <mergeCell ref="B280:B313"/>
    <mergeCell ref="B374:B375"/>
    <mergeCell ref="B7:E8"/>
    <mergeCell ref="B314:B317"/>
    <mergeCell ref="B318:B325"/>
    <mergeCell ref="B346:B367"/>
    <mergeCell ref="B368:B371"/>
    <mergeCell ref="B10:B21"/>
    <mergeCell ref="B22:B29"/>
    <mergeCell ref="B30:B39"/>
    <mergeCell ref="B40:B55"/>
    <mergeCell ref="B56:B69"/>
    <mergeCell ref="B70:B85"/>
    <mergeCell ref="B86:B115"/>
    <mergeCell ref="B116:B148"/>
    <mergeCell ref="B149:B161"/>
    <mergeCell ref="B162:B178"/>
    <mergeCell ref="B179:B1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526"/>
  <sheetViews>
    <sheetView showGridLines="0" topLeftCell="A9" zoomScaleNormal="100" zoomScaleSheetLayoutView="85" workbookViewId="0">
      <selection activeCell="C29" sqref="C29:E51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0"/>
      <c r="C7" s="90"/>
      <c r="D7" s="90"/>
      <c r="E7" s="90"/>
    </row>
    <row r="8" spans="1:16" s="15" customFormat="1" ht="33" customHeight="1">
      <c r="A8" s="16"/>
      <c r="B8" s="90"/>
      <c r="C8" s="90"/>
      <c r="D8" s="90"/>
      <c r="E8" s="90"/>
    </row>
    <row r="9" spans="1:16" s="1" customFormat="1" ht="40.5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91" t="s">
        <v>125</v>
      </c>
      <c r="C10" s="54" t="s">
        <v>88</v>
      </c>
      <c r="D10" s="55">
        <v>1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1"/>
      <c r="C11" s="54" t="s">
        <v>81</v>
      </c>
      <c r="D11" s="55">
        <v>5</v>
      </c>
      <c r="E11" s="56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1"/>
      <c r="C12" s="54" t="s">
        <v>85</v>
      </c>
      <c r="D12" s="55">
        <v>3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1"/>
      <c r="C13" s="54" t="s">
        <v>116</v>
      </c>
      <c r="D13" s="55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1"/>
      <c r="C14" s="54" t="s">
        <v>89</v>
      </c>
      <c r="D14" s="55">
        <v>39</v>
      </c>
      <c r="E14" s="56">
        <v>6.0000000000000001E-3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1"/>
      <c r="C15" s="54" t="s">
        <v>86</v>
      </c>
      <c r="D15" s="55">
        <v>2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1"/>
      <c r="C16" s="54" t="s">
        <v>93</v>
      </c>
      <c r="D16" s="55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1"/>
      <c r="C17" s="54" t="s">
        <v>99</v>
      </c>
      <c r="D17" s="55">
        <v>3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1"/>
      <c r="C18" s="54" t="s">
        <v>82</v>
      </c>
      <c r="D18" s="55">
        <v>14</v>
      </c>
      <c r="E18" s="56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1"/>
      <c r="C19" s="54" t="s">
        <v>106</v>
      </c>
      <c r="D19" s="55">
        <v>1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1"/>
      <c r="C20" s="54" t="s">
        <v>101</v>
      </c>
      <c r="D20" s="55">
        <v>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1"/>
      <c r="C21" s="54" t="s">
        <v>98</v>
      </c>
      <c r="D21" s="55">
        <v>1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1"/>
      <c r="C22" s="54" t="s">
        <v>100</v>
      </c>
      <c r="D22" s="55">
        <v>1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1"/>
      <c r="C23" s="54" t="s">
        <v>87</v>
      </c>
      <c r="D23" s="55">
        <v>2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1"/>
      <c r="C24" s="54" t="s">
        <v>107</v>
      </c>
      <c r="D24" s="55">
        <v>1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1"/>
      <c r="C25" s="54" t="s">
        <v>94</v>
      </c>
      <c r="D25" s="55">
        <v>2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1"/>
      <c r="C26" s="54" t="s">
        <v>103</v>
      </c>
      <c r="D26" s="55">
        <v>2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1"/>
      <c r="C27" s="54" t="s">
        <v>90</v>
      </c>
      <c r="D27" s="55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1"/>
      <c r="C28" s="54" t="s">
        <v>111</v>
      </c>
      <c r="D28" s="55">
        <v>2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1"/>
      <c r="C29" s="75" t="s">
        <v>53</v>
      </c>
      <c r="D29" s="76">
        <v>83</v>
      </c>
      <c r="E29" s="77">
        <v>1.4E-2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1" t="s">
        <v>126</v>
      </c>
      <c r="C30" s="54" t="s">
        <v>88</v>
      </c>
      <c r="D30" s="55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1"/>
      <c r="C31" s="54" t="s">
        <v>96</v>
      </c>
      <c r="D31" s="55">
        <v>1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1"/>
      <c r="C32" s="54" t="s">
        <v>121</v>
      </c>
      <c r="D32" s="55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1"/>
      <c r="C33" s="54" t="s">
        <v>89</v>
      </c>
      <c r="D33" s="55">
        <v>3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1"/>
      <c r="C34" s="54" t="s">
        <v>86</v>
      </c>
      <c r="D34" s="55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1"/>
      <c r="C35" s="54" t="s">
        <v>93</v>
      </c>
      <c r="D35" s="55">
        <v>1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1"/>
      <c r="C36" s="54" t="s">
        <v>82</v>
      </c>
      <c r="D36" s="55">
        <v>4</v>
      </c>
      <c r="E36" s="56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1"/>
      <c r="C37" s="54" t="s">
        <v>98</v>
      </c>
      <c r="D37" s="55">
        <v>1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1"/>
      <c r="C38" s="54" t="s">
        <v>95</v>
      </c>
      <c r="D38" s="55">
        <v>1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1"/>
      <c r="C39" s="54" t="s">
        <v>102</v>
      </c>
      <c r="D39" s="55">
        <v>1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1"/>
      <c r="C40" s="54" t="s">
        <v>100</v>
      </c>
      <c r="D40" s="55">
        <v>1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1"/>
      <c r="C41" s="54" t="s">
        <v>111</v>
      </c>
      <c r="D41" s="55">
        <v>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1"/>
      <c r="C42" s="75" t="s">
        <v>53</v>
      </c>
      <c r="D42" s="76">
        <v>17</v>
      </c>
      <c r="E42" s="77">
        <v>3.0000000000000001E-3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1" t="s">
        <v>127</v>
      </c>
      <c r="C43" s="54" t="s">
        <v>121</v>
      </c>
      <c r="D43" s="55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1"/>
      <c r="C44" s="54" t="s">
        <v>85</v>
      </c>
      <c r="D44" s="55">
        <v>2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1"/>
      <c r="C45" s="54" t="s">
        <v>89</v>
      </c>
      <c r="D45" s="55">
        <v>14</v>
      </c>
      <c r="E45" s="56">
        <v>2E-3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1"/>
      <c r="C46" s="54" t="s">
        <v>86</v>
      </c>
      <c r="D46" s="55">
        <v>1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1"/>
      <c r="C47" s="54" t="s">
        <v>99</v>
      </c>
      <c r="D47" s="55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1"/>
      <c r="C48" s="54" t="s">
        <v>82</v>
      </c>
      <c r="D48" s="55">
        <v>13</v>
      </c>
      <c r="E48" s="56">
        <v>2E-3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1"/>
      <c r="C49" s="54" t="s">
        <v>119</v>
      </c>
      <c r="D49" s="55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1"/>
      <c r="C50" s="54" t="s">
        <v>114</v>
      </c>
      <c r="D50" s="55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1"/>
      <c r="C51" s="54" t="s">
        <v>112</v>
      </c>
      <c r="D51" s="55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1"/>
      <c r="C52" s="54" t="s">
        <v>95</v>
      </c>
      <c r="D52" s="55">
        <v>4</v>
      </c>
      <c r="E52" s="56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1"/>
      <c r="C53" s="54" t="s">
        <v>113</v>
      </c>
      <c r="D53" s="55">
        <v>1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1"/>
      <c r="C54" s="54" t="s">
        <v>87</v>
      </c>
      <c r="D54" s="55">
        <v>3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1"/>
      <c r="C55" s="54" t="s">
        <v>103</v>
      </c>
      <c r="D55" s="55">
        <v>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1"/>
      <c r="C56" s="54" t="s">
        <v>90</v>
      </c>
      <c r="D56" s="55">
        <v>1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1"/>
      <c r="C57" s="54" t="s">
        <v>111</v>
      </c>
      <c r="D57" s="55">
        <v>2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1"/>
      <c r="C58" s="75" t="s">
        <v>53</v>
      </c>
      <c r="D58" s="76">
        <v>48</v>
      </c>
      <c r="E58" s="77">
        <v>8.0000000000000002E-3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1" t="s">
        <v>128</v>
      </c>
      <c r="C59" s="54" t="s">
        <v>104</v>
      </c>
      <c r="D59" s="55">
        <v>1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1"/>
      <c r="C60" s="54" t="s">
        <v>88</v>
      </c>
      <c r="D60" s="55">
        <v>1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1"/>
      <c r="C61" s="54" t="s">
        <v>121</v>
      </c>
      <c r="D61" s="55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1"/>
      <c r="C62" s="54" t="s">
        <v>81</v>
      </c>
      <c r="D62" s="55">
        <v>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1"/>
      <c r="C63" s="54" t="s">
        <v>85</v>
      </c>
      <c r="D63" s="55">
        <v>2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1"/>
      <c r="C64" s="54" t="s">
        <v>89</v>
      </c>
      <c r="D64" s="55">
        <v>20</v>
      </c>
      <c r="E64" s="56">
        <v>3.0000000000000001E-3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1"/>
      <c r="C65" s="54" t="s">
        <v>93</v>
      </c>
      <c r="D65" s="55">
        <v>2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1"/>
      <c r="C66" s="54" t="s">
        <v>99</v>
      </c>
      <c r="D66" s="55">
        <v>4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1"/>
      <c r="C67" s="54" t="s">
        <v>82</v>
      </c>
      <c r="D67" s="55">
        <v>18</v>
      </c>
      <c r="E67" s="56">
        <v>3.0000000000000001E-3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1"/>
      <c r="C68" s="54" t="s">
        <v>108</v>
      </c>
      <c r="D68" s="55">
        <v>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1"/>
      <c r="C69" s="54" t="s">
        <v>115</v>
      </c>
      <c r="D69" s="55">
        <v>1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1"/>
      <c r="C70" s="54" t="s">
        <v>119</v>
      </c>
      <c r="D70" s="55">
        <v>1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1"/>
      <c r="C71" s="54" t="s">
        <v>97</v>
      </c>
      <c r="D71" s="55">
        <v>3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1"/>
      <c r="C72" s="54" t="s">
        <v>98</v>
      </c>
      <c r="D72" s="55">
        <v>6</v>
      </c>
      <c r="E72" s="56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1"/>
      <c r="C73" s="54" t="s">
        <v>114</v>
      </c>
      <c r="D73" s="55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1"/>
      <c r="C74" s="54" t="s">
        <v>91</v>
      </c>
      <c r="D74" s="55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1"/>
      <c r="C75" s="54" t="s">
        <v>95</v>
      </c>
      <c r="D75" s="55">
        <v>5</v>
      </c>
      <c r="E75" s="56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1"/>
      <c r="C76" s="54" t="s">
        <v>87</v>
      </c>
      <c r="D76" s="55">
        <v>11</v>
      </c>
      <c r="E76" s="56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1"/>
      <c r="C77" s="54" t="s">
        <v>94</v>
      </c>
      <c r="D77" s="55">
        <v>1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1"/>
      <c r="C78" s="54" t="s">
        <v>103</v>
      </c>
      <c r="D78" s="55">
        <v>9</v>
      </c>
      <c r="E78" s="56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1"/>
      <c r="C79" s="54" t="s">
        <v>90</v>
      </c>
      <c r="D79" s="55">
        <v>2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1"/>
      <c r="C80" s="54" t="s">
        <v>111</v>
      </c>
      <c r="D80" s="55">
        <v>6</v>
      </c>
      <c r="E80" s="56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1"/>
      <c r="C81" s="75" t="s">
        <v>53</v>
      </c>
      <c r="D81" s="76">
        <v>99</v>
      </c>
      <c r="E81" s="77">
        <v>1.6E-2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1" t="s">
        <v>129</v>
      </c>
      <c r="C82" s="54" t="s">
        <v>88</v>
      </c>
      <c r="D82" s="55">
        <v>1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1"/>
      <c r="C83" s="54" t="s">
        <v>96</v>
      </c>
      <c r="D83" s="55">
        <v>1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1"/>
      <c r="C84" s="54" t="s">
        <v>85</v>
      </c>
      <c r="D84" s="55">
        <v>1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1"/>
      <c r="C85" s="54" t="s">
        <v>105</v>
      </c>
      <c r="D85" s="55">
        <v>1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1"/>
      <c r="C86" s="54" t="s">
        <v>89</v>
      </c>
      <c r="D86" s="55">
        <v>15</v>
      </c>
      <c r="E86" s="56">
        <v>2E-3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1"/>
      <c r="C87" s="54" t="s">
        <v>92</v>
      </c>
      <c r="D87" s="55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1"/>
      <c r="C88" s="54" t="s">
        <v>93</v>
      </c>
      <c r="D88" s="55">
        <v>3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1"/>
      <c r="C89" s="54" t="s">
        <v>99</v>
      </c>
      <c r="D89" s="55">
        <v>2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1"/>
      <c r="C90" s="54" t="s">
        <v>82</v>
      </c>
      <c r="D90" s="55">
        <v>13</v>
      </c>
      <c r="E90" s="56">
        <v>2E-3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1"/>
      <c r="C91" s="54" t="s">
        <v>106</v>
      </c>
      <c r="D91" s="55">
        <v>1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1"/>
      <c r="C92" s="54" t="s">
        <v>97</v>
      </c>
      <c r="D92" s="55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1"/>
      <c r="C93" s="54" t="s">
        <v>98</v>
      </c>
      <c r="D93" s="55">
        <v>4</v>
      </c>
      <c r="E93" s="56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1"/>
      <c r="C94" s="54" t="s">
        <v>112</v>
      </c>
      <c r="D94" s="55">
        <v>1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1"/>
      <c r="C95" s="54" t="s">
        <v>91</v>
      </c>
      <c r="D95" s="55">
        <v>1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1"/>
      <c r="C96" s="54" t="s">
        <v>95</v>
      </c>
      <c r="D96" s="55">
        <v>4</v>
      </c>
      <c r="E96" s="56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1"/>
      <c r="C97" s="54" t="s">
        <v>113</v>
      </c>
      <c r="D97" s="55">
        <v>1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1"/>
      <c r="C98" s="54" t="s">
        <v>100</v>
      </c>
      <c r="D98" s="55">
        <v>2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1"/>
      <c r="C99" s="54" t="s">
        <v>87</v>
      </c>
      <c r="D99" s="55">
        <v>3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1"/>
      <c r="C100" s="54" t="s">
        <v>103</v>
      </c>
      <c r="D100" s="55">
        <v>5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1"/>
      <c r="C101" s="54" t="s">
        <v>90</v>
      </c>
      <c r="D101" s="55">
        <v>1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1"/>
      <c r="C102" s="54" t="s">
        <v>111</v>
      </c>
      <c r="D102" s="55">
        <v>3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1"/>
      <c r="C103" s="75" t="s">
        <v>53</v>
      </c>
      <c r="D103" s="76">
        <v>66</v>
      </c>
      <c r="E103" s="77">
        <v>1.0999999999999999E-2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1" t="s">
        <v>130</v>
      </c>
      <c r="C104" s="54" t="s">
        <v>88</v>
      </c>
      <c r="D104" s="55">
        <v>1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1"/>
      <c r="C105" s="54" t="s">
        <v>96</v>
      </c>
      <c r="D105" s="55">
        <v>1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1"/>
      <c r="C106" s="54" t="s">
        <v>121</v>
      </c>
      <c r="D106" s="55">
        <v>1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1"/>
      <c r="C107" s="54" t="s">
        <v>81</v>
      </c>
      <c r="D107" s="55">
        <v>3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1"/>
      <c r="C108" s="54" t="s">
        <v>85</v>
      </c>
      <c r="D108" s="55">
        <v>4</v>
      </c>
      <c r="E108" s="56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1"/>
      <c r="C109" s="54" t="s">
        <v>84</v>
      </c>
      <c r="D109" s="55">
        <v>3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1"/>
      <c r="C110" s="54" t="s">
        <v>105</v>
      </c>
      <c r="D110" s="55">
        <v>1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1"/>
      <c r="C111" s="54" t="s">
        <v>89</v>
      </c>
      <c r="D111" s="55">
        <v>14</v>
      </c>
      <c r="E111" s="56">
        <v>2E-3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1"/>
      <c r="C112" s="54" t="s">
        <v>86</v>
      </c>
      <c r="D112" s="55">
        <v>3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1"/>
      <c r="C113" s="54" t="s">
        <v>93</v>
      </c>
      <c r="D113" s="55">
        <v>2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1"/>
      <c r="C114" s="54" t="s">
        <v>99</v>
      </c>
      <c r="D114" s="55">
        <v>3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1"/>
      <c r="C115" s="54" t="s">
        <v>82</v>
      </c>
      <c r="D115" s="55">
        <v>22</v>
      </c>
      <c r="E115" s="56">
        <v>4.0000000000000001E-3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1"/>
      <c r="C116" s="54" t="s">
        <v>106</v>
      </c>
      <c r="D116" s="55">
        <v>1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1"/>
      <c r="C117" s="54" t="s">
        <v>119</v>
      </c>
      <c r="D117" s="55">
        <v>1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1"/>
      <c r="C118" s="54" t="s">
        <v>98</v>
      </c>
      <c r="D118" s="55">
        <v>3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1"/>
      <c r="C119" s="54" t="s">
        <v>114</v>
      </c>
      <c r="D119" s="55">
        <v>1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1"/>
      <c r="C120" s="54" t="s">
        <v>95</v>
      </c>
      <c r="D120" s="55">
        <v>4</v>
      </c>
      <c r="E120" s="56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1"/>
      <c r="C121" s="54" t="s">
        <v>87</v>
      </c>
      <c r="D121" s="55">
        <v>7</v>
      </c>
      <c r="E121" s="56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1"/>
      <c r="C122" s="54" t="s">
        <v>107</v>
      </c>
      <c r="D122" s="55">
        <v>1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1"/>
      <c r="C123" s="54" t="s">
        <v>94</v>
      </c>
      <c r="D123" s="55">
        <v>1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1"/>
      <c r="C124" s="54" t="s">
        <v>103</v>
      </c>
      <c r="D124" s="55">
        <v>8</v>
      </c>
      <c r="E124" s="56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1"/>
      <c r="C125" s="54" t="s">
        <v>90</v>
      </c>
      <c r="D125" s="55">
        <v>4</v>
      </c>
      <c r="E125" s="56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1"/>
      <c r="C126" s="54" t="s">
        <v>111</v>
      </c>
      <c r="D126" s="55">
        <v>4</v>
      </c>
      <c r="E126" s="56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1"/>
      <c r="C127" s="54" t="s">
        <v>120</v>
      </c>
      <c r="D127" s="55">
        <v>1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1"/>
      <c r="C128" s="75" t="s">
        <v>53</v>
      </c>
      <c r="D128" s="76">
        <v>94</v>
      </c>
      <c r="E128" s="77">
        <v>1.6E-2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1" t="s">
        <v>131</v>
      </c>
      <c r="C129" s="54" t="s">
        <v>104</v>
      </c>
      <c r="D129" s="55">
        <v>3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1"/>
      <c r="C130" s="54" t="s">
        <v>124</v>
      </c>
      <c r="D130" s="55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1"/>
      <c r="C131" s="54" t="s">
        <v>88</v>
      </c>
      <c r="D131" s="55">
        <v>4</v>
      </c>
      <c r="E131" s="56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1"/>
      <c r="C132" s="54" t="s">
        <v>110</v>
      </c>
      <c r="D132" s="55">
        <v>7</v>
      </c>
      <c r="E132" s="56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1"/>
      <c r="C133" s="54" t="s">
        <v>121</v>
      </c>
      <c r="D133" s="55">
        <v>1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1"/>
      <c r="C134" s="54" t="s">
        <v>81</v>
      </c>
      <c r="D134" s="55">
        <v>8</v>
      </c>
      <c r="E134" s="56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1"/>
      <c r="C135" s="54" t="s">
        <v>85</v>
      </c>
      <c r="D135" s="55">
        <v>12</v>
      </c>
      <c r="E135" s="56">
        <v>2E-3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1"/>
      <c r="C136" s="54" t="s">
        <v>84</v>
      </c>
      <c r="D136" s="55">
        <v>4</v>
      </c>
      <c r="E136" s="56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1"/>
      <c r="C137" s="54" t="s">
        <v>105</v>
      </c>
      <c r="D137" s="55">
        <v>4</v>
      </c>
      <c r="E137" s="56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1"/>
      <c r="C138" s="54" t="s">
        <v>117</v>
      </c>
      <c r="D138" s="55">
        <v>1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1"/>
      <c r="C139" s="54" t="s">
        <v>116</v>
      </c>
      <c r="D139" s="55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1"/>
      <c r="C140" s="54" t="s">
        <v>89</v>
      </c>
      <c r="D140" s="55">
        <v>118</v>
      </c>
      <c r="E140" s="56">
        <v>0.02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1"/>
      <c r="C141" s="54" t="s">
        <v>86</v>
      </c>
      <c r="D141" s="55">
        <v>7</v>
      </c>
      <c r="E141" s="56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1"/>
      <c r="C142" s="54" t="s">
        <v>92</v>
      </c>
      <c r="D142" s="55">
        <v>5</v>
      </c>
      <c r="E142" s="56">
        <v>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1"/>
      <c r="C143" s="54" t="s">
        <v>93</v>
      </c>
      <c r="D143" s="55">
        <v>5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1"/>
      <c r="C144" s="54" t="s">
        <v>99</v>
      </c>
      <c r="D144" s="55">
        <v>8</v>
      </c>
      <c r="E144" s="56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1"/>
      <c r="C145" s="54" t="s">
        <v>83</v>
      </c>
      <c r="D145" s="55">
        <v>1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1"/>
      <c r="C146" s="54" t="s">
        <v>82</v>
      </c>
      <c r="D146" s="55">
        <v>72</v>
      </c>
      <c r="E146" s="56">
        <v>1.2E-2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1"/>
      <c r="C147" s="54" t="s">
        <v>108</v>
      </c>
      <c r="D147" s="55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1"/>
      <c r="C148" s="54" t="s">
        <v>106</v>
      </c>
      <c r="D148" s="55">
        <v>2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1"/>
      <c r="C149" s="54" t="s">
        <v>119</v>
      </c>
      <c r="D149" s="55">
        <v>2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1"/>
      <c r="C150" s="54" t="s">
        <v>101</v>
      </c>
      <c r="D150" s="55">
        <v>1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1"/>
      <c r="C151" s="54" t="s">
        <v>97</v>
      </c>
      <c r="D151" s="55">
        <v>2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1"/>
      <c r="C152" s="54" t="s">
        <v>98</v>
      </c>
      <c r="D152" s="55">
        <v>13</v>
      </c>
      <c r="E152" s="56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1"/>
      <c r="C153" s="54" t="s">
        <v>114</v>
      </c>
      <c r="D153" s="55">
        <v>2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1"/>
      <c r="C154" s="54" t="s">
        <v>112</v>
      </c>
      <c r="D154" s="55">
        <v>12</v>
      </c>
      <c r="E154" s="56">
        <v>2E-3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1"/>
      <c r="C155" s="54" t="s">
        <v>91</v>
      </c>
      <c r="D155" s="55">
        <v>2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1"/>
      <c r="C156" s="54" t="s">
        <v>95</v>
      </c>
      <c r="D156" s="55">
        <v>38</v>
      </c>
      <c r="E156" s="56">
        <v>6.0000000000000001E-3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1"/>
      <c r="C157" s="54" t="s">
        <v>102</v>
      </c>
      <c r="D157" s="55">
        <v>10</v>
      </c>
      <c r="E157" s="56">
        <v>2E-3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1"/>
      <c r="C158" s="54" t="s">
        <v>100</v>
      </c>
      <c r="D158" s="55">
        <v>7</v>
      </c>
      <c r="E158" s="56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1"/>
      <c r="C159" s="54" t="s">
        <v>87</v>
      </c>
      <c r="D159" s="55">
        <v>34</v>
      </c>
      <c r="E159" s="56">
        <v>6.0000000000000001E-3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1"/>
      <c r="C160" s="54" t="s">
        <v>107</v>
      </c>
      <c r="D160" s="55">
        <v>2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1"/>
      <c r="C161" s="54" t="s">
        <v>94</v>
      </c>
      <c r="D161" s="55">
        <v>29</v>
      </c>
      <c r="E161" s="56">
        <v>5.0000000000000001E-3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1"/>
      <c r="C162" s="54" t="s">
        <v>103</v>
      </c>
      <c r="D162" s="55">
        <v>42</v>
      </c>
      <c r="E162" s="56">
        <v>7.0000000000000001E-3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1"/>
      <c r="C163" s="54" t="s">
        <v>90</v>
      </c>
      <c r="D163" s="55">
        <v>17</v>
      </c>
      <c r="E163" s="56">
        <v>3.0000000000000001E-3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1"/>
      <c r="C164" s="54" t="s">
        <v>111</v>
      </c>
      <c r="D164" s="55">
        <v>26</v>
      </c>
      <c r="E164" s="56">
        <v>4.0000000000000001E-3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1"/>
      <c r="C165" s="75" t="s">
        <v>53</v>
      </c>
      <c r="D165" s="76">
        <v>504</v>
      </c>
      <c r="E165" s="77">
        <v>8.4000000000000005E-2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1" t="s">
        <v>132</v>
      </c>
      <c r="C166" s="54" t="s">
        <v>104</v>
      </c>
      <c r="D166" s="55">
        <v>1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1"/>
      <c r="C167" s="54" t="s">
        <v>88</v>
      </c>
      <c r="D167" s="55">
        <v>10</v>
      </c>
      <c r="E167" s="56">
        <v>2E-3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1"/>
      <c r="C168" s="54" t="s">
        <v>96</v>
      </c>
      <c r="D168" s="55">
        <v>6</v>
      </c>
      <c r="E168" s="56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1"/>
      <c r="C169" s="54" t="s">
        <v>110</v>
      </c>
      <c r="D169" s="55">
        <v>18</v>
      </c>
      <c r="E169" s="56">
        <v>3.0000000000000001E-3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1"/>
      <c r="C170" s="54" t="s">
        <v>121</v>
      </c>
      <c r="D170" s="55">
        <v>3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1"/>
      <c r="C171" s="54" t="s">
        <v>81</v>
      </c>
      <c r="D171" s="55">
        <v>34</v>
      </c>
      <c r="E171" s="56">
        <v>6.0000000000000001E-3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1"/>
      <c r="C172" s="54" t="s">
        <v>85</v>
      </c>
      <c r="D172" s="55">
        <v>23</v>
      </c>
      <c r="E172" s="56">
        <v>4.0000000000000001E-3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1"/>
      <c r="C173" s="54" t="s">
        <v>84</v>
      </c>
      <c r="D173" s="55">
        <v>5</v>
      </c>
      <c r="E173" s="56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1"/>
      <c r="C174" s="54" t="s">
        <v>117</v>
      </c>
      <c r="D174" s="55">
        <v>1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1"/>
      <c r="C175" s="54" t="s">
        <v>116</v>
      </c>
      <c r="D175" s="55">
        <v>1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1"/>
      <c r="C176" s="54" t="s">
        <v>89</v>
      </c>
      <c r="D176" s="55">
        <v>91</v>
      </c>
      <c r="E176" s="56">
        <v>1.4999999999999999E-2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1"/>
      <c r="C177" s="54" t="s">
        <v>86</v>
      </c>
      <c r="D177" s="55">
        <v>14</v>
      </c>
      <c r="E177" s="56">
        <v>2E-3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1"/>
      <c r="C178" s="54" t="s">
        <v>92</v>
      </c>
      <c r="D178" s="55">
        <v>4</v>
      </c>
      <c r="E178" s="56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1"/>
      <c r="C179" s="54" t="s">
        <v>93</v>
      </c>
      <c r="D179" s="55">
        <v>3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1"/>
      <c r="C180" s="54" t="s">
        <v>99</v>
      </c>
      <c r="D180" s="55">
        <v>35</v>
      </c>
      <c r="E180" s="56">
        <v>6.0000000000000001E-3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1"/>
      <c r="C181" s="54" t="s">
        <v>83</v>
      </c>
      <c r="D181" s="55">
        <v>5</v>
      </c>
      <c r="E181" s="56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1"/>
      <c r="C182" s="54" t="s">
        <v>82</v>
      </c>
      <c r="D182" s="55">
        <v>266</v>
      </c>
      <c r="E182" s="56">
        <v>4.3999999999999997E-2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1"/>
      <c r="C183" s="54" t="s">
        <v>106</v>
      </c>
      <c r="D183" s="55">
        <v>4</v>
      </c>
      <c r="E183" s="56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1"/>
      <c r="C184" s="54" t="s">
        <v>115</v>
      </c>
      <c r="D184" s="55">
        <v>2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1"/>
      <c r="C185" s="54" t="s">
        <v>119</v>
      </c>
      <c r="D185" s="55">
        <v>3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1"/>
      <c r="C186" s="54" t="s">
        <v>101</v>
      </c>
      <c r="D186" s="55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1"/>
      <c r="C187" s="54" t="s">
        <v>97</v>
      </c>
      <c r="D187" s="55">
        <v>5</v>
      </c>
      <c r="E187" s="56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1"/>
      <c r="C188" s="54" t="s">
        <v>98</v>
      </c>
      <c r="D188" s="55">
        <v>13</v>
      </c>
      <c r="E188" s="56">
        <v>2E-3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1"/>
      <c r="C189" s="54" t="s">
        <v>114</v>
      </c>
      <c r="D189" s="55">
        <v>2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1"/>
      <c r="C190" s="54" t="s">
        <v>112</v>
      </c>
      <c r="D190" s="55">
        <v>23</v>
      </c>
      <c r="E190" s="56">
        <v>4.0000000000000001E-3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1"/>
      <c r="C191" s="54" t="s">
        <v>91</v>
      </c>
      <c r="D191" s="55">
        <v>15</v>
      </c>
      <c r="E191" s="56">
        <v>2E-3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1"/>
      <c r="C192" s="54" t="s">
        <v>95</v>
      </c>
      <c r="D192" s="55">
        <v>120</v>
      </c>
      <c r="E192" s="56">
        <v>0.02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1"/>
      <c r="C193" s="54" t="s">
        <v>113</v>
      </c>
      <c r="D193" s="55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1"/>
      <c r="C194" s="54" t="s">
        <v>102</v>
      </c>
      <c r="D194" s="55">
        <v>7</v>
      </c>
      <c r="E194" s="56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1"/>
      <c r="C195" s="54" t="s">
        <v>100</v>
      </c>
      <c r="D195" s="55">
        <v>2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1"/>
      <c r="C196" s="54" t="s">
        <v>87</v>
      </c>
      <c r="D196" s="55">
        <v>33</v>
      </c>
      <c r="E196" s="56">
        <v>5.0000000000000001E-3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1"/>
      <c r="C197" s="54" t="s">
        <v>107</v>
      </c>
      <c r="D197" s="55">
        <v>23</v>
      </c>
      <c r="E197" s="56">
        <v>4.0000000000000001E-3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1"/>
      <c r="C198" s="54" t="s">
        <v>94</v>
      </c>
      <c r="D198" s="55">
        <v>39</v>
      </c>
      <c r="E198" s="56">
        <v>6.0000000000000001E-3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1"/>
      <c r="C199" s="54" t="s">
        <v>103</v>
      </c>
      <c r="D199" s="55">
        <v>23</v>
      </c>
      <c r="E199" s="56">
        <v>4.0000000000000001E-3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1"/>
      <c r="C200" s="54" t="s">
        <v>90</v>
      </c>
      <c r="D200" s="55">
        <v>19</v>
      </c>
      <c r="E200" s="56">
        <v>3.0000000000000001E-3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1"/>
      <c r="C201" s="54" t="s">
        <v>111</v>
      </c>
      <c r="D201" s="55">
        <v>23</v>
      </c>
      <c r="E201" s="56">
        <v>4.0000000000000001E-3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1"/>
      <c r="C202" s="54" t="s">
        <v>120</v>
      </c>
      <c r="D202" s="55">
        <v>1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1"/>
      <c r="C203" s="75" t="s">
        <v>53</v>
      </c>
      <c r="D203" s="76">
        <v>879</v>
      </c>
      <c r="E203" s="77">
        <v>0.14599999999999999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1" t="s">
        <v>133</v>
      </c>
      <c r="C204" s="54" t="s">
        <v>88</v>
      </c>
      <c r="D204" s="55">
        <v>1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1"/>
      <c r="C205" s="54" t="s">
        <v>81</v>
      </c>
      <c r="D205" s="55">
        <v>2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1"/>
      <c r="C206" s="54" t="s">
        <v>85</v>
      </c>
      <c r="D206" s="55">
        <v>1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1"/>
      <c r="C207" s="54" t="s">
        <v>84</v>
      </c>
      <c r="D207" s="55">
        <v>1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1"/>
      <c r="C208" s="54" t="s">
        <v>105</v>
      </c>
      <c r="D208" s="55">
        <v>2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1"/>
      <c r="C209" s="54" t="s">
        <v>89</v>
      </c>
      <c r="D209" s="55">
        <v>15</v>
      </c>
      <c r="E209" s="56">
        <v>2E-3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1"/>
      <c r="C210" s="54" t="s">
        <v>86</v>
      </c>
      <c r="D210" s="55">
        <v>2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1"/>
      <c r="C211" s="54" t="s">
        <v>118</v>
      </c>
      <c r="D211" s="55">
        <v>1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1"/>
      <c r="C212" s="54" t="s">
        <v>99</v>
      </c>
      <c r="D212" s="55">
        <v>2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1"/>
      <c r="C213" s="54" t="s">
        <v>82</v>
      </c>
      <c r="D213" s="55">
        <v>17</v>
      </c>
      <c r="E213" s="56">
        <v>3.0000000000000001E-3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1"/>
      <c r="C214" s="54" t="s">
        <v>108</v>
      </c>
      <c r="D214" s="55">
        <v>1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1"/>
      <c r="C215" s="54" t="s">
        <v>115</v>
      </c>
      <c r="D215" s="55">
        <v>1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1"/>
      <c r="C216" s="54" t="s">
        <v>101</v>
      </c>
      <c r="D216" s="55">
        <v>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1"/>
      <c r="C217" s="54" t="s">
        <v>98</v>
      </c>
      <c r="D217" s="55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1"/>
      <c r="C218" s="54" t="s">
        <v>114</v>
      </c>
      <c r="D218" s="55">
        <v>2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1"/>
      <c r="C219" s="54" t="s">
        <v>112</v>
      </c>
      <c r="D219" s="55">
        <v>2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1"/>
      <c r="C220" s="54" t="s">
        <v>95</v>
      </c>
      <c r="D220" s="55">
        <v>3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1"/>
      <c r="C221" s="54" t="s">
        <v>87</v>
      </c>
      <c r="D221" s="55">
        <v>2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1"/>
      <c r="C222" s="54" t="s">
        <v>107</v>
      </c>
      <c r="D222" s="55">
        <v>1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1"/>
      <c r="C223" s="54" t="s">
        <v>94</v>
      </c>
      <c r="D223" s="55">
        <v>1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1"/>
      <c r="C224" s="54" t="s">
        <v>103</v>
      </c>
      <c r="D224" s="55">
        <v>5</v>
      </c>
      <c r="E224" s="56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1"/>
      <c r="C225" s="54" t="s">
        <v>111</v>
      </c>
      <c r="D225" s="55">
        <v>2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1"/>
      <c r="C226" s="54" t="s">
        <v>123</v>
      </c>
      <c r="D226" s="55">
        <v>1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1"/>
      <c r="C227" s="75" t="s">
        <v>53</v>
      </c>
      <c r="D227" s="76">
        <v>67</v>
      </c>
      <c r="E227" s="77">
        <v>1.0999999999999999E-2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1" t="s">
        <v>134</v>
      </c>
      <c r="C228" s="54" t="s">
        <v>88</v>
      </c>
      <c r="D228" s="55">
        <v>1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1"/>
      <c r="C229" s="54" t="s">
        <v>96</v>
      </c>
      <c r="D229" s="55">
        <v>1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1"/>
      <c r="C230" s="54" t="s">
        <v>81</v>
      </c>
      <c r="D230" s="55">
        <v>6</v>
      </c>
      <c r="E230" s="56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1"/>
      <c r="C231" s="54" t="s">
        <v>105</v>
      </c>
      <c r="D231" s="55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1"/>
      <c r="C232" s="54" t="s">
        <v>116</v>
      </c>
      <c r="D232" s="55">
        <v>1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1"/>
      <c r="C233" s="54" t="s">
        <v>89</v>
      </c>
      <c r="D233" s="55">
        <v>19</v>
      </c>
      <c r="E233" s="56">
        <v>3.0000000000000001E-3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1"/>
      <c r="C234" s="54" t="s">
        <v>86</v>
      </c>
      <c r="D234" s="55">
        <v>4</v>
      </c>
      <c r="E234" s="56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1"/>
      <c r="C235" s="54" t="s">
        <v>92</v>
      </c>
      <c r="D235" s="55">
        <v>1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1"/>
      <c r="C236" s="54" t="s">
        <v>99</v>
      </c>
      <c r="D236" s="55">
        <v>8</v>
      </c>
      <c r="E236" s="56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1"/>
      <c r="C237" s="54" t="s">
        <v>83</v>
      </c>
      <c r="D237" s="55">
        <v>4</v>
      </c>
      <c r="E237" s="56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1"/>
      <c r="C238" s="54" t="s">
        <v>82</v>
      </c>
      <c r="D238" s="55">
        <v>31</v>
      </c>
      <c r="E238" s="56">
        <v>5.0000000000000001E-3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1"/>
      <c r="C239" s="54" t="s">
        <v>108</v>
      </c>
      <c r="D239" s="55">
        <v>2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1"/>
      <c r="C240" s="54" t="s">
        <v>119</v>
      </c>
      <c r="D240" s="55">
        <v>1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1"/>
      <c r="C241" s="54" t="s">
        <v>101</v>
      </c>
      <c r="D241" s="55">
        <v>3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1"/>
      <c r="C242" s="54" t="s">
        <v>97</v>
      </c>
      <c r="D242" s="55">
        <v>3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1"/>
      <c r="C243" s="54" t="s">
        <v>98</v>
      </c>
      <c r="D243" s="55">
        <v>1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1"/>
      <c r="C244" s="54" t="s">
        <v>112</v>
      </c>
      <c r="D244" s="55">
        <v>7</v>
      </c>
      <c r="E244" s="56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1"/>
      <c r="C245" s="54" t="s">
        <v>91</v>
      </c>
      <c r="D245" s="55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1"/>
      <c r="C246" s="54" t="s">
        <v>95</v>
      </c>
      <c r="D246" s="55">
        <v>1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1"/>
      <c r="C247" s="54" t="s">
        <v>100</v>
      </c>
      <c r="D247" s="55">
        <v>1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1"/>
      <c r="C248" s="54" t="s">
        <v>87</v>
      </c>
      <c r="D248" s="55">
        <v>8</v>
      </c>
      <c r="E248" s="56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1"/>
      <c r="C249" s="54" t="s">
        <v>107</v>
      </c>
      <c r="D249" s="55">
        <v>1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1"/>
      <c r="C250" s="54" t="s">
        <v>94</v>
      </c>
      <c r="D250" s="55">
        <v>1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1"/>
      <c r="C251" s="54" t="s">
        <v>103</v>
      </c>
      <c r="D251" s="55">
        <v>11</v>
      </c>
      <c r="E251" s="56">
        <v>2E-3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1"/>
      <c r="C252" s="54" t="s">
        <v>90</v>
      </c>
      <c r="D252" s="55">
        <v>5</v>
      </c>
      <c r="E252" s="56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1"/>
      <c r="C253" s="54" t="s">
        <v>111</v>
      </c>
      <c r="D253" s="55">
        <v>9</v>
      </c>
      <c r="E253" s="56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1"/>
      <c r="C254" s="54" t="s">
        <v>109</v>
      </c>
      <c r="D254" s="55">
        <v>1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1"/>
      <c r="C255" s="75" t="s">
        <v>53</v>
      </c>
      <c r="D255" s="76">
        <v>133</v>
      </c>
      <c r="E255" s="77">
        <v>2.1999999999999999E-2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1" t="s">
        <v>135</v>
      </c>
      <c r="C256" s="54" t="s">
        <v>88</v>
      </c>
      <c r="D256" s="55">
        <v>2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1"/>
      <c r="C257" s="54" t="s">
        <v>110</v>
      </c>
      <c r="D257" s="55">
        <v>2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1"/>
      <c r="C258" s="54" t="s">
        <v>121</v>
      </c>
      <c r="D258" s="55">
        <v>1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1"/>
      <c r="C259" s="54" t="s">
        <v>81</v>
      </c>
      <c r="D259" s="55">
        <v>5</v>
      </c>
      <c r="E259" s="56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1"/>
      <c r="C260" s="54" t="s">
        <v>85</v>
      </c>
      <c r="D260" s="55">
        <v>2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1"/>
      <c r="C261" s="54" t="s">
        <v>105</v>
      </c>
      <c r="D261" s="55">
        <v>2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1"/>
      <c r="C262" s="54" t="s">
        <v>89</v>
      </c>
      <c r="D262" s="55">
        <v>20</v>
      </c>
      <c r="E262" s="56">
        <v>3.0000000000000001E-3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1"/>
      <c r="C263" s="54" t="s">
        <v>86</v>
      </c>
      <c r="D263" s="55">
        <v>2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1"/>
      <c r="C264" s="54" t="s">
        <v>92</v>
      </c>
      <c r="D264" s="55">
        <v>2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1"/>
      <c r="C265" s="54" t="s">
        <v>93</v>
      </c>
      <c r="D265" s="55">
        <v>2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1"/>
      <c r="C266" s="54" t="s">
        <v>118</v>
      </c>
      <c r="D266" s="55">
        <v>1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1"/>
      <c r="C267" s="54" t="s">
        <v>99</v>
      </c>
      <c r="D267" s="55">
        <v>9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1"/>
      <c r="C268" s="54" t="s">
        <v>83</v>
      </c>
      <c r="D268" s="55">
        <v>2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1"/>
      <c r="C269" s="54" t="s">
        <v>82</v>
      </c>
      <c r="D269" s="55">
        <v>22</v>
      </c>
      <c r="E269" s="56">
        <v>4.0000000000000001E-3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1"/>
      <c r="C270" s="54" t="s">
        <v>106</v>
      </c>
      <c r="D270" s="55">
        <v>2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1"/>
      <c r="C271" s="54" t="s">
        <v>98</v>
      </c>
      <c r="D271" s="55">
        <v>1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1"/>
      <c r="C272" s="54" t="s">
        <v>112</v>
      </c>
      <c r="D272" s="55">
        <v>9</v>
      </c>
      <c r="E272" s="56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1"/>
      <c r="C273" s="54" t="s">
        <v>91</v>
      </c>
      <c r="D273" s="55">
        <v>1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1"/>
      <c r="C274" s="54" t="s">
        <v>95</v>
      </c>
      <c r="D274" s="55">
        <v>3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1"/>
      <c r="C275" s="54" t="s">
        <v>102</v>
      </c>
      <c r="D275" s="55">
        <v>4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1"/>
      <c r="C276" s="54" t="s">
        <v>87</v>
      </c>
      <c r="D276" s="55">
        <v>22</v>
      </c>
      <c r="E276" s="56">
        <v>4.0000000000000001E-3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1"/>
      <c r="C277" s="54" t="s">
        <v>94</v>
      </c>
      <c r="D277" s="55">
        <v>3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1"/>
      <c r="C278" s="54" t="s">
        <v>103</v>
      </c>
      <c r="D278" s="55">
        <v>7</v>
      </c>
      <c r="E278" s="56">
        <v>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1"/>
      <c r="C279" s="54" t="s">
        <v>90</v>
      </c>
      <c r="D279" s="55">
        <v>4</v>
      </c>
      <c r="E279" s="56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1"/>
      <c r="C280" s="54" t="s">
        <v>111</v>
      </c>
      <c r="D280" s="55">
        <v>5</v>
      </c>
      <c r="E280" s="56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1"/>
      <c r="C281" s="75" t="s">
        <v>53</v>
      </c>
      <c r="D281" s="76">
        <v>135</v>
      </c>
      <c r="E281" s="77">
        <v>2.1999999999999999E-2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1" t="s">
        <v>136</v>
      </c>
      <c r="C282" s="54" t="s">
        <v>104</v>
      </c>
      <c r="D282" s="55">
        <v>1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1"/>
      <c r="C283" s="54" t="s">
        <v>88</v>
      </c>
      <c r="D283" s="55">
        <v>22</v>
      </c>
      <c r="E283" s="56">
        <v>4.0000000000000001E-3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1"/>
      <c r="C284" s="54" t="s">
        <v>96</v>
      </c>
      <c r="D284" s="55">
        <v>12</v>
      </c>
      <c r="E284" s="56">
        <v>2E-3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1"/>
      <c r="C285" s="54" t="s">
        <v>110</v>
      </c>
      <c r="D285" s="55">
        <v>15</v>
      </c>
      <c r="E285" s="56">
        <v>2E-3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1"/>
      <c r="C286" s="54" t="s">
        <v>121</v>
      </c>
      <c r="D286" s="55">
        <v>11</v>
      </c>
      <c r="E286" s="56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1"/>
      <c r="C287" s="54" t="s">
        <v>122</v>
      </c>
      <c r="D287" s="55">
        <v>4</v>
      </c>
      <c r="E287" s="56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1"/>
      <c r="C288" s="54" t="s">
        <v>81</v>
      </c>
      <c r="D288" s="55">
        <v>76</v>
      </c>
      <c r="E288" s="56">
        <v>1.2999999999999999E-2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1"/>
      <c r="C289" s="54" t="s">
        <v>85</v>
      </c>
      <c r="D289" s="55">
        <v>66</v>
      </c>
      <c r="E289" s="56">
        <v>1.0999999999999999E-2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1"/>
      <c r="C290" s="54" t="s">
        <v>84</v>
      </c>
      <c r="D290" s="55">
        <v>14</v>
      </c>
      <c r="E290" s="56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1"/>
      <c r="C291" s="54" t="s">
        <v>105</v>
      </c>
      <c r="D291" s="55">
        <v>2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1"/>
      <c r="C292" s="54" t="s">
        <v>117</v>
      </c>
      <c r="D292" s="55">
        <v>2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1"/>
      <c r="C293" s="54" t="s">
        <v>116</v>
      </c>
      <c r="D293" s="55">
        <v>3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1"/>
      <c r="C294" s="54" t="s">
        <v>89</v>
      </c>
      <c r="D294" s="55">
        <v>221</v>
      </c>
      <c r="E294" s="56">
        <v>3.6999999999999998E-2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1"/>
      <c r="C295" s="54" t="s">
        <v>86</v>
      </c>
      <c r="D295" s="55">
        <v>35</v>
      </c>
      <c r="E295" s="56">
        <v>6.0000000000000001E-3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1"/>
      <c r="C296" s="54" t="s">
        <v>92</v>
      </c>
      <c r="D296" s="55">
        <v>9</v>
      </c>
      <c r="E296" s="56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1"/>
      <c r="C297" s="54" t="s">
        <v>93</v>
      </c>
      <c r="D297" s="55">
        <v>12</v>
      </c>
      <c r="E297" s="56">
        <v>2E-3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1"/>
      <c r="C298" s="54" t="s">
        <v>118</v>
      </c>
      <c r="D298" s="55">
        <v>2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1"/>
      <c r="C299" s="54" t="s">
        <v>99</v>
      </c>
      <c r="D299" s="55">
        <v>68</v>
      </c>
      <c r="E299" s="56">
        <v>1.0999999999999999E-2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1"/>
      <c r="C300" s="54" t="s">
        <v>83</v>
      </c>
      <c r="D300" s="55">
        <v>14</v>
      </c>
      <c r="E300" s="56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1"/>
      <c r="C301" s="54" t="s">
        <v>82</v>
      </c>
      <c r="D301" s="55">
        <v>556</v>
      </c>
      <c r="E301" s="56">
        <v>9.2999999999999999E-2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1"/>
      <c r="C302" s="54" t="s">
        <v>108</v>
      </c>
      <c r="D302" s="55">
        <v>7</v>
      </c>
      <c r="E302" s="56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1"/>
      <c r="C303" s="54" t="s">
        <v>106</v>
      </c>
      <c r="D303" s="55">
        <v>7</v>
      </c>
      <c r="E303" s="56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1"/>
      <c r="C304" s="54" t="s">
        <v>119</v>
      </c>
      <c r="D304" s="55">
        <v>3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1"/>
      <c r="C305" s="54" t="s">
        <v>101</v>
      </c>
      <c r="D305" s="55">
        <v>7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1"/>
      <c r="C306" s="54" t="s">
        <v>97</v>
      </c>
      <c r="D306" s="55">
        <v>10</v>
      </c>
      <c r="E306" s="56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1"/>
      <c r="C307" s="54" t="s">
        <v>98</v>
      </c>
      <c r="D307" s="55">
        <v>33</v>
      </c>
      <c r="E307" s="56">
        <v>5.0000000000000001E-3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1"/>
      <c r="C308" s="54" t="s">
        <v>114</v>
      </c>
      <c r="D308" s="55">
        <v>9</v>
      </c>
      <c r="E308" s="56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1"/>
      <c r="C309" s="54" t="s">
        <v>112</v>
      </c>
      <c r="D309" s="55">
        <v>53</v>
      </c>
      <c r="E309" s="56">
        <v>8.9999999999999993E-3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1"/>
      <c r="C310" s="54" t="s">
        <v>91</v>
      </c>
      <c r="D310" s="55">
        <v>12</v>
      </c>
      <c r="E310" s="56">
        <v>2E-3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1"/>
      <c r="C311" s="54" t="s">
        <v>95</v>
      </c>
      <c r="D311" s="55">
        <v>149</v>
      </c>
      <c r="E311" s="56">
        <v>2.5000000000000001E-2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1"/>
      <c r="C312" s="54" t="s">
        <v>113</v>
      </c>
      <c r="D312" s="55">
        <v>4</v>
      </c>
      <c r="E312" s="56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1"/>
      <c r="C313" s="54" t="s">
        <v>102</v>
      </c>
      <c r="D313" s="55">
        <v>26</v>
      </c>
      <c r="E313" s="56">
        <v>4.0000000000000001E-3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1"/>
      <c r="C314" s="54" t="s">
        <v>100</v>
      </c>
      <c r="D314" s="55">
        <v>9</v>
      </c>
      <c r="E314" s="56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1"/>
      <c r="C315" s="54" t="s">
        <v>87</v>
      </c>
      <c r="D315" s="55">
        <v>110</v>
      </c>
      <c r="E315" s="56">
        <v>1.7999999999999999E-2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1"/>
      <c r="C316" s="54" t="s">
        <v>107</v>
      </c>
      <c r="D316" s="55">
        <v>54</v>
      </c>
      <c r="E316" s="56">
        <v>8.9999999999999993E-3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1"/>
      <c r="C317" s="54" t="s">
        <v>94</v>
      </c>
      <c r="D317" s="55">
        <v>93</v>
      </c>
      <c r="E317" s="56">
        <v>1.4999999999999999E-2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1"/>
      <c r="C318" s="54" t="s">
        <v>103</v>
      </c>
      <c r="D318" s="55">
        <v>71</v>
      </c>
      <c r="E318" s="56">
        <v>1.2E-2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1"/>
      <c r="C319" s="54" t="s">
        <v>90</v>
      </c>
      <c r="D319" s="55">
        <v>64</v>
      </c>
      <c r="E319" s="56">
        <v>1.0999999999999999E-2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1"/>
      <c r="C320" s="54" t="s">
        <v>111</v>
      </c>
      <c r="D320" s="55">
        <v>51</v>
      </c>
      <c r="E320" s="56">
        <v>8.0000000000000002E-3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1"/>
      <c r="C321" s="54" t="s">
        <v>109</v>
      </c>
      <c r="D321" s="55">
        <v>3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1"/>
      <c r="C322" s="54" t="s">
        <v>123</v>
      </c>
      <c r="D322" s="55">
        <v>1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1"/>
      <c r="C323" s="75" t="s">
        <v>53</v>
      </c>
      <c r="D323" s="78">
        <v>1921</v>
      </c>
      <c r="E323" s="77">
        <v>0.32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1" t="s">
        <v>137</v>
      </c>
      <c r="C324" s="54" t="s">
        <v>81</v>
      </c>
      <c r="D324" s="55">
        <v>2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1"/>
      <c r="C325" s="54" t="s">
        <v>85</v>
      </c>
      <c r="D325" s="55">
        <v>2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1"/>
      <c r="C326" s="54" t="s">
        <v>84</v>
      </c>
      <c r="D326" s="55">
        <v>3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1"/>
      <c r="C327" s="54" t="s">
        <v>105</v>
      </c>
      <c r="D327" s="55">
        <v>1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1"/>
      <c r="C328" s="54" t="s">
        <v>89</v>
      </c>
      <c r="D328" s="55">
        <v>5</v>
      </c>
      <c r="E328" s="56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1"/>
      <c r="C329" s="54" t="s">
        <v>86</v>
      </c>
      <c r="D329" s="55">
        <v>1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1"/>
      <c r="C330" s="54" t="s">
        <v>118</v>
      </c>
      <c r="D330" s="55">
        <v>1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1"/>
      <c r="C331" s="54" t="s">
        <v>99</v>
      </c>
      <c r="D331" s="55">
        <v>5</v>
      </c>
      <c r="E331" s="56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1"/>
      <c r="C332" s="54" t="s">
        <v>82</v>
      </c>
      <c r="D332" s="55">
        <v>29</v>
      </c>
      <c r="E332" s="56">
        <v>5.0000000000000001E-3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1"/>
      <c r="C333" s="54" t="s">
        <v>108</v>
      </c>
      <c r="D333" s="55">
        <v>1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1"/>
      <c r="C334" s="54" t="s">
        <v>106</v>
      </c>
      <c r="D334" s="55">
        <v>1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1"/>
      <c r="C335" s="54" t="s">
        <v>101</v>
      </c>
      <c r="D335" s="55">
        <v>1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1"/>
      <c r="C336" s="54" t="s">
        <v>98</v>
      </c>
      <c r="D336" s="55">
        <v>4</v>
      </c>
      <c r="E336" s="56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1"/>
      <c r="C337" s="54" t="s">
        <v>112</v>
      </c>
      <c r="D337" s="55">
        <v>3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1"/>
      <c r="C338" s="54" t="s">
        <v>91</v>
      </c>
      <c r="D338" s="55">
        <v>1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1"/>
      <c r="C339" s="54" t="s">
        <v>95</v>
      </c>
      <c r="D339" s="55">
        <v>15</v>
      </c>
      <c r="E339" s="56">
        <v>2E-3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1"/>
      <c r="C340" s="54" t="s">
        <v>113</v>
      </c>
      <c r="D340" s="55">
        <v>1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1"/>
      <c r="C341" s="54" t="s">
        <v>100</v>
      </c>
      <c r="D341" s="55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1"/>
      <c r="C342" s="54" t="s">
        <v>87</v>
      </c>
      <c r="D342" s="55">
        <v>3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1"/>
      <c r="C343" s="54" t="s">
        <v>94</v>
      </c>
      <c r="D343" s="55">
        <v>8</v>
      </c>
      <c r="E343" s="56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1"/>
      <c r="C344" s="54" t="s">
        <v>103</v>
      </c>
      <c r="D344" s="55">
        <v>8</v>
      </c>
      <c r="E344" s="56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1"/>
      <c r="C345" s="54" t="s">
        <v>90</v>
      </c>
      <c r="D345" s="55">
        <v>5</v>
      </c>
      <c r="E345" s="56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1"/>
      <c r="C346" s="54" t="s">
        <v>111</v>
      </c>
      <c r="D346" s="55">
        <v>2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1"/>
      <c r="C347" s="75" t="s">
        <v>53</v>
      </c>
      <c r="D347" s="76">
        <v>103</v>
      </c>
      <c r="E347" s="77">
        <v>1.7000000000000001E-2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1" t="s">
        <v>138</v>
      </c>
      <c r="C348" s="54" t="s">
        <v>104</v>
      </c>
      <c r="D348" s="55">
        <v>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1"/>
      <c r="C349" s="54" t="s">
        <v>88</v>
      </c>
      <c r="D349" s="55">
        <v>4</v>
      </c>
      <c r="E349" s="56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1"/>
      <c r="C350" s="54" t="s">
        <v>96</v>
      </c>
      <c r="D350" s="55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1"/>
      <c r="C351" s="54" t="s">
        <v>110</v>
      </c>
      <c r="D351" s="55">
        <v>4</v>
      </c>
      <c r="E351" s="56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1"/>
      <c r="C352" s="54" t="s">
        <v>81</v>
      </c>
      <c r="D352" s="55">
        <v>11</v>
      </c>
      <c r="E352" s="56">
        <v>2E-3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1"/>
      <c r="C353" s="54" t="s">
        <v>85</v>
      </c>
      <c r="D353" s="55">
        <v>9</v>
      </c>
      <c r="E353" s="56">
        <v>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1"/>
      <c r="C354" s="54" t="s">
        <v>84</v>
      </c>
      <c r="D354" s="55">
        <v>8</v>
      </c>
      <c r="E354" s="56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1"/>
      <c r="C355" s="54" t="s">
        <v>105</v>
      </c>
      <c r="D355" s="55">
        <v>1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1"/>
      <c r="C356" s="54" t="s">
        <v>117</v>
      </c>
      <c r="D356" s="55">
        <v>3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1"/>
      <c r="C357" s="54" t="s">
        <v>89</v>
      </c>
      <c r="D357" s="55">
        <v>71</v>
      </c>
      <c r="E357" s="56">
        <v>1.2E-2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1"/>
      <c r="C358" s="54" t="s">
        <v>86</v>
      </c>
      <c r="D358" s="55">
        <v>4</v>
      </c>
      <c r="E358" s="56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1"/>
      <c r="C359" s="54" t="s">
        <v>92</v>
      </c>
      <c r="D359" s="55">
        <v>1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1"/>
      <c r="C360" s="54" t="s">
        <v>93</v>
      </c>
      <c r="D360" s="55">
        <v>6</v>
      </c>
      <c r="E360" s="56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1"/>
      <c r="C361" s="54" t="s">
        <v>118</v>
      </c>
      <c r="D361" s="55">
        <v>2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1"/>
      <c r="C362" s="54" t="s">
        <v>99</v>
      </c>
      <c r="D362" s="55">
        <v>24</v>
      </c>
      <c r="E362" s="56">
        <v>4.0000000000000001E-3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1"/>
      <c r="C363" s="54" t="s">
        <v>83</v>
      </c>
      <c r="D363" s="55">
        <v>3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1"/>
      <c r="C364" s="54" t="s">
        <v>82</v>
      </c>
      <c r="D364" s="55">
        <v>98</v>
      </c>
      <c r="E364" s="56">
        <v>1.6E-2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1"/>
      <c r="C365" s="54" t="s">
        <v>108</v>
      </c>
      <c r="D365" s="55">
        <v>1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1"/>
      <c r="C366" s="54" t="s">
        <v>106</v>
      </c>
      <c r="D366" s="55">
        <v>3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1"/>
      <c r="C367" s="54" t="s">
        <v>101</v>
      </c>
      <c r="D367" s="55">
        <v>3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1"/>
      <c r="C368" s="54" t="s">
        <v>97</v>
      </c>
      <c r="D368" s="55">
        <v>1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1"/>
      <c r="C369" s="54" t="s">
        <v>98</v>
      </c>
      <c r="D369" s="55">
        <v>9</v>
      </c>
      <c r="E369" s="56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1"/>
      <c r="C370" s="54" t="s">
        <v>114</v>
      </c>
      <c r="D370" s="55">
        <v>2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1"/>
      <c r="C371" s="54" t="s">
        <v>112</v>
      </c>
      <c r="D371" s="55">
        <v>13</v>
      </c>
      <c r="E371" s="56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1"/>
      <c r="C372" s="54" t="s">
        <v>91</v>
      </c>
      <c r="D372" s="55">
        <v>8</v>
      </c>
      <c r="E372" s="56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1"/>
      <c r="C373" s="54" t="s">
        <v>95</v>
      </c>
      <c r="D373" s="55">
        <v>18</v>
      </c>
      <c r="E373" s="56">
        <v>3.0000000000000001E-3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1"/>
      <c r="C374" s="54" t="s">
        <v>102</v>
      </c>
      <c r="D374" s="55">
        <v>8</v>
      </c>
      <c r="E374" s="56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1"/>
      <c r="C375" s="54" t="s">
        <v>100</v>
      </c>
      <c r="D375" s="55">
        <v>2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1"/>
      <c r="C376" s="54" t="s">
        <v>87</v>
      </c>
      <c r="D376" s="55">
        <v>22</v>
      </c>
      <c r="E376" s="56">
        <v>4.0000000000000001E-3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1"/>
      <c r="C377" s="54" t="s">
        <v>107</v>
      </c>
      <c r="D377" s="55">
        <v>5</v>
      </c>
      <c r="E377" s="56">
        <v>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1"/>
      <c r="C378" s="54" t="s">
        <v>94</v>
      </c>
      <c r="D378" s="55">
        <v>12</v>
      </c>
      <c r="E378" s="56">
        <v>2E-3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1"/>
      <c r="C379" s="54" t="s">
        <v>103</v>
      </c>
      <c r="D379" s="55">
        <v>24</v>
      </c>
      <c r="E379" s="56">
        <v>4.0000000000000001E-3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1"/>
      <c r="C380" s="54" t="s">
        <v>90</v>
      </c>
      <c r="D380" s="55">
        <v>13</v>
      </c>
      <c r="E380" s="56">
        <v>2E-3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1"/>
      <c r="C381" s="54" t="s">
        <v>111</v>
      </c>
      <c r="D381" s="55">
        <v>8</v>
      </c>
      <c r="E381" s="56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1"/>
      <c r="C382" s="75" t="s">
        <v>53</v>
      </c>
      <c r="D382" s="76">
        <v>403</v>
      </c>
      <c r="E382" s="77">
        <v>6.7000000000000004E-2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1" t="s">
        <v>139</v>
      </c>
      <c r="C383" s="54" t="s">
        <v>88</v>
      </c>
      <c r="D383" s="55">
        <v>10</v>
      </c>
      <c r="E383" s="56">
        <v>2E-3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1"/>
      <c r="C384" s="54" t="s">
        <v>96</v>
      </c>
      <c r="D384" s="55">
        <v>6</v>
      </c>
      <c r="E384" s="56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1"/>
      <c r="C385" s="54" t="s">
        <v>110</v>
      </c>
      <c r="D385" s="55">
        <v>10</v>
      </c>
      <c r="E385" s="56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1"/>
      <c r="C386" s="54" t="s">
        <v>121</v>
      </c>
      <c r="D386" s="55">
        <v>1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1"/>
      <c r="C387" s="54" t="s">
        <v>122</v>
      </c>
      <c r="D387" s="55">
        <v>2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1"/>
      <c r="C388" s="54" t="s">
        <v>81</v>
      </c>
      <c r="D388" s="55">
        <v>31</v>
      </c>
      <c r="E388" s="56">
        <v>5.0000000000000001E-3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1"/>
      <c r="C389" s="54" t="s">
        <v>85</v>
      </c>
      <c r="D389" s="55">
        <v>28</v>
      </c>
      <c r="E389" s="56">
        <v>5.0000000000000001E-3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1"/>
      <c r="C390" s="54" t="s">
        <v>84</v>
      </c>
      <c r="D390" s="55">
        <v>11</v>
      </c>
      <c r="E390" s="56">
        <v>2E-3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1"/>
      <c r="C391" s="54" t="s">
        <v>105</v>
      </c>
      <c r="D391" s="55">
        <v>2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1"/>
      <c r="C392" s="54" t="s">
        <v>117</v>
      </c>
      <c r="D392" s="55">
        <v>1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1"/>
      <c r="C393" s="54" t="s">
        <v>116</v>
      </c>
      <c r="D393" s="55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1"/>
      <c r="C394" s="54" t="s">
        <v>89</v>
      </c>
      <c r="D394" s="55">
        <v>164</v>
      </c>
      <c r="E394" s="56">
        <v>2.7E-2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1"/>
      <c r="C395" s="54" t="s">
        <v>86</v>
      </c>
      <c r="D395" s="55">
        <v>27</v>
      </c>
      <c r="E395" s="56">
        <v>4.0000000000000001E-3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1"/>
      <c r="C396" s="54" t="s">
        <v>92</v>
      </c>
      <c r="D396" s="55">
        <v>1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1"/>
      <c r="C397" s="54" t="s">
        <v>93</v>
      </c>
      <c r="D397" s="55">
        <v>4</v>
      </c>
      <c r="E397" s="56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1"/>
      <c r="C398" s="54" t="s">
        <v>99</v>
      </c>
      <c r="D398" s="55">
        <v>47</v>
      </c>
      <c r="E398" s="56">
        <v>8.0000000000000002E-3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1"/>
      <c r="C399" s="54" t="s">
        <v>83</v>
      </c>
      <c r="D399" s="55">
        <v>8</v>
      </c>
      <c r="E399" s="56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1"/>
      <c r="C400" s="54" t="s">
        <v>82</v>
      </c>
      <c r="D400" s="55">
        <v>350</v>
      </c>
      <c r="E400" s="56">
        <v>5.8000000000000003E-2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1"/>
      <c r="C401" s="54" t="s">
        <v>108</v>
      </c>
      <c r="D401" s="55">
        <v>5</v>
      </c>
      <c r="E401" s="56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1"/>
      <c r="C402" s="54" t="s">
        <v>106</v>
      </c>
      <c r="D402" s="55">
        <v>2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1"/>
      <c r="C403" s="54" t="s">
        <v>115</v>
      </c>
      <c r="D403" s="55">
        <v>2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1"/>
      <c r="C404" s="54" t="s">
        <v>119</v>
      </c>
      <c r="D404" s="55">
        <v>4</v>
      </c>
      <c r="E404" s="56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1"/>
      <c r="C405" s="54" t="s">
        <v>101</v>
      </c>
      <c r="D405" s="55">
        <v>4</v>
      </c>
      <c r="E405" s="56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1"/>
      <c r="C406" s="54" t="s">
        <v>97</v>
      </c>
      <c r="D406" s="55">
        <v>3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1"/>
      <c r="C407" s="54" t="s">
        <v>98</v>
      </c>
      <c r="D407" s="55">
        <v>17</v>
      </c>
      <c r="E407" s="56">
        <v>3.0000000000000001E-3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1"/>
      <c r="C408" s="54" t="s">
        <v>114</v>
      </c>
      <c r="D408" s="55">
        <v>11</v>
      </c>
      <c r="E408" s="56">
        <v>2E-3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1"/>
      <c r="C409" s="54" t="s">
        <v>112</v>
      </c>
      <c r="D409" s="55">
        <v>30</v>
      </c>
      <c r="E409" s="56">
        <v>5.0000000000000001E-3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1"/>
      <c r="C410" s="54" t="s">
        <v>91</v>
      </c>
      <c r="D410" s="55">
        <v>5</v>
      </c>
      <c r="E410" s="56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1"/>
      <c r="C411" s="54" t="s">
        <v>95</v>
      </c>
      <c r="D411" s="55">
        <v>102</v>
      </c>
      <c r="E411" s="56">
        <v>1.7000000000000001E-2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1"/>
      <c r="C412" s="54" t="s">
        <v>113</v>
      </c>
      <c r="D412" s="55">
        <v>3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1"/>
      <c r="C413" s="54" t="s">
        <v>102</v>
      </c>
      <c r="D413" s="55">
        <v>17</v>
      </c>
      <c r="E413" s="56">
        <v>3.0000000000000001E-3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1"/>
      <c r="C414" s="54" t="s">
        <v>100</v>
      </c>
      <c r="D414" s="55">
        <v>7</v>
      </c>
      <c r="E414" s="56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1"/>
      <c r="C415" s="54" t="s">
        <v>87</v>
      </c>
      <c r="D415" s="55">
        <v>97</v>
      </c>
      <c r="E415" s="56">
        <v>1.6E-2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1"/>
      <c r="C416" s="54" t="s">
        <v>107</v>
      </c>
      <c r="D416" s="55">
        <v>25</v>
      </c>
      <c r="E416" s="56">
        <v>4.0000000000000001E-3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1"/>
      <c r="C417" s="54" t="s">
        <v>94</v>
      </c>
      <c r="D417" s="55">
        <v>50</v>
      </c>
      <c r="E417" s="56">
        <v>8.0000000000000002E-3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1"/>
      <c r="C418" s="54" t="s">
        <v>103</v>
      </c>
      <c r="D418" s="55">
        <v>53</v>
      </c>
      <c r="E418" s="56">
        <v>8.9999999999999993E-3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1"/>
      <c r="C419" s="54" t="s">
        <v>90</v>
      </c>
      <c r="D419" s="55">
        <v>37</v>
      </c>
      <c r="E419" s="56">
        <v>6.0000000000000001E-3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1"/>
      <c r="C420" s="54" t="s">
        <v>111</v>
      </c>
      <c r="D420" s="55">
        <v>30</v>
      </c>
      <c r="E420" s="56">
        <v>5.0000000000000001E-3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1"/>
      <c r="C421" s="54" t="s">
        <v>120</v>
      </c>
      <c r="D421" s="55">
        <v>1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1"/>
      <c r="C422" s="54" t="s">
        <v>109</v>
      </c>
      <c r="D422" s="55">
        <v>2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1"/>
      <c r="C423" s="54" t="s">
        <v>123</v>
      </c>
      <c r="D423" s="55">
        <v>1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1"/>
      <c r="C424" s="75" t="s">
        <v>53</v>
      </c>
      <c r="D424" s="78">
        <v>1212</v>
      </c>
      <c r="E424" s="77">
        <v>0.20200000000000001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1" t="s">
        <v>140</v>
      </c>
      <c r="C425" s="54" t="s">
        <v>85</v>
      </c>
      <c r="D425" s="55">
        <v>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1"/>
      <c r="C426" s="54" t="s">
        <v>89</v>
      </c>
      <c r="D426" s="55">
        <v>3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1"/>
      <c r="C427" s="54" t="s">
        <v>86</v>
      </c>
      <c r="D427" s="55">
        <v>1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1"/>
      <c r="C428" s="54" t="s">
        <v>82</v>
      </c>
      <c r="D428" s="55">
        <v>3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1"/>
      <c r="C429" s="54" t="s">
        <v>101</v>
      </c>
      <c r="D429" s="55">
        <v>1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1"/>
      <c r="C430" s="54" t="s">
        <v>103</v>
      </c>
      <c r="D430" s="55">
        <v>1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1"/>
      <c r="C431" s="54" t="s">
        <v>90</v>
      </c>
      <c r="D431" s="55">
        <v>3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1"/>
      <c r="C432" s="75" t="s">
        <v>53</v>
      </c>
      <c r="D432" s="76">
        <v>13</v>
      </c>
      <c r="E432" s="77">
        <v>2E-3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1" t="s">
        <v>141</v>
      </c>
      <c r="C433" s="54" t="s">
        <v>110</v>
      </c>
      <c r="D433" s="55">
        <v>1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1"/>
      <c r="C434" s="54" t="s">
        <v>89</v>
      </c>
      <c r="D434" s="55">
        <v>1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1"/>
      <c r="C435" s="54" t="s">
        <v>93</v>
      </c>
      <c r="D435" s="55">
        <v>1</v>
      </c>
      <c r="E435" s="56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1"/>
      <c r="C436" s="54" t="s">
        <v>99</v>
      </c>
      <c r="D436" s="55">
        <v>1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1"/>
      <c r="C437" s="54" t="s">
        <v>82</v>
      </c>
      <c r="D437" s="55">
        <v>4</v>
      </c>
      <c r="E437" s="56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1"/>
      <c r="C438" s="54" t="s">
        <v>101</v>
      </c>
      <c r="D438" s="55">
        <v>1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1"/>
      <c r="C439" s="54" t="s">
        <v>112</v>
      </c>
      <c r="D439" s="55">
        <v>2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1"/>
      <c r="C440" s="54" t="s">
        <v>102</v>
      </c>
      <c r="D440" s="55">
        <v>1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1"/>
      <c r="C441" s="54" t="s">
        <v>87</v>
      </c>
      <c r="D441" s="55">
        <v>1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1"/>
      <c r="C442" s="75" t="s">
        <v>53</v>
      </c>
      <c r="D442" s="76">
        <v>13</v>
      </c>
      <c r="E442" s="77">
        <v>2E-3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1" t="s">
        <v>142</v>
      </c>
      <c r="C443" s="54" t="s">
        <v>89</v>
      </c>
      <c r="D443" s="55">
        <v>5</v>
      </c>
      <c r="E443" s="56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1"/>
      <c r="C444" s="54" t="s">
        <v>82</v>
      </c>
      <c r="D444" s="55">
        <v>2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1"/>
      <c r="C445" s="54" t="s">
        <v>112</v>
      </c>
      <c r="D445" s="55">
        <v>1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1"/>
      <c r="C446" s="54" t="s">
        <v>87</v>
      </c>
      <c r="D446" s="55">
        <v>1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1"/>
      <c r="C447" s="75" t="s">
        <v>53</v>
      </c>
      <c r="D447" s="76">
        <v>9</v>
      </c>
      <c r="E447" s="77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1" t="s">
        <v>143</v>
      </c>
      <c r="C448" s="54" t="s">
        <v>82</v>
      </c>
      <c r="D448" s="55">
        <v>2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1"/>
      <c r="C449" s="54" t="s">
        <v>106</v>
      </c>
      <c r="D449" s="55">
        <v>1</v>
      </c>
      <c r="E449" s="56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1"/>
      <c r="C450" s="54" t="s">
        <v>98</v>
      </c>
      <c r="D450" s="55">
        <v>1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1"/>
      <c r="C451" s="54" t="s">
        <v>107</v>
      </c>
      <c r="D451" s="55">
        <v>1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1"/>
      <c r="C452" s="54" t="s">
        <v>94</v>
      </c>
      <c r="D452" s="55">
        <v>1</v>
      </c>
      <c r="E452" s="56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1"/>
      <c r="C453" s="75" t="s">
        <v>53</v>
      </c>
      <c r="D453" s="76">
        <v>6</v>
      </c>
      <c r="E453" s="77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1" t="s">
        <v>144</v>
      </c>
      <c r="C454" s="54" t="s">
        <v>88</v>
      </c>
      <c r="D454" s="55">
        <v>3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1"/>
      <c r="C455" s="54" t="s">
        <v>121</v>
      </c>
      <c r="D455" s="55">
        <v>1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1"/>
      <c r="C456" s="54" t="s">
        <v>81</v>
      </c>
      <c r="D456" s="55">
        <v>3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1"/>
      <c r="C457" s="54" t="s">
        <v>85</v>
      </c>
      <c r="D457" s="55">
        <v>1</v>
      </c>
      <c r="E457" s="56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1"/>
      <c r="C458" s="54" t="s">
        <v>84</v>
      </c>
      <c r="D458" s="55">
        <v>1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1"/>
      <c r="C459" s="54" t="s">
        <v>89</v>
      </c>
      <c r="D459" s="55">
        <v>18</v>
      </c>
      <c r="E459" s="56">
        <v>3.0000000000000001E-3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1"/>
      <c r="C460" s="54" t="s">
        <v>86</v>
      </c>
      <c r="D460" s="55">
        <v>2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1"/>
      <c r="C461" s="54" t="s">
        <v>99</v>
      </c>
      <c r="D461" s="55">
        <v>1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1"/>
      <c r="C462" s="54" t="s">
        <v>82</v>
      </c>
      <c r="D462" s="55">
        <v>15</v>
      </c>
      <c r="E462" s="56">
        <v>2E-3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1"/>
      <c r="C463" s="54" t="s">
        <v>98</v>
      </c>
      <c r="D463" s="55">
        <v>1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1"/>
      <c r="C464" s="54" t="s">
        <v>112</v>
      </c>
      <c r="D464" s="55">
        <v>2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1"/>
      <c r="C465" s="54" t="s">
        <v>91</v>
      </c>
      <c r="D465" s="55">
        <v>2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1"/>
      <c r="C466" s="54" t="s">
        <v>95</v>
      </c>
      <c r="D466" s="55">
        <v>2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1"/>
      <c r="C467" s="54" t="s">
        <v>102</v>
      </c>
      <c r="D467" s="55">
        <v>2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1"/>
      <c r="C468" s="54" t="s">
        <v>100</v>
      </c>
      <c r="D468" s="55">
        <v>1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1"/>
      <c r="C469" s="54" t="s">
        <v>87</v>
      </c>
      <c r="D469" s="55">
        <v>6</v>
      </c>
      <c r="E469" s="56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1"/>
      <c r="C470" s="54" t="s">
        <v>94</v>
      </c>
      <c r="D470" s="55">
        <v>2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1"/>
      <c r="C471" s="54" t="s">
        <v>103</v>
      </c>
      <c r="D471" s="55">
        <v>2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1"/>
      <c r="C472" s="54" t="s">
        <v>90</v>
      </c>
      <c r="D472" s="55">
        <v>2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1"/>
      <c r="C473" s="54" t="s">
        <v>123</v>
      </c>
      <c r="D473" s="55">
        <v>2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1"/>
      <c r="C474" s="75" t="s">
        <v>53</v>
      </c>
      <c r="D474" s="76">
        <v>69</v>
      </c>
      <c r="E474" s="77">
        <v>1.0999999999999999E-2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1" t="s">
        <v>145</v>
      </c>
      <c r="C475" s="54" t="s">
        <v>104</v>
      </c>
      <c r="D475" s="55">
        <v>1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1"/>
      <c r="C476" s="54" t="s">
        <v>96</v>
      </c>
      <c r="D476" s="55">
        <v>1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1"/>
      <c r="C477" s="54" t="s">
        <v>110</v>
      </c>
      <c r="D477" s="55">
        <v>2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1"/>
      <c r="C478" s="54" t="s">
        <v>121</v>
      </c>
      <c r="D478" s="55">
        <v>1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1"/>
      <c r="C479" s="54" t="s">
        <v>122</v>
      </c>
      <c r="D479" s="55">
        <v>2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1"/>
      <c r="C480" s="54" t="s">
        <v>81</v>
      </c>
      <c r="D480" s="55">
        <v>2</v>
      </c>
      <c r="E480" s="56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1"/>
      <c r="C481" s="54" t="s">
        <v>85</v>
      </c>
      <c r="D481" s="55">
        <v>2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1"/>
      <c r="C482" s="54" t="s">
        <v>84</v>
      </c>
      <c r="D482" s="55">
        <v>3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1"/>
      <c r="C483" s="54" t="s">
        <v>117</v>
      </c>
      <c r="D483" s="55">
        <v>1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1"/>
      <c r="C484" s="54" t="s">
        <v>116</v>
      </c>
      <c r="D484" s="55">
        <v>1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1"/>
      <c r="C485" s="54" t="s">
        <v>89</v>
      </c>
      <c r="D485" s="55">
        <v>11</v>
      </c>
      <c r="E485" s="56">
        <v>2E-3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1"/>
      <c r="C486" s="54" t="s">
        <v>86</v>
      </c>
      <c r="D486" s="55">
        <v>3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1"/>
      <c r="C487" s="54" t="s">
        <v>92</v>
      </c>
      <c r="D487" s="55">
        <v>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1"/>
      <c r="C488" s="54" t="s">
        <v>93</v>
      </c>
      <c r="D488" s="55">
        <v>1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1"/>
      <c r="C489" s="54" t="s">
        <v>99</v>
      </c>
      <c r="D489" s="55">
        <v>9</v>
      </c>
      <c r="E489" s="56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1"/>
      <c r="C490" s="54" t="s">
        <v>83</v>
      </c>
      <c r="D490" s="55">
        <v>1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1"/>
      <c r="C491" s="54" t="s">
        <v>82</v>
      </c>
      <c r="D491" s="55">
        <v>30</v>
      </c>
      <c r="E491" s="56">
        <v>5.0000000000000001E-3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1"/>
      <c r="C492" s="54" t="s">
        <v>108</v>
      </c>
      <c r="D492" s="55">
        <v>1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1"/>
      <c r="C493" s="54" t="s">
        <v>106</v>
      </c>
      <c r="D493" s="55">
        <v>1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1"/>
      <c r="C494" s="54" t="s">
        <v>119</v>
      </c>
      <c r="D494" s="55">
        <v>1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1"/>
      <c r="C495" s="54" t="s">
        <v>101</v>
      </c>
      <c r="D495" s="55">
        <v>1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1"/>
      <c r="C496" s="54" t="s">
        <v>98</v>
      </c>
      <c r="D496" s="55">
        <v>3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1"/>
      <c r="C497" s="54" t="s">
        <v>114</v>
      </c>
      <c r="D497" s="55">
        <v>1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1"/>
      <c r="C498" s="54" t="s">
        <v>112</v>
      </c>
      <c r="D498" s="55">
        <v>4</v>
      </c>
      <c r="E498" s="56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1"/>
      <c r="C499" s="54" t="s">
        <v>91</v>
      </c>
      <c r="D499" s="55">
        <v>1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1"/>
      <c r="C500" s="54" t="s">
        <v>95</v>
      </c>
      <c r="D500" s="55">
        <v>9</v>
      </c>
      <c r="E500" s="56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1"/>
      <c r="C501" s="54" t="s">
        <v>102</v>
      </c>
      <c r="D501" s="55">
        <v>4</v>
      </c>
      <c r="E501" s="56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1"/>
      <c r="C502" s="54" t="s">
        <v>87</v>
      </c>
      <c r="D502" s="55">
        <v>8</v>
      </c>
      <c r="E502" s="56">
        <v>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1"/>
      <c r="C503" s="54" t="s">
        <v>107</v>
      </c>
      <c r="D503" s="55">
        <v>2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1"/>
      <c r="C504" s="54" t="s">
        <v>94</v>
      </c>
      <c r="D504" s="55">
        <v>1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1"/>
      <c r="C505" s="54" t="s">
        <v>103</v>
      </c>
      <c r="D505" s="55">
        <v>5</v>
      </c>
      <c r="E505" s="56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1"/>
      <c r="C506" s="54" t="s">
        <v>90</v>
      </c>
      <c r="D506" s="55">
        <v>4</v>
      </c>
      <c r="E506" s="56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1"/>
      <c r="C507" s="54" t="s">
        <v>111</v>
      </c>
      <c r="D507" s="55">
        <v>5</v>
      </c>
      <c r="E507" s="56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1"/>
      <c r="C508" s="75" t="s">
        <v>53</v>
      </c>
      <c r="D508" s="76">
        <v>123</v>
      </c>
      <c r="E508" s="77">
        <v>0.02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1" t="s">
        <v>146</v>
      </c>
      <c r="C509" s="54" t="s">
        <v>89</v>
      </c>
      <c r="D509" s="55">
        <v>1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1"/>
      <c r="C510" s="54" t="s">
        <v>112</v>
      </c>
      <c r="D510" s="55">
        <v>1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1"/>
      <c r="C511" s="54" t="s">
        <v>95</v>
      </c>
      <c r="D511" s="55">
        <v>4</v>
      </c>
      <c r="E511" s="56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1"/>
      <c r="C512" s="54" t="s">
        <v>111</v>
      </c>
      <c r="D512" s="55">
        <v>1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1"/>
      <c r="C513" s="75" t="s">
        <v>53</v>
      </c>
      <c r="D513" s="76">
        <v>7</v>
      </c>
      <c r="E513" s="77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1" t="s">
        <v>147</v>
      </c>
      <c r="C514" s="54" t="s">
        <v>89</v>
      </c>
      <c r="D514" s="55">
        <v>1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1"/>
      <c r="C515" s="54" t="s">
        <v>82</v>
      </c>
      <c r="D515" s="55">
        <v>1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1"/>
      <c r="C516" s="54" t="s">
        <v>94</v>
      </c>
      <c r="D516" s="55">
        <v>1</v>
      </c>
      <c r="E516" s="56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1"/>
      <c r="C517" s="75" t="s">
        <v>53</v>
      </c>
      <c r="D517" s="76">
        <v>3</v>
      </c>
      <c r="E517" s="7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21" customHeight="1">
      <c r="B518" s="91" t="s">
        <v>148</v>
      </c>
      <c r="C518" s="54" t="s">
        <v>94</v>
      </c>
      <c r="D518" s="55">
        <v>2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1"/>
      <c r="C519" s="75" t="s">
        <v>53</v>
      </c>
      <c r="D519" s="76">
        <v>2</v>
      </c>
      <c r="E519" s="7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8" customHeight="1">
      <c r="B520" s="93" t="s">
        <v>53</v>
      </c>
      <c r="C520" s="93"/>
      <c r="D520" s="52">
        <v>6009</v>
      </c>
      <c r="E520" s="53">
        <v>1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8" customHeight="1"/>
    <row r="522" spans="2:16" ht="18" customHeight="1">
      <c r="B522" s="51" t="s">
        <v>77</v>
      </c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</row>
    <row r="523" spans="2:16" ht="18" customHeight="1">
      <c r="B523" s="51" t="s">
        <v>45</v>
      </c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</row>
    <row r="524" spans="2:16" ht="18" customHeight="1">
      <c r="B524" s="51" t="s">
        <v>78</v>
      </c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</row>
    <row r="525" spans="2:16" ht="18" customHeight="1">
      <c r="B525" s="51" t="s">
        <v>79</v>
      </c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</row>
    <row r="526" spans="2:16" ht="15" customHeight="1">
      <c r="B526" s="51" t="s">
        <v>80</v>
      </c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</row>
  </sheetData>
  <autoFilter ref="B9:E520"/>
  <mergeCells count="26">
    <mergeCell ref="B475:B508"/>
    <mergeCell ref="B509:B513"/>
    <mergeCell ref="B514:B517"/>
    <mergeCell ref="B518:B519"/>
    <mergeCell ref="B520:C520"/>
    <mergeCell ref="B10:B29"/>
    <mergeCell ref="B30:B42"/>
    <mergeCell ref="B43:B58"/>
    <mergeCell ref="B59:B81"/>
    <mergeCell ref="B82:B103"/>
    <mergeCell ref="B454:B474"/>
    <mergeCell ref="B7:E8"/>
    <mergeCell ref="B383:B424"/>
    <mergeCell ref="B425:B432"/>
    <mergeCell ref="B433:B442"/>
    <mergeCell ref="B443:B447"/>
    <mergeCell ref="B256:B281"/>
    <mergeCell ref="B282:B323"/>
    <mergeCell ref="B448:B453"/>
    <mergeCell ref="B324:B347"/>
    <mergeCell ref="B348:B382"/>
    <mergeCell ref="B104:B128"/>
    <mergeCell ref="B129:B165"/>
    <mergeCell ref="B166:B203"/>
    <mergeCell ref="B204:B227"/>
    <mergeCell ref="B228:B2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C15" sqref="C15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89" t="s">
        <v>203</v>
      </c>
      <c r="C7" s="89"/>
      <c r="D7" s="89"/>
    </row>
    <row r="8" spans="1:15" s="1" customFormat="1" ht="15" customHeight="1">
      <c r="B8" s="89"/>
      <c r="C8" s="89"/>
      <c r="D8" s="89"/>
    </row>
    <row r="9" spans="1:15" s="1" customFormat="1" ht="33" customHeight="1">
      <c r="B9" s="89"/>
      <c r="C9" s="89"/>
      <c r="D9" s="89"/>
    </row>
    <row r="10" spans="1:15" s="1" customFormat="1" ht="6.75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2" t="s">
        <v>55</v>
      </c>
      <c r="C12" s="63">
        <v>3029</v>
      </c>
      <c r="D12" s="70">
        <v>0.504</v>
      </c>
    </row>
    <row r="13" spans="1:15" ht="18.75">
      <c r="A13" s="46"/>
      <c r="B13" s="64" t="s">
        <v>54</v>
      </c>
      <c r="C13" s="65">
        <v>2980</v>
      </c>
      <c r="D13" s="69">
        <v>0.496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6" t="s">
        <v>53</v>
      </c>
      <c r="C14" s="67">
        <f>SUM(C12:C13)</f>
        <v>6009</v>
      </c>
      <c r="D14" s="68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1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1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1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1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1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</row>
    <row r="26" spans="1:15"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</row>
    <row r="27" spans="1:15"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</row>
    <row r="28" spans="1:15"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1:15"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</row>
    <row r="30" spans="1:15" ht="18" customHeight="1"/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46"/>
  <sheetViews>
    <sheetView showGridLines="0" zoomScaleNormal="100" zoomScaleSheetLayoutView="100" workbookViewId="0">
      <selection activeCell="K18" sqref="K18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9" t="s">
        <v>200</v>
      </c>
      <c r="C8" s="89"/>
      <c r="D8" s="89"/>
      <c r="E8" s="89"/>
    </row>
    <row r="9" spans="1:16" s="25" customFormat="1" ht="15" customHeight="1">
      <c r="A9" s="26"/>
      <c r="B9" s="89"/>
      <c r="C9" s="89"/>
      <c r="D9" s="89"/>
      <c r="E9" s="89"/>
      <c r="F9" s="27"/>
    </row>
    <row r="10" spans="1:16" s="25" customFormat="1" ht="15" customHeight="1">
      <c r="A10" s="26"/>
      <c r="B10" s="89"/>
      <c r="C10" s="89"/>
      <c r="D10" s="89"/>
      <c r="E10" s="89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91" t="s">
        <v>35</v>
      </c>
      <c r="C13" s="54" t="s">
        <v>55</v>
      </c>
      <c r="D13" s="55">
        <v>7</v>
      </c>
      <c r="E13" s="56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1"/>
      <c r="C14" s="54" t="s">
        <v>54</v>
      </c>
      <c r="D14" s="55">
        <v>9</v>
      </c>
      <c r="E14" s="56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1"/>
      <c r="C15" s="75" t="s">
        <v>53</v>
      </c>
      <c r="D15" s="76">
        <v>16</v>
      </c>
      <c r="E15" s="79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1" t="s">
        <v>76</v>
      </c>
      <c r="C16" s="54" t="s">
        <v>54</v>
      </c>
      <c r="D16" s="55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1"/>
      <c r="C17" s="75" t="s">
        <v>53</v>
      </c>
      <c r="D17" s="76">
        <v>1</v>
      </c>
      <c r="E17" s="79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1" t="s">
        <v>22</v>
      </c>
      <c r="C18" s="54" t="s">
        <v>55</v>
      </c>
      <c r="D18" s="55">
        <v>22</v>
      </c>
      <c r="E18" s="56">
        <v>4.0000000000000001E-3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1"/>
      <c r="C19" s="54" t="s">
        <v>54</v>
      </c>
      <c r="D19" s="55">
        <v>17</v>
      </c>
      <c r="E19" s="56">
        <v>3.0000000000000001E-3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1"/>
      <c r="C20" s="75" t="s">
        <v>53</v>
      </c>
      <c r="D20" s="76">
        <v>39</v>
      </c>
      <c r="E20" s="79">
        <v>0.01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1" t="s">
        <v>13</v>
      </c>
      <c r="C21" s="54" t="s">
        <v>55</v>
      </c>
      <c r="D21" s="55">
        <v>7</v>
      </c>
      <c r="E21" s="56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1"/>
      <c r="C22" s="54" t="s">
        <v>54</v>
      </c>
      <c r="D22" s="55">
        <v>7</v>
      </c>
      <c r="E22" s="56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1"/>
      <c r="C23" s="75" t="s">
        <v>53</v>
      </c>
      <c r="D23" s="76">
        <v>14</v>
      </c>
      <c r="E23" s="79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1" t="s">
        <v>4</v>
      </c>
      <c r="C24" s="54" t="s">
        <v>55</v>
      </c>
      <c r="D24" s="57">
        <v>2086</v>
      </c>
      <c r="E24" s="56">
        <v>0.34699999999999998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1"/>
      <c r="C25" s="54" t="s">
        <v>54</v>
      </c>
      <c r="D25" s="57">
        <v>2125</v>
      </c>
      <c r="E25" s="56">
        <v>0.35399999999999998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1"/>
      <c r="C26" s="75" t="s">
        <v>53</v>
      </c>
      <c r="D26" s="78">
        <v>4211</v>
      </c>
      <c r="E26" s="79">
        <v>0.7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1" t="s">
        <v>8</v>
      </c>
      <c r="C27" s="54" t="s">
        <v>55</v>
      </c>
      <c r="D27" s="55">
        <v>20</v>
      </c>
      <c r="E27" s="56">
        <v>3.0000000000000001E-3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1"/>
      <c r="C28" s="54" t="s">
        <v>54</v>
      </c>
      <c r="D28" s="55">
        <v>31</v>
      </c>
      <c r="E28" s="56">
        <v>5.0000000000000001E-3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91"/>
      <c r="C29" s="75" t="s">
        <v>53</v>
      </c>
      <c r="D29" s="76">
        <v>51</v>
      </c>
      <c r="E29" s="79">
        <v>0.01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91" t="s">
        <v>38</v>
      </c>
      <c r="C30" s="54" t="s">
        <v>55</v>
      </c>
      <c r="D30" s="55">
        <v>2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91"/>
      <c r="C31" s="54" t="s">
        <v>54</v>
      </c>
      <c r="D31" s="55">
        <v>3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91"/>
      <c r="C32" s="75" t="s">
        <v>53</v>
      </c>
      <c r="D32" s="76">
        <v>5</v>
      </c>
      <c r="E32" s="79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91" t="s">
        <v>10</v>
      </c>
      <c r="C33" s="54" t="s">
        <v>55</v>
      </c>
      <c r="D33" s="55">
        <v>36</v>
      </c>
      <c r="E33" s="56">
        <v>6.0000000000000001E-3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91"/>
      <c r="C34" s="54" t="s">
        <v>54</v>
      </c>
      <c r="D34" s="55">
        <v>19</v>
      </c>
      <c r="E34" s="56">
        <v>3.0000000000000001E-3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91"/>
      <c r="C35" s="75" t="s">
        <v>53</v>
      </c>
      <c r="D35" s="76">
        <v>55</v>
      </c>
      <c r="E35" s="79">
        <v>0.01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91" t="s">
        <v>12</v>
      </c>
      <c r="C36" s="54" t="s">
        <v>55</v>
      </c>
      <c r="D36" s="55">
        <v>26</v>
      </c>
      <c r="E36" s="56">
        <v>4.0000000000000001E-3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91"/>
      <c r="C37" s="54" t="s">
        <v>54</v>
      </c>
      <c r="D37" s="55">
        <v>13</v>
      </c>
      <c r="E37" s="56">
        <v>2E-3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91"/>
      <c r="C38" s="75" t="s">
        <v>53</v>
      </c>
      <c r="D38" s="76">
        <v>39</v>
      </c>
      <c r="E38" s="79">
        <v>0.01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91" t="s">
        <v>26</v>
      </c>
      <c r="C39" s="54" t="s">
        <v>55</v>
      </c>
      <c r="D39" s="55">
        <v>28</v>
      </c>
      <c r="E39" s="56">
        <v>5.0000000000000001E-3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91"/>
      <c r="C40" s="54" t="s">
        <v>54</v>
      </c>
      <c r="D40" s="55">
        <v>20</v>
      </c>
      <c r="E40" s="56">
        <v>3.0000000000000001E-3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91"/>
      <c r="C41" s="75" t="s">
        <v>53</v>
      </c>
      <c r="D41" s="76">
        <v>48</v>
      </c>
      <c r="E41" s="79">
        <v>0.01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91" t="s">
        <v>6</v>
      </c>
      <c r="C42" s="54" t="s">
        <v>55</v>
      </c>
      <c r="D42" s="55">
        <v>93</v>
      </c>
      <c r="E42" s="56">
        <v>1.4999999999999999E-2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91"/>
      <c r="C43" s="54" t="s">
        <v>54</v>
      </c>
      <c r="D43" s="55">
        <v>75</v>
      </c>
      <c r="E43" s="56">
        <v>1.2E-2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91"/>
      <c r="C44" s="75" t="s">
        <v>53</v>
      </c>
      <c r="D44" s="76">
        <v>168</v>
      </c>
      <c r="E44" s="79">
        <v>0.03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91" t="s">
        <v>9</v>
      </c>
      <c r="C45" s="54" t="s">
        <v>55</v>
      </c>
      <c r="D45" s="55">
        <v>7</v>
      </c>
      <c r="E45" s="56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91"/>
      <c r="C46" s="54" t="s">
        <v>54</v>
      </c>
      <c r="D46" s="55">
        <v>14</v>
      </c>
      <c r="E46" s="56">
        <v>2E-3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91"/>
      <c r="C47" s="75" t="s">
        <v>53</v>
      </c>
      <c r="D47" s="76">
        <v>21</v>
      </c>
      <c r="E47" s="79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91" t="s">
        <v>24</v>
      </c>
      <c r="C48" s="54" t="s">
        <v>55</v>
      </c>
      <c r="D48" s="55">
        <v>8</v>
      </c>
      <c r="E48" s="56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91"/>
      <c r="C49" s="54" t="s">
        <v>54</v>
      </c>
      <c r="D49" s="55">
        <v>8</v>
      </c>
      <c r="E49" s="56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91"/>
      <c r="C50" s="75" t="s">
        <v>53</v>
      </c>
      <c r="D50" s="76">
        <v>16</v>
      </c>
      <c r="E50" s="79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91" t="s">
        <v>16</v>
      </c>
      <c r="C51" s="54" t="s">
        <v>55</v>
      </c>
      <c r="D51" s="55">
        <v>10</v>
      </c>
      <c r="E51" s="56">
        <v>2E-3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91"/>
      <c r="C52" s="54" t="s">
        <v>54</v>
      </c>
      <c r="D52" s="55">
        <v>5</v>
      </c>
      <c r="E52" s="56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91"/>
      <c r="C53" s="75" t="s">
        <v>53</v>
      </c>
      <c r="D53" s="76">
        <v>15</v>
      </c>
      <c r="E53" s="79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91" t="s">
        <v>19</v>
      </c>
      <c r="C54" s="54" t="s">
        <v>55</v>
      </c>
      <c r="D54" s="55">
        <v>5</v>
      </c>
      <c r="E54" s="56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91"/>
      <c r="C55" s="54" t="s">
        <v>54</v>
      </c>
      <c r="D55" s="55">
        <v>3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91"/>
      <c r="C56" s="75" t="s">
        <v>53</v>
      </c>
      <c r="D56" s="76">
        <v>8</v>
      </c>
      <c r="E56" s="79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91" t="s">
        <v>29</v>
      </c>
      <c r="C57" s="54" t="s">
        <v>55</v>
      </c>
      <c r="D57" s="55">
        <v>3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91"/>
      <c r="C58" s="54" t="s">
        <v>54</v>
      </c>
      <c r="D58" s="55">
        <v>1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91"/>
      <c r="C59" s="75" t="s">
        <v>53</v>
      </c>
      <c r="D59" s="76">
        <v>4</v>
      </c>
      <c r="E59" s="79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91" t="s">
        <v>184</v>
      </c>
      <c r="C60" s="54" t="s">
        <v>55</v>
      </c>
      <c r="D60" s="55">
        <v>2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91"/>
      <c r="C61" s="75" t="s">
        <v>53</v>
      </c>
      <c r="D61" s="76">
        <v>2</v>
      </c>
      <c r="E61" s="79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91" t="s">
        <v>39</v>
      </c>
      <c r="C62" s="54" t="s">
        <v>54</v>
      </c>
      <c r="D62" s="55">
        <v>1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91"/>
      <c r="C63" s="75" t="s">
        <v>53</v>
      </c>
      <c r="D63" s="76">
        <v>1</v>
      </c>
      <c r="E63" s="79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91" t="s">
        <v>42</v>
      </c>
      <c r="C64" s="54" t="s">
        <v>55</v>
      </c>
      <c r="D64" s="55">
        <v>2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91"/>
      <c r="C65" s="54" t="s">
        <v>54</v>
      </c>
      <c r="D65" s="55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91"/>
      <c r="C66" s="75" t="s">
        <v>53</v>
      </c>
      <c r="D66" s="76">
        <v>3</v>
      </c>
      <c r="E66" s="79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91" t="s">
        <v>28</v>
      </c>
      <c r="C67" s="54" t="s">
        <v>55</v>
      </c>
      <c r="D67" s="55">
        <v>9</v>
      </c>
      <c r="E67" s="56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91"/>
      <c r="C68" s="54" t="s">
        <v>54</v>
      </c>
      <c r="D68" s="55">
        <v>4</v>
      </c>
      <c r="E68" s="56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91"/>
      <c r="C69" s="75" t="s">
        <v>53</v>
      </c>
      <c r="D69" s="76">
        <v>13</v>
      </c>
      <c r="E69" s="79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91" t="s">
        <v>30</v>
      </c>
      <c r="C70" s="54" t="s">
        <v>55</v>
      </c>
      <c r="D70" s="55">
        <v>4</v>
      </c>
      <c r="E70" s="56">
        <v>1E-3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91"/>
      <c r="C71" s="54" t="s">
        <v>54</v>
      </c>
      <c r="D71" s="55">
        <v>5</v>
      </c>
      <c r="E71" s="56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91"/>
      <c r="C72" s="75" t="s">
        <v>53</v>
      </c>
      <c r="D72" s="76">
        <v>9</v>
      </c>
      <c r="E72" s="79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91" t="s">
        <v>36</v>
      </c>
      <c r="C73" s="54" t="s">
        <v>55</v>
      </c>
      <c r="D73" s="55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91"/>
      <c r="C74" s="54" t="s">
        <v>54</v>
      </c>
      <c r="D74" s="55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91"/>
      <c r="C75" s="75" t="s">
        <v>53</v>
      </c>
      <c r="D75" s="76">
        <v>2</v>
      </c>
      <c r="E75" s="79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91" t="s">
        <v>25</v>
      </c>
      <c r="C76" s="54" t="s">
        <v>55</v>
      </c>
      <c r="D76" s="55">
        <v>16</v>
      </c>
      <c r="E76" s="56">
        <v>3.0000000000000001E-3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91"/>
      <c r="C77" s="54" t="s">
        <v>54</v>
      </c>
      <c r="D77" s="55">
        <v>12</v>
      </c>
      <c r="E77" s="56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91"/>
      <c r="C78" s="75" t="s">
        <v>53</v>
      </c>
      <c r="D78" s="76">
        <v>28</v>
      </c>
      <c r="E78" s="79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91" t="s">
        <v>23</v>
      </c>
      <c r="C79" s="54" t="s">
        <v>55</v>
      </c>
      <c r="D79" s="55">
        <v>5</v>
      </c>
      <c r="E79" s="56">
        <v>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91"/>
      <c r="C80" s="54" t="s">
        <v>54</v>
      </c>
      <c r="D80" s="55">
        <v>4</v>
      </c>
      <c r="E80" s="56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91"/>
      <c r="C81" s="75" t="s">
        <v>53</v>
      </c>
      <c r="D81" s="76">
        <v>9</v>
      </c>
      <c r="E81" s="79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91" t="s">
        <v>11</v>
      </c>
      <c r="C82" s="54" t="s">
        <v>55</v>
      </c>
      <c r="D82" s="55">
        <v>142</v>
      </c>
      <c r="E82" s="56">
        <v>2.4E-2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91"/>
      <c r="C83" s="54" t="s">
        <v>54</v>
      </c>
      <c r="D83" s="55">
        <v>127</v>
      </c>
      <c r="E83" s="56">
        <v>2.1000000000000001E-2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91"/>
      <c r="C84" s="75" t="s">
        <v>53</v>
      </c>
      <c r="D84" s="76">
        <v>269</v>
      </c>
      <c r="E84" s="79">
        <v>0.04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91" t="s">
        <v>181</v>
      </c>
      <c r="C85" s="54" t="s">
        <v>55</v>
      </c>
      <c r="D85" s="55">
        <v>11</v>
      </c>
      <c r="E85" s="56">
        <v>2E-3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91"/>
      <c r="C86" s="54" t="s">
        <v>54</v>
      </c>
      <c r="D86" s="55">
        <v>6</v>
      </c>
      <c r="E86" s="56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91"/>
      <c r="C87" s="75" t="s">
        <v>53</v>
      </c>
      <c r="D87" s="76">
        <v>17</v>
      </c>
      <c r="E87" s="79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91" t="s">
        <v>40</v>
      </c>
      <c r="C88" s="54" t="s">
        <v>55</v>
      </c>
      <c r="D88" s="55">
        <v>5</v>
      </c>
      <c r="E88" s="56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91"/>
      <c r="C89" s="54" t="s">
        <v>54</v>
      </c>
      <c r="D89" s="55">
        <v>3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91"/>
      <c r="C90" s="75" t="s">
        <v>53</v>
      </c>
      <c r="D90" s="76">
        <v>8</v>
      </c>
      <c r="E90" s="79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91" t="s">
        <v>18</v>
      </c>
      <c r="C91" s="54" t="s">
        <v>55</v>
      </c>
      <c r="D91" s="55">
        <v>3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91"/>
      <c r="C92" s="54" t="s">
        <v>54</v>
      </c>
      <c r="D92" s="55">
        <v>9</v>
      </c>
      <c r="E92" s="56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91"/>
      <c r="C93" s="75" t="s">
        <v>53</v>
      </c>
      <c r="D93" s="76">
        <v>12</v>
      </c>
      <c r="E93" s="79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91" t="s">
        <v>33</v>
      </c>
      <c r="C94" s="54" t="s">
        <v>55</v>
      </c>
      <c r="D94" s="55">
        <v>6</v>
      </c>
      <c r="E94" s="56">
        <v>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91"/>
      <c r="C95" s="54" t="s">
        <v>54</v>
      </c>
      <c r="D95" s="55">
        <v>3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91"/>
      <c r="C96" s="75" t="s">
        <v>53</v>
      </c>
      <c r="D96" s="76">
        <v>9</v>
      </c>
      <c r="E96" s="79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91" t="s">
        <v>15</v>
      </c>
      <c r="C97" s="54" t="s">
        <v>55</v>
      </c>
      <c r="D97" s="55">
        <v>25</v>
      </c>
      <c r="E97" s="56">
        <v>4.0000000000000001E-3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91"/>
      <c r="C98" s="54" t="s">
        <v>54</v>
      </c>
      <c r="D98" s="55">
        <v>19</v>
      </c>
      <c r="E98" s="56">
        <v>3.0000000000000001E-3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91"/>
      <c r="C99" s="75" t="s">
        <v>53</v>
      </c>
      <c r="D99" s="76">
        <v>44</v>
      </c>
      <c r="E99" s="79">
        <v>0.01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91" t="s">
        <v>34</v>
      </c>
      <c r="C100" s="54" t="s">
        <v>55</v>
      </c>
      <c r="D100" s="55">
        <v>3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91"/>
      <c r="C101" s="54" t="s">
        <v>54</v>
      </c>
      <c r="D101" s="55">
        <v>7</v>
      </c>
      <c r="E101" s="56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91"/>
      <c r="C102" s="75" t="s">
        <v>53</v>
      </c>
      <c r="D102" s="76">
        <v>10</v>
      </c>
      <c r="E102" s="79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91" t="s">
        <v>7</v>
      </c>
      <c r="C103" s="54" t="s">
        <v>55</v>
      </c>
      <c r="D103" s="55">
        <v>7</v>
      </c>
      <c r="E103" s="56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91"/>
      <c r="C104" s="54" t="s">
        <v>54</v>
      </c>
      <c r="D104" s="55">
        <v>6</v>
      </c>
      <c r="E104" s="56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91"/>
      <c r="C105" s="75" t="s">
        <v>53</v>
      </c>
      <c r="D105" s="76">
        <v>13</v>
      </c>
      <c r="E105" s="79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91" t="s">
        <v>31</v>
      </c>
      <c r="C106" s="54" t="s">
        <v>55</v>
      </c>
      <c r="D106" s="55">
        <v>71</v>
      </c>
      <c r="E106" s="56">
        <v>1.2E-2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91"/>
      <c r="C107" s="54" t="s">
        <v>54</v>
      </c>
      <c r="D107" s="55">
        <v>78</v>
      </c>
      <c r="E107" s="56">
        <v>1.2999999999999999E-2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91"/>
      <c r="C108" s="75" t="s">
        <v>53</v>
      </c>
      <c r="D108" s="76">
        <v>149</v>
      </c>
      <c r="E108" s="79">
        <v>0.02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91" t="s">
        <v>37</v>
      </c>
      <c r="C109" s="54" t="s">
        <v>55</v>
      </c>
      <c r="D109" s="55">
        <v>2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91"/>
      <c r="C110" s="54" t="s">
        <v>54</v>
      </c>
      <c r="D110" s="55">
        <v>2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91"/>
      <c r="C111" s="75" t="s">
        <v>53</v>
      </c>
      <c r="D111" s="76">
        <v>4</v>
      </c>
      <c r="E111" s="79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91" t="s">
        <v>32</v>
      </c>
      <c r="C112" s="54" t="s">
        <v>55</v>
      </c>
      <c r="D112" s="55">
        <v>5</v>
      </c>
      <c r="E112" s="56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91"/>
      <c r="C113" s="54" t="s">
        <v>54</v>
      </c>
      <c r="D113" s="55">
        <v>1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91"/>
      <c r="C114" s="75" t="s">
        <v>53</v>
      </c>
      <c r="D114" s="76">
        <v>6</v>
      </c>
      <c r="E114" s="79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91" t="s">
        <v>43</v>
      </c>
      <c r="C115" s="54" t="s">
        <v>55</v>
      </c>
      <c r="D115" s="55">
        <v>1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91"/>
      <c r="C116" s="75" t="s">
        <v>53</v>
      </c>
      <c r="D116" s="76">
        <v>1</v>
      </c>
      <c r="E116" s="79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91" t="s">
        <v>14</v>
      </c>
      <c r="C117" s="54" t="s">
        <v>55</v>
      </c>
      <c r="D117" s="55">
        <v>9</v>
      </c>
      <c r="E117" s="56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91"/>
      <c r="C118" s="54" t="s">
        <v>54</v>
      </c>
      <c r="D118" s="55">
        <v>10</v>
      </c>
      <c r="E118" s="56">
        <v>2E-3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91"/>
      <c r="C119" s="75" t="s">
        <v>53</v>
      </c>
      <c r="D119" s="76">
        <v>19</v>
      </c>
      <c r="E119" s="79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91" t="s">
        <v>5</v>
      </c>
      <c r="C120" s="54" t="s">
        <v>55</v>
      </c>
      <c r="D120" s="55">
        <v>176</v>
      </c>
      <c r="E120" s="56">
        <v>2.9000000000000001E-2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91"/>
      <c r="C121" s="54" t="s">
        <v>54</v>
      </c>
      <c r="D121" s="55">
        <v>196</v>
      </c>
      <c r="E121" s="56">
        <v>3.3000000000000002E-2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91"/>
      <c r="C122" s="75" t="s">
        <v>53</v>
      </c>
      <c r="D122" s="76">
        <v>372</v>
      </c>
      <c r="E122" s="79">
        <v>0.06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91" t="s">
        <v>20</v>
      </c>
      <c r="C123" s="54" t="s">
        <v>55</v>
      </c>
      <c r="D123" s="55">
        <v>41</v>
      </c>
      <c r="E123" s="56">
        <v>7.0000000000000001E-3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91"/>
      <c r="C124" s="54" t="s">
        <v>54</v>
      </c>
      <c r="D124" s="55">
        <v>34</v>
      </c>
      <c r="E124" s="56">
        <v>6.0000000000000001E-3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91"/>
      <c r="C125" s="75" t="s">
        <v>53</v>
      </c>
      <c r="D125" s="76">
        <v>75</v>
      </c>
      <c r="E125" s="79">
        <v>0.01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91" t="s">
        <v>178</v>
      </c>
      <c r="C126" s="54" t="s">
        <v>55</v>
      </c>
      <c r="D126" s="55">
        <v>1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91"/>
      <c r="C127" s="75" t="s">
        <v>53</v>
      </c>
      <c r="D127" s="76">
        <v>1</v>
      </c>
      <c r="E127" s="79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91" t="s">
        <v>27</v>
      </c>
      <c r="C128" s="54" t="s">
        <v>55</v>
      </c>
      <c r="D128" s="55">
        <v>2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91"/>
      <c r="C129" s="54" t="s">
        <v>54</v>
      </c>
      <c r="D129" s="55">
        <v>3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91"/>
      <c r="C130" s="75" t="s">
        <v>53</v>
      </c>
      <c r="D130" s="76">
        <v>5</v>
      </c>
      <c r="E130" s="79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91" t="s">
        <v>17</v>
      </c>
      <c r="C131" s="54" t="s">
        <v>55</v>
      </c>
      <c r="D131" s="55">
        <v>111</v>
      </c>
      <c r="E131" s="56">
        <v>1.7999999999999999E-2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91"/>
      <c r="C132" s="54" t="s">
        <v>54</v>
      </c>
      <c r="D132" s="55">
        <v>86</v>
      </c>
      <c r="E132" s="56">
        <v>1.4E-2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91"/>
      <c r="C133" s="75" t="s">
        <v>53</v>
      </c>
      <c r="D133" s="76">
        <v>197</v>
      </c>
      <c r="E133" s="79">
        <v>0.03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91" t="s">
        <v>21</v>
      </c>
      <c r="C134" s="54" t="s">
        <v>55</v>
      </c>
      <c r="D134" s="55">
        <v>7</v>
      </c>
      <c r="E134" s="56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91"/>
      <c r="C135" s="54" t="s">
        <v>54</v>
      </c>
      <c r="D135" s="55">
        <v>6</v>
      </c>
      <c r="E135" s="56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91"/>
      <c r="C136" s="75" t="s">
        <v>53</v>
      </c>
      <c r="D136" s="76">
        <v>13</v>
      </c>
      <c r="E136" s="79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91" t="s">
        <v>41</v>
      </c>
      <c r="C137" s="54" t="s">
        <v>55</v>
      </c>
      <c r="D137" s="55">
        <v>2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91"/>
      <c r="C138" s="54" t="s">
        <v>54</v>
      </c>
      <c r="D138" s="55">
        <v>5</v>
      </c>
      <c r="E138" s="56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91"/>
      <c r="C139" s="75" t="s">
        <v>53</v>
      </c>
      <c r="D139" s="76">
        <v>7</v>
      </c>
      <c r="E139" s="79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92" t="s">
        <v>53</v>
      </c>
      <c r="C140" s="92"/>
      <c r="D140" s="59">
        <v>6009</v>
      </c>
      <c r="E140" s="60">
        <v>1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8" customHeight="1"/>
    <row r="142" spans="2:16" ht="18" customHeight="1">
      <c r="B142" s="51" t="s">
        <v>77</v>
      </c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</row>
    <row r="143" spans="2:16" ht="18" customHeight="1">
      <c r="B143" s="51" t="s">
        <v>45</v>
      </c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</row>
    <row r="144" spans="2:16" ht="18" customHeight="1">
      <c r="B144" s="51" t="s">
        <v>78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</row>
    <row r="145" spans="2:16" ht="12.75">
      <c r="B145" s="51" t="s">
        <v>79</v>
      </c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</row>
    <row r="146" spans="2:16" ht="12.75">
      <c r="B146" s="51" t="s">
        <v>80</v>
      </c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</row>
  </sheetData>
  <autoFilter ref="B12:E140"/>
  <mergeCells count="46">
    <mergeCell ref="B39:B41"/>
    <mergeCell ref="B45:B47"/>
    <mergeCell ref="B48:B50"/>
    <mergeCell ref="B51:B53"/>
    <mergeCell ref="B79:B81"/>
    <mergeCell ref="B82:B84"/>
    <mergeCell ref="B67:B69"/>
    <mergeCell ref="B70:B72"/>
    <mergeCell ref="B73:B75"/>
    <mergeCell ref="B76:B78"/>
    <mergeCell ref="B100:B102"/>
    <mergeCell ref="B103:B105"/>
    <mergeCell ref="B106:B108"/>
    <mergeCell ref="B85:B87"/>
    <mergeCell ref="B88:B90"/>
    <mergeCell ref="B91:B93"/>
    <mergeCell ref="B94:B96"/>
    <mergeCell ref="B97:B99"/>
    <mergeCell ref="B109:B111"/>
    <mergeCell ref="B126:B127"/>
    <mergeCell ref="B112:B114"/>
    <mergeCell ref="B115:B116"/>
    <mergeCell ref="B140:C140"/>
    <mergeCell ref="B117:B119"/>
    <mergeCell ref="B120:B122"/>
    <mergeCell ref="B123:B125"/>
    <mergeCell ref="B128:B130"/>
    <mergeCell ref="B131:B133"/>
    <mergeCell ref="B134:B136"/>
    <mergeCell ref="B137:B139"/>
    <mergeCell ref="B33:B35"/>
    <mergeCell ref="B27:B29"/>
    <mergeCell ref="B30:B32"/>
    <mergeCell ref="B8:E10"/>
    <mergeCell ref="B64:B66"/>
    <mergeCell ref="B60:B61"/>
    <mergeCell ref="B62:B63"/>
    <mergeCell ref="B42:B44"/>
    <mergeCell ref="B13:B15"/>
    <mergeCell ref="B16:B17"/>
    <mergeCell ref="B18:B20"/>
    <mergeCell ref="B21:B23"/>
    <mergeCell ref="B24:B26"/>
    <mergeCell ref="B54:B56"/>
    <mergeCell ref="B57:B59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53"/>
  <sheetViews>
    <sheetView showGridLines="0" topLeftCell="A6" workbookViewId="0">
      <selection activeCell="H24" sqref="H24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89" t="s">
        <v>204</v>
      </c>
      <c r="C11" s="89"/>
      <c r="D11" s="89"/>
      <c r="E11" s="89"/>
    </row>
    <row r="12" spans="2:5">
      <c r="B12" s="89"/>
      <c r="C12" s="89"/>
      <c r="D12" s="89"/>
      <c r="E12" s="89"/>
    </row>
    <row r="13" spans="2:5">
      <c r="B13" s="89"/>
      <c r="C13" s="89"/>
      <c r="D13" s="89"/>
      <c r="E13" s="89"/>
    </row>
    <row r="15" spans="2:5" ht="39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91" t="s">
        <v>104</v>
      </c>
      <c r="C16" s="54" t="s">
        <v>55</v>
      </c>
      <c r="D16" s="55">
        <v>2</v>
      </c>
      <c r="E16" s="56">
        <v>0</v>
      </c>
    </row>
    <row r="17" spans="2:5">
      <c r="B17" s="91"/>
      <c r="C17" s="54" t="s">
        <v>54</v>
      </c>
      <c r="D17" s="55">
        <v>6</v>
      </c>
      <c r="E17" s="56">
        <v>1E-3</v>
      </c>
    </row>
    <row r="18" spans="2:5">
      <c r="B18" s="91"/>
      <c r="C18" s="75" t="s">
        <v>53</v>
      </c>
      <c r="D18" s="76">
        <v>8</v>
      </c>
      <c r="E18" s="77">
        <v>1E-3</v>
      </c>
    </row>
    <row r="19" spans="2:5">
      <c r="B19" s="91" t="s">
        <v>124</v>
      </c>
      <c r="C19" s="54" t="s">
        <v>54</v>
      </c>
      <c r="D19" s="55">
        <v>1</v>
      </c>
      <c r="E19" s="56">
        <v>0</v>
      </c>
    </row>
    <row r="20" spans="2:5">
      <c r="B20" s="91"/>
      <c r="C20" s="75" t="s">
        <v>53</v>
      </c>
      <c r="D20" s="76">
        <v>1</v>
      </c>
      <c r="E20" s="77">
        <v>0</v>
      </c>
    </row>
    <row r="21" spans="2:5">
      <c r="B21" s="91" t="s">
        <v>88</v>
      </c>
      <c r="C21" s="54" t="s">
        <v>55</v>
      </c>
      <c r="D21" s="55">
        <v>37</v>
      </c>
      <c r="E21" s="56">
        <v>6.0000000000000001E-3</v>
      </c>
    </row>
    <row r="22" spans="2:5">
      <c r="B22" s="91"/>
      <c r="C22" s="54" t="s">
        <v>54</v>
      </c>
      <c r="D22" s="55">
        <v>25</v>
      </c>
      <c r="E22" s="56">
        <v>4.0000000000000001E-3</v>
      </c>
    </row>
    <row r="23" spans="2:5">
      <c r="B23" s="91"/>
      <c r="C23" s="75" t="s">
        <v>53</v>
      </c>
      <c r="D23" s="76">
        <v>62</v>
      </c>
      <c r="E23" s="77">
        <v>0.01</v>
      </c>
    </row>
    <row r="24" spans="2:5">
      <c r="B24" s="91" t="s">
        <v>96</v>
      </c>
      <c r="C24" s="54" t="s">
        <v>55</v>
      </c>
      <c r="D24" s="55">
        <v>14</v>
      </c>
      <c r="E24" s="56">
        <v>2E-3</v>
      </c>
    </row>
    <row r="25" spans="2:5">
      <c r="B25" s="91"/>
      <c r="C25" s="54" t="s">
        <v>54</v>
      </c>
      <c r="D25" s="55">
        <v>16</v>
      </c>
      <c r="E25" s="56">
        <v>3.0000000000000001E-3</v>
      </c>
    </row>
    <row r="26" spans="2:5">
      <c r="B26" s="91"/>
      <c r="C26" s="75" t="s">
        <v>53</v>
      </c>
      <c r="D26" s="76">
        <v>30</v>
      </c>
      <c r="E26" s="77">
        <v>5.0000000000000001E-3</v>
      </c>
    </row>
    <row r="27" spans="2:5">
      <c r="B27" s="91" t="s">
        <v>110</v>
      </c>
      <c r="C27" s="54" t="s">
        <v>55</v>
      </c>
      <c r="D27" s="55">
        <v>35</v>
      </c>
      <c r="E27" s="56">
        <v>6.0000000000000001E-3</v>
      </c>
    </row>
    <row r="28" spans="2:5">
      <c r="B28" s="91"/>
      <c r="C28" s="54" t="s">
        <v>54</v>
      </c>
      <c r="D28" s="55">
        <v>24</v>
      </c>
      <c r="E28" s="56">
        <v>4.0000000000000001E-3</v>
      </c>
    </row>
    <row r="29" spans="2:5">
      <c r="B29" s="91"/>
      <c r="C29" s="75" t="s">
        <v>53</v>
      </c>
      <c r="D29" s="76">
        <v>59</v>
      </c>
      <c r="E29" s="77">
        <v>0.01</v>
      </c>
    </row>
    <row r="30" spans="2:5">
      <c r="B30" s="91" t="s">
        <v>121</v>
      </c>
      <c r="C30" s="54" t="s">
        <v>55</v>
      </c>
      <c r="D30" s="55">
        <v>16</v>
      </c>
      <c r="E30" s="56">
        <v>3.0000000000000001E-3</v>
      </c>
    </row>
    <row r="31" spans="2:5">
      <c r="B31" s="91"/>
      <c r="C31" s="54" t="s">
        <v>54</v>
      </c>
      <c r="D31" s="55">
        <v>7</v>
      </c>
      <c r="E31" s="56">
        <v>1E-3</v>
      </c>
    </row>
    <row r="32" spans="2:5">
      <c r="B32" s="91"/>
      <c r="C32" s="75" t="s">
        <v>53</v>
      </c>
      <c r="D32" s="76">
        <v>23</v>
      </c>
      <c r="E32" s="77">
        <v>4.0000000000000001E-3</v>
      </c>
    </row>
    <row r="33" spans="2:5">
      <c r="B33" s="91" t="s">
        <v>122</v>
      </c>
      <c r="C33" s="54" t="s">
        <v>55</v>
      </c>
      <c r="D33" s="55">
        <v>2</v>
      </c>
      <c r="E33" s="56">
        <v>0</v>
      </c>
    </row>
    <row r="34" spans="2:5">
      <c r="B34" s="91"/>
      <c r="C34" s="54" t="s">
        <v>54</v>
      </c>
      <c r="D34" s="55">
        <v>6</v>
      </c>
      <c r="E34" s="56">
        <v>1E-3</v>
      </c>
    </row>
    <row r="35" spans="2:5">
      <c r="B35" s="91"/>
      <c r="C35" s="75" t="s">
        <v>53</v>
      </c>
      <c r="D35" s="76">
        <v>8</v>
      </c>
      <c r="E35" s="77">
        <v>1E-3</v>
      </c>
    </row>
    <row r="36" spans="2:5">
      <c r="B36" s="91" t="s">
        <v>81</v>
      </c>
      <c r="C36" s="54" t="s">
        <v>55</v>
      </c>
      <c r="D36" s="55">
        <v>101</v>
      </c>
      <c r="E36" s="56">
        <v>1.7000000000000001E-2</v>
      </c>
    </row>
    <row r="37" spans="2:5">
      <c r="B37" s="91"/>
      <c r="C37" s="54" t="s">
        <v>54</v>
      </c>
      <c r="D37" s="55">
        <v>89</v>
      </c>
      <c r="E37" s="56">
        <v>1.4999999999999999E-2</v>
      </c>
    </row>
    <row r="38" spans="2:5">
      <c r="B38" s="91"/>
      <c r="C38" s="75" t="s">
        <v>53</v>
      </c>
      <c r="D38" s="76">
        <v>190</v>
      </c>
      <c r="E38" s="77">
        <v>3.2000000000000001E-2</v>
      </c>
    </row>
    <row r="39" spans="2:5">
      <c r="B39" s="91" t="s">
        <v>85</v>
      </c>
      <c r="C39" s="54" t="s">
        <v>55</v>
      </c>
      <c r="D39" s="55">
        <v>74</v>
      </c>
      <c r="E39" s="56">
        <v>1.2E-2</v>
      </c>
    </row>
    <row r="40" spans="2:5">
      <c r="B40" s="91"/>
      <c r="C40" s="54" t="s">
        <v>54</v>
      </c>
      <c r="D40" s="55">
        <v>85</v>
      </c>
      <c r="E40" s="56">
        <v>1.4E-2</v>
      </c>
    </row>
    <row r="41" spans="2:5">
      <c r="B41" s="91"/>
      <c r="C41" s="75" t="s">
        <v>53</v>
      </c>
      <c r="D41" s="76">
        <v>159</v>
      </c>
      <c r="E41" s="77">
        <v>2.5999999999999999E-2</v>
      </c>
    </row>
    <row r="42" spans="2:5">
      <c r="B42" s="91" t="s">
        <v>84</v>
      </c>
      <c r="C42" s="54" t="s">
        <v>55</v>
      </c>
      <c r="D42" s="55">
        <v>21</v>
      </c>
      <c r="E42" s="56">
        <v>3.0000000000000001E-3</v>
      </c>
    </row>
    <row r="43" spans="2:5">
      <c r="B43" s="91"/>
      <c r="C43" s="54" t="s">
        <v>54</v>
      </c>
      <c r="D43" s="55">
        <v>32</v>
      </c>
      <c r="E43" s="56">
        <v>5.0000000000000001E-3</v>
      </c>
    </row>
    <row r="44" spans="2:5">
      <c r="B44" s="91"/>
      <c r="C44" s="75" t="s">
        <v>53</v>
      </c>
      <c r="D44" s="76">
        <v>53</v>
      </c>
      <c r="E44" s="77">
        <v>8.9999999999999993E-3</v>
      </c>
    </row>
    <row r="45" spans="2:5">
      <c r="B45" s="91" t="s">
        <v>105</v>
      </c>
      <c r="C45" s="54" t="s">
        <v>55</v>
      </c>
      <c r="D45" s="55">
        <v>10</v>
      </c>
      <c r="E45" s="56">
        <v>2E-3</v>
      </c>
    </row>
    <row r="46" spans="2:5">
      <c r="B46" s="91"/>
      <c r="C46" s="54" t="s">
        <v>54</v>
      </c>
      <c r="D46" s="55">
        <v>7</v>
      </c>
      <c r="E46" s="56">
        <v>1E-3</v>
      </c>
    </row>
    <row r="47" spans="2:5">
      <c r="B47" s="91"/>
      <c r="C47" s="75" t="s">
        <v>53</v>
      </c>
      <c r="D47" s="76">
        <v>17</v>
      </c>
      <c r="E47" s="77">
        <v>3.0000000000000001E-3</v>
      </c>
    </row>
    <row r="48" spans="2:5">
      <c r="B48" s="91" t="s">
        <v>117</v>
      </c>
      <c r="C48" s="54" t="s">
        <v>55</v>
      </c>
      <c r="D48" s="55">
        <v>2</v>
      </c>
      <c r="E48" s="56">
        <v>0</v>
      </c>
    </row>
    <row r="49" spans="2:5">
      <c r="B49" s="91"/>
      <c r="C49" s="54" t="s">
        <v>54</v>
      </c>
      <c r="D49" s="55">
        <v>7</v>
      </c>
      <c r="E49" s="56">
        <v>1E-3</v>
      </c>
    </row>
    <row r="50" spans="2:5">
      <c r="B50" s="91"/>
      <c r="C50" s="75" t="s">
        <v>53</v>
      </c>
      <c r="D50" s="76">
        <v>9</v>
      </c>
      <c r="E50" s="77">
        <v>1E-3</v>
      </c>
    </row>
    <row r="51" spans="2:5">
      <c r="B51" s="91" t="s">
        <v>116</v>
      </c>
      <c r="C51" s="54" t="s">
        <v>55</v>
      </c>
      <c r="D51" s="55">
        <v>5</v>
      </c>
      <c r="E51" s="56">
        <v>1E-3</v>
      </c>
    </row>
    <row r="52" spans="2:5">
      <c r="B52" s="91"/>
      <c r="C52" s="54" t="s">
        <v>54</v>
      </c>
      <c r="D52" s="55">
        <v>4</v>
      </c>
      <c r="E52" s="56">
        <v>1E-3</v>
      </c>
    </row>
    <row r="53" spans="2:5">
      <c r="B53" s="91"/>
      <c r="C53" s="75" t="s">
        <v>53</v>
      </c>
      <c r="D53" s="76">
        <v>9</v>
      </c>
      <c r="E53" s="77">
        <v>1E-3</v>
      </c>
    </row>
    <row r="54" spans="2:5">
      <c r="B54" s="91" t="s">
        <v>89</v>
      </c>
      <c r="C54" s="54" t="s">
        <v>55</v>
      </c>
      <c r="D54" s="55">
        <v>441</v>
      </c>
      <c r="E54" s="56">
        <v>7.2999999999999995E-2</v>
      </c>
    </row>
    <row r="55" spans="2:5">
      <c r="B55" s="91"/>
      <c r="C55" s="54" t="s">
        <v>54</v>
      </c>
      <c r="D55" s="55">
        <v>428</v>
      </c>
      <c r="E55" s="56">
        <v>7.0999999999999994E-2</v>
      </c>
    </row>
    <row r="56" spans="2:5">
      <c r="B56" s="91"/>
      <c r="C56" s="75" t="s">
        <v>53</v>
      </c>
      <c r="D56" s="76">
        <v>869</v>
      </c>
      <c r="E56" s="77">
        <v>0.14499999999999999</v>
      </c>
    </row>
    <row r="57" spans="2:5">
      <c r="B57" s="91" t="s">
        <v>86</v>
      </c>
      <c r="C57" s="54" t="s">
        <v>55</v>
      </c>
      <c r="D57" s="55">
        <v>55</v>
      </c>
      <c r="E57" s="56">
        <v>8.9999999999999993E-3</v>
      </c>
    </row>
    <row r="58" spans="2:5">
      <c r="B58" s="91"/>
      <c r="C58" s="54" t="s">
        <v>54</v>
      </c>
      <c r="D58" s="55">
        <v>54</v>
      </c>
      <c r="E58" s="56">
        <v>8.9999999999999993E-3</v>
      </c>
    </row>
    <row r="59" spans="2:5">
      <c r="B59" s="91"/>
      <c r="C59" s="75" t="s">
        <v>53</v>
      </c>
      <c r="D59" s="76">
        <v>109</v>
      </c>
      <c r="E59" s="77">
        <v>1.7999999999999999E-2</v>
      </c>
    </row>
    <row r="60" spans="2:5">
      <c r="B60" s="91" t="s">
        <v>92</v>
      </c>
      <c r="C60" s="54" t="s">
        <v>55</v>
      </c>
      <c r="D60" s="55">
        <v>12</v>
      </c>
      <c r="E60" s="56">
        <v>2E-3</v>
      </c>
    </row>
    <row r="61" spans="2:5">
      <c r="B61" s="91"/>
      <c r="C61" s="54" t="s">
        <v>54</v>
      </c>
      <c r="D61" s="55">
        <v>13</v>
      </c>
      <c r="E61" s="56">
        <v>2E-3</v>
      </c>
    </row>
    <row r="62" spans="2:5">
      <c r="B62" s="91"/>
      <c r="C62" s="75" t="s">
        <v>53</v>
      </c>
      <c r="D62" s="76">
        <v>25</v>
      </c>
      <c r="E62" s="77">
        <v>4.0000000000000001E-3</v>
      </c>
    </row>
    <row r="63" spans="2:5">
      <c r="B63" s="91" t="s">
        <v>93</v>
      </c>
      <c r="C63" s="54" t="s">
        <v>55</v>
      </c>
      <c r="D63" s="55">
        <v>26</v>
      </c>
      <c r="E63" s="56">
        <v>4.0000000000000001E-3</v>
      </c>
    </row>
    <row r="64" spans="2:5">
      <c r="B64" s="91"/>
      <c r="C64" s="54" t="s">
        <v>54</v>
      </c>
      <c r="D64" s="55">
        <v>17</v>
      </c>
      <c r="E64" s="56">
        <v>3.0000000000000001E-3</v>
      </c>
    </row>
    <row r="65" spans="2:5">
      <c r="B65" s="91"/>
      <c r="C65" s="75" t="s">
        <v>53</v>
      </c>
      <c r="D65" s="76">
        <v>43</v>
      </c>
      <c r="E65" s="77">
        <v>7.0000000000000001E-3</v>
      </c>
    </row>
    <row r="66" spans="2:5">
      <c r="B66" s="91" t="s">
        <v>118</v>
      </c>
      <c r="C66" s="54" t="s">
        <v>55</v>
      </c>
      <c r="D66" s="55">
        <v>2</v>
      </c>
      <c r="E66" s="56">
        <v>0</v>
      </c>
    </row>
    <row r="67" spans="2:5">
      <c r="B67" s="91"/>
      <c r="C67" s="54" t="s">
        <v>54</v>
      </c>
      <c r="D67" s="55">
        <v>5</v>
      </c>
      <c r="E67" s="56">
        <v>1E-3</v>
      </c>
    </row>
    <row r="68" spans="2:5">
      <c r="B68" s="91"/>
      <c r="C68" s="75" t="s">
        <v>53</v>
      </c>
      <c r="D68" s="76">
        <v>7</v>
      </c>
      <c r="E68" s="77">
        <v>1E-3</v>
      </c>
    </row>
    <row r="69" spans="2:5">
      <c r="B69" s="91" t="s">
        <v>99</v>
      </c>
      <c r="C69" s="54" t="s">
        <v>55</v>
      </c>
      <c r="D69" s="55">
        <v>122</v>
      </c>
      <c r="E69" s="56">
        <v>0.02</v>
      </c>
    </row>
    <row r="70" spans="2:5">
      <c r="B70" s="91"/>
      <c r="C70" s="54" t="s">
        <v>54</v>
      </c>
      <c r="D70" s="55">
        <v>108</v>
      </c>
      <c r="E70" s="56">
        <v>1.7999999999999999E-2</v>
      </c>
    </row>
    <row r="71" spans="2:5">
      <c r="B71" s="91"/>
      <c r="C71" s="75" t="s">
        <v>53</v>
      </c>
      <c r="D71" s="76">
        <v>230</v>
      </c>
      <c r="E71" s="77">
        <v>3.7999999999999999E-2</v>
      </c>
    </row>
    <row r="72" spans="2:5">
      <c r="B72" s="91" t="s">
        <v>83</v>
      </c>
      <c r="C72" s="54" t="s">
        <v>55</v>
      </c>
      <c r="D72" s="55">
        <v>18</v>
      </c>
      <c r="E72" s="56">
        <v>3.0000000000000001E-3</v>
      </c>
    </row>
    <row r="73" spans="2:5">
      <c r="B73" s="91"/>
      <c r="C73" s="54" t="s">
        <v>54</v>
      </c>
      <c r="D73" s="55">
        <v>20</v>
      </c>
      <c r="E73" s="56">
        <v>3.0000000000000001E-3</v>
      </c>
    </row>
    <row r="74" spans="2:5">
      <c r="B74" s="91"/>
      <c r="C74" s="75" t="s">
        <v>53</v>
      </c>
      <c r="D74" s="76">
        <v>38</v>
      </c>
      <c r="E74" s="77">
        <v>6.0000000000000001E-3</v>
      </c>
    </row>
    <row r="75" spans="2:5">
      <c r="B75" s="91" t="s">
        <v>82</v>
      </c>
      <c r="C75" s="54" t="s">
        <v>55</v>
      </c>
      <c r="D75" s="55">
        <v>756</v>
      </c>
      <c r="E75" s="56">
        <v>0.126</v>
      </c>
    </row>
    <row r="76" spans="2:5">
      <c r="B76" s="91"/>
      <c r="C76" s="54" t="s">
        <v>54</v>
      </c>
      <c r="D76" s="55">
        <v>826</v>
      </c>
      <c r="E76" s="56">
        <v>0.13700000000000001</v>
      </c>
    </row>
    <row r="77" spans="2:5">
      <c r="B77" s="91"/>
      <c r="C77" s="75" t="s">
        <v>53</v>
      </c>
      <c r="D77" s="78">
        <v>1582</v>
      </c>
      <c r="E77" s="77">
        <v>0.26300000000000001</v>
      </c>
    </row>
    <row r="78" spans="2:5">
      <c r="B78" s="91" t="s">
        <v>108</v>
      </c>
      <c r="C78" s="54" t="s">
        <v>55</v>
      </c>
      <c r="D78" s="55">
        <v>7</v>
      </c>
      <c r="E78" s="56">
        <v>1E-3</v>
      </c>
    </row>
    <row r="79" spans="2:5">
      <c r="B79" s="91"/>
      <c r="C79" s="54" t="s">
        <v>54</v>
      </c>
      <c r="D79" s="55">
        <v>13</v>
      </c>
      <c r="E79" s="56">
        <v>2E-3</v>
      </c>
    </row>
    <row r="80" spans="2:5">
      <c r="B80" s="91"/>
      <c r="C80" s="75" t="s">
        <v>53</v>
      </c>
      <c r="D80" s="76">
        <v>20</v>
      </c>
      <c r="E80" s="77">
        <v>3.0000000000000001E-3</v>
      </c>
    </row>
    <row r="81" spans="2:5">
      <c r="B81" s="91" t="s">
        <v>106</v>
      </c>
      <c r="C81" s="54" t="s">
        <v>55</v>
      </c>
      <c r="D81" s="55">
        <v>18</v>
      </c>
      <c r="E81" s="56">
        <v>3.0000000000000001E-3</v>
      </c>
    </row>
    <row r="82" spans="2:5">
      <c r="B82" s="91"/>
      <c r="C82" s="54" t="s">
        <v>54</v>
      </c>
      <c r="D82" s="55">
        <v>8</v>
      </c>
      <c r="E82" s="56">
        <v>1E-3</v>
      </c>
    </row>
    <row r="83" spans="2:5">
      <c r="B83" s="91"/>
      <c r="C83" s="75" t="s">
        <v>53</v>
      </c>
      <c r="D83" s="76">
        <v>26</v>
      </c>
      <c r="E83" s="77">
        <v>4.0000000000000001E-3</v>
      </c>
    </row>
    <row r="84" spans="2:5">
      <c r="B84" s="91" t="s">
        <v>115</v>
      </c>
      <c r="C84" s="54" t="s">
        <v>55</v>
      </c>
      <c r="D84" s="55">
        <v>4</v>
      </c>
      <c r="E84" s="56">
        <v>1E-3</v>
      </c>
    </row>
    <row r="85" spans="2:5">
      <c r="B85" s="91"/>
      <c r="C85" s="54" t="s">
        <v>54</v>
      </c>
      <c r="D85" s="55">
        <v>2</v>
      </c>
      <c r="E85" s="56">
        <v>0</v>
      </c>
    </row>
    <row r="86" spans="2:5">
      <c r="B86" s="91"/>
      <c r="C86" s="75" t="s">
        <v>53</v>
      </c>
      <c r="D86" s="76">
        <v>6</v>
      </c>
      <c r="E86" s="77">
        <v>1E-3</v>
      </c>
    </row>
    <row r="87" spans="2:5">
      <c r="B87" s="91" t="s">
        <v>119</v>
      </c>
      <c r="C87" s="54" t="s">
        <v>55</v>
      </c>
      <c r="D87" s="55">
        <v>10</v>
      </c>
      <c r="E87" s="56">
        <v>2E-3</v>
      </c>
    </row>
    <row r="88" spans="2:5">
      <c r="B88" s="91"/>
      <c r="C88" s="54" t="s">
        <v>54</v>
      </c>
      <c r="D88" s="55">
        <v>7</v>
      </c>
      <c r="E88" s="56">
        <v>1E-3</v>
      </c>
    </row>
    <row r="89" spans="2:5">
      <c r="B89" s="91"/>
      <c r="C89" s="75" t="s">
        <v>53</v>
      </c>
      <c r="D89" s="76">
        <v>17</v>
      </c>
      <c r="E89" s="77">
        <v>3.0000000000000001E-3</v>
      </c>
    </row>
    <row r="90" spans="2:5">
      <c r="B90" s="91" t="s">
        <v>101</v>
      </c>
      <c r="C90" s="54" t="s">
        <v>55</v>
      </c>
      <c r="D90" s="55">
        <v>13</v>
      </c>
      <c r="E90" s="56">
        <v>2E-3</v>
      </c>
    </row>
    <row r="91" spans="2:5">
      <c r="B91" s="91"/>
      <c r="C91" s="54" t="s">
        <v>54</v>
      </c>
      <c r="D91" s="55">
        <v>12</v>
      </c>
      <c r="E91" s="56">
        <v>2E-3</v>
      </c>
    </row>
    <row r="92" spans="2:5">
      <c r="B92" s="91"/>
      <c r="C92" s="75" t="s">
        <v>53</v>
      </c>
      <c r="D92" s="76">
        <v>25</v>
      </c>
      <c r="E92" s="77">
        <v>4.0000000000000001E-3</v>
      </c>
    </row>
    <row r="93" spans="2:5">
      <c r="B93" s="91" t="s">
        <v>97</v>
      </c>
      <c r="C93" s="54" t="s">
        <v>55</v>
      </c>
      <c r="D93" s="55">
        <v>18</v>
      </c>
      <c r="E93" s="56">
        <v>3.0000000000000001E-3</v>
      </c>
    </row>
    <row r="94" spans="2:5">
      <c r="B94" s="91"/>
      <c r="C94" s="54" t="s">
        <v>54</v>
      </c>
      <c r="D94" s="55">
        <v>11</v>
      </c>
      <c r="E94" s="56">
        <v>2E-3</v>
      </c>
    </row>
    <row r="95" spans="2:5">
      <c r="B95" s="91"/>
      <c r="C95" s="75" t="s">
        <v>53</v>
      </c>
      <c r="D95" s="76">
        <v>29</v>
      </c>
      <c r="E95" s="77">
        <v>5.0000000000000001E-3</v>
      </c>
    </row>
    <row r="96" spans="2:5">
      <c r="B96" s="91" t="s">
        <v>98</v>
      </c>
      <c r="C96" s="54" t="s">
        <v>55</v>
      </c>
      <c r="D96" s="55">
        <v>60</v>
      </c>
      <c r="E96" s="56">
        <v>0.01</v>
      </c>
    </row>
    <row r="97" spans="2:5">
      <c r="B97" s="91"/>
      <c r="C97" s="54" t="s">
        <v>54</v>
      </c>
      <c r="D97" s="55">
        <v>52</v>
      </c>
      <c r="E97" s="56">
        <v>8.9999999999999993E-3</v>
      </c>
    </row>
    <row r="98" spans="2:5">
      <c r="B98" s="91"/>
      <c r="C98" s="75" t="s">
        <v>53</v>
      </c>
      <c r="D98" s="76">
        <v>112</v>
      </c>
      <c r="E98" s="77">
        <v>1.9E-2</v>
      </c>
    </row>
    <row r="99" spans="2:5">
      <c r="B99" s="91" t="s">
        <v>114</v>
      </c>
      <c r="C99" s="54" t="s">
        <v>55</v>
      </c>
      <c r="D99" s="55">
        <v>18</v>
      </c>
      <c r="E99" s="56">
        <v>3.0000000000000001E-3</v>
      </c>
    </row>
    <row r="100" spans="2:5">
      <c r="B100" s="91"/>
      <c r="C100" s="54" t="s">
        <v>54</v>
      </c>
      <c r="D100" s="55">
        <v>14</v>
      </c>
      <c r="E100" s="56">
        <v>2E-3</v>
      </c>
    </row>
    <row r="101" spans="2:5">
      <c r="B101" s="91"/>
      <c r="C101" s="75" t="s">
        <v>53</v>
      </c>
      <c r="D101" s="76">
        <v>32</v>
      </c>
      <c r="E101" s="77">
        <v>5.0000000000000001E-3</v>
      </c>
    </row>
    <row r="102" spans="2:5">
      <c r="B102" s="91" t="s">
        <v>112</v>
      </c>
      <c r="C102" s="54" t="s">
        <v>55</v>
      </c>
      <c r="D102" s="55">
        <v>78</v>
      </c>
      <c r="E102" s="56">
        <v>1.2999999999999999E-2</v>
      </c>
    </row>
    <row r="103" spans="2:5">
      <c r="B103" s="91"/>
      <c r="C103" s="54" t="s">
        <v>54</v>
      </c>
      <c r="D103" s="55">
        <v>86</v>
      </c>
      <c r="E103" s="56">
        <v>1.4E-2</v>
      </c>
    </row>
    <row r="104" spans="2:5">
      <c r="B104" s="91"/>
      <c r="C104" s="75" t="s">
        <v>53</v>
      </c>
      <c r="D104" s="76">
        <v>164</v>
      </c>
      <c r="E104" s="77">
        <v>2.7E-2</v>
      </c>
    </row>
    <row r="105" spans="2:5">
      <c r="B105" s="91" t="s">
        <v>91</v>
      </c>
      <c r="C105" s="54" t="s">
        <v>55</v>
      </c>
      <c r="D105" s="55">
        <v>30</v>
      </c>
      <c r="E105" s="56">
        <v>5.0000000000000001E-3</v>
      </c>
    </row>
    <row r="106" spans="2:5">
      <c r="B106" s="91"/>
      <c r="C106" s="54" t="s">
        <v>54</v>
      </c>
      <c r="D106" s="55">
        <v>20</v>
      </c>
      <c r="E106" s="56">
        <v>3.0000000000000001E-3</v>
      </c>
    </row>
    <row r="107" spans="2:5">
      <c r="B107" s="91"/>
      <c r="C107" s="75" t="s">
        <v>53</v>
      </c>
      <c r="D107" s="76">
        <v>50</v>
      </c>
      <c r="E107" s="77">
        <v>8.0000000000000002E-3</v>
      </c>
    </row>
    <row r="108" spans="2:5">
      <c r="B108" s="91" t="s">
        <v>95</v>
      </c>
      <c r="C108" s="54" t="s">
        <v>55</v>
      </c>
      <c r="D108" s="55">
        <v>269</v>
      </c>
      <c r="E108" s="56">
        <v>4.4999999999999998E-2</v>
      </c>
    </row>
    <row r="109" spans="2:5">
      <c r="B109" s="91"/>
      <c r="C109" s="54" t="s">
        <v>54</v>
      </c>
      <c r="D109" s="55">
        <v>213</v>
      </c>
      <c r="E109" s="56">
        <v>3.5000000000000003E-2</v>
      </c>
    </row>
    <row r="110" spans="2:5">
      <c r="B110" s="91"/>
      <c r="C110" s="75" t="s">
        <v>53</v>
      </c>
      <c r="D110" s="76">
        <v>482</v>
      </c>
      <c r="E110" s="77">
        <v>0.08</v>
      </c>
    </row>
    <row r="111" spans="2:5">
      <c r="B111" s="91" t="s">
        <v>113</v>
      </c>
      <c r="C111" s="54" t="s">
        <v>55</v>
      </c>
      <c r="D111" s="55">
        <v>6</v>
      </c>
      <c r="E111" s="56">
        <v>1E-3</v>
      </c>
    </row>
    <row r="112" spans="2:5">
      <c r="B112" s="91"/>
      <c r="C112" s="54" t="s">
        <v>54</v>
      </c>
      <c r="D112" s="55">
        <v>5</v>
      </c>
      <c r="E112" s="56">
        <v>1E-3</v>
      </c>
    </row>
    <row r="113" spans="2:5">
      <c r="B113" s="91"/>
      <c r="C113" s="75" t="s">
        <v>53</v>
      </c>
      <c r="D113" s="76">
        <v>11</v>
      </c>
      <c r="E113" s="77">
        <v>2E-3</v>
      </c>
    </row>
    <row r="114" spans="2:5">
      <c r="B114" s="91" t="s">
        <v>102</v>
      </c>
      <c r="C114" s="54" t="s">
        <v>55</v>
      </c>
      <c r="D114" s="55">
        <v>42</v>
      </c>
      <c r="E114" s="56">
        <v>7.0000000000000001E-3</v>
      </c>
    </row>
    <row r="115" spans="2:5">
      <c r="B115" s="91"/>
      <c r="C115" s="54" t="s">
        <v>54</v>
      </c>
      <c r="D115" s="55">
        <v>38</v>
      </c>
      <c r="E115" s="56">
        <v>6.0000000000000001E-3</v>
      </c>
    </row>
    <row r="116" spans="2:5">
      <c r="B116" s="91"/>
      <c r="C116" s="75" t="s">
        <v>53</v>
      </c>
      <c r="D116" s="76">
        <v>80</v>
      </c>
      <c r="E116" s="77">
        <v>1.2999999999999999E-2</v>
      </c>
    </row>
    <row r="117" spans="2:5">
      <c r="B117" s="91" t="s">
        <v>100</v>
      </c>
      <c r="C117" s="54" t="s">
        <v>55</v>
      </c>
      <c r="D117" s="55">
        <v>21</v>
      </c>
      <c r="E117" s="56">
        <v>3.0000000000000001E-3</v>
      </c>
    </row>
    <row r="118" spans="2:5">
      <c r="B118" s="91"/>
      <c r="C118" s="54" t="s">
        <v>54</v>
      </c>
      <c r="D118" s="55">
        <v>13</v>
      </c>
      <c r="E118" s="56">
        <v>2E-3</v>
      </c>
    </row>
    <row r="119" spans="2:5">
      <c r="B119" s="91"/>
      <c r="C119" s="75" t="s">
        <v>53</v>
      </c>
      <c r="D119" s="76">
        <v>34</v>
      </c>
      <c r="E119" s="77">
        <v>6.0000000000000001E-3</v>
      </c>
    </row>
    <row r="120" spans="2:5">
      <c r="B120" s="91" t="s">
        <v>87</v>
      </c>
      <c r="C120" s="54" t="s">
        <v>55</v>
      </c>
      <c r="D120" s="55">
        <v>174</v>
      </c>
      <c r="E120" s="56">
        <v>2.9000000000000001E-2</v>
      </c>
    </row>
    <row r="121" spans="2:5">
      <c r="B121" s="91"/>
      <c r="C121" s="54" t="s">
        <v>54</v>
      </c>
      <c r="D121" s="55">
        <v>199</v>
      </c>
      <c r="E121" s="56">
        <v>3.3000000000000002E-2</v>
      </c>
    </row>
    <row r="122" spans="2:5">
      <c r="B122" s="91"/>
      <c r="C122" s="75" t="s">
        <v>53</v>
      </c>
      <c r="D122" s="76">
        <v>373</v>
      </c>
      <c r="E122" s="77">
        <v>6.2E-2</v>
      </c>
    </row>
    <row r="123" spans="2:5">
      <c r="B123" s="91" t="s">
        <v>107</v>
      </c>
      <c r="C123" s="54" t="s">
        <v>55</v>
      </c>
      <c r="D123" s="55">
        <v>50</v>
      </c>
      <c r="E123" s="56">
        <v>8.0000000000000002E-3</v>
      </c>
    </row>
    <row r="124" spans="2:5">
      <c r="B124" s="91"/>
      <c r="C124" s="54" t="s">
        <v>54</v>
      </c>
      <c r="D124" s="55">
        <v>66</v>
      </c>
      <c r="E124" s="56">
        <v>1.0999999999999999E-2</v>
      </c>
    </row>
    <row r="125" spans="2:5">
      <c r="B125" s="91"/>
      <c r="C125" s="75" t="s">
        <v>53</v>
      </c>
      <c r="D125" s="76">
        <v>116</v>
      </c>
      <c r="E125" s="77">
        <v>1.9E-2</v>
      </c>
    </row>
    <row r="126" spans="2:5">
      <c r="B126" s="91" t="s">
        <v>94</v>
      </c>
      <c r="C126" s="54" t="s">
        <v>55</v>
      </c>
      <c r="D126" s="55">
        <v>114</v>
      </c>
      <c r="E126" s="56">
        <v>1.9E-2</v>
      </c>
    </row>
    <row r="127" spans="2:5">
      <c r="B127" s="91"/>
      <c r="C127" s="54" t="s">
        <v>54</v>
      </c>
      <c r="D127" s="55">
        <v>133</v>
      </c>
      <c r="E127" s="56">
        <v>2.1999999999999999E-2</v>
      </c>
    </row>
    <row r="128" spans="2:5">
      <c r="B128" s="91"/>
      <c r="C128" s="75" t="s">
        <v>53</v>
      </c>
      <c r="D128" s="76">
        <v>247</v>
      </c>
      <c r="E128" s="77">
        <v>4.1000000000000002E-2</v>
      </c>
    </row>
    <row r="129" spans="2:5">
      <c r="B129" s="91" t="s">
        <v>103</v>
      </c>
      <c r="C129" s="54" t="s">
        <v>55</v>
      </c>
      <c r="D129" s="55">
        <v>156</v>
      </c>
      <c r="E129" s="56">
        <v>2.5999999999999999E-2</v>
      </c>
    </row>
    <row r="130" spans="2:5">
      <c r="B130" s="91"/>
      <c r="C130" s="54" t="s">
        <v>54</v>
      </c>
      <c r="D130" s="55">
        <v>122</v>
      </c>
      <c r="E130" s="56">
        <v>0.02</v>
      </c>
    </row>
    <row r="131" spans="2:5">
      <c r="B131" s="91"/>
      <c r="C131" s="75" t="s">
        <v>53</v>
      </c>
      <c r="D131" s="76">
        <v>278</v>
      </c>
      <c r="E131" s="77">
        <v>4.5999999999999999E-2</v>
      </c>
    </row>
    <row r="132" spans="2:5">
      <c r="B132" s="91" t="s">
        <v>90</v>
      </c>
      <c r="C132" s="54" t="s">
        <v>55</v>
      </c>
      <c r="D132" s="55">
        <v>82</v>
      </c>
      <c r="E132" s="56">
        <v>1.4E-2</v>
      </c>
    </row>
    <row r="133" spans="2:5">
      <c r="B133" s="91"/>
      <c r="C133" s="54" t="s">
        <v>54</v>
      </c>
      <c r="D133" s="55">
        <v>100</v>
      </c>
      <c r="E133" s="56">
        <v>1.7000000000000001E-2</v>
      </c>
    </row>
    <row r="134" spans="2:5">
      <c r="B134" s="91"/>
      <c r="C134" s="75" t="s">
        <v>53</v>
      </c>
      <c r="D134" s="76">
        <v>182</v>
      </c>
      <c r="E134" s="77">
        <v>0.03</v>
      </c>
    </row>
    <row r="135" spans="2:5">
      <c r="B135" s="91" t="s">
        <v>111</v>
      </c>
      <c r="C135" s="54" t="s">
        <v>55</v>
      </c>
      <c r="D135" s="55">
        <v>102</v>
      </c>
      <c r="E135" s="56">
        <v>1.7000000000000001E-2</v>
      </c>
    </row>
    <row r="136" spans="2:5">
      <c r="B136" s="91"/>
      <c r="C136" s="54" t="s">
        <v>54</v>
      </c>
      <c r="D136" s="55">
        <v>78</v>
      </c>
      <c r="E136" s="56">
        <v>1.2999999999999999E-2</v>
      </c>
    </row>
    <row r="137" spans="2:5">
      <c r="B137" s="91"/>
      <c r="C137" s="75" t="s">
        <v>53</v>
      </c>
      <c r="D137" s="76">
        <v>180</v>
      </c>
      <c r="E137" s="77">
        <v>0.03</v>
      </c>
    </row>
    <row r="138" spans="2:5">
      <c r="B138" s="91" t="s">
        <v>120</v>
      </c>
      <c r="C138" s="54" t="s">
        <v>55</v>
      </c>
      <c r="D138" s="55">
        <v>3</v>
      </c>
      <c r="E138" s="56">
        <v>0</v>
      </c>
    </row>
    <row r="139" spans="2:5">
      <c r="B139" s="91"/>
      <c r="C139" s="75" t="s">
        <v>53</v>
      </c>
      <c r="D139" s="76">
        <v>3</v>
      </c>
      <c r="E139" s="77">
        <v>0</v>
      </c>
    </row>
    <row r="140" spans="2:5">
      <c r="B140" s="91" t="s">
        <v>109</v>
      </c>
      <c r="C140" s="54" t="s">
        <v>55</v>
      </c>
      <c r="D140" s="55">
        <v>2</v>
      </c>
      <c r="E140" s="56">
        <v>0</v>
      </c>
    </row>
    <row r="141" spans="2:5">
      <c r="B141" s="91"/>
      <c r="C141" s="54" t="s">
        <v>54</v>
      </c>
      <c r="D141" s="55">
        <v>4</v>
      </c>
      <c r="E141" s="56">
        <v>1E-3</v>
      </c>
    </row>
    <row r="142" spans="2:5">
      <c r="B142" s="91"/>
      <c r="C142" s="75" t="s">
        <v>53</v>
      </c>
      <c r="D142" s="76">
        <v>6</v>
      </c>
      <c r="E142" s="77">
        <v>1E-3</v>
      </c>
    </row>
    <row r="143" spans="2:5">
      <c r="B143" s="91" t="s">
        <v>123</v>
      </c>
      <c r="C143" s="54" t="s">
        <v>55</v>
      </c>
      <c r="D143" s="55">
        <v>1</v>
      </c>
      <c r="E143" s="56">
        <v>0</v>
      </c>
    </row>
    <row r="144" spans="2:5">
      <c r="B144" s="91"/>
      <c r="C144" s="54" t="s">
        <v>54</v>
      </c>
      <c r="D144" s="55">
        <v>4</v>
      </c>
      <c r="E144" s="56">
        <v>1E-3</v>
      </c>
    </row>
    <row r="145" spans="2:16">
      <c r="B145" s="91"/>
      <c r="C145" s="75" t="s">
        <v>53</v>
      </c>
      <c r="D145" s="76">
        <v>5</v>
      </c>
      <c r="E145" s="77">
        <v>1E-3</v>
      </c>
    </row>
    <row r="146" spans="2:16">
      <c r="B146" s="92" t="s">
        <v>53</v>
      </c>
      <c r="C146" s="92"/>
      <c r="D146" s="59">
        <v>6009</v>
      </c>
      <c r="E146" s="60">
        <v>1</v>
      </c>
    </row>
    <row r="147" spans="2:16" ht="18" customHeight="1">
      <c r="B147" s="71"/>
      <c r="C147" s="71"/>
      <c r="D147" s="71"/>
      <c r="E147" s="71"/>
    </row>
    <row r="148" spans="2:16" ht="18" customHeight="1">
      <c r="B148" s="51" t="s">
        <v>77</v>
      </c>
      <c r="C148" s="72"/>
      <c r="D148" s="72"/>
      <c r="E148" s="72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</row>
    <row r="149" spans="2:16" ht="18" customHeight="1">
      <c r="B149" s="51" t="s">
        <v>45</v>
      </c>
      <c r="C149" s="72"/>
      <c r="D149" s="72"/>
      <c r="E149" s="72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</row>
    <row r="150" spans="2:16" ht="18" customHeight="1">
      <c r="B150" s="51" t="s">
        <v>78</v>
      </c>
      <c r="C150" s="72"/>
      <c r="D150" s="72"/>
      <c r="E150" s="72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</row>
    <row r="151" spans="2:16">
      <c r="B151" s="51" t="s">
        <v>79</v>
      </c>
      <c r="C151" s="72"/>
      <c r="D151" s="72"/>
      <c r="E151" s="72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</row>
    <row r="152" spans="2:16">
      <c r="B152" s="51" t="s">
        <v>80</v>
      </c>
      <c r="C152" s="72"/>
      <c r="D152" s="72"/>
      <c r="E152" s="72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</row>
    <row r="153" spans="2:16">
      <c r="B153" s="71"/>
      <c r="C153" s="71"/>
      <c r="D153" s="71"/>
      <c r="E153" s="71"/>
    </row>
  </sheetData>
  <autoFilter ref="B15:E146"/>
  <mergeCells count="46">
    <mergeCell ref="B11:E13"/>
    <mergeCell ref="B143:B145"/>
    <mergeCell ref="B140:B142"/>
    <mergeCell ref="B51:B53"/>
    <mergeCell ref="B138:B139"/>
    <mergeCell ref="B72:B74"/>
    <mergeCell ref="B75:B77"/>
    <mergeCell ref="B78:B80"/>
    <mergeCell ref="B81:B83"/>
    <mergeCell ref="B123:B125"/>
    <mergeCell ref="B84:B86"/>
    <mergeCell ref="B87:B89"/>
    <mergeCell ref="B54:B56"/>
    <mergeCell ref="B57:B59"/>
    <mergeCell ref="B60:B62"/>
    <mergeCell ref="B63:B65"/>
    <mergeCell ref="B146:C146"/>
    <mergeCell ref="B108:B110"/>
    <mergeCell ref="B90:B92"/>
    <mergeCell ref="B93:B95"/>
    <mergeCell ref="B96:B98"/>
    <mergeCell ref="B99:B101"/>
    <mergeCell ref="B102:B104"/>
    <mergeCell ref="B105:B107"/>
    <mergeCell ref="B126:B128"/>
    <mergeCell ref="B129:B131"/>
    <mergeCell ref="B132:B134"/>
    <mergeCell ref="B135:B137"/>
    <mergeCell ref="B111:B113"/>
    <mergeCell ref="B114:B116"/>
    <mergeCell ref="B117:B119"/>
    <mergeCell ref="B120:B122"/>
    <mergeCell ref="B66:B68"/>
    <mergeCell ref="B69:B71"/>
    <mergeCell ref="B16:B18"/>
    <mergeCell ref="B19:B20"/>
    <mergeCell ref="B42:B44"/>
    <mergeCell ref="B45:B47"/>
    <mergeCell ref="B48:B50"/>
    <mergeCell ref="B21:B23"/>
    <mergeCell ref="B24:B26"/>
    <mergeCell ref="B27:B29"/>
    <mergeCell ref="B30:B32"/>
    <mergeCell ref="B33:B35"/>
    <mergeCell ref="B36:B38"/>
    <mergeCell ref="B39:B4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4"/>
  <sheetViews>
    <sheetView showGridLines="0" zoomScaleNormal="100" zoomScaleSheetLayoutView="100" workbookViewId="0">
      <selection activeCell="J27" sqref="J27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9" t="s">
        <v>201</v>
      </c>
      <c r="C8" s="89"/>
      <c r="D8" s="89"/>
      <c r="E8" s="89"/>
    </row>
    <row r="9" spans="1:16" s="25" customFormat="1" ht="15" customHeight="1">
      <c r="A9" s="26"/>
      <c r="B9" s="89"/>
      <c r="C9" s="89"/>
      <c r="D9" s="89"/>
      <c r="E9" s="89"/>
      <c r="F9" s="27"/>
    </row>
    <row r="10" spans="1:16" s="25" customFormat="1" ht="15" customHeight="1">
      <c r="A10" s="26"/>
      <c r="B10" s="89"/>
      <c r="C10" s="89"/>
      <c r="D10" s="89"/>
      <c r="E10" s="89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155</v>
      </c>
    </row>
    <row r="13" spans="1:16" ht="15">
      <c r="B13" s="91" t="s">
        <v>55</v>
      </c>
      <c r="C13" s="54" t="s">
        <v>149</v>
      </c>
      <c r="D13" s="55">
        <v>251</v>
      </c>
      <c r="E13" s="56">
        <v>4.2000000000000003E-2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1"/>
      <c r="C14" s="54" t="s">
        <v>150</v>
      </c>
      <c r="D14" s="57">
        <v>1402</v>
      </c>
      <c r="E14" s="56">
        <v>0.23300000000000001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1"/>
      <c r="C15" s="54" t="s">
        <v>151</v>
      </c>
      <c r="D15" s="57">
        <v>1175</v>
      </c>
      <c r="E15" s="56">
        <v>0.19600000000000001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1"/>
      <c r="C16" s="54" t="s">
        <v>152</v>
      </c>
      <c r="D16" s="55">
        <v>175</v>
      </c>
      <c r="E16" s="56">
        <v>2.9000000000000001E-2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1"/>
      <c r="C17" s="54" t="s">
        <v>57</v>
      </c>
      <c r="D17" s="55">
        <v>18</v>
      </c>
      <c r="E17" s="56">
        <v>3.0000000000000001E-3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1"/>
      <c r="C18" s="54" t="s">
        <v>153</v>
      </c>
      <c r="D18" s="55">
        <v>4</v>
      </c>
      <c r="E18" s="56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1"/>
      <c r="C19" s="54" t="s">
        <v>154</v>
      </c>
      <c r="D19" s="55">
        <v>2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1"/>
      <c r="C20" s="54" t="s">
        <v>58</v>
      </c>
      <c r="D20" s="55">
        <v>2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1" t="s">
        <v>54</v>
      </c>
      <c r="C21" s="54" t="s">
        <v>149</v>
      </c>
      <c r="D21" s="55">
        <v>235</v>
      </c>
      <c r="E21" s="56">
        <v>3.9E-2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1"/>
      <c r="C22" s="54" t="s">
        <v>150</v>
      </c>
      <c r="D22" s="57">
        <v>1239</v>
      </c>
      <c r="E22" s="56">
        <v>0.20599999999999999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1"/>
      <c r="C23" s="54" t="s">
        <v>151</v>
      </c>
      <c r="D23" s="57">
        <v>1263</v>
      </c>
      <c r="E23" s="56">
        <v>0.21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1"/>
      <c r="C24" s="54" t="s">
        <v>152</v>
      </c>
      <c r="D24" s="55">
        <v>223</v>
      </c>
      <c r="E24" s="56">
        <v>3.6999999999999998E-2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1"/>
      <c r="C25" s="54" t="s">
        <v>57</v>
      </c>
      <c r="D25" s="55">
        <v>13</v>
      </c>
      <c r="E25" s="56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1"/>
      <c r="C26" s="54" t="s">
        <v>153</v>
      </c>
      <c r="D26" s="55">
        <v>5</v>
      </c>
      <c r="E26" s="56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1"/>
      <c r="C27" s="54" t="s">
        <v>154</v>
      </c>
      <c r="D27" s="55">
        <v>2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2" t="s">
        <v>53</v>
      </c>
      <c r="C28" s="92"/>
      <c r="D28" s="59">
        <v>6009</v>
      </c>
      <c r="E28" s="60">
        <v>1</v>
      </c>
      <c r="F28"/>
      <c r="G28"/>
      <c r="H28"/>
      <c r="I28"/>
      <c r="J28"/>
      <c r="K28"/>
      <c r="L28"/>
      <c r="M28"/>
      <c r="N28"/>
      <c r="O28"/>
      <c r="P28"/>
    </row>
    <row r="29" spans="2:16" ht="18" customHeight="1"/>
    <row r="30" spans="2:16" ht="18" customHeight="1">
      <c r="B30" s="51" t="s">
        <v>77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</row>
    <row r="31" spans="2:16" ht="18" customHeight="1">
      <c r="B31" s="51" t="s">
        <v>45</v>
      </c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</row>
    <row r="32" spans="2:16" ht="18" customHeight="1">
      <c r="B32" s="51" t="s">
        <v>78</v>
      </c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</row>
    <row r="33" spans="2:16">
      <c r="B33" s="51" t="s">
        <v>79</v>
      </c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</row>
    <row r="34" spans="2:16">
      <c r="B34" s="51" t="s">
        <v>80</v>
      </c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</row>
  </sheetData>
  <mergeCells count="4">
    <mergeCell ref="B8:E10"/>
    <mergeCell ref="B21:B27"/>
    <mergeCell ref="B28:C28"/>
    <mergeCell ref="B13:B2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39"/>
  <sheetViews>
    <sheetView showGridLines="0" topLeftCell="A7" zoomScaleNormal="100" zoomScaleSheetLayoutView="115" workbookViewId="0">
      <selection activeCell="O43" sqref="O4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9" t="s">
        <v>202</v>
      </c>
      <c r="C7" s="89"/>
      <c r="D7" s="89"/>
    </row>
    <row r="8" spans="1:16" s="1" customFormat="1" ht="15" customHeight="1">
      <c r="B8" s="89"/>
      <c r="C8" s="89"/>
      <c r="D8" s="89"/>
    </row>
    <row r="9" spans="1:16" s="1" customFormat="1" ht="33" customHeight="1">
      <c r="B9" s="89"/>
      <c r="C9" s="89"/>
      <c r="D9" s="89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4" t="s">
        <v>156</v>
      </c>
      <c r="C12" s="57">
        <v>2889</v>
      </c>
      <c r="D12" s="56">
        <v>0.48080000000000001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157</v>
      </c>
      <c r="C13" s="57">
        <v>1602</v>
      </c>
      <c r="D13" s="56">
        <v>0.2666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159</v>
      </c>
      <c r="C14" s="55">
        <v>425</v>
      </c>
      <c r="D14" s="56">
        <v>7.0699999999999999E-2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165</v>
      </c>
      <c r="C15" s="55">
        <v>364</v>
      </c>
      <c r="D15" s="56">
        <v>6.0600000000000001E-2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158</v>
      </c>
      <c r="C16" s="55">
        <v>200</v>
      </c>
      <c r="D16" s="56">
        <v>3.3300000000000003E-2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161</v>
      </c>
      <c r="C17" s="55">
        <v>103</v>
      </c>
      <c r="D17" s="56">
        <v>1.7100000000000001E-2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160</v>
      </c>
      <c r="C18" s="55">
        <v>101</v>
      </c>
      <c r="D18" s="56">
        <v>1.6799999999999999E-2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163</v>
      </c>
      <c r="C19" s="55">
        <v>95</v>
      </c>
      <c r="D19" s="56">
        <v>1.5800000000000002E-2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164</v>
      </c>
      <c r="C20" s="55">
        <v>48</v>
      </c>
      <c r="D20" s="56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162</v>
      </c>
      <c r="C21" s="55">
        <v>47</v>
      </c>
      <c r="D21" s="56">
        <v>7.7999999999999996E-3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166</v>
      </c>
      <c r="C22" s="55">
        <v>27</v>
      </c>
      <c r="D22" s="56">
        <v>4.4999999999999997E-3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169</v>
      </c>
      <c r="C23" s="55">
        <v>22</v>
      </c>
      <c r="D23" s="56">
        <v>3.7000000000000002E-3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167</v>
      </c>
      <c r="C24" s="55">
        <v>21</v>
      </c>
      <c r="D24" s="56">
        <v>3.5000000000000001E-3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170</v>
      </c>
      <c r="C25" s="55">
        <v>17</v>
      </c>
      <c r="D25" s="56">
        <v>2.8E-3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168</v>
      </c>
      <c r="C26" s="55">
        <v>16</v>
      </c>
      <c r="D26" s="56">
        <v>2.7000000000000001E-3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171</v>
      </c>
      <c r="C27" s="55">
        <v>10</v>
      </c>
      <c r="D27" s="56">
        <v>1.6999999999999999E-3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172</v>
      </c>
      <c r="C28" s="55">
        <v>9</v>
      </c>
      <c r="D28" s="56">
        <v>1.5E-3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175</v>
      </c>
      <c r="C29" s="55">
        <v>6</v>
      </c>
      <c r="D29" s="56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173</v>
      </c>
      <c r="C30" s="55">
        <v>5</v>
      </c>
      <c r="D30" s="56">
        <v>8.0000000000000004E-4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174</v>
      </c>
      <c r="C31" s="55">
        <v>1</v>
      </c>
      <c r="D31" s="56">
        <v>2.0000000000000001E-4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180</v>
      </c>
      <c r="C32" s="55">
        <v>1</v>
      </c>
      <c r="D32" s="56">
        <v>2.0000000000000001E-4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8" t="s">
        <v>53</v>
      </c>
      <c r="C33" s="59">
        <v>6009</v>
      </c>
      <c r="D33" s="60">
        <v>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8" customHeight="1">
      <c r="B34" s="73"/>
      <c r="C34" s="74"/>
      <c r="D34" s="73"/>
    </row>
    <row r="35" spans="2:16" ht="18" customHeight="1">
      <c r="B35" s="51" t="s">
        <v>77</v>
      </c>
      <c r="C35" s="72"/>
      <c r="D35" s="72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</row>
    <row r="36" spans="2:16" ht="18" customHeight="1">
      <c r="B36" s="51" t="s">
        <v>45</v>
      </c>
      <c r="C36" s="72"/>
      <c r="D36" s="72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</row>
    <row r="37" spans="2:16" ht="18" customHeight="1">
      <c r="B37" s="51" t="s">
        <v>78</v>
      </c>
      <c r="C37" s="72"/>
      <c r="D37" s="72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</row>
    <row r="38" spans="2:16">
      <c r="B38" s="51" t="s">
        <v>79</v>
      </c>
      <c r="C38" s="72"/>
      <c r="D38" s="72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</row>
    <row r="39" spans="2:16">
      <c r="B39" s="51" t="s">
        <v>80</v>
      </c>
      <c r="C39" s="72"/>
      <c r="D39" s="72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Colima_EdoUsa</vt:lpstr>
      <vt:lpstr>Colima_Cons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Colima_GenCon</vt:lpstr>
      <vt:lpstr>Colima_Gen_Edad</vt:lpstr>
      <vt:lpstr>Colima_ocup_gral</vt:lpstr>
      <vt:lpstr>Colima_EducCons!Área_de_impresión</vt:lpstr>
      <vt:lpstr>Colima_MUNICIPIO!Área_de_impresión</vt:lpstr>
      <vt:lpstr>Colima_NivelE_Cons!Área_de_impresión</vt:lpstr>
      <vt:lpstr>Colima_USAMuni!Área_de_impresión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2022-05-20T14:02:35Z</dcterms:modified>
</cp:coreProperties>
</file>