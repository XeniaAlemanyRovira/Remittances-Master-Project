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/>
  </bookViews>
  <sheets>
    <sheet name="Índice" sheetId="1" r:id="rId1"/>
    <sheet name="Quintana Roo_EdoUsa" sheetId="13" r:id="rId2"/>
    <sheet name="Quintana Roo_Cons_2018" sheetId="8" r:id="rId3"/>
    <sheet name="Quintana RooXCons2018" sheetId="10" r:id="rId4"/>
    <sheet name="Quintana Roo_EdoMun" sheetId="11" r:id="rId5"/>
    <sheet name="Quintana Roo_USAMuni2018" sheetId="2" r:id="rId6"/>
    <sheet name="Quintana Roo_MUNICIPIO" sheetId="14" r:id="rId7"/>
    <sheet name="Quintana Roo_educ_gral" sheetId="3" r:id="rId8"/>
    <sheet name="Quintana Roo_NivelE_Cons" sheetId="6" r:id="rId9"/>
    <sheet name="Quintana Roo_EducCons" sheetId="4" r:id="rId10"/>
    <sheet name="Quintana Roo_GenGral" sheetId="7" r:id="rId11"/>
    <sheet name="Quintana Roo_GENERO" sheetId="9" r:id="rId12"/>
    <sheet name="Quintana Roo_Gen_Edad" sheetId="5" r:id="rId13"/>
    <sheet name="Quintana Roo_ocup_gral" sheetId="12" r:id="rId14"/>
  </sheets>
  <definedNames>
    <definedName name="_xlnm._FilterDatabase" localSheetId="2" hidden="1">'Quintana Roo_Cons_2018'!$B$11:$D$12</definedName>
    <definedName name="_xlnm._FilterDatabase" localSheetId="4" hidden="1">'Quintana Roo_EdoMun'!$B$11:$D$12</definedName>
    <definedName name="_xlnm._FilterDatabase" localSheetId="1" hidden="1">'Quintana Roo_EdoUsa'!$B$11:$D$52</definedName>
    <definedName name="_xlnm._FilterDatabase" localSheetId="7" hidden="1">'Quintana Roo_educ_gral'!$B$11:$D$12</definedName>
    <definedName name="_xlnm._FilterDatabase" localSheetId="9" hidden="1">'Quintana Roo_EducCons'!$B$9:$E$9</definedName>
    <definedName name="_xlnm._FilterDatabase" localSheetId="10" hidden="1">'Quintana Roo_GenGral'!$B$11:$D$12</definedName>
    <definedName name="_xlnm._FilterDatabase" localSheetId="6" hidden="1">'Quintana Roo_MUNICIPIO'!$B$9:$E$11</definedName>
    <definedName name="_xlnm._FilterDatabase" localSheetId="8" hidden="1">'Quintana Roo_NivelE_Cons'!$B$9:$E$9</definedName>
    <definedName name="_xlnm._FilterDatabase" localSheetId="13" hidden="1">'Quintana Roo_ocup_gral'!$B$11:$D$12</definedName>
    <definedName name="_xlnm._FilterDatabase" localSheetId="5" hidden="1">'Quintana Roo_USAMuni2018'!$B$9:$E$10</definedName>
    <definedName name="_xlnm._FilterDatabase" localSheetId="3" hidden="1">'Quintana RooXCons2018'!$B$11:$D$12</definedName>
    <definedName name="_xlnm.Print_Area" localSheetId="9">'Quintana Roo_EducCons'!$A$1:$E$297</definedName>
    <definedName name="_xlnm.Print_Area" localSheetId="6">'Quintana Roo_MUNICIPIO'!$A$1:$E$188</definedName>
    <definedName name="_xlnm.Print_Area" localSheetId="8">'Quintana Roo_NivelE_Cons'!$A$1:$E$241</definedName>
    <definedName name="_xlnm.Print_Area" localSheetId="5">'Quintana Roo_USAMuni2018'!$A$1:$E$157</definedName>
    <definedName name="_xlnm.Print_Titles" localSheetId="2">'Quintana Roo_Cons_2018'!$1:$11</definedName>
    <definedName name="_xlnm.Print_Titles" localSheetId="4">'Quintana Roo_EdoMun'!$1:$11</definedName>
    <definedName name="_xlnm.Print_Titles" localSheetId="1">'Quintana Roo_EdoUsa'!$1:$11</definedName>
    <definedName name="_xlnm.Print_Titles" localSheetId="7">'Quintana Roo_educ_gral'!$1:$11</definedName>
    <definedName name="_xlnm.Print_Titles" localSheetId="9">'Quintana Roo_EducCons'!$1:$9</definedName>
    <definedName name="_xlnm.Print_Titles" localSheetId="12">'Quintana Roo_Gen_Edad'!$1:$11</definedName>
    <definedName name="_xlnm.Print_Titles" localSheetId="11">'Quintana Roo_GENERO'!$1:$11</definedName>
    <definedName name="_xlnm.Print_Titles" localSheetId="10">'Quintana Roo_GenGral'!$1:$11</definedName>
    <definedName name="_xlnm.Print_Titles" localSheetId="6">'Quintana Roo_MUNICIPIO'!$1:$9</definedName>
    <definedName name="_xlnm.Print_Titles" localSheetId="8">'Quintana Roo_NivelE_Cons'!$1:$9</definedName>
    <definedName name="_xlnm.Print_Titles" localSheetId="13">'Quintana Roo_ocup_gral'!$1:$11</definedName>
    <definedName name="_xlnm.Print_Titles" localSheetId="5">'Quintana Roo_USAMuni2018'!$1:$9</definedName>
    <definedName name="_xlnm.Print_Titles" localSheetId="3">'Quintana RooXCons2018'!$1:$11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2" l="1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12" i="10"/>
  <c r="D15" i="10"/>
  <c r="D16" i="10"/>
  <c r="D19" i="10"/>
  <c r="D20" i="10"/>
  <c r="C22" i="10"/>
  <c r="D13" i="10" s="1"/>
  <c r="D22" i="10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18" i="10" l="1"/>
  <c r="D14" i="10"/>
  <c r="D21" i="10"/>
  <c r="D17" i="10"/>
</calcChain>
</file>

<file path=xl/sharedStrings.xml><?xml version="1.0" encoding="utf-8"?>
<sst xmlns="http://schemas.openxmlformats.org/spreadsheetml/2006/main" count="1450" uniqueCount="205">
  <si>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</si>
  <si>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</si>
  <si>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</si>
  <si>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</si>
  <si>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</si>
  <si>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</si>
  <si>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</si>
  <si>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</si>
  <si>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</si>
  <si>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</si>
  <si>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2.1 Top ten por circunscripción consular</t>
  </si>
  <si>
    <t>4.1 Educación general</t>
  </si>
  <si>
    <t>4.2 Por Estado de USA</t>
  </si>
  <si>
    <t>4.3 Por Circunscripción Consular</t>
  </si>
  <si>
    <t>5.1 Género General</t>
  </si>
  <si>
    <t>5.2 Por Circunscripción Consular</t>
  </si>
  <si>
    <t xml:space="preserve">Da clic al texto para ir a la información, selecciona                 para regresar. </t>
  </si>
  <si>
    <t>Matrículas consulares expedidas a originarios de Quintana Roo en el 2018.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</si>
  <si>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</si>
  <si>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</si>
  <si>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</si>
  <si>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</si>
  <si>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</si>
  <si>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</si>
  <si>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Othón P. Blanco</t>
  </si>
  <si>
    <t>Wisconsin</t>
  </si>
  <si>
    <t>José María Morelos</t>
  </si>
  <si>
    <t>Felipe Carrillo Puerto</t>
  </si>
  <si>
    <t>Washington</t>
  </si>
  <si>
    <t>Solidaridad</t>
  </si>
  <si>
    <t>Lázaro Cárdenas</t>
  </si>
  <si>
    <t>Cozumel</t>
  </si>
  <si>
    <t>Benito Juárez</t>
  </si>
  <si>
    <t>Virginia</t>
  </si>
  <si>
    <t>Vermont</t>
  </si>
  <si>
    <t>Utah</t>
  </si>
  <si>
    <t>Texas</t>
  </si>
  <si>
    <t>Tennessee</t>
  </si>
  <si>
    <t>South Carolina</t>
  </si>
  <si>
    <t>Pennsylvania</t>
  </si>
  <si>
    <t>Oregon</t>
  </si>
  <si>
    <t>Oklahoma</t>
  </si>
  <si>
    <t>Ohio</t>
  </si>
  <si>
    <t>North Carolina</t>
  </si>
  <si>
    <t>New York</t>
  </si>
  <si>
    <t>New Mexico</t>
  </si>
  <si>
    <t>New Jersey</t>
  </si>
  <si>
    <t>Nevada</t>
  </si>
  <si>
    <t>Nebraska</t>
  </si>
  <si>
    <t>Missouri</t>
  </si>
  <si>
    <t>Mississippi</t>
  </si>
  <si>
    <t>Isla Mujeres</t>
  </si>
  <si>
    <t>Minnesota</t>
  </si>
  <si>
    <t>Michigan</t>
  </si>
  <si>
    <t>Massachusetts</t>
  </si>
  <si>
    <t>Maryland</t>
  </si>
  <si>
    <t>Louisiana</t>
  </si>
  <si>
    <t>Kentucky</t>
  </si>
  <si>
    <t>Kansas</t>
  </si>
  <si>
    <t>Iowa</t>
  </si>
  <si>
    <t>Indiana</t>
  </si>
  <si>
    <t>Illinois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</si>
  <si>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</si>
  <si>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</si>
  <si>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</si>
  <si>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</si>
  <si>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</si>
  <si>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</si>
  <si>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</si>
  <si>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</si>
  <si>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</si>
  <si>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Alabama</t>
  </si>
  <si>
    <t>Porcentaje de Matrículas</t>
  </si>
  <si>
    <t>Número de Matrículas</t>
  </si>
  <si>
    <t>Municipio de Origen</t>
  </si>
  <si>
    <t>Estado</t>
  </si>
  <si>
    <t>Tamaño de la muestra: 814,748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</si>
  <si>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</si>
  <si>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</si>
  <si>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</si>
  <si>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</si>
  <si>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</si>
  <si>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</si>
  <si>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</si>
  <si>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</si>
  <si>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</si>
  <si>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</si>
  <si>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</si>
  <si>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</si>
  <si>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</si>
  <si>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</si>
  <si>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</si>
  <si>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</si>
  <si>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</si>
  <si>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</si>
  <si>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</si>
  <si>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</si>
  <si>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</si>
  <si>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</si>
  <si>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</si>
  <si>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</si>
  <si>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Número de matrículas</t>
  </si>
  <si>
    <t>Nivel de Estudios</t>
  </si>
  <si>
    <t>MATRÍCULAS CONSULARES EXPEDIDAS EN EE.UU. A ORIGINARIOS DE QUINTANA ROO POR NIVEL DE EDUCACIÓN, 2016.</t>
  </si>
  <si>
    <t>Aguascalientes</t>
  </si>
  <si>
    <t>Seattle</t>
  </si>
  <si>
    <t>Santa Ana</t>
  </si>
  <si>
    <t>San Jose</t>
  </si>
  <si>
    <t>Menores de edad</t>
  </si>
  <si>
    <t>San Francisco</t>
  </si>
  <si>
    <t>San Diego</t>
  </si>
  <si>
    <t>San Bernardino</t>
  </si>
  <si>
    <t>San Antonio</t>
  </si>
  <si>
    <t>Salt Lake City</t>
  </si>
  <si>
    <t>Saint Paul</t>
  </si>
  <si>
    <t>Sacramento</t>
  </si>
  <si>
    <t>Raleigh</t>
  </si>
  <si>
    <t>Portland</t>
  </si>
  <si>
    <t>Phoenix</t>
  </si>
  <si>
    <t>Oxnard</t>
  </si>
  <si>
    <t>Orlando</t>
  </si>
  <si>
    <t>Omaha</t>
  </si>
  <si>
    <t>Nueva York</t>
  </si>
  <si>
    <t>Nueva Orleans</t>
  </si>
  <si>
    <t>Nogales</t>
  </si>
  <si>
    <t>Milwaukee</t>
  </si>
  <si>
    <t>Miami</t>
  </si>
  <si>
    <t>Mc Allen</t>
  </si>
  <si>
    <t>Los Angeles</t>
  </si>
  <si>
    <t>Little Rock</t>
  </si>
  <si>
    <t>Las Vegas</t>
  </si>
  <si>
    <t>Laredo</t>
  </si>
  <si>
    <t>Kansas City</t>
  </si>
  <si>
    <t>Indianapolis</t>
  </si>
  <si>
    <t>Houston</t>
  </si>
  <si>
    <t>Fresno</t>
  </si>
  <si>
    <t>Filadelfia</t>
  </si>
  <si>
    <t>El Paso</t>
  </si>
  <si>
    <t>Detroit</t>
  </si>
  <si>
    <t>Denver</t>
  </si>
  <si>
    <t>Dallas</t>
  </si>
  <si>
    <t>Chicago</t>
  </si>
  <si>
    <t>Brownsville</t>
  </si>
  <si>
    <t>Boston</t>
  </si>
  <si>
    <t>Austin</t>
  </si>
  <si>
    <t>Atlanta</t>
  </si>
  <si>
    <t>Albuquerque</t>
  </si>
  <si>
    <t>Consulado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</si>
  <si>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</si>
  <si>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</si>
  <si>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</si>
  <si>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</si>
  <si>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</si>
  <si>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</si>
  <si>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</si>
  <si>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Entre 66 y 75 Años</t>
  </si>
  <si>
    <t>Hombre</t>
  </si>
  <si>
    <t>Porcentaje con respecto al total de Matrículas</t>
  </si>
  <si>
    <t>Porcentaje con respecto al Género</t>
  </si>
  <si>
    <t>Edad Cumplida</t>
  </si>
  <si>
    <t>Género</t>
  </si>
  <si>
    <t>MATRÍCULAS CONSULARES EXPEDIDAS A ORIGINARIOS DE QUINTANA ROO POR GÉNERO Y EDAD EN EE.UU.</t>
  </si>
  <si>
    <t>Nivel</t>
  </si>
  <si>
    <t>TOTAL</t>
  </si>
  <si>
    <t>MUJER</t>
  </si>
  <si>
    <t>HOMBRE</t>
  </si>
  <si>
    <t>MATRÍCULAS CONSULARES EXPEDIDAS A ORIGINARIOS DE QUINTANA ROO POR GÉNERO EN EE.UU DURANTE EL 2016.</t>
  </si>
  <si>
    <t>Yuma</t>
  </si>
  <si>
    <t>Tucson</t>
  </si>
  <si>
    <t>Presidio</t>
  </si>
  <si>
    <t>Eagle Pass</t>
  </si>
  <si>
    <t>Douglas</t>
  </si>
  <si>
    <t>Del Río</t>
  </si>
  <si>
    <t>Caléxico</t>
  </si>
  <si>
    <t>Boise</t>
  </si>
  <si>
    <t>Indianápolis</t>
  </si>
  <si>
    <t>San José</t>
  </si>
  <si>
    <t>Mcallen</t>
  </si>
  <si>
    <t>Los Ángeles</t>
  </si>
  <si>
    <t>MATRÍCULAS CONSULARES DE ALTA SEGURIDAD EXPEDIDAS DURANTE EL 2018 A ORIGINARIOS DE QUINTANA ROO EN LOS CONSULADOS DE MÉXICO EN EE.UU.</t>
  </si>
  <si>
    <t>MATRÍCULAS CONSULARES EXPEDIDAS A ORIGINARIOS DE QUINTANA ROO POR GÉNERO Y CONSULADO DE MÉXICO 2018.</t>
  </si>
  <si>
    <t>Municipio de origen</t>
  </si>
  <si>
    <t>MATRÍCULAS CONSULARES DE ALTA SEGURIDAD EXPEDIDAS POR MUNICIPIO A ORIGINARIOS DEL ESTADO DE QUINTANA ROO EN LOS CONSULADOS DE MÉXICO EN EE.UU. 2018</t>
  </si>
  <si>
    <t>Tamaño de la muestra: 826,856</t>
  </si>
  <si>
    <t>Profesionista</t>
  </si>
  <si>
    <t>Panadero(a)</t>
  </si>
  <si>
    <t>Operario(a)</t>
  </si>
  <si>
    <t>Carnicero</t>
  </si>
  <si>
    <t>Cajero(a)</t>
  </si>
  <si>
    <t>Mesero(a)</t>
  </si>
  <si>
    <t>Chofer</t>
  </si>
  <si>
    <t>Pintor(a)</t>
  </si>
  <si>
    <t>Albañil</t>
  </si>
  <si>
    <t>Jardinero(a)</t>
  </si>
  <si>
    <t>Campesino(a)</t>
  </si>
  <si>
    <t>Otro</t>
  </si>
  <si>
    <t>Obrero(a)</t>
  </si>
  <si>
    <t>Cocinero(a)</t>
  </si>
  <si>
    <t>Estudiante</t>
  </si>
  <si>
    <t>Hogar</t>
  </si>
  <si>
    <t>Empleado(a)</t>
  </si>
  <si>
    <t>Ocupación</t>
  </si>
  <si>
    <t>MATRÍCULAS CONSULARES EXPEDIDAS EN EE.UU. A ORIGINARIOS DE QUINTANA ROO POR PERFIL OCUPACIONAL, 2018.</t>
  </si>
  <si>
    <t xml:space="preserve">Estado </t>
  </si>
  <si>
    <t>MATRÍCULAS CONSULARES DE ALTA SEGURIDAD EXPEDIDAS A ORIGINARIOS DE QUINTANA ROO POR ESTADO DE LA UNIÓN AMERICANA. DURANTE EL 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</si>
</sst>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7"/>
      <color indexed="8"/>
      <name val="Montserrat"/>
    </font>
    <font>
      <b/>
      <sz val="9"/>
      <color theme="0"/>
      <name val="Montserrat"/>
    </font>
    <font>
      <sz val="9"/>
      <name val="Montserrat"/>
    </font>
    <font>
      <sz val="8"/>
      <color theme="1"/>
      <name val="Soberana Sans"/>
      <family val="3"/>
    </font>
    <font>
      <sz val="8"/>
      <color theme="1"/>
      <name val="Arial"/>
      <family val="2"/>
    </font>
    <font>
      <sz val="11"/>
      <color indexed="8"/>
      <name val="Calibri"/>
      <family val="2"/>
    </font>
    <font>
      <b/>
      <sz val="9"/>
      <color indexed="9"/>
      <name val="Montserrat"/>
    </font>
    <font>
      <sz val="11"/>
      <color theme="1"/>
      <name val="Soberana Sans"/>
      <family val="3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Arial Narrow"/>
      <family val="2"/>
    </font>
    <font>
      <sz val="10"/>
      <color theme="1"/>
      <name val="Montserrat"/>
    </font>
    <font>
      <sz val="10"/>
      <name val="Montserrat"/>
    </font>
    <font>
      <sz val="8"/>
      <color indexed="8"/>
      <name val="Soberana Sans"/>
      <family val="3"/>
    </font>
    <font>
      <sz val="10.5"/>
      <color theme="1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 applyNumberFormat="0" applyFont="0" applyFill="0" applyBorder="0" applyAlignment="0" applyProtection="0"/>
    <xf numFmtId="0" fontId="13" fillId="0" borderId="0"/>
  </cellStyleXfs>
  <cellXfs count="10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6" fillId="3" borderId="0" xfId="0" applyFont="1" applyFill="1"/>
    <xf numFmtId="0" fontId="7" fillId="3" borderId="0" xfId="0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164" fontId="9" fillId="4" borderId="9" xfId="0" applyNumberFormat="1" applyFont="1" applyFill="1" applyBorder="1" applyAlignment="1">
      <alignment horizontal="right" wrapText="1"/>
    </xf>
    <xf numFmtId="3" fontId="9" fillId="4" borderId="9" xfId="0" applyNumberFormat="1" applyFont="1" applyFill="1" applyBorder="1" applyAlignment="1">
      <alignment horizontal="right" wrapText="1"/>
    </xf>
    <xf numFmtId="164" fontId="9" fillId="5" borderId="9" xfId="1" applyNumberFormat="1" applyFont="1" applyFill="1" applyBorder="1" applyAlignment="1">
      <alignment horizontal="right" vertical="top" wrapText="1"/>
    </xf>
    <xf numFmtId="165" fontId="9" fillId="5" borderId="9" xfId="1" applyNumberFormat="1" applyFont="1" applyFill="1" applyBorder="1" applyAlignment="1">
      <alignment horizontal="right" vertical="top" wrapText="1"/>
    </xf>
    <xf numFmtId="49" fontId="9" fillId="5" borderId="9" xfId="1" applyNumberFormat="1" applyFont="1" applyFill="1" applyBorder="1" applyAlignment="1">
      <alignment vertical="top" wrapText="1"/>
    </xf>
    <xf numFmtId="164" fontId="10" fillId="3" borderId="9" xfId="1" applyNumberFormat="1" applyFont="1" applyFill="1" applyBorder="1" applyAlignment="1">
      <alignment horizontal="right" vertical="top" wrapText="1"/>
    </xf>
    <xf numFmtId="165" fontId="10" fillId="3" borderId="9" xfId="1" applyNumberFormat="1" applyFont="1" applyFill="1" applyBorder="1" applyAlignment="1">
      <alignment horizontal="right" vertical="top" wrapText="1"/>
    </xf>
    <xf numFmtId="49" fontId="10" fillId="3" borderId="9" xfId="1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14" fillId="2" borderId="13" xfId="3" applyFont="1" applyFill="1" applyBorder="1" applyAlignment="1">
      <alignment horizontal="center" vertical="center" wrapText="1"/>
    </xf>
    <xf numFmtId="1" fontId="14" fillId="2" borderId="13" xfId="3" applyNumberFormat="1" applyFont="1" applyFill="1" applyBorder="1" applyAlignment="1">
      <alignment horizontal="center" vertical="center" wrapText="1"/>
    </xf>
    <xf numFmtId="0" fontId="9" fillId="2" borderId="13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16" fillId="3" borderId="0" xfId="0" applyFont="1" applyFill="1" applyAlignment="1"/>
    <xf numFmtId="0" fontId="11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1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0" fillId="3" borderId="0" xfId="0" applyFont="1" applyFill="1"/>
    <xf numFmtId="3" fontId="0" fillId="3" borderId="0" xfId="0" applyNumberFormat="1" applyFont="1" applyFill="1"/>
    <xf numFmtId="0" fontId="17" fillId="3" borderId="0" xfId="0" applyFont="1" applyFill="1"/>
    <xf numFmtId="164" fontId="9" fillId="6" borderId="9" xfId="0" applyNumberFormat="1" applyFont="1" applyFill="1" applyBorder="1" applyAlignment="1">
      <alignment horizontal="right" vertical="center" wrapText="1"/>
    </xf>
    <xf numFmtId="3" fontId="9" fillId="6" borderId="9" xfId="0" applyNumberFormat="1" applyFont="1" applyFill="1" applyBorder="1" applyAlignment="1">
      <alignment horizontal="right" vertical="center" wrapText="1"/>
    </xf>
    <xf numFmtId="49" fontId="9" fillId="6" borderId="9" xfId="0" applyNumberFormat="1" applyFont="1" applyFill="1" applyBorder="1" applyAlignment="1">
      <alignment vertical="center" wrapText="1"/>
    </xf>
    <xf numFmtId="164" fontId="18" fillId="3" borderId="9" xfId="0" applyNumberFormat="1" applyFont="1" applyFill="1" applyBorder="1" applyAlignment="1">
      <alignment horizontal="right" vertical="center" wrapText="1"/>
    </xf>
    <xf numFmtId="3" fontId="18" fillId="3" borderId="9" xfId="0" applyNumberFormat="1" applyFont="1" applyFill="1" applyBorder="1" applyAlignment="1">
      <alignment horizontal="right" vertical="center" wrapText="1"/>
    </xf>
    <xf numFmtId="49" fontId="19" fillId="3" borderId="9" xfId="0" applyNumberFormat="1" applyFont="1" applyFill="1" applyBorder="1" applyAlignment="1">
      <alignment vertical="center" wrapText="1"/>
    </xf>
    <xf numFmtId="0" fontId="15" fillId="3" borderId="0" xfId="0" applyFont="1" applyFill="1"/>
    <xf numFmtId="0" fontId="9" fillId="2" borderId="13" xfId="0" applyFont="1" applyFill="1" applyBorder="1" applyAlignment="1">
      <alignment horizontal="center" vertical="center" wrapText="1"/>
    </xf>
    <xf numFmtId="1" fontId="9" fillId="2" borderId="13" xfId="0" applyNumberFormat="1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20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3" fontId="12" fillId="3" borderId="0" xfId="0" applyNumberFormat="1" applyFont="1" applyFill="1"/>
    <xf numFmtId="164" fontId="9" fillId="4" borderId="9" xfId="0" applyNumberFormat="1" applyFont="1" applyFill="1" applyBorder="1" applyAlignment="1">
      <alignment horizontal="right" vertical="center" wrapText="1"/>
    </xf>
    <xf numFmtId="3" fontId="9" fillId="4" borderId="9" xfId="0" applyNumberFormat="1" applyFont="1" applyFill="1" applyBorder="1" applyAlignment="1">
      <alignment horizontal="right" vertical="center" wrapText="1"/>
    </xf>
    <xf numFmtId="49" fontId="9" fillId="4" borderId="9" xfId="0" applyNumberFormat="1" applyFont="1" applyFill="1" applyBorder="1" applyAlignment="1">
      <alignment vertical="center" wrapText="1"/>
    </xf>
    <xf numFmtId="164" fontId="18" fillId="7" borderId="9" xfId="0" applyNumberFormat="1" applyFont="1" applyFill="1" applyBorder="1" applyAlignment="1">
      <alignment horizontal="right" vertical="center" wrapText="1"/>
    </xf>
    <xf numFmtId="49" fontId="19" fillId="3" borderId="9" xfId="0" applyNumberFormat="1" applyFont="1" applyFill="1" applyBorder="1" applyAlignment="1">
      <alignment horizontal="left" vertical="center" wrapText="1"/>
    </xf>
    <xf numFmtId="164" fontId="18" fillId="8" borderId="9" xfId="0" applyNumberFormat="1" applyFont="1" applyFill="1" applyBorder="1" applyAlignment="1">
      <alignment horizontal="right" vertical="center" wrapText="1"/>
    </xf>
    <xf numFmtId="0" fontId="0" fillId="3" borderId="0" xfId="0" applyFill="1"/>
    <xf numFmtId="0" fontId="14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justify" vertical="center"/>
    </xf>
    <xf numFmtId="3" fontId="15" fillId="3" borderId="0" xfId="0" applyNumberFormat="1" applyFont="1" applyFill="1"/>
    <xf numFmtId="164" fontId="9" fillId="9" borderId="9" xfId="0" applyNumberFormat="1" applyFont="1" applyFill="1" applyBorder="1" applyAlignment="1">
      <alignment horizontal="right" vertical="center" wrapText="1"/>
    </xf>
    <xf numFmtId="3" fontId="9" fillId="9" borderId="9" xfId="0" applyNumberFormat="1" applyFont="1" applyFill="1" applyBorder="1" applyAlignment="1">
      <alignment horizontal="right" vertical="center" wrapText="1"/>
    </xf>
    <xf numFmtId="49" fontId="9" fillId="9" borderId="10" xfId="0" applyNumberFormat="1" applyFont="1" applyFill="1" applyBorder="1" applyAlignment="1">
      <alignment vertical="center" wrapText="1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5" fillId="0" borderId="1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5" fillId="3" borderId="0" xfId="0" applyFont="1" applyFill="1" applyAlignment="1">
      <alignment horizontal="center" wrapText="1"/>
    </xf>
    <xf numFmtId="49" fontId="10" fillId="3" borderId="13" xfId="1" applyNumberFormat="1" applyFont="1" applyFill="1" applyBorder="1" applyAlignment="1">
      <alignment horizontal="center" vertical="center" wrapText="1"/>
    </xf>
    <xf numFmtId="49" fontId="10" fillId="3" borderId="14" xfId="1" applyNumberFormat="1" applyFont="1" applyFill="1" applyBorder="1" applyAlignment="1">
      <alignment horizontal="center" vertical="center" wrapText="1"/>
    </xf>
    <xf numFmtId="49" fontId="10" fillId="3" borderId="12" xfId="1" applyNumberFormat="1" applyFont="1" applyFill="1" applyBorder="1" applyAlignment="1">
      <alignment horizontal="center" vertical="center" wrapText="1"/>
    </xf>
    <xf numFmtId="49" fontId="9" fillId="4" borderId="11" xfId="0" applyNumberFormat="1" applyFont="1" applyFill="1" applyBorder="1" applyAlignment="1">
      <alignment horizontal="center" vertical="center" wrapText="1"/>
    </xf>
    <xf numFmtId="49" fontId="9" fillId="4" borderId="10" xfId="0" applyNumberFormat="1" applyFont="1" applyFill="1" applyBorder="1" applyAlignment="1">
      <alignment horizontal="center" vertical="center" wrapText="1"/>
    </xf>
    <xf numFmtId="0" fontId="21" fillId="0" borderId="0" xfId="0" applyFont="1" applyBorder="1" applyAlignment="1">
      <alignment horizontal="center" vertical="center" wrapText="1"/>
    </xf>
    <xf numFmtId="0" fontId="22" fillId="3" borderId="0" xfId="0" applyFont="1" applyFill="1" applyBorder="1" applyAlignment="1">
      <alignment horizontal="center" vertical="distributed"/>
    </xf>
    <xf numFmtId="0" fontId="22" fillId="3" borderId="16" xfId="0" applyFont="1" applyFill="1" applyBorder="1" applyAlignment="1">
      <alignment horizontal="center" vertical="distributed"/>
    </xf>
    <xf numFmtId="49" fontId="19" fillId="3" borderId="13" xfId="0" applyNumberFormat="1" applyFont="1" applyFill="1" applyBorder="1" applyAlignment="1">
      <alignment horizontal="center" vertical="center" wrapText="1"/>
    </xf>
    <xf numFmtId="49" fontId="19" fillId="3" borderId="12" xfId="0" applyNumberFormat="1" applyFont="1" applyFill="1" applyBorder="1" applyAlignment="1">
      <alignment horizontal="center" vertical="center" wrapText="1"/>
    </xf>
    <xf numFmtId="49" fontId="19" fillId="3" borderId="14" xfId="0" applyNumberFormat="1" applyFont="1" applyFill="1" applyBorder="1" applyAlignment="1">
      <alignment horizontal="center" vertical="center" wrapText="1"/>
    </xf>
    <xf numFmtId="0" fontId="24" fillId="0" borderId="0" xfId="0" applyFont="1" applyBorder="1" applyAlignment="1">
      <alignment horizontal="center" vertical="center" wrapText="1"/>
    </xf>
  </cellXfs>
  <cellStyles count="4">
    <cellStyle name="Hipervínculo" xfId="2" builtinId="8" customBuiltin="1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17822" y="73741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QUINTANA ROO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QUINTANA ROO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QUINTANA ROO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QUINTANA ROO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1266265</xdr:colOff>
      <xdr:row>2</xdr:row>
      <xdr:rowOff>89647</xdr:rowOff>
    </xdr:from>
    <xdr:to>
      <xdr:col>4</xdr:col>
      <xdr:colOff>2029465</xdr:colOff>
      <xdr:row>3</xdr:row>
      <xdr:rowOff>316747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905500" y="437029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200025</xdr:colOff>
      <xdr:row>2</xdr:row>
      <xdr:rowOff>133350</xdr:rowOff>
    </xdr:from>
    <xdr:to>
      <xdr:col>6</xdr:col>
      <xdr:colOff>582225</xdr:colOff>
      <xdr:row>3</xdr:row>
      <xdr:rowOff>360450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10200" y="4667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161925</xdr:colOff>
      <xdr:row>2</xdr:row>
      <xdr:rowOff>133350</xdr:rowOff>
    </xdr:from>
    <xdr:to>
      <xdr:col>7</xdr:col>
      <xdr:colOff>544125</xdr:colOff>
      <xdr:row>3</xdr:row>
      <xdr:rowOff>360450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343650" y="4667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QUINTANA ROO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="93" zoomScaleNormal="100" zoomScaleSheetLayoutView="93" workbookViewId="0">
      <selection activeCell="D10" sqref="D10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81" t="s">
        <v>17</v>
      </c>
      <c r="B1" s="82"/>
      <c r="C1" s="82"/>
      <c r="D1" s="83"/>
    </row>
    <row r="2" spans="1:4" x14ac:dyDescent="0.35">
      <c r="A2" s="2"/>
      <c r="B2" s="3"/>
      <c r="C2" s="3"/>
      <c r="D2" s="4"/>
    </row>
    <row r="3" spans="1:4" x14ac:dyDescent="0.35">
      <c r="A3" s="84" t="s">
        <v>16</v>
      </c>
      <c r="B3" s="85"/>
      <c r="C3" s="85"/>
      <c r="D3" s="86"/>
    </row>
    <row r="4" spans="1:4" x14ac:dyDescent="0.35">
      <c r="A4" s="84"/>
      <c r="B4" s="85"/>
      <c r="C4" s="85"/>
      <c r="D4" s="86"/>
    </row>
    <row r="5" spans="1:4" x14ac:dyDescent="0.35">
      <c r="A5" s="14"/>
      <c r="B5" s="15"/>
      <c r="C5" s="15"/>
      <c r="D5" s="16"/>
    </row>
    <row r="6" spans="1:4" x14ac:dyDescent="0.35">
      <c r="A6" s="80" t="s">
        <v>0</v>
      </c>
      <c r="B6" s="78"/>
      <c r="C6" s="78"/>
      <c r="D6" s="79"/>
    </row>
    <row r="7" spans="1:4" x14ac:dyDescent="0.35">
      <c r="A7" s="5"/>
      <c r="B7" s="6"/>
      <c r="C7" s="6"/>
      <c r="D7" s="7"/>
    </row>
    <row r="8" spans="1:4" x14ac:dyDescent="0.35">
      <c r="A8" s="80" t="s">
        <v>1</v>
      </c>
      <c r="B8" s="78"/>
      <c r="C8" s="78"/>
      <c r="D8" s="79"/>
    </row>
    <row r="9" spans="1:4" x14ac:dyDescent="0.35">
      <c r="A9" s="8"/>
      <c r="B9" s="78" t="s">
        <v>10</v>
      </c>
      <c r="C9" s="78"/>
      <c r="D9" s="79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78" t="s">
        <v>2</v>
      </c>
      <c r="C12" s="78"/>
      <c r="D12" s="79"/>
    </row>
    <row r="13" spans="1:4" x14ac:dyDescent="0.35">
      <c r="A13" s="8"/>
      <c r="B13" s="78" t="s">
        <v>3</v>
      </c>
      <c r="C13" s="78"/>
      <c r="D13" s="79"/>
    </row>
    <row r="14" spans="1:4" x14ac:dyDescent="0.35">
      <c r="A14" s="8"/>
      <c r="B14" s="78" t="s">
        <v>4</v>
      </c>
      <c r="C14" s="78"/>
      <c r="D14" s="79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78" t="s">
        <v>11</v>
      </c>
      <c r="C17" s="78"/>
      <c r="D17" s="79"/>
    </row>
    <row r="18" spans="1:4" x14ac:dyDescent="0.35">
      <c r="A18" s="8"/>
      <c r="B18" s="78" t="s">
        <v>12</v>
      </c>
      <c r="C18" s="78"/>
      <c r="D18" s="79"/>
    </row>
    <row r="19" spans="1:4" x14ac:dyDescent="0.35">
      <c r="A19" s="8"/>
      <c r="B19" s="78" t="s">
        <v>13</v>
      </c>
      <c r="C19" s="78"/>
      <c r="D19" s="79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78" t="s">
        <v>14</v>
      </c>
      <c r="C22" s="78"/>
      <c r="D22" s="79"/>
    </row>
    <row r="23" spans="1:4" x14ac:dyDescent="0.35">
      <c r="A23" s="8"/>
      <c r="B23" s="78" t="s">
        <v>15</v>
      </c>
      <c r="C23" s="78"/>
      <c r="D23" s="79"/>
    </row>
    <row r="24" spans="1:4" x14ac:dyDescent="0.35">
      <c r="A24" s="8"/>
      <c r="B24" s="9"/>
      <c r="C24" s="9"/>
      <c r="D24" s="10"/>
    </row>
    <row r="25" spans="1:4" x14ac:dyDescent="0.35">
      <c r="A25" s="80" t="s">
        <v>6</v>
      </c>
      <c r="B25" s="78"/>
      <c r="C25" s="78"/>
      <c r="D25" s="79"/>
    </row>
    <row r="26" spans="1:4" x14ac:dyDescent="0.35">
      <c r="A26" s="8"/>
      <c r="B26" s="9"/>
      <c r="C26" s="9"/>
      <c r="D26" s="10"/>
    </row>
    <row r="27" spans="1:4" x14ac:dyDescent="0.35">
      <c r="A27" s="80" t="s">
        <v>7</v>
      </c>
      <c r="B27" s="78"/>
      <c r="C27" s="78"/>
      <c r="D27" s="79"/>
    </row>
    <row r="28" spans="1:4" ht="18.75" thickBot="1" x14ac:dyDescent="0.4">
      <c r="A28" s="11"/>
      <c r="B28" s="12"/>
      <c r="C28" s="12"/>
      <c r="D28" s="13"/>
    </row>
  </sheetData>
  <mergeCells count="15">
    <mergeCell ref="A1:D1"/>
    <mergeCell ref="A3:D4"/>
    <mergeCell ref="A6:D6"/>
    <mergeCell ref="A8:D8"/>
    <mergeCell ref="B9:D9"/>
    <mergeCell ref="B12:D12"/>
    <mergeCell ref="B13:D13"/>
    <mergeCell ref="B14:D14"/>
    <mergeCell ref="B17:D17"/>
    <mergeCell ref="B18:D18"/>
    <mergeCell ref="B19:D19"/>
    <mergeCell ref="B22:D22"/>
    <mergeCell ref="B23:D23"/>
    <mergeCell ref="A25:D25"/>
    <mergeCell ref="A27:D27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A6:D6" location="'Quintana Roo_EdoUsa'!A1" display="1. Por Estados de USA"/>
    <hyperlink ref="A8:D8" location="'Quintana Roo_Cons_2018'!A1" display="2. Por Circunscripción Consular"/>
    <hyperlink ref="B9:D9" location="'Quintana RooXCons2018'!A1" display="2.1 Top ten por circunscripción consular"/>
    <hyperlink ref="B12:D12" location="'Quintana Roo_EdoMun'!A1" display="3.1 Municipio general"/>
    <hyperlink ref="B13:D13" location="'Quintana Roo_USAMuni2018'!A1" display="3.2 Por Estado de USA"/>
    <hyperlink ref="B14:D14" location="'Quintana Roo_MUNICIPIO'!A1" display="3.3 Por Circunscripción Consular"/>
    <hyperlink ref="B17:D17" location="'Quintana Roo_educ_gral'!A1" display="4.1 Educación general"/>
    <hyperlink ref="B18:D18" location="'Quintana Roo_NivelE_Cons'!A1" display="4.2 Por Estado de USA"/>
    <hyperlink ref="B19:D19" location="'Quintana Roo_EducCons'!A1" display="4.3 Por Circunscripción Consular"/>
    <hyperlink ref="B22:D22" location="'Quintana Roo_GenGral'!A1" display="5.1 Género General"/>
    <hyperlink ref="B23:D23" location="'Quintana Roo_GENERO'!A1" display="5.2 Por Circunscripción Consular"/>
    <hyperlink ref="A25:D25" location="'Quintana Roo_Gen_Edad'!A1" display="6. Por estructura de Edad"/>
    <hyperlink ref="A27:D27" location="'Quintana Roo_ocup_gral'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69"/>
  <sheetViews>
    <sheetView showGridLines="0" zoomScaleNormal="100" zoomScaleSheetLayoutView="115" workbookViewId="0">
      <selection activeCell="H17" sqref="H17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8"/>
    </row>
    <row r="2" spans="1:4" s="31" customFormat="1" ht="15" customHeight="1" x14ac:dyDescent="0.2">
      <c r="C2" s="58"/>
    </row>
    <row r="3" spans="1:4" s="31" customFormat="1" ht="15" customHeight="1" x14ac:dyDescent="0.2">
      <c r="A3" s="31" t="s">
        <v>104</v>
      </c>
      <c r="C3" s="58"/>
    </row>
    <row r="4" spans="1:4" s="31" customFormat="1" ht="30" customHeight="1" x14ac:dyDescent="0.2">
      <c r="C4" s="58"/>
      <c r="D4" s="57"/>
    </row>
    <row r="5" spans="1:4" s="31" customFormat="1" ht="15" customHeight="1" x14ac:dyDescent="0.2">
      <c r="C5" s="58"/>
      <c r="D5" s="57"/>
    </row>
    <row r="6" spans="1:4" s="31" customFormat="1" ht="15" customHeight="1" x14ac:dyDescent="0.2">
      <c r="C6" s="58"/>
      <c r="D6" s="57"/>
    </row>
    <row r="7" spans="1:4" s="31" customFormat="1" ht="15" customHeight="1" x14ac:dyDescent="0.2">
      <c r="B7" s="93" t="s">
        <v>204</v>
      </c>
      <c r="C7" s="93"/>
      <c r="D7" s="93"/>
    </row>
    <row r="8" spans="1:4" s="31" customFormat="1" ht="15" customHeight="1" x14ac:dyDescent="0.2">
      <c r="B8" s="93"/>
      <c r="C8" s="93"/>
      <c r="D8" s="93"/>
    </row>
    <row r="9" spans="1:4" s="31" customFormat="1" ht="33" customHeight="1" x14ac:dyDescent="0.2">
      <c r="B9" s="93"/>
      <c r="C9" s="93"/>
      <c r="D9" s="93"/>
    </row>
    <row r="10" spans="1:4" s="31" customFormat="1" ht="4.5" customHeight="1" x14ac:dyDescent="0.2">
      <c r="B10" s="56"/>
      <c r="C10" s="56"/>
      <c r="D10" s="56"/>
    </row>
    <row r="11" spans="1:4" s="31" customFormat="1" ht="33" customHeight="1" x14ac:dyDescent="0.2">
      <c r="B11" s="55" t="s">
        <v>203</v>
      </c>
      <c r="C11" s="54" t="s">
        <v>73</v>
      </c>
      <c r="D11" s="53" t="s">
        <v>72</v>
      </c>
    </row>
    <row r="12" spans="1:4" x14ac:dyDescent="0.25">
      <c r="B12" s="51" t="s">
        <v>68</v>
      </c>
      <c r="C12" s="50">
        <v>204</v>
      </c>
      <c r="D12" s="49">
        <v>0.30493273542600896</v>
      </c>
    </row>
    <row r="13" spans="1:4" s="52" customFormat="1" ht="15.75" x14ac:dyDescent="0.25">
      <c r="A13" s="43"/>
      <c r="B13" s="51" t="s">
        <v>36</v>
      </c>
      <c r="C13" s="50">
        <v>84</v>
      </c>
      <c r="D13" s="49">
        <v>0.12556053811659193</v>
      </c>
    </row>
    <row r="14" spans="1:4" s="52" customFormat="1" ht="15.75" x14ac:dyDescent="0.25">
      <c r="A14" s="43"/>
      <c r="B14" s="51" t="s">
        <v>71</v>
      </c>
      <c r="C14" s="50">
        <v>60</v>
      </c>
      <c r="D14" s="49">
        <v>8.9686098654708515E-2</v>
      </c>
    </row>
    <row r="15" spans="1:4" x14ac:dyDescent="0.25">
      <c r="B15" s="51" t="s">
        <v>62</v>
      </c>
      <c r="C15" s="50">
        <v>29</v>
      </c>
      <c r="D15" s="49">
        <v>4.3348281016442454E-2</v>
      </c>
    </row>
    <row r="16" spans="1:4" x14ac:dyDescent="0.25">
      <c r="B16" s="51" t="s">
        <v>43</v>
      </c>
      <c r="C16" s="50">
        <v>28</v>
      </c>
      <c r="D16" s="49">
        <v>4.1853512705530643E-2</v>
      </c>
    </row>
    <row r="17" spans="2:4" x14ac:dyDescent="0.25">
      <c r="B17" s="51" t="s">
        <v>63</v>
      </c>
      <c r="C17" s="50">
        <v>26</v>
      </c>
      <c r="D17" s="49">
        <v>3.8863976083707022E-2</v>
      </c>
    </row>
    <row r="18" spans="2:4" x14ac:dyDescent="0.25">
      <c r="B18" s="51" t="s">
        <v>33</v>
      </c>
      <c r="C18" s="50">
        <v>26</v>
      </c>
      <c r="D18" s="49">
        <v>3.8863976083707022E-2</v>
      </c>
    </row>
    <row r="19" spans="2:4" x14ac:dyDescent="0.25">
      <c r="B19" s="51" t="s">
        <v>61</v>
      </c>
      <c r="C19" s="50">
        <v>23</v>
      </c>
      <c r="D19" s="49">
        <v>3.4379671150971597E-2</v>
      </c>
    </row>
    <row r="20" spans="2:4" x14ac:dyDescent="0.25">
      <c r="B20" s="51" t="s">
        <v>37</v>
      </c>
      <c r="C20" s="50">
        <v>17</v>
      </c>
      <c r="D20" s="49">
        <v>2.5411061285500747E-2</v>
      </c>
    </row>
    <row r="21" spans="2:4" x14ac:dyDescent="0.25">
      <c r="B21" s="51" t="s">
        <v>67</v>
      </c>
      <c r="C21" s="50">
        <v>14</v>
      </c>
      <c r="D21" s="49">
        <v>2.0926756352765322E-2</v>
      </c>
    </row>
    <row r="22" spans="2:4" x14ac:dyDescent="0.25">
      <c r="B22" s="51" t="s">
        <v>28</v>
      </c>
      <c r="C22" s="50">
        <v>13</v>
      </c>
      <c r="D22" s="49">
        <v>1.9431988041853511E-2</v>
      </c>
    </row>
    <row r="23" spans="2:4" x14ac:dyDescent="0.25">
      <c r="B23" s="51" t="s">
        <v>58</v>
      </c>
      <c r="C23" s="50">
        <v>12</v>
      </c>
      <c r="D23" s="49">
        <v>1.7937219730941704E-2</v>
      </c>
    </row>
    <row r="24" spans="2:4" x14ac:dyDescent="0.25">
      <c r="B24" s="51" t="s">
        <v>40</v>
      </c>
      <c r="C24" s="50">
        <v>11</v>
      </c>
      <c r="D24" s="49">
        <v>1.6442451420029897E-2</v>
      </c>
    </row>
    <row r="25" spans="2:4" x14ac:dyDescent="0.25">
      <c r="B25" s="51" t="s">
        <v>38</v>
      </c>
      <c r="C25" s="50">
        <v>11</v>
      </c>
      <c r="D25" s="49">
        <v>1.6442451420029897E-2</v>
      </c>
    </row>
    <row r="26" spans="2:4" x14ac:dyDescent="0.25">
      <c r="B26" s="51" t="s">
        <v>69</v>
      </c>
      <c r="C26" s="50">
        <v>9</v>
      </c>
      <c r="D26" s="49">
        <v>1.3452914798206279E-2</v>
      </c>
    </row>
    <row r="27" spans="2:4" x14ac:dyDescent="0.25">
      <c r="B27" s="51" t="s">
        <v>35</v>
      </c>
      <c r="C27" s="50">
        <v>9</v>
      </c>
      <c r="D27" s="49">
        <v>1.3452914798206279E-2</v>
      </c>
    </row>
    <row r="28" spans="2:4" x14ac:dyDescent="0.25">
      <c r="B28" s="51" t="s">
        <v>52</v>
      </c>
      <c r="C28" s="50">
        <v>8</v>
      </c>
      <c r="D28" s="49">
        <v>1.195814648729447E-2</v>
      </c>
    </row>
    <row r="29" spans="2:4" x14ac:dyDescent="0.25">
      <c r="B29" s="51" t="s">
        <v>49</v>
      </c>
      <c r="C29" s="50">
        <v>8</v>
      </c>
      <c r="D29" s="49">
        <v>1.195814648729447E-2</v>
      </c>
    </row>
    <row r="30" spans="2:4" x14ac:dyDescent="0.25">
      <c r="B30" s="51" t="s">
        <v>60</v>
      </c>
      <c r="C30" s="50">
        <v>7</v>
      </c>
      <c r="D30" s="49">
        <v>1.0463378176382661E-2</v>
      </c>
    </row>
    <row r="31" spans="2:4" x14ac:dyDescent="0.25">
      <c r="B31" s="51" t="s">
        <v>44</v>
      </c>
      <c r="C31" s="50">
        <v>7</v>
      </c>
      <c r="D31" s="49">
        <v>1.0463378176382661E-2</v>
      </c>
    </row>
    <row r="32" spans="2:4" x14ac:dyDescent="0.25">
      <c r="B32" s="51" t="s">
        <v>56</v>
      </c>
      <c r="C32" s="50">
        <v>6</v>
      </c>
      <c r="D32" s="49">
        <v>8.9686098654708519E-3</v>
      </c>
    </row>
    <row r="33" spans="2:4" x14ac:dyDescent="0.25">
      <c r="B33" s="51" t="s">
        <v>47</v>
      </c>
      <c r="C33" s="50">
        <v>6</v>
      </c>
      <c r="D33" s="49">
        <v>8.9686098654708519E-3</v>
      </c>
    </row>
    <row r="34" spans="2:4" x14ac:dyDescent="0.25">
      <c r="B34" s="51" t="s">
        <v>53</v>
      </c>
      <c r="C34" s="50">
        <v>5</v>
      </c>
      <c r="D34" s="49">
        <v>7.4738415545590429E-3</v>
      </c>
    </row>
    <row r="35" spans="2:4" x14ac:dyDescent="0.25">
      <c r="B35" s="51" t="s">
        <v>46</v>
      </c>
      <c r="C35" s="50">
        <v>5</v>
      </c>
      <c r="D35" s="49">
        <v>7.4738415545590429E-3</v>
      </c>
    </row>
    <row r="36" spans="2:4" x14ac:dyDescent="0.25">
      <c r="B36" s="51" t="s">
        <v>41</v>
      </c>
      <c r="C36" s="50">
        <v>5</v>
      </c>
      <c r="D36" s="49">
        <v>7.4738415545590429E-3</v>
      </c>
    </row>
    <row r="37" spans="2:4" x14ac:dyDescent="0.25">
      <c r="B37" s="51" t="s">
        <v>25</v>
      </c>
      <c r="C37" s="50">
        <v>5</v>
      </c>
      <c r="D37" s="49">
        <v>7.4738415545590429E-3</v>
      </c>
    </row>
    <row r="38" spans="2:4" x14ac:dyDescent="0.25">
      <c r="B38" s="51" t="s">
        <v>45</v>
      </c>
      <c r="C38" s="50">
        <v>4</v>
      </c>
      <c r="D38" s="49">
        <v>5.9790732436472349E-3</v>
      </c>
    </row>
    <row r="39" spans="2:4" x14ac:dyDescent="0.25">
      <c r="B39" s="51" t="s">
        <v>42</v>
      </c>
      <c r="C39" s="50">
        <v>4</v>
      </c>
      <c r="D39" s="49">
        <v>5.9790732436472349E-3</v>
      </c>
    </row>
    <row r="40" spans="2:4" x14ac:dyDescent="0.25">
      <c r="B40" s="51" t="s">
        <v>39</v>
      </c>
      <c r="C40" s="50">
        <v>4</v>
      </c>
      <c r="D40" s="49">
        <v>5.9790732436472349E-3</v>
      </c>
    </row>
    <row r="41" spans="2:4" x14ac:dyDescent="0.25">
      <c r="B41" s="51" t="s">
        <v>70</v>
      </c>
      <c r="C41" s="50">
        <v>3</v>
      </c>
      <c r="D41" s="49">
        <v>4.4843049327354259E-3</v>
      </c>
    </row>
    <row r="42" spans="2:4" x14ac:dyDescent="0.25">
      <c r="B42" s="51" t="s">
        <v>59</v>
      </c>
      <c r="C42" s="50">
        <v>3</v>
      </c>
      <c r="D42" s="49">
        <v>4.4843049327354259E-3</v>
      </c>
    </row>
    <row r="43" spans="2:4" x14ac:dyDescent="0.25">
      <c r="B43" s="51" t="s">
        <v>66</v>
      </c>
      <c r="C43" s="50">
        <v>2</v>
      </c>
      <c r="D43" s="49">
        <v>2.9895366218236174E-3</v>
      </c>
    </row>
    <row r="44" spans="2:4" x14ac:dyDescent="0.25">
      <c r="B44" s="51" t="s">
        <v>57</v>
      </c>
      <c r="C44" s="50">
        <v>2</v>
      </c>
      <c r="D44" s="49">
        <v>2.9895366218236174E-3</v>
      </c>
    </row>
    <row r="45" spans="2:4" x14ac:dyDescent="0.25">
      <c r="B45" s="51" t="s">
        <v>50</v>
      </c>
      <c r="C45" s="50">
        <v>2</v>
      </c>
      <c r="D45" s="49">
        <v>2.9895366218236174E-3</v>
      </c>
    </row>
    <row r="46" spans="2:4" x14ac:dyDescent="0.25">
      <c r="B46" s="51" t="s">
        <v>48</v>
      </c>
      <c r="C46" s="50">
        <v>2</v>
      </c>
      <c r="D46" s="49">
        <v>2.9895366218236174E-3</v>
      </c>
    </row>
    <row r="47" spans="2:4" x14ac:dyDescent="0.25">
      <c r="B47" s="51" t="s">
        <v>65</v>
      </c>
      <c r="C47" s="50">
        <v>1</v>
      </c>
      <c r="D47" s="49">
        <v>1.4947683109118087E-3</v>
      </c>
    </row>
    <row r="48" spans="2:4" x14ac:dyDescent="0.25">
      <c r="B48" s="51" t="s">
        <v>64</v>
      </c>
      <c r="C48" s="50">
        <v>1</v>
      </c>
      <c r="D48" s="49">
        <v>1.4947683109118087E-3</v>
      </c>
    </row>
    <row r="49" spans="2:4" x14ac:dyDescent="0.25">
      <c r="B49" s="51" t="s">
        <v>55</v>
      </c>
      <c r="C49" s="50">
        <v>1</v>
      </c>
      <c r="D49" s="49">
        <v>1.4947683109118087E-3</v>
      </c>
    </row>
    <row r="50" spans="2:4" x14ac:dyDescent="0.25">
      <c r="B50" s="51" t="s">
        <v>54</v>
      </c>
      <c r="C50" s="50">
        <v>1</v>
      </c>
      <c r="D50" s="49">
        <v>1.4947683109118087E-3</v>
      </c>
    </row>
    <row r="51" spans="2:4" x14ac:dyDescent="0.25">
      <c r="B51" s="51" t="s">
        <v>34</v>
      </c>
      <c r="C51" s="50">
        <v>1</v>
      </c>
      <c r="D51" s="49">
        <v>1.4947683109118087E-3</v>
      </c>
    </row>
    <row r="52" spans="2:4" ht="15" customHeight="1" x14ac:dyDescent="0.25">
      <c r="B52" s="48" t="s">
        <v>23</v>
      </c>
      <c r="C52" s="47">
        <v>669</v>
      </c>
      <c r="D52" s="46">
        <v>1</v>
      </c>
    </row>
    <row r="65" spans="2:2" x14ac:dyDescent="0.25">
      <c r="B65" s="19" t="s">
        <v>22</v>
      </c>
    </row>
    <row r="66" spans="2:2" x14ac:dyDescent="0.25">
      <c r="B66" s="21" t="s">
        <v>21</v>
      </c>
    </row>
    <row r="67" spans="2:2" x14ac:dyDescent="0.25">
      <c r="B67" s="20" t="s">
        <v>20</v>
      </c>
    </row>
    <row r="68" spans="2:2" x14ac:dyDescent="0.25">
      <c r="B68" s="19" t="s">
        <v>19</v>
      </c>
    </row>
    <row r="69" spans="2:2" x14ac:dyDescent="0.25">
      <c r="B69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>
      <selection activeCell="H16" sqref="H16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8"/>
    </row>
    <row r="2" spans="1:4" s="31" customFormat="1" ht="15" customHeight="1" x14ac:dyDescent="0.2">
      <c r="C2" s="58"/>
    </row>
    <row r="3" spans="1:4" s="31" customFormat="1" ht="15" customHeight="1" x14ac:dyDescent="0.2">
      <c r="A3" s="31" t="s">
        <v>104</v>
      </c>
      <c r="C3" s="58"/>
    </row>
    <row r="4" spans="1:4" s="31" customFormat="1" ht="30" customHeight="1" x14ac:dyDescent="0.2">
      <c r="C4" s="58"/>
      <c r="D4" s="57"/>
    </row>
    <row r="5" spans="1:4" s="31" customFormat="1" ht="15" customHeight="1" x14ac:dyDescent="0.2">
      <c r="C5" s="58"/>
      <c r="D5" s="57"/>
    </row>
    <row r="6" spans="1:4" s="31" customFormat="1" ht="15" customHeight="1" x14ac:dyDescent="0.2">
      <c r="C6" s="58"/>
      <c r="D6" s="57"/>
    </row>
    <row r="7" spans="1:4" s="31" customFormat="1" ht="15" customHeight="1" x14ac:dyDescent="0.2">
      <c r="B7" s="93" t="s">
        <v>179</v>
      </c>
      <c r="C7" s="93"/>
      <c r="D7" s="93"/>
    </row>
    <row r="8" spans="1:4" s="31" customFormat="1" ht="15" customHeight="1" x14ac:dyDescent="0.2">
      <c r="B8" s="93"/>
      <c r="C8" s="93"/>
      <c r="D8" s="93"/>
    </row>
    <row r="9" spans="1:4" s="31" customFormat="1" ht="33" customHeight="1" x14ac:dyDescent="0.2">
      <c r="B9" s="93"/>
      <c r="C9" s="93"/>
      <c r="D9" s="93"/>
    </row>
    <row r="10" spans="1:4" s="31" customFormat="1" ht="4.5" customHeight="1" x14ac:dyDescent="0.2">
      <c r="B10" s="56"/>
      <c r="C10" s="56"/>
      <c r="D10" s="56"/>
    </row>
    <row r="11" spans="1:4" s="31" customFormat="1" ht="33" customHeight="1" x14ac:dyDescent="0.2">
      <c r="B11" s="55" t="s">
        <v>147</v>
      </c>
      <c r="C11" s="54" t="s">
        <v>73</v>
      </c>
      <c r="D11" s="53" t="s">
        <v>72</v>
      </c>
    </row>
    <row r="12" spans="1:4" ht="15" customHeight="1" x14ac:dyDescent="0.25">
      <c r="B12" s="51" t="s">
        <v>109</v>
      </c>
      <c r="C12" s="50">
        <v>106</v>
      </c>
      <c r="D12" s="49">
        <f t="shared" ref="D12:D43" si="0">C12/$C$62</f>
        <v>0.15844544095665172</v>
      </c>
    </row>
    <row r="13" spans="1:4" x14ac:dyDescent="0.25">
      <c r="B13" s="51" t="s">
        <v>145</v>
      </c>
      <c r="C13" s="50">
        <v>99</v>
      </c>
      <c r="D13" s="49">
        <f t="shared" si="0"/>
        <v>0.14798206278026907</v>
      </c>
    </row>
    <row r="14" spans="1:4" s="52" customFormat="1" ht="15.75" x14ac:dyDescent="0.25">
      <c r="A14" s="43"/>
      <c r="B14" s="51" t="s">
        <v>116</v>
      </c>
      <c r="C14" s="50">
        <v>39</v>
      </c>
      <c r="D14" s="49">
        <f t="shared" si="0"/>
        <v>5.829596412556054E-2</v>
      </c>
    </row>
    <row r="15" spans="1:4" s="52" customFormat="1" ht="15.75" x14ac:dyDescent="0.25">
      <c r="A15" s="43"/>
      <c r="B15" s="51" t="s">
        <v>178</v>
      </c>
      <c r="C15" s="50">
        <v>35</v>
      </c>
      <c r="D15" s="49">
        <f t="shared" si="0"/>
        <v>5.2316890881913304E-2</v>
      </c>
    </row>
    <row r="16" spans="1:4" x14ac:dyDescent="0.25">
      <c r="B16" s="51" t="s">
        <v>134</v>
      </c>
      <c r="C16" s="50">
        <v>29</v>
      </c>
      <c r="D16" s="49">
        <f t="shared" si="0"/>
        <v>4.3348281016442454E-2</v>
      </c>
    </row>
    <row r="17" spans="2:4" x14ac:dyDescent="0.25">
      <c r="B17" s="51" t="s">
        <v>28</v>
      </c>
      <c r="C17" s="50">
        <v>29</v>
      </c>
      <c r="D17" s="49">
        <f t="shared" si="0"/>
        <v>4.3348281016442454E-2</v>
      </c>
    </row>
    <row r="18" spans="2:4" x14ac:dyDescent="0.25">
      <c r="B18" s="51" t="s">
        <v>141</v>
      </c>
      <c r="C18" s="50">
        <v>28</v>
      </c>
      <c r="D18" s="49">
        <f t="shared" si="0"/>
        <v>4.1853512705530643E-2</v>
      </c>
    </row>
    <row r="19" spans="2:4" x14ac:dyDescent="0.25">
      <c r="B19" s="51" t="s">
        <v>140</v>
      </c>
      <c r="C19" s="50">
        <v>23</v>
      </c>
      <c r="D19" s="49">
        <f t="shared" si="0"/>
        <v>3.4379671150971597E-2</v>
      </c>
    </row>
    <row r="20" spans="2:4" x14ac:dyDescent="0.25">
      <c r="B20" s="51" t="s">
        <v>132</v>
      </c>
      <c r="C20" s="50">
        <v>20</v>
      </c>
      <c r="D20" s="49">
        <f t="shared" si="0"/>
        <v>2.9895366218236172E-2</v>
      </c>
    </row>
    <row r="21" spans="2:4" x14ac:dyDescent="0.25">
      <c r="B21" s="51" t="s">
        <v>129</v>
      </c>
      <c r="C21" s="50">
        <v>19</v>
      </c>
      <c r="D21" s="49">
        <f t="shared" si="0"/>
        <v>2.8400597907324365E-2</v>
      </c>
    </row>
    <row r="22" spans="2:4" x14ac:dyDescent="0.25">
      <c r="B22" s="51" t="s">
        <v>117</v>
      </c>
      <c r="C22" s="50">
        <v>17</v>
      </c>
      <c r="D22" s="49">
        <f t="shared" si="0"/>
        <v>2.5411061285500747E-2</v>
      </c>
    </row>
    <row r="23" spans="2:4" x14ac:dyDescent="0.25">
      <c r="B23" s="51" t="s">
        <v>120</v>
      </c>
      <c r="C23" s="50">
        <v>16</v>
      </c>
      <c r="D23" s="49">
        <f t="shared" si="0"/>
        <v>2.391629297458894E-2</v>
      </c>
    </row>
    <row r="24" spans="2:4" x14ac:dyDescent="0.25">
      <c r="B24" s="51" t="s">
        <v>139</v>
      </c>
      <c r="C24" s="50">
        <v>14</v>
      </c>
      <c r="D24" s="49">
        <f t="shared" si="0"/>
        <v>2.0926756352765322E-2</v>
      </c>
    </row>
    <row r="25" spans="2:4" x14ac:dyDescent="0.25">
      <c r="B25" s="51" t="s">
        <v>106</v>
      </c>
      <c r="C25" s="50">
        <v>12</v>
      </c>
      <c r="D25" s="49">
        <f t="shared" si="0"/>
        <v>1.7937219730941704E-2</v>
      </c>
    </row>
    <row r="26" spans="2:4" x14ac:dyDescent="0.25">
      <c r="B26" s="51" t="s">
        <v>144</v>
      </c>
      <c r="C26" s="50">
        <v>11</v>
      </c>
      <c r="D26" s="49">
        <f t="shared" si="0"/>
        <v>1.6442451420029897E-2</v>
      </c>
    </row>
    <row r="27" spans="2:4" x14ac:dyDescent="0.25">
      <c r="B27" s="51" t="s">
        <v>126</v>
      </c>
      <c r="C27" s="50">
        <v>11</v>
      </c>
      <c r="D27" s="49">
        <f t="shared" si="0"/>
        <v>1.6442451420029897E-2</v>
      </c>
    </row>
    <row r="28" spans="2:4" x14ac:dyDescent="0.25">
      <c r="B28" s="51" t="s">
        <v>122</v>
      </c>
      <c r="C28" s="50">
        <v>11</v>
      </c>
      <c r="D28" s="49">
        <f t="shared" si="0"/>
        <v>1.6442451420029897E-2</v>
      </c>
    </row>
    <row r="29" spans="2:4" x14ac:dyDescent="0.25">
      <c r="B29" s="51" t="s">
        <v>177</v>
      </c>
      <c r="C29" s="50">
        <v>10</v>
      </c>
      <c r="D29" s="49">
        <f t="shared" si="0"/>
        <v>1.4947683109118086E-2</v>
      </c>
    </row>
    <row r="30" spans="2:4" x14ac:dyDescent="0.25">
      <c r="B30" s="51" t="s">
        <v>111</v>
      </c>
      <c r="C30" s="50">
        <v>10</v>
      </c>
      <c r="D30" s="49">
        <f t="shared" si="0"/>
        <v>1.4947683109118086E-2</v>
      </c>
    </row>
    <row r="31" spans="2:4" x14ac:dyDescent="0.25">
      <c r="B31" s="51" t="s">
        <v>176</v>
      </c>
      <c r="C31" s="50">
        <v>10</v>
      </c>
      <c r="D31" s="49">
        <f t="shared" si="0"/>
        <v>1.4947683109118086E-2</v>
      </c>
    </row>
    <row r="32" spans="2:4" x14ac:dyDescent="0.25">
      <c r="B32" s="51" t="s">
        <v>175</v>
      </c>
      <c r="C32" s="50">
        <v>9</v>
      </c>
      <c r="D32" s="49">
        <f t="shared" si="0"/>
        <v>1.3452914798206279E-2</v>
      </c>
    </row>
    <row r="33" spans="2:4" x14ac:dyDescent="0.25">
      <c r="B33" s="51" t="s">
        <v>119</v>
      </c>
      <c r="C33" s="50">
        <v>9</v>
      </c>
      <c r="D33" s="49">
        <f t="shared" si="0"/>
        <v>1.3452914798206279E-2</v>
      </c>
    </row>
    <row r="34" spans="2:4" x14ac:dyDescent="0.25">
      <c r="B34" s="51" t="s">
        <v>113</v>
      </c>
      <c r="C34" s="50">
        <v>9</v>
      </c>
      <c r="D34" s="49">
        <f t="shared" si="0"/>
        <v>1.3452914798206279E-2</v>
      </c>
    </row>
    <row r="35" spans="2:4" x14ac:dyDescent="0.25">
      <c r="B35" s="51" t="s">
        <v>135</v>
      </c>
      <c r="C35" s="50">
        <v>8</v>
      </c>
      <c r="D35" s="49">
        <f t="shared" si="0"/>
        <v>1.195814648729447E-2</v>
      </c>
    </row>
    <row r="36" spans="2:4" x14ac:dyDescent="0.25">
      <c r="B36" s="51" t="s">
        <v>123</v>
      </c>
      <c r="C36" s="50">
        <v>8</v>
      </c>
      <c r="D36" s="49">
        <f t="shared" si="0"/>
        <v>1.195814648729447E-2</v>
      </c>
    </row>
    <row r="37" spans="2:4" x14ac:dyDescent="0.25">
      <c r="B37" s="51" t="s">
        <v>115</v>
      </c>
      <c r="C37" s="50">
        <v>8</v>
      </c>
      <c r="D37" s="49">
        <f t="shared" si="0"/>
        <v>1.195814648729447E-2</v>
      </c>
    </row>
    <row r="38" spans="2:4" x14ac:dyDescent="0.25">
      <c r="B38" s="51" t="s">
        <v>114</v>
      </c>
      <c r="C38" s="50">
        <v>8</v>
      </c>
      <c r="D38" s="49">
        <f t="shared" si="0"/>
        <v>1.195814648729447E-2</v>
      </c>
    </row>
    <row r="39" spans="2:4" x14ac:dyDescent="0.25">
      <c r="B39" s="51" t="s">
        <v>136</v>
      </c>
      <c r="C39" s="50">
        <v>7</v>
      </c>
      <c r="D39" s="49">
        <f t="shared" si="0"/>
        <v>1.0463378176382661E-2</v>
      </c>
    </row>
    <row r="40" spans="2:4" x14ac:dyDescent="0.25">
      <c r="B40" s="51" t="s">
        <v>105</v>
      </c>
      <c r="C40" s="50">
        <v>7</v>
      </c>
      <c r="D40" s="49">
        <f t="shared" si="0"/>
        <v>1.0463378176382661E-2</v>
      </c>
    </row>
    <row r="41" spans="2:4" x14ac:dyDescent="0.25">
      <c r="B41" s="51" t="s">
        <v>130</v>
      </c>
      <c r="C41" s="50">
        <v>6</v>
      </c>
      <c r="D41" s="49">
        <f t="shared" si="0"/>
        <v>8.9686098654708519E-3</v>
      </c>
    </row>
    <row r="42" spans="2:4" x14ac:dyDescent="0.25">
      <c r="B42" s="51" t="s">
        <v>110</v>
      </c>
      <c r="C42" s="50">
        <v>6</v>
      </c>
      <c r="D42" s="49">
        <f t="shared" si="0"/>
        <v>8.9686098654708519E-3</v>
      </c>
    </row>
    <row r="43" spans="2:4" x14ac:dyDescent="0.25">
      <c r="B43" s="51" t="s">
        <v>138</v>
      </c>
      <c r="C43" s="50">
        <v>5</v>
      </c>
      <c r="D43" s="49">
        <f t="shared" si="0"/>
        <v>7.4738415545590429E-3</v>
      </c>
    </row>
    <row r="44" spans="2:4" x14ac:dyDescent="0.25">
      <c r="B44" s="51" t="s">
        <v>125</v>
      </c>
      <c r="C44" s="50">
        <v>5</v>
      </c>
      <c r="D44" s="49">
        <f t="shared" ref="D44:D75" si="1">C44/$C$62</f>
        <v>7.4738415545590429E-3</v>
      </c>
    </row>
    <row r="45" spans="2:4" x14ac:dyDescent="0.25">
      <c r="B45" s="51" t="s">
        <v>121</v>
      </c>
      <c r="C45" s="50">
        <v>5</v>
      </c>
      <c r="D45" s="49">
        <f t="shared" si="1"/>
        <v>7.4738415545590429E-3</v>
      </c>
    </row>
    <row r="46" spans="2:4" x14ac:dyDescent="0.25">
      <c r="B46" s="51" t="s">
        <v>112</v>
      </c>
      <c r="C46" s="50">
        <v>5</v>
      </c>
      <c r="D46" s="49">
        <f t="shared" si="1"/>
        <v>7.4738415545590429E-3</v>
      </c>
    </row>
    <row r="47" spans="2:4" x14ac:dyDescent="0.25">
      <c r="B47" s="51" t="s">
        <v>146</v>
      </c>
      <c r="C47" s="50">
        <v>3</v>
      </c>
      <c r="D47" s="49">
        <f t="shared" si="1"/>
        <v>4.4843049327354259E-3</v>
      </c>
    </row>
    <row r="48" spans="2:4" x14ac:dyDescent="0.25">
      <c r="B48" s="51" t="s">
        <v>142</v>
      </c>
      <c r="C48" s="50">
        <v>3</v>
      </c>
      <c r="D48" s="49">
        <f t="shared" si="1"/>
        <v>4.4843049327354259E-3</v>
      </c>
    </row>
    <row r="49" spans="2:4" x14ac:dyDescent="0.25">
      <c r="B49" s="51" t="s">
        <v>143</v>
      </c>
      <c r="C49" s="50">
        <v>2</v>
      </c>
      <c r="D49" s="49">
        <f t="shared" si="1"/>
        <v>2.9895366218236174E-3</v>
      </c>
    </row>
    <row r="50" spans="2:4" x14ac:dyDescent="0.25">
      <c r="B50" s="51" t="s">
        <v>137</v>
      </c>
      <c r="C50" s="50">
        <v>2</v>
      </c>
      <c r="D50" s="49">
        <f t="shared" si="1"/>
        <v>2.9895366218236174E-3</v>
      </c>
    </row>
    <row r="51" spans="2:4" x14ac:dyDescent="0.25">
      <c r="B51" s="51" t="s">
        <v>131</v>
      </c>
      <c r="C51" s="50">
        <v>2</v>
      </c>
      <c r="D51" s="49">
        <f t="shared" si="1"/>
        <v>2.9895366218236174E-3</v>
      </c>
    </row>
    <row r="52" spans="2:4" x14ac:dyDescent="0.25">
      <c r="B52" s="51" t="s">
        <v>118</v>
      </c>
      <c r="C52" s="50">
        <v>2</v>
      </c>
      <c r="D52" s="49">
        <f t="shared" si="1"/>
        <v>2.9895366218236174E-3</v>
      </c>
    </row>
    <row r="53" spans="2:4" x14ac:dyDescent="0.25">
      <c r="B53" s="51" t="s">
        <v>124</v>
      </c>
      <c r="C53" s="50">
        <v>1</v>
      </c>
      <c r="D53" s="49">
        <f t="shared" si="1"/>
        <v>1.4947683109118087E-3</v>
      </c>
    </row>
    <row r="54" spans="2:4" x14ac:dyDescent="0.25">
      <c r="B54" s="51" t="s">
        <v>174</v>
      </c>
      <c r="C54" s="50">
        <v>0</v>
      </c>
      <c r="D54" s="49">
        <f t="shared" si="1"/>
        <v>0</v>
      </c>
    </row>
    <row r="55" spans="2:4" x14ac:dyDescent="0.25">
      <c r="B55" s="51" t="s">
        <v>173</v>
      </c>
      <c r="C55" s="50">
        <v>0</v>
      </c>
      <c r="D55" s="49">
        <f t="shared" si="1"/>
        <v>0</v>
      </c>
    </row>
    <row r="56" spans="2:4" x14ac:dyDescent="0.25">
      <c r="B56" s="51" t="s">
        <v>172</v>
      </c>
      <c r="C56" s="50">
        <v>0</v>
      </c>
      <c r="D56" s="49">
        <f t="shared" si="1"/>
        <v>0</v>
      </c>
    </row>
    <row r="57" spans="2:4" x14ac:dyDescent="0.25">
      <c r="B57" s="51" t="s">
        <v>171</v>
      </c>
      <c r="C57" s="50">
        <v>0</v>
      </c>
      <c r="D57" s="49">
        <f t="shared" si="1"/>
        <v>0</v>
      </c>
    </row>
    <row r="58" spans="2:4" x14ac:dyDescent="0.25">
      <c r="B58" s="51" t="s">
        <v>170</v>
      </c>
      <c r="C58" s="50">
        <v>0</v>
      </c>
      <c r="D58" s="49">
        <f t="shared" si="1"/>
        <v>0</v>
      </c>
    </row>
    <row r="59" spans="2:4" x14ac:dyDescent="0.25">
      <c r="B59" s="51" t="s">
        <v>169</v>
      </c>
      <c r="C59" s="50">
        <v>0</v>
      </c>
      <c r="D59" s="49">
        <f t="shared" si="1"/>
        <v>0</v>
      </c>
    </row>
    <row r="60" spans="2:4" x14ac:dyDescent="0.25">
      <c r="B60" s="51" t="s">
        <v>168</v>
      </c>
      <c r="C60" s="50">
        <v>0</v>
      </c>
      <c r="D60" s="49">
        <f t="shared" si="1"/>
        <v>0</v>
      </c>
    </row>
    <row r="61" spans="2:4" x14ac:dyDescent="0.25">
      <c r="B61" s="51" t="s">
        <v>167</v>
      </c>
      <c r="C61" s="50">
        <v>0</v>
      </c>
      <c r="D61" s="49">
        <f t="shared" si="1"/>
        <v>0</v>
      </c>
    </row>
    <row r="62" spans="2:4" x14ac:dyDescent="0.25">
      <c r="B62" s="48" t="s">
        <v>23</v>
      </c>
      <c r="C62" s="47">
        <v>669</v>
      </c>
      <c r="D62" s="46">
        <f t="shared" si="1"/>
        <v>1</v>
      </c>
    </row>
    <row r="64" spans="2:4" x14ac:dyDescent="0.25">
      <c r="B64" s="19" t="s">
        <v>22</v>
      </c>
    </row>
    <row r="65" spans="2:2" x14ac:dyDescent="0.25">
      <c r="B65" s="21" t="s">
        <v>21</v>
      </c>
    </row>
    <row r="66" spans="2:2" x14ac:dyDescent="0.25">
      <c r="B66" s="20" t="s">
        <v>20</v>
      </c>
    </row>
    <row r="67" spans="2:2" x14ac:dyDescent="0.25">
      <c r="B67" s="19" t="s">
        <v>19</v>
      </c>
    </row>
    <row r="68" spans="2:2" x14ac:dyDescent="0.25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J16" sqref="J16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8"/>
    </row>
    <row r="2" spans="1:4" s="31" customFormat="1" ht="15" customHeight="1" x14ac:dyDescent="0.2">
      <c r="C2" s="58"/>
    </row>
    <row r="3" spans="1:4" s="31" customFormat="1" ht="15" customHeight="1" x14ac:dyDescent="0.2">
      <c r="A3" s="31" t="s">
        <v>104</v>
      </c>
      <c r="C3" s="58"/>
    </row>
    <row r="4" spans="1:4" s="31" customFormat="1" ht="30" customHeight="1" x14ac:dyDescent="0.2">
      <c r="C4" s="58"/>
      <c r="D4" s="57"/>
    </row>
    <row r="5" spans="1:4" s="31" customFormat="1" ht="15" customHeight="1" x14ac:dyDescent="0.2">
      <c r="C5" s="58"/>
      <c r="D5" s="57"/>
    </row>
    <row r="6" spans="1:4" s="31" customFormat="1" ht="15" customHeight="1" x14ac:dyDescent="0.2">
      <c r="C6" s="58"/>
      <c r="D6" s="57"/>
    </row>
    <row r="7" spans="1:4" s="31" customFormat="1" ht="15" customHeight="1" x14ac:dyDescent="0.2">
      <c r="B7" s="93" t="s">
        <v>179</v>
      </c>
      <c r="C7" s="93"/>
      <c r="D7" s="93"/>
    </row>
    <row r="8" spans="1:4" s="31" customFormat="1" ht="15" customHeight="1" x14ac:dyDescent="0.2">
      <c r="B8" s="93"/>
      <c r="C8" s="93"/>
      <c r="D8" s="93"/>
    </row>
    <row r="9" spans="1:4" s="31" customFormat="1" ht="33" customHeight="1" x14ac:dyDescent="0.2">
      <c r="B9" s="93"/>
      <c r="C9" s="93"/>
      <c r="D9" s="93"/>
    </row>
    <row r="10" spans="1:4" s="31" customFormat="1" ht="4.5" customHeight="1" x14ac:dyDescent="0.2">
      <c r="B10" s="56"/>
      <c r="C10" s="56"/>
      <c r="D10" s="56"/>
    </row>
    <row r="11" spans="1:4" s="31" customFormat="1" ht="33" customHeight="1" x14ac:dyDescent="0.2">
      <c r="B11" s="55" t="s">
        <v>147</v>
      </c>
      <c r="C11" s="54" t="s">
        <v>73</v>
      </c>
      <c r="D11" s="53" t="s">
        <v>72</v>
      </c>
    </row>
    <row r="12" spans="1:4" ht="15" customHeight="1" x14ac:dyDescent="0.25">
      <c r="B12" s="51" t="s">
        <v>109</v>
      </c>
      <c r="C12" s="50">
        <v>106</v>
      </c>
      <c r="D12" s="49">
        <f t="shared" ref="D12:D22" si="0">C12/$C$22</f>
        <v>0.24824355971896955</v>
      </c>
    </row>
    <row r="13" spans="1:4" x14ac:dyDescent="0.25">
      <c r="B13" s="51" t="s">
        <v>145</v>
      </c>
      <c r="C13" s="50">
        <v>99</v>
      </c>
      <c r="D13" s="49">
        <f t="shared" si="0"/>
        <v>0.23185011709601874</v>
      </c>
    </row>
    <row r="14" spans="1:4" s="52" customFormat="1" ht="15.75" x14ac:dyDescent="0.25">
      <c r="A14" s="43"/>
      <c r="B14" s="51" t="s">
        <v>116</v>
      </c>
      <c r="C14" s="50">
        <v>39</v>
      </c>
      <c r="D14" s="49">
        <f t="shared" si="0"/>
        <v>9.1334894613583142E-2</v>
      </c>
    </row>
    <row r="15" spans="1:4" s="52" customFormat="1" ht="15.75" x14ac:dyDescent="0.25">
      <c r="A15" s="43"/>
      <c r="B15" s="51" t="s">
        <v>178</v>
      </c>
      <c r="C15" s="50">
        <v>35</v>
      </c>
      <c r="D15" s="49">
        <f t="shared" si="0"/>
        <v>8.1967213114754092E-2</v>
      </c>
    </row>
    <row r="16" spans="1:4" x14ac:dyDescent="0.25">
      <c r="B16" s="51" t="s">
        <v>134</v>
      </c>
      <c r="C16" s="50">
        <v>29</v>
      </c>
      <c r="D16" s="49">
        <f t="shared" si="0"/>
        <v>6.7915690866510545E-2</v>
      </c>
    </row>
    <row r="17" spans="2:4" x14ac:dyDescent="0.25">
      <c r="B17" s="51" t="s">
        <v>28</v>
      </c>
      <c r="C17" s="50">
        <v>29</v>
      </c>
      <c r="D17" s="49">
        <f t="shared" si="0"/>
        <v>6.7915690866510545E-2</v>
      </c>
    </row>
    <row r="18" spans="2:4" x14ac:dyDescent="0.25">
      <c r="B18" s="51" t="s">
        <v>141</v>
      </c>
      <c r="C18" s="50">
        <v>28</v>
      </c>
      <c r="D18" s="49">
        <f t="shared" si="0"/>
        <v>6.5573770491803282E-2</v>
      </c>
    </row>
    <row r="19" spans="2:4" x14ac:dyDescent="0.25">
      <c r="B19" s="51" t="s">
        <v>140</v>
      </c>
      <c r="C19" s="50">
        <v>23</v>
      </c>
      <c r="D19" s="49">
        <f t="shared" si="0"/>
        <v>5.3864168618266976E-2</v>
      </c>
    </row>
    <row r="20" spans="2:4" x14ac:dyDescent="0.25">
      <c r="B20" s="51" t="s">
        <v>132</v>
      </c>
      <c r="C20" s="50">
        <v>20</v>
      </c>
      <c r="D20" s="49">
        <f t="shared" si="0"/>
        <v>4.6838407494145202E-2</v>
      </c>
    </row>
    <row r="21" spans="2:4" x14ac:dyDescent="0.25">
      <c r="B21" s="51" t="s">
        <v>129</v>
      </c>
      <c r="C21" s="50">
        <v>19</v>
      </c>
      <c r="D21" s="49">
        <f t="shared" si="0"/>
        <v>4.449648711943794E-2</v>
      </c>
    </row>
    <row r="22" spans="2:4" x14ac:dyDescent="0.25">
      <c r="B22" s="48" t="s">
        <v>23</v>
      </c>
      <c r="C22" s="47">
        <f>SUM(C12:C21)</f>
        <v>427</v>
      </c>
      <c r="D22" s="46">
        <f t="shared" si="0"/>
        <v>1</v>
      </c>
    </row>
    <row r="24" spans="2:4" x14ac:dyDescent="0.25">
      <c r="B24" s="19" t="s">
        <v>22</v>
      </c>
    </row>
    <row r="25" spans="2:4" x14ac:dyDescent="0.25">
      <c r="B25" s="21" t="s">
        <v>21</v>
      </c>
    </row>
    <row r="26" spans="2:4" x14ac:dyDescent="0.25">
      <c r="B26" s="20" t="s">
        <v>20</v>
      </c>
    </row>
    <row r="27" spans="2:4" x14ac:dyDescent="0.25">
      <c r="B27" s="19" t="s">
        <v>19</v>
      </c>
    </row>
    <row r="28" spans="2:4" x14ac:dyDescent="0.25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26"/>
  <sheetViews>
    <sheetView showGridLines="0" zoomScaleNormal="100" zoomScaleSheetLayoutView="115" workbookViewId="0">
      <selection activeCell="H9" sqref="H9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8"/>
    </row>
    <row r="2" spans="1:4" s="31" customFormat="1" ht="15" customHeight="1" x14ac:dyDescent="0.2">
      <c r="C2" s="58"/>
    </row>
    <row r="3" spans="1:4" s="31" customFormat="1" ht="15" customHeight="1" x14ac:dyDescent="0.2">
      <c r="A3" s="31" t="s">
        <v>104</v>
      </c>
      <c r="C3" s="58"/>
    </row>
    <row r="4" spans="1:4" s="31" customFormat="1" ht="30" customHeight="1" x14ac:dyDescent="0.2">
      <c r="C4" s="58"/>
      <c r="D4" s="57"/>
    </row>
    <row r="5" spans="1:4" s="31" customFormat="1" ht="15" customHeight="1" x14ac:dyDescent="0.2">
      <c r="C5" s="58"/>
      <c r="D5" s="57"/>
    </row>
    <row r="6" spans="1:4" s="31" customFormat="1" ht="15" customHeight="1" x14ac:dyDescent="0.2">
      <c r="C6" s="58"/>
      <c r="D6" s="57"/>
    </row>
    <row r="7" spans="1:4" s="31" customFormat="1" ht="15" customHeight="1" x14ac:dyDescent="0.2">
      <c r="B7" s="93" t="s">
        <v>182</v>
      </c>
      <c r="C7" s="93"/>
      <c r="D7" s="93"/>
    </row>
    <row r="8" spans="1:4" s="31" customFormat="1" ht="15" customHeight="1" x14ac:dyDescent="0.2">
      <c r="B8" s="93"/>
      <c r="C8" s="93"/>
      <c r="D8" s="93"/>
    </row>
    <row r="9" spans="1:4" s="31" customFormat="1" ht="33" customHeight="1" x14ac:dyDescent="0.2">
      <c r="B9" s="93"/>
      <c r="C9" s="93"/>
      <c r="D9" s="93"/>
    </row>
    <row r="10" spans="1:4" s="31" customFormat="1" ht="4.5" customHeight="1" x14ac:dyDescent="0.2">
      <c r="B10" s="56"/>
      <c r="C10" s="56"/>
      <c r="D10" s="56"/>
    </row>
    <row r="11" spans="1:4" s="31" customFormat="1" ht="33" customHeight="1" x14ac:dyDescent="0.2">
      <c r="B11" s="55" t="s">
        <v>181</v>
      </c>
      <c r="C11" s="54" t="s">
        <v>73</v>
      </c>
      <c r="D11" s="53" t="s">
        <v>72</v>
      </c>
    </row>
    <row r="12" spans="1:4" ht="15" customHeight="1" x14ac:dyDescent="0.25">
      <c r="B12" s="51" t="s">
        <v>24</v>
      </c>
      <c r="C12" s="50">
        <v>407</v>
      </c>
      <c r="D12" s="49">
        <v>0.60837070254110615</v>
      </c>
    </row>
    <row r="13" spans="1:4" x14ac:dyDescent="0.25">
      <c r="B13" s="51" t="s">
        <v>32</v>
      </c>
      <c r="C13" s="50">
        <v>133</v>
      </c>
      <c r="D13" s="49">
        <v>0.19880418535127056</v>
      </c>
    </row>
    <row r="14" spans="1:4" s="52" customFormat="1" ht="15.75" x14ac:dyDescent="0.25">
      <c r="A14" s="43"/>
      <c r="B14" s="51" t="s">
        <v>26</v>
      </c>
      <c r="C14" s="50">
        <v>59</v>
      </c>
      <c r="D14" s="49">
        <v>8.8191330343796712E-2</v>
      </c>
    </row>
    <row r="15" spans="1:4" s="52" customFormat="1" ht="15.75" x14ac:dyDescent="0.25">
      <c r="A15" s="43"/>
      <c r="B15" s="51" t="s">
        <v>27</v>
      </c>
      <c r="C15" s="50">
        <v>42</v>
      </c>
      <c r="D15" s="49">
        <v>6.2780269058295965E-2</v>
      </c>
    </row>
    <row r="16" spans="1:4" x14ac:dyDescent="0.25">
      <c r="B16" s="51" t="s">
        <v>31</v>
      </c>
      <c r="C16" s="50">
        <v>15</v>
      </c>
      <c r="D16" s="49">
        <v>2.2421524663677129E-2</v>
      </c>
    </row>
    <row r="17" spans="2:4" x14ac:dyDescent="0.25">
      <c r="B17" s="51" t="s">
        <v>30</v>
      </c>
      <c r="C17" s="50">
        <v>5</v>
      </c>
      <c r="D17" s="49">
        <v>7.4738415545590429E-3</v>
      </c>
    </row>
    <row r="18" spans="2:4" x14ac:dyDescent="0.25">
      <c r="B18" s="51" t="s">
        <v>51</v>
      </c>
      <c r="C18" s="50">
        <v>4</v>
      </c>
      <c r="D18" s="49">
        <v>5.9790732436472349E-3</v>
      </c>
    </row>
    <row r="19" spans="2:4" x14ac:dyDescent="0.25">
      <c r="B19" s="51" t="s">
        <v>29</v>
      </c>
      <c r="C19" s="50">
        <v>4</v>
      </c>
      <c r="D19" s="49">
        <v>5.9790732436472349E-3</v>
      </c>
    </row>
    <row r="20" spans="2:4" x14ac:dyDescent="0.25">
      <c r="B20" s="48" t="s">
        <v>23</v>
      </c>
      <c r="C20" s="47">
        <v>669</v>
      </c>
      <c r="D20" s="46">
        <v>1</v>
      </c>
    </row>
    <row r="22" spans="2:4" x14ac:dyDescent="0.25">
      <c r="B22" s="19" t="s">
        <v>22</v>
      </c>
    </row>
    <row r="23" spans="2:4" x14ac:dyDescent="0.25">
      <c r="B23" s="21" t="s">
        <v>21</v>
      </c>
    </row>
    <row r="24" spans="2:4" x14ac:dyDescent="0.25">
      <c r="B24" s="20" t="s">
        <v>20</v>
      </c>
    </row>
    <row r="25" spans="2:4" x14ac:dyDescent="0.25">
      <c r="B25" s="19" t="s">
        <v>19</v>
      </c>
    </row>
    <row r="26" spans="2:4" x14ac:dyDescent="0.25">
      <c r="B26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57"/>
  <sheetViews>
    <sheetView zoomScale="145" zoomScaleNormal="145" zoomScaleSheetLayoutView="85" workbookViewId="0">
      <selection activeCell="F7" sqref="F7"/>
    </sheetView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38" customFormat="1" ht="12" customHeight="1" x14ac:dyDescent="0.2">
      <c r="B1" s="42"/>
      <c r="C1" s="41"/>
      <c r="D1" s="41"/>
      <c r="E1" s="41"/>
    </row>
    <row r="2" spans="1:5" s="38" customFormat="1" ht="15" customHeight="1" x14ac:dyDescent="0.2">
      <c r="C2" s="40"/>
    </row>
    <row r="3" spans="1:5" s="38" customFormat="1" ht="15" customHeight="1" x14ac:dyDescent="0.2">
      <c r="C3" s="40"/>
    </row>
    <row r="4" spans="1:5" s="38" customFormat="1" ht="30" customHeight="1" x14ac:dyDescent="0.2">
      <c r="C4" s="40"/>
      <c r="D4" s="39"/>
    </row>
    <row r="5" spans="1:5" s="38" customFormat="1" ht="15" customHeight="1" x14ac:dyDescent="0.2">
      <c r="C5" s="40"/>
      <c r="D5" s="39"/>
    </row>
    <row r="6" spans="1:5" s="35" customFormat="1" ht="24" customHeight="1" x14ac:dyDescent="0.2">
      <c r="B6" s="37"/>
      <c r="C6" s="30"/>
      <c r="D6" s="30"/>
      <c r="E6" s="30"/>
    </row>
    <row r="7" spans="1:5" s="35" customFormat="1" ht="26.25" customHeight="1" x14ac:dyDescent="0.3">
      <c r="A7" s="36"/>
      <c r="B7" s="87"/>
      <c r="C7" s="87"/>
      <c r="D7" s="87"/>
      <c r="E7" s="87"/>
    </row>
    <row r="8" spans="1:5" s="35" customFormat="1" ht="33" customHeight="1" x14ac:dyDescent="0.3">
      <c r="A8" s="36"/>
      <c r="B8" s="87"/>
      <c r="C8" s="87"/>
      <c r="D8" s="87"/>
      <c r="E8" s="87"/>
    </row>
    <row r="9" spans="1:5" s="31" customFormat="1" ht="40.5" customHeight="1" x14ac:dyDescent="0.2">
      <c r="B9" s="32" t="s">
        <v>75</v>
      </c>
      <c r="C9" s="34" t="s">
        <v>74</v>
      </c>
      <c r="D9" s="33" t="s">
        <v>73</v>
      </c>
      <c r="E9" s="32" t="s">
        <v>72</v>
      </c>
    </row>
    <row r="10" spans="1:5" ht="15" customHeight="1" x14ac:dyDescent="0.25">
      <c r="B10" s="88" t="s">
        <v>71</v>
      </c>
      <c r="C10" s="29" t="s">
        <v>32</v>
      </c>
      <c r="D10" s="28">
        <v>4</v>
      </c>
      <c r="E10" s="27">
        <v>5.9790732436472349E-3</v>
      </c>
    </row>
    <row r="11" spans="1:5" ht="15" customHeight="1" x14ac:dyDescent="0.25">
      <c r="B11" s="89"/>
      <c r="C11" s="29" t="s">
        <v>26</v>
      </c>
      <c r="D11" s="28">
        <v>2</v>
      </c>
      <c r="E11" s="27">
        <v>2.9895366218236174E-3</v>
      </c>
    </row>
    <row r="12" spans="1:5" s="30" customFormat="1" ht="15" customHeight="1" x14ac:dyDescent="0.25">
      <c r="A12" s="17"/>
      <c r="B12" s="89"/>
      <c r="C12" s="29" t="s">
        <v>24</v>
      </c>
      <c r="D12" s="28">
        <v>54</v>
      </c>
      <c r="E12" s="27">
        <v>8.0717488789237665E-2</v>
      </c>
    </row>
    <row r="13" spans="1:5" s="30" customFormat="1" ht="15" customHeight="1" x14ac:dyDescent="0.25">
      <c r="A13" s="17"/>
      <c r="B13" s="90"/>
      <c r="C13" s="26" t="s">
        <v>23</v>
      </c>
      <c r="D13" s="25">
        <v>60</v>
      </c>
      <c r="E13" s="24">
        <v>8.9686098654708515E-2</v>
      </c>
    </row>
    <row r="14" spans="1:5" ht="15" customHeight="1" x14ac:dyDescent="0.25">
      <c r="B14" s="88" t="s">
        <v>70</v>
      </c>
      <c r="C14" s="29" t="s">
        <v>32</v>
      </c>
      <c r="D14" s="28">
        <v>1</v>
      </c>
      <c r="E14" s="27">
        <v>1.4947683109118087E-3</v>
      </c>
    </row>
    <row r="15" spans="1:5" ht="15" customHeight="1" x14ac:dyDescent="0.25">
      <c r="B15" s="89"/>
      <c r="C15" s="29" t="s">
        <v>24</v>
      </c>
      <c r="D15" s="28">
        <v>2</v>
      </c>
      <c r="E15" s="27">
        <v>2.9895366218236174E-3</v>
      </c>
    </row>
    <row r="16" spans="1:5" ht="15" customHeight="1" x14ac:dyDescent="0.25">
      <c r="B16" s="90"/>
      <c r="C16" s="26" t="s">
        <v>23</v>
      </c>
      <c r="D16" s="25">
        <v>3</v>
      </c>
      <c r="E16" s="24">
        <v>4.4843049327354259E-3</v>
      </c>
    </row>
    <row r="17" spans="2:5" ht="15" customHeight="1" x14ac:dyDescent="0.25">
      <c r="B17" s="88" t="s">
        <v>69</v>
      </c>
      <c r="C17" s="29" t="s">
        <v>32</v>
      </c>
      <c r="D17" s="28">
        <v>1</v>
      </c>
      <c r="E17" s="27">
        <v>1.4947683109118087E-3</v>
      </c>
    </row>
    <row r="18" spans="2:5" ht="15" customHeight="1" x14ac:dyDescent="0.25">
      <c r="B18" s="89"/>
      <c r="C18" s="29" t="s">
        <v>24</v>
      </c>
      <c r="D18" s="28">
        <v>8</v>
      </c>
      <c r="E18" s="27">
        <v>1.195814648729447E-2</v>
      </c>
    </row>
    <row r="19" spans="2:5" ht="15" customHeight="1" x14ac:dyDescent="0.25">
      <c r="B19" s="90"/>
      <c r="C19" s="26" t="s">
        <v>23</v>
      </c>
      <c r="D19" s="25">
        <v>9</v>
      </c>
      <c r="E19" s="24">
        <v>1.3452914798206279E-2</v>
      </c>
    </row>
    <row r="20" spans="2:5" ht="15" customHeight="1" x14ac:dyDescent="0.25">
      <c r="B20" s="88" t="s">
        <v>68</v>
      </c>
      <c r="C20" s="29" t="s">
        <v>32</v>
      </c>
      <c r="D20" s="28">
        <v>42</v>
      </c>
      <c r="E20" s="27">
        <v>6.2780269058295965E-2</v>
      </c>
    </row>
    <row r="21" spans="2:5" ht="15" customHeight="1" x14ac:dyDescent="0.25">
      <c r="B21" s="89"/>
      <c r="C21" s="29" t="s">
        <v>31</v>
      </c>
      <c r="D21" s="28">
        <v>4</v>
      </c>
      <c r="E21" s="27">
        <v>5.9790732436472349E-3</v>
      </c>
    </row>
    <row r="22" spans="2:5" ht="15" customHeight="1" x14ac:dyDescent="0.25">
      <c r="B22" s="89"/>
      <c r="C22" s="29" t="s">
        <v>27</v>
      </c>
      <c r="D22" s="28">
        <v>30</v>
      </c>
      <c r="E22" s="27">
        <v>4.4843049327354258E-2</v>
      </c>
    </row>
    <row r="23" spans="2:5" ht="15" customHeight="1" x14ac:dyDescent="0.25">
      <c r="B23" s="89"/>
      <c r="C23" s="29" t="s">
        <v>51</v>
      </c>
      <c r="D23" s="28">
        <v>2</v>
      </c>
      <c r="E23" s="27">
        <v>2.9895366218236174E-3</v>
      </c>
    </row>
    <row r="24" spans="2:5" ht="15" customHeight="1" x14ac:dyDescent="0.25">
      <c r="B24" s="89"/>
      <c r="C24" s="29" t="s">
        <v>26</v>
      </c>
      <c r="D24" s="28">
        <v>43</v>
      </c>
      <c r="E24" s="27">
        <v>6.4275037369207769E-2</v>
      </c>
    </row>
    <row r="25" spans="2:5" ht="15" customHeight="1" x14ac:dyDescent="0.25">
      <c r="B25" s="89"/>
      <c r="C25" s="29" t="s">
        <v>30</v>
      </c>
      <c r="D25" s="28">
        <v>2</v>
      </c>
      <c r="E25" s="27">
        <v>2.9895366218236174E-3</v>
      </c>
    </row>
    <row r="26" spans="2:5" ht="15" customHeight="1" x14ac:dyDescent="0.25">
      <c r="B26" s="89"/>
      <c r="C26" s="29" t="s">
        <v>24</v>
      </c>
      <c r="D26" s="28">
        <v>79</v>
      </c>
      <c r="E26" s="27">
        <v>0.11808669656203288</v>
      </c>
    </row>
    <row r="27" spans="2:5" ht="15" customHeight="1" x14ac:dyDescent="0.25">
      <c r="B27" s="89"/>
      <c r="C27" s="29" t="s">
        <v>29</v>
      </c>
      <c r="D27" s="28">
        <v>2</v>
      </c>
      <c r="E27" s="27">
        <v>2.9895366218236174E-3</v>
      </c>
    </row>
    <row r="28" spans="2:5" ht="15" customHeight="1" x14ac:dyDescent="0.25">
      <c r="B28" s="90"/>
      <c r="C28" s="26" t="s">
        <v>23</v>
      </c>
      <c r="D28" s="25">
        <v>204</v>
      </c>
      <c r="E28" s="24">
        <v>0.30493273542600896</v>
      </c>
    </row>
    <row r="29" spans="2:5" ht="15" customHeight="1" x14ac:dyDescent="0.25">
      <c r="B29" s="88" t="s">
        <v>67</v>
      </c>
      <c r="C29" s="29" t="s">
        <v>32</v>
      </c>
      <c r="D29" s="28">
        <v>3</v>
      </c>
      <c r="E29" s="27">
        <v>4.4843049327354259E-3</v>
      </c>
    </row>
    <row r="30" spans="2:5" ht="15" customHeight="1" x14ac:dyDescent="0.25">
      <c r="B30" s="89"/>
      <c r="C30" s="29" t="s">
        <v>31</v>
      </c>
      <c r="D30" s="28">
        <v>1</v>
      </c>
      <c r="E30" s="27">
        <v>1.4947683109118087E-3</v>
      </c>
    </row>
    <row r="31" spans="2:5" ht="15" customHeight="1" x14ac:dyDescent="0.25">
      <c r="B31" s="89"/>
      <c r="C31" s="29" t="s">
        <v>26</v>
      </c>
      <c r="D31" s="28">
        <v>2</v>
      </c>
      <c r="E31" s="27">
        <v>2.9895366218236174E-3</v>
      </c>
    </row>
    <row r="32" spans="2:5" ht="15" customHeight="1" x14ac:dyDescent="0.25">
      <c r="B32" s="89"/>
      <c r="C32" s="29" t="s">
        <v>24</v>
      </c>
      <c r="D32" s="28">
        <v>8</v>
      </c>
      <c r="E32" s="27">
        <v>1.195814648729447E-2</v>
      </c>
    </row>
    <row r="33" spans="2:5" ht="15" customHeight="1" x14ac:dyDescent="0.25">
      <c r="B33" s="90"/>
      <c r="C33" s="26" t="s">
        <v>23</v>
      </c>
      <c r="D33" s="25">
        <v>14</v>
      </c>
      <c r="E33" s="24">
        <v>2.0926756352765322E-2</v>
      </c>
    </row>
    <row r="34" spans="2:5" ht="15" customHeight="1" x14ac:dyDescent="0.25">
      <c r="B34" s="88" t="s">
        <v>66</v>
      </c>
      <c r="C34" s="29" t="s">
        <v>32</v>
      </c>
      <c r="D34" s="28">
        <v>1</v>
      </c>
      <c r="E34" s="27">
        <v>1.4947683109118087E-3</v>
      </c>
    </row>
    <row r="35" spans="2:5" ht="15" customHeight="1" x14ac:dyDescent="0.25">
      <c r="B35" s="89"/>
      <c r="C35" s="29" t="s">
        <v>27</v>
      </c>
      <c r="D35" s="28">
        <v>1</v>
      </c>
      <c r="E35" s="27">
        <v>1.4947683109118087E-3</v>
      </c>
    </row>
    <row r="36" spans="2:5" ht="15" customHeight="1" x14ac:dyDescent="0.25">
      <c r="B36" s="90"/>
      <c r="C36" s="26" t="s">
        <v>23</v>
      </c>
      <c r="D36" s="25">
        <v>2</v>
      </c>
      <c r="E36" s="24">
        <v>2.9895366218236174E-3</v>
      </c>
    </row>
    <row r="37" spans="2:5" ht="15" customHeight="1" x14ac:dyDescent="0.25">
      <c r="B37" s="88" t="s">
        <v>65</v>
      </c>
      <c r="C37" s="29" t="s">
        <v>31</v>
      </c>
      <c r="D37" s="28">
        <v>1</v>
      </c>
      <c r="E37" s="27">
        <v>1.4947683109118087E-3</v>
      </c>
    </row>
    <row r="38" spans="2:5" ht="15" customHeight="1" x14ac:dyDescent="0.25">
      <c r="B38" s="90"/>
      <c r="C38" s="26" t="s">
        <v>23</v>
      </c>
      <c r="D38" s="25">
        <v>1</v>
      </c>
      <c r="E38" s="24">
        <v>1.4947683109118087E-3</v>
      </c>
    </row>
    <row r="39" spans="2:5" ht="15" customHeight="1" x14ac:dyDescent="0.25">
      <c r="B39" s="88" t="s">
        <v>64</v>
      </c>
      <c r="C39" s="29" t="s">
        <v>32</v>
      </c>
      <c r="D39" s="28">
        <v>1</v>
      </c>
      <c r="E39" s="27">
        <v>1.4947683109118087E-3</v>
      </c>
    </row>
    <row r="40" spans="2:5" ht="15" customHeight="1" x14ac:dyDescent="0.25">
      <c r="B40" s="90"/>
      <c r="C40" s="26" t="s">
        <v>23</v>
      </c>
      <c r="D40" s="25">
        <v>1</v>
      </c>
      <c r="E40" s="24">
        <v>1.4947683109118087E-3</v>
      </c>
    </row>
    <row r="41" spans="2:5" ht="15" customHeight="1" x14ac:dyDescent="0.25">
      <c r="B41" s="88" t="s">
        <v>63</v>
      </c>
      <c r="C41" s="29" t="s">
        <v>32</v>
      </c>
      <c r="D41" s="28">
        <v>4</v>
      </c>
      <c r="E41" s="27">
        <v>5.9790732436472349E-3</v>
      </c>
    </row>
    <row r="42" spans="2:5" ht="15" customHeight="1" x14ac:dyDescent="0.25">
      <c r="B42" s="89"/>
      <c r="C42" s="29" t="s">
        <v>51</v>
      </c>
      <c r="D42" s="28">
        <v>1</v>
      </c>
      <c r="E42" s="27">
        <v>1.4947683109118087E-3</v>
      </c>
    </row>
    <row r="43" spans="2:5" ht="15" customHeight="1" x14ac:dyDescent="0.25">
      <c r="B43" s="89"/>
      <c r="C43" s="29" t="s">
        <v>24</v>
      </c>
      <c r="D43" s="28">
        <v>21</v>
      </c>
      <c r="E43" s="27">
        <v>3.1390134529147982E-2</v>
      </c>
    </row>
    <row r="44" spans="2:5" ht="15" customHeight="1" x14ac:dyDescent="0.25">
      <c r="B44" s="90"/>
      <c r="C44" s="26" t="s">
        <v>23</v>
      </c>
      <c r="D44" s="25">
        <v>26</v>
      </c>
      <c r="E44" s="24">
        <v>3.8863976083707022E-2</v>
      </c>
    </row>
    <row r="45" spans="2:5" ht="15" customHeight="1" x14ac:dyDescent="0.25">
      <c r="B45" s="88" t="s">
        <v>62</v>
      </c>
      <c r="C45" s="29" t="s">
        <v>32</v>
      </c>
      <c r="D45" s="28">
        <v>3</v>
      </c>
      <c r="E45" s="27">
        <v>4.4843049327354259E-3</v>
      </c>
    </row>
    <row r="46" spans="2:5" ht="15" customHeight="1" x14ac:dyDescent="0.25">
      <c r="B46" s="89"/>
      <c r="C46" s="29" t="s">
        <v>24</v>
      </c>
      <c r="D46" s="28">
        <v>26</v>
      </c>
      <c r="E46" s="27">
        <v>3.8863976083707022E-2</v>
      </c>
    </row>
    <row r="47" spans="2:5" ht="15" customHeight="1" x14ac:dyDescent="0.25">
      <c r="B47" s="90"/>
      <c r="C47" s="26" t="s">
        <v>23</v>
      </c>
      <c r="D47" s="25">
        <v>29</v>
      </c>
      <c r="E47" s="24">
        <v>4.3348281016442454E-2</v>
      </c>
    </row>
    <row r="48" spans="2:5" ht="15" customHeight="1" x14ac:dyDescent="0.25">
      <c r="B48" s="88" t="s">
        <v>61</v>
      </c>
      <c r="C48" s="29" t="s">
        <v>32</v>
      </c>
      <c r="D48" s="28">
        <v>9</v>
      </c>
      <c r="E48" s="27">
        <v>1.3452914798206279E-2</v>
      </c>
    </row>
    <row r="49" spans="2:5" ht="15" customHeight="1" x14ac:dyDescent="0.25">
      <c r="B49" s="89"/>
      <c r="C49" s="29" t="s">
        <v>27</v>
      </c>
      <c r="D49" s="28">
        <v>1</v>
      </c>
      <c r="E49" s="27">
        <v>1.4947683109118087E-3</v>
      </c>
    </row>
    <row r="50" spans="2:5" ht="15" customHeight="1" x14ac:dyDescent="0.25">
      <c r="B50" s="89"/>
      <c r="C50" s="29" t="s">
        <v>24</v>
      </c>
      <c r="D50" s="28">
        <v>13</v>
      </c>
      <c r="E50" s="27">
        <v>1.9431988041853511E-2</v>
      </c>
    </row>
    <row r="51" spans="2:5" ht="15" customHeight="1" x14ac:dyDescent="0.25">
      <c r="B51" s="90"/>
      <c r="C51" s="26" t="s">
        <v>23</v>
      </c>
      <c r="D51" s="25">
        <v>23</v>
      </c>
      <c r="E51" s="24">
        <v>3.4379671150971597E-2</v>
      </c>
    </row>
    <row r="52" spans="2:5" ht="15" customHeight="1" x14ac:dyDescent="0.25">
      <c r="B52" s="88" t="s">
        <v>60</v>
      </c>
      <c r="C52" s="29" t="s">
        <v>32</v>
      </c>
      <c r="D52" s="28">
        <v>3</v>
      </c>
      <c r="E52" s="27">
        <v>4.4843049327354259E-3</v>
      </c>
    </row>
    <row r="53" spans="2:5" ht="15" customHeight="1" x14ac:dyDescent="0.25">
      <c r="B53" s="89"/>
      <c r="C53" s="29" t="s">
        <v>24</v>
      </c>
      <c r="D53" s="28">
        <v>4</v>
      </c>
      <c r="E53" s="27">
        <v>5.9790732436472349E-3</v>
      </c>
    </row>
    <row r="54" spans="2:5" ht="15" customHeight="1" x14ac:dyDescent="0.25">
      <c r="B54" s="90"/>
      <c r="C54" s="26" t="s">
        <v>23</v>
      </c>
      <c r="D54" s="25">
        <v>7</v>
      </c>
      <c r="E54" s="24">
        <v>1.0463378176382661E-2</v>
      </c>
    </row>
    <row r="55" spans="2:5" ht="15" customHeight="1" x14ac:dyDescent="0.25">
      <c r="B55" s="88" t="s">
        <v>59</v>
      </c>
      <c r="C55" s="29" t="s">
        <v>32</v>
      </c>
      <c r="D55" s="28">
        <v>2</v>
      </c>
      <c r="E55" s="27">
        <v>2.9895366218236174E-3</v>
      </c>
    </row>
    <row r="56" spans="2:5" ht="15" customHeight="1" x14ac:dyDescent="0.25">
      <c r="B56" s="89"/>
      <c r="C56" s="29" t="s">
        <v>29</v>
      </c>
      <c r="D56" s="28">
        <v>1</v>
      </c>
      <c r="E56" s="27">
        <v>1.4947683109118087E-3</v>
      </c>
    </row>
    <row r="57" spans="2:5" ht="15" customHeight="1" x14ac:dyDescent="0.25">
      <c r="B57" s="90"/>
      <c r="C57" s="26" t="s">
        <v>23</v>
      </c>
      <c r="D57" s="25">
        <v>3</v>
      </c>
      <c r="E57" s="24">
        <v>4.4843049327354259E-3</v>
      </c>
    </row>
    <row r="58" spans="2:5" ht="15" customHeight="1" x14ac:dyDescent="0.25">
      <c r="B58" s="88" t="s">
        <v>58</v>
      </c>
      <c r="C58" s="29" t="s">
        <v>32</v>
      </c>
      <c r="D58" s="28">
        <v>1</v>
      </c>
      <c r="E58" s="27">
        <v>1.4947683109118087E-3</v>
      </c>
    </row>
    <row r="59" spans="2:5" ht="15" customHeight="1" x14ac:dyDescent="0.25">
      <c r="B59" s="89"/>
      <c r="C59" s="29" t="s">
        <v>27</v>
      </c>
      <c r="D59" s="28">
        <v>1</v>
      </c>
      <c r="E59" s="27">
        <v>1.4947683109118087E-3</v>
      </c>
    </row>
    <row r="60" spans="2:5" ht="15" customHeight="1" x14ac:dyDescent="0.25">
      <c r="B60" s="89"/>
      <c r="C60" s="29" t="s">
        <v>26</v>
      </c>
      <c r="D60" s="28">
        <v>4</v>
      </c>
      <c r="E60" s="27">
        <v>5.9790732436472349E-3</v>
      </c>
    </row>
    <row r="61" spans="2:5" ht="15" customHeight="1" x14ac:dyDescent="0.25">
      <c r="B61" s="89"/>
      <c r="C61" s="29" t="s">
        <v>24</v>
      </c>
      <c r="D61" s="28">
        <v>6</v>
      </c>
      <c r="E61" s="27">
        <v>8.9686098654708519E-3</v>
      </c>
    </row>
    <row r="62" spans="2:5" ht="15" customHeight="1" x14ac:dyDescent="0.25">
      <c r="B62" s="90"/>
      <c r="C62" s="26" t="s">
        <v>23</v>
      </c>
      <c r="D62" s="25">
        <v>12</v>
      </c>
      <c r="E62" s="24">
        <v>1.7937219730941704E-2</v>
      </c>
    </row>
    <row r="63" spans="2:5" ht="15" customHeight="1" x14ac:dyDescent="0.25">
      <c r="B63" s="88" t="s">
        <v>57</v>
      </c>
      <c r="C63" s="29" t="s">
        <v>24</v>
      </c>
      <c r="D63" s="28">
        <v>2</v>
      </c>
      <c r="E63" s="27">
        <v>2.9895366218236174E-3</v>
      </c>
    </row>
    <row r="64" spans="2:5" ht="15" customHeight="1" x14ac:dyDescent="0.25">
      <c r="B64" s="90"/>
      <c r="C64" s="26" t="s">
        <v>23</v>
      </c>
      <c r="D64" s="25">
        <v>2</v>
      </c>
      <c r="E64" s="24">
        <v>2.9895366218236174E-3</v>
      </c>
    </row>
    <row r="65" spans="2:5" ht="15" customHeight="1" x14ac:dyDescent="0.25">
      <c r="B65" s="88" t="s">
        <v>56</v>
      </c>
      <c r="C65" s="29" t="s">
        <v>27</v>
      </c>
      <c r="D65" s="28">
        <v>1</v>
      </c>
      <c r="E65" s="27">
        <v>1.4947683109118087E-3</v>
      </c>
    </row>
    <row r="66" spans="2:5" ht="15" customHeight="1" x14ac:dyDescent="0.25">
      <c r="B66" s="89"/>
      <c r="C66" s="29" t="s">
        <v>26</v>
      </c>
      <c r="D66" s="28">
        <v>1</v>
      </c>
      <c r="E66" s="27">
        <v>1.4947683109118087E-3</v>
      </c>
    </row>
    <row r="67" spans="2:5" ht="15" customHeight="1" x14ac:dyDescent="0.25">
      <c r="B67" s="89"/>
      <c r="C67" s="29" t="s">
        <v>24</v>
      </c>
      <c r="D67" s="28">
        <v>4</v>
      </c>
      <c r="E67" s="27">
        <v>5.9790732436472349E-3</v>
      </c>
    </row>
    <row r="68" spans="2:5" ht="15" customHeight="1" x14ac:dyDescent="0.25">
      <c r="B68" s="90"/>
      <c r="C68" s="26" t="s">
        <v>23</v>
      </c>
      <c r="D68" s="25">
        <v>6</v>
      </c>
      <c r="E68" s="24">
        <v>8.9686098654708519E-3</v>
      </c>
    </row>
    <row r="69" spans="2:5" ht="15" customHeight="1" x14ac:dyDescent="0.25">
      <c r="B69" s="88" t="s">
        <v>55</v>
      </c>
      <c r="C69" s="29" t="s">
        <v>24</v>
      </c>
      <c r="D69" s="28">
        <v>1</v>
      </c>
      <c r="E69" s="27">
        <v>1.4947683109118087E-3</v>
      </c>
    </row>
    <row r="70" spans="2:5" ht="15" customHeight="1" x14ac:dyDescent="0.25">
      <c r="B70" s="90"/>
      <c r="C70" s="26" t="s">
        <v>23</v>
      </c>
      <c r="D70" s="25">
        <v>1</v>
      </c>
      <c r="E70" s="24">
        <v>1.4947683109118087E-3</v>
      </c>
    </row>
    <row r="71" spans="2:5" ht="15" customHeight="1" x14ac:dyDescent="0.25">
      <c r="B71" s="88" t="s">
        <v>54</v>
      </c>
      <c r="C71" s="29" t="s">
        <v>24</v>
      </c>
      <c r="D71" s="28">
        <v>1</v>
      </c>
      <c r="E71" s="27">
        <v>1.4947683109118087E-3</v>
      </c>
    </row>
    <row r="72" spans="2:5" ht="15" customHeight="1" x14ac:dyDescent="0.25">
      <c r="B72" s="90"/>
      <c r="C72" s="26" t="s">
        <v>23</v>
      </c>
      <c r="D72" s="25">
        <v>1</v>
      </c>
      <c r="E72" s="24">
        <v>1.4947683109118087E-3</v>
      </c>
    </row>
    <row r="73" spans="2:5" ht="15" customHeight="1" x14ac:dyDescent="0.25">
      <c r="B73" s="88" t="s">
        <v>53</v>
      </c>
      <c r="C73" s="29" t="s">
        <v>32</v>
      </c>
      <c r="D73" s="28">
        <v>2</v>
      </c>
      <c r="E73" s="27">
        <v>2.9895366218236174E-3</v>
      </c>
    </row>
    <row r="74" spans="2:5" ht="15" customHeight="1" x14ac:dyDescent="0.25">
      <c r="B74" s="89"/>
      <c r="C74" s="29" t="s">
        <v>24</v>
      </c>
      <c r="D74" s="28">
        <v>3</v>
      </c>
      <c r="E74" s="27">
        <v>4.4843049327354259E-3</v>
      </c>
    </row>
    <row r="75" spans="2:5" ht="15" customHeight="1" x14ac:dyDescent="0.25">
      <c r="B75" s="90"/>
      <c r="C75" s="26" t="s">
        <v>23</v>
      </c>
      <c r="D75" s="25">
        <v>5</v>
      </c>
      <c r="E75" s="24">
        <v>7.4738415545590429E-3</v>
      </c>
    </row>
    <row r="76" spans="2:5" ht="15" customHeight="1" x14ac:dyDescent="0.25">
      <c r="B76" s="88" t="s">
        <v>52</v>
      </c>
      <c r="C76" s="29" t="s">
        <v>31</v>
      </c>
      <c r="D76" s="28">
        <v>2</v>
      </c>
      <c r="E76" s="27">
        <v>2.9895366218236174E-3</v>
      </c>
    </row>
    <row r="77" spans="2:5" ht="15" customHeight="1" x14ac:dyDescent="0.25">
      <c r="B77" s="89"/>
      <c r="C77" s="29" t="s">
        <v>51</v>
      </c>
      <c r="D77" s="28">
        <v>1</v>
      </c>
      <c r="E77" s="27">
        <v>1.4947683109118087E-3</v>
      </c>
    </row>
    <row r="78" spans="2:5" ht="15" customHeight="1" x14ac:dyDescent="0.25">
      <c r="B78" s="89"/>
      <c r="C78" s="29" t="s">
        <v>24</v>
      </c>
      <c r="D78" s="28">
        <v>5</v>
      </c>
      <c r="E78" s="27">
        <v>7.4738415545590429E-3</v>
      </c>
    </row>
    <row r="79" spans="2:5" ht="15" customHeight="1" x14ac:dyDescent="0.25">
      <c r="B79" s="90"/>
      <c r="C79" s="26" t="s">
        <v>23</v>
      </c>
      <c r="D79" s="25">
        <v>8</v>
      </c>
      <c r="E79" s="24">
        <v>1.195814648729447E-2</v>
      </c>
    </row>
    <row r="80" spans="2:5" ht="15" customHeight="1" x14ac:dyDescent="0.25">
      <c r="B80" s="88" t="s">
        <v>50</v>
      </c>
      <c r="C80" s="29" t="s">
        <v>24</v>
      </c>
      <c r="D80" s="28">
        <v>2</v>
      </c>
      <c r="E80" s="27">
        <v>2.9895366218236174E-3</v>
      </c>
    </row>
    <row r="81" spans="2:5" ht="15" customHeight="1" x14ac:dyDescent="0.25">
      <c r="B81" s="90"/>
      <c r="C81" s="26" t="s">
        <v>23</v>
      </c>
      <c r="D81" s="25">
        <v>2</v>
      </c>
      <c r="E81" s="24">
        <v>2.9895366218236174E-3</v>
      </c>
    </row>
    <row r="82" spans="2:5" ht="15" customHeight="1" x14ac:dyDescent="0.25">
      <c r="B82" s="88" t="s">
        <v>49</v>
      </c>
      <c r="C82" s="29" t="s">
        <v>32</v>
      </c>
      <c r="D82" s="28">
        <v>1</v>
      </c>
      <c r="E82" s="27">
        <v>1.4947683109118087E-3</v>
      </c>
    </row>
    <row r="83" spans="2:5" ht="15" customHeight="1" x14ac:dyDescent="0.25">
      <c r="B83" s="89"/>
      <c r="C83" s="29" t="s">
        <v>24</v>
      </c>
      <c r="D83" s="28">
        <v>7</v>
      </c>
      <c r="E83" s="27">
        <v>1.0463378176382661E-2</v>
      </c>
    </row>
    <row r="84" spans="2:5" ht="15" customHeight="1" x14ac:dyDescent="0.25">
      <c r="B84" s="90"/>
      <c r="C84" s="26" t="s">
        <v>23</v>
      </c>
      <c r="D84" s="25">
        <v>8</v>
      </c>
      <c r="E84" s="24">
        <v>1.195814648729447E-2</v>
      </c>
    </row>
    <row r="85" spans="2:5" ht="15" customHeight="1" x14ac:dyDescent="0.25">
      <c r="B85" s="88" t="s">
        <v>48</v>
      </c>
      <c r="C85" s="29" t="s">
        <v>26</v>
      </c>
      <c r="D85" s="28">
        <v>1</v>
      </c>
      <c r="E85" s="27">
        <v>1.4947683109118087E-3</v>
      </c>
    </row>
    <row r="86" spans="2:5" ht="15" customHeight="1" x14ac:dyDescent="0.25">
      <c r="B86" s="89"/>
      <c r="C86" s="29" t="s">
        <v>24</v>
      </c>
      <c r="D86" s="28">
        <v>1</v>
      </c>
      <c r="E86" s="27">
        <v>1.4947683109118087E-3</v>
      </c>
    </row>
    <row r="87" spans="2:5" ht="15" customHeight="1" x14ac:dyDescent="0.25">
      <c r="B87" s="90"/>
      <c r="C87" s="26" t="s">
        <v>23</v>
      </c>
      <c r="D87" s="25">
        <v>2</v>
      </c>
      <c r="E87" s="24">
        <v>2.9895366218236174E-3</v>
      </c>
    </row>
    <row r="88" spans="2:5" ht="15" customHeight="1" x14ac:dyDescent="0.25">
      <c r="B88" s="88" t="s">
        <v>47</v>
      </c>
      <c r="C88" s="29" t="s">
        <v>32</v>
      </c>
      <c r="D88" s="28">
        <v>4</v>
      </c>
      <c r="E88" s="27">
        <v>5.9790732436472349E-3</v>
      </c>
    </row>
    <row r="89" spans="2:5" ht="15" customHeight="1" x14ac:dyDescent="0.25">
      <c r="B89" s="89"/>
      <c r="C89" s="29" t="s">
        <v>24</v>
      </c>
      <c r="D89" s="28">
        <v>2</v>
      </c>
      <c r="E89" s="27">
        <v>2.9895366218236174E-3</v>
      </c>
    </row>
    <row r="90" spans="2:5" ht="15" customHeight="1" x14ac:dyDescent="0.25">
      <c r="B90" s="90"/>
      <c r="C90" s="26" t="s">
        <v>23</v>
      </c>
      <c r="D90" s="25">
        <v>6</v>
      </c>
      <c r="E90" s="24">
        <v>8.9686098654708519E-3</v>
      </c>
    </row>
    <row r="91" spans="2:5" ht="15" customHeight="1" x14ac:dyDescent="0.25">
      <c r="B91" s="88" t="s">
        <v>46</v>
      </c>
      <c r="C91" s="29" t="s">
        <v>32</v>
      </c>
      <c r="D91" s="28">
        <v>1</v>
      </c>
      <c r="E91" s="27">
        <v>1.4947683109118087E-3</v>
      </c>
    </row>
    <row r="92" spans="2:5" ht="15" customHeight="1" x14ac:dyDescent="0.25">
      <c r="B92" s="89"/>
      <c r="C92" s="29" t="s">
        <v>24</v>
      </c>
      <c r="D92" s="28">
        <v>4</v>
      </c>
      <c r="E92" s="27">
        <v>5.9790732436472349E-3</v>
      </c>
    </row>
    <row r="93" spans="2:5" ht="15" customHeight="1" x14ac:dyDescent="0.25">
      <c r="B93" s="90"/>
      <c r="C93" s="26" t="s">
        <v>23</v>
      </c>
      <c r="D93" s="25">
        <v>5</v>
      </c>
      <c r="E93" s="24">
        <v>7.4738415545590429E-3</v>
      </c>
    </row>
    <row r="94" spans="2:5" ht="15" customHeight="1" x14ac:dyDescent="0.25">
      <c r="B94" s="88" t="s">
        <v>45</v>
      </c>
      <c r="C94" s="29" t="s">
        <v>32</v>
      </c>
      <c r="D94" s="28">
        <v>1</v>
      </c>
      <c r="E94" s="27">
        <v>1.4947683109118087E-3</v>
      </c>
    </row>
    <row r="95" spans="2:5" ht="15" customHeight="1" x14ac:dyDescent="0.25">
      <c r="B95" s="89"/>
      <c r="C95" s="29" t="s">
        <v>31</v>
      </c>
      <c r="D95" s="28">
        <v>1</v>
      </c>
      <c r="E95" s="27">
        <v>1.4947683109118087E-3</v>
      </c>
    </row>
    <row r="96" spans="2:5" ht="15" customHeight="1" x14ac:dyDescent="0.25">
      <c r="B96" s="89"/>
      <c r="C96" s="29" t="s">
        <v>24</v>
      </c>
      <c r="D96" s="28">
        <v>2</v>
      </c>
      <c r="E96" s="27">
        <v>2.9895366218236174E-3</v>
      </c>
    </row>
    <row r="97" spans="2:5" ht="15" customHeight="1" x14ac:dyDescent="0.25">
      <c r="B97" s="90"/>
      <c r="C97" s="26" t="s">
        <v>23</v>
      </c>
      <c r="D97" s="25">
        <v>4</v>
      </c>
      <c r="E97" s="24">
        <v>5.9790732436472349E-3</v>
      </c>
    </row>
    <row r="98" spans="2:5" ht="15" customHeight="1" x14ac:dyDescent="0.25">
      <c r="B98" s="88" t="s">
        <v>44</v>
      </c>
      <c r="C98" s="29" t="s">
        <v>32</v>
      </c>
      <c r="D98" s="28">
        <v>1</v>
      </c>
      <c r="E98" s="27">
        <v>1.4947683109118087E-3</v>
      </c>
    </row>
    <row r="99" spans="2:5" ht="15" customHeight="1" x14ac:dyDescent="0.25">
      <c r="B99" s="89"/>
      <c r="C99" s="29" t="s">
        <v>24</v>
      </c>
      <c r="D99" s="28">
        <v>6</v>
      </c>
      <c r="E99" s="27">
        <v>8.9686098654708519E-3</v>
      </c>
    </row>
    <row r="100" spans="2:5" ht="15" customHeight="1" x14ac:dyDescent="0.25">
      <c r="B100" s="90"/>
      <c r="C100" s="26" t="s">
        <v>23</v>
      </c>
      <c r="D100" s="25">
        <v>7</v>
      </c>
      <c r="E100" s="24">
        <v>1.0463378176382661E-2</v>
      </c>
    </row>
    <row r="101" spans="2:5" ht="15" customHeight="1" x14ac:dyDescent="0.25">
      <c r="B101" s="88" t="s">
        <v>43</v>
      </c>
      <c r="C101" s="29" t="s">
        <v>32</v>
      </c>
      <c r="D101" s="28">
        <v>7</v>
      </c>
      <c r="E101" s="27">
        <v>1.0463378176382661E-2</v>
      </c>
    </row>
    <row r="102" spans="2:5" ht="15" customHeight="1" x14ac:dyDescent="0.25">
      <c r="B102" s="89"/>
      <c r="C102" s="29" t="s">
        <v>30</v>
      </c>
      <c r="D102" s="28">
        <v>1</v>
      </c>
      <c r="E102" s="27">
        <v>1.4947683109118087E-3</v>
      </c>
    </row>
    <row r="103" spans="2:5" ht="15" customHeight="1" x14ac:dyDescent="0.25">
      <c r="B103" s="89"/>
      <c r="C103" s="29" t="s">
        <v>24</v>
      </c>
      <c r="D103" s="28">
        <v>20</v>
      </c>
      <c r="E103" s="27">
        <v>2.9895366218236172E-2</v>
      </c>
    </row>
    <row r="104" spans="2:5" ht="15" customHeight="1" x14ac:dyDescent="0.25">
      <c r="B104" s="90"/>
      <c r="C104" s="26" t="s">
        <v>23</v>
      </c>
      <c r="D104" s="25">
        <v>28</v>
      </c>
      <c r="E104" s="24">
        <v>4.1853512705530643E-2</v>
      </c>
    </row>
    <row r="105" spans="2:5" ht="15" customHeight="1" x14ac:dyDescent="0.25">
      <c r="B105" s="88" t="s">
        <v>42</v>
      </c>
      <c r="C105" s="29" t="s">
        <v>32</v>
      </c>
      <c r="D105" s="28">
        <v>3</v>
      </c>
      <c r="E105" s="27">
        <v>4.4843049327354259E-3</v>
      </c>
    </row>
    <row r="106" spans="2:5" ht="15" customHeight="1" x14ac:dyDescent="0.25">
      <c r="B106" s="89"/>
      <c r="C106" s="29" t="s">
        <v>24</v>
      </c>
      <c r="D106" s="28">
        <v>1</v>
      </c>
      <c r="E106" s="27">
        <v>1.4947683109118087E-3</v>
      </c>
    </row>
    <row r="107" spans="2:5" ht="15" customHeight="1" x14ac:dyDescent="0.25">
      <c r="B107" s="90"/>
      <c r="C107" s="26" t="s">
        <v>23</v>
      </c>
      <c r="D107" s="25">
        <v>4</v>
      </c>
      <c r="E107" s="24">
        <v>5.9790732436472349E-3</v>
      </c>
    </row>
    <row r="108" spans="2:5" ht="15" customHeight="1" x14ac:dyDescent="0.25">
      <c r="B108" s="88" t="s">
        <v>41</v>
      </c>
      <c r="C108" s="29" t="s">
        <v>24</v>
      </c>
      <c r="D108" s="28">
        <v>5</v>
      </c>
      <c r="E108" s="27">
        <v>7.4738415545590429E-3</v>
      </c>
    </row>
    <row r="109" spans="2:5" ht="15" customHeight="1" x14ac:dyDescent="0.25">
      <c r="B109" s="90"/>
      <c r="C109" s="26" t="s">
        <v>23</v>
      </c>
      <c r="D109" s="25">
        <v>5</v>
      </c>
      <c r="E109" s="24">
        <v>7.4738415545590429E-3</v>
      </c>
    </row>
    <row r="110" spans="2:5" ht="15" customHeight="1" x14ac:dyDescent="0.25">
      <c r="B110" s="88" t="s">
        <v>40</v>
      </c>
      <c r="C110" s="29" t="s">
        <v>32</v>
      </c>
      <c r="D110" s="28">
        <v>4</v>
      </c>
      <c r="E110" s="27">
        <v>5.9790732436472349E-3</v>
      </c>
    </row>
    <row r="111" spans="2:5" ht="15" customHeight="1" x14ac:dyDescent="0.25">
      <c r="B111" s="89"/>
      <c r="C111" s="29" t="s">
        <v>26</v>
      </c>
      <c r="D111" s="28">
        <v>1</v>
      </c>
      <c r="E111" s="27">
        <v>1.4947683109118087E-3</v>
      </c>
    </row>
    <row r="112" spans="2:5" ht="15" customHeight="1" x14ac:dyDescent="0.25">
      <c r="B112" s="89"/>
      <c r="C112" s="29" t="s">
        <v>24</v>
      </c>
      <c r="D112" s="28">
        <v>6</v>
      </c>
      <c r="E112" s="27">
        <v>8.9686098654708519E-3</v>
      </c>
    </row>
    <row r="113" spans="2:5" ht="15" customHeight="1" x14ac:dyDescent="0.25">
      <c r="B113" s="90"/>
      <c r="C113" s="26" t="s">
        <v>23</v>
      </c>
      <c r="D113" s="25">
        <v>11</v>
      </c>
      <c r="E113" s="24">
        <v>1.6442451420029897E-2</v>
      </c>
    </row>
    <row r="114" spans="2:5" ht="15" customHeight="1" x14ac:dyDescent="0.25">
      <c r="B114" s="88" t="s">
        <v>39</v>
      </c>
      <c r="C114" s="29" t="s">
        <v>32</v>
      </c>
      <c r="D114" s="28">
        <v>2</v>
      </c>
      <c r="E114" s="27">
        <v>2.9895366218236174E-3</v>
      </c>
    </row>
    <row r="115" spans="2:5" ht="15" customHeight="1" x14ac:dyDescent="0.25">
      <c r="B115" s="89"/>
      <c r="C115" s="29" t="s">
        <v>27</v>
      </c>
      <c r="D115" s="28">
        <v>1</v>
      </c>
      <c r="E115" s="27">
        <v>1.4947683109118087E-3</v>
      </c>
    </row>
    <row r="116" spans="2:5" ht="15" customHeight="1" x14ac:dyDescent="0.25">
      <c r="B116" s="89"/>
      <c r="C116" s="29" t="s">
        <v>24</v>
      </c>
      <c r="D116" s="28">
        <v>1</v>
      </c>
      <c r="E116" s="27">
        <v>1.4947683109118087E-3</v>
      </c>
    </row>
    <row r="117" spans="2:5" ht="15" customHeight="1" x14ac:dyDescent="0.25">
      <c r="B117" s="90"/>
      <c r="C117" s="26" t="s">
        <v>23</v>
      </c>
      <c r="D117" s="25">
        <v>4</v>
      </c>
      <c r="E117" s="24">
        <v>5.9790732436472349E-3</v>
      </c>
    </row>
    <row r="118" spans="2:5" ht="15" customHeight="1" x14ac:dyDescent="0.25">
      <c r="B118" s="88" t="s">
        <v>38</v>
      </c>
      <c r="C118" s="29" t="s">
        <v>32</v>
      </c>
      <c r="D118" s="28">
        <v>1</v>
      </c>
      <c r="E118" s="27">
        <v>1.4947683109118087E-3</v>
      </c>
    </row>
    <row r="119" spans="2:5" ht="15" customHeight="1" x14ac:dyDescent="0.25">
      <c r="B119" s="89"/>
      <c r="C119" s="29" t="s">
        <v>31</v>
      </c>
      <c r="D119" s="28">
        <v>1</v>
      </c>
      <c r="E119" s="27">
        <v>1.4947683109118087E-3</v>
      </c>
    </row>
    <row r="120" spans="2:5" ht="15" customHeight="1" x14ac:dyDescent="0.25">
      <c r="B120" s="89"/>
      <c r="C120" s="29" t="s">
        <v>24</v>
      </c>
      <c r="D120" s="28">
        <v>9</v>
      </c>
      <c r="E120" s="27">
        <v>1.3452914798206279E-2</v>
      </c>
    </row>
    <row r="121" spans="2:5" ht="15" customHeight="1" x14ac:dyDescent="0.25">
      <c r="B121" s="90"/>
      <c r="C121" s="26" t="s">
        <v>23</v>
      </c>
      <c r="D121" s="25">
        <v>11</v>
      </c>
      <c r="E121" s="24">
        <v>1.6442451420029897E-2</v>
      </c>
    </row>
    <row r="122" spans="2:5" ht="15" customHeight="1" x14ac:dyDescent="0.25">
      <c r="B122" s="88" t="s">
        <v>37</v>
      </c>
      <c r="C122" s="29" t="s">
        <v>32</v>
      </c>
      <c r="D122" s="28">
        <v>4</v>
      </c>
      <c r="E122" s="27">
        <v>5.9790732436472349E-3</v>
      </c>
    </row>
    <row r="123" spans="2:5" ht="15" customHeight="1" x14ac:dyDescent="0.25">
      <c r="B123" s="89"/>
      <c r="C123" s="29" t="s">
        <v>26</v>
      </c>
      <c r="D123" s="28">
        <v>1</v>
      </c>
      <c r="E123" s="27">
        <v>1.4947683109118087E-3</v>
      </c>
    </row>
    <row r="124" spans="2:5" ht="15" customHeight="1" x14ac:dyDescent="0.25">
      <c r="B124" s="89"/>
      <c r="C124" s="29" t="s">
        <v>30</v>
      </c>
      <c r="D124" s="28">
        <v>1</v>
      </c>
      <c r="E124" s="27">
        <v>1.4947683109118087E-3</v>
      </c>
    </row>
    <row r="125" spans="2:5" ht="15" customHeight="1" x14ac:dyDescent="0.25">
      <c r="B125" s="89"/>
      <c r="C125" s="29" t="s">
        <v>24</v>
      </c>
      <c r="D125" s="28">
        <v>11</v>
      </c>
      <c r="E125" s="27">
        <v>1.6442451420029897E-2</v>
      </c>
    </row>
    <row r="126" spans="2:5" ht="15" customHeight="1" x14ac:dyDescent="0.25">
      <c r="B126" s="90"/>
      <c r="C126" s="26" t="s">
        <v>23</v>
      </c>
      <c r="D126" s="25">
        <v>17</v>
      </c>
      <c r="E126" s="24">
        <v>2.5411061285500747E-2</v>
      </c>
    </row>
    <row r="127" spans="2:5" ht="15" customHeight="1" x14ac:dyDescent="0.25">
      <c r="B127" s="88" t="s">
        <v>36</v>
      </c>
      <c r="C127" s="29" t="s">
        <v>32</v>
      </c>
      <c r="D127" s="28">
        <v>22</v>
      </c>
      <c r="E127" s="27">
        <v>3.2884902840059793E-2</v>
      </c>
    </row>
    <row r="128" spans="2:5" ht="15" customHeight="1" x14ac:dyDescent="0.25">
      <c r="B128" s="89"/>
      <c r="C128" s="29" t="s">
        <v>31</v>
      </c>
      <c r="D128" s="28">
        <v>3</v>
      </c>
      <c r="E128" s="27">
        <v>4.4843049327354259E-3</v>
      </c>
    </row>
    <row r="129" spans="2:5" ht="15" customHeight="1" x14ac:dyDescent="0.25">
      <c r="B129" s="89"/>
      <c r="C129" s="29" t="s">
        <v>27</v>
      </c>
      <c r="D129" s="28">
        <v>3</v>
      </c>
      <c r="E129" s="27">
        <v>4.4843049327354259E-3</v>
      </c>
    </row>
    <row r="130" spans="2:5" ht="15" customHeight="1" x14ac:dyDescent="0.25">
      <c r="B130" s="89"/>
      <c r="C130" s="29" t="s">
        <v>26</v>
      </c>
      <c r="D130" s="28">
        <v>2</v>
      </c>
      <c r="E130" s="27">
        <v>2.9895366218236174E-3</v>
      </c>
    </row>
    <row r="131" spans="2:5" ht="15" customHeight="1" x14ac:dyDescent="0.25">
      <c r="B131" s="89"/>
      <c r="C131" s="29" t="s">
        <v>24</v>
      </c>
      <c r="D131" s="28">
        <v>54</v>
      </c>
      <c r="E131" s="27">
        <v>8.0717488789237665E-2</v>
      </c>
    </row>
    <row r="132" spans="2:5" ht="15" customHeight="1" x14ac:dyDescent="0.25">
      <c r="B132" s="90"/>
      <c r="C132" s="26" t="s">
        <v>23</v>
      </c>
      <c r="D132" s="25">
        <v>84</v>
      </c>
      <c r="E132" s="24">
        <v>0.12556053811659193</v>
      </c>
    </row>
    <row r="133" spans="2:5" ht="15" customHeight="1" x14ac:dyDescent="0.25">
      <c r="B133" s="88" t="s">
        <v>35</v>
      </c>
      <c r="C133" s="29" t="s">
        <v>32</v>
      </c>
      <c r="D133" s="28">
        <v>3</v>
      </c>
      <c r="E133" s="27">
        <v>4.4843049327354259E-3</v>
      </c>
    </row>
    <row r="134" spans="2:5" ht="15" customHeight="1" x14ac:dyDescent="0.25">
      <c r="B134" s="89"/>
      <c r="C134" s="29" t="s">
        <v>31</v>
      </c>
      <c r="D134" s="28">
        <v>1</v>
      </c>
      <c r="E134" s="27">
        <v>1.4947683109118087E-3</v>
      </c>
    </row>
    <row r="135" spans="2:5" ht="15" customHeight="1" x14ac:dyDescent="0.25">
      <c r="B135" s="89"/>
      <c r="C135" s="29" t="s">
        <v>24</v>
      </c>
      <c r="D135" s="28">
        <v>5</v>
      </c>
      <c r="E135" s="27">
        <v>7.4738415545590429E-3</v>
      </c>
    </row>
    <row r="136" spans="2:5" ht="15" customHeight="1" x14ac:dyDescent="0.25">
      <c r="B136" s="90"/>
      <c r="C136" s="26" t="s">
        <v>23</v>
      </c>
      <c r="D136" s="25">
        <v>9</v>
      </c>
      <c r="E136" s="24">
        <v>1.3452914798206279E-2</v>
      </c>
    </row>
    <row r="137" spans="2:5" ht="15" customHeight="1" x14ac:dyDescent="0.25">
      <c r="B137" s="88" t="s">
        <v>34</v>
      </c>
      <c r="C137" s="29" t="s">
        <v>27</v>
      </c>
      <c r="D137" s="28">
        <v>1</v>
      </c>
      <c r="E137" s="27">
        <v>1.4947683109118087E-3</v>
      </c>
    </row>
    <row r="138" spans="2:5" ht="15" customHeight="1" x14ac:dyDescent="0.25">
      <c r="B138" s="90"/>
      <c r="C138" s="26" t="s">
        <v>23</v>
      </c>
      <c r="D138" s="25">
        <v>1</v>
      </c>
      <c r="E138" s="24">
        <v>1.4947683109118087E-3</v>
      </c>
    </row>
    <row r="139" spans="2:5" ht="15" customHeight="1" x14ac:dyDescent="0.25">
      <c r="B139" s="88" t="s">
        <v>33</v>
      </c>
      <c r="C139" s="29" t="s">
        <v>32</v>
      </c>
      <c r="D139" s="28">
        <v>2</v>
      </c>
      <c r="E139" s="27">
        <v>2.9895366218236174E-3</v>
      </c>
    </row>
    <row r="140" spans="2:5" ht="15" customHeight="1" x14ac:dyDescent="0.25">
      <c r="B140" s="89"/>
      <c r="C140" s="29" t="s">
        <v>31</v>
      </c>
      <c r="D140" s="28">
        <v>1</v>
      </c>
      <c r="E140" s="27">
        <v>1.4947683109118087E-3</v>
      </c>
    </row>
    <row r="141" spans="2:5" ht="15" customHeight="1" x14ac:dyDescent="0.25">
      <c r="B141" s="89"/>
      <c r="C141" s="29" t="s">
        <v>30</v>
      </c>
      <c r="D141" s="28">
        <v>1</v>
      </c>
      <c r="E141" s="27">
        <v>1.4947683109118087E-3</v>
      </c>
    </row>
    <row r="142" spans="2:5" ht="15" customHeight="1" x14ac:dyDescent="0.25">
      <c r="B142" s="89"/>
      <c r="C142" s="29" t="s">
        <v>24</v>
      </c>
      <c r="D142" s="28">
        <v>21</v>
      </c>
      <c r="E142" s="27">
        <v>3.1390134529147982E-2</v>
      </c>
    </row>
    <row r="143" spans="2:5" ht="15" customHeight="1" x14ac:dyDescent="0.25">
      <c r="B143" s="89"/>
      <c r="C143" s="29" t="s">
        <v>29</v>
      </c>
      <c r="D143" s="28">
        <v>1</v>
      </c>
      <c r="E143" s="27">
        <v>1.4947683109118087E-3</v>
      </c>
    </row>
    <row r="144" spans="2:5" ht="15" customHeight="1" x14ac:dyDescent="0.25">
      <c r="B144" s="90"/>
      <c r="C144" s="26" t="s">
        <v>23</v>
      </c>
      <c r="D144" s="25">
        <v>26</v>
      </c>
      <c r="E144" s="24">
        <v>3.8863976083707022E-2</v>
      </c>
    </row>
    <row r="145" spans="2:5" ht="15" customHeight="1" x14ac:dyDescent="0.25">
      <c r="B145" s="88" t="s">
        <v>28</v>
      </c>
      <c r="C145" s="29" t="s">
        <v>27</v>
      </c>
      <c r="D145" s="28">
        <v>3</v>
      </c>
      <c r="E145" s="27">
        <v>4.4843049327354259E-3</v>
      </c>
    </row>
    <row r="146" spans="2:5" ht="15" customHeight="1" x14ac:dyDescent="0.25">
      <c r="B146" s="89"/>
      <c r="C146" s="29" t="s">
        <v>26</v>
      </c>
      <c r="D146" s="28">
        <v>2</v>
      </c>
      <c r="E146" s="27">
        <v>2.9895366218236174E-3</v>
      </c>
    </row>
    <row r="147" spans="2:5" ht="15" customHeight="1" x14ac:dyDescent="0.25">
      <c r="B147" s="89"/>
      <c r="C147" s="29" t="s">
        <v>24</v>
      </c>
      <c r="D147" s="28">
        <v>8</v>
      </c>
      <c r="E147" s="27">
        <v>1.195814648729447E-2</v>
      </c>
    </row>
    <row r="148" spans="2:5" ht="15" customHeight="1" x14ac:dyDescent="0.25">
      <c r="B148" s="90"/>
      <c r="C148" s="26" t="s">
        <v>23</v>
      </c>
      <c r="D148" s="25">
        <v>13</v>
      </c>
      <c r="E148" s="24">
        <v>1.9431988041853511E-2</v>
      </c>
    </row>
    <row r="149" spans="2:5" ht="15" customHeight="1" x14ac:dyDescent="0.25">
      <c r="B149" s="88" t="s">
        <v>25</v>
      </c>
      <c r="C149" s="29" t="s">
        <v>24</v>
      </c>
      <c r="D149" s="28">
        <v>5</v>
      </c>
      <c r="E149" s="27">
        <v>7.4738415545590429E-3</v>
      </c>
    </row>
    <row r="150" spans="2:5" ht="15" customHeight="1" x14ac:dyDescent="0.25">
      <c r="B150" s="90"/>
      <c r="C150" s="26" t="s">
        <v>23</v>
      </c>
      <c r="D150" s="25">
        <v>5</v>
      </c>
      <c r="E150" s="24">
        <v>7.4738415545590429E-3</v>
      </c>
    </row>
    <row r="151" spans="2:5" ht="15" customHeight="1" x14ac:dyDescent="0.25">
      <c r="B151" s="91" t="s">
        <v>23</v>
      </c>
      <c r="C151" s="92"/>
      <c r="D151" s="23">
        <v>669</v>
      </c>
      <c r="E151" s="22">
        <v>1</v>
      </c>
    </row>
    <row r="153" spans="2:5" ht="15" customHeight="1" x14ac:dyDescent="0.25">
      <c r="B153" s="19" t="s">
        <v>22</v>
      </c>
    </row>
    <row r="154" spans="2:5" ht="15" customHeight="1" x14ac:dyDescent="0.25">
      <c r="B154" s="21" t="s">
        <v>21</v>
      </c>
    </row>
    <row r="155" spans="2:5" ht="15" customHeight="1" x14ac:dyDescent="0.25">
      <c r="B155" s="20" t="s">
        <v>20</v>
      </c>
    </row>
    <row r="156" spans="2:5" ht="15" customHeight="1" x14ac:dyDescent="0.25">
      <c r="B156" s="19" t="s">
        <v>19</v>
      </c>
    </row>
    <row r="157" spans="2:5" ht="15" customHeight="1" x14ac:dyDescent="0.25">
      <c r="B157" s="19" t="s">
        <v>18</v>
      </c>
    </row>
  </sheetData>
  <mergeCells count="42">
    <mergeCell ref="B149:B150"/>
    <mergeCell ref="B151:C151"/>
    <mergeCell ref="B127:B132"/>
    <mergeCell ref="B133:B136"/>
    <mergeCell ref="B137:B138"/>
    <mergeCell ref="B139:B144"/>
    <mergeCell ref="B145:B148"/>
    <mergeCell ref="B91:B93"/>
    <mergeCell ref="B94:B97"/>
    <mergeCell ref="B98:B100"/>
    <mergeCell ref="B101:B104"/>
    <mergeCell ref="B105:B107"/>
    <mergeCell ref="B108:B109"/>
    <mergeCell ref="B110:B113"/>
    <mergeCell ref="B114:B117"/>
    <mergeCell ref="B118:B121"/>
    <mergeCell ref="B122:B126"/>
    <mergeCell ref="B63:B64"/>
    <mergeCell ref="B65:B68"/>
    <mergeCell ref="B69:B70"/>
    <mergeCell ref="B71:B72"/>
    <mergeCell ref="B73:B75"/>
    <mergeCell ref="B76:B79"/>
    <mergeCell ref="B80:B81"/>
    <mergeCell ref="B82:B84"/>
    <mergeCell ref="B85:B87"/>
    <mergeCell ref="B88:B90"/>
    <mergeCell ref="B29:B33"/>
    <mergeCell ref="B34:B36"/>
    <mergeCell ref="B37:B38"/>
    <mergeCell ref="B39:B40"/>
    <mergeCell ref="B41:B44"/>
    <mergeCell ref="B45:B47"/>
    <mergeCell ref="B48:B51"/>
    <mergeCell ref="B52:B54"/>
    <mergeCell ref="B55:B57"/>
    <mergeCell ref="B58:B62"/>
    <mergeCell ref="B7:E8"/>
    <mergeCell ref="B10:B13"/>
    <mergeCell ref="B14:B16"/>
    <mergeCell ref="B17:B19"/>
    <mergeCell ref="B20:B2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3" manualBreakCount="3">
    <brk id="51" max="4" man="1"/>
    <brk id="93" max="4" man="1"/>
    <brk id="136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88"/>
  <sheetViews>
    <sheetView zoomScale="145" zoomScaleNormal="145" zoomScaleSheetLayoutView="85" workbookViewId="0">
      <selection activeCell="F7" sqref="F7"/>
    </sheetView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38" customFormat="1" ht="12" customHeight="1" x14ac:dyDescent="0.2">
      <c r="B1" s="42"/>
      <c r="C1" s="41"/>
      <c r="D1" s="41"/>
      <c r="E1" s="41"/>
    </row>
    <row r="2" spans="1:5" s="38" customFormat="1" ht="15" customHeight="1" x14ac:dyDescent="0.2">
      <c r="C2" s="40"/>
    </row>
    <row r="3" spans="1:5" s="38" customFormat="1" ht="15" customHeight="1" x14ac:dyDescent="0.2">
      <c r="C3" s="40"/>
    </row>
    <row r="4" spans="1:5" s="38" customFormat="1" ht="30" customHeight="1" x14ac:dyDescent="0.2">
      <c r="C4" s="40"/>
      <c r="D4" s="39"/>
    </row>
    <row r="5" spans="1:5" s="38" customFormat="1" ht="15" customHeight="1" x14ac:dyDescent="0.2">
      <c r="C5" s="40"/>
      <c r="D5" s="39"/>
    </row>
    <row r="6" spans="1:5" s="35" customFormat="1" ht="24" customHeight="1" x14ac:dyDescent="0.2">
      <c r="B6" s="37"/>
      <c r="C6" s="30"/>
      <c r="D6" s="30"/>
      <c r="E6" s="30"/>
    </row>
    <row r="7" spans="1:5" s="35" customFormat="1" ht="26.25" customHeight="1" x14ac:dyDescent="0.3">
      <c r="A7" s="36"/>
      <c r="B7" s="87"/>
      <c r="C7" s="87"/>
      <c r="D7" s="87"/>
      <c r="E7" s="87"/>
    </row>
    <row r="8" spans="1:5" s="35" customFormat="1" ht="33" customHeight="1" x14ac:dyDescent="0.3">
      <c r="A8" s="36"/>
      <c r="B8" s="87"/>
      <c r="C8" s="87"/>
      <c r="D8" s="87"/>
      <c r="E8" s="87"/>
    </row>
    <row r="9" spans="1:5" s="31" customFormat="1" ht="40.5" customHeight="1" x14ac:dyDescent="0.2">
      <c r="B9" s="32" t="s">
        <v>147</v>
      </c>
      <c r="C9" s="34" t="s">
        <v>74</v>
      </c>
      <c r="D9" s="33" t="s">
        <v>73</v>
      </c>
      <c r="E9" s="32" t="s">
        <v>72</v>
      </c>
    </row>
    <row r="10" spans="1:5" ht="15" customHeight="1" x14ac:dyDescent="0.25">
      <c r="B10" s="88" t="s">
        <v>146</v>
      </c>
      <c r="C10" s="29" t="s">
        <v>32</v>
      </c>
      <c r="D10" s="28">
        <v>1</v>
      </c>
      <c r="E10" s="27">
        <v>1.4947683109118087E-3</v>
      </c>
    </row>
    <row r="11" spans="1:5" ht="15" customHeight="1" x14ac:dyDescent="0.25">
      <c r="B11" s="89"/>
      <c r="C11" s="29" t="s">
        <v>31</v>
      </c>
      <c r="D11" s="28">
        <v>1</v>
      </c>
      <c r="E11" s="27">
        <v>1.4947683109118087E-3</v>
      </c>
    </row>
    <row r="12" spans="1:5" s="30" customFormat="1" ht="15" customHeight="1" x14ac:dyDescent="0.25">
      <c r="A12" s="17"/>
      <c r="B12" s="89"/>
      <c r="C12" s="29" t="s">
        <v>24</v>
      </c>
      <c r="D12" s="28">
        <v>1</v>
      </c>
      <c r="E12" s="27">
        <v>1.4947683109118087E-3</v>
      </c>
    </row>
    <row r="13" spans="1:5" s="30" customFormat="1" ht="15" customHeight="1" x14ac:dyDescent="0.25">
      <c r="A13" s="17"/>
      <c r="B13" s="90"/>
      <c r="C13" s="26" t="s">
        <v>23</v>
      </c>
      <c r="D13" s="25">
        <v>3</v>
      </c>
      <c r="E13" s="24">
        <v>4.4843049327354259E-3</v>
      </c>
    </row>
    <row r="14" spans="1:5" s="30" customFormat="1" ht="15" customHeight="1" x14ac:dyDescent="0.25">
      <c r="A14" s="17"/>
      <c r="B14" s="88" t="s">
        <v>145</v>
      </c>
      <c r="C14" s="29" t="s">
        <v>32</v>
      </c>
      <c r="D14" s="28">
        <v>9</v>
      </c>
      <c r="E14" s="27">
        <v>1.3452914798206279E-2</v>
      </c>
    </row>
    <row r="15" spans="1:5" ht="15" customHeight="1" x14ac:dyDescent="0.25">
      <c r="B15" s="89"/>
      <c r="C15" s="29" t="s">
        <v>26</v>
      </c>
      <c r="D15" s="28">
        <v>2</v>
      </c>
      <c r="E15" s="27">
        <v>2.9895366218236174E-3</v>
      </c>
    </row>
    <row r="16" spans="1:5" ht="15" customHeight="1" x14ac:dyDescent="0.25">
      <c r="B16" s="89"/>
      <c r="C16" s="29" t="s">
        <v>30</v>
      </c>
      <c r="D16" s="28">
        <v>1</v>
      </c>
      <c r="E16" s="27">
        <v>1.4947683109118087E-3</v>
      </c>
    </row>
    <row r="17" spans="2:5" ht="15" customHeight="1" x14ac:dyDescent="0.25">
      <c r="B17" s="89"/>
      <c r="C17" s="29" t="s">
        <v>24</v>
      </c>
      <c r="D17" s="28">
        <v>87</v>
      </c>
      <c r="E17" s="27">
        <v>0.13004484304932734</v>
      </c>
    </row>
    <row r="18" spans="2:5" ht="15" customHeight="1" x14ac:dyDescent="0.25">
      <c r="B18" s="90"/>
      <c r="C18" s="26" t="s">
        <v>23</v>
      </c>
      <c r="D18" s="25">
        <v>99</v>
      </c>
      <c r="E18" s="24">
        <v>0.14798206278026907</v>
      </c>
    </row>
    <row r="19" spans="2:5" ht="15" customHeight="1" x14ac:dyDescent="0.25">
      <c r="B19" s="88" t="s">
        <v>144</v>
      </c>
      <c r="C19" s="29" t="s">
        <v>32</v>
      </c>
      <c r="D19" s="28">
        <v>2</v>
      </c>
      <c r="E19" s="27">
        <v>2.9895366218236174E-3</v>
      </c>
    </row>
    <row r="20" spans="2:5" ht="15" customHeight="1" x14ac:dyDescent="0.25">
      <c r="B20" s="89"/>
      <c r="C20" s="29" t="s">
        <v>26</v>
      </c>
      <c r="D20" s="28">
        <v>1</v>
      </c>
      <c r="E20" s="27">
        <v>1.4947683109118087E-3</v>
      </c>
    </row>
    <row r="21" spans="2:5" ht="15" customHeight="1" x14ac:dyDescent="0.25">
      <c r="B21" s="89"/>
      <c r="C21" s="29" t="s">
        <v>24</v>
      </c>
      <c r="D21" s="28">
        <v>8</v>
      </c>
      <c r="E21" s="27">
        <v>1.195814648729447E-2</v>
      </c>
    </row>
    <row r="22" spans="2:5" ht="15" customHeight="1" x14ac:dyDescent="0.25">
      <c r="B22" s="90"/>
      <c r="C22" s="26" t="s">
        <v>23</v>
      </c>
      <c r="D22" s="25">
        <v>11</v>
      </c>
      <c r="E22" s="24">
        <v>1.6442451420029897E-2</v>
      </c>
    </row>
    <row r="23" spans="2:5" ht="15" customHeight="1" x14ac:dyDescent="0.25">
      <c r="B23" s="88" t="s">
        <v>143</v>
      </c>
      <c r="C23" s="29" t="s">
        <v>27</v>
      </c>
      <c r="D23" s="28">
        <v>1</v>
      </c>
      <c r="E23" s="27">
        <v>1.4947683109118087E-3</v>
      </c>
    </row>
    <row r="24" spans="2:5" ht="15" customHeight="1" x14ac:dyDescent="0.25">
      <c r="B24" s="89"/>
      <c r="C24" s="29" t="s">
        <v>24</v>
      </c>
      <c r="D24" s="28">
        <v>1</v>
      </c>
      <c r="E24" s="27">
        <v>1.4947683109118087E-3</v>
      </c>
    </row>
    <row r="25" spans="2:5" ht="15" customHeight="1" x14ac:dyDescent="0.25">
      <c r="B25" s="90"/>
      <c r="C25" s="26" t="s">
        <v>23</v>
      </c>
      <c r="D25" s="25">
        <v>2</v>
      </c>
      <c r="E25" s="24">
        <v>2.9895366218236174E-3</v>
      </c>
    </row>
    <row r="26" spans="2:5" ht="15" customHeight="1" x14ac:dyDescent="0.25">
      <c r="B26" s="88" t="s">
        <v>142</v>
      </c>
      <c r="C26" s="29" t="s">
        <v>24</v>
      </c>
      <c r="D26" s="28">
        <v>3</v>
      </c>
      <c r="E26" s="27">
        <v>4.4843049327354259E-3</v>
      </c>
    </row>
    <row r="27" spans="2:5" ht="15" customHeight="1" x14ac:dyDescent="0.25">
      <c r="B27" s="90"/>
      <c r="C27" s="26" t="s">
        <v>23</v>
      </c>
      <c r="D27" s="25">
        <v>3</v>
      </c>
      <c r="E27" s="24">
        <v>4.4843049327354259E-3</v>
      </c>
    </row>
    <row r="28" spans="2:5" ht="15" customHeight="1" x14ac:dyDescent="0.25">
      <c r="B28" s="88" t="s">
        <v>141</v>
      </c>
      <c r="C28" s="29" t="s">
        <v>32</v>
      </c>
      <c r="D28" s="28">
        <v>10</v>
      </c>
      <c r="E28" s="27">
        <v>1.4947683109118086E-2</v>
      </c>
    </row>
    <row r="29" spans="2:5" ht="15" customHeight="1" x14ac:dyDescent="0.25">
      <c r="B29" s="89"/>
      <c r="C29" s="29" t="s">
        <v>27</v>
      </c>
      <c r="D29" s="28">
        <v>1</v>
      </c>
      <c r="E29" s="27">
        <v>1.4947683109118087E-3</v>
      </c>
    </row>
    <row r="30" spans="2:5" ht="15" customHeight="1" x14ac:dyDescent="0.25">
      <c r="B30" s="89"/>
      <c r="C30" s="29" t="s">
        <v>24</v>
      </c>
      <c r="D30" s="28">
        <v>17</v>
      </c>
      <c r="E30" s="27">
        <v>2.5411061285500747E-2</v>
      </c>
    </row>
    <row r="31" spans="2:5" ht="15" customHeight="1" x14ac:dyDescent="0.25">
      <c r="B31" s="90"/>
      <c r="C31" s="26" t="s">
        <v>23</v>
      </c>
      <c r="D31" s="25">
        <v>28</v>
      </c>
      <c r="E31" s="24">
        <v>4.1853512705530643E-2</v>
      </c>
    </row>
    <row r="32" spans="2:5" ht="15" customHeight="1" x14ac:dyDescent="0.25">
      <c r="B32" s="88" t="s">
        <v>140</v>
      </c>
      <c r="C32" s="29" t="s">
        <v>32</v>
      </c>
      <c r="D32" s="28">
        <v>5</v>
      </c>
      <c r="E32" s="27">
        <v>7.4738415545590429E-3</v>
      </c>
    </row>
    <row r="33" spans="2:5" ht="15" customHeight="1" x14ac:dyDescent="0.25">
      <c r="B33" s="89"/>
      <c r="C33" s="29" t="s">
        <v>31</v>
      </c>
      <c r="D33" s="28">
        <v>1</v>
      </c>
      <c r="E33" s="27">
        <v>1.4947683109118087E-3</v>
      </c>
    </row>
    <row r="34" spans="2:5" ht="15" customHeight="1" x14ac:dyDescent="0.25">
      <c r="B34" s="89"/>
      <c r="C34" s="29" t="s">
        <v>27</v>
      </c>
      <c r="D34" s="28">
        <v>1</v>
      </c>
      <c r="E34" s="27">
        <v>1.4947683109118087E-3</v>
      </c>
    </row>
    <row r="35" spans="2:5" ht="15" customHeight="1" x14ac:dyDescent="0.25">
      <c r="B35" s="89"/>
      <c r="C35" s="29" t="s">
        <v>24</v>
      </c>
      <c r="D35" s="28">
        <v>16</v>
      </c>
      <c r="E35" s="27">
        <v>2.391629297458894E-2</v>
      </c>
    </row>
    <row r="36" spans="2:5" ht="15" customHeight="1" x14ac:dyDescent="0.25">
      <c r="B36" s="90"/>
      <c r="C36" s="26" t="s">
        <v>23</v>
      </c>
      <c r="D36" s="25">
        <v>23</v>
      </c>
      <c r="E36" s="24">
        <v>3.4379671150971597E-2</v>
      </c>
    </row>
    <row r="37" spans="2:5" ht="15" customHeight="1" x14ac:dyDescent="0.25">
      <c r="B37" s="88" t="s">
        <v>139</v>
      </c>
      <c r="C37" s="29" t="s">
        <v>32</v>
      </c>
      <c r="D37" s="28">
        <v>3</v>
      </c>
      <c r="E37" s="27">
        <v>4.4843049327354259E-3</v>
      </c>
    </row>
    <row r="38" spans="2:5" ht="15" customHeight="1" x14ac:dyDescent="0.25">
      <c r="B38" s="89"/>
      <c r="C38" s="29" t="s">
        <v>31</v>
      </c>
      <c r="D38" s="28">
        <v>1</v>
      </c>
      <c r="E38" s="27">
        <v>1.4947683109118087E-3</v>
      </c>
    </row>
    <row r="39" spans="2:5" ht="15" customHeight="1" x14ac:dyDescent="0.25">
      <c r="B39" s="89"/>
      <c r="C39" s="29" t="s">
        <v>26</v>
      </c>
      <c r="D39" s="28">
        <v>2</v>
      </c>
      <c r="E39" s="27">
        <v>2.9895366218236174E-3</v>
      </c>
    </row>
    <row r="40" spans="2:5" ht="15" customHeight="1" x14ac:dyDescent="0.25">
      <c r="B40" s="89"/>
      <c r="C40" s="29" t="s">
        <v>24</v>
      </c>
      <c r="D40" s="28">
        <v>8</v>
      </c>
      <c r="E40" s="27">
        <v>1.195814648729447E-2</v>
      </c>
    </row>
    <row r="41" spans="2:5" ht="15" customHeight="1" x14ac:dyDescent="0.25">
      <c r="B41" s="90"/>
      <c r="C41" s="26" t="s">
        <v>23</v>
      </c>
      <c r="D41" s="25">
        <v>14</v>
      </c>
      <c r="E41" s="24">
        <v>2.0926756352765322E-2</v>
      </c>
    </row>
    <row r="42" spans="2:5" ht="15" customHeight="1" x14ac:dyDescent="0.25">
      <c r="B42" s="88" t="s">
        <v>138</v>
      </c>
      <c r="C42" s="29" t="s">
        <v>32</v>
      </c>
      <c r="D42" s="28">
        <v>2</v>
      </c>
      <c r="E42" s="27">
        <v>2.9895366218236174E-3</v>
      </c>
    </row>
    <row r="43" spans="2:5" ht="15" customHeight="1" x14ac:dyDescent="0.25">
      <c r="B43" s="89"/>
      <c r="C43" s="29" t="s">
        <v>24</v>
      </c>
      <c r="D43" s="28">
        <v>3</v>
      </c>
      <c r="E43" s="27">
        <v>4.4843049327354259E-3</v>
      </c>
    </row>
    <row r="44" spans="2:5" ht="15" customHeight="1" x14ac:dyDescent="0.25">
      <c r="B44" s="90"/>
      <c r="C44" s="26" t="s">
        <v>23</v>
      </c>
      <c r="D44" s="25">
        <v>5</v>
      </c>
      <c r="E44" s="24">
        <v>7.4738415545590429E-3</v>
      </c>
    </row>
    <row r="45" spans="2:5" ht="15" customHeight="1" x14ac:dyDescent="0.25">
      <c r="B45" s="88" t="s">
        <v>137</v>
      </c>
      <c r="C45" s="29" t="s">
        <v>24</v>
      </c>
      <c r="D45" s="28">
        <v>2</v>
      </c>
      <c r="E45" s="27">
        <v>2.9895366218236174E-3</v>
      </c>
    </row>
    <row r="46" spans="2:5" ht="15" customHeight="1" x14ac:dyDescent="0.25">
      <c r="B46" s="90"/>
      <c r="C46" s="26" t="s">
        <v>23</v>
      </c>
      <c r="D46" s="25">
        <v>2</v>
      </c>
      <c r="E46" s="24">
        <v>2.9895366218236174E-3</v>
      </c>
    </row>
    <row r="47" spans="2:5" ht="15" customHeight="1" x14ac:dyDescent="0.25">
      <c r="B47" s="88" t="s">
        <v>136</v>
      </c>
      <c r="C47" s="29" t="s">
        <v>32</v>
      </c>
      <c r="D47" s="28">
        <v>3</v>
      </c>
      <c r="E47" s="27">
        <v>4.4843049327354259E-3</v>
      </c>
    </row>
    <row r="48" spans="2:5" ht="15" customHeight="1" x14ac:dyDescent="0.25">
      <c r="B48" s="89"/>
      <c r="C48" s="29" t="s">
        <v>27</v>
      </c>
      <c r="D48" s="28">
        <v>1</v>
      </c>
      <c r="E48" s="27">
        <v>1.4947683109118087E-3</v>
      </c>
    </row>
    <row r="49" spans="2:5" ht="15" customHeight="1" x14ac:dyDescent="0.25">
      <c r="B49" s="89"/>
      <c r="C49" s="29" t="s">
        <v>24</v>
      </c>
      <c r="D49" s="28">
        <v>3</v>
      </c>
      <c r="E49" s="27">
        <v>4.4843049327354259E-3</v>
      </c>
    </row>
    <row r="50" spans="2:5" ht="15" customHeight="1" x14ac:dyDescent="0.25">
      <c r="B50" s="90"/>
      <c r="C50" s="26" t="s">
        <v>23</v>
      </c>
      <c r="D50" s="25">
        <v>7</v>
      </c>
      <c r="E50" s="24">
        <v>1.0463378176382661E-2</v>
      </c>
    </row>
    <row r="51" spans="2:5" ht="15" customHeight="1" x14ac:dyDescent="0.25">
      <c r="B51" s="88" t="s">
        <v>135</v>
      </c>
      <c r="C51" s="29" t="s">
        <v>24</v>
      </c>
      <c r="D51" s="28">
        <v>8</v>
      </c>
      <c r="E51" s="27">
        <v>1.195814648729447E-2</v>
      </c>
    </row>
    <row r="52" spans="2:5" ht="15" customHeight="1" x14ac:dyDescent="0.25">
      <c r="B52" s="90"/>
      <c r="C52" s="26" t="s">
        <v>23</v>
      </c>
      <c r="D52" s="25">
        <v>8</v>
      </c>
      <c r="E52" s="24">
        <v>1.195814648729447E-2</v>
      </c>
    </row>
    <row r="53" spans="2:5" ht="15" customHeight="1" x14ac:dyDescent="0.25">
      <c r="B53" s="88" t="s">
        <v>134</v>
      </c>
      <c r="C53" s="29" t="s">
        <v>32</v>
      </c>
      <c r="D53" s="28">
        <v>9</v>
      </c>
      <c r="E53" s="27">
        <v>1.3452914798206279E-2</v>
      </c>
    </row>
    <row r="54" spans="2:5" ht="15" customHeight="1" x14ac:dyDescent="0.25">
      <c r="B54" s="89"/>
      <c r="C54" s="29" t="s">
        <v>31</v>
      </c>
      <c r="D54" s="28">
        <v>2</v>
      </c>
      <c r="E54" s="27">
        <v>2.9895366218236174E-3</v>
      </c>
    </row>
    <row r="55" spans="2:5" ht="15" customHeight="1" x14ac:dyDescent="0.25">
      <c r="B55" s="89"/>
      <c r="C55" s="29" t="s">
        <v>27</v>
      </c>
      <c r="D55" s="28">
        <v>1</v>
      </c>
      <c r="E55" s="27">
        <v>1.4947683109118087E-3</v>
      </c>
    </row>
    <row r="56" spans="2:5" ht="15" customHeight="1" x14ac:dyDescent="0.25">
      <c r="B56" s="89"/>
      <c r="C56" s="29" t="s">
        <v>24</v>
      </c>
      <c r="D56" s="28">
        <v>17</v>
      </c>
      <c r="E56" s="27">
        <v>2.5411061285500747E-2</v>
      </c>
    </row>
    <row r="57" spans="2:5" ht="15" customHeight="1" x14ac:dyDescent="0.25">
      <c r="B57" s="90"/>
      <c r="C57" s="26" t="s">
        <v>23</v>
      </c>
      <c r="D57" s="25">
        <v>29</v>
      </c>
      <c r="E57" s="24">
        <v>4.3348281016442454E-2</v>
      </c>
    </row>
    <row r="58" spans="2:5" ht="15" customHeight="1" x14ac:dyDescent="0.25">
      <c r="B58" s="88" t="s">
        <v>175</v>
      </c>
      <c r="C58" s="29" t="s">
        <v>32</v>
      </c>
      <c r="D58" s="28">
        <v>5</v>
      </c>
      <c r="E58" s="27">
        <v>7.4738415545590429E-3</v>
      </c>
    </row>
    <row r="59" spans="2:5" ht="15" customHeight="1" x14ac:dyDescent="0.25">
      <c r="B59" s="89"/>
      <c r="C59" s="29" t="s">
        <v>24</v>
      </c>
      <c r="D59" s="28">
        <v>4</v>
      </c>
      <c r="E59" s="27">
        <v>5.9790732436472349E-3</v>
      </c>
    </row>
    <row r="60" spans="2:5" ht="15" customHeight="1" x14ac:dyDescent="0.25">
      <c r="B60" s="90"/>
      <c r="C60" s="26" t="s">
        <v>23</v>
      </c>
      <c r="D60" s="25">
        <v>9</v>
      </c>
      <c r="E60" s="24">
        <v>1.3452914798206279E-2</v>
      </c>
    </row>
    <row r="61" spans="2:5" ht="15" customHeight="1" x14ac:dyDescent="0.25">
      <c r="B61" s="88" t="s">
        <v>132</v>
      </c>
      <c r="C61" s="29" t="s">
        <v>32</v>
      </c>
      <c r="D61" s="28">
        <v>2</v>
      </c>
      <c r="E61" s="27">
        <v>2.9895366218236174E-3</v>
      </c>
    </row>
    <row r="62" spans="2:5" ht="15" customHeight="1" x14ac:dyDescent="0.25">
      <c r="B62" s="89"/>
      <c r="C62" s="29" t="s">
        <v>27</v>
      </c>
      <c r="D62" s="28">
        <v>1</v>
      </c>
      <c r="E62" s="27">
        <v>1.4947683109118087E-3</v>
      </c>
    </row>
    <row r="63" spans="2:5" ht="15" customHeight="1" x14ac:dyDescent="0.25">
      <c r="B63" s="89"/>
      <c r="C63" s="29" t="s">
        <v>26</v>
      </c>
      <c r="D63" s="28">
        <v>4</v>
      </c>
      <c r="E63" s="27">
        <v>5.9790732436472349E-3</v>
      </c>
    </row>
    <row r="64" spans="2:5" ht="15" customHeight="1" x14ac:dyDescent="0.25">
      <c r="B64" s="89"/>
      <c r="C64" s="29" t="s">
        <v>24</v>
      </c>
      <c r="D64" s="28">
        <v>13</v>
      </c>
      <c r="E64" s="27">
        <v>1.9431988041853511E-2</v>
      </c>
    </row>
    <row r="65" spans="2:5" ht="15" customHeight="1" x14ac:dyDescent="0.25">
      <c r="B65" s="90"/>
      <c r="C65" s="26" t="s">
        <v>23</v>
      </c>
      <c r="D65" s="25">
        <v>20</v>
      </c>
      <c r="E65" s="24">
        <v>2.9895366218236172E-2</v>
      </c>
    </row>
    <row r="66" spans="2:5" ht="15" customHeight="1" x14ac:dyDescent="0.25">
      <c r="B66" s="88" t="s">
        <v>131</v>
      </c>
      <c r="C66" s="29" t="s">
        <v>32</v>
      </c>
      <c r="D66" s="28">
        <v>2</v>
      </c>
      <c r="E66" s="27">
        <v>2.9895366218236174E-3</v>
      </c>
    </row>
    <row r="67" spans="2:5" ht="15" customHeight="1" x14ac:dyDescent="0.25">
      <c r="B67" s="90"/>
      <c r="C67" s="26" t="s">
        <v>23</v>
      </c>
      <c r="D67" s="25">
        <v>2</v>
      </c>
      <c r="E67" s="24">
        <v>2.9895366218236174E-3</v>
      </c>
    </row>
    <row r="68" spans="2:5" ht="15" customHeight="1" x14ac:dyDescent="0.25">
      <c r="B68" s="88" t="s">
        <v>130</v>
      </c>
      <c r="C68" s="29" t="s">
        <v>32</v>
      </c>
      <c r="D68" s="28">
        <v>4</v>
      </c>
      <c r="E68" s="27">
        <v>5.9790732436472349E-3</v>
      </c>
    </row>
    <row r="69" spans="2:5" ht="15" customHeight="1" x14ac:dyDescent="0.25">
      <c r="B69" s="89"/>
      <c r="C69" s="29" t="s">
        <v>24</v>
      </c>
      <c r="D69" s="28">
        <v>2</v>
      </c>
      <c r="E69" s="27">
        <v>2.9895366218236174E-3</v>
      </c>
    </row>
    <row r="70" spans="2:5" ht="15" customHeight="1" x14ac:dyDescent="0.25">
      <c r="B70" s="90"/>
      <c r="C70" s="26" t="s">
        <v>23</v>
      </c>
      <c r="D70" s="25">
        <v>6</v>
      </c>
      <c r="E70" s="24">
        <v>8.9686098654708519E-3</v>
      </c>
    </row>
    <row r="71" spans="2:5" ht="15" customHeight="1" x14ac:dyDescent="0.25">
      <c r="B71" s="88" t="s">
        <v>129</v>
      </c>
      <c r="C71" s="29" t="s">
        <v>32</v>
      </c>
      <c r="D71" s="28">
        <v>3</v>
      </c>
      <c r="E71" s="27">
        <v>4.4843049327354259E-3</v>
      </c>
    </row>
    <row r="72" spans="2:5" ht="15" customHeight="1" x14ac:dyDescent="0.25">
      <c r="B72" s="89"/>
      <c r="C72" s="29" t="s">
        <v>26</v>
      </c>
      <c r="D72" s="28">
        <v>1</v>
      </c>
      <c r="E72" s="27">
        <v>1.4947683109118087E-3</v>
      </c>
    </row>
    <row r="73" spans="2:5" ht="15" customHeight="1" x14ac:dyDescent="0.25">
      <c r="B73" s="89"/>
      <c r="C73" s="29" t="s">
        <v>24</v>
      </c>
      <c r="D73" s="28">
        <v>15</v>
      </c>
      <c r="E73" s="27">
        <v>2.2421524663677129E-2</v>
      </c>
    </row>
    <row r="74" spans="2:5" ht="15" customHeight="1" x14ac:dyDescent="0.25">
      <c r="B74" s="90"/>
      <c r="C74" s="26" t="s">
        <v>23</v>
      </c>
      <c r="D74" s="25">
        <v>19</v>
      </c>
      <c r="E74" s="24">
        <v>2.8400597907324365E-2</v>
      </c>
    </row>
    <row r="75" spans="2:5" ht="15" customHeight="1" x14ac:dyDescent="0.25">
      <c r="B75" s="88" t="s">
        <v>178</v>
      </c>
      <c r="C75" s="29" t="s">
        <v>32</v>
      </c>
      <c r="D75" s="28">
        <v>12</v>
      </c>
      <c r="E75" s="27">
        <v>1.7937219730941704E-2</v>
      </c>
    </row>
    <row r="76" spans="2:5" ht="15" customHeight="1" x14ac:dyDescent="0.25">
      <c r="B76" s="89"/>
      <c r="C76" s="29" t="s">
        <v>31</v>
      </c>
      <c r="D76" s="28">
        <v>1</v>
      </c>
      <c r="E76" s="27">
        <v>1.4947683109118087E-3</v>
      </c>
    </row>
    <row r="77" spans="2:5" ht="15" customHeight="1" x14ac:dyDescent="0.25">
      <c r="B77" s="89"/>
      <c r="C77" s="29" t="s">
        <v>27</v>
      </c>
      <c r="D77" s="28">
        <v>3</v>
      </c>
      <c r="E77" s="27">
        <v>4.4843049327354259E-3</v>
      </c>
    </row>
    <row r="78" spans="2:5" ht="15" customHeight="1" x14ac:dyDescent="0.25">
      <c r="B78" s="89"/>
      <c r="C78" s="29" t="s">
        <v>26</v>
      </c>
      <c r="D78" s="28">
        <v>1</v>
      </c>
      <c r="E78" s="27">
        <v>1.4947683109118087E-3</v>
      </c>
    </row>
    <row r="79" spans="2:5" ht="15" customHeight="1" x14ac:dyDescent="0.25">
      <c r="B79" s="89"/>
      <c r="C79" s="29" t="s">
        <v>30</v>
      </c>
      <c r="D79" s="28">
        <v>1</v>
      </c>
      <c r="E79" s="27">
        <v>1.4947683109118087E-3</v>
      </c>
    </row>
    <row r="80" spans="2:5" ht="15" customHeight="1" x14ac:dyDescent="0.25">
      <c r="B80" s="89"/>
      <c r="C80" s="29" t="s">
        <v>24</v>
      </c>
      <c r="D80" s="28">
        <v>17</v>
      </c>
      <c r="E80" s="27">
        <v>2.5411061285500747E-2</v>
      </c>
    </row>
    <row r="81" spans="2:5" ht="15" customHeight="1" x14ac:dyDescent="0.25">
      <c r="B81" s="90"/>
      <c r="C81" s="26" t="s">
        <v>23</v>
      </c>
      <c r="D81" s="25">
        <v>35</v>
      </c>
      <c r="E81" s="24">
        <v>5.2316890881913304E-2</v>
      </c>
    </row>
    <row r="82" spans="2:5" ht="15" customHeight="1" x14ac:dyDescent="0.25">
      <c r="B82" s="88" t="s">
        <v>177</v>
      </c>
      <c r="C82" s="29" t="s">
        <v>32</v>
      </c>
      <c r="D82" s="28">
        <v>3</v>
      </c>
      <c r="E82" s="27">
        <v>4.4843049327354259E-3</v>
      </c>
    </row>
    <row r="83" spans="2:5" ht="15" customHeight="1" x14ac:dyDescent="0.25">
      <c r="B83" s="89"/>
      <c r="C83" s="29" t="s">
        <v>27</v>
      </c>
      <c r="D83" s="28">
        <v>1</v>
      </c>
      <c r="E83" s="27">
        <v>1.4947683109118087E-3</v>
      </c>
    </row>
    <row r="84" spans="2:5" ht="15" customHeight="1" x14ac:dyDescent="0.25">
      <c r="B84" s="89"/>
      <c r="C84" s="29" t="s">
        <v>24</v>
      </c>
      <c r="D84" s="28">
        <v>6</v>
      </c>
      <c r="E84" s="27">
        <v>8.9686098654708519E-3</v>
      </c>
    </row>
    <row r="85" spans="2:5" ht="15" customHeight="1" x14ac:dyDescent="0.25">
      <c r="B85" s="90"/>
      <c r="C85" s="26" t="s">
        <v>23</v>
      </c>
      <c r="D85" s="25">
        <v>10</v>
      </c>
      <c r="E85" s="24">
        <v>1.4947683109118086E-2</v>
      </c>
    </row>
    <row r="86" spans="2:5" ht="15" customHeight="1" x14ac:dyDescent="0.25">
      <c r="B86" s="88" t="s">
        <v>126</v>
      </c>
      <c r="C86" s="29" t="s">
        <v>32</v>
      </c>
      <c r="D86" s="28">
        <v>3</v>
      </c>
      <c r="E86" s="27">
        <v>4.4843049327354259E-3</v>
      </c>
    </row>
    <row r="87" spans="2:5" ht="15" customHeight="1" x14ac:dyDescent="0.25">
      <c r="B87" s="89"/>
      <c r="C87" s="29" t="s">
        <v>51</v>
      </c>
      <c r="D87" s="28">
        <v>1</v>
      </c>
      <c r="E87" s="27">
        <v>1.4947683109118087E-3</v>
      </c>
    </row>
    <row r="88" spans="2:5" ht="15" customHeight="1" x14ac:dyDescent="0.25">
      <c r="B88" s="89"/>
      <c r="C88" s="29" t="s">
        <v>24</v>
      </c>
      <c r="D88" s="28">
        <v>7</v>
      </c>
      <c r="E88" s="27">
        <v>1.0463378176382661E-2</v>
      </c>
    </row>
    <row r="89" spans="2:5" ht="15" customHeight="1" x14ac:dyDescent="0.25">
      <c r="B89" s="90"/>
      <c r="C89" s="26" t="s">
        <v>23</v>
      </c>
      <c r="D89" s="25">
        <v>11</v>
      </c>
      <c r="E89" s="24">
        <v>1.6442451420029897E-2</v>
      </c>
    </row>
    <row r="90" spans="2:5" ht="15" customHeight="1" x14ac:dyDescent="0.25">
      <c r="B90" s="88" t="s">
        <v>125</v>
      </c>
      <c r="C90" s="29" t="s">
        <v>24</v>
      </c>
      <c r="D90" s="28">
        <v>5</v>
      </c>
      <c r="E90" s="27">
        <v>7.4738415545590429E-3</v>
      </c>
    </row>
    <row r="91" spans="2:5" ht="15" customHeight="1" x14ac:dyDescent="0.25">
      <c r="B91" s="90"/>
      <c r="C91" s="26" t="s">
        <v>23</v>
      </c>
      <c r="D91" s="25">
        <v>5</v>
      </c>
      <c r="E91" s="24">
        <v>7.4738415545590429E-3</v>
      </c>
    </row>
    <row r="92" spans="2:5" ht="15" customHeight="1" x14ac:dyDescent="0.25">
      <c r="B92" s="88" t="s">
        <v>124</v>
      </c>
      <c r="C92" s="29" t="s">
        <v>24</v>
      </c>
      <c r="D92" s="28">
        <v>1</v>
      </c>
      <c r="E92" s="27">
        <v>1.4947683109118087E-3</v>
      </c>
    </row>
    <row r="93" spans="2:5" ht="15" customHeight="1" x14ac:dyDescent="0.25">
      <c r="B93" s="90"/>
      <c r="C93" s="26" t="s">
        <v>23</v>
      </c>
      <c r="D93" s="25">
        <v>1</v>
      </c>
      <c r="E93" s="24">
        <v>1.4947683109118087E-3</v>
      </c>
    </row>
    <row r="94" spans="2:5" ht="15" customHeight="1" x14ac:dyDescent="0.25">
      <c r="B94" s="88" t="s">
        <v>123</v>
      </c>
      <c r="C94" s="29" t="s">
        <v>27</v>
      </c>
      <c r="D94" s="28">
        <v>1</v>
      </c>
      <c r="E94" s="27">
        <v>1.4947683109118087E-3</v>
      </c>
    </row>
    <row r="95" spans="2:5" ht="15" customHeight="1" x14ac:dyDescent="0.25">
      <c r="B95" s="89"/>
      <c r="C95" s="29" t="s">
        <v>26</v>
      </c>
      <c r="D95" s="28">
        <v>1</v>
      </c>
      <c r="E95" s="27">
        <v>1.4947683109118087E-3</v>
      </c>
    </row>
    <row r="96" spans="2:5" ht="15" customHeight="1" x14ac:dyDescent="0.25">
      <c r="B96" s="89"/>
      <c r="C96" s="29" t="s">
        <v>24</v>
      </c>
      <c r="D96" s="28">
        <v>6</v>
      </c>
      <c r="E96" s="27">
        <v>8.9686098654708519E-3</v>
      </c>
    </row>
    <row r="97" spans="2:5" ht="15" customHeight="1" x14ac:dyDescent="0.25">
      <c r="B97" s="90"/>
      <c r="C97" s="26" t="s">
        <v>23</v>
      </c>
      <c r="D97" s="25">
        <v>8</v>
      </c>
      <c r="E97" s="24">
        <v>1.195814648729447E-2</v>
      </c>
    </row>
    <row r="98" spans="2:5" ht="15" customHeight="1" x14ac:dyDescent="0.25">
      <c r="B98" s="88" t="s">
        <v>122</v>
      </c>
      <c r="C98" s="29" t="s">
        <v>32</v>
      </c>
      <c r="D98" s="28">
        <v>2</v>
      </c>
      <c r="E98" s="27">
        <v>2.9895366218236174E-3</v>
      </c>
    </row>
    <row r="99" spans="2:5" ht="15" customHeight="1" x14ac:dyDescent="0.25">
      <c r="B99" s="89"/>
      <c r="C99" s="29" t="s">
        <v>27</v>
      </c>
      <c r="D99" s="28">
        <v>1</v>
      </c>
      <c r="E99" s="27">
        <v>1.4947683109118087E-3</v>
      </c>
    </row>
    <row r="100" spans="2:5" ht="15" customHeight="1" x14ac:dyDescent="0.25">
      <c r="B100" s="89"/>
      <c r="C100" s="29" t="s">
        <v>24</v>
      </c>
      <c r="D100" s="28">
        <v>8</v>
      </c>
      <c r="E100" s="27">
        <v>1.195814648729447E-2</v>
      </c>
    </row>
    <row r="101" spans="2:5" ht="15" customHeight="1" x14ac:dyDescent="0.25">
      <c r="B101" s="90"/>
      <c r="C101" s="26" t="s">
        <v>23</v>
      </c>
      <c r="D101" s="25">
        <v>11</v>
      </c>
      <c r="E101" s="24">
        <v>1.6442451420029897E-2</v>
      </c>
    </row>
    <row r="102" spans="2:5" ht="15" customHeight="1" x14ac:dyDescent="0.25">
      <c r="B102" s="88" t="s">
        <v>121</v>
      </c>
      <c r="C102" s="29" t="s">
        <v>32</v>
      </c>
      <c r="D102" s="28">
        <v>2</v>
      </c>
      <c r="E102" s="27">
        <v>2.9895366218236174E-3</v>
      </c>
    </row>
    <row r="103" spans="2:5" ht="15" customHeight="1" x14ac:dyDescent="0.25">
      <c r="B103" s="89"/>
      <c r="C103" s="29" t="s">
        <v>26</v>
      </c>
      <c r="D103" s="28">
        <v>1</v>
      </c>
      <c r="E103" s="27">
        <v>1.4947683109118087E-3</v>
      </c>
    </row>
    <row r="104" spans="2:5" ht="15" customHeight="1" x14ac:dyDescent="0.25">
      <c r="B104" s="89"/>
      <c r="C104" s="29" t="s">
        <v>24</v>
      </c>
      <c r="D104" s="28">
        <v>1</v>
      </c>
      <c r="E104" s="27">
        <v>1.4947683109118087E-3</v>
      </c>
    </row>
    <row r="105" spans="2:5" ht="15" customHeight="1" x14ac:dyDescent="0.25">
      <c r="B105" s="89"/>
      <c r="C105" s="29" t="s">
        <v>29</v>
      </c>
      <c r="D105" s="28">
        <v>1</v>
      </c>
      <c r="E105" s="27">
        <v>1.4947683109118087E-3</v>
      </c>
    </row>
    <row r="106" spans="2:5" ht="15" customHeight="1" x14ac:dyDescent="0.25">
      <c r="B106" s="90"/>
      <c r="C106" s="26" t="s">
        <v>23</v>
      </c>
      <c r="D106" s="25">
        <v>5</v>
      </c>
      <c r="E106" s="24">
        <v>7.4738415545590429E-3</v>
      </c>
    </row>
    <row r="107" spans="2:5" ht="15" customHeight="1" x14ac:dyDescent="0.25">
      <c r="B107" s="88" t="s">
        <v>120</v>
      </c>
      <c r="C107" s="29" t="s">
        <v>32</v>
      </c>
      <c r="D107" s="28">
        <v>1</v>
      </c>
      <c r="E107" s="27">
        <v>1.4947683109118087E-3</v>
      </c>
    </row>
    <row r="108" spans="2:5" ht="15" customHeight="1" x14ac:dyDescent="0.25">
      <c r="B108" s="89"/>
      <c r="C108" s="29" t="s">
        <v>24</v>
      </c>
      <c r="D108" s="28">
        <v>15</v>
      </c>
      <c r="E108" s="27">
        <v>2.2421524663677129E-2</v>
      </c>
    </row>
    <row r="109" spans="2:5" ht="15" customHeight="1" x14ac:dyDescent="0.25">
      <c r="B109" s="90"/>
      <c r="C109" s="26" t="s">
        <v>23</v>
      </c>
      <c r="D109" s="25">
        <v>16</v>
      </c>
      <c r="E109" s="24">
        <v>2.391629297458894E-2</v>
      </c>
    </row>
    <row r="110" spans="2:5" ht="15" customHeight="1" x14ac:dyDescent="0.25">
      <c r="B110" s="88" t="s">
        <v>119</v>
      </c>
      <c r="C110" s="29" t="s">
        <v>32</v>
      </c>
      <c r="D110" s="28">
        <v>3</v>
      </c>
      <c r="E110" s="27">
        <v>4.4843049327354259E-3</v>
      </c>
    </row>
    <row r="111" spans="2:5" ht="15" customHeight="1" x14ac:dyDescent="0.25">
      <c r="B111" s="89"/>
      <c r="C111" s="29" t="s">
        <v>27</v>
      </c>
      <c r="D111" s="28">
        <v>1</v>
      </c>
      <c r="E111" s="27">
        <v>1.4947683109118087E-3</v>
      </c>
    </row>
    <row r="112" spans="2:5" ht="15" customHeight="1" x14ac:dyDescent="0.25">
      <c r="B112" s="89"/>
      <c r="C112" s="29" t="s">
        <v>24</v>
      </c>
      <c r="D112" s="28">
        <v>5</v>
      </c>
      <c r="E112" s="27">
        <v>7.4738415545590429E-3</v>
      </c>
    </row>
    <row r="113" spans="2:5" ht="15" customHeight="1" x14ac:dyDescent="0.25">
      <c r="B113" s="90"/>
      <c r="C113" s="26" t="s">
        <v>23</v>
      </c>
      <c r="D113" s="25">
        <v>9</v>
      </c>
      <c r="E113" s="24">
        <v>1.3452914798206279E-2</v>
      </c>
    </row>
    <row r="114" spans="2:5" ht="15" customHeight="1" x14ac:dyDescent="0.25">
      <c r="B114" s="88" t="s">
        <v>118</v>
      </c>
      <c r="C114" s="29" t="s">
        <v>32</v>
      </c>
      <c r="D114" s="28">
        <v>1</v>
      </c>
      <c r="E114" s="27">
        <v>1.4947683109118087E-3</v>
      </c>
    </row>
    <row r="115" spans="2:5" ht="15" customHeight="1" x14ac:dyDescent="0.25">
      <c r="B115" s="89"/>
      <c r="C115" s="29" t="s">
        <v>24</v>
      </c>
      <c r="D115" s="28">
        <v>1</v>
      </c>
      <c r="E115" s="27">
        <v>1.4947683109118087E-3</v>
      </c>
    </row>
    <row r="116" spans="2:5" ht="15" customHeight="1" x14ac:dyDescent="0.25">
      <c r="B116" s="90"/>
      <c r="C116" s="26" t="s">
        <v>23</v>
      </c>
      <c r="D116" s="25">
        <v>2</v>
      </c>
      <c r="E116" s="24">
        <v>2.9895366218236174E-3</v>
      </c>
    </row>
    <row r="117" spans="2:5" ht="15" customHeight="1" x14ac:dyDescent="0.25">
      <c r="B117" s="88" t="s">
        <v>117</v>
      </c>
      <c r="C117" s="29" t="s">
        <v>32</v>
      </c>
      <c r="D117" s="28">
        <v>4</v>
      </c>
      <c r="E117" s="27">
        <v>5.9790732436472349E-3</v>
      </c>
    </row>
    <row r="118" spans="2:5" ht="15" customHeight="1" x14ac:dyDescent="0.25">
      <c r="B118" s="89"/>
      <c r="C118" s="29" t="s">
        <v>27</v>
      </c>
      <c r="D118" s="28">
        <v>2</v>
      </c>
      <c r="E118" s="27">
        <v>2.9895366218236174E-3</v>
      </c>
    </row>
    <row r="119" spans="2:5" ht="15" customHeight="1" x14ac:dyDescent="0.25">
      <c r="B119" s="89"/>
      <c r="C119" s="29" t="s">
        <v>26</v>
      </c>
      <c r="D119" s="28">
        <v>1</v>
      </c>
      <c r="E119" s="27">
        <v>1.4947683109118087E-3</v>
      </c>
    </row>
    <row r="120" spans="2:5" ht="15" customHeight="1" x14ac:dyDescent="0.25">
      <c r="B120" s="89"/>
      <c r="C120" s="29" t="s">
        <v>24</v>
      </c>
      <c r="D120" s="28">
        <v>10</v>
      </c>
      <c r="E120" s="27">
        <v>1.4947683109118086E-2</v>
      </c>
    </row>
    <row r="121" spans="2:5" ht="15" customHeight="1" x14ac:dyDescent="0.25">
      <c r="B121" s="90"/>
      <c r="C121" s="26" t="s">
        <v>23</v>
      </c>
      <c r="D121" s="25">
        <v>17</v>
      </c>
      <c r="E121" s="24">
        <v>2.5411061285500747E-2</v>
      </c>
    </row>
    <row r="122" spans="2:5" ht="15" customHeight="1" x14ac:dyDescent="0.25">
      <c r="B122" s="88" t="s">
        <v>116</v>
      </c>
      <c r="C122" s="29" t="s">
        <v>32</v>
      </c>
      <c r="D122" s="28">
        <v>8</v>
      </c>
      <c r="E122" s="27">
        <v>1.195814648729447E-2</v>
      </c>
    </row>
    <row r="123" spans="2:5" ht="15" customHeight="1" x14ac:dyDescent="0.25">
      <c r="B123" s="89"/>
      <c r="C123" s="29" t="s">
        <v>31</v>
      </c>
      <c r="D123" s="28">
        <v>1</v>
      </c>
      <c r="E123" s="27">
        <v>1.4947683109118087E-3</v>
      </c>
    </row>
    <row r="124" spans="2:5" ht="15" customHeight="1" x14ac:dyDescent="0.25">
      <c r="B124" s="89"/>
      <c r="C124" s="29" t="s">
        <v>30</v>
      </c>
      <c r="D124" s="28">
        <v>1</v>
      </c>
      <c r="E124" s="27">
        <v>1.4947683109118087E-3</v>
      </c>
    </row>
    <row r="125" spans="2:5" ht="15" customHeight="1" x14ac:dyDescent="0.25">
      <c r="B125" s="89"/>
      <c r="C125" s="29" t="s">
        <v>24</v>
      </c>
      <c r="D125" s="28">
        <v>29</v>
      </c>
      <c r="E125" s="27">
        <v>4.3348281016442454E-2</v>
      </c>
    </row>
    <row r="126" spans="2:5" ht="15" customHeight="1" x14ac:dyDescent="0.25">
      <c r="B126" s="90"/>
      <c r="C126" s="26" t="s">
        <v>23</v>
      </c>
      <c r="D126" s="25">
        <v>39</v>
      </c>
      <c r="E126" s="24">
        <v>5.829596412556054E-2</v>
      </c>
    </row>
    <row r="127" spans="2:5" ht="15" customHeight="1" x14ac:dyDescent="0.25">
      <c r="B127" s="88" t="s">
        <v>115</v>
      </c>
      <c r="C127" s="29" t="s">
        <v>32</v>
      </c>
      <c r="D127" s="28">
        <v>3</v>
      </c>
      <c r="E127" s="27">
        <v>4.4843049327354259E-3</v>
      </c>
    </row>
    <row r="128" spans="2:5" ht="15" customHeight="1" x14ac:dyDescent="0.25">
      <c r="B128" s="89"/>
      <c r="C128" s="29" t="s">
        <v>51</v>
      </c>
      <c r="D128" s="28">
        <v>1</v>
      </c>
      <c r="E128" s="27">
        <v>1.4947683109118087E-3</v>
      </c>
    </row>
    <row r="129" spans="2:5" ht="15" customHeight="1" x14ac:dyDescent="0.25">
      <c r="B129" s="89"/>
      <c r="C129" s="29" t="s">
        <v>26</v>
      </c>
      <c r="D129" s="28">
        <v>1</v>
      </c>
      <c r="E129" s="27">
        <v>1.4947683109118087E-3</v>
      </c>
    </row>
    <row r="130" spans="2:5" ht="15" customHeight="1" x14ac:dyDescent="0.25">
      <c r="B130" s="89"/>
      <c r="C130" s="29" t="s">
        <v>24</v>
      </c>
      <c r="D130" s="28">
        <v>3</v>
      </c>
      <c r="E130" s="27">
        <v>4.4843049327354259E-3</v>
      </c>
    </row>
    <row r="131" spans="2:5" ht="15" customHeight="1" x14ac:dyDescent="0.25">
      <c r="B131" s="90"/>
      <c r="C131" s="26" t="s">
        <v>23</v>
      </c>
      <c r="D131" s="25">
        <v>8</v>
      </c>
      <c r="E131" s="24">
        <v>1.195814648729447E-2</v>
      </c>
    </row>
    <row r="132" spans="2:5" ht="15" customHeight="1" x14ac:dyDescent="0.25">
      <c r="B132" s="88" t="s">
        <v>114</v>
      </c>
      <c r="C132" s="29" t="s">
        <v>31</v>
      </c>
      <c r="D132" s="28">
        <v>2</v>
      </c>
      <c r="E132" s="27">
        <v>2.9895366218236174E-3</v>
      </c>
    </row>
    <row r="133" spans="2:5" ht="15" customHeight="1" x14ac:dyDescent="0.25">
      <c r="B133" s="89"/>
      <c r="C133" s="29" t="s">
        <v>51</v>
      </c>
      <c r="D133" s="28">
        <v>1</v>
      </c>
      <c r="E133" s="27">
        <v>1.4947683109118087E-3</v>
      </c>
    </row>
    <row r="134" spans="2:5" ht="15" customHeight="1" x14ac:dyDescent="0.25">
      <c r="B134" s="89"/>
      <c r="C134" s="29" t="s">
        <v>24</v>
      </c>
      <c r="D134" s="28">
        <v>5</v>
      </c>
      <c r="E134" s="27">
        <v>7.4738415545590429E-3</v>
      </c>
    </row>
    <row r="135" spans="2:5" ht="15" customHeight="1" x14ac:dyDescent="0.25">
      <c r="B135" s="90"/>
      <c r="C135" s="26" t="s">
        <v>23</v>
      </c>
      <c r="D135" s="25">
        <v>8</v>
      </c>
      <c r="E135" s="24">
        <v>1.195814648729447E-2</v>
      </c>
    </row>
    <row r="136" spans="2:5" ht="15" customHeight="1" x14ac:dyDescent="0.25">
      <c r="B136" s="88" t="s">
        <v>113</v>
      </c>
      <c r="C136" s="29" t="s">
        <v>32</v>
      </c>
      <c r="D136" s="28">
        <v>3</v>
      </c>
      <c r="E136" s="27">
        <v>4.4843049327354259E-3</v>
      </c>
    </row>
    <row r="137" spans="2:5" ht="15" customHeight="1" x14ac:dyDescent="0.25">
      <c r="B137" s="89"/>
      <c r="C137" s="29" t="s">
        <v>31</v>
      </c>
      <c r="D137" s="28">
        <v>1</v>
      </c>
      <c r="E137" s="27">
        <v>1.4947683109118087E-3</v>
      </c>
    </row>
    <row r="138" spans="2:5" ht="15" customHeight="1" x14ac:dyDescent="0.25">
      <c r="B138" s="89"/>
      <c r="C138" s="29" t="s">
        <v>24</v>
      </c>
      <c r="D138" s="28">
        <v>5</v>
      </c>
      <c r="E138" s="27">
        <v>7.4738415545590429E-3</v>
      </c>
    </row>
    <row r="139" spans="2:5" ht="15" customHeight="1" x14ac:dyDescent="0.25">
      <c r="B139" s="90"/>
      <c r="C139" s="26" t="s">
        <v>23</v>
      </c>
      <c r="D139" s="25">
        <v>9</v>
      </c>
      <c r="E139" s="24">
        <v>1.3452914798206279E-2</v>
      </c>
    </row>
    <row r="140" spans="2:5" ht="15" customHeight="1" x14ac:dyDescent="0.25">
      <c r="B140" s="88" t="s">
        <v>112</v>
      </c>
      <c r="C140" s="29" t="s">
        <v>32</v>
      </c>
      <c r="D140" s="28">
        <v>1</v>
      </c>
      <c r="E140" s="27">
        <v>1.4947683109118087E-3</v>
      </c>
    </row>
    <row r="141" spans="2:5" ht="15" customHeight="1" x14ac:dyDescent="0.25">
      <c r="B141" s="89"/>
      <c r="C141" s="29" t="s">
        <v>26</v>
      </c>
      <c r="D141" s="28">
        <v>1</v>
      </c>
      <c r="E141" s="27">
        <v>1.4947683109118087E-3</v>
      </c>
    </row>
    <row r="142" spans="2:5" ht="15" customHeight="1" x14ac:dyDescent="0.25">
      <c r="B142" s="89"/>
      <c r="C142" s="29" t="s">
        <v>24</v>
      </c>
      <c r="D142" s="28">
        <v>3</v>
      </c>
      <c r="E142" s="27">
        <v>4.4843049327354259E-3</v>
      </c>
    </row>
    <row r="143" spans="2:5" ht="15" customHeight="1" x14ac:dyDescent="0.25">
      <c r="B143" s="90"/>
      <c r="C143" s="26" t="s">
        <v>23</v>
      </c>
      <c r="D143" s="25">
        <v>5</v>
      </c>
      <c r="E143" s="24">
        <v>7.4738415545590429E-3</v>
      </c>
    </row>
    <row r="144" spans="2:5" ht="15" customHeight="1" x14ac:dyDescent="0.25">
      <c r="B144" s="88" t="s">
        <v>111</v>
      </c>
      <c r="C144" s="29" t="s">
        <v>32</v>
      </c>
      <c r="D144" s="28">
        <v>4</v>
      </c>
      <c r="E144" s="27">
        <v>5.9790732436472349E-3</v>
      </c>
    </row>
    <row r="145" spans="2:5" ht="15" customHeight="1" x14ac:dyDescent="0.25">
      <c r="B145" s="89"/>
      <c r="C145" s="29" t="s">
        <v>30</v>
      </c>
      <c r="D145" s="28">
        <v>1</v>
      </c>
      <c r="E145" s="27">
        <v>1.4947683109118087E-3</v>
      </c>
    </row>
    <row r="146" spans="2:5" ht="15" customHeight="1" x14ac:dyDescent="0.25">
      <c r="B146" s="89"/>
      <c r="C146" s="29" t="s">
        <v>24</v>
      </c>
      <c r="D146" s="28">
        <v>5</v>
      </c>
      <c r="E146" s="27">
        <v>7.4738415545590429E-3</v>
      </c>
    </row>
    <row r="147" spans="2:5" ht="15" customHeight="1" x14ac:dyDescent="0.25">
      <c r="B147" s="90"/>
      <c r="C147" s="26" t="s">
        <v>23</v>
      </c>
      <c r="D147" s="25">
        <v>10</v>
      </c>
      <c r="E147" s="24">
        <v>1.4947683109118086E-2</v>
      </c>
    </row>
    <row r="148" spans="2:5" ht="15" customHeight="1" x14ac:dyDescent="0.25">
      <c r="B148" s="88" t="s">
        <v>110</v>
      </c>
      <c r="C148" s="29" t="s">
        <v>32</v>
      </c>
      <c r="D148" s="28">
        <v>3</v>
      </c>
      <c r="E148" s="27">
        <v>4.4843049327354259E-3</v>
      </c>
    </row>
    <row r="149" spans="2:5" ht="15" customHeight="1" x14ac:dyDescent="0.25">
      <c r="B149" s="89"/>
      <c r="C149" s="29" t="s">
        <v>26</v>
      </c>
      <c r="D149" s="28">
        <v>2</v>
      </c>
      <c r="E149" s="27">
        <v>2.9895366218236174E-3</v>
      </c>
    </row>
    <row r="150" spans="2:5" ht="15" customHeight="1" x14ac:dyDescent="0.25">
      <c r="B150" s="89"/>
      <c r="C150" s="29" t="s">
        <v>24</v>
      </c>
      <c r="D150" s="28">
        <v>1</v>
      </c>
      <c r="E150" s="27">
        <v>1.4947683109118087E-3</v>
      </c>
    </row>
    <row r="151" spans="2:5" ht="15" customHeight="1" x14ac:dyDescent="0.25">
      <c r="B151" s="90"/>
      <c r="C151" s="26" t="s">
        <v>23</v>
      </c>
      <c r="D151" s="25">
        <v>6</v>
      </c>
      <c r="E151" s="24">
        <v>8.9686098654708519E-3</v>
      </c>
    </row>
    <row r="152" spans="2:5" ht="15" customHeight="1" x14ac:dyDescent="0.25">
      <c r="B152" s="88" t="s">
        <v>109</v>
      </c>
      <c r="C152" s="29" t="s">
        <v>32</v>
      </c>
      <c r="D152" s="28">
        <v>13</v>
      </c>
      <c r="E152" s="27">
        <v>1.9431988041853511E-2</v>
      </c>
    </row>
    <row r="153" spans="2:5" ht="15" customHeight="1" x14ac:dyDescent="0.25">
      <c r="B153" s="89"/>
      <c r="C153" s="29" t="s">
        <v>31</v>
      </c>
      <c r="D153" s="28">
        <v>2</v>
      </c>
      <c r="E153" s="27">
        <v>2.9895366218236174E-3</v>
      </c>
    </row>
    <row r="154" spans="2:5" ht="15" customHeight="1" x14ac:dyDescent="0.25">
      <c r="B154" s="89"/>
      <c r="C154" s="29" t="s">
        <v>27</v>
      </c>
      <c r="D154" s="28">
        <v>23</v>
      </c>
      <c r="E154" s="27">
        <v>3.4379671150971597E-2</v>
      </c>
    </row>
    <row r="155" spans="2:5" ht="15" customHeight="1" x14ac:dyDescent="0.25">
      <c r="B155" s="89"/>
      <c r="C155" s="29" t="s">
        <v>51</v>
      </c>
      <c r="D155" s="28">
        <v>1</v>
      </c>
      <c r="E155" s="27">
        <v>1.4947683109118087E-3</v>
      </c>
    </row>
    <row r="156" spans="2:5" ht="15" customHeight="1" x14ac:dyDescent="0.25">
      <c r="B156" s="89"/>
      <c r="C156" s="29" t="s">
        <v>26</v>
      </c>
      <c r="D156" s="28">
        <v>36</v>
      </c>
      <c r="E156" s="27">
        <v>5.3811659192825115E-2</v>
      </c>
    </row>
    <row r="157" spans="2:5" ht="15" customHeight="1" x14ac:dyDescent="0.25">
      <c r="B157" s="89"/>
      <c r="C157" s="29" t="s">
        <v>24</v>
      </c>
      <c r="D157" s="28">
        <v>30</v>
      </c>
      <c r="E157" s="27">
        <v>4.4843049327354258E-2</v>
      </c>
    </row>
    <row r="158" spans="2:5" ht="15" customHeight="1" x14ac:dyDescent="0.25">
      <c r="B158" s="89"/>
      <c r="C158" s="29" t="s">
        <v>29</v>
      </c>
      <c r="D158" s="28">
        <v>1</v>
      </c>
      <c r="E158" s="27">
        <v>1.4947683109118087E-3</v>
      </c>
    </row>
    <row r="159" spans="2:5" ht="15" customHeight="1" x14ac:dyDescent="0.25">
      <c r="B159" s="90"/>
      <c r="C159" s="26" t="s">
        <v>23</v>
      </c>
      <c r="D159" s="25">
        <v>106</v>
      </c>
      <c r="E159" s="24">
        <v>0.15844544095665172</v>
      </c>
    </row>
    <row r="160" spans="2:5" ht="15" customHeight="1" x14ac:dyDescent="0.25">
      <c r="B160" s="88" t="s">
        <v>176</v>
      </c>
      <c r="C160" s="29" t="s">
        <v>32</v>
      </c>
      <c r="D160" s="28">
        <v>2</v>
      </c>
      <c r="E160" s="27">
        <v>2.9895366218236174E-3</v>
      </c>
    </row>
    <row r="161" spans="2:5" ht="15" customHeight="1" x14ac:dyDescent="0.25">
      <c r="B161" s="89"/>
      <c r="C161" s="29" t="s">
        <v>31</v>
      </c>
      <c r="D161" s="28">
        <v>1</v>
      </c>
      <c r="E161" s="27">
        <v>1.4947683109118087E-3</v>
      </c>
    </row>
    <row r="162" spans="2:5" ht="15" customHeight="1" x14ac:dyDescent="0.25">
      <c r="B162" s="89"/>
      <c r="C162" s="29" t="s">
        <v>27</v>
      </c>
      <c r="D162" s="28">
        <v>2</v>
      </c>
      <c r="E162" s="27">
        <v>2.9895366218236174E-3</v>
      </c>
    </row>
    <row r="163" spans="2:5" ht="15" customHeight="1" x14ac:dyDescent="0.25">
      <c r="B163" s="89"/>
      <c r="C163" s="29" t="s">
        <v>26</v>
      </c>
      <c r="D163" s="28">
        <v>2</v>
      </c>
      <c r="E163" s="27">
        <v>2.9895366218236174E-3</v>
      </c>
    </row>
    <row r="164" spans="2:5" ht="15" customHeight="1" x14ac:dyDescent="0.25">
      <c r="B164" s="89"/>
      <c r="C164" s="29" t="s">
        <v>24</v>
      </c>
      <c r="D164" s="28">
        <v>3</v>
      </c>
      <c r="E164" s="27">
        <v>4.4843049327354259E-3</v>
      </c>
    </row>
    <row r="165" spans="2:5" ht="15" customHeight="1" x14ac:dyDescent="0.25">
      <c r="B165" s="90"/>
      <c r="C165" s="26" t="s">
        <v>23</v>
      </c>
      <c r="D165" s="25">
        <v>10</v>
      </c>
      <c r="E165" s="24">
        <v>1.4947683109118086E-2</v>
      </c>
    </row>
    <row r="166" spans="2:5" ht="15" customHeight="1" x14ac:dyDescent="0.25">
      <c r="B166" s="88" t="s">
        <v>106</v>
      </c>
      <c r="C166" s="29" t="s">
        <v>32</v>
      </c>
      <c r="D166" s="28">
        <v>2</v>
      </c>
      <c r="E166" s="27">
        <v>2.9895366218236174E-3</v>
      </c>
    </row>
    <row r="167" spans="2:5" ht="15" customHeight="1" x14ac:dyDescent="0.25">
      <c r="B167" s="89"/>
      <c r="C167" s="29" t="s">
        <v>27</v>
      </c>
      <c r="D167" s="28">
        <v>1</v>
      </c>
      <c r="E167" s="27">
        <v>1.4947683109118087E-3</v>
      </c>
    </row>
    <row r="168" spans="2:5" ht="15" customHeight="1" x14ac:dyDescent="0.25">
      <c r="B168" s="89"/>
      <c r="C168" s="29" t="s">
        <v>26</v>
      </c>
      <c r="D168" s="28">
        <v>1</v>
      </c>
      <c r="E168" s="27">
        <v>1.4947683109118087E-3</v>
      </c>
    </row>
    <row r="169" spans="2:5" ht="15" customHeight="1" x14ac:dyDescent="0.25">
      <c r="B169" s="89"/>
      <c r="C169" s="29" t="s">
        <v>24</v>
      </c>
      <c r="D169" s="28">
        <v>7</v>
      </c>
      <c r="E169" s="27">
        <v>1.0463378176382661E-2</v>
      </c>
    </row>
    <row r="170" spans="2:5" ht="15" customHeight="1" x14ac:dyDescent="0.25">
      <c r="B170" s="89"/>
      <c r="C170" s="29" t="s">
        <v>29</v>
      </c>
      <c r="D170" s="28">
        <v>1</v>
      </c>
      <c r="E170" s="27">
        <v>1.4947683109118087E-3</v>
      </c>
    </row>
    <row r="171" spans="2:5" ht="15" customHeight="1" x14ac:dyDescent="0.25">
      <c r="B171" s="90"/>
      <c r="C171" s="26" t="s">
        <v>23</v>
      </c>
      <c r="D171" s="25">
        <v>12</v>
      </c>
      <c r="E171" s="24">
        <v>1.7937219730941704E-2</v>
      </c>
    </row>
    <row r="172" spans="2:5" ht="15" customHeight="1" x14ac:dyDescent="0.25">
      <c r="B172" s="88" t="s">
        <v>105</v>
      </c>
      <c r="C172" s="29" t="s">
        <v>27</v>
      </c>
      <c r="D172" s="28">
        <v>1</v>
      </c>
      <c r="E172" s="27">
        <v>1.4947683109118087E-3</v>
      </c>
    </row>
    <row r="173" spans="2:5" ht="15" customHeight="1" x14ac:dyDescent="0.25">
      <c r="B173" s="89"/>
      <c r="C173" s="29" t="s">
        <v>26</v>
      </c>
      <c r="D173" s="28">
        <v>2</v>
      </c>
      <c r="E173" s="27">
        <v>2.9895366218236174E-3</v>
      </c>
    </row>
    <row r="174" spans="2:5" ht="15" customHeight="1" x14ac:dyDescent="0.25">
      <c r="B174" s="89"/>
      <c r="C174" s="29" t="s">
        <v>24</v>
      </c>
      <c r="D174" s="28">
        <v>4</v>
      </c>
      <c r="E174" s="27">
        <v>5.9790732436472349E-3</v>
      </c>
    </row>
    <row r="175" spans="2:5" ht="15" customHeight="1" x14ac:dyDescent="0.25">
      <c r="B175" s="90"/>
      <c r="C175" s="26" t="s">
        <v>23</v>
      </c>
      <c r="D175" s="25">
        <v>7</v>
      </c>
      <c r="E175" s="24">
        <v>1.0463378176382661E-2</v>
      </c>
    </row>
    <row r="176" spans="2:5" ht="15" customHeight="1" x14ac:dyDescent="0.25">
      <c r="B176" s="88" t="s">
        <v>28</v>
      </c>
      <c r="C176" s="29" t="s">
        <v>32</v>
      </c>
      <c r="D176" s="28">
        <v>3</v>
      </c>
      <c r="E176" s="27">
        <v>4.4843049327354259E-3</v>
      </c>
    </row>
    <row r="177" spans="2:5" ht="15" customHeight="1" x14ac:dyDescent="0.25">
      <c r="B177" s="89"/>
      <c r="C177" s="29" t="s">
        <v>31</v>
      </c>
      <c r="D177" s="28">
        <v>2</v>
      </c>
      <c r="E177" s="27">
        <v>2.9895366218236174E-3</v>
      </c>
    </row>
    <row r="178" spans="2:5" ht="15" customHeight="1" x14ac:dyDescent="0.25">
      <c r="B178" s="89"/>
      <c r="C178" s="29" t="s">
        <v>30</v>
      </c>
      <c r="D178" s="28">
        <v>1</v>
      </c>
      <c r="E178" s="27">
        <v>1.4947683109118087E-3</v>
      </c>
    </row>
    <row r="179" spans="2:5" ht="15" customHeight="1" x14ac:dyDescent="0.25">
      <c r="B179" s="89"/>
      <c r="C179" s="29" t="s">
        <v>24</v>
      </c>
      <c r="D179" s="28">
        <v>22</v>
      </c>
      <c r="E179" s="27">
        <v>3.2884902840059793E-2</v>
      </c>
    </row>
    <row r="180" spans="2:5" ht="15" customHeight="1" x14ac:dyDescent="0.25">
      <c r="B180" s="89"/>
      <c r="C180" s="29" t="s">
        <v>29</v>
      </c>
      <c r="D180" s="28">
        <v>1</v>
      </c>
      <c r="E180" s="27">
        <v>1.4947683109118087E-3</v>
      </c>
    </row>
    <row r="181" spans="2:5" ht="15" customHeight="1" x14ac:dyDescent="0.25">
      <c r="B181" s="90"/>
      <c r="C181" s="26" t="s">
        <v>23</v>
      </c>
      <c r="D181" s="25">
        <v>29</v>
      </c>
      <c r="E181" s="24">
        <v>4.3348281016442454E-2</v>
      </c>
    </row>
    <row r="182" spans="2:5" ht="15" customHeight="1" x14ac:dyDescent="0.25">
      <c r="B182" s="91" t="s">
        <v>23</v>
      </c>
      <c r="C182" s="92"/>
      <c r="D182" s="23">
        <v>669</v>
      </c>
      <c r="E182" s="22">
        <v>1</v>
      </c>
    </row>
    <row r="184" spans="2:5" ht="15" customHeight="1" x14ac:dyDescent="0.25">
      <c r="B184" s="19" t="s">
        <v>22</v>
      </c>
    </row>
    <row r="185" spans="2:5" ht="15" customHeight="1" x14ac:dyDescent="0.25">
      <c r="B185" s="21" t="s">
        <v>21</v>
      </c>
    </row>
    <row r="186" spans="2:5" ht="15" customHeight="1" x14ac:dyDescent="0.25">
      <c r="B186" s="20" t="s">
        <v>20</v>
      </c>
    </row>
    <row r="187" spans="2:5" ht="15" customHeight="1" x14ac:dyDescent="0.25">
      <c r="B187" s="19" t="s">
        <v>19</v>
      </c>
    </row>
    <row r="188" spans="2:5" ht="15" customHeight="1" x14ac:dyDescent="0.25">
      <c r="B188" s="19" t="s">
        <v>18</v>
      </c>
    </row>
  </sheetData>
  <mergeCells count="44">
    <mergeCell ref="B140:B143"/>
    <mergeCell ref="B176:B181"/>
    <mergeCell ref="B182:C182"/>
    <mergeCell ref="B144:B147"/>
    <mergeCell ref="B148:B151"/>
    <mergeCell ref="B152:B159"/>
    <mergeCell ref="B160:B165"/>
    <mergeCell ref="B166:B171"/>
    <mergeCell ref="B172:B175"/>
    <mergeCell ref="B98:B101"/>
    <mergeCell ref="B102:B106"/>
    <mergeCell ref="B107:B109"/>
    <mergeCell ref="B110:B113"/>
    <mergeCell ref="B114:B116"/>
    <mergeCell ref="B117:B121"/>
    <mergeCell ref="B122:B126"/>
    <mergeCell ref="B127:B131"/>
    <mergeCell ref="B132:B135"/>
    <mergeCell ref="B136:B139"/>
    <mergeCell ref="B61:B65"/>
    <mergeCell ref="B66:B67"/>
    <mergeCell ref="B68:B70"/>
    <mergeCell ref="B71:B74"/>
    <mergeCell ref="B75:B81"/>
    <mergeCell ref="B82:B85"/>
    <mergeCell ref="B86:B89"/>
    <mergeCell ref="B90:B91"/>
    <mergeCell ref="B92:B93"/>
    <mergeCell ref="B94:B97"/>
    <mergeCell ref="B26:B27"/>
    <mergeCell ref="B28:B31"/>
    <mergeCell ref="B32:B36"/>
    <mergeCell ref="B37:B41"/>
    <mergeCell ref="B42:B44"/>
    <mergeCell ref="B45:B46"/>
    <mergeCell ref="B47:B50"/>
    <mergeCell ref="B51:B52"/>
    <mergeCell ref="B53:B57"/>
    <mergeCell ref="B58:B60"/>
    <mergeCell ref="B7:E8"/>
    <mergeCell ref="B10:B13"/>
    <mergeCell ref="B14:B18"/>
    <mergeCell ref="B19:B22"/>
    <mergeCell ref="B23:B2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4" manualBreakCount="4">
    <brk id="52" max="4" man="1"/>
    <brk id="93" max="4" man="1"/>
    <brk id="135" max="4" man="1"/>
    <brk id="175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zoomScaleNormal="100" zoomScaleSheetLayoutView="115" workbookViewId="0">
      <selection activeCell="K14" sqref="K14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8"/>
    </row>
    <row r="2" spans="1:4" s="31" customFormat="1" ht="15" customHeight="1" x14ac:dyDescent="0.2">
      <c r="C2" s="58"/>
    </row>
    <row r="3" spans="1:4" s="31" customFormat="1" ht="15" customHeight="1" x14ac:dyDescent="0.2">
      <c r="A3" s="31" t="s">
        <v>104</v>
      </c>
      <c r="C3" s="58"/>
    </row>
    <row r="4" spans="1:4" s="31" customFormat="1" ht="30" customHeight="1" x14ac:dyDescent="0.2">
      <c r="C4" s="58"/>
      <c r="D4" s="57"/>
    </row>
    <row r="5" spans="1:4" s="31" customFormat="1" ht="15" customHeight="1" x14ac:dyDescent="0.2">
      <c r="C5" s="58"/>
      <c r="D5" s="57"/>
    </row>
    <row r="6" spans="1:4" s="31" customFormat="1" ht="15" customHeight="1" x14ac:dyDescent="0.2">
      <c r="C6" s="58"/>
      <c r="D6" s="57"/>
    </row>
    <row r="7" spans="1:4" s="31" customFormat="1" ht="15" customHeight="1" x14ac:dyDescent="0.2">
      <c r="B7" s="93" t="s">
        <v>103</v>
      </c>
      <c r="C7" s="93"/>
      <c r="D7" s="93"/>
    </row>
    <row r="8" spans="1:4" s="31" customFormat="1" ht="15" customHeight="1" x14ac:dyDescent="0.2">
      <c r="B8" s="93"/>
      <c r="C8" s="93"/>
      <c r="D8" s="93"/>
    </row>
    <row r="9" spans="1:4" s="31" customFormat="1" ht="33" customHeight="1" x14ac:dyDescent="0.2">
      <c r="B9" s="93"/>
      <c r="C9" s="93"/>
      <c r="D9" s="93"/>
    </row>
    <row r="10" spans="1:4" s="31" customFormat="1" ht="4.5" customHeight="1" x14ac:dyDescent="0.2">
      <c r="B10" s="56"/>
      <c r="C10" s="56"/>
      <c r="D10" s="56"/>
    </row>
    <row r="11" spans="1:4" s="31" customFormat="1" ht="33" customHeight="1" x14ac:dyDescent="0.2">
      <c r="B11" s="55" t="s">
        <v>102</v>
      </c>
      <c r="C11" s="54" t="s">
        <v>101</v>
      </c>
      <c r="D11" s="53" t="s">
        <v>72</v>
      </c>
    </row>
    <row r="12" spans="1:4" ht="15" customHeight="1" x14ac:dyDescent="0.25">
      <c r="B12" s="51" t="s">
        <v>100</v>
      </c>
      <c r="C12" s="50">
        <v>1</v>
      </c>
      <c r="D12" s="49">
        <f t="shared" ref="D12:D36" si="0">C12/$C$36</f>
        <v>1.4947683109118087E-3</v>
      </c>
    </row>
    <row r="13" spans="1:4" x14ac:dyDescent="0.25">
      <c r="B13" s="51" t="s">
        <v>99</v>
      </c>
      <c r="C13" s="50">
        <v>6</v>
      </c>
      <c r="D13" s="49">
        <f t="shared" si="0"/>
        <v>8.9686098654708519E-3</v>
      </c>
    </row>
    <row r="14" spans="1:4" s="52" customFormat="1" ht="15.75" x14ac:dyDescent="0.25">
      <c r="A14" s="43"/>
      <c r="B14" s="51" t="s">
        <v>98</v>
      </c>
      <c r="C14" s="50">
        <v>1</v>
      </c>
      <c r="D14" s="49">
        <f t="shared" si="0"/>
        <v>1.4947683109118087E-3</v>
      </c>
    </row>
    <row r="15" spans="1:4" s="52" customFormat="1" ht="15.75" x14ac:dyDescent="0.25">
      <c r="A15" s="43"/>
      <c r="B15" s="51" t="s">
        <v>97</v>
      </c>
      <c r="C15" s="50">
        <v>9</v>
      </c>
      <c r="D15" s="49">
        <f t="shared" si="0"/>
        <v>1.3452914798206279E-2</v>
      </c>
    </row>
    <row r="16" spans="1:4" x14ac:dyDescent="0.25">
      <c r="B16" s="51" t="s">
        <v>96</v>
      </c>
      <c r="C16" s="50">
        <v>6</v>
      </c>
      <c r="D16" s="49">
        <f t="shared" si="0"/>
        <v>8.9686098654708519E-3</v>
      </c>
    </row>
    <row r="17" spans="2:4" x14ac:dyDescent="0.25">
      <c r="B17" s="51" t="s">
        <v>95</v>
      </c>
      <c r="C17" s="50">
        <v>7</v>
      </c>
      <c r="D17" s="49">
        <f t="shared" si="0"/>
        <v>1.0463378176382661E-2</v>
      </c>
    </row>
    <row r="18" spans="2:4" x14ac:dyDescent="0.25">
      <c r="B18" s="51" t="s">
        <v>94</v>
      </c>
      <c r="C18" s="50">
        <v>4</v>
      </c>
      <c r="D18" s="49">
        <f t="shared" si="0"/>
        <v>5.9790732436472349E-3</v>
      </c>
    </row>
    <row r="19" spans="2:4" x14ac:dyDescent="0.25">
      <c r="B19" s="51" t="s">
        <v>93</v>
      </c>
      <c r="C19" s="50">
        <v>49</v>
      </c>
      <c r="D19" s="49">
        <f t="shared" si="0"/>
        <v>7.3243647234678619E-2</v>
      </c>
    </row>
    <row r="20" spans="2:4" ht="27" x14ac:dyDescent="0.25">
      <c r="B20" s="51" t="s">
        <v>92</v>
      </c>
      <c r="C20" s="50">
        <v>68</v>
      </c>
      <c r="D20" s="49">
        <f t="shared" si="0"/>
        <v>0.10164424514200299</v>
      </c>
    </row>
    <row r="21" spans="2:4" x14ac:dyDescent="0.25">
      <c r="B21" s="51" t="s">
        <v>91</v>
      </c>
      <c r="C21" s="50">
        <v>6</v>
      </c>
      <c r="D21" s="49">
        <f t="shared" si="0"/>
        <v>8.9686098654708519E-3</v>
      </c>
    </row>
    <row r="22" spans="2:4" x14ac:dyDescent="0.25">
      <c r="B22" s="51" t="s">
        <v>90</v>
      </c>
      <c r="C22" s="50">
        <v>13</v>
      </c>
      <c r="D22" s="49">
        <f t="shared" si="0"/>
        <v>1.9431988041853511E-2</v>
      </c>
    </row>
    <row r="23" spans="2:4" x14ac:dyDescent="0.25">
      <c r="B23" s="51" t="s">
        <v>89</v>
      </c>
      <c r="C23" s="50">
        <v>21</v>
      </c>
      <c r="D23" s="49">
        <f t="shared" si="0"/>
        <v>3.1390134529147982E-2</v>
      </c>
    </row>
    <row r="24" spans="2:4" ht="27" x14ac:dyDescent="0.25">
      <c r="B24" s="51" t="s">
        <v>88</v>
      </c>
      <c r="C24" s="50">
        <v>224</v>
      </c>
      <c r="D24" s="49">
        <f t="shared" si="0"/>
        <v>0.33482810164424515</v>
      </c>
    </row>
    <row r="25" spans="2:4" x14ac:dyDescent="0.25">
      <c r="B25" s="51" t="s">
        <v>87</v>
      </c>
      <c r="C25" s="50">
        <v>7</v>
      </c>
      <c r="D25" s="49">
        <f t="shared" si="0"/>
        <v>1.0463378176382661E-2</v>
      </c>
    </row>
    <row r="26" spans="2:4" ht="27" x14ac:dyDescent="0.25">
      <c r="B26" s="51" t="s">
        <v>86</v>
      </c>
      <c r="C26" s="50">
        <v>65</v>
      </c>
      <c r="D26" s="49">
        <f t="shared" si="0"/>
        <v>9.7159940209267562E-2</v>
      </c>
    </row>
    <row r="27" spans="2:4" ht="27" x14ac:dyDescent="0.25">
      <c r="B27" s="51" t="s">
        <v>85</v>
      </c>
      <c r="C27" s="50">
        <v>144</v>
      </c>
      <c r="D27" s="49">
        <f t="shared" si="0"/>
        <v>0.21524663677130046</v>
      </c>
    </row>
    <row r="28" spans="2:4" x14ac:dyDescent="0.25">
      <c r="B28" s="51" t="s">
        <v>84</v>
      </c>
      <c r="C28" s="50">
        <v>4</v>
      </c>
      <c r="D28" s="49">
        <f t="shared" si="0"/>
        <v>5.9790732436472349E-3</v>
      </c>
    </row>
    <row r="29" spans="2:4" x14ac:dyDescent="0.25">
      <c r="B29" s="51" t="s">
        <v>83</v>
      </c>
      <c r="C29" s="50">
        <v>5</v>
      </c>
      <c r="D29" s="49">
        <f t="shared" si="0"/>
        <v>7.4738415545590429E-3</v>
      </c>
    </row>
    <row r="30" spans="2:4" x14ac:dyDescent="0.25">
      <c r="B30" s="51" t="s">
        <v>82</v>
      </c>
      <c r="C30" s="50">
        <v>0</v>
      </c>
      <c r="D30" s="49">
        <f t="shared" si="0"/>
        <v>0</v>
      </c>
    </row>
    <row r="31" spans="2:4" x14ac:dyDescent="0.25">
      <c r="B31" s="51" t="s">
        <v>81</v>
      </c>
      <c r="C31" s="50">
        <v>0</v>
      </c>
      <c r="D31" s="49">
        <f t="shared" si="0"/>
        <v>0</v>
      </c>
    </row>
    <row r="32" spans="2:4" x14ac:dyDescent="0.25">
      <c r="B32" s="51" t="s">
        <v>80</v>
      </c>
      <c r="C32" s="50">
        <v>12</v>
      </c>
      <c r="D32" s="49">
        <f t="shared" si="0"/>
        <v>1.7937219730941704E-2</v>
      </c>
    </row>
    <row r="33" spans="1:4" x14ac:dyDescent="0.25">
      <c r="B33" s="51" t="s">
        <v>79</v>
      </c>
      <c r="C33" s="50">
        <v>17</v>
      </c>
      <c r="D33" s="49">
        <f t="shared" si="0"/>
        <v>2.5411061285500747E-2</v>
      </c>
    </row>
    <row r="34" spans="1:4" x14ac:dyDescent="0.25">
      <c r="B34" s="51" t="s">
        <v>78</v>
      </c>
      <c r="C34" s="50">
        <v>0</v>
      </c>
      <c r="D34" s="49">
        <f t="shared" si="0"/>
        <v>0</v>
      </c>
    </row>
    <row r="35" spans="1:4" x14ac:dyDescent="0.25">
      <c r="B35" s="51" t="s">
        <v>77</v>
      </c>
      <c r="C35" s="50">
        <v>0</v>
      </c>
      <c r="D35" s="49">
        <f t="shared" si="0"/>
        <v>0</v>
      </c>
    </row>
    <row r="36" spans="1:4" x14ac:dyDescent="0.25">
      <c r="B36" s="48" t="s">
        <v>23</v>
      </c>
      <c r="C36" s="47">
        <v>669</v>
      </c>
      <c r="D36" s="46">
        <f t="shared" si="0"/>
        <v>1</v>
      </c>
    </row>
    <row r="38" spans="1:4" x14ac:dyDescent="0.25">
      <c r="A38" s="45" t="s">
        <v>76</v>
      </c>
    </row>
    <row r="39" spans="1:4" x14ac:dyDescent="0.25">
      <c r="A39" s="45" t="s">
        <v>21</v>
      </c>
    </row>
    <row r="40" spans="1:4" x14ac:dyDescent="0.25">
      <c r="A40" s="45" t="s">
        <v>20</v>
      </c>
    </row>
    <row r="41" spans="1:4" x14ac:dyDescent="0.25">
      <c r="A41" s="45" t="s">
        <v>19</v>
      </c>
    </row>
    <row r="42" spans="1:4" x14ac:dyDescent="0.25">
      <c r="A42" s="45" t="s">
        <v>18</v>
      </c>
    </row>
    <row r="43" spans="1:4" x14ac:dyDescent="0.25">
      <c r="A43" s="45"/>
    </row>
    <row r="44" spans="1:4" x14ac:dyDescent="0.25">
      <c r="A44" s="4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41"/>
  <sheetViews>
    <sheetView zoomScale="145" zoomScaleNormal="145" zoomScaleSheetLayoutView="85" workbookViewId="0">
      <selection activeCell="F9" sqref="F9"/>
    </sheetView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38" customFormat="1" ht="12" customHeight="1" x14ac:dyDescent="0.2">
      <c r="B1" s="42"/>
      <c r="C1" s="41"/>
      <c r="D1" s="41"/>
      <c r="E1" s="41"/>
    </row>
    <row r="2" spans="1:5" s="38" customFormat="1" ht="15" customHeight="1" x14ac:dyDescent="0.2">
      <c r="C2" s="40"/>
    </row>
    <row r="3" spans="1:5" s="38" customFormat="1" ht="15" customHeight="1" x14ac:dyDescent="0.2">
      <c r="C3" s="40"/>
    </row>
    <row r="4" spans="1:5" s="38" customFormat="1" ht="30" customHeight="1" x14ac:dyDescent="0.2">
      <c r="C4" s="40"/>
      <c r="D4" s="39"/>
    </row>
    <row r="5" spans="1:5" s="38" customFormat="1" ht="15" customHeight="1" x14ac:dyDescent="0.2">
      <c r="C5" s="40"/>
      <c r="D5" s="39"/>
    </row>
    <row r="6" spans="1:5" s="35" customFormat="1" ht="24" customHeight="1" x14ac:dyDescent="0.2">
      <c r="B6" s="37"/>
      <c r="C6" s="30"/>
      <c r="D6" s="30"/>
      <c r="E6" s="30"/>
    </row>
    <row r="7" spans="1:5" s="35" customFormat="1" ht="26.25" customHeight="1" x14ac:dyDescent="0.3">
      <c r="A7" s="36"/>
      <c r="B7" s="87"/>
      <c r="C7" s="87"/>
      <c r="D7" s="87"/>
      <c r="E7" s="87"/>
    </row>
    <row r="8" spans="1:5" s="35" customFormat="1" ht="33" customHeight="1" x14ac:dyDescent="0.3">
      <c r="A8" s="36"/>
      <c r="B8" s="87"/>
      <c r="C8" s="87"/>
      <c r="D8" s="87"/>
      <c r="E8" s="87"/>
    </row>
    <row r="9" spans="1:5" s="31" customFormat="1" ht="40.5" customHeight="1" x14ac:dyDescent="0.2">
      <c r="B9" s="32" t="s">
        <v>162</v>
      </c>
      <c r="C9" s="34" t="s">
        <v>75</v>
      </c>
      <c r="D9" s="33" t="s">
        <v>73</v>
      </c>
      <c r="E9" s="32" t="s">
        <v>72</v>
      </c>
    </row>
    <row r="10" spans="1:5" ht="15" customHeight="1" x14ac:dyDescent="0.25">
      <c r="B10" s="88" t="s">
        <v>100</v>
      </c>
      <c r="C10" s="29" t="s">
        <v>68</v>
      </c>
      <c r="D10" s="28">
        <v>1</v>
      </c>
      <c r="E10" s="27">
        <v>1.4947683109118087E-3</v>
      </c>
    </row>
    <row r="11" spans="1:5" ht="15" customHeight="1" x14ac:dyDescent="0.25">
      <c r="B11" s="90"/>
      <c r="C11" s="26" t="s">
        <v>23</v>
      </c>
      <c r="D11" s="25">
        <v>1</v>
      </c>
      <c r="E11" s="24">
        <v>1.4947683109118087E-3</v>
      </c>
    </row>
    <row r="12" spans="1:5" ht="15" customHeight="1" x14ac:dyDescent="0.25">
      <c r="B12" s="88" t="s">
        <v>99</v>
      </c>
      <c r="C12" s="29" t="s">
        <v>71</v>
      </c>
      <c r="D12" s="28">
        <v>1</v>
      </c>
      <c r="E12" s="27">
        <v>1.4947683109118087E-3</v>
      </c>
    </row>
    <row r="13" spans="1:5" ht="15" customHeight="1" x14ac:dyDescent="0.25">
      <c r="B13" s="89"/>
      <c r="C13" s="29" t="s">
        <v>68</v>
      </c>
      <c r="D13" s="28">
        <v>3</v>
      </c>
      <c r="E13" s="27">
        <v>4.4843049327354259E-3</v>
      </c>
    </row>
    <row r="14" spans="1:5" ht="15" customHeight="1" x14ac:dyDescent="0.25">
      <c r="B14" s="89"/>
      <c r="C14" s="29" t="s">
        <v>45</v>
      </c>
      <c r="D14" s="28">
        <v>1</v>
      </c>
      <c r="E14" s="27">
        <v>1.4947683109118087E-3</v>
      </c>
    </row>
    <row r="15" spans="1:5" ht="15" customHeight="1" x14ac:dyDescent="0.25">
      <c r="B15" s="89"/>
      <c r="C15" s="29" t="s">
        <v>33</v>
      </c>
      <c r="D15" s="28">
        <v>1</v>
      </c>
      <c r="E15" s="27">
        <v>1.4947683109118087E-3</v>
      </c>
    </row>
    <row r="16" spans="1:5" ht="15" customHeight="1" x14ac:dyDescent="0.25">
      <c r="B16" s="90"/>
      <c r="C16" s="26" t="s">
        <v>23</v>
      </c>
      <c r="D16" s="25">
        <v>6</v>
      </c>
      <c r="E16" s="24">
        <v>8.9686098654708519E-3</v>
      </c>
    </row>
    <row r="17" spans="2:5" ht="15" customHeight="1" x14ac:dyDescent="0.25">
      <c r="B17" s="88" t="s">
        <v>98</v>
      </c>
      <c r="C17" s="29" t="s">
        <v>71</v>
      </c>
      <c r="D17" s="28">
        <v>1</v>
      </c>
      <c r="E17" s="27">
        <v>1.4947683109118087E-3</v>
      </c>
    </row>
    <row r="18" spans="2:5" ht="15" customHeight="1" x14ac:dyDescent="0.25">
      <c r="B18" s="90"/>
      <c r="C18" s="26" t="s">
        <v>23</v>
      </c>
      <c r="D18" s="25">
        <v>1</v>
      </c>
      <c r="E18" s="24">
        <v>1.4947683109118087E-3</v>
      </c>
    </row>
    <row r="19" spans="2:5" ht="15" customHeight="1" x14ac:dyDescent="0.25">
      <c r="B19" s="88" t="s">
        <v>97</v>
      </c>
      <c r="C19" s="29" t="s">
        <v>71</v>
      </c>
      <c r="D19" s="28">
        <v>1</v>
      </c>
      <c r="E19" s="27">
        <v>1.4947683109118087E-3</v>
      </c>
    </row>
    <row r="20" spans="2:5" ht="15" customHeight="1" x14ac:dyDescent="0.25">
      <c r="B20" s="89"/>
      <c r="C20" s="29" t="s">
        <v>68</v>
      </c>
      <c r="D20" s="28">
        <v>3</v>
      </c>
      <c r="E20" s="27">
        <v>4.4843049327354259E-3</v>
      </c>
    </row>
    <row r="21" spans="2:5" ht="15" customHeight="1" x14ac:dyDescent="0.25">
      <c r="B21" s="89"/>
      <c r="C21" s="29" t="s">
        <v>61</v>
      </c>
      <c r="D21" s="28">
        <v>1</v>
      </c>
      <c r="E21" s="27">
        <v>1.4947683109118087E-3</v>
      </c>
    </row>
    <row r="22" spans="2:5" ht="15" customHeight="1" x14ac:dyDescent="0.25">
      <c r="B22" s="89"/>
      <c r="C22" s="29" t="s">
        <v>53</v>
      </c>
      <c r="D22" s="28">
        <v>1</v>
      </c>
      <c r="E22" s="27">
        <v>1.4947683109118087E-3</v>
      </c>
    </row>
    <row r="23" spans="2:5" ht="15" customHeight="1" x14ac:dyDescent="0.25">
      <c r="B23" s="89"/>
      <c r="C23" s="29" t="s">
        <v>49</v>
      </c>
      <c r="D23" s="28">
        <v>1</v>
      </c>
      <c r="E23" s="27">
        <v>1.4947683109118087E-3</v>
      </c>
    </row>
    <row r="24" spans="2:5" ht="15" customHeight="1" x14ac:dyDescent="0.25">
      <c r="B24" s="89"/>
      <c r="C24" s="29" t="s">
        <v>36</v>
      </c>
      <c r="D24" s="28">
        <v>1</v>
      </c>
      <c r="E24" s="27">
        <v>1.4947683109118087E-3</v>
      </c>
    </row>
    <row r="25" spans="2:5" ht="15" customHeight="1" x14ac:dyDescent="0.25">
      <c r="B25" s="89"/>
      <c r="C25" s="29" t="s">
        <v>33</v>
      </c>
      <c r="D25" s="28">
        <v>1</v>
      </c>
      <c r="E25" s="27">
        <v>1.4947683109118087E-3</v>
      </c>
    </row>
    <row r="26" spans="2:5" ht="15" customHeight="1" x14ac:dyDescent="0.25">
      <c r="B26" s="90"/>
      <c r="C26" s="26" t="s">
        <v>23</v>
      </c>
      <c r="D26" s="25">
        <v>9</v>
      </c>
      <c r="E26" s="24">
        <v>1.3452914798206279E-2</v>
      </c>
    </row>
    <row r="27" spans="2:5" ht="15" customHeight="1" x14ac:dyDescent="0.25">
      <c r="B27" s="88" t="s">
        <v>96</v>
      </c>
      <c r="C27" s="29" t="s">
        <v>68</v>
      </c>
      <c r="D27" s="28">
        <v>2</v>
      </c>
      <c r="E27" s="27">
        <v>2.9895366218236174E-3</v>
      </c>
    </row>
    <row r="28" spans="2:5" ht="15" customHeight="1" x14ac:dyDescent="0.25">
      <c r="B28" s="89"/>
      <c r="C28" s="29" t="s">
        <v>63</v>
      </c>
      <c r="D28" s="28">
        <v>1</v>
      </c>
      <c r="E28" s="27">
        <v>1.4947683109118087E-3</v>
      </c>
    </row>
    <row r="29" spans="2:5" ht="15" customHeight="1" x14ac:dyDescent="0.25">
      <c r="B29" s="89"/>
      <c r="C29" s="29" t="s">
        <v>61</v>
      </c>
      <c r="D29" s="28">
        <v>1</v>
      </c>
      <c r="E29" s="27">
        <v>1.4947683109118087E-3</v>
      </c>
    </row>
    <row r="30" spans="2:5" ht="15" customHeight="1" x14ac:dyDescent="0.25">
      <c r="B30" s="89"/>
      <c r="C30" s="29" t="s">
        <v>43</v>
      </c>
      <c r="D30" s="28">
        <v>1</v>
      </c>
      <c r="E30" s="27">
        <v>1.4947683109118087E-3</v>
      </c>
    </row>
    <row r="31" spans="2:5" ht="15" customHeight="1" x14ac:dyDescent="0.25">
      <c r="B31" s="89"/>
      <c r="C31" s="29" t="s">
        <v>42</v>
      </c>
      <c r="D31" s="28">
        <v>1</v>
      </c>
      <c r="E31" s="27">
        <v>1.4947683109118087E-3</v>
      </c>
    </row>
    <row r="32" spans="2:5" ht="15" customHeight="1" x14ac:dyDescent="0.25">
      <c r="B32" s="90"/>
      <c r="C32" s="26" t="s">
        <v>23</v>
      </c>
      <c r="D32" s="25">
        <v>6</v>
      </c>
      <c r="E32" s="24">
        <v>8.9686098654708519E-3</v>
      </c>
    </row>
    <row r="33" spans="2:5" ht="15" customHeight="1" x14ac:dyDescent="0.25">
      <c r="B33" s="88" t="s">
        <v>95</v>
      </c>
      <c r="C33" s="29" t="s">
        <v>68</v>
      </c>
      <c r="D33" s="28">
        <v>1</v>
      </c>
      <c r="E33" s="27">
        <v>1.4947683109118087E-3</v>
      </c>
    </row>
    <row r="34" spans="2:5" ht="15" customHeight="1" x14ac:dyDescent="0.25">
      <c r="B34" s="89"/>
      <c r="C34" s="29" t="s">
        <v>63</v>
      </c>
      <c r="D34" s="28">
        <v>1</v>
      </c>
      <c r="E34" s="27">
        <v>1.4947683109118087E-3</v>
      </c>
    </row>
    <row r="35" spans="2:5" ht="15" customHeight="1" x14ac:dyDescent="0.25">
      <c r="B35" s="89"/>
      <c r="C35" s="29" t="s">
        <v>44</v>
      </c>
      <c r="D35" s="28">
        <v>2</v>
      </c>
      <c r="E35" s="27">
        <v>2.9895366218236174E-3</v>
      </c>
    </row>
    <row r="36" spans="2:5" ht="15" customHeight="1" x14ac:dyDescent="0.25">
      <c r="B36" s="89"/>
      <c r="C36" s="29" t="s">
        <v>38</v>
      </c>
      <c r="D36" s="28">
        <v>1</v>
      </c>
      <c r="E36" s="27">
        <v>1.4947683109118087E-3</v>
      </c>
    </row>
    <row r="37" spans="2:5" ht="15" customHeight="1" x14ac:dyDescent="0.25">
      <c r="B37" s="89"/>
      <c r="C37" s="29" t="s">
        <v>36</v>
      </c>
      <c r="D37" s="28">
        <v>1</v>
      </c>
      <c r="E37" s="27">
        <v>1.4947683109118087E-3</v>
      </c>
    </row>
    <row r="38" spans="2:5" ht="15" customHeight="1" x14ac:dyDescent="0.25">
      <c r="B38" s="89"/>
      <c r="C38" s="29" t="s">
        <v>33</v>
      </c>
      <c r="D38" s="28">
        <v>1</v>
      </c>
      <c r="E38" s="27">
        <v>1.4947683109118087E-3</v>
      </c>
    </row>
    <row r="39" spans="2:5" ht="15" customHeight="1" x14ac:dyDescent="0.25">
      <c r="B39" s="90"/>
      <c r="C39" s="26" t="s">
        <v>23</v>
      </c>
      <c r="D39" s="25">
        <v>7</v>
      </c>
      <c r="E39" s="24">
        <v>1.0463378176382661E-2</v>
      </c>
    </row>
    <row r="40" spans="2:5" ht="15" customHeight="1" x14ac:dyDescent="0.25">
      <c r="B40" s="88" t="s">
        <v>94</v>
      </c>
      <c r="C40" s="29" t="s">
        <v>71</v>
      </c>
      <c r="D40" s="28">
        <v>1</v>
      </c>
      <c r="E40" s="27">
        <v>1.4947683109118087E-3</v>
      </c>
    </row>
    <row r="41" spans="2:5" ht="15" customHeight="1" x14ac:dyDescent="0.25">
      <c r="B41" s="89"/>
      <c r="C41" s="29" t="s">
        <v>68</v>
      </c>
      <c r="D41" s="28">
        <v>1</v>
      </c>
      <c r="E41" s="27">
        <v>1.4947683109118087E-3</v>
      </c>
    </row>
    <row r="42" spans="2:5" ht="15" customHeight="1" x14ac:dyDescent="0.25">
      <c r="B42" s="89"/>
      <c r="C42" s="29" t="s">
        <v>67</v>
      </c>
      <c r="D42" s="28">
        <v>1</v>
      </c>
      <c r="E42" s="27">
        <v>1.4947683109118087E-3</v>
      </c>
    </row>
    <row r="43" spans="2:5" ht="15" customHeight="1" x14ac:dyDescent="0.25">
      <c r="B43" s="89"/>
      <c r="C43" s="29" t="s">
        <v>33</v>
      </c>
      <c r="D43" s="28">
        <v>1</v>
      </c>
      <c r="E43" s="27">
        <v>1.4947683109118087E-3</v>
      </c>
    </row>
    <row r="44" spans="2:5" ht="15" customHeight="1" x14ac:dyDescent="0.25">
      <c r="B44" s="90"/>
      <c r="C44" s="26" t="s">
        <v>23</v>
      </c>
      <c r="D44" s="25">
        <v>4</v>
      </c>
      <c r="E44" s="24">
        <v>5.9790732436472349E-3</v>
      </c>
    </row>
    <row r="45" spans="2:5" ht="15" customHeight="1" x14ac:dyDescent="0.25">
      <c r="B45" s="88" t="s">
        <v>93</v>
      </c>
      <c r="C45" s="29" t="s">
        <v>71</v>
      </c>
      <c r="D45" s="28">
        <v>4</v>
      </c>
      <c r="E45" s="27">
        <v>5.9790732436472349E-3</v>
      </c>
    </row>
    <row r="46" spans="2:5" ht="15" customHeight="1" x14ac:dyDescent="0.25">
      <c r="B46" s="89"/>
      <c r="C46" s="29" t="s">
        <v>69</v>
      </c>
      <c r="D46" s="28">
        <v>1</v>
      </c>
      <c r="E46" s="27">
        <v>1.4947683109118087E-3</v>
      </c>
    </row>
    <row r="47" spans="2:5" ht="15" customHeight="1" x14ac:dyDescent="0.25">
      <c r="B47" s="89"/>
      <c r="C47" s="29" t="s">
        <v>68</v>
      </c>
      <c r="D47" s="28">
        <v>16</v>
      </c>
      <c r="E47" s="27">
        <v>2.391629297458894E-2</v>
      </c>
    </row>
    <row r="48" spans="2:5" ht="15" customHeight="1" x14ac:dyDescent="0.25">
      <c r="B48" s="89"/>
      <c r="C48" s="29" t="s">
        <v>67</v>
      </c>
      <c r="D48" s="28">
        <v>2</v>
      </c>
      <c r="E48" s="27">
        <v>2.9895366218236174E-3</v>
      </c>
    </row>
    <row r="49" spans="2:5" ht="15" customHeight="1" x14ac:dyDescent="0.25">
      <c r="B49" s="89"/>
      <c r="C49" s="29" t="s">
        <v>63</v>
      </c>
      <c r="D49" s="28">
        <v>4</v>
      </c>
      <c r="E49" s="27">
        <v>5.9790732436472349E-3</v>
      </c>
    </row>
    <row r="50" spans="2:5" ht="15" customHeight="1" x14ac:dyDescent="0.25">
      <c r="B50" s="89"/>
      <c r="C50" s="29" t="s">
        <v>62</v>
      </c>
      <c r="D50" s="28">
        <v>1</v>
      </c>
      <c r="E50" s="27">
        <v>1.4947683109118087E-3</v>
      </c>
    </row>
    <row r="51" spans="2:5" ht="15" customHeight="1" x14ac:dyDescent="0.25">
      <c r="B51" s="89"/>
      <c r="C51" s="29" t="s">
        <v>61</v>
      </c>
      <c r="D51" s="28">
        <v>1</v>
      </c>
      <c r="E51" s="27">
        <v>1.4947683109118087E-3</v>
      </c>
    </row>
    <row r="52" spans="2:5" ht="15" customHeight="1" x14ac:dyDescent="0.25">
      <c r="B52" s="89"/>
      <c r="C52" s="29" t="s">
        <v>58</v>
      </c>
      <c r="D52" s="28">
        <v>1</v>
      </c>
      <c r="E52" s="27">
        <v>1.4947683109118087E-3</v>
      </c>
    </row>
    <row r="53" spans="2:5" ht="15" customHeight="1" x14ac:dyDescent="0.25">
      <c r="B53" s="89"/>
      <c r="C53" s="29" t="s">
        <v>56</v>
      </c>
      <c r="D53" s="28">
        <v>1</v>
      </c>
      <c r="E53" s="27">
        <v>1.4947683109118087E-3</v>
      </c>
    </row>
    <row r="54" spans="2:5" ht="15" customHeight="1" x14ac:dyDescent="0.25">
      <c r="B54" s="89"/>
      <c r="C54" s="29" t="s">
        <v>49</v>
      </c>
      <c r="D54" s="28">
        <v>1</v>
      </c>
      <c r="E54" s="27">
        <v>1.4947683109118087E-3</v>
      </c>
    </row>
    <row r="55" spans="2:5" ht="15" customHeight="1" x14ac:dyDescent="0.25">
      <c r="B55" s="89"/>
      <c r="C55" s="29" t="s">
        <v>44</v>
      </c>
      <c r="D55" s="28">
        <v>1</v>
      </c>
      <c r="E55" s="27">
        <v>1.4947683109118087E-3</v>
      </c>
    </row>
    <row r="56" spans="2:5" ht="15" customHeight="1" x14ac:dyDescent="0.25">
      <c r="B56" s="89"/>
      <c r="C56" s="29" t="s">
        <v>43</v>
      </c>
      <c r="D56" s="28">
        <v>2</v>
      </c>
      <c r="E56" s="27">
        <v>2.9895366218236174E-3</v>
      </c>
    </row>
    <row r="57" spans="2:5" ht="15" customHeight="1" x14ac:dyDescent="0.25">
      <c r="B57" s="89"/>
      <c r="C57" s="29" t="s">
        <v>37</v>
      </c>
      <c r="D57" s="28">
        <v>2</v>
      </c>
      <c r="E57" s="27">
        <v>2.9895366218236174E-3</v>
      </c>
    </row>
    <row r="58" spans="2:5" ht="15" customHeight="1" x14ac:dyDescent="0.25">
      <c r="B58" s="89"/>
      <c r="C58" s="29" t="s">
        <v>36</v>
      </c>
      <c r="D58" s="28">
        <v>8</v>
      </c>
      <c r="E58" s="27">
        <v>1.195814648729447E-2</v>
      </c>
    </row>
    <row r="59" spans="2:5" ht="15" customHeight="1" x14ac:dyDescent="0.25">
      <c r="B59" s="89"/>
      <c r="C59" s="29" t="s">
        <v>34</v>
      </c>
      <c r="D59" s="28">
        <v>1</v>
      </c>
      <c r="E59" s="27">
        <v>1.4947683109118087E-3</v>
      </c>
    </row>
    <row r="60" spans="2:5" ht="15" customHeight="1" x14ac:dyDescent="0.25">
      <c r="B60" s="89"/>
      <c r="C60" s="29" t="s">
        <v>33</v>
      </c>
      <c r="D60" s="28">
        <v>2</v>
      </c>
      <c r="E60" s="27">
        <v>2.9895366218236174E-3</v>
      </c>
    </row>
    <row r="61" spans="2:5" ht="15" customHeight="1" x14ac:dyDescent="0.25">
      <c r="B61" s="89"/>
      <c r="C61" s="29" t="s">
        <v>28</v>
      </c>
      <c r="D61" s="28">
        <v>1</v>
      </c>
      <c r="E61" s="27">
        <v>1.4947683109118087E-3</v>
      </c>
    </row>
    <row r="62" spans="2:5" ht="15" customHeight="1" x14ac:dyDescent="0.25">
      <c r="B62" s="90"/>
      <c r="C62" s="26" t="s">
        <v>23</v>
      </c>
      <c r="D62" s="25">
        <v>49</v>
      </c>
      <c r="E62" s="24">
        <v>7.3243647234678619E-2</v>
      </c>
    </row>
    <row r="63" spans="2:5" ht="15" customHeight="1" x14ac:dyDescent="0.25">
      <c r="B63" s="88" t="s">
        <v>92</v>
      </c>
      <c r="C63" s="29" t="s">
        <v>71</v>
      </c>
      <c r="D63" s="28">
        <v>7</v>
      </c>
      <c r="E63" s="27">
        <v>1.0463378176382661E-2</v>
      </c>
    </row>
    <row r="64" spans="2:5" ht="15" customHeight="1" x14ac:dyDescent="0.25">
      <c r="B64" s="89"/>
      <c r="C64" s="29" t="s">
        <v>69</v>
      </c>
      <c r="D64" s="28">
        <v>2</v>
      </c>
      <c r="E64" s="27">
        <v>2.9895366218236174E-3</v>
      </c>
    </row>
    <row r="65" spans="2:5" ht="15" customHeight="1" x14ac:dyDescent="0.25">
      <c r="B65" s="89"/>
      <c r="C65" s="29" t="s">
        <v>68</v>
      </c>
      <c r="D65" s="28">
        <v>20</v>
      </c>
      <c r="E65" s="27">
        <v>2.9895366218236172E-2</v>
      </c>
    </row>
    <row r="66" spans="2:5" ht="15" customHeight="1" x14ac:dyDescent="0.25">
      <c r="B66" s="89"/>
      <c r="C66" s="29" t="s">
        <v>63</v>
      </c>
      <c r="D66" s="28">
        <v>4</v>
      </c>
      <c r="E66" s="27">
        <v>5.9790732436472349E-3</v>
      </c>
    </row>
    <row r="67" spans="2:5" ht="15" customHeight="1" x14ac:dyDescent="0.25">
      <c r="B67" s="89"/>
      <c r="C67" s="29" t="s">
        <v>62</v>
      </c>
      <c r="D67" s="28">
        <v>5</v>
      </c>
      <c r="E67" s="27">
        <v>7.4738415545590429E-3</v>
      </c>
    </row>
    <row r="68" spans="2:5" ht="15" customHeight="1" x14ac:dyDescent="0.25">
      <c r="B68" s="89"/>
      <c r="C68" s="29" t="s">
        <v>61</v>
      </c>
      <c r="D68" s="28">
        <v>3</v>
      </c>
      <c r="E68" s="27">
        <v>4.4843049327354259E-3</v>
      </c>
    </row>
    <row r="69" spans="2:5" ht="15" customHeight="1" x14ac:dyDescent="0.25">
      <c r="B69" s="89"/>
      <c r="C69" s="29" t="s">
        <v>60</v>
      </c>
      <c r="D69" s="28">
        <v>1</v>
      </c>
      <c r="E69" s="27">
        <v>1.4947683109118087E-3</v>
      </c>
    </row>
    <row r="70" spans="2:5" ht="15" customHeight="1" x14ac:dyDescent="0.25">
      <c r="B70" s="89"/>
      <c r="C70" s="29" t="s">
        <v>58</v>
      </c>
      <c r="D70" s="28">
        <v>2</v>
      </c>
      <c r="E70" s="27">
        <v>2.9895366218236174E-3</v>
      </c>
    </row>
    <row r="71" spans="2:5" ht="15" customHeight="1" x14ac:dyDescent="0.25">
      <c r="B71" s="89"/>
      <c r="C71" s="29" t="s">
        <v>50</v>
      </c>
      <c r="D71" s="28">
        <v>1</v>
      </c>
      <c r="E71" s="27">
        <v>1.4947683109118087E-3</v>
      </c>
    </row>
    <row r="72" spans="2:5" ht="15" customHeight="1" x14ac:dyDescent="0.25">
      <c r="B72" s="89"/>
      <c r="C72" s="29" t="s">
        <v>46</v>
      </c>
      <c r="D72" s="28">
        <v>2</v>
      </c>
      <c r="E72" s="27">
        <v>2.9895366218236174E-3</v>
      </c>
    </row>
    <row r="73" spans="2:5" ht="15" customHeight="1" x14ac:dyDescent="0.25">
      <c r="B73" s="89"/>
      <c r="C73" s="29" t="s">
        <v>43</v>
      </c>
      <c r="D73" s="28">
        <v>3</v>
      </c>
      <c r="E73" s="27">
        <v>4.4843049327354259E-3</v>
      </c>
    </row>
    <row r="74" spans="2:5" ht="15" customHeight="1" x14ac:dyDescent="0.25">
      <c r="B74" s="89"/>
      <c r="C74" s="29" t="s">
        <v>42</v>
      </c>
      <c r="D74" s="28">
        <v>1</v>
      </c>
      <c r="E74" s="27">
        <v>1.4947683109118087E-3</v>
      </c>
    </row>
    <row r="75" spans="2:5" ht="15" customHeight="1" x14ac:dyDescent="0.25">
      <c r="B75" s="89"/>
      <c r="C75" s="29" t="s">
        <v>41</v>
      </c>
      <c r="D75" s="28">
        <v>1</v>
      </c>
      <c r="E75" s="27">
        <v>1.4947683109118087E-3</v>
      </c>
    </row>
    <row r="76" spans="2:5" ht="15" customHeight="1" x14ac:dyDescent="0.25">
      <c r="B76" s="89"/>
      <c r="C76" s="29" t="s">
        <v>40</v>
      </c>
      <c r="D76" s="28">
        <v>1</v>
      </c>
      <c r="E76" s="27">
        <v>1.4947683109118087E-3</v>
      </c>
    </row>
    <row r="77" spans="2:5" ht="15" customHeight="1" x14ac:dyDescent="0.25">
      <c r="B77" s="89"/>
      <c r="C77" s="29" t="s">
        <v>39</v>
      </c>
      <c r="D77" s="28">
        <v>1</v>
      </c>
      <c r="E77" s="27">
        <v>1.4947683109118087E-3</v>
      </c>
    </row>
    <row r="78" spans="2:5" ht="15" customHeight="1" x14ac:dyDescent="0.25">
      <c r="B78" s="89"/>
      <c r="C78" s="29" t="s">
        <v>38</v>
      </c>
      <c r="D78" s="28">
        <v>1</v>
      </c>
      <c r="E78" s="27">
        <v>1.4947683109118087E-3</v>
      </c>
    </row>
    <row r="79" spans="2:5" ht="15" customHeight="1" x14ac:dyDescent="0.25">
      <c r="B79" s="89"/>
      <c r="C79" s="29" t="s">
        <v>37</v>
      </c>
      <c r="D79" s="28">
        <v>2</v>
      </c>
      <c r="E79" s="27">
        <v>2.9895366218236174E-3</v>
      </c>
    </row>
    <row r="80" spans="2:5" ht="15" customHeight="1" x14ac:dyDescent="0.25">
      <c r="B80" s="89"/>
      <c r="C80" s="29" t="s">
        <v>36</v>
      </c>
      <c r="D80" s="28">
        <v>6</v>
      </c>
      <c r="E80" s="27">
        <v>8.9686098654708519E-3</v>
      </c>
    </row>
    <row r="81" spans="2:5" ht="15" customHeight="1" x14ac:dyDescent="0.25">
      <c r="B81" s="89"/>
      <c r="C81" s="29" t="s">
        <v>33</v>
      </c>
      <c r="D81" s="28">
        <v>2</v>
      </c>
      <c r="E81" s="27">
        <v>2.9895366218236174E-3</v>
      </c>
    </row>
    <row r="82" spans="2:5" ht="15" customHeight="1" x14ac:dyDescent="0.25">
      <c r="B82" s="89"/>
      <c r="C82" s="29" t="s">
        <v>28</v>
      </c>
      <c r="D82" s="28">
        <v>2</v>
      </c>
      <c r="E82" s="27">
        <v>2.9895366218236174E-3</v>
      </c>
    </row>
    <row r="83" spans="2:5" ht="15" customHeight="1" x14ac:dyDescent="0.25">
      <c r="B83" s="89"/>
      <c r="C83" s="29" t="s">
        <v>25</v>
      </c>
      <c r="D83" s="28">
        <v>1</v>
      </c>
      <c r="E83" s="27">
        <v>1.4947683109118087E-3</v>
      </c>
    </row>
    <row r="84" spans="2:5" ht="15" customHeight="1" x14ac:dyDescent="0.25">
      <c r="B84" s="90"/>
      <c r="C84" s="26" t="s">
        <v>23</v>
      </c>
      <c r="D84" s="25">
        <v>68</v>
      </c>
      <c r="E84" s="24">
        <v>0.10164424514200299</v>
      </c>
    </row>
    <row r="85" spans="2:5" ht="15" customHeight="1" x14ac:dyDescent="0.25">
      <c r="B85" s="88" t="s">
        <v>91</v>
      </c>
      <c r="C85" s="29" t="s">
        <v>71</v>
      </c>
      <c r="D85" s="28">
        <v>3</v>
      </c>
      <c r="E85" s="27">
        <v>4.4843049327354259E-3</v>
      </c>
    </row>
    <row r="86" spans="2:5" ht="15" customHeight="1" x14ac:dyDescent="0.25">
      <c r="B86" s="89"/>
      <c r="C86" s="29" t="s">
        <v>68</v>
      </c>
      <c r="D86" s="28">
        <v>1</v>
      </c>
      <c r="E86" s="27">
        <v>1.4947683109118087E-3</v>
      </c>
    </row>
    <row r="87" spans="2:5" ht="15" customHeight="1" x14ac:dyDescent="0.25">
      <c r="B87" s="89"/>
      <c r="C87" s="29" t="s">
        <v>37</v>
      </c>
      <c r="D87" s="28">
        <v>1</v>
      </c>
      <c r="E87" s="27">
        <v>1.4947683109118087E-3</v>
      </c>
    </row>
    <row r="88" spans="2:5" ht="15" customHeight="1" x14ac:dyDescent="0.25">
      <c r="B88" s="89"/>
      <c r="C88" s="29" t="s">
        <v>36</v>
      </c>
      <c r="D88" s="28">
        <v>1</v>
      </c>
      <c r="E88" s="27">
        <v>1.4947683109118087E-3</v>
      </c>
    </row>
    <row r="89" spans="2:5" ht="15" customHeight="1" x14ac:dyDescent="0.25">
      <c r="B89" s="90"/>
      <c r="C89" s="26" t="s">
        <v>23</v>
      </c>
      <c r="D89" s="25">
        <v>6</v>
      </c>
      <c r="E89" s="24">
        <v>8.9686098654708519E-3</v>
      </c>
    </row>
    <row r="90" spans="2:5" ht="15" customHeight="1" x14ac:dyDescent="0.25">
      <c r="B90" s="88" t="s">
        <v>90</v>
      </c>
      <c r="C90" s="29" t="s">
        <v>71</v>
      </c>
      <c r="D90" s="28">
        <v>2</v>
      </c>
      <c r="E90" s="27">
        <v>2.9895366218236174E-3</v>
      </c>
    </row>
    <row r="91" spans="2:5" ht="15" customHeight="1" x14ac:dyDescent="0.25">
      <c r="B91" s="89"/>
      <c r="C91" s="29" t="s">
        <v>68</v>
      </c>
      <c r="D91" s="28">
        <v>3</v>
      </c>
      <c r="E91" s="27">
        <v>4.4843049327354259E-3</v>
      </c>
    </row>
    <row r="92" spans="2:5" ht="15" customHeight="1" x14ac:dyDescent="0.25">
      <c r="B92" s="89"/>
      <c r="C92" s="29" t="s">
        <v>63</v>
      </c>
      <c r="D92" s="28">
        <v>2</v>
      </c>
      <c r="E92" s="27">
        <v>2.9895366218236174E-3</v>
      </c>
    </row>
    <row r="93" spans="2:5" ht="15" customHeight="1" x14ac:dyDescent="0.25">
      <c r="B93" s="89"/>
      <c r="C93" s="29" t="s">
        <v>61</v>
      </c>
      <c r="D93" s="28">
        <v>1</v>
      </c>
      <c r="E93" s="27">
        <v>1.4947683109118087E-3</v>
      </c>
    </row>
    <row r="94" spans="2:5" ht="15" customHeight="1" x14ac:dyDescent="0.25">
      <c r="B94" s="89"/>
      <c r="C94" s="29" t="s">
        <v>49</v>
      </c>
      <c r="D94" s="28">
        <v>1</v>
      </c>
      <c r="E94" s="27">
        <v>1.4947683109118087E-3</v>
      </c>
    </row>
    <row r="95" spans="2:5" ht="15" customHeight="1" x14ac:dyDescent="0.25">
      <c r="B95" s="89"/>
      <c r="C95" s="29" t="s">
        <v>43</v>
      </c>
      <c r="D95" s="28">
        <v>1</v>
      </c>
      <c r="E95" s="27">
        <v>1.4947683109118087E-3</v>
      </c>
    </row>
    <row r="96" spans="2:5" ht="15" customHeight="1" x14ac:dyDescent="0.25">
      <c r="B96" s="89"/>
      <c r="C96" s="29" t="s">
        <v>36</v>
      </c>
      <c r="D96" s="28">
        <v>1</v>
      </c>
      <c r="E96" s="27">
        <v>1.4947683109118087E-3</v>
      </c>
    </row>
    <row r="97" spans="2:5" ht="15" customHeight="1" x14ac:dyDescent="0.25">
      <c r="B97" s="89"/>
      <c r="C97" s="29" t="s">
        <v>33</v>
      </c>
      <c r="D97" s="28">
        <v>2</v>
      </c>
      <c r="E97" s="27">
        <v>2.9895366218236174E-3</v>
      </c>
    </row>
    <row r="98" spans="2:5" ht="15" customHeight="1" x14ac:dyDescent="0.25">
      <c r="B98" s="90"/>
      <c r="C98" s="26" t="s">
        <v>23</v>
      </c>
      <c r="D98" s="25">
        <v>13</v>
      </c>
      <c r="E98" s="24">
        <v>1.9431988041853511E-2</v>
      </c>
    </row>
    <row r="99" spans="2:5" ht="15" customHeight="1" x14ac:dyDescent="0.25">
      <c r="B99" s="88" t="s">
        <v>89</v>
      </c>
      <c r="C99" s="29" t="s">
        <v>71</v>
      </c>
      <c r="D99" s="28">
        <v>1</v>
      </c>
      <c r="E99" s="27">
        <v>1.4947683109118087E-3</v>
      </c>
    </row>
    <row r="100" spans="2:5" ht="15" customHeight="1" x14ac:dyDescent="0.25">
      <c r="B100" s="89"/>
      <c r="C100" s="29" t="s">
        <v>68</v>
      </c>
      <c r="D100" s="28">
        <v>3</v>
      </c>
      <c r="E100" s="27">
        <v>4.4843049327354259E-3</v>
      </c>
    </row>
    <row r="101" spans="2:5" ht="15" customHeight="1" x14ac:dyDescent="0.25">
      <c r="B101" s="89"/>
      <c r="C101" s="29" t="s">
        <v>67</v>
      </c>
      <c r="D101" s="28">
        <v>2</v>
      </c>
      <c r="E101" s="27">
        <v>2.9895366218236174E-3</v>
      </c>
    </row>
    <row r="102" spans="2:5" ht="15" customHeight="1" x14ac:dyDescent="0.25">
      <c r="B102" s="89"/>
      <c r="C102" s="29" t="s">
        <v>63</v>
      </c>
      <c r="D102" s="28">
        <v>3</v>
      </c>
      <c r="E102" s="27">
        <v>4.4843049327354259E-3</v>
      </c>
    </row>
    <row r="103" spans="2:5" ht="15" customHeight="1" x14ac:dyDescent="0.25">
      <c r="B103" s="89"/>
      <c r="C103" s="29" t="s">
        <v>62</v>
      </c>
      <c r="D103" s="28">
        <v>1</v>
      </c>
      <c r="E103" s="27">
        <v>1.4947683109118087E-3</v>
      </c>
    </row>
    <row r="104" spans="2:5" ht="15" customHeight="1" x14ac:dyDescent="0.25">
      <c r="B104" s="89"/>
      <c r="C104" s="29" t="s">
        <v>61</v>
      </c>
      <c r="D104" s="28">
        <v>2</v>
      </c>
      <c r="E104" s="27">
        <v>2.9895366218236174E-3</v>
      </c>
    </row>
    <row r="105" spans="2:5" ht="15" customHeight="1" x14ac:dyDescent="0.25">
      <c r="B105" s="89"/>
      <c r="C105" s="29" t="s">
        <v>48</v>
      </c>
      <c r="D105" s="28">
        <v>1</v>
      </c>
      <c r="E105" s="27">
        <v>1.4947683109118087E-3</v>
      </c>
    </row>
    <row r="106" spans="2:5" ht="15" customHeight="1" x14ac:dyDescent="0.25">
      <c r="B106" s="89"/>
      <c r="C106" s="29" t="s">
        <v>43</v>
      </c>
      <c r="D106" s="28">
        <v>2</v>
      </c>
      <c r="E106" s="27">
        <v>2.9895366218236174E-3</v>
      </c>
    </row>
    <row r="107" spans="2:5" ht="15" customHeight="1" x14ac:dyDescent="0.25">
      <c r="B107" s="89"/>
      <c r="C107" s="29" t="s">
        <v>41</v>
      </c>
      <c r="D107" s="28">
        <v>1</v>
      </c>
      <c r="E107" s="27">
        <v>1.4947683109118087E-3</v>
      </c>
    </row>
    <row r="108" spans="2:5" ht="15" customHeight="1" x14ac:dyDescent="0.25">
      <c r="B108" s="89"/>
      <c r="C108" s="29" t="s">
        <v>40</v>
      </c>
      <c r="D108" s="28">
        <v>1</v>
      </c>
      <c r="E108" s="27">
        <v>1.4947683109118087E-3</v>
      </c>
    </row>
    <row r="109" spans="2:5" ht="15" customHeight="1" x14ac:dyDescent="0.25">
      <c r="B109" s="89"/>
      <c r="C109" s="29" t="s">
        <v>39</v>
      </c>
      <c r="D109" s="28">
        <v>1</v>
      </c>
      <c r="E109" s="27">
        <v>1.4947683109118087E-3</v>
      </c>
    </row>
    <row r="110" spans="2:5" ht="15" customHeight="1" x14ac:dyDescent="0.25">
      <c r="B110" s="89"/>
      <c r="C110" s="29" t="s">
        <v>38</v>
      </c>
      <c r="D110" s="28">
        <v>1</v>
      </c>
      <c r="E110" s="27">
        <v>1.4947683109118087E-3</v>
      </c>
    </row>
    <row r="111" spans="2:5" ht="15" customHeight="1" x14ac:dyDescent="0.25">
      <c r="B111" s="89"/>
      <c r="C111" s="29" t="s">
        <v>36</v>
      </c>
      <c r="D111" s="28">
        <v>1</v>
      </c>
      <c r="E111" s="27">
        <v>1.4947683109118087E-3</v>
      </c>
    </row>
    <row r="112" spans="2:5" ht="15" customHeight="1" x14ac:dyDescent="0.25">
      <c r="B112" s="89"/>
      <c r="C112" s="29" t="s">
        <v>28</v>
      </c>
      <c r="D112" s="28">
        <v>1</v>
      </c>
      <c r="E112" s="27">
        <v>1.4947683109118087E-3</v>
      </c>
    </row>
    <row r="113" spans="2:5" ht="15" customHeight="1" x14ac:dyDescent="0.25">
      <c r="B113" s="90"/>
      <c r="C113" s="26" t="s">
        <v>23</v>
      </c>
      <c r="D113" s="25">
        <v>21</v>
      </c>
      <c r="E113" s="24">
        <v>3.1390134529147982E-2</v>
      </c>
    </row>
    <row r="114" spans="2:5" ht="15" customHeight="1" x14ac:dyDescent="0.25">
      <c r="B114" s="88" t="s">
        <v>88</v>
      </c>
      <c r="C114" s="29" t="s">
        <v>71</v>
      </c>
      <c r="D114" s="28">
        <v>20</v>
      </c>
      <c r="E114" s="27">
        <v>2.9895366218236172E-2</v>
      </c>
    </row>
    <row r="115" spans="2:5" ht="15" customHeight="1" x14ac:dyDescent="0.25">
      <c r="B115" s="89"/>
      <c r="C115" s="29" t="s">
        <v>69</v>
      </c>
      <c r="D115" s="28">
        <v>4</v>
      </c>
      <c r="E115" s="27">
        <v>5.9790732436472349E-3</v>
      </c>
    </row>
    <row r="116" spans="2:5" ht="15" customHeight="1" x14ac:dyDescent="0.25">
      <c r="B116" s="89"/>
      <c r="C116" s="29" t="s">
        <v>68</v>
      </c>
      <c r="D116" s="28">
        <v>74</v>
      </c>
      <c r="E116" s="27">
        <v>0.11061285500747384</v>
      </c>
    </row>
    <row r="117" spans="2:5" ht="15" customHeight="1" x14ac:dyDescent="0.25">
      <c r="B117" s="89"/>
      <c r="C117" s="29" t="s">
        <v>67</v>
      </c>
      <c r="D117" s="28">
        <v>4</v>
      </c>
      <c r="E117" s="27">
        <v>5.9790732436472349E-3</v>
      </c>
    </row>
    <row r="118" spans="2:5" ht="15" customHeight="1" x14ac:dyDescent="0.25">
      <c r="B118" s="89"/>
      <c r="C118" s="29" t="s">
        <v>66</v>
      </c>
      <c r="D118" s="28">
        <v>1</v>
      </c>
      <c r="E118" s="27">
        <v>1.4947683109118087E-3</v>
      </c>
    </row>
    <row r="119" spans="2:5" ht="15" customHeight="1" x14ac:dyDescent="0.25">
      <c r="B119" s="89"/>
      <c r="C119" s="29" t="s">
        <v>63</v>
      </c>
      <c r="D119" s="28">
        <v>7</v>
      </c>
      <c r="E119" s="27">
        <v>1.0463378176382661E-2</v>
      </c>
    </row>
    <row r="120" spans="2:5" ht="15" customHeight="1" x14ac:dyDescent="0.25">
      <c r="B120" s="89"/>
      <c r="C120" s="29" t="s">
        <v>62</v>
      </c>
      <c r="D120" s="28">
        <v>6</v>
      </c>
      <c r="E120" s="27">
        <v>8.9686098654708519E-3</v>
      </c>
    </row>
    <row r="121" spans="2:5" ht="15" customHeight="1" x14ac:dyDescent="0.25">
      <c r="B121" s="89"/>
      <c r="C121" s="29" t="s">
        <v>61</v>
      </c>
      <c r="D121" s="28">
        <v>9</v>
      </c>
      <c r="E121" s="27">
        <v>1.3452914798206279E-2</v>
      </c>
    </row>
    <row r="122" spans="2:5" ht="15" customHeight="1" x14ac:dyDescent="0.25">
      <c r="B122" s="89"/>
      <c r="C122" s="29" t="s">
        <v>60</v>
      </c>
      <c r="D122" s="28">
        <v>5</v>
      </c>
      <c r="E122" s="27">
        <v>7.4738415545590429E-3</v>
      </c>
    </row>
    <row r="123" spans="2:5" ht="15" customHeight="1" x14ac:dyDescent="0.25">
      <c r="B123" s="89"/>
      <c r="C123" s="29" t="s">
        <v>59</v>
      </c>
      <c r="D123" s="28">
        <v>1</v>
      </c>
      <c r="E123" s="27">
        <v>1.4947683109118087E-3</v>
      </c>
    </row>
    <row r="124" spans="2:5" ht="15" customHeight="1" x14ac:dyDescent="0.25">
      <c r="B124" s="89"/>
      <c r="C124" s="29" t="s">
        <v>58</v>
      </c>
      <c r="D124" s="28">
        <v>4</v>
      </c>
      <c r="E124" s="27">
        <v>5.9790732436472349E-3</v>
      </c>
    </row>
    <row r="125" spans="2:5" ht="15" customHeight="1" x14ac:dyDescent="0.25">
      <c r="B125" s="89"/>
      <c r="C125" s="29" t="s">
        <v>57</v>
      </c>
      <c r="D125" s="28">
        <v>2</v>
      </c>
      <c r="E125" s="27">
        <v>2.9895366218236174E-3</v>
      </c>
    </row>
    <row r="126" spans="2:5" ht="15" customHeight="1" x14ac:dyDescent="0.25">
      <c r="B126" s="89"/>
      <c r="C126" s="29" t="s">
        <v>56</v>
      </c>
      <c r="D126" s="28">
        <v>2</v>
      </c>
      <c r="E126" s="27">
        <v>2.9895366218236174E-3</v>
      </c>
    </row>
    <row r="127" spans="2:5" ht="15" customHeight="1" x14ac:dyDescent="0.25">
      <c r="B127" s="89"/>
      <c r="C127" s="29" t="s">
        <v>53</v>
      </c>
      <c r="D127" s="28">
        <v>1</v>
      </c>
      <c r="E127" s="27">
        <v>1.4947683109118087E-3</v>
      </c>
    </row>
    <row r="128" spans="2:5" ht="15" customHeight="1" x14ac:dyDescent="0.25">
      <c r="B128" s="89"/>
      <c r="C128" s="29" t="s">
        <v>52</v>
      </c>
      <c r="D128" s="28">
        <v>4</v>
      </c>
      <c r="E128" s="27">
        <v>5.9790732436472349E-3</v>
      </c>
    </row>
    <row r="129" spans="2:5" ht="15" customHeight="1" x14ac:dyDescent="0.25">
      <c r="B129" s="89"/>
      <c r="C129" s="29" t="s">
        <v>49</v>
      </c>
      <c r="D129" s="28">
        <v>3</v>
      </c>
      <c r="E129" s="27">
        <v>4.4843049327354259E-3</v>
      </c>
    </row>
    <row r="130" spans="2:5" ht="15" customHeight="1" x14ac:dyDescent="0.25">
      <c r="B130" s="89"/>
      <c r="C130" s="29" t="s">
        <v>48</v>
      </c>
      <c r="D130" s="28">
        <v>1</v>
      </c>
      <c r="E130" s="27">
        <v>1.4947683109118087E-3</v>
      </c>
    </row>
    <row r="131" spans="2:5" ht="15" customHeight="1" x14ac:dyDescent="0.25">
      <c r="B131" s="89"/>
      <c r="C131" s="29" t="s">
        <v>47</v>
      </c>
      <c r="D131" s="28">
        <v>2</v>
      </c>
      <c r="E131" s="27">
        <v>2.9895366218236174E-3</v>
      </c>
    </row>
    <row r="132" spans="2:5" ht="15" customHeight="1" x14ac:dyDescent="0.25">
      <c r="B132" s="89"/>
      <c r="C132" s="29" t="s">
        <v>46</v>
      </c>
      <c r="D132" s="28">
        <v>2</v>
      </c>
      <c r="E132" s="27">
        <v>2.9895366218236174E-3</v>
      </c>
    </row>
    <row r="133" spans="2:5" ht="15" customHeight="1" x14ac:dyDescent="0.25">
      <c r="B133" s="89"/>
      <c r="C133" s="29" t="s">
        <v>44</v>
      </c>
      <c r="D133" s="28">
        <v>3</v>
      </c>
      <c r="E133" s="27">
        <v>4.4843049327354259E-3</v>
      </c>
    </row>
    <row r="134" spans="2:5" ht="15" customHeight="1" x14ac:dyDescent="0.25">
      <c r="B134" s="89"/>
      <c r="C134" s="29" t="s">
        <v>43</v>
      </c>
      <c r="D134" s="28">
        <v>8</v>
      </c>
      <c r="E134" s="27">
        <v>1.195814648729447E-2</v>
      </c>
    </row>
    <row r="135" spans="2:5" ht="15" customHeight="1" x14ac:dyDescent="0.25">
      <c r="B135" s="89"/>
      <c r="C135" s="29" t="s">
        <v>40</v>
      </c>
      <c r="D135" s="28">
        <v>4</v>
      </c>
      <c r="E135" s="27">
        <v>5.9790732436472349E-3</v>
      </c>
    </row>
    <row r="136" spans="2:5" ht="15" customHeight="1" x14ac:dyDescent="0.25">
      <c r="B136" s="89"/>
      <c r="C136" s="29" t="s">
        <v>38</v>
      </c>
      <c r="D136" s="28">
        <v>4</v>
      </c>
      <c r="E136" s="27">
        <v>5.9790732436472349E-3</v>
      </c>
    </row>
    <row r="137" spans="2:5" ht="15" customHeight="1" x14ac:dyDescent="0.25">
      <c r="B137" s="89"/>
      <c r="C137" s="29" t="s">
        <v>37</v>
      </c>
      <c r="D137" s="28">
        <v>7</v>
      </c>
      <c r="E137" s="27">
        <v>1.0463378176382661E-2</v>
      </c>
    </row>
    <row r="138" spans="2:5" ht="15" customHeight="1" x14ac:dyDescent="0.25">
      <c r="B138" s="89"/>
      <c r="C138" s="29" t="s">
        <v>36</v>
      </c>
      <c r="D138" s="28">
        <v>26</v>
      </c>
      <c r="E138" s="27">
        <v>3.8863976083707022E-2</v>
      </c>
    </row>
    <row r="139" spans="2:5" ht="15" customHeight="1" x14ac:dyDescent="0.25">
      <c r="B139" s="89"/>
      <c r="C139" s="29" t="s">
        <v>35</v>
      </c>
      <c r="D139" s="28">
        <v>2</v>
      </c>
      <c r="E139" s="27">
        <v>2.9895366218236174E-3</v>
      </c>
    </row>
    <row r="140" spans="2:5" ht="15" customHeight="1" x14ac:dyDescent="0.25">
      <c r="B140" s="89"/>
      <c r="C140" s="29" t="s">
        <v>33</v>
      </c>
      <c r="D140" s="28">
        <v>11</v>
      </c>
      <c r="E140" s="27">
        <v>1.6442451420029897E-2</v>
      </c>
    </row>
    <row r="141" spans="2:5" ht="15" customHeight="1" x14ac:dyDescent="0.25">
      <c r="B141" s="89"/>
      <c r="C141" s="29" t="s">
        <v>28</v>
      </c>
      <c r="D141" s="28">
        <v>5</v>
      </c>
      <c r="E141" s="27">
        <v>7.4738415545590429E-3</v>
      </c>
    </row>
    <row r="142" spans="2:5" ht="15" customHeight="1" x14ac:dyDescent="0.25">
      <c r="B142" s="89"/>
      <c r="C142" s="29" t="s">
        <v>25</v>
      </c>
      <c r="D142" s="28">
        <v>2</v>
      </c>
      <c r="E142" s="27">
        <v>2.9895366218236174E-3</v>
      </c>
    </row>
    <row r="143" spans="2:5" ht="15" customHeight="1" x14ac:dyDescent="0.25">
      <c r="B143" s="90"/>
      <c r="C143" s="26" t="s">
        <v>23</v>
      </c>
      <c r="D143" s="25">
        <v>224</v>
      </c>
      <c r="E143" s="24">
        <v>0.33482810164424515</v>
      </c>
    </row>
    <row r="144" spans="2:5" ht="15" customHeight="1" x14ac:dyDescent="0.25">
      <c r="B144" s="88" t="s">
        <v>87</v>
      </c>
      <c r="C144" s="29" t="s">
        <v>68</v>
      </c>
      <c r="D144" s="28">
        <v>2</v>
      </c>
      <c r="E144" s="27">
        <v>2.9895366218236174E-3</v>
      </c>
    </row>
    <row r="145" spans="2:5" ht="15" customHeight="1" x14ac:dyDescent="0.25">
      <c r="B145" s="89"/>
      <c r="C145" s="29" t="s">
        <v>62</v>
      </c>
      <c r="D145" s="28">
        <v>1</v>
      </c>
      <c r="E145" s="27">
        <v>1.4947683109118087E-3</v>
      </c>
    </row>
    <row r="146" spans="2:5" ht="15" customHeight="1" x14ac:dyDescent="0.25">
      <c r="B146" s="89"/>
      <c r="C146" s="29" t="s">
        <v>61</v>
      </c>
      <c r="D146" s="28">
        <v>1</v>
      </c>
      <c r="E146" s="27">
        <v>1.4947683109118087E-3</v>
      </c>
    </row>
    <row r="147" spans="2:5" ht="15" customHeight="1" x14ac:dyDescent="0.25">
      <c r="B147" s="89"/>
      <c r="C147" s="29" t="s">
        <v>36</v>
      </c>
      <c r="D147" s="28">
        <v>2</v>
      </c>
      <c r="E147" s="27">
        <v>2.9895366218236174E-3</v>
      </c>
    </row>
    <row r="148" spans="2:5" ht="15" customHeight="1" x14ac:dyDescent="0.25">
      <c r="B148" s="89"/>
      <c r="C148" s="29" t="s">
        <v>28</v>
      </c>
      <c r="D148" s="28">
        <v>1</v>
      </c>
      <c r="E148" s="27">
        <v>1.4947683109118087E-3</v>
      </c>
    </row>
    <row r="149" spans="2:5" ht="15" customHeight="1" x14ac:dyDescent="0.25">
      <c r="B149" s="90"/>
      <c r="C149" s="26" t="s">
        <v>23</v>
      </c>
      <c r="D149" s="25">
        <v>7</v>
      </c>
      <c r="E149" s="24">
        <v>1.0463378176382661E-2</v>
      </c>
    </row>
    <row r="150" spans="2:5" ht="15" customHeight="1" x14ac:dyDescent="0.25">
      <c r="B150" s="88" t="s">
        <v>86</v>
      </c>
      <c r="C150" s="29" t="s">
        <v>71</v>
      </c>
      <c r="D150" s="28">
        <v>9</v>
      </c>
      <c r="E150" s="27">
        <v>1.3452914798206279E-2</v>
      </c>
    </row>
    <row r="151" spans="2:5" ht="15" customHeight="1" x14ac:dyDescent="0.25">
      <c r="B151" s="89"/>
      <c r="C151" s="29" t="s">
        <v>70</v>
      </c>
      <c r="D151" s="28">
        <v>1</v>
      </c>
      <c r="E151" s="27">
        <v>1.4947683109118087E-3</v>
      </c>
    </row>
    <row r="152" spans="2:5" ht="15" customHeight="1" x14ac:dyDescent="0.25">
      <c r="B152" s="89"/>
      <c r="C152" s="29" t="s">
        <v>69</v>
      </c>
      <c r="D152" s="28">
        <v>1</v>
      </c>
      <c r="E152" s="27">
        <v>1.4947683109118087E-3</v>
      </c>
    </row>
    <row r="153" spans="2:5" ht="15" customHeight="1" x14ac:dyDescent="0.25">
      <c r="B153" s="89"/>
      <c r="C153" s="29" t="s">
        <v>68</v>
      </c>
      <c r="D153" s="28">
        <v>20</v>
      </c>
      <c r="E153" s="27">
        <v>2.9895366218236172E-2</v>
      </c>
    </row>
    <row r="154" spans="2:5" ht="15" customHeight="1" x14ac:dyDescent="0.25">
      <c r="B154" s="89"/>
      <c r="C154" s="29" t="s">
        <v>67</v>
      </c>
      <c r="D154" s="28">
        <v>1</v>
      </c>
      <c r="E154" s="27">
        <v>1.4947683109118087E-3</v>
      </c>
    </row>
    <row r="155" spans="2:5" ht="15" customHeight="1" x14ac:dyDescent="0.25">
      <c r="B155" s="89"/>
      <c r="C155" s="29" t="s">
        <v>65</v>
      </c>
      <c r="D155" s="28">
        <v>1</v>
      </c>
      <c r="E155" s="27">
        <v>1.4947683109118087E-3</v>
      </c>
    </row>
    <row r="156" spans="2:5" ht="15" customHeight="1" x14ac:dyDescent="0.25">
      <c r="B156" s="89"/>
      <c r="C156" s="29" t="s">
        <v>63</v>
      </c>
      <c r="D156" s="28">
        <v>2</v>
      </c>
      <c r="E156" s="27">
        <v>2.9895366218236174E-3</v>
      </c>
    </row>
    <row r="157" spans="2:5" ht="15" customHeight="1" x14ac:dyDescent="0.25">
      <c r="B157" s="89"/>
      <c r="C157" s="29" t="s">
        <v>62</v>
      </c>
      <c r="D157" s="28">
        <v>4</v>
      </c>
      <c r="E157" s="27">
        <v>5.9790732436472349E-3</v>
      </c>
    </row>
    <row r="158" spans="2:5" ht="15" customHeight="1" x14ac:dyDescent="0.25">
      <c r="B158" s="89"/>
      <c r="C158" s="29" t="s">
        <v>61</v>
      </c>
      <c r="D158" s="28">
        <v>1</v>
      </c>
      <c r="E158" s="27">
        <v>1.4947683109118087E-3</v>
      </c>
    </row>
    <row r="159" spans="2:5" ht="15" customHeight="1" x14ac:dyDescent="0.25">
      <c r="B159" s="89"/>
      <c r="C159" s="29" t="s">
        <v>60</v>
      </c>
      <c r="D159" s="28">
        <v>1</v>
      </c>
      <c r="E159" s="27">
        <v>1.4947683109118087E-3</v>
      </c>
    </row>
    <row r="160" spans="2:5" ht="15" customHeight="1" x14ac:dyDescent="0.25">
      <c r="B160" s="89"/>
      <c r="C160" s="29" t="s">
        <v>56</v>
      </c>
      <c r="D160" s="28">
        <v>1</v>
      </c>
      <c r="E160" s="27">
        <v>1.4947683109118087E-3</v>
      </c>
    </row>
    <row r="161" spans="2:5" ht="15" customHeight="1" x14ac:dyDescent="0.25">
      <c r="B161" s="89"/>
      <c r="C161" s="29" t="s">
        <v>53</v>
      </c>
      <c r="D161" s="28">
        <v>1</v>
      </c>
      <c r="E161" s="27">
        <v>1.4947683109118087E-3</v>
      </c>
    </row>
    <row r="162" spans="2:5" ht="15" customHeight="1" x14ac:dyDescent="0.25">
      <c r="B162" s="89"/>
      <c r="C162" s="29" t="s">
        <v>47</v>
      </c>
      <c r="D162" s="28">
        <v>2</v>
      </c>
      <c r="E162" s="27">
        <v>2.9895366218236174E-3</v>
      </c>
    </row>
    <row r="163" spans="2:5" ht="15" customHeight="1" x14ac:dyDescent="0.25">
      <c r="B163" s="89"/>
      <c r="C163" s="29" t="s">
        <v>46</v>
      </c>
      <c r="D163" s="28">
        <v>1</v>
      </c>
      <c r="E163" s="27">
        <v>1.4947683109118087E-3</v>
      </c>
    </row>
    <row r="164" spans="2:5" ht="15" customHeight="1" x14ac:dyDescent="0.25">
      <c r="B164" s="89"/>
      <c r="C164" s="29" t="s">
        <v>43</v>
      </c>
      <c r="D164" s="28">
        <v>6</v>
      </c>
      <c r="E164" s="27">
        <v>8.9686098654708519E-3</v>
      </c>
    </row>
    <row r="165" spans="2:5" ht="15" customHeight="1" x14ac:dyDescent="0.25">
      <c r="B165" s="89"/>
      <c r="C165" s="29" t="s">
        <v>42</v>
      </c>
      <c r="D165" s="28">
        <v>1</v>
      </c>
      <c r="E165" s="27">
        <v>1.4947683109118087E-3</v>
      </c>
    </row>
    <row r="166" spans="2:5" ht="15" customHeight="1" x14ac:dyDescent="0.25">
      <c r="B166" s="89"/>
      <c r="C166" s="29" t="s">
        <v>38</v>
      </c>
      <c r="D166" s="28">
        <v>2</v>
      </c>
      <c r="E166" s="27">
        <v>2.9895366218236174E-3</v>
      </c>
    </row>
    <row r="167" spans="2:5" ht="15" customHeight="1" x14ac:dyDescent="0.25">
      <c r="B167" s="89"/>
      <c r="C167" s="29" t="s">
        <v>37</v>
      </c>
      <c r="D167" s="28">
        <v>1</v>
      </c>
      <c r="E167" s="27">
        <v>1.4947683109118087E-3</v>
      </c>
    </row>
    <row r="168" spans="2:5" ht="15" customHeight="1" x14ac:dyDescent="0.25">
      <c r="B168" s="89"/>
      <c r="C168" s="29" t="s">
        <v>36</v>
      </c>
      <c r="D168" s="28">
        <v>4</v>
      </c>
      <c r="E168" s="27">
        <v>5.9790732436472349E-3</v>
      </c>
    </row>
    <row r="169" spans="2:5" ht="15" customHeight="1" x14ac:dyDescent="0.25">
      <c r="B169" s="89"/>
      <c r="C169" s="29" t="s">
        <v>35</v>
      </c>
      <c r="D169" s="28">
        <v>2</v>
      </c>
      <c r="E169" s="27">
        <v>2.9895366218236174E-3</v>
      </c>
    </row>
    <row r="170" spans="2:5" ht="15" customHeight="1" x14ac:dyDescent="0.25">
      <c r="B170" s="89"/>
      <c r="C170" s="29" t="s">
        <v>33</v>
      </c>
      <c r="D170" s="28">
        <v>2</v>
      </c>
      <c r="E170" s="27">
        <v>2.9895366218236174E-3</v>
      </c>
    </row>
    <row r="171" spans="2:5" ht="15" customHeight="1" x14ac:dyDescent="0.25">
      <c r="B171" s="89"/>
      <c r="C171" s="29" t="s">
        <v>28</v>
      </c>
      <c r="D171" s="28">
        <v>1</v>
      </c>
      <c r="E171" s="27">
        <v>1.4947683109118087E-3</v>
      </c>
    </row>
    <row r="172" spans="2:5" ht="15" customHeight="1" x14ac:dyDescent="0.25">
      <c r="B172" s="90"/>
      <c r="C172" s="26" t="s">
        <v>23</v>
      </c>
      <c r="D172" s="25">
        <v>65</v>
      </c>
      <c r="E172" s="24">
        <v>9.7159940209267562E-2</v>
      </c>
    </row>
    <row r="173" spans="2:5" ht="15" customHeight="1" x14ac:dyDescent="0.25">
      <c r="B173" s="88" t="s">
        <v>85</v>
      </c>
      <c r="C173" s="29" t="s">
        <v>71</v>
      </c>
      <c r="D173" s="28">
        <v>7</v>
      </c>
      <c r="E173" s="27">
        <v>1.0463378176382661E-2</v>
      </c>
    </row>
    <row r="174" spans="2:5" ht="15" customHeight="1" x14ac:dyDescent="0.25">
      <c r="B174" s="89"/>
      <c r="C174" s="29" t="s">
        <v>70</v>
      </c>
      <c r="D174" s="28">
        <v>2</v>
      </c>
      <c r="E174" s="27">
        <v>2.9895366218236174E-3</v>
      </c>
    </row>
    <row r="175" spans="2:5" ht="15" customHeight="1" x14ac:dyDescent="0.25">
      <c r="B175" s="89"/>
      <c r="C175" s="29" t="s">
        <v>69</v>
      </c>
      <c r="D175" s="28">
        <v>1</v>
      </c>
      <c r="E175" s="27">
        <v>1.4947683109118087E-3</v>
      </c>
    </row>
    <row r="176" spans="2:5" ht="15" customHeight="1" x14ac:dyDescent="0.25">
      <c r="B176" s="89"/>
      <c r="C176" s="29" t="s">
        <v>68</v>
      </c>
      <c r="D176" s="28">
        <v>46</v>
      </c>
      <c r="E176" s="27">
        <v>6.8759342301943194E-2</v>
      </c>
    </row>
    <row r="177" spans="2:5" ht="15" customHeight="1" x14ac:dyDescent="0.25">
      <c r="B177" s="89"/>
      <c r="C177" s="29" t="s">
        <v>67</v>
      </c>
      <c r="D177" s="28">
        <v>4</v>
      </c>
      <c r="E177" s="27">
        <v>5.9790732436472349E-3</v>
      </c>
    </row>
    <row r="178" spans="2:5" ht="15" customHeight="1" x14ac:dyDescent="0.25">
      <c r="B178" s="89"/>
      <c r="C178" s="29" t="s">
        <v>63</v>
      </c>
      <c r="D178" s="28">
        <v>2</v>
      </c>
      <c r="E178" s="27">
        <v>2.9895366218236174E-3</v>
      </c>
    </row>
    <row r="179" spans="2:5" ht="15" customHeight="1" x14ac:dyDescent="0.25">
      <c r="B179" s="89"/>
      <c r="C179" s="29" t="s">
        <v>62</v>
      </c>
      <c r="D179" s="28">
        <v>9</v>
      </c>
      <c r="E179" s="27">
        <v>1.3452914798206279E-2</v>
      </c>
    </row>
    <row r="180" spans="2:5" ht="15" customHeight="1" x14ac:dyDescent="0.25">
      <c r="B180" s="89"/>
      <c r="C180" s="29" t="s">
        <v>61</v>
      </c>
      <c r="D180" s="28">
        <v>3</v>
      </c>
      <c r="E180" s="27">
        <v>4.4843049327354259E-3</v>
      </c>
    </row>
    <row r="181" spans="2:5" ht="15" customHeight="1" x14ac:dyDescent="0.25">
      <c r="B181" s="89"/>
      <c r="C181" s="29" t="s">
        <v>59</v>
      </c>
      <c r="D181" s="28">
        <v>1</v>
      </c>
      <c r="E181" s="27">
        <v>1.4947683109118087E-3</v>
      </c>
    </row>
    <row r="182" spans="2:5" ht="15" customHeight="1" x14ac:dyDescent="0.25">
      <c r="B182" s="89"/>
      <c r="C182" s="29" t="s">
        <v>58</v>
      </c>
      <c r="D182" s="28">
        <v>4</v>
      </c>
      <c r="E182" s="27">
        <v>5.9790732436472349E-3</v>
      </c>
    </row>
    <row r="183" spans="2:5" ht="15" customHeight="1" x14ac:dyDescent="0.25">
      <c r="B183" s="89"/>
      <c r="C183" s="29" t="s">
        <v>56</v>
      </c>
      <c r="D183" s="28">
        <v>2</v>
      </c>
      <c r="E183" s="27">
        <v>2.9895366218236174E-3</v>
      </c>
    </row>
    <row r="184" spans="2:5" ht="15" customHeight="1" x14ac:dyDescent="0.25">
      <c r="B184" s="89"/>
      <c r="C184" s="29" t="s">
        <v>55</v>
      </c>
      <c r="D184" s="28">
        <v>1</v>
      </c>
      <c r="E184" s="27">
        <v>1.4947683109118087E-3</v>
      </c>
    </row>
    <row r="185" spans="2:5" ht="15" customHeight="1" x14ac:dyDescent="0.25">
      <c r="B185" s="89"/>
      <c r="C185" s="29" t="s">
        <v>54</v>
      </c>
      <c r="D185" s="28">
        <v>1</v>
      </c>
      <c r="E185" s="27">
        <v>1.4947683109118087E-3</v>
      </c>
    </row>
    <row r="186" spans="2:5" ht="15" customHeight="1" x14ac:dyDescent="0.25">
      <c r="B186" s="89"/>
      <c r="C186" s="29" t="s">
        <v>53</v>
      </c>
      <c r="D186" s="28">
        <v>1</v>
      </c>
      <c r="E186" s="27">
        <v>1.4947683109118087E-3</v>
      </c>
    </row>
    <row r="187" spans="2:5" ht="15" customHeight="1" x14ac:dyDescent="0.25">
      <c r="B187" s="89"/>
      <c r="C187" s="29" t="s">
        <v>52</v>
      </c>
      <c r="D187" s="28">
        <v>3</v>
      </c>
      <c r="E187" s="27">
        <v>4.4843049327354259E-3</v>
      </c>
    </row>
    <row r="188" spans="2:5" ht="15" customHeight="1" x14ac:dyDescent="0.25">
      <c r="B188" s="89"/>
      <c r="C188" s="29" t="s">
        <v>50</v>
      </c>
      <c r="D188" s="28">
        <v>1</v>
      </c>
      <c r="E188" s="27">
        <v>1.4947683109118087E-3</v>
      </c>
    </row>
    <row r="189" spans="2:5" ht="15" customHeight="1" x14ac:dyDescent="0.25">
      <c r="B189" s="89"/>
      <c r="C189" s="29" t="s">
        <v>49</v>
      </c>
      <c r="D189" s="28">
        <v>2</v>
      </c>
      <c r="E189" s="27">
        <v>2.9895366218236174E-3</v>
      </c>
    </row>
    <row r="190" spans="2:5" ht="15" customHeight="1" x14ac:dyDescent="0.25">
      <c r="B190" s="89"/>
      <c r="C190" s="29" t="s">
        <v>47</v>
      </c>
      <c r="D190" s="28">
        <v>2</v>
      </c>
      <c r="E190" s="27">
        <v>2.9895366218236174E-3</v>
      </c>
    </row>
    <row r="191" spans="2:5" ht="15" customHeight="1" x14ac:dyDescent="0.25">
      <c r="B191" s="89"/>
      <c r="C191" s="29" t="s">
        <v>45</v>
      </c>
      <c r="D191" s="28">
        <v>2</v>
      </c>
      <c r="E191" s="27">
        <v>2.9895366218236174E-3</v>
      </c>
    </row>
    <row r="192" spans="2:5" ht="15" customHeight="1" x14ac:dyDescent="0.25">
      <c r="B192" s="89"/>
      <c r="C192" s="29" t="s">
        <v>44</v>
      </c>
      <c r="D192" s="28">
        <v>1</v>
      </c>
      <c r="E192" s="27">
        <v>1.4947683109118087E-3</v>
      </c>
    </row>
    <row r="193" spans="2:5" ht="15" customHeight="1" x14ac:dyDescent="0.25">
      <c r="B193" s="89"/>
      <c r="C193" s="29" t="s">
        <v>42</v>
      </c>
      <c r="D193" s="28">
        <v>1</v>
      </c>
      <c r="E193" s="27">
        <v>1.4947683109118087E-3</v>
      </c>
    </row>
    <row r="194" spans="2:5" ht="15" customHeight="1" x14ac:dyDescent="0.25">
      <c r="B194" s="89"/>
      <c r="C194" s="29" t="s">
        <v>41</v>
      </c>
      <c r="D194" s="28">
        <v>2</v>
      </c>
      <c r="E194" s="27">
        <v>2.9895366218236174E-3</v>
      </c>
    </row>
    <row r="195" spans="2:5" ht="15" customHeight="1" x14ac:dyDescent="0.25">
      <c r="B195" s="89"/>
      <c r="C195" s="29" t="s">
        <v>40</v>
      </c>
      <c r="D195" s="28">
        <v>4</v>
      </c>
      <c r="E195" s="27">
        <v>5.9790732436472349E-3</v>
      </c>
    </row>
    <row r="196" spans="2:5" ht="15" customHeight="1" x14ac:dyDescent="0.25">
      <c r="B196" s="89"/>
      <c r="C196" s="29" t="s">
        <v>39</v>
      </c>
      <c r="D196" s="28">
        <v>2</v>
      </c>
      <c r="E196" s="27">
        <v>2.9895366218236174E-3</v>
      </c>
    </row>
    <row r="197" spans="2:5" ht="15" customHeight="1" x14ac:dyDescent="0.25">
      <c r="B197" s="89"/>
      <c r="C197" s="29" t="s">
        <v>38</v>
      </c>
      <c r="D197" s="28">
        <v>2</v>
      </c>
      <c r="E197" s="27">
        <v>2.9895366218236174E-3</v>
      </c>
    </row>
    <row r="198" spans="2:5" ht="15" customHeight="1" x14ac:dyDescent="0.25">
      <c r="B198" s="89"/>
      <c r="C198" s="29" t="s">
        <v>37</v>
      </c>
      <c r="D198" s="28">
        <v>4</v>
      </c>
      <c r="E198" s="27">
        <v>5.9790732436472349E-3</v>
      </c>
    </row>
    <row r="199" spans="2:5" ht="15" customHeight="1" x14ac:dyDescent="0.25">
      <c r="B199" s="89"/>
      <c r="C199" s="29" t="s">
        <v>36</v>
      </c>
      <c r="D199" s="28">
        <v>25</v>
      </c>
      <c r="E199" s="27">
        <v>3.7369207772795218E-2</v>
      </c>
    </row>
    <row r="200" spans="2:5" ht="15" customHeight="1" x14ac:dyDescent="0.25">
      <c r="B200" s="89"/>
      <c r="C200" s="29" t="s">
        <v>35</v>
      </c>
      <c r="D200" s="28">
        <v>4</v>
      </c>
      <c r="E200" s="27">
        <v>5.9790732436472349E-3</v>
      </c>
    </row>
    <row r="201" spans="2:5" ht="15" customHeight="1" x14ac:dyDescent="0.25">
      <c r="B201" s="89"/>
      <c r="C201" s="29" t="s">
        <v>33</v>
      </c>
      <c r="D201" s="28">
        <v>2</v>
      </c>
      <c r="E201" s="27">
        <v>2.9895366218236174E-3</v>
      </c>
    </row>
    <row r="202" spans="2:5" ht="15" customHeight="1" x14ac:dyDescent="0.25">
      <c r="B202" s="89"/>
      <c r="C202" s="29" t="s">
        <v>28</v>
      </c>
      <c r="D202" s="28">
        <v>2</v>
      </c>
      <c r="E202" s="27">
        <v>2.9895366218236174E-3</v>
      </c>
    </row>
    <row r="203" spans="2:5" ht="15" customHeight="1" x14ac:dyDescent="0.25">
      <c r="B203" s="89"/>
      <c r="C203" s="29" t="s">
        <v>25</v>
      </c>
      <c r="D203" s="28">
        <v>1</v>
      </c>
      <c r="E203" s="27">
        <v>1.4947683109118087E-3</v>
      </c>
    </row>
    <row r="204" spans="2:5" ht="15" customHeight="1" x14ac:dyDescent="0.25">
      <c r="B204" s="90"/>
      <c r="C204" s="26" t="s">
        <v>23</v>
      </c>
      <c r="D204" s="25">
        <v>144</v>
      </c>
      <c r="E204" s="24">
        <v>0.21524663677130046</v>
      </c>
    </row>
    <row r="205" spans="2:5" ht="15" customHeight="1" x14ac:dyDescent="0.25">
      <c r="B205" s="88" t="s">
        <v>84</v>
      </c>
      <c r="C205" s="29" t="s">
        <v>71</v>
      </c>
      <c r="D205" s="28">
        <v>1</v>
      </c>
      <c r="E205" s="27">
        <v>1.4947683109118087E-3</v>
      </c>
    </row>
    <row r="206" spans="2:5" ht="15" customHeight="1" x14ac:dyDescent="0.25">
      <c r="B206" s="89"/>
      <c r="C206" s="29" t="s">
        <v>68</v>
      </c>
      <c r="D206" s="28">
        <v>1</v>
      </c>
      <c r="E206" s="27">
        <v>1.4947683109118087E-3</v>
      </c>
    </row>
    <row r="207" spans="2:5" ht="15" customHeight="1" x14ac:dyDescent="0.25">
      <c r="B207" s="89"/>
      <c r="C207" s="29" t="s">
        <v>62</v>
      </c>
      <c r="D207" s="28">
        <v>1</v>
      </c>
      <c r="E207" s="27">
        <v>1.4947683109118087E-3</v>
      </c>
    </row>
    <row r="208" spans="2:5" ht="15" customHeight="1" x14ac:dyDescent="0.25">
      <c r="B208" s="89"/>
      <c r="C208" s="29" t="s">
        <v>43</v>
      </c>
      <c r="D208" s="28">
        <v>1</v>
      </c>
      <c r="E208" s="27">
        <v>1.4947683109118087E-3</v>
      </c>
    </row>
    <row r="209" spans="2:5" ht="15" customHeight="1" x14ac:dyDescent="0.25">
      <c r="B209" s="90"/>
      <c r="C209" s="26" t="s">
        <v>23</v>
      </c>
      <c r="D209" s="25">
        <v>4</v>
      </c>
      <c r="E209" s="24">
        <v>5.9790732436472349E-3</v>
      </c>
    </row>
    <row r="210" spans="2:5" ht="15" customHeight="1" x14ac:dyDescent="0.25">
      <c r="B210" s="88" t="s">
        <v>83</v>
      </c>
      <c r="C210" s="29" t="s">
        <v>68</v>
      </c>
      <c r="D210" s="28">
        <v>1</v>
      </c>
      <c r="E210" s="27">
        <v>1.4947683109118087E-3</v>
      </c>
    </row>
    <row r="211" spans="2:5" ht="15" customHeight="1" x14ac:dyDescent="0.25">
      <c r="B211" s="89"/>
      <c r="C211" s="29" t="s">
        <v>66</v>
      </c>
      <c r="D211" s="28">
        <v>1</v>
      </c>
      <c r="E211" s="27">
        <v>1.4947683109118087E-3</v>
      </c>
    </row>
    <row r="212" spans="2:5" ht="15" customHeight="1" x14ac:dyDescent="0.25">
      <c r="B212" s="89"/>
      <c r="C212" s="29" t="s">
        <v>58</v>
      </c>
      <c r="D212" s="28">
        <v>1</v>
      </c>
      <c r="E212" s="27">
        <v>1.4947683109118087E-3</v>
      </c>
    </row>
    <row r="213" spans="2:5" ht="15" customHeight="1" x14ac:dyDescent="0.25">
      <c r="B213" s="89"/>
      <c r="C213" s="29" t="s">
        <v>36</v>
      </c>
      <c r="D213" s="28">
        <v>1</v>
      </c>
      <c r="E213" s="27">
        <v>1.4947683109118087E-3</v>
      </c>
    </row>
    <row r="214" spans="2:5" ht="15" customHeight="1" x14ac:dyDescent="0.25">
      <c r="B214" s="89"/>
      <c r="C214" s="29" t="s">
        <v>35</v>
      </c>
      <c r="D214" s="28">
        <v>1</v>
      </c>
      <c r="E214" s="27">
        <v>1.4947683109118087E-3</v>
      </c>
    </row>
    <row r="215" spans="2:5" ht="15" customHeight="1" x14ac:dyDescent="0.25">
      <c r="B215" s="90"/>
      <c r="C215" s="26" t="s">
        <v>23</v>
      </c>
      <c r="D215" s="25">
        <v>5</v>
      </c>
      <c r="E215" s="24">
        <v>7.4738415545590429E-3</v>
      </c>
    </row>
    <row r="216" spans="2:5" ht="15" customHeight="1" x14ac:dyDescent="0.25">
      <c r="B216" s="88" t="s">
        <v>80</v>
      </c>
      <c r="C216" s="29" t="s">
        <v>71</v>
      </c>
      <c r="D216" s="28">
        <v>1</v>
      </c>
      <c r="E216" s="27">
        <v>1.4947683109118087E-3</v>
      </c>
    </row>
    <row r="217" spans="2:5" ht="15" customHeight="1" x14ac:dyDescent="0.25">
      <c r="B217" s="89"/>
      <c r="C217" s="29" t="s">
        <v>68</v>
      </c>
      <c r="D217" s="28">
        <v>3</v>
      </c>
      <c r="E217" s="27">
        <v>4.4843049327354259E-3</v>
      </c>
    </row>
    <row r="218" spans="2:5" ht="15" customHeight="1" x14ac:dyDescent="0.25">
      <c r="B218" s="89"/>
      <c r="C218" s="29" t="s">
        <v>59</v>
      </c>
      <c r="D218" s="28">
        <v>1</v>
      </c>
      <c r="E218" s="27">
        <v>1.4947683109118087E-3</v>
      </c>
    </row>
    <row r="219" spans="2:5" ht="15" customHeight="1" x14ac:dyDescent="0.25">
      <c r="B219" s="89"/>
      <c r="C219" s="29" t="s">
        <v>52</v>
      </c>
      <c r="D219" s="28">
        <v>1</v>
      </c>
      <c r="E219" s="27">
        <v>1.4947683109118087E-3</v>
      </c>
    </row>
    <row r="220" spans="2:5" ht="15" customHeight="1" x14ac:dyDescent="0.25">
      <c r="B220" s="89"/>
      <c r="C220" s="29" t="s">
        <v>43</v>
      </c>
      <c r="D220" s="28">
        <v>4</v>
      </c>
      <c r="E220" s="27">
        <v>5.9790732436472349E-3</v>
      </c>
    </row>
    <row r="221" spans="2:5" ht="15" customHeight="1" x14ac:dyDescent="0.25">
      <c r="B221" s="89"/>
      <c r="C221" s="29" t="s">
        <v>36</v>
      </c>
      <c r="D221" s="28">
        <v>2</v>
      </c>
      <c r="E221" s="27">
        <v>2.9895366218236174E-3</v>
      </c>
    </row>
    <row r="222" spans="2:5" ht="15" customHeight="1" x14ac:dyDescent="0.25">
      <c r="B222" s="90"/>
      <c r="C222" s="26" t="s">
        <v>23</v>
      </c>
      <c r="D222" s="25">
        <v>12</v>
      </c>
      <c r="E222" s="24">
        <v>1.7937219730941704E-2</v>
      </c>
    </row>
    <row r="223" spans="2:5" ht="15" customHeight="1" x14ac:dyDescent="0.25">
      <c r="B223" s="88" t="s">
        <v>79</v>
      </c>
      <c r="C223" s="29" t="s">
        <v>71</v>
      </c>
      <c r="D223" s="28">
        <v>1</v>
      </c>
      <c r="E223" s="27">
        <v>1.4947683109118087E-3</v>
      </c>
    </row>
    <row r="224" spans="2:5" ht="15" customHeight="1" x14ac:dyDescent="0.25">
      <c r="B224" s="89"/>
      <c r="C224" s="29" t="s">
        <v>68</v>
      </c>
      <c r="D224" s="28">
        <v>3</v>
      </c>
      <c r="E224" s="27">
        <v>4.4843049327354259E-3</v>
      </c>
    </row>
    <row r="225" spans="2:5" ht="15" customHeight="1" x14ac:dyDescent="0.25">
      <c r="B225" s="89"/>
      <c r="C225" s="29" t="s">
        <v>64</v>
      </c>
      <c r="D225" s="28">
        <v>1</v>
      </c>
      <c r="E225" s="27">
        <v>1.4947683109118087E-3</v>
      </c>
    </row>
    <row r="226" spans="2:5" ht="15" customHeight="1" x14ac:dyDescent="0.25">
      <c r="B226" s="89"/>
      <c r="C226" s="29" t="s">
        <v>62</v>
      </c>
      <c r="D226" s="28">
        <v>1</v>
      </c>
      <c r="E226" s="27">
        <v>1.4947683109118087E-3</v>
      </c>
    </row>
    <row r="227" spans="2:5" ht="15" customHeight="1" x14ac:dyDescent="0.25">
      <c r="B227" s="89"/>
      <c r="C227" s="29" t="s">
        <v>53</v>
      </c>
      <c r="D227" s="28">
        <v>1</v>
      </c>
      <c r="E227" s="27">
        <v>1.4947683109118087E-3</v>
      </c>
    </row>
    <row r="228" spans="2:5" ht="15" customHeight="1" x14ac:dyDescent="0.25">
      <c r="B228" s="89"/>
      <c r="C228" s="29" t="s">
        <v>45</v>
      </c>
      <c r="D228" s="28">
        <v>1</v>
      </c>
      <c r="E228" s="27">
        <v>1.4947683109118087E-3</v>
      </c>
    </row>
    <row r="229" spans="2:5" ht="15" customHeight="1" x14ac:dyDescent="0.25">
      <c r="B229" s="89"/>
      <c r="C229" s="29" t="s">
        <v>41</v>
      </c>
      <c r="D229" s="28">
        <v>1</v>
      </c>
      <c r="E229" s="27">
        <v>1.4947683109118087E-3</v>
      </c>
    </row>
    <row r="230" spans="2:5" ht="15" customHeight="1" x14ac:dyDescent="0.25">
      <c r="B230" s="89"/>
      <c r="C230" s="29" t="s">
        <v>40</v>
      </c>
      <c r="D230" s="28">
        <v>1</v>
      </c>
      <c r="E230" s="27">
        <v>1.4947683109118087E-3</v>
      </c>
    </row>
    <row r="231" spans="2:5" ht="15" customHeight="1" x14ac:dyDescent="0.25">
      <c r="B231" s="89"/>
      <c r="C231" s="29" t="s">
        <v>36</v>
      </c>
      <c r="D231" s="28">
        <v>5</v>
      </c>
      <c r="E231" s="27">
        <v>7.4738415545590429E-3</v>
      </c>
    </row>
    <row r="232" spans="2:5" ht="15" customHeight="1" x14ac:dyDescent="0.25">
      <c r="B232" s="89"/>
      <c r="C232" s="29" t="s">
        <v>33</v>
      </c>
      <c r="D232" s="28">
        <v>1</v>
      </c>
      <c r="E232" s="27">
        <v>1.4947683109118087E-3</v>
      </c>
    </row>
    <row r="233" spans="2:5" ht="15" customHeight="1" x14ac:dyDescent="0.25">
      <c r="B233" s="89"/>
      <c r="C233" s="29" t="s">
        <v>25</v>
      </c>
      <c r="D233" s="28">
        <v>1</v>
      </c>
      <c r="E233" s="27">
        <v>1.4947683109118087E-3</v>
      </c>
    </row>
    <row r="234" spans="2:5" ht="15" customHeight="1" x14ac:dyDescent="0.25">
      <c r="B234" s="90"/>
      <c r="C234" s="26" t="s">
        <v>23</v>
      </c>
      <c r="D234" s="25">
        <v>17</v>
      </c>
      <c r="E234" s="24">
        <v>2.5411061285500747E-2</v>
      </c>
    </row>
    <row r="235" spans="2:5" ht="15" customHeight="1" x14ac:dyDescent="0.25">
      <c r="B235" s="91" t="s">
        <v>23</v>
      </c>
      <c r="C235" s="92"/>
      <c r="D235" s="23">
        <v>669</v>
      </c>
      <c r="E235" s="22">
        <v>1</v>
      </c>
    </row>
    <row r="237" spans="2:5" ht="15" customHeight="1" x14ac:dyDescent="0.25">
      <c r="B237" s="19" t="s">
        <v>22</v>
      </c>
    </row>
    <row r="238" spans="2:5" ht="15" customHeight="1" x14ac:dyDescent="0.25">
      <c r="B238" s="21" t="s">
        <v>21</v>
      </c>
    </row>
    <row r="239" spans="2:5" ht="15" customHeight="1" x14ac:dyDescent="0.25">
      <c r="B239" s="20" t="s">
        <v>20</v>
      </c>
    </row>
    <row r="240" spans="2:5" ht="15" customHeight="1" x14ac:dyDescent="0.25">
      <c r="B240" s="19" t="s">
        <v>19</v>
      </c>
    </row>
    <row r="241" spans="2:2" ht="15" customHeight="1" x14ac:dyDescent="0.25">
      <c r="B241" s="19" t="s">
        <v>18</v>
      </c>
    </row>
  </sheetData>
  <mergeCells count="22">
    <mergeCell ref="B235:C235"/>
    <mergeCell ref="B99:B113"/>
    <mergeCell ref="B114:B143"/>
    <mergeCell ref="B144:B149"/>
    <mergeCell ref="B150:B172"/>
    <mergeCell ref="B173:B204"/>
    <mergeCell ref="B205:B209"/>
    <mergeCell ref="B27:B32"/>
    <mergeCell ref="B33:B39"/>
    <mergeCell ref="B40:B44"/>
    <mergeCell ref="B45:B62"/>
    <mergeCell ref="B63:B84"/>
    <mergeCell ref="B85:B89"/>
    <mergeCell ref="B90:B98"/>
    <mergeCell ref="B210:B215"/>
    <mergeCell ref="B216:B222"/>
    <mergeCell ref="B223:B234"/>
    <mergeCell ref="B7:E8"/>
    <mergeCell ref="B10:B11"/>
    <mergeCell ref="B12:B16"/>
    <mergeCell ref="B17:B18"/>
    <mergeCell ref="B19:B2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6" manualBreakCount="6">
    <brk id="44" max="4" man="1"/>
    <brk id="84" max="4" man="1"/>
    <brk id="113" max="4" man="1"/>
    <brk id="149" max="4" man="1"/>
    <brk id="172" max="4" man="1"/>
    <brk id="215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97"/>
  <sheetViews>
    <sheetView view="pageBreakPreview" zoomScale="85" zoomScaleNormal="145" zoomScaleSheetLayoutView="85" workbookViewId="0">
      <selection activeCell="H15" sqref="H15"/>
    </sheetView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34" style="18" customWidth="1"/>
    <col min="6" max="16384" width="35" style="17"/>
  </cols>
  <sheetData>
    <row r="1" spans="1:5" s="38" customFormat="1" ht="12" customHeight="1" x14ac:dyDescent="0.2">
      <c r="B1" s="42"/>
      <c r="C1" s="41"/>
      <c r="D1" s="41"/>
      <c r="E1" s="41"/>
    </row>
    <row r="2" spans="1:5" s="38" customFormat="1" ht="15" customHeight="1" x14ac:dyDescent="0.2">
      <c r="C2" s="40"/>
    </row>
    <row r="3" spans="1:5" s="38" customFormat="1" ht="15" customHeight="1" x14ac:dyDescent="0.2">
      <c r="C3" s="40"/>
    </row>
    <row r="4" spans="1:5" s="38" customFormat="1" ht="30" customHeight="1" x14ac:dyDescent="0.2">
      <c r="C4" s="40"/>
      <c r="D4" s="39"/>
    </row>
    <row r="5" spans="1:5" s="38" customFormat="1" ht="15" customHeight="1" x14ac:dyDescent="0.2">
      <c r="C5" s="40"/>
      <c r="D5" s="39"/>
    </row>
    <row r="6" spans="1:5" s="35" customFormat="1" ht="24" customHeight="1" x14ac:dyDescent="0.2">
      <c r="B6" s="37"/>
      <c r="C6" s="30"/>
      <c r="D6" s="30"/>
      <c r="E6" s="30"/>
    </row>
    <row r="7" spans="1:5" s="35" customFormat="1" ht="26.25" customHeight="1" x14ac:dyDescent="0.3">
      <c r="A7" s="36"/>
      <c r="B7" s="87"/>
      <c r="C7" s="87"/>
      <c r="D7" s="87"/>
      <c r="E7" s="87"/>
    </row>
    <row r="8" spans="1:5" s="35" customFormat="1" ht="33" customHeight="1" x14ac:dyDescent="0.3">
      <c r="A8" s="36"/>
      <c r="B8" s="87"/>
      <c r="C8" s="87"/>
      <c r="D8" s="87"/>
      <c r="E8" s="87"/>
    </row>
    <row r="9" spans="1:5" s="31" customFormat="1" ht="40.5" customHeight="1" x14ac:dyDescent="0.2">
      <c r="B9" s="32" t="s">
        <v>147</v>
      </c>
      <c r="C9" s="34" t="s">
        <v>102</v>
      </c>
      <c r="D9" s="33" t="s">
        <v>73</v>
      </c>
      <c r="E9" s="32" t="s">
        <v>72</v>
      </c>
    </row>
    <row r="10" spans="1:5" ht="15" customHeight="1" x14ac:dyDescent="0.25">
      <c r="B10" s="88" t="s">
        <v>146</v>
      </c>
      <c r="C10" s="29" t="s">
        <v>85</v>
      </c>
      <c r="D10" s="28">
        <v>2</v>
      </c>
      <c r="E10" s="27">
        <v>3.003003003003003E-3</v>
      </c>
    </row>
    <row r="11" spans="1:5" ht="15" customHeight="1" x14ac:dyDescent="0.25">
      <c r="B11" s="89"/>
      <c r="C11" s="29" t="s">
        <v>79</v>
      </c>
      <c r="D11" s="28">
        <v>1</v>
      </c>
      <c r="E11" s="27">
        <v>1.5015015015015015E-3</v>
      </c>
    </row>
    <row r="12" spans="1:5" ht="15" customHeight="1" x14ac:dyDescent="0.25">
      <c r="B12" s="90"/>
      <c r="C12" s="26" t="s">
        <v>23</v>
      </c>
      <c r="D12" s="25">
        <v>3</v>
      </c>
      <c r="E12" s="24">
        <v>4.5045045045045045E-3</v>
      </c>
    </row>
    <row r="13" spans="1:5" ht="15" customHeight="1" x14ac:dyDescent="0.25">
      <c r="B13" s="88" t="s">
        <v>145</v>
      </c>
      <c r="C13" s="29" t="s">
        <v>98</v>
      </c>
      <c r="D13" s="28">
        <v>1</v>
      </c>
      <c r="E13" s="27">
        <v>1.5015015015015015E-3</v>
      </c>
    </row>
    <row r="14" spans="1:5" ht="15" customHeight="1" x14ac:dyDescent="0.25">
      <c r="B14" s="89"/>
      <c r="C14" s="29" t="s">
        <v>97</v>
      </c>
      <c r="D14" s="28">
        <v>1</v>
      </c>
      <c r="E14" s="27">
        <v>1.5015015015015015E-3</v>
      </c>
    </row>
    <row r="15" spans="1:5" ht="15" customHeight="1" x14ac:dyDescent="0.25">
      <c r="B15" s="89"/>
      <c r="C15" s="29" t="s">
        <v>94</v>
      </c>
      <c r="D15" s="28">
        <v>1</v>
      </c>
      <c r="E15" s="27">
        <v>1.5015015015015015E-3</v>
      </c>
    </row>
    <row r="16" spans="1:5" ht="15" customHeight="1" x14ac:dyDescent="0.25">
      <c r="B16" s="89"/>
      <c r="C16" s="29" t="s">
        <v>93</v>
      </c>
      <c r="D16" s="28">
        <v>7</v>
      </c>
      <c r="E16" s="27">
        <v>1.0510510510510511E-2</v>
      </c>
    </row>
    <row r="17" spans="2:5" ht="15" customHeight="1" x14ac:dyDescent="0.25">
      <c r="B17" s="89"/>
      <c r="C17" s="29" t="s">
        <v>92</v>
      </c>
      <c r="D17" s="28">
        <v>13</v>
      </c>
      <c r="E17" s="27">
        <v>1.951951951951952E-2</v>
      </c>
    </row>
    <row r="18" spans="2:5" ht="15" customHeight="1" x14ac:dyDescent="0.25">
      <c r="B18" s="89"/>
      <c r="C18" s="29" t="s">
        <v>91</v>
      </c>
      <c r="D18" s="28">
        <v>3</v>
      </c>
      <c r="E18" s="27">
        <v>4.5045045045045045E-3</v>
      </c>
    </row>
    <row r="19" spans="2:5" ht="15" customHeight="1" x14ac:dyDescent="0.25">
      <c r="B19" s="89"/>
      <c r="C19" s="29" t="s">
        <v>90</v>
      </c>
      <c r="D19" s="28">
        <v>2</v>
      </c>
      <c r="E19" s="27">
        <v>3.003003003003003E-3</v>
      </c>
    </row>
    <row r="20" spans="2:5" ht="15" customHeight="1" x14ac:dyDescent="0.25">
      <c r="B20" s="89"/>
      <c r="C20" s="29" t="s">
        <v>89</v>
      </c>
      <c r="D20" s="28">
        <v>2</v>
      </c>
      <c r="E20" s="27">
        <v>3.003003003003003E-3</v>
      </c>
    </row>
    <row r="21" spans="2:5" ht="15" customHeight="1" x14ac:dyDescent="0.25">
      <c r="B21" s="89"/>
      <c r="C21" s="29" t="s">
        <v>88</v>
      </c>
      <c r="D21" s="28">
        <v>31</v>
      </c>
      <c r="E21" s="27">
        <v>4.6546546546546545E-2</v>
      </c>
    </row>
    <row r="22" spans="2:5" ht="15" customHeight="1" x14ac:dyDescent="0.25">
      <c r="B22" s="89"/>
      <c r="C22" s="29" t="s">
        <v>87</v>
      </c>
      <c r="D22" s="28">
        <v>1</v>
      </c>
      <c r="E22" s="27">
        <v>1.5015015015015015E-3</v>
      </c>
    </row>
    <row r="23" spans="2:5" ht="15" customHeight="1" x14ac:dyDescent="0.25">
      <c r="B23" s="89"/>
      <c r="C23" s="29" t="s">
        <v>86</v>
      </c>
      <c r="D23" s="28">
        <v>14</v>
      </c>
      <c r="E23" s="27">
        <v>2.1021021021021023E-2</v>
      </c>
    </row>
    <row r="24" spans="2:5" ht="15" customHeight="1" x14ac:dyDescent="0.25">
      <c r="B24" s="89"/>
      <c r="C24" s="29" t="s">
        <v>85</v>
      </c>
      <c r="D24" s="28">
        <v>18</v>
      </c>
      <c r="E24" s="27">
        <v>2.7027027027027029E-2</v>
      </c>
    </row>
    <row r="25" spans="2:5" ht="15" customHeight="1" x14ac:dyDescent="0.25">
      <c r="B25" s="89"/>
      <c r="C25" s="29" t="s">
        <v>84</v>
      </c>
      <c r="D25" s="28">
        <v>2</v>
      </c>
      <c r="E25" s="27">
        <v>3.003003003003003E-3</v>
      </c>
    </row>
    <row r="26" spans="2:5" ht="15" customHeight="1" x14ac:dyDescent="0.25">
      <c r="B26" s="89"/>
      <c r="C26" s="29" t="s">
        <v>80</v>
      </c>
      <c r="D26" s="28">
        <v>1</v>
      </c>
      <c r="E26" s="27">
        <v>1.5015015015015015E-3</v>
      </c>
    </row>
    <row r="27" spans="2:5" ht="15" customHeight="1" x14ac:dyDescent="0.25">
      <c r="B27" s="89"/>
      <c r="C27" s="29" t="s">
        <v>79</v>
      </c>
      <c r="D27" s="28">
        <v>2</v>
      </c>
      <c r="E27" s="27">
        <v>3.003003003003003E-3</v>
      </c>
    </row>
    <row r="28" spans="2:5" ht="15" customHeight="1" x14ac:dyDescent="0.25">
      <c r="B28" s="90"/>
      <c r="C28" s="26" t="s">
        <v>23</v>
      </c>
      <c r="D28" s="25">
        <v>99</v>
      </c>
      <c r="E28" s="24">
        <v>0.14864864864864866</v>
      </c>
    </row>
    <row r="29" spans="2:5" ht="15" customHeight="1" x14ac:dyDescent="0.25">
      <c r="B29" s="88" t="s">
        <v>144</v>
      </c>
      <c r="C29" s="29" t="s">
        <v>95</v>
      </c>
      <c r="D29" s="28">
        <v>1</v>
      </c>
      <c r="E29" s="27">
        <v>1.5015015015015015E-3</v>
      </c>
    </row>
    <row r="30" spans="2:5" ht="15" customHeight="1" x14ac:dyDescent="0.25">
      <c r="B30" s="89"/>
      <c r="C30" s="29" t="s">
        <v>93</v>
      </c>
      <c r="D30" s="28">
        <v>1</v>
      </c>
      <c r="E30" s="27">
        <v>1.5015015015015015E-3</v>
      </c>
    </row>
    <row r="31" spans="2:5" ht="15" customHeight="1" x14ac:dyDescent="0.25">
      <c r="B31" s="89"/>
      <c r="C31" s="29" t="s">
        <v>88</v>
      </c>
      <c r="D31" s="28">
        <v>4</v>
      </c>
      <c r="E31" s="27">
        <v>6.006006006006006E-3</v>
      </c>
    </row>
    <row r="32" spans="2:5" ht="15" customHeight="1" x14ac:dyDescent="0.25">
      <c r="B32" s="89"/>
      <c r="C32" s="29" t="s">
        <v>85</v>
      </c>
      <c r="D32" s="28">
        <v>5</v>
      </c>
      <c r="E32" s="27">
        <v>7.5075075075075074E-3</v>
      </c>
    </row>
    <row r="33" spans="2:5" ht="15" customHeight="1" x14ac:dyDescent="0.25">
      <c r="B33" s="90"/>
      <c r="C33" s="26" t="s">
        <v>23</v>
      </c>
      <c r="D33" s="25">
        <v>11</v>
      </c>
      <c r="E33" s="24">
        <v>1.6516516516516516E-2</v>
      </c>
    </row>
    <row r="34" spans="2:5" ht="15" customHeight="1" x14ac:dyDescent="0.25">
      <c r="B34" s="88" t="s">
        <v>143</v>
      </c>
      <c r="C34" s="29" t="s">
        <v>93</v>
      </c>
      <c r="D34" s="28">
        <v>1</v>
      </c>
      <c r="E34" s="27">
        <v>1.5015015015015015E-3</v>
      </c>
    </row>
    <row r="35" spans="2:5" ht="15" customHeight="1" x14ac:dyDescent="0.25">
      <c r="B35" s="89"/>
      <c r="C35" s="29" t="s">
        <v>85</v>
      </c>
      <c r="D35" s="28">
        <v>1</v>
      </c>
      <c r="E35" s="27">
        <v>1.5015015015015015E-3</v>
      </c>
    </row>
    <row r="36" spans="2:5" ht="15" customHeight="1" x14ac:dyDescent="0.25">
      <c r="B36" s="90"/>
      <c r="C36" s="26" t="s">
        <v>23</v>
      </c>
      <c r="D36" s="25">
        <v>2</v>
      </c>
      <c r="E36" s="24">
        <v>3.003003003003003E-3</v>
      </c>
    </row>
    <row r="37" spans="2:5" ht="15" customHeight="1" x14ac:dyDescent="0.25">
      <c r="B37" s="88" t="s">
        <v>142</v>
      </c>
      <c r="C37" s="29" t="s">
        <v>97</v>
      </c>
      <c r="D37" s="28">
        <v>1</v>
      </c>
      <c r="E37" s="27">
        <v>1.5015015015015015E-3</v>
      </c>
    </row>
    <row r="38" spans="2:5" ht="15" customHeight="1" x14ac:dyDescent="0.25">
      <c r="B38" s="89"/>
      <c r="C38" s="29" t="s">
        <v>88</v>
      </c>
      <c r="D38" s="28">
        <v>1</v>
      </c>
      <c r="E38" s="27">
        <v>1.5015015015015015E-3</v>
      </c>
    </row>
    <row r="39" spans="2:5" ht="15" customHeight="1" x14ac:dyDescent="0.25">
      <c r="B39" s="89"/>
      <c r="C39" s="29" t="s">
        <v>85</v>
      </c>
      <c r="D39" s="28">
        <v>1</v>
      </c>
      <c r="E39" s="27">
        <v>1.5015015015015015E-3</v>
      </c>
    </row>
    <row r="40" spans="2:5" ht="15" customHeight="1" x14ac:dyDescent="0.25">
      <c r="B40" s="90"/>
      <c r="C40" s="26" t="s">
        <v>23</v>
      </c>
      <c r="D40" s="25">
        <v>3</v>
      </c>
      <c r="E40" s="24">
        <v>4.5045045045045045E-3</v>
      </c>
    </row>
    <row r="41" spans="2:5" ht="15" customHeight="1" x14ac:dyDescent="0.25">
      <c r="B41" s="88" t="s">
        <v>141</v>
      </c>
      <c r="C41" s="29" t="s">
        <v>97</v>
      </c>
      <c r="D41" s="28">
        <v>1</v>
      </c>
      <c r="E41" s="27">
        <v>1.5015015015015015E-3</v>
      </c>
    </row>
    <row r="42" spans="2:5" ht="15" customHeight="1" x14ac:dyDescent="0.25">
      <c r="B42" s="89"/>
      <c r="C42" s="29" t="s">
        <v>96</v>
      </c>
      <c r="D42" s="28">
        <v>1</v>
      </c>
      <c r="E42" s="27">
        <v>1.5015015015015015E-3</v>
      </c>
    </row>
    <row r="43" spans="2:5" ht="15" customHeight="1" x14ac:dyDescent="0.25">
      <c r="B43" s="89"/>
      <c r="C43" s="29" t="s">
        <v>93</v>
      </c>
      <c r="D43" s="28">
        <v>1</v>
      </c>
      <c r="E43" s="27">
        <v>1.5015015015015015E-3</v>
      </c>
    </row>
    <row r="44" spans="2:5" ht="15" customHeight="1" x14ac:dyDescent="0.25">
      <c r="B44" s="89"/>
      <c r="C44" s="29" t="s">
        <v>92</v>
      </c>
      <c r="D44" s="28">
        <v>3</v>
      </c>
      <c r="E44" s="27">
        <v>4.5045045045045045E-3</v>
      </c>
    </row>
    <row r="45" spans="2:5" ht="15" customHeight="1" x14ac:dyDescent="0.25">
      <c r="B45" s="89"/>
      <c r="C45" s="29" t="s">
        <v>90</v>
      </c>
      <c r="D45" s="28">
        <v>1</v>
      </c>
      <c r="E45" s="27">
        <v>1.5015015015015015E-3</v>
      </c>
    </row>
    <row r="46" spans="2:5" ht="15" customHeight="1" x14ac:dyDescent="0.25">
      <c r="B46" s="89"/>
      <c r="C46" s="29" t="s">
        <v>89</v>
      </c>
      <c r="D46" s="28">
        <v>2</v>
      </c>
      <c r="E46" s="27">
        <v>3.003003003003003E-3</v>
      </c>
    </row>
    <row r="47" spans="2:5" ht="15" customHeight="1" x14ac:dyDescent="0.25">
      <c r="B47" s="89"/>
      <c r="C47" s="29" t="s">
        <v>88</v>
      </c>
      <c r="D47" s="28">
        <v>13</v>
      </c>
      <c r="E47" s="27">
        <v>1.951951951951952E-2</v>
      </c>
    </row>
    <row r="48" spans="2:5" ht="15" customHeight="1" x14ac:dyDescent="0.25">
      <c r="B48" s="89"/>
      <c r="C48" s="29" t="s">
        <v>87</v>
      </c>
      <c r="D48" s="28">
        <v>1</v>
      </c>
      <c r="E48" s="27">
        <v>1.5015015015015015E-3</v>
      </c>
    </row>
    <row r="49" spans="2:5" ht="15" customHeight="1" x14ac:dyDescent="0.25">
      <c r="B49" s="89"/>
      <c r="C49" s="29" t="s">
        <v>86</v>
      </c>
      <c r="D49" s="28">
        <v>1</v>
      </c>
      <c r="E49" s="27">
        <v>1.5015015015015015E-3</v>
      </c>
    </row>
    <row r="50" spans="2:5" ht="15" customHeight="1" x14ac:dyDescent="0.25">
      <c r="B50" s="89"/>
      <c r="C50" s="29" t="s">
        <v>85</v>
      </c>
      <c r="D50" s="28">
        <v>4</v>
      </c>
      <c r="E50" s="27">
        <v>6.006006006006006E-3</v>
      </c>
    </row>
    <row r="51" spans="2:5" ht="15" customHeight="1" x14ac:dyDescent="0.25">
      <c r="B51" s="90"/>
      <c r="C51" s="26" t="s">
        <v>23</v>
      </c>
      <c r="D51" s="25">
        <v>28</v>
      </c>
      <c r="E51" s="24">
        <v>4.2042042042042045E-2</v>
      </c>
    </row>
    <row r="52" spans="2:5" ht="15" customHeight="1" x14ac:dyDescent="0.25">
      <c r="B52" s="88" t="s">
        <v>140</v>
      </c>
      <c r="C52" s="29" t="s">
        <v>93</v>
      </c>
      <c r="D52" s="28">
        <v>2</v>
      </c>
      <c r="E52" s="27">
        <v>3.003003003003003E-3</v>
      </c>
    </row>
    <row r="53" spans="2:5" ht="15" customHeight="1" x14ac:dyDescent="0.25">
      <c r="B53" s="89"/>
      <c r="C53" s="29" t="s">
        <v>91</v>
      </c>
      <c r="D53" s="28">
        <v>1</v>
      </c>
      <c r="E53" s="27">
        <v>1.5015015015015015E-3</v>
      </c>
    </row>
    <row r="54" spans="2:5" ht="15" customHeight="1" x14ac:dyDescent="0.25">
      <c r="B54" s="89"/>
      <c r="C54" s="29" t="s">
        <v>90</v>
      </c>
      <c r="D54" s="28">
        <v>1</v>
      </c>
      <c r="E54" s="27">
        <v>1.5015015015015015E-3</v>
      </c>
    </row>
    <row r="55" spans="2:5" ht="15" customHeight="1" x14ac:dyDescent="0.25">
      <c r="B55" s="89"/>
      <c r="C55" s="29" t="s">
        <v>89</v>
      </c>
      <c r="D55" s="28">
        <v>1</v>
      </c>
      <c r="E55" s="27">
        <v>1.5015015015015015E-3</v>
      </c>
    </row>
    <row r="56" spans="2:5" ht="15" customHeight="1" x14ac:dyDescent="0.25">
      <c r="B56" s="89"/>
      <c r="C56" s="29" t="s">
        <v>88</v>
      </c>
      <c r="D56" s="28">
        <v>11</v>
      </c>
      <c r="E56" s="27">
        <v>1.6516516516516516E-2</v>
      </c>
    </row>
    <row r="57" spans="2:5" ht="15" customHeight="1" x14ac:dyDescent="0.25">
      <c r="B57" s="89"/>
      <c r="C57" s="29" t="s">
        <v>86</v>
      </c>
      <c r="D57" s="28">
        <v>1</v>
      </c>
      <c r="E57" s="27">
        <v>1.5015015015015015E-3</v>
      </c>
    </row>
    <row r="58" spans="2:5" ht="15" customHeight="1" x14ac:dyDescent="0.25">
      <c r="B58" s="89"/>
      <c r="C58" s="29" t="s">
        <v>85</v>
      </c>
      <c r="D58" s="28">
        <v>4</v>
      </c>
      <c r="E58" s="27">
        <v>6.006006006006006E-3</v>
      </c>
    </row>
    <row r="59" spans="2:5" ht="15" customHeight="1" x14ac:dyDescent="0.25">
      <c r="B59" s="89"/>
      <c r="C59" s="29" t="s">
        <v>80</v>
      </c>
      <c r="D59" s="28">
        <v>1</v>
      </c>
      <c r="E59" s="27">
        <v>1.5015015015015015E-3</v>
      </c>
    </row>
    <row r="60" spans="2:5" ht="15" customHeight="1" x14ac:dyDescent="0.25">
      <c r="B60" s="89"/>
      <c r="C60" s="29" t="s">
        <v>79</v>
      </c>
      <c r="D60" s="28">
        <v>1</v>
      </c>
      <c r="E60" s="27">
        <v>1.5015015015015015E-3</v>
      </c>
    </row>
    <row r="61" spans="2:5" ht="15" customHeight="1" x14ac:dyDescent="0.25">
      <c r="B61" s="90"/>
      <c r="C61" s="26" t="s">
        <v>23</v>
      </c>
      <c r="D61" s="25">
        <v>23</v>
      </c>
      <c r="E61" s="24">
        <v>3.4534534534534533E-2</v>
      </c>
    </row>
    <row r="62" spans="2:5" ht="15" customHeight="1" x14ac:dyDescent="0.25">
      <c r="B62" s="88" t="s">
        <v>139</v>
      </c>
      <c r="C62" s="29" t="s">
        <v>94</v>
      </c>
      <c r="D62" s="28">
        <v>1</v>
      </c>
      <c r="E62" s="27">
        <v>1.5015015015015015E-3</v>
      </c>
    </row>
    <row r="63" spans="2:5" ht="15" customHeight="1" x14ac:dyDescent="0.25">
      <c r="B63" s="89"/>
      <c r="C63" s="29" t="s">
        <v>93</v>
      </c>
      <c r="D63" s="28">
        <v>2</v>
      </c>
      <c r="E63" s="27">
        <v>3.003003003003003E-3</v>
      </c>
    </row>
    <row r="64" spans="2:5" ht="15" customHeight="1" x14ac:dyDescent="0.25">
      <c r="B64" s="89"/>
      <c r="C64" s="29" t="s">
        <v>89</v>
      </c>
      <c r="D64" s="28">
        <v>2</v>
      </c>
      <c r="E64" s="27">
        <v>3.003003003003003E-3</v>
      </c>
    </row>
    <row r="65" spans="2:5" ht="15" customHeight="1" x14ac:dyDescent="0.25">
      <c r="B65" s="89"/>
      <c r="C65" s="29" t="s">
        <v>88</v>
      </c>
      <c r="D65" s="28">
        <v>4</v>
      </c>
      <c r="E65" s="27">
        <v>6.006006006006006E-3</v>
      </c>
    </row>
    <row r="66" spans="2:5" ht="15" customHeight="1" x14ac:dyDescent="0.25">
      <c r="B66" s="89"/>
      <c r="C66" s="29" t="s">
        <v>86</v>
      </c>
      <c r="D66" s="28">
        <v>1</v>
      </c>
      <c r="E66" s="27">
        <v>1.5015015015015015E-3</v>
      </c>
    </row>
    <row r="67" spans="2:5" ht="15" customHeight="1" x14ac:dyDescent="0.25">
      <c r="B67" s="89"/>
      <c r="C67" s="29" t="s">
        <v>85</v>
      </c>
      <c r="D67" s="28">
        <v>4</v>
      </c>
      <c r="E67" s="27">
        <v>6.006006006006006E-3</v>
      </c>
    </row>
    <row r="68" spans="2:5" ht="15" customHeight="1" x14ac:dyDescent="0.25">
      <c r="B68" s="90"/>
      <c r="C68" s="26" t="s">
        <v>23</v>
      </c>
      <c r="D68" s="25">
        <v>14</v>
      </c>
      <c r="E68" s="24">
        <v>2.1021021021021023E-2</v>
      </c>
    </row>
    <row r="69" spans="2:5" ht="15" customHeight="1" x14ac:dyDescent="0.25">
      <c r="B69" s="88" t="s">
        <v>138</v>
      </c>
      <c r="C69" s="29" t="s">
        <v>97</v>
      </c>
      <c r="D69" s="28">
        <v>1</v>
      </c>
      <c r="E69" s="27">
        <v>1.5015015015015015E-3</v>
      </c>
    </row>
    <row r="70" spans="2:5" ht="15" customHeight="1" x14ac:dyDescent="0.25">
      <c r="B70" s="89"/>
      <c r="C70" s="29" t="s">
        <v>88</v>
      </c>
      <c r="D70" s="28">
        <v>1</v>
      </c>
      <c r="E70" s="27">
        <v>1.5015015015015015E-3</v>
      </c>
    </row>
    <row r="71" spans="2:5" ht="15" customHeight="1" x14ac:dyDescent="0.25">
      <c r="B71" s="89"/>
      <c r="C71" s="29" t="s">
        <v>86</v>
      </c>
      <c r="D71" s="28">
        <v>1</v>
      </c>
      <c r="E71" s="27">
        <v>1.5015015015015015E-3</v>
      </c>
    </row>
    <row r="72" spans="2:5" ht="15" customHeight="1" x14ac:dyDescent="0.25">
      <c r="B72" s="89"/>
      <c r="C72" s="29" t="s">
        <v>85</v>
      </c>
      <c r="D72" s="28">
        <v>1</v>
      </c>
      <c r="E72" s="27">
        <v>1.5015015015015015E-3</v>
      </c>
    </row>
    <row r="73" spans="2:5" ht="15" customHeight="1" x14ac:dyDescent="0.25">
      <c r="B73" s="89"/>
      <c r="C73" s="29" t="s">
        <v>79</v>
      </c>
      <c r="D73" s="28">
        <v>1</v>
      </c>
      <c r="E73" s="27">
        <v>1.5015015015015015E-3</v>
      </c>
    </row>
    <row r="74" spans="2:5" ht="15" customHeight="1" x14ac:dyDescent="0.25">
      <c r="B74" s="90"/>
      <c r="C74" s="26" t="s">
        <v>23</v>
      </c>
      <c r="D74" s="25">
        <v>5</v>
      </c>
      <c r="E74" s="24">
        <v>7.5075075075075074E-3</v>
      </c>
    </row>
    <row r="75" spans="2:5" ht="15" customHeight="1" x14ac:dyDescent="0.25">
      <c r="B75" s="88" t="s">
        <v>137</v>
      </c>
      <c r="C75" s="29" t="s">
        <v>99</v>
      </c>
      <c r="D75" s="28">
        <v>1</v>
      </c>
      <c r="E75" s="27">
        <v>1.5015015015015015E-3</v>
      </c>
    </row>
    <row r="76" spans="2:5" ht="15" customHeight="1" x14ac:dyDescent="0.25">
      <c r="B76" s="89"/>
      <c r="C76" s="29" t="s">
        <v>92</v>
      </c>
      <c r="D76" s="28">
        <v>1</v>
      </c>
      <c r="E76" s="27">
        <v>1.5015015015015015E-3</v>
      </c>
    </row>
    <row r="77" spans="2:5" ht="15" customHeight="1" x14ac:dyDescent="0.25">
      <c r="B77" s="90"/>
      <c r="C77" s="26" t="s">
        <v>23</v>
      </c>
      <c r="D77" s="25">
        <v>2</v>
      </c>
      <c r="E77" s="24">
        <v>3.003003003003003E-3</v>
      </c>
    </row>
    <row r="78" spans="2:5" ht="15" customHeight="1" x14ac:dyDescent="0.25">
      <c r="B78" s="88" t="s">
        <v>136</v>
      </c>
      <c r="C78" s="29" t="s">
        <v>92</v>
      </c>
      <c r="D78" s="28">
        <v>2</v>
      </c>
      <c r="E78" s="27">
        <v>3.003003003003003E-3</v>
      </c>
    </row>
    <row r="79" spans="2:5" ht="15" customHeight="1" x14ac:dyDescent="0.25">
      <c r="B79" s="89"/>
      <c r="C79" s="29" t="s">
        <v>89</v>
      </c>
      <c r="D79" s="28">
        <v>1</v>
      </c>
      <c r="E79" s="27">
        <v>1.5015015015015015E-3</v>
      </c>
    </row>
    <row r="80" spans="2:5" ht="15" customHeight="1" x14ac:dyDescent="0.25">
      <c r="B80" s="89"/>
      <c r="C80" s="29" t="s">
        <v>88</v>
      </c>
      <c r="D80" s="28">
        <v>1</v>
      </c>
      <c r="E80" s="27">
        <v>1.5015015015015015E-3</v>
      </c>
    </row>
    <row r="81" spans="2:5" ht="15" customHeight="1" x14ac:dyDescent="0.25">
      <c r="B81" s="89"/>
      <c r="C81" s="29" t="s">
        <v>86</v>
      </c>
      <c r="D81" s="28">
        <v>1</v>
      </c>
      <c r="E81" s="27">
        <v>1.5015015015015015E-3</v>
      </c>
    </row>
    <row r="82" spans="2:5" ht="15" customHeight="1" x14ac:dyDescent="0.25">
      <c r="B82" s="89"/>
      <c r="C82" s="29" t="s">
        <v>85</v>
      </c>
      <c r="D82" s="28">
        <v>2</v>
      </c>
      <c r="E82" s="27">
        <v>3.003003003003003E-3</v>
      </c>
    </row>
    <row r="83" spans="2:5" ht="15" customHeight="1" x14ac:dyDescent="0.25">
      <c r="B83" s="90"/>
      <c r="C83" s="26" t="s">
        <v>23</v>
      </c>
      <c r="D83" s="25">
        <v>7</v>
      </c>
      <c r="E83" s="24">
        <v>1.0510510510510511E-2</v>
      </c>
    </row>
    <row r="84" spans="2:5" ht="15" customHeight="1" x14ac:dyDescent="0.25">
      <c r="B84" s="88" t="s">
        <v>135</v>
      </c>
      <c r="C84" s="29" t="s">
        <v>95</v>
      </c>
      <c r="D84" s="28">
        <v>1</v>
      </c>
      <c r="E84" s="27">
        <v>1.5015015015015015E-3</v>
      </c>
    </row>
    <row r="85" spans="2:5" ht="15" customHeight="1" x14ac:dyDescent="0.25">
      <c r="B85" s="89"/>
      <c r="C85" s="29" t="s">
        <v>92</v>
      </c>
      <c r="D85" s="28">
        <v>1</v>
      </c>
      <c r="E85" s="27">
        <v>1.5015015015015015E-3</v>
      </c>
    </row>
    <row r="86" spans="2:5" ht="15" customHeight="1" x14ac:dyDescent="0.25">
      <c r="B86" s="89"/>
      <c r="C86" s="29" t="s">
        <v>88</v>
      </c>
      <c r="D86" s="28">
        <v>1</v>
      </c>
      <c r="E86" s="27">
        <v>1.5015015015015015E-3</v>
      </c>
    </row>
    <row r="87" spans="2:5" ht="15" customHeight="1" x14ac:dyDescent="0.25">
      <c r="B87" s="89"/>
      <c r="C87" s="29" t="s">
        <v>86</v>
      </c>
      <c r="D87" s="28">
        <v>1</v>
      </c>
      <c r="E87" s="27">
        <v>1.5015015015015015E-3</v>
      </c>
    </row>
    <row r="88" spans="2:5" ht="15" customHeight="1" x14ac:dyDescent="0.25">
      <c r="B88" s="89"/>
      <c r="C88" s="29" t="s">
        <v>85</v>
      </c>
      <c r="D88" s="28">
        <v>4</v>
      </c>
      <c r="E88" s="27">
        <v>6.006006006006006E-3</v>
      </c>
    </row>
    <row r="89" spans="2:5" ht="15" customHeight="1" x14ac:dyDescent="0.25">
      <c r="B89" s="90"/>
      <c r="C89" s="26" t="s">
        <v>23</v>
      </c>
      <c r="D89" s="25">
        <v>8</v>
      </c>
      <c r="E89" s="24">
        <v>1.2012012012012012E-2</v>
      </c>
    </row>
    <row r="90" spans="2:5" ht="15" customHeight="1" x14ac:dyDescent="0.25">
      <c r="B90" s="88" t="s">
        <v>134</v>
      </c>
      <c r="C90" s="29" t="s">
        <v>93</v>
      </c>
      <c r="D90" s="28">
        <v>3</v>
      </c>
      <c r="E90" s="27">
        <v>4.5045045045045045E-3</v>
      </c>
    </row>
    <row r="91" spans="2:5" ht="15" customHeight="1" x14ac:dyDescent="0.25">
      <c r="B91" s="89"/>
      <c r="C91" s="29" t="s">
        <v>92</v>
      </c>
      <c r="D91" s="28">
        <v>4</v>
      </c>
      <c r="E91" s="27">
        <v>6.006006006006006E-3</v>
      </c>
    </row>
    <row r="92" spans="2:5" ht="15" customHeight="1" x14ac:dyDescent="0.25">
      <c r="B92" s="89"/>
      <c r="C92" s="29" t="s">
        <v>88</v>
      </c>
      <c r="D92" s="28">
        <v>5</v>
      </c>
      <c r="E92" s="27">
        <v>7.5075075075075074E-3</v>
      </c>
    </row>
    <row r="93" spans="2:5" ht="15" customHeight="1" x14ac:dyDescent="0.25">
      <c r="B93" s="89"/>
      <c r="C93" s="29" t="s">
        <v>87</v>
      </c>
      <c r="D93" s="28">
        <v>2</v>
      </c>
      <c r="E93" s="27">
        <v>3.003003003003003E-3</v>
      </c>
    </row>
    <row r="94" spans="2:5" ht="15" customHeight="1" x14ac:dyDescent="0.25">
      <c r="B94" s="89"/>
      <c r="C94" s="29" t="s">
        <v>86</v>
      </c>
      <c r="D94" s="28">
        <v>2</v>
      </c>
      <c r="E94" s="27">
        <v>3.003003003003003E-3</v>
      </c>
    </row>
    <row r="95" spans="2:5" ht="15" customHeight="1" x14ac:dyDescent="0.25">
      <c r="B95" s="89"/>
      <c r="C95" s="29" t="s">
        <v>85</v>
      </c>
      <c r="D95" s="28">
        <v>9</v>
      </c>
      <c r="E95" s="27">
        <v>1.3513513513513514E-2</v>
      </c>
    </row>
    <row r="96" spans="2:5" ht="15" customHeight="1" x14ac:dyDescent="0.25">
      <c r="B96" s="89"/>
      <c r="C96" s="29" t="s">
        <v>83</v>
      </c>
      <c r="D96" s="28">
        <v>1</v>
      </c>
      <c r="E96" s="27">
        <v>1.5015015015015015E-3</v>
      </c>
    </row>
    <row r="97" spans="2:5" ht="15" customHeight="1" x14ac:dyDescent="0.25">
      <c r="B97" s="89"/>
      <c r="C97" s="29" t="s">
        <v>79</v>
      </c>
      <c r="D97" s="28">
        <v>3</v>
      </c>
      <c r="E97" s="27">
        <v>4.5045045045045045E-3</v>
      </c>
    </row>
    <row r="98" spans="2:5" ht="15" customHeight="1" x14ac:dyDescent="0.25">
      <c r="B98" s="90"/>
      <c r="C98" s="26" t="s">
        <v>23</v>
      </c>
      <c r="D98" s="25">
        <v>29</v>
      </c>
      <c r="E98" s="24">
        <v>4.3543543543543541E-2</v>
      </c>
    </row>
    <row r="99" spans="2:5" ht="15" customHeight="1" x14ac:dyDescent="0.25">
      <c r="B99" s="88" t="s">
        <v>133</v>
      </c>
      <c r="C99" s="29" t="s">
        <v>96</v>
      </c>
      <c r="D99" s="28">
        <v>1</v>
      </c>
      <c r="E99" s="27">
        <v>1.5015015015015015E-3</v>
      </c>
    </row>
    <row r="100" spans="2:5" ht="15" customHeight="1" x14ac:dyDescent="0.25">
      <c r="B100" s="89"/>
      <c r="C100" s="29" t="s">
        <v>92</v>
      </c>
      <c r="D100" s="28">
        <v>2</v>
      </c>
      <c r="E100" s="27">
        <v>3.003003003003003E-3</v>
      </c>
    </row>
    <row r="101" spans="2:5" ht="15" customHeight="1" x14ac:dyDescent="0.25">
      <c r="B101" s="89"/>
      <c r="C101" s="29" t="s">
        <v>88</v>
      </c>
      <c r="D101" s="28">
        <v>3</v>
      </c>
      <c r="E101" s="27">
        <v>4.5045045045045045E-3</v>
      </c>
    </row>
    <row r="102" spans="2:5" ht="15" customHeight="1" x14ac:dyDescent="0.25">
      <c r="B102" s="89"/>
      <c r="C102" s="29" t="s">
        <v>86</v>
      </c>
      <c r="D102" s="28">
        <v>2</v>
      </c>
      <c r="E102" s="27">
        <v>3.003003003003003E-3</v>
      </c>
    </row>
    <row r="103" spans="2:5" ht="15" customHeight="1" x14ac:dyDescent="0.25">
      <c r="B103" s="89"/>
      <c r="C103" s="29" t="s">
        <v>85</v>
      </c>
      <c r="D103" s="28">
        <v>1</v>
      </c>
      <c r="E103" s="27">
        <v>1.5015015015015015E-3</v>
      </c>
    </row>
    <row r="104" spans="2:5" ht="15" customHeight="1" x14ac:dyDescent="0.25">
      <c r="B104" s="90"/>
      <c r="C104" s="26" t="s">
        <v>23</v>
      </c>
      <c r="D104" s="25">
        <v>9</v>
      </c>
      <c r="E104" s="24">
        <v>1.3513513513513514E-2</v>
      </c>
    </row>
    <row r="105" spans="2:5" ht="15" customHeight="1" x14ac:dyDescent="0.25">
      <c r="B105" s="88" t="s">
        <v>132</v>
      </c>
      <c r="C105" s="29" t="s">
        <v>97</v>
      </c>
      <c r="D105" s="28">
        <v>1</v>
      </c>
      <c r="E105" s="27">
        <v>1.5015015015015015E-3</v>
      </c>
    </row>
    <row r="106" spans="2:5" ht="15" customHeight="1" x14ac:dyDescent="0.25">
      <c r="B106" s="89"/>
      <c r="C106" s="29" t="s">
        <v>93</v>
      </c>
      <c r="D106" s="28">
        <v>2</v>
      </c>
      <c r="E106" s="27">
        <v>3.003003003003003E-3</v>
      </c>
    </row>
    <row r="107" spans="2:5" ht="15" customHeight="1" x14ac:dyDescent="0.25">
      <c r="B107" s="89"/>
      <c r="C107" s="29" t="s">
        <v>92</v>
      </c>
      <c r="D107" s="28">
        <v>2</v>
      </c>
      <c r="E107" s="27">
        <v>3.003003003003003E-3</v>
      </c>
    </row>
    <row r="108" spans="2:5" ht="15" customHeight="1" x14ac:dyDescent="0.25">
      <c r="B108" s="89"/>
      <c r="C108" s="29" t="s">
        <v>90</v>
      </c>
      <c r="D108" s="28">
        <v>1</v>
      </c>
      <c r="E108" s="27">
        <v>1.5015015015015015E-3</v>
      </c>
    </row>
    <row r="109" spans="2:5" ht="15" customHeight="1" x14ac:dyDescent="0.25">
      <c r="B109" s="89"/>
      <c r="C109" s="29" t="s">
        <v>88</v>
      </c>
      <c r="D109" s="28">
        <v>7</v>
      </c>
      <c r="E109" s="27">
        <v>1.0510510510510511E-2</v>
      </c>
    </row>
    <row r="110" spans="2:5" ht="15" customHeight="1" x14ac:dyDescent="0.25">
      <c r="B110" s="89"/>
      <c r="C110" s="29" t="s">
        <v>85</v>
      </c>
      <c r="D110" s="28">
        <v>6</v>
      </c>
      <c r="E110" s="27">
        <v>9.0090090090090089E-3</v>
      </c>
    </row>
    <row r="111" spans="2:5" ht="15" customHeight="1" x14ac:dyDescent="0.25">
      <c r="B111" s="89"/>
      <c r="C111" s="29" t="s">
        <v>83</v>
      </c>
      <c r="D111" s="28">
        <v>1</v>
      </c>
      <c r="E111" s="27">
        <v>1.5015015015015015E-3</v>
      </c>
    </row>
    <row r="112" spans="2:5" ht="15" customHeight="1" x14ac:dyDescent="0.25">
      <c r="B112" s="90"/>
      <c r="C112" s="26" t="s">
        <v>23</v>
      </c>
      <c r="D112" s="25">
        <v>20</v>
      </c>
      <c r="E112" s="24">
        <v>3.003003003003003E-2</v>
      </c>
    </row>
    <row r="113" spans="2:5" ht="15" customHeight="1" x14ac:dyDescent="0.25">
      <c r="B113" s="88" t="s">
        <v>131</v>
      </c>
      <c r="C113" s="29" t="s">
        <v>85</v>
      </c>
      <c r="D113" s="28">
        <v>1</v>
      </c>
      <c r="E113" s="27">
        <v>1.5015015015015015E-3</v>
      </c>
    </row>
    <row r="114" spans="2:5" ht="15" customHeight="1" x14ac:dyDescent="0.25">
      <c r="B114" s="89"/>
      <c r="C114" s="29" t="s">
        <v>80</v>
      </c>
      <c r="D114" s="28">
        <v>1</v>
      </c>
      <c r="E114" s="27">
        <v>1.5015015015015015E-3</v>
      </c>
    </row>
    <row r="115" spans="2:5" ht="15" customHeight="1" x14ac:dyDescent="0.25">
      <c r="B115" s="90"/>
      <c r="C115" s="26" t="s">
        <v>23</v>
      </c>
      <c r="D115" s="25">
        <v>2</v>
      </c>
      <c r="E115" s="24">
        <v>3.003003003003003E-3</v>
      </c>
    </row>
    <row r="116" spans="2:5" ht="15" customHeight="1" x14ac:dyDescent="0.25">
      <c r="B116" s="88" t="s">
        <v>130</v>
      </c>
      <c r="C116" s="29" t="s">
        <v>88</v>
      </c>
      <c r="D116" s="28">
        <v>2</v>
      </c>
      <c r="E116" s="27">
        <v>3.003003003003003E-3</v>
      </c>
    </row>
    <row r="117" spans="2:5" ht="15" customHeight="1" x14ac:dyDescent="0.25">
      <c r="B117" s="89"/>
      <c r="C117" s="29" t="s">
        <v>86</v>
      </c>
      <c r="D117" s="28">
        <v>2</v>
      </c>
      <c r="E117" s="27">
        <v>3.003003003003003E-3</v>
      </c>
    </row>
    <row r="118" spans="2:5" ht="15" customHeight="1" x14ac:dyDescent="0.25">
      <c r="B118" s="89"/>
      <c r="C118" s="29" t="s">
        <v>85</v>
      </c>
      <c r="D118" s="28">
        <v>2</v>
      </c>
      <c r="E118" s="27">
        <v>3.003003003003003E-3</v>
      </c>
    </row>
    <row r="119" spans="2:5" ht="15" customHeight="1" x14ac:dyDescent="0.25">
      <c r="B119" s="90"/>
      <c r="C119" s="26" t="s">
        <v>23</v>
      </c>
      <c r="D119" s="25">
        <v>6</v>
      </c>
      <c r="E119" s="24">
        <v>9.0090090090090089E-3</v>
      </c>
    </row>
    <row r="120" spans="2:5" ht="15" customHeight="1" x14ac:dyDescent="0.25">
      <c r="B120" s="88" t="s">
        <v>129</v>
      </c>
      <c r="C120" s="29" t="s">
        <v>93</v>
      </c>
      <c r="D120" s="28">
        <v>1</v>
      </c>
      <c r="E120" s="27">
        <v>1.5015015015015015E-3</v>
      </c>
    </row>
    <row r="121" spans="2:5" ht="15" customHeight="1" x14ac:dyDescent="0.25">
      <c r="B121" s="89"/>
      <c r="C121" s="29" t="s">
        <v>92</v>
      </c>
      <c r="D121" s="28">
        <v>4</v>
      </c>
      <c r="E121" s="27">
        <v>6.006006006006006E-3</v>
      </c>
    </row>
    <row r="122" spans="2:5" ht="15" customHeight="1" x14ac:dyDescent="0.25">
      <c r="B122" s="89"/>
      <c r="C122" s="29" t="s">
        <v>91</v>
      </c>
      <c r="D122" s="28">
        <v>1</v>
      </c>
      <c r="E122" s="27">
        <v>1.5015015015015015E-3</v>
      </c>
    </row>
    <row r="123" spans="2:5" ht="15" customHeight="1" x14ac:dyDescent="0.25">
      <c r="B123" s="89"/>
      <c r="C123" s="29" t="s">
        <v>89</v>
      </c>
      <c r="D123" s="28">
        <v>1</v>
      </c>
      <c r="E123" s="27">
        <v>1.5015015015015015E-3</v>
      </c>
    </row>
    <row r="124" spans="2:5" ht="15" customHeight="1" x14ac:dyDescent="0.25">
      <c r="B124" s="89"/>
      <c r="C124" s="29" t="s">
        <v>88</v>
      </c>
      <c r="D124" s="28">
        <v>6</v>
      </c>
      <c r="E124" s="27">
        <v>9.0090090090090089E-3</v>
      </c>
    </row>
    <row r="125" spans="2:5" ht="15" customHeight="1" x14ac:dyDescent="0.25">
      <c r="B125" s="89"/>
      <c r="C125" s="29" t="s">
        <v>86</v>
      </c>
      <c r="D125" s="28">
        <v>1</v>
      </c>
      <c r="E125" s="27">
        <v>1.5015015015015015E-3</v>
      </c>
    </row>
    <row r="126" spans="2:5" ht="15" customHeight="1" x14ac:dyDescent="0.25">
      <c r="B126" s="89"/>
      <c r="C126" s="29" t="s">
        <v>85</v>
      </c>
      <c r="D126" s="28">
        <v>4</v>
      </c>
      <c r="E126" s="27">
        <v>6.006006006006006E-3</v>
      </c>
    </row>
    <row r="127" spans="2:5" ht="15" customHeight="1" x14ac:dyDescent="0.25">
      <c r="B127" s="89"/>
      <c r="C127" s="29" t="s">
        <v>79</v>
      </c>
      <c r="D127" s="28">
        <v>1</v>
      </c>
      <c r="E127" s="27">
        <v>1.5015015015015015E-3</v>
      </c>
    </row>
    <row r="128" spans="2:5" ht="15" customHeight="1" x14ac:dyDescent="0.25">
      <c r="B128" s="90"/>
      <c r="C128" s="26" t="s">
        <v>23</v>
      </c>
      <c r="D128" s="25">
        <v>19</v>
      </c>
      <c r="E128" s="24">
        <v>2.8528528528528527E-2</v>
      </c>
    </row>
    <row r="129" spans="2:5" ht="15" customHeight="1" x14ac:dyDescent="0.25">
      <c r="B129" s="88" t="s">
        <v>128</v>
      </c>
      <c r="C129" s="29" t="s">
        <v>97</v>
      </c>
      <c r="D129" s="28">
        <v>2</v>
      </c>
      <c r="E129" s="27">
        <v>3.003003003003003E-3</v>
      </c>
    </row>
    <row r="130" spans="2:5" ht="15" customHeight="1" x14ac:dyDescent="0.25">
      <c r="B130" s="89"/>
      <c r="C130" s="29" t="s">
        <v>93</v>
      </c>
      <c r="D130" s="28">
        <v>1</v>
      </c>
      <c r="E130" s="27">
        <v>1.5015015015015015E-3</v>
      </c>
    </row>
    <row r="131" spans="2:5" ht="15" customHeight="1" x14ac:dyDescent="0.25">
      <c r="B131" s="89"/>
      <c r="C131" s="29" t="s">
        <v>92</v>
      </c>
      <c r="D131" s="28">
        <v>3</v>
      </c>
      <c r="E131" s="27">
        <v>4.5045045045045045E-3</v>
      </c>
    </row>
    <row r="132" spans="2:5" ht="15" customHeight="1" x14ac:dyDescent="0.25">
      <c r="B132" s="89"/>
      <c r="C132" s="29" t="s">
        <v>89</v>
      </c>
      <c r="D132" s="28">
        <v>1</v>
      </c>
      <c r="E132" s="27">
        <v>1.5015015015015015E-3</v>
      </c>
    </row>
    <row r="133" spans="2:5" ht="15" customHeight="1" x14ac:dyDescent="0.25">
      <c r="B133" s="89"/>
      <c r="C133" s="29" t="s">
        <v>88</v>
      </c>
      <c r="D133" s="28">
        <v>13</v>
      </c>
      <c r="E133" s="27">
        <v>1.951951951951952E-2</v>
      </c>
    </row>
    <row r="134" spans="2:5" ht="15" customHeight="1" x14ac:dyDescent="0.25">
      <c r="B134" s="89"/>
      <c r="C134" s="29" t="s">
        <v>87</v>
      </c>
      <c r="D134" s="28">
        <v>1</v>
      </c>
      <c r="E134" s="27">
        <v>1.5015015015015015E-3</v>
      </c>
    </row>
    <row r="135" spans="2:5" ht="15" customHeight="1" x14ac:dyDescent="0.25">
      <c r="B135" s="89"/>
      <c r="C135" s="29" t="s">
        <v>86</v>
      </c>
      <c r="D135" s="28">
        <v>3</v>
      </c>
      <c r="E135" s="27">
        <v>4.5045045045045045E-3</v>
      </c>
    </row>
    <row r="136" spans="2:5" ht="15" customHeight="1" x14ac:dyDescent="0.25">
      <c r="B136" s="89"/>
      <c r="C136" s="29" t="s">
        <v>85</v>
      </c>
      <c r="D136" s="28">
        <v>11</v>
      </c>
      <c r="E136" s="27">
        <v>1.6516516516516516E-2</v>
      </c>
    </row>
    <row r="137" spans="2:5" ht="15" customHeight="1" x14ac:dyDescent="0.25">
      <c r="B137" s="90"/>
      <c r="C137" s="26" t="s">
        <v>23</v>
      </c>
      <c r="D137" s="25">
        <v>35</v>
      </c>
      <c r="E137" s="24">
        <v>5.2552552552552555E-2</v>
      </c>
    </row>
    <row r="138" spans="2:5" ht="15" customHeight="1" x14ac:dyDescent="0.25">
      <c r="B138" s="88" t="s">
        <v>127</v>
      </c>
      <c r="C138" s="29" t="s">
        <v>93</v>
      </c>
      <c r="D138" s="28">
        <v>1</v>
      </c>
      <c r="E138" s="27">
        <v>1.5015015015015015E-3</v>
      </c>
    </row>
    <row r="139" spans="2:5" ht="15" customHeight="1" x14ac:dyDescent="0.25">
      <c r="B139" s="89"/>
      <c r="C139" s="29" t="s">
        <v>92</v>
      </c>
      <c r="D139" s="28">
        <v>1</v>
      </c>
      <c r="E139" s="27">
        <v>1.5015015015015015E-3</v>
      </c>
    </row>
    <row r="140" spans="2:5" ht="15" customHeight="1" x14ac:dyDescent="0.25">
      <c r="B140" s="89"/>
      <c r="C140" s="29" t="s">
        <v>88</v>
      </c>
      <c r="D140" s="28">
        <v>3</v>
      </c>
      <c r="E140" s="27">
        <v>4.5045045045045045E-3</v>
      </c>
    </row>
    <row r="141" spans="2:5" ht="15" customHeight="1" x14ac:dyDescent="0.25">
      <c r="B141" s="89"/>
      <c r="C141" s="29" t="s">
        <v>86</v>
      </c>
      <c r="D141" s="28">
        <v>1</v>
      </c>
      <c r="E141" s="27">
        <v>1.5015015015015015E-3</v>
      </c>
    </row>
    <row r="142" spans="2:5" ht="15" customHeight="1" x14ac:dyDescent="0.25">
      <c r="B142" s="89"/>
      <c r="C142" s="29" t="s">
        <v>85</v>
      </c>
      <c r="D142" s="28">
        <v>4</v>
      </c>
      <c r="E142" s="27">
        <v>6.006006006006006E-3</v>
      </c>
    </row>
    <row r="143" spans="2:5" ht="15" customHeight="1" x14ac:dyDescent="0.25">
      <c r="B143" s="90"/>
      <c r="C143" s="26" t="s">
        <v>23</v>
      </c>
      <c r="D143" s="25">
        <v>10</v>
      </c>
      <c r="E143" s="24">
        <v>1.5015015015015015E-2</v>
      </c>
    </row>
    <row r="144" spans="2:5" ht="15" customHeight="1" x14ac:dyDescent="0.25">
      <c r="B144" s="88" t="s">
        <v>126</v>
      </c>
      <c r="C144" s="29" t="s">
        <v>99</v>
      </c>
      <c r="D144" s="28">
        <v>1</v>
      </c>
      <c r="E144" s="27">
        <v>1.5015015015015015E-3</v>
      </c>
    </row>
    <row r="145" spans="2:5" ht="15" customHeight="1" x14ac:dyDescent="0.25">
      <c r="B145" s="89"/>
      <c r="C145" s="29" t="s">
        <v>96</v>
      </c>
      <c r="D145" s="28">
        <v>1</v>
      </c>
      <c r="E145" s="27">
        <v>1.5015015015015015E-3</v>
      </c>
    </row>
    <row r="146" spans="2:5" ht="15" customHeight="1" x14ac:dyDescent="0.25">
      <c r="B146" s="89"/>
      <c r="C146" s="29" t="s">
        <v>95</v>
      </c>
      <c r="D146" s="28">
        <v>1</v>
      </c>
      <c r="E146" s="27">
        <v>1.5015015015015015E-3</v>
      </c>
    </row>
    <row r="147" spans="2:5" ht="15" customHeight="1" x14ac:dyDescent="0.25">
      <c r="B147" s="89"/>
      <c r="C147" s="29" t="s">
        <v>93</v>
      </c>
      <c r="D147" s="28">
        <v>1</v>
      </c>
      <c r="E147" s="27">
        <v>1.5015015015015015E-3</v>
      </c>
    </row>
    <row r="148" spans="2:5" ht="15" customHeight="1" x14ac:dyDescent="0.25">
      <c r="B148" s="89"/>
      <c r="C148" s="29" t="s">
        <v>89</v>
      </c>
      <c r="D148" s="28">
        <v>2</v>
      </c>
      <c r="E148" s="27">
        <v>3.003003003003003E-3</v>
      </c>
    </row>
    <row r="149" spans="2:5" ht="15" customHeight="1" x14ac:dyDescent="0.25">
      <c r="B149" s="89"/>
      <c r="C149" s="29" t="s">
        <v>88</v>
      </c>
      <c r="D149" s="28">
        <v>2</v>
      </c>
      <c r="E149" s="27">
        <v>3.003003003003003E-3</v>
      </c>
    </row>
    <row r="150" spans="2:5" ht="15" customHeight="1" x14ac:dyDescent="0.25">
      <c r="B150" s="89"/>
      <c r="C150" s="29" t="s">
        <v>86</v>
      </c>
      <c r="D150" s="28">
        <v>1</v>
      </c>
      <c r="E150" s="27">
        <v>1.5015015015015015E-3</v>
      </c>
    </row>
    <row r="151" spans="2:5" ht="15" customHeight="1" x14ac:dyDescent="0.25">
      <c r="B151" s="89"/>
      <c r="C151" s="29" t="s">
        <v>85</v>
      </c>
      <c r="D151" s="28">
        <v>2</v>
      </c>
      <c r="E151" s="27">
        <v>3.003003003003003E-3</v>
      </c>
    </row>
    <row r="152" spans="2:5" ht="15" customHeight="1" x14ac:dyDescent="0.25">
      <c r="B152" s="90"/>
      <c r="C152" s="26" t="s">
        <v>23</v>
      </c>
      <c r="D152" s="25">
        <v>11</v>
      </c>
      <c r="E152" s="24">
        <v>1.6516516516516516E-2</v>
      </c>
    </row>
    <row r="153" spans="2:5" ht="15" customHeight="1" x14ac:dyDescent="0.25">
      <c r="B153" s="88" t="s">
        <v>125</v>
      </c>
      <c r="C153" s="29" t="s">
        <v>92</v>
      </c>
      <c r="D153" s="28">
        <v>1</v>
      </c>
      <c r="E153" s="27">
        <v>1.5015015015015015E-3</v>
      </c>
    </row>
    <row r="154" spans="2:5" ht="15" customHeight="1" x14ac:dyDescent="0.25">
      <c r="B154" s="89"/>
      <c r="C154" s="29" t="s">
        <v>88</v>
      </c>
      <c r="D154" s="28">
        <v>2</v>
      </c>
      <c r="E154" s="27">
        <v>3.003003003003003E-3</v>
      </c>
    </row>
    <row r="155" spans="2:5" ht="15" customHeight="1" x14ac:dyDescent="0.25">
      <c r="B155" s="89"/>
      <c r="C155" s="29" t="s">
        <v>85</v>
      </c>
      <c r="D155" s="28">
        <v>1</v>
      </c>
      <c r="E155" s="27">
        <v>1.5015015015015015E-3</v>
      </c>
    </row>
    <row r="156" spans="2:5" ht="15" customHeight="1" x14ac:dyDescent="0.25">
      <c r="B156" s="89"/>
      <c r="C156" s="29" t="s">
        <v>79</v>
      </c>
      <c r="D156" s="28">
        <v>1</v>
      </c>
      <c r="E156" s="27">
        <v>1.5015015015015015E-3</v>
      </c>
    </row>
    <row r="157" spans="2:5" ht="15" customHeight="1" x14ac:dyDescent="0.25">
      <c r="B157" s="90"/>
      <c r="C157" s="26" t="s">
        <v>23</v>
      </c>
      <c r="D157" s="25">
        <v>5</v>
      </c>
      <c r="E157" s="24">
        <v>7.5075075075075074E-3</v>
      </c>
    </row>
    <row r="158" spans="2:5" ht="15" customHeight="1" x14ac:dyDescent="0.25">
      <c r="B158" s="88" t="s">
        <v>124</v>
      </c>
      <c r="C158" s="29" t="s">
        <v>85</v>
      </c>
      <c r="D158" s="28">
        <v>1</v>
      </c>
      <c r="E158" s="27">
        <v>1.5015015015015015E-3</v>
      </c>
    </row>
    <row r="159" spans="2:5" ht="15" customHeight="1" x14ac:dyDescent="0.25">
      <c r="B159" s="90"/>
      <c r="C159" s="26" t="s">
        <v>23</v>
      </c>
      <c r="D159" s="25">
        <v>1</v>
      </c>
      <c r="E159" s="24">
        <v>1.5015015015015015E-3</v>
      </c>
    </row>
    <row r="160" spans="2:5" ht="15" customHeight="1" x14ac:dyDescent="0.25">
      <c r="B160" s="88" t="s">
        <v>123</v>
      </c>
      <c r="C160" s="29" t="s">
        <v>93</v>
      </c>
      <c r="D160" s="28">
        <v>1</v>
      </c>
      <c r="E160" s="27">
        <v>1.5015015015015015E-3</v>
      </c>
    </row>
    <row r="161" spans="2:5" ht="15" customHeight="1" x14ac:dyDescent="0.25">
      <c r="B161" s="89"/>
      <c r="C161" s="29" t="s">
        <v>92</v>
      </c>
      <c r="D161" s="28">
        <v>1</v>
      </c>
      <c r="E161" s="27">
        <v>1.5015015015015015E-3</v>
      </c>
    </row>
    <row r="162" spans="2:5" ht="15" customHeight="1" x14ac:dyDescent="0.25">
      <c r="B162" s="89"/>
      <c r="C162" s="29" t="s">
        <v>88</v>
      </c>
      <c r="D162" s="28">
        <v>2</v>
      </c>
      <c r="E162" s="27">
        <v>3.003003003003003E-3</v>
      </c>
    </row>
    <row r="163" spans="2:5" ht="15" customHeight="1" x14ac:dyDescent="0.25">
      <c r="B163" s="89"/>
      <c r="C163" s="29" t="s">
        <v>86</v>
      </c>
      <c r="D163" s="28">
        <v>1</v>
      </c>
      <c r="E163" s="27">
        <v>1.5015015015015015E-3</v>
      </c>
    </row>
    <row r="164" spans="2:5" ht="15" customHeight="1" x14ac:dyDescent="0.25">
      <c r="B164" s="89"/>
      <c r="C164" s="29" t="s">
        <v>85</v>
      </c>
      <c r="D164" s="28">
        <v>3</v>
      </c>
      <c r="E164" s="27">
        <v>4.5045045045045045E-3</v>
      </c>
    </row>
    <row r="165" spans="2:5" ht="15" customHeight="1" x14ac:dyDescent="0.25">
      <c r="B165" s="90"/>
      <c r="C165" s="26" t="s">
        <v>23</v>
      </c>
      <c r="D165" s="25">
        <v>8</v>
      </c>
      <c r="E165" s="24">
        <v>1.2012012012012012E-2</v>
      </c>
    </row>
    <row r="166" spans="2:5" ht="15" customHeight="1" x14ac:dyDescent="0.25">
      <c r="B166" s="88" t="s">
        <v>122</v>
      </c>
      <c r="C166" s="29" t="s">
        <v>95</v>
      </c>
      <c r="D166" s="28">
        <v>2</v>
      </c>
      <c r="E166" s="27">
        <v>3.003003003003003E-3</v>
      </c>
    </row>
    <row r="167" spans="2:5" ht="15" customHeight="1" x14ac:dyDescent="0.25">
      <c r="B167" s="89"/>
      <c r="C167" s="29" t="s">
        <v>93</v>
      </c>
      <c r="D167" s="28">
        <v>1</v>
      </c>
      <c r="E167" s="27">
        <v>1.5015015015015015E-3</v>
      </c>
    </row>
    <row r="168" spans="2:5" ht="15" customHeight="1" x14ac:dyDescent="0.25">
      <c r="B168" s="89"/>
      <c r="C168" s="29" t="s">
        <v>92</v>
      </c>
      <c r="D168" s="28">
        <v>1</v>
      </c>
      <c r="E168" s="27">
        <v>1.5015015015015015E-3</v>
      </c>
    </row>
    <row r="169" spans="2:5" ht="15" customHeight="1" x14ac:dyDescent="0.25">
      <c r="B169" s="89"/>
      <c r="C169" s="29" t="s">
        <v>88</v>
      </c>
      <c r="D169" s="28">
        <v>5</v>
      </c>
      <c r="E169" s="27">
        <v>7.5075075075075074E-3</v>
      </c>
    </row>
    <row r="170" spans="2:5" ht="15" customHeight="1" x14ac:dyDescent="0.25">
      <c r="B170" s="89"/>
      <c r="C170" s="29" t="s">
        <v>85</v>
      </c>
      <c r="D170" s="28">
        <v>1</v>
      </c>
      <c r="E170" s="27">
        <v>1.5015015015015015E-3</v>
      </c>
    </row>
    <row r="171" spans="2:5" ht="15" customHeight="1" x14ac:dyDescent="0.25">
      <c r="B171" s="89"/>
      <c r="C171" s="29" t="s">
        <v>83</v>
      </c>
      <c r="D171" s="28">
        <v>1</v>
      </c>
      <c r="E171" s="27">
        <v>1.5015015015015015E-3</v>
      </c>
    </row>
    <row r="172" spans="2:5" ht="15" customHeight="1" x14ac:dyDescent="0.25">
      <c r="B172" s="90"/>
      <c r="C172" s="26" t="s">
        <v>23</v>
      </c>
      <c r="D172" s="25">
        <v>11</v>
      </c>
      <c r="E172" s="24">
        <v>1.6516516516516516E-2</v>
      </c>
    </row>
    <row r="173" spans="2:5" ht="15" customHeight="1" x14ac:dyDescent="0.25">
      <c r="B173" s="88" t="s">
        <v>121</v>
      </c>
      <c r="C173" s="29" t="s">
        <v>89</v>
      </c>
      <c r="D173" s="28">
        <v>1</v>
      </c>
      <c r="E173" s="27">
        <v>1.5015015015015015E-3</v>
      </c>
    </row>
    <row r="174" spans="2:5" ht="15" customHeight="1" x14ac:dyDescent="0.25">
      <c r="B174" s="89"/>
      <c r="C174" s="29" t="s">
        <v>88</v>
      </c>
      <c r="D174" s="28">
        <v>2</v>
      </c>
      <c r="E174" s="27">
        <v>3.003003003003003E-3</v>
      </c>
    </row>
    <row r="175" spans="2:5" ht="15" customHeight="1" x14ac:dyDescent="0.25">
      <c r="B175" s="89"/>
      <c r="C175" s="29" t="s">
        <v>85</v>
      </c>
      <c r="D175" s="28">
        <v>1</v>
      </c>
      <c r="E175" s="27">
        <v>1.5015015015015015E-3</v>
      </c>
    </row>
    <row r="176" spans="2:5" ht="15" customHeight="1" x14ac:dyDescent="0.25">
      <c r="B176" s="89"/>
      <c r="C176" s="29" t="s">
        <v>80</v>
      </c>
      <c r="D176" s="28">
        <v>1</v>
      </c>
      <c r="E176" s="27">
        <v>1.5015015015015015E-3</v>
      </c>
    </row>
    <row r="177" spans="2:5" ht="15" customHeight="1" x14ac:dyDescent="0.25">
      <c r="B177" s="90"/>
      <c r="C177" s="26" t="s">
        <v>23</v>
      </c>
      <c r="D177" s="25">
        <v>5</v>
      </c>
      <c r="E177" s="24">
        <v>7.5075075075075074E-3</v>
      </c>
    </row>
    <row r="178" spans="2:5" ht="15" customHeight="1" x14ac:dyDescent="0.25">
      <c r="B178" s="88" t="s">
        <v>120</v>
      </c>
      <c r="C178" s="29" t="s">
        <v>93</v>
      </c>
      <c r="D178" s="28">
        <v>3</v>
      </c>
      <c r="E178" s="27">
        <v>4.5045045045045045E-3</v>
      </c>
    </row>
    <row r="179" spans="2:5" ht="15" customHeight="1" x14ac:dyDescent="0.25">
      <c r="B179" s="89"/>
      <c r="C179" s="29" t="s">
        <v>92</v>
      </c>
      <c r="D179" s="28">
        <v>4</v>
      </c>
      <c r="E179" s="27">
        <v>6.006006006006006E-3</v>
      </c>
    </row>
    <row r="180" spans="2:5" ht="15" customHeight="1" x14ac:dyDescent="0.25">
      <c r="B180" s="89"/>
      <c r="C180" s="29" t="s">
        <v>90</v>
      </c>
      <c r="D180" s="28">
        <v>2</v>
      </c>
      <c r="E180" s="27">
        <v>3.003003003003003E-3</v>
      </c>
    </row>
    <row r="181" spans="2:5" ht="15" customHeight="1" x14ac:dyDescent="0.25">
      <c r="B181" s="89"/>
      <c r="C181" s="29" t="s">
        <v>89</v>
      </c>
      <c r="D181" s="28">
        <v>1</v>
      </c>
      <c r="E181" s="27">
        <v>1.5015015015015015E-3</v>
      </c>
    </row>
    <row r="182" spans="2:5" ht="15" customHeight="1" x14ac:dyDescent="0.25">
      <c r="B182" s="89"/>
      <c r="C182" s="29" t="s">
        <v>88</v>
      </c>
      <c r="D182" s="28">
        <v>5</v>
      </c>
      <c r="E182" s="27">
        <v>7.5075075075075074E-3</v>
      </c>
    </row>
    <row r="183" spans="2:5" ht="15" customHeight="1" x14ac:dyDescent="0.25">
      <c r="B183" s="89"/>
      <c r="C183" s="29" t="s">
        <v>86</v>
      </c>
      <c r="D183" s="28">
        <v>1</v>
      </c>
      <c r="E183" s="27">
        <v>1.5015015015015015E-3</v>
      </c>
    </row>
    <row r="184" spans="2:5" ht="15" customHeight="1" x14ac:dyDescent="0.25">
      <c r="B184" s="90"/>
      <c r="C184" s="26" t="s">
        <v>23</v>
      </c>
      <c r="D184" s="25">
        <v>16</v>
      </c>
      <c r="E184" s="24">
        <v>2.4024024024024024E-2</v>
      </c>
    </row>
    <row r="185" spans="2:5" ht="15" customHeight="1" x14ac:dyDescent="0.25">
      <c r="B185" s="88" t="s">
        <v>119</v>
      </c>
      <c r="C185" s="29" t="s">
        <v>93</v>
      </c>
      <c r="D185" s="28">
        <v>1</v>
      </c>
      <c r="E185" s="27">
        <v>1.5015015015015015E-3</v>
      </c>
    </row>
    <row r="186" spans="2:5" ht="15" customHeight="1" x14ac:dyDescent="0.25">
      <c r="B186" s="89"/>
      <c r="C186" s="29" t="s">
        <v>92</v>
      </c>
      <c r="D186" s="28">
        <v>1</v>
      </c>
      <c r="E186" s="27">
        <v>1.5015015015015015E-3</v>
      </c>
    </row>
    <row r="187" spans="2:5" ht="15" customHeight="1" x14ac:dyDescent="0.25">
      <c r="B187" s="89"/>
      <c r="C187" s="29" t="s">
        <v>88</v>
      </c>
      <c r="D187" s="28">
        <v>2</v>
      </c>
      <c r="E187" s="27">
        <v>3.003003003003003E-3</v>
      </c>
    </row>
    <row r="188" spans="2:5" ht="15" customHeight="1" x14ac:dyDescent="0.25">
      <c r="B188" s="89"/>
      <c r="C188" s="29" t="s">
        <v>86</v>
      </c>
      <c r="D188" s="28">
        <v>1</v>
      </c>
      <c r="E188" s="27">
        <v>1.5015015015015015E-3</v>
      </c>
    </row>
    <row r="189" spans="2:5" ht="15" customHeight="1" x14ac:dyDescent="0.25">
      <c r="B189" s="89"/>
      <c r="C189" s="29" t="s">
        <v>85</v>
      </c>
      <c r="D189" s="28">
        <v>3</v>
      </c>
      <c r="E189" s="27">
        <v>4.5045045045045045E-3</v>
      </c>
    </row>
    <row r="190" spans="2:5" ht="15" customHeight="1" x14ac:dyDescent="0.25">
      <c r="B190" s="89"/>
      <c r="C190" s="29" t="s">
        <v>79</v>
      </c>
      <c r="D190" s="28">
        <v>1</v>
      </c>
      <c r="E190" s="27">
        <v>1.5015015015015015E-3</v>
      </c>
    </row>
    <row r="191" spans="2:5" ht="15" customHeight="1" x14ac:dyDescent="0.25">
      <c r="B191" s="90"/>
      <c r="C191" s="26" t="s">
        <v>23</v>
      </c>
      <c r="D191" s="25">
        <v>9</v>
      </c>
      <c r="E191" s="24">
        <v>1.3513513513513514E-2</v>
      </c>
    </row>
    <row r="192" spans="2:5" ht="15" customHeight="1" x14ac:dyDescent="0.25">
      <c r="B192" s="88" t="s">
        <v>118</v>
      </c>
      <c r="C192" s="29" t="s">
        <v>86</v>
      </c>
      <c r="D192" s="28">
        <v>1</v>
      </c>
      <c r="E192" s="27">
        <v>1.5015015015015015E-3</v>
      </c>
    </row>
    <row r="193" spans="2:5" ht="15" customHeight="1" x14ac:dyDescent="0.25">
      <c r="B193" s="89"/>
      <c r="C193" s="29" t="s">
        <v>85</v>
      </c>
      <c r="D193" s="28">
        <v>1</v>
      </c>
      <c r="E193" s="27">
        <v>1.5015015015015015E-3</v>
      </c>
    </row>
    <row r="194" spans="2:5" ht="15" customHeight="1" x14ac:dyDescent="0.25">
      <c r="B194" s="90"/>
      <c r="C194" s="26" t="s">
        <v>23</v>
      </c>
      <c r="D194" s="25">
        <v>2</v>
      </c>
      <c r="E194" s="24">
        <v>3.003003003003003E-3</v>
      </c>
    </row>
    <row r="195" spans="2:5" ht="15" customHeight="1" x14ac:dyDescent="0.25">
      <c r="B195" s="88" t="s">
        <v>117</v>
      </c>
      <c r="C195" s="29" t="s">
        <v>93</v>
      </c>
      <c r="D195" s="28">
        <v>1</v>
      </c>
      <c r="E195" s="27">
        <v>1.5015015015015015E-3</v>
      </c>
    </row>
    <row r="196" spans="2:5" ht="15" customHeight="1" x14ac:dyDescent="0.25">
      <c r="B196" s="89"/>
      <c r="C196" s="29" t="s">
        <v>92</v>
      </c>
      <c r="D196" s="28">
        <v>2</v>
      </c>
      <c r="E196" s="27">
        <v>3.003003003003003E-3</v>
      </c>
    </row>
    <row r="197" spans="2:5" ht="15" customHeight="1" x14ac:dyDescent="0.25">
      <c r="B197" s="89"/>
      <c r="C197" s="29" t="s">
        <v>89</v>
      </c>
      <c r="D197" s="28">
        <v>2</v>
      </c>
      <c r="E197" s="27">
        <v>3.003003003003003E-3</v>
      </c>
    </row>
    <row r="198" spans="2:5" ht="15" customHeight="1" x14ac:dyDescent="0.25">
      <c r="B198" s="89"/>
      <c r="C198" s="29" t="s">
        <v>88</v>
      </c>
      <c r="D198" s="28">
        <v>6</v>
      </c>
      <c r="E198" s="27">
        <v>9.0090090090090089E-3</v>
      </c>
    </row>
    <row r="199" spans="2:5" ht="15" customHeight="1" x14ac:dyDescent="0.25">
      <c r="B199" s="89"/>
      <c r="C199" s="29" t="s">
        <v>85</v>
      </c>
      <c r="D199" s="28">
        <v>5</v>
      </c>
      <c r="E199" s="27">
        <v>7.5075075075075074E-3</v>
      </c>
    </row>
    <row r="200" spans="2:5" ht="15" customHeight="1" x14ac:dyDescent="0.25">
      <c r="B200" s="89"/>
      <c r="C200" s="29" t="s">
        <v>79</v>
      </c>
      <c r="D200" s="28">
        <v>1</v>
      </c>
      <c r="E200" s="27">
        <v>1.5015015015015015E-3</v>
      </c>
    </row>
    <row r="201" spans="2:5" ht="15" customHeight="1" x14ac:dyDescent="0.25">
      <c r="B201" s="90"/>
      <c r="C201" s="26" t="s">
        <v>23</v>
      </c>
      <c r="D201" s="25">
        <v>17</v>
      </c>
      <c r="E201" s="24">
        <v>2.5525525525525526E-2</v>
      </c>
    </row>
    <row r="202" spans="2:5" ht="15" customHeight="1" x14ac:dyDescent="0.25">
      <c r="B202" s="88" t="s">
        <v>116</v>
      </c>
      <c r="C202" s="29" t="s">
        <v>96</v>
      </c>
      <c r="D202" s="28">
        <v>1</v>
      </c>
      <c r="E202" s="27">
        <v>1.5015015015015015E-3</v>
      </c>
    </row>
    <row r="203" spans="2:5" ht="15" customHeight="1" x14ac:dyDescent="0.25">
      <c r="B203" s="89"/>
      <c r="C203" s="29" t="s">
        <v>95</v>
      </c>
      <c r="D203" s="28">
        <v>1</v>
      </c>
      <c r="E203" s="27">
        <v>1.5015015015015015E-3</v>
      </c>
    </row>
    <row r="204" spans="2:5" ht="15" customHeight="1" x14ac:dyDescent="0.25">
      <c r="B204" s="89"/>
      <c r="C204" s="29" t="s">
        <v>93</v>
      </c>
      <c r="D204" s="28">
        <v>2</v>
      </c>
      <c r="E204" s="27">
        <v>3.003003003003003E-3</v>
      </c>
    </row>
    <row r="205" spans="2:5" ht="15" customHeight="1" x14ac:dyDescent="0.25">
      <c r="B205" s="89"/>
      <c r="C205" s="29" t="s">
        <v>92</v>
      </c>
      <c r="D205" s="28">
        <v>4</v>
      </c>
      <c r="E205" s="27">
        <v>6.006006006006006E-3</v>
      </c>
    </row>
    <row r="206" spans="2:5" ht="15" customHeight="1" x14ac:dyDescent="0.25">
      <c r="B206" s="89"/>
      <c r="C206" s="29" t="s">
        <v>90</v>
      </c>
      <c r="D206" s="28">
        <v>1</v>
      </c>
      <c r="E206" s="27">
        <v>1.5015015015015015E-3</v>
      </c>
    </row>
    <row r="207" spans="2:5" ht="15" customHeight="1" x14ac:dyDescent="0.25">
      <c r="B207" s="89"/>
      <c r="C207" s="29" t="s">
        <v>89</v>
      </c>
      <c r="D207" s="28">
        <v>3</v>
      </c>
      <c r="E207" s="27">
        <v>4.5045045045045045E-3</v>
      </c>
    </row>
    <row r="208" spans="2:5" ht="15" customHeight="1" x14ac:dyDescent="0.25">
      <c r="B208" s="89"/>
      <c r="C208" s="29" t="s">
        <v>88</v>
      </c>
      <c r="D208" s="28">
        <v>12</v>
      </c>
      <c r="E208" s="27">
        <v>1.8018018018018018E-2</v>
      </c>
    </row>
    <row r="209" spans="2:5" ht="15" customHeight="1" x14ac:dyDescent="0.25">
      <c r="B209" s="89"/>
      <c r="C209" s="29" t="s">
        <v>86</v>
      </c>
      <c r="D209" s="28">
        <v>8</v>
      </c>
      <c r="E209" s="27">
        <v>1.2012012012012012E-2</v>
      </c>
    </row>
    <row r="210" spans="2:5" ht="15" customHeight="1" x14ac:dyDescent="0.25">
      <c r="B210" s="89"/>
      <c r="C210" s="29" t="s">
        <v>85</v>
      </c>
      <c r="D210" s="28">
        <v>2</v>
      </c>
      <c r="E210" s="27">
        <v>3.003003003003003E-3</v>
      </c>
    </row>
    <row r="211" spans="2:5" ht="15" customHeight="1" x14ac:dyDescent="0.25">
      <c r="B211" s="89"/>
      <c r="C211" s="29" t="s">
        <v>84</v>
      </c>
      <c r="D211" s="28">
        <v>1</v>
      </c>
      <c r="E211" s="27">
        <v>1.5015015015015015E-3</v>
      </c>
    </row>
    <row r="212" spans="2:5" ht="15" customHeight="1" x14ac:dyDescent="0.25">
      <c r="B212" s="89"/>
      <c r="C212" s="29" t="s">
        <v>80</v>
      </c>
      <c r="D212" s="28">
        <v>4</v>
      </c>
      <c r="E212" s="27">
        <v>6.006006006006006E-3</v>
      </c>
    </row>
    <row r="213" spans="2:5" ht="15" customHeight="1" x14ac:dyDescent="0.25">
      <c r="B213" s="90"/>
      <c r="C213" s="26" t="s">
        <v>23</v>
      </c>
      <c r="D213" s="25">
        <v>39</v>
      </c>
      <c r="E213" s="24">
        <v>5.8558558558558557E-2</v>
      </c>
    </row>
    <row r="214" spans="2:5" ht="15" customHeight="1" x14ac:dyDescent="0.25">
      <c r="B214" s="88" t="s">
        <v>115</v>
      </c>
      <c r="C214" s="29" t="s">
        <v>92</v>
      </c>
      <c r="D214" s="28">
        <v>1</v>
      </c>
      <c r="E214" s="27">
        <v>1.5015015015015015E-3</v>
      </c>
    </row>
    <row r="215" spans="2:5" ht="15" customHeight="1" x14ac:dyDescent="0.25">
      <c r="B215" s="89"/>
      <c r="C215" s="29" t="s">
        <v>88</v>
      </c>
      <c r="D215" s="28">
        <v>3</v>
      </c>
      <c r="E215" s="27">
        <v>4.5045045045045045E-3</v>
      </c>
    </row>
    <row r="216" spans="2:5" ht="15" customHeight="1" x14ac:dyDescent="0.25">
      <c r="B216" s="89"/>
      <c r="C216" s="29" t="s">
        <v>85</v>
      </c>
      <c r="D216" s="28">
        <v>4</v>
      </c>
      <c r="E216" s="27">
        <v>6.006006006006006E-3</v>
      </c>
    </row>
    <row r="217" spans="2:5" ht="15" customHeight="1" x14ac:dyDescent="0.25">
      <c r="B217" s="90"/>
      <c r="C217" s="26" t="s">
        <v>23</v>
      </c>
      <c r="D217" s="25">
        <v>8</v>
      </c>
      <c r="E217" s="24">
        <v>1.2012012012012012E-2</v>
      </c>
    </row>
    <row r="218" spans="2:5" ht="15" customHeight="1" x14ac:dyDescent="0.25">
      <c r="B218" s="88" t="s">
        <v>114</v>
      </c>
      <c r="C218" s="29" t="s">
        <v>88</v>
      </c>
      <c r="D218" s="28">
        <v>4</v>
      </c>
      <c r="E218" s="27">
        <v>6.006006006006006E-3</v>
      </c>
    </row>
    <row r="219" spans="2:5" ht="15" customHeight="1" x14ac:dyDescent="0.25">
      <c r="B219" s="89"/>
      <c r="C219" s="29" t="s">
        <v>85</v>
      </c>
      <c r="D219" s="28">
        <v>3</v>
      </c>
      <c r="E219" s="27">
        <v>4.5045045045045045E-3</v>
      </c>
    </row>
    <row r="220" spans="2:5" ht="15" customHeight="1" x14ac:dyDescent="0.25">
      <c r="B220" s="89"/>
      <c r="C220" s="29" t="s">
        <v>80</v>
      </c>
      <c r="D220" s="28">
        <v>1</v>
      </c>
      <c r="E220" s="27">
        <v>1.5015015015015015E-3</v>
      </c>
    </row>
    <row r="221" spans="2:5" ht="15" customHeight="1" x14ac:dyDescent="0.25">
      <c r="B221" s="90"/>
      <c r="C221" s="26" t="s">
        <v>23</v>
      </c>
      <c r="D221" s="25">
        <v>8</v>
      </c>
      <c r="E221" s="24">
        <v>1.2012012012012012E-2</v>
      </c>
    </row>
    <row r="222" spans="2:5" ht="15" customHeight="1" x14ac:dyDescent="0.25">
      <c r="B222" s="88" t="s">
        <v>113</v>
      </c>
      <c r="C222" s="29" t="s">
        <v>88</v>
      </c>
      <c r="D222" s="28">
        <v>2</v>
      </c>
      <c r="E222" s="27">
        <v>3.003003003003003E-3</v>
      </c>
    </row>
    <row r="223" spans="2:5" ht="15" customHeight="1" x14ac:dyDescent="0.25">
      <c r="B223" s="89"/>
      <c r="C223" s="29" t="s">
        <v>86</v>
      </c>
      <c r="D223" s="28">
        <v>2</v>
      </c>
      <c r="E223" s="27">
        <v>3.003003003003003E-3</v>
      </c>
    </row>
    <row r="224" spans="2:5" ht="15" customHeight="1" x14ac:dyDescent="0.25">
      <c r="B224" s="89"/>
      <c r="C224" s="29" t="s">
        <v>85</v>
      </c>
      <c r="D224" s="28">
        <v>4</v>
      </c>
      <c r="E224" s="27">
        <v>6.006006006006006E-3</v>
      </c>
    </row>
    <row r="225" spans="2:5" ht="15" customHeight="1" x14ac:dyDescent="0.25">
      <c r="B225" s="89"/>
      <c r="C225" s="29" t="s">
        <v>83</v>
      </c>
      <c r="D225" s="28">
        <v>1</v>
      </c>
      <c r="E225" s="27">
        <v>1.5015015015015015E-3</v>
      </c>
    </row>
    <row r="226" spans="2:5" ht="15" customHeight="1" x14ac:dyDescent="0.25">
      <c r="B226" s="90"/>
      <c r="C226" s="26" t="s">
        <v>23</v>
      </c>
      <c r="D226" s="25">
        <v>9</v>
      </c>
      <c r="E226" s="24">
        <v>1.3513513513513514E-2</v>
      </c>
    </row>
    <row r="227" spans="2:5" ht="15" customHeight="1" x14ac:dyDescent="0.25">
      <c r="B227" s="88" t="s">
        <v>112</v>
      </c>
      <c r="C227" s="29" t="s">
        <v>93</v>
      </c>
      <c r="D227" s="28">
        <v>1</v>
      </c>
      <c r="E227" s="27">
        <v>1.5015015015015015E-3</v>
      </c>
    </row>
    <row r="228" spans="2:5" ht="15" customHeight="1" x14ac:dyDescent="0.25">
      <c r="B228" s="89"/>
      <c r="C228" s="29" t="s">
        <v>88</v>
      </c>
      <c r="D228" s="28">
        <v>2</v>
      </c>
      <c r="E228" s="27">
        <v>3.003003003003003E-3</v>
      </c>
    </row>
    <row r="229" spans="2:5" ht="15" customHeight="1" x14ac:dyDescent="0.25">
      <c r="B229" s="89"/>
      <c r="C229" s="29" t="s">
        <v>85</v>
      </c>
      <c r="D229" s="28">
        <v>1</v>
      </c>
      <c r="E229" s="27">
        <v>1.5015015015015015E-3</v>
      </c>
    </row>
    <row r="230" spans="2:5" ht="15" customHeight="1" x14ac:dyDescent="0.25">
      <c r="B230" s="89"/>
      <c r="C230" s="29" t="s">
        <v>79</v>
      </c>
      <c r="D230" s="28">
        <v>1</v>
      </c>
      <c r="E230" s="27">
        <v>1.5015015015015015E-3</v>
      </c>
    </row>
    <row r="231" spans="2:5" ht="15" customHeight="1" x14ac:dyDescent="0.25">
      <c r="B231" s="90"/>
      <c r="C231" s="26" t="s">
        <v>23</v>
      </c>
      <c r="D231" s="25">
        <v>5</v>
      </c>
      <c r="E231" s="24">
        <v>7.5075075075075074E-3</v>
      </c>
    </row>
    <row r="232" spans="2:5" ht="15" customHeight="1" x14ac:dyDescent="0.25">
      <c r="B232" s="88" t="s">
        <v>111</v>
      </c>
      <c r="C232" s="29" t="s">
        <v>99</v>
      </c>
      <c r="D232" s="28">
        <v>1</v>
      </c>
      <c r="E232" s="27">
        <v>1.5015015015015015E-3</v>
      </c>
    </row>
    <row r="233" spans="2:5" ht="15" customHeight="1" x14ac:dyDescent="0.25">
      <c r="B233" s="89"/>
      <c r="C233" s="29" t="s">
        <v>96</v>
      </c>
      <c r="D233" s="28">
        <v>1</v>
      </c>
      <c r="E233" s="27">
        <v>1.5015015015015015E-3</v>
      </c>
    </row>
    <row r="234" spans="2:5" ht="15" customHeight="1" x14ac:dyDescent="0.25">
      <c r="B234" s="89"/>
      <c r="C234" s="29" t="s">
        <v>92</v>
      </c>
      <c r="D234" s="28">
        <v>1</v>
      </c>
      <c r="E234" s="27">
        <v>1.5015015015015015E-3</v>
      </c>
    </row>
    <row r="235" spans="2:5" ht="15" customHeight="1" x14ac:dyDescent="0.25">
      <c r="B235" s="89"/>
      <c r="C235" s="29" t="s">
        <v>85</v>
      </c>
      <c r="D235" s="28">
        <v>6</v>
      </c>
      <c r="E235" s="27">
        <v>9.0090090090090089E-3</v>
      </c>
    </row>
    <row r="236" spans="2:5" ht="15" customHeight="1" x14ac:dyDescent="0.25">
      <c r="B236" s="89"/>
      <c r="C236" s="29" t="s">
        <v>80</v>
      </c>
      <c r="D236" s="28">
        <v>1</v>
      </c>
      <c r="E236" s="27">
        <v>1.5015015015015015E-3</v>
      </c>
    </row>
    <row r="237" spans="2:5" ht="15" customHeight="1" x14ac:dyDescent="0.25">
      <c r="B237" s="90"/>
      <c r="C237" s="26" t="s">
        <v>23</v>
      </c>
      <c r="D237" s="25">
        <v>10</v>
      </c>
      <c r="E237" s="24">
        <v>1.5015015015015015E-2</v>
      </c>
    </row>
    <row r="238" spans="2:5" ht="15" customHeight="1" x14ac:dyDescent="0.25">
      <c r="B238" s="88" t="s">
        <v>110</v>
      </c>
      <c r="C238" s="29" t="s">
        <v>93</v>
      </c>
      <c r="D238" s="28">
        <v>2</v>
      </c>
      <c r="E238" s="27">
        <v>3.003003003003003E-3</v>
      </c>
    </row>
    <row r="239" spans="2:5" ht="15" customHeight="1" x14ac:dyDescent="0.25">
      <c r="B239" s="89"/>
      <c r="C239" s="29" t="s">
        <v>88</v>
      </c>
      <c r="D239" s="28">
        <v>2</v>
      </c>
      <c r="E239" s="27">
        <v>3.003003003003003E-3</v>
      </c>
    </row>
    <row r="240" spans="2:5" ht="15" customHeight="1" x14ac:dyDescent="0.25">
      <c r="B240" s="89"/>
      <c r="C240" s="29" t="s">
        <v>85</v>
      </c>
      <c r="D240" s="28">
        <v>2</v>
      </c>
      <c r="E240" s="27">
        <v>3.003003003003003E-3</v>
      </c>
    </row>
    <row r="241" spans="2:5" ht="15" customHeight="1" x14ac:dyDescent="0.25">
      <c r="B241" s="90"/>
      <c r="C241" s="26" t="s">
        <v>23</v>
      </c>
      <c r="D241" s="25">
        <v>6</v>
      </c>
      <c r="E241" s="24">
        <v>9.0090090090090089E-3</v>
      </c>
    </row>
    <row r="242" spans="2:5" ht="15" customHeight="1" x14ac:dyDescent="0.25">
      <c r="B242" s="88" t="s">
        <v>109</v>
      </c>
      <c r="C242" s="29" t="s">
        <v>108</v>
      </c>
      <c r="D242" s="28">
        <v>1</v>
      </c>
      <c r="E242" s="27">
        <v>1.5015015015015015E-3</v>
      </c>
    </row>
    <row r="243" spans="2:5" ht="15" customHeight="1" x14ac:dyDescent="0.25">
      <c r="B243" s="89"/>
      <c r="C243" s="29" t="s">
        <v>99</v>
      </c>
      <c r="D243" s="28">
        <v>1</v>
      </c>
      <c r="E243" s="27">
        <v>1.5015015015015015E-3</v>
      </c>
    </row>
    <row r="244" spans="2:5" ht="15" customHeight="1" x14ac:dyDescent="0.25">
      <c r="B244" s="89"/>
      <c r="C244" s="29" t="s">
        <v>97</v>
      </c>
      <c r="D244" s="28">
        <v>1</v>
      </c>
      <c r="E244" s="27">
        <v>1.5015015015015015E-3</v>
      </c>
    </row>
    <row r="245" spans="2:5" ht="15" customHeight="1" x14ac:dyDescent="0.25">
      <c r="B245" s="89"/>
      <c r="C245" s="29" t="s">
        <v>96</v>
      </c>
      <c r="D245" s="28">
        <v>1</v>
      </c>
      <c r="E245" s="27">
        <v>1.5015015015015015E-3</v>
      </c>
    </row>
    <row r="246" spans="2:5" ht="15" customHeight="1" x14ac:dyDescent="0.25">
      <c r="B246" s="89"/>
      <c r="C246" s="29" t="s">
        <v>93</v>
      </c>
      <c r="D246" s="28">
        <v>11</v>
      </c>
      <c r="E246" s="27">
        <v>1.6516516516516516E-2</v>
      </c>
    </row>
    <row r="247" spans="2:5" ht="15" customHeight="1" x14ac:dyDescent="0.25">
      <c r="B247" s="89"/>
      <c r="C247" s="29" t="s">
        <v>92</v>
      </c>
      <c r="D247" s="28">
        <v>11</v>
      </c>
      <c r="E247" s="27">
        <v>1.6516516516516516E-2</v>
      </c>
    </row>
    <row r="248" spans="2:5" ht="15" customHeight="1" x14ac:dyDescent="0.25">
      <c r="B248" s="89"/>
      <c r="C248" s="29" t="s">
        <v>91</v>
      </c>
      <c r="D248" s="28">
        <v>1</v>
      </c>
      <c r="E248" s="27">
        <v>1.5015015015015015E-3</v>
      </c>
    </row>
    <row r="249" spans="2:5" ht="15" customHeight="1" x14ac:dyDescent="0.25">
      <c r="B249" s="89"/>
      <c r="C249" s="29" t="s">
        <v>90</v>
      </c>
      <c r="D249" s="28">
        <v>2</v>
      </c>
      <c r="E249" s="27">
        <v>3.003003003003003E-3</v>
      </c>
    </row>
    <row r="250" spans="2:5" ht="15" customHeight="1" x14ac:dyDescent="0.25">
      <c r="B250" s="89"/>
      <c r="C250" s="29" t="s">
        <v>89</v>
      </c>
      <c r="D250" s="28">
        <v>2</v>
      </c>
      <c r="E250" s="27">
        <v>3.003003003003003E-3</v>
      </c>
    </row>
    <row r="251" spans="2:5" ht="15" customHeight="1" x14ac:dyDescent="0.25">
      <c r="B251" s="89"/>
      <c r="C251" s="29" t="s">
        <v>88</v>
      </c>
      <c r="D251" s="28">
        <v>46</v>
      </c>
      <c r="E251" s="27">
        <v>6.9069069069069067E-2</v>
      </c>
    </row>
    <row r="252" spans="2:5" ht="15" customHeight="1" x14ac:dyDescent="0.25">
      <c r="B252" s="89"/>
      <c r="C252" s="29" t="s">
        <v>87</v>
      </c>
      <c r="D252" s="28">
        <v>1</v>
      </c>
      <c r="E252" s="27">
        <v>1.5015015015015015E-3</v>
      </c>
    </row>
    <row r="253" spans="2:5" ht="15" customHeight="1" x14ac:dyDescent="0.25">
      <c r="B253" s="89"/>
      <c r="C253" s="29" t="s">
        <v>86</v>
      </c>
      <c r="D253" s="28">
        <v>11</v>
      </c>
      <c r="E253" s="27">
        <v>1.6516516516516516E-2</v>
      </c>
    </row>
    <row r="254" spans="2:5" ht="15" customHeight="1" x14ac:dyDescent="0.25">
      <c r="B254" s="89"/>
      <c r="C254" s="29" t="s">
        <v>85</v>
      </c>
      <c r="D254" s="28">
        <v>12</v>
      </c>
      <c r="E254" s="27">
        <v>1.8018018018018018E-2</v>
      </c>
    </row>
    <row r="255" spans="2:5" ht="15" customHeight="1" x14ac:dyDescent="0.25">
      <c r="B255" s="89"/>
      <c r="C255" s="29" t="s">
        <v>84</v>
      </c>
      <c r="D255" s="28">
        <v>1</v>
      </c>
      <c r="E255" s="27">
        <v>1.5015015015015015E-3</v>
      </c>
    </row>
    <row r="256" spans="2:5" ht="15" customHeight="1" x14ac:dyDescent="0.25">
      <c r="B256" s="89"/>
      <c r="C256" s="29" t="s">
        <v>80</v>
      </c>
      <c r="D256" s="28">
        <v>2</v>
      </c>
      <c r="E256" s="27">
        <v>3.003003003003003E-3</v>
      </c>
    </row>
    <row r="257" spans="2:5" ht="15" customHeight="1" x14ac:dyDescent="0.25">
      <c r="B257" s="89"/>
      <c r="C257" s="29" t="s">
        <v>79</v>
      </c>
      <c r="D257" s="28">
        <v>2</v>
      </c>
      <c r="E257" s="27">
        <v>3.003003003003003E-3</v>
      </c>
    </row>
    <row r="258" spans="2:5" ht="15" customHeight="1" x14ac:dyDescent="0.25">
      <c r="B258" s="90"/>
      <c r="C258" s="26" t="s">
        <v>23</v>
      </c>
      <c r="D258" s="25">
        <v>106</v>
      </c>
      <c r="E258" s="24">
        <v>0.15915915915915915</v>
      </c>
    </row>
    <row r="259" spans="2:5" ht="15" customHeight="1" x14ac:dyDescent="0.25">
      <c r="B259" s="88" t="s">
        <v>107</v>
      </c>
      <c r="C259" s="29" t="s">
        <v>94</v>
      </c>
      <c r="D259" s="28">
        <v>1</v>
      </c>
      <c r="E259" s="27">
        <v>1.5015015015015015E-3</v>
      </c>
    </row>
    <row r="260" spans="2:5" ht="15" customHeight="1" x14ac:dyDescent="0.25">
      <c r="B260" s="89"/>
      <c r="C260" s="29" t="s">
        <v>90</v>
      </c>
      <c r="D260" s="28">
        <v>1</v>
      </c>
      <c r="E260" s="27">
        <v>1.5015015015015015E-3</v>
      </c>
    </row>
    <row r="261" spans="2:5" ht="15" customHeight="1" x14ac:dyDescent="0.25">
      <c r="B261" s="89"/>
      <c r="C261" s="29" t="s">
        <v>88</v>
      </c>
      <c r="D261" s="28">
        <v>4</v>
      </c>
      <c r="E261" s="27">
        <v>6.006006006006006E-3</v>
      </c>
    </row>
    <row r="262" spans="2:5" ht="15" customHeight="1" x14ac:dyDescent="0.25">
      <c r="B262" s="89"/>
      <c r="C262" s="29" t="s">
        <v>86</v>
      </c>
      <c r="D262" s="28">
        <v>1</v>
      </c>
      <c r="E262" s="27">
        <v>1.5015015015015015E-3</v>
      </c>
    </row>
    <row r="263" spans="2:5" ht="15" customHeight="1" x14ac:dyDescent="0.25">
      <c r="B263" s="89"/>
      <c r="C263" s="29" t="s">
        <v>85</v>
      </c>
      <c r="D263" s="28">
        <v>3</v>
      </c>
      <c r="E263" s="27">
        <v>4.5045045045045045E-3</v>
      </c>
    </row>
    <row r="264" spans="2:5" ht="15" customHeight="1" x14ac:dyDescent="0.25">
      <c r="B264" s="90"/>
      <c r="C264" s="26" t="s">
        <v>23</v>
      </c>
      <c r="D264" s="25">
        <v>10</v>
      </c>
      <c r="E264" s="24">
        <v>1.5015015015015015E-2</v>
      </c>
    </row>
    <row r="265" spans="2:5" ht="15" customHeight="1" x14ac:dyDescent="0.25">
      <c r="B265" s="88" t="s">
        <v>106</v>
      </c>
      <c r="C265" s="29" t="s">
        <v>99</v>
      </c>
      <c r="D265" s="28">
        <v>1</v>
      </c>
      <c r="E265" s="27">
        <v>1.5015015015015015E-3</v>
      </c>
    </row>
    <row r="266" spans="2:5" ht="15" customHeight="1" x14ac:dyDescent="0.25">
      <c r="B266" s="89"/>
      <c r="C266" s="29" t="s">
        <v>93</v>
      </c>
      <c r="D266" s="28">
        <v>1</v>
      </c>
      <c r="E266" s="27">
        <v>1.5015015015015015E-3</v>
      </c>
    </row>
    <row r="267" spans="2:5" ht="15" customHeight="1" x14ac:dyDescent="0.25">
      <c r="B267" s="89"/>
      <c r="C267" s="29" t="s">
        <v>92</v>
      </c>
      <c r="D267" s="28">
        <v>2</v>
      </c>
      <c r="E267" s="27">
        <v>3.003003003003003E-3</v>
      </c>
    </row>
    <row r="268" spans="2:5" ht="15" customHeight="1" x14ac:dyDescent="0.25">
      <c r="B268" s="89"/>
      <c r="C268" s="29" t="s">
        <v>88</v>
      </c>
      <c r="D268" s="28">
        <v>3</v>
      </c>
      <c r="E268" s="27">
        <v>4.5045045045045045E-3</v>
      </c>
    </row>
    <row r="269" spans="2:5" ht="15" customHeight="1" x14ac:dyDescent="0.25">
      <c r="B269" s="89"/>
      <c r="C269" s="29" t="s">
        <v>86</v>
      </c>
      <c r="D269" s="28">
        <v>3</v>
      </c>
      <c r="E269" s="27">
        <v>4.5045045045045045E-3</v>
      </c>
    </row>
    <row r="270" spans="2:5" ht="15" customHeight="1" x14ac:dyDescent="0.25">
      <c r="B270" s="89"/>
      <c r="C270" s="29" t="s">
        <v>85</v>
      </c>
      <c r="D270" s="28">
        <v>1</v>
      </c>
      <c r="E270" s="27">
        <v>1.5015015015015015E-3</v>
      </c>
    </row>
    <row r="271" spans="2:5" ht="15" customHeight="1" x14ac:dyDescent="0.25">
      <c r="B271" s="89"/>
      <c r="C271" s="29" t="s">
        <v>83</v>
      </c>
      <c r="D271" s="28">
        <v>1</v>
      </c>
      <c r="E271" s="27">
        <v>1.5015015015015015E-3</v>
      </c>
    </row>
    <row r="272" spans="2:5" ht="15" customHeight="1" x14ac:dyDescent="0.25">
      <c r="B272" s="90"/>
      <c r="C272" s="26" t="s">
        <v>23</v>
      </c>
      <c r="D272" s="25">
        <v>12</v>
      </c>
      <c r="E272" s="24">
        <v>1.8018018018018018E-2</v>
      </c>
    </row>
    <row r="273" spans="2:5" ht="15" customHeight="1" x14ac:dyDescent="0.25">
      <c r="B273" s="88" t="s">
        <v>105</v>
      </c>
      <c r="C273" s="29" t="s">
        <v>92</v>
      </c>
      <c r="D273" s="28">
        <v>1</v>
      </c>
      <c r="E273" s="27">
        <v>1.5015015015015015E-3</v>
      </c>
    </row>
    <row r="274" spans="2:5" ht="15" customHeight="1" x14ac:dyDescent="0.25">
      <c r="B274" s="89"/>
      <c r="C274" s="29" t="s">
        <v>88</v>
      </c>
      <c r="D274" s="28">
        <v>3</v>
      </c>
      <c r="E274" s="27">
        <v>4.5045045045045045E-3</v>
      </c>
    </row>
    <row r="275" spans="2:5" ht="15" customHeight="1" x14ac:dyDescent="0.25">
      <c r="B275" s="89"/>
      <c r="C275" s="29" t="s">
        <v>87</v>
      </c>
      <c r="D275" s="28">
        <v>1</v>
      </c>
      <c r="E275" s="27">
        <v>1.5015015015015015E-3</v>
      </c>
    </row>
    <row r="276" spans="2:5" ht="15" customHeight="1" x14ac:dyDescent="0.25">
      <c r="B276" s="89"/>
      <c r="C276" s="29" t="s">
        <v>86</v>
      </c>
      <c r="D276" s="28">
        <v>1</v>
      </c>
      <c r="E276" s="27">
        <v>1.5015015015015015E-3</v>
      </c>
    </row>
    <row r="277" spans="2:5" ht="15" customHeight="1" x14ac:dyDescent="0.25">
      <c r="B277" s="89"/>
      <c r="C277" s="29" t="s">
        <v>85</v>
      </c>
      <c r="D277" s="28">
        <v>1</v>
      </c>
      <c r="E277" s="27">
        <v>1.5015015015015015E-3</v>
      </c>
    </row>
    <row r="278" spans="2:5" ht="15" customHeight="1" x14ac:dyDescent="0.25">
      <c r="B278" s="90"/>
      <c r="C278" s="26" t="s">
        <v>23</v>
      </c>
      <c r="D278" s="25">
        <v>7</v>
      </c>
      <c r="E278" s="24">
        <v>1.0510510510510511E-2</v>
      </c>
    </row>
    <row r="279" spans="2:5" ht="15" customHeight="1" x14ac:dyDescent="0.25">
      <c r="B279" s="88" t="s">
        <v>28</v>
      </c>
      <c r="C279" s="29" t="s">
        <v>99</v>
      </c>
      <c r="D279" s="28">
        <v>1</v>
      </c>
      <c r="E279" s="27">
        <v>1.5015015015015015E-3</v>
      </c>
    </row>
    <row r="280" spans="2:5" ht="15" customHeight="1" x14ac:dyDescent="0.25">
      <c r="B280" s="89"/>
      <c r="C280" s="29" t="s">
        <v>97</v>
      </c>
      <c r="D280" s="28">
        <v>1</v>
      </c>
      <c r="E280" s="27">
        <v>1.5015015015015015E-3</v>
      </c>
    </row>
    <row r="281" spans="2:5" ht="15" customHeight="1" x14ac:dyDescent="0.25">
      <c r="B281" s="89"/>
      <c r="C281" s="29" t="s">
        <v>95</v>
      </c>
      <c r="D281" s="28">
        <v>1</v>
      </c>
      <c r="E281" s="27">
        <v>1.5015015015015015E-3</v>
      </c>
    </row>
    <row r="282" spans="2:5" ht="15" customHeight="1" x14ac:dyDescent="0.25">
      <c r="B282" s="89"/>
      <c r="C282" s="29" t="s">
        <v>94</v>
      </c>
      <c r="D282" s="28">
        <v>1</v>
      </c>
      <c r="E282" s="27">
        <v>1.5015015015015015E-3</v>
      </c>
    </row>
    <row r="283" spans="2:5" ht="15" customHeight="1" x14ac:dyDescent="0.25">
      <c r="B283" s="89"/>
      <c r="C283" s="29" t="s">
        <v>93</v>
      </c>
      <c r="D283" s="28">
        <v>2</v>
      </c>
      <c r="E283" s="27">
        <v>3.003003003003003E-3</v>
      </c>
    </row>
    <row r="284" spans="2:5" ht="15" customHeight="1" x14ac:dyDescent="0.25">
      <c r="B284" s="89"/>
      <c r="C284" s="29" t="s">
        <v>92</v>
      </c>
      <c r="D284" s="28">
        <v>2</v>
      </c>
      <c r="E284" s="27">
        <v>3.003003003003003E-3</v>
      </c>
    </row>
    <row r="285" spans="2:5" ht="15" customHeight="1" x14ac:dyDescent="0.25">
      <c r="B285" s="89"/>
      <c r="C285" s="29" t="s">
        <v>90</v>
      </c>
      <c r="D285" s="28">
        <v>2</v>
      </c>
      <c r="E285" s="27">
        <v>3.003003003003003E-3</v>
      </c>
    </row>
    <row r="286" spans="2:5" ht="15" customHeight="1" x14ac:dyDescent="0.25">
      <c r="B286" s="89"/>
      <c r="C286" s="29" t="s">
        <v>88</v>
      </c>
      <c r="D286" s="28">
        <v>11</v>
      </c>
      <c r="E286" s="27">
        <v>1.6516516516516516E-2</v>
      </c>
    </row>
    <row r="287" spans="2:5" ht="15" customHeight="1" x14ac:dyDescent="0.25">
      <c r="B287" s="89"/>
      <c r="C287" s="29" t="s">
        <v>86</v>
      </c>
      <c r="D287" s="28">
        <v>3</v>
      </c>
      <c r="E287" s="27">
        <v>4.5045045045045045E-3</v>
      </c>
    </row>
    <row r="288" spans="2:5" ht="15" customHeight="1" x14ac:dyDescent="0.25">
      <c r="B288" s="89"/>
      <c r="C288" s="29" t="s">
        <v>85</v>
      </c>
      <c r="D288" s="28">
        <v>3</v>
      </c>
      <c r="E288" s="27">
        <v>4.5045045045045045E-3</v>
      </c>
    </row>
    <row r="289" spans="2:5" ht="15" customHeight="1" x14ac:dyDescent="0.25">
      <c r="B289" s="89"/>
      <c r="C289" s="29" t="s">
        <v>79</v>
      </c>
      <c r="D289" s="28">
        <v>2</v>
      </c>
      <c r="E289" s="27">
        <v>3.003003003003003E-3</v>
      </c>
    </row>
    <row r="290" spans="2:5" ht="15" customHeight="1" x14ac:dyDescent="0.25">
      <c r="B290" s="90"/>
      <c r="C290" s="26" t="s">
        <v>23</v>
      </c>
      <c r="D290" s="25">
        <v>29</v>
      </c>
      <c r="E290" s="24">
        <v>4.3543543543543541E-2</v>
      </c>
    </row>
    <row r="291" spans="2:5" ht="15" customHeight="1" x14ac:dyDescent="0.25">
      <c r="B291" s="91" t="s">
        <v>23</v>
      </c>
      <c r="C291" s="92"/>
      <c r="D291" s="23">
        <v>666</v>
      </c>
      <c r="E291" s="22">
        <v>1</v>
      </c>
    </row>
    <row r="293" spans="2:5" ht="15" customHeight="1" x14ac:dyDescent="0.25">
      <c r="B293" s="19" t="s">
        <v>22</v>
      </c>
    </row>
    <row r="294" spans="2:5" ht="15" customHeight="1" x14ac:dyDescent="0.25">
      <c r="B294" s="21" t="s">
        <v>21</v>
      </c>
    </row>
    <row r="295" spans="2:5" ht="15" customHeight="1" x14ac:dyDescent="0.25">
      <c r="B295" s="20" t="s">
        <v>20</v>
      </c>
    </row>
    <row r="296" spans="2:5" ht="15" customHeight="1" x14ac:dyDescent="0.25">
      <c r="B296" s="19" t="s">
        <v>19</v>
      </c>
    </row>
    <row r="297" spans="2:5" ht="15" customHeight="1" x14ac:dyDescent="0.25">
      <c r="B297" s="19" t="s">
        <v>18</v>
      </c>
    </row>
  </sheetData>
  <mergeCells count="44">
    <mergeCell ref="B227:B231"/>
    <mergeCell ref="B279:B290"/>
    <mergeCell ref="B291:C291"/>
    <mergeCell ref="B232:B237"/>
    <mergeCell ref="B238:B241"/>
    <mergeCell ref="B242:B258"/>
    <mergeCell ref="B259:B264"/>
    <mergeCell ref="B265:B272"/>
    <mergeCell ref="B273:B278"/>
    <mergeCell ref="B166:B172"/>
    <mergeCell ref="B173:B177"/>
    <mergeCell ref="B178:B184"/>
    <mergeCell ref="B185:B191"/>
    <mergeCell ref="B192:B194"/>
    <mergeCell ref="B195:B201"/>
    <mergeCell ref="B202:B213"/>
    <mergeCell ref="B214:B217"/>
    <mergeCell ref="B218:B221"/>
    <mergeCell ref="B222:B226"/>
    <mergeCell ref="B105:B112"/>
    <mergeCell ref="B113:B115"/>
    <mergeCell ref="B116:B119"/>
    <mergeCell ref="B120:B128"/>
    <mergeCell ref="B129:B137"/>
    <mergeCell ref="B138:B143"/>
    <mergeCell ref="B144:B152"/>
    <mergeCell ref="B153:B157"/>
    <mergeCell ref="B158:B159"/>
    <mergeCell ref="B160:B165"/>
    <mergeCell ref="B37:B40"/>
    <mergeCell ref="B41:B51"/>
    <mergeCell ref="B52:B61"/>
    <mergeCell ref="B62:B68"/>
    <mergeCell ref="B69:B74"/>
    <mergeCell ref="B75:B77"/>
    <mergeCell ref="B78:B83"/>
    <mergeCell ref="B84:B89"/>
    <mergeCell ref="B90:B98"/>
    <mergeCell ref="B99:B104"/>
    <mergeCell ref="B7:E8"/>
    <mergeCell ref="B10:B12"/>
    <mergeCell ref="B13:B28"/>
    <mergeCell ref="B29:B33"/>
    <mergeCell ref="B34:B3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7" manualBreakCount="7">
    <brk id="51" max="4" man="1"/>
    <brk id="89" max="4" man="1"/>
    <brk id="128" max="4" man="1"/>
    <brk id="172" max="4" man="1"/>
    <brk id="213" max="4" man="1"/>
    <brk id="241" max="4" man="1"/>
    <brk id="278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G9" sqref="G9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8"/>
    </row>
    <row r="2" spans="1:4" s="31" customFormat="1" ht="15" customHeight="1" x14ac:dyDescent="0.2">
      <c r="C2" s="58"/>
    </row>
    <row r="3" spans="1:4" s="31" customFormat="1" ht="15" customHeight="1" x14ac:dyDescent="0.2">
      <c r="A3" s="31" t="s">
        <v>104</v>
      </c>
      <c r="C3" s="58"/>
    </row>
    <row r="4" spans="1:4" s="31" customFormat="1" ht="30" customHeight="1" x14ac:dyDescent="0.2">
      <c r="C4" s="58"/>
      <c r="D4" s="57"/>
    </row>
    <row r="5" spans="1:4" s="31" customFormat="1" ht="15" customHeight="1" x14ac:dyDescent="0.2">
      <c r="C5" s="58"/>
      <c r="D5" s="57"/>
    </row>
    <row r="6" spans="1:4" s="31" customFormat="1" ht="15" customHeight="1" x14ac:dyDescent="0.2">
      <c r="C6" s="58"/>
      <c r="D6" s="57"/>
    </row>
    <row r="7" spans="1:4" s="31" customFormat="1" ht="15" customHeight="1" x14ac:dyDescent="0.2">
      <c r="B7" s="99" t="s">
        <v>166</v>
      </c>
      <c r="C7" s="99"/>
      <c r="D7" s="99"/>
    </row>
    <row r="8" spans="1:4" s="31" customFormat="1" ht="15" customHeight="1" x14ac:dyDescent="0.2">
      <c r="B8" s="99"/>
      <c r="C8" s="99"/>
      <c r="D8" s="99"/>
    </row>
    <row r="9" spans="1:4" s="31" customFormat="1" ht="33" customHeight="1" x14ac:dyDescent="0.2">
      <c r="B9" s="99"/>
      <c r="C9" s="99"/>
      <c r="D9" s="99"/>
    </row>
    <row r="10" spans="1:4" s="31" customFormat="1" ht="4.5" customHeight="1" x14ac:dyDescent="0.2">
      <c r="B10" s="56"/>
      <c r="C10" s="56"/>
      <c r="D10" s="56"/>
    </row>
    <row r="11" spans="1:4" s="31" customFormat="1" ht="33" customHeight="1" x14ac:dyDescent="0.2">
      <c r="B11" s="55" t="s">
        <v>160</v>
      </c>
      <c r="C11" s="54" t="s">
        <v>73</v>
      </c>
      <c r="D11" s="53" t="s">
        <v>72</v>
      </c>
    </row>
    <row r="12" spans="1:4" ht="15" customHeight="1" x14ac:dyDescent="0.25">
      <c r="B12" s="51" t="s">
        <v>165</v>
      </c>
      <c r="C12" s="50">
        <v>450</v>
      </c>
      <c r="D12" s="49">
        <v>0.67264573991031396</v>
      </c>
    </row>
    <row r="13" spans="1:4" ht="15" customHeight="1" x14ac:dyDescent="0.25">
      <c r="B13" s="51" t="s">
        <v>164</v>
      </c>
      <c r="C13" s="50">
        <v>219</v>
      </c>
      <c r="D13" s="49">
        <v>0.3273542600896861</v>
      </c>
    </row>
    <row r="14" spans="1:4" x14ac:dyDescent="0.25">
      <c r="B14" s="48" t="s">
        <v>163</v>
      </c>
      <c r="C14" s="47">
        <v>669</v>
      </c>
      <c r="D14" s="46">
        <v>1</v>
      </c>
    </row>
    <row r="15" spans="1:4" s="52" customFormat="1" ht="15.75" x14ac:dyDescent="0.25">
      <c r="A15" s="43"/>
      <c r="C15" s="74"/>
      <c r="D15" s="74"/>
    </row>
    <row r="16" spans="1:4" s="52" customFormat="1" ht="15.75" x14ac:dyDescent="0.25">
      <c r="A16" s="43"/>
      <c r="B16" s="19" t="s">
        <v>22</v>
      </c>
      <c r="C16" s="74"/>
      <c r="D16" s="74"/>
    </row>
    <row r="17" spans="2:4" x14ac:dyDescent="0.25">
      <c r="B17" s="21" t="s">
        <v>21</v>
      </c>
      <c r="C17" s="73"/>
      <c r="D17" s="73"/>
    </row>
    <row r="18" spans="2:4" x14ac:dyDescent="0.25">
      <c r="B18" s="20" t="s">
        <v>20</v>
      </c>
      <c r="C18" s="72"/>
      <c r="D18" s="72"/>
    </row>
    <row r="19" spans="2:4" x14ac:dyDescent="0.25">
      <c r="B19" s="19" t="s">
        <v>19</v>
      </c>
    </row>
    <row r="20" spans="2:4" x14ac:dyDescent="0.25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39"/>
  <sheetViews>
    <sheetView showGridLines="0" view="pageBreakPreview" zoomScaleNormal="175" zoomScaleSheetLayoutView="100" workbookViewId="0">
      <selection activeCell="K26" sqref="K26"/>
    </sheetView>
  </sheetViews>
  <sheetFormatPr baseColWidth="10" defaultRowHeight="11.25" x14ac:dyDescent="0.2"/>
  <cols>
    <col min="1" max="1" width="5.7109375" style="31" customWidth="1"/>
    <col min="2" max="2" width="19" style="35" customWidth="1"/>
    <col min="3" max="3" width="14.7109375" style="35" customWidth="1"/>
    <col min="4" max="4" width="23.5703125" style="59" customWidth="1"/>
    <col min="5" max="5" width="15.140625" style="35" bestFit="1" customWidth="1"/>
    <col min="6" max="6" width="5.7109375" style="31" customWidth="1"/>
    <col min="7" max="16384" width="11.42578125" style="31"/>
  </cols>
  <sheetData>
    <row r="1" spans="1:6" s="66" customFormat="1" ht="15" x14ac:dyDescent="0.25">
      <c r="B1" s="38"/>
      <c r="C1" s="35"/>
    </row>
    <row r="2" spans="1:6" s="35" customFormat="1" x14ac:dyDescent="0.2">
      <c r="B2" s="70"/>
    </row>
    <row r="3" spans="1:6" ht="15" customHeight="1" x14ac:dyDescent="0.2">
      <c r="B3" s="71"/>
      <c r="C3" s="58"/>
      <c r="D3" s="31"/>
      <c r="F3" s="35"/>
    </row>
    <row r="4" spans="1:6" ht="30" customHeight="1" x14ac:dyDescent="0.2">
      <c r="B4" s="71"/>
      <c r="C4" s="58"/>
      <c r="D4" s="31"/>
      <c r="F4" s="35"/>
    </row>
    <row r="5" spans="1:6" ht="15" customHeight="1" x14ac:dyDescent="0.2">
      <c r="B5" s="71"/>
      <c r="C5" s="58"/>
      <c r="D5" s="31"/>
      <c r="F5" s="35"/>
    </row>
    <row r="6" spans="1:6" s="35" customFormat="1" x14ac:dyDescent="0.2">
      <c r="B6" s="42"/>
      <c r="C6" s="30"/>
    </row>
    <row r="7" spans="1:6" s="35" customFormat="1" x14ac:dyDescent="0.2">
      <c r="A7" s="38"/>
      <c r="B7" s="70"/>
      <c r="C7" s="38"/>
    </row>
    <row r="8" spans="1:6" s="66" customFormat="1" ht="15" customHeight="1" x14ac:dyDescent="0.25">
      <c r="B8" s="94" t="s">
        <v>180</v>
      </c>
      <c r="C8" s="94"/>
      <c r="D8" s="94"/>
      <c r="E8" s="94"/>
    </row>
    <row r="9" spans="1:6" s="66" customFormat="1" ht="15" customHeight="1" x14ac:dyDescent="0.25">
      <c r="A9" s="68"/>
      <c r="B9" s="94"/>
      <c r="C9" s="94"/>
      <c r="D9" s="94"/>
      <c r="E9" s="94"/>
      <c r="F9" s="69"/>
    </row>
    <row r="10" spans="1:6" s="66" customFormat="1" ht="15" customHeight="1" x14ac:dyDescent="0.25">
      <c r="A10" s="68"/>
      <c r="B10" s="95"/>
      <c r="C10" s="95"/>
      <c r="D10" s="95"/>
      <c r="E10" s="95"/>
      <c r="F10" s="68"/>
    </row>
    <row r="11" spans="1:6" s="66" customFormat="1" ht="36.950000000000003" customHeight="1" x14ac:dyDescent="0.25">
      <c r="B11" s="67" t="s">
        <v>147</v>
      </c>
      <c r="C11" s="67" t="s">
        <v>160</v>
      </c>
      <c r="D11" s="67" t="s">
        <v>73</v>
      </c>
      <c r="E11" s="67" t="s">
        <v>72</v>
      </c>
    </row>
    <row r="12" spans="1:6" ht="15" customHeight="1" x14ac:dyDescent="0.2">
      <c r="B12" s="96" t="s">
        <v>146</v>
      </c>
      <c r="C12" s="64" t="s">
        <v>156</v>
      </c>
      <c r="D12" s="50">
        <v>3</v>
      </c>
      <c r="E12" s="49">
        <v>4.4843049327354259E-3</v>
      </c>
    </row>
    <row r="13" spans="1:6" ht="15" customHeight="1" x14ac:dyDescent="0.2">
      <c r="B13" s="97"/>
      <c r="C13" s="77" t="s">
        <v>23</v>
      </c>
      <c r="D13" s="76">
        <v>3</v>
      </c>
      <c r="E13" s="75">
        <v>4.4843049327354259E-3</v>
      </c>
    </row>
    <row r="14" spans="1:6" ht="15" customHeight="1" x14ac:dyDescent="0.2">
      <c r="B14" s="96" t="s">
        <v>145</v>
      </c>
      <c r="C14" s="64" t="s">
        <v>156</v>
      </c>
      <c r="D14" s="50">
        <v>69</v>
      </c>
      <c r="E14" s="49">
        <v>0.1031390134529148</v>
      </c>
    </row>
    <row r="15" spans="1:6" ht="15" customHeight="1" x14ac:dyDescent="0.2">
      <c r="B15" s="98"/>
      <c r="C15" s="64" t="s">
        <v>154</v>
      </c>
      <c r="D15" s="50">
        <v>30</v>
      </c>
      <c r="E15" s="49">
        <v>4.4843049327354258E-2</v>
      </c>
    </row>
    <row r="16" spans="1:6" s="35" customFormat="1" ht="15" customHeight="1" x14ac:dyDescent="0.2">
      <c r="A16" s="31"/>
      <c r="B16" s="97"/>
      <c r="C16" s="77" t="s">
        <v>23</v>
      </c>
      <c r="D16" s="76">
        <v>99</v>
      </c>
      <c r="E16" s="75">
        <v>0.14798206278026907</v>
      </c>
      <c r="F16" s="31"/>
    </row>
    <row r="17" spans="1:6" s="35" customFormat="1" ht="15" customHeight="1" x14ac:dyDescent="0.2">
      <c r="A17" s="31"/>
      <c r="B17" s="96" t="s">
        <v>144</v>
      </c>
      <c r="C17" s="64" t="s">
        <v>156</v>
      </c>
      <c r="D17" s="50">
        <v>8</v>
      </c>
      <c r="E17" s="49">
        <v>1.195814648729447E-2</v>
      </c>
      <c r="F17" s="31"/>
    </row>
    <row r="18" spans="1:6" s="35" customFormat="1" ht="15" customHeight="1" x14ac:dyDescent="0.2">
      <c r="A18" s="31"/>
      <c r="B18" s="98"/>
      <c r="C18" s="64" t="s">
        <v>154</v>
      </c>
      <c r="D18" s="50">
        <v>3</v>
      </c>
      <c r="E18" s="49">
        <v>4.4843049327354259E-3</v>
      </c>
      <c r="F18" s="31"/>
    </row>
    <row r="19" spans="1:6" s="35" customFormat="1" ht="15" customHeight="1" x14ac:dyDescent="0.2">
      <c r="A19" s="31"/>
      <c r="B19" s="97"/>
      <c r="C19" s="77" t="s">
        <v>23</v>
      </c>
      <c r="D19" s="76">
        <v>11</v>
      </c>
      <c r="E19" s="75">
        <v>1.6442451420029897E-2</v>
      </c>
      <c r="F19" s="31"/>
    </row>
    <row r="20" spans="1:6" ht="13.5" x14ac:dyDescent="0.2">
      <c r="B20" s="96" t="s">
        <v>143</v>
      </c>
      <c r="C20" s="64" t="s">
        <v>154</v>
      </c>
      <c r="D20" s="50">
        <v>2</v>
      </c>
      <c r="E20" s="49">
        <v>2.9895366218236174E-3</v>
      </c>
    </row>
    <row r="21" spans="1:6" ht="13.5" x14ac:dyDescent="0.2">
      <c r="B21" s="97"/>
      <c r="C21" s="77" t="s">
        <v>23</v>
      </c>
      <c r="D21" s="76">
        <v>2</v>
      </c>
      <c r="E21" s="75">
        <v>2.9895366218236174E-3</v>
      </c>
    </row>
    <row r="22" spans="1:6" ht="13.5" x14ac:dyDescent="0.2">
      <c r="B22" s="96" t="s">
        <v>142</v>
      </c>
      <c r="C22" s="64" t="s">
        <v>156</v>
      </c>
      <c r="D22" s="50">
        <v>1</v>
      </c>
      <c r="E22" s="49">
        <v>1.4947683109118087E-3</v>
      </c>
    </row>
    <row r="23" spans="1:6" ht="13.5" x14ac:dyDescent="0.2">
      <c r="B23" s="98"/>
      <c r="C23" s="64" t="s">
        <v>154</v>
      </c>
      <c r="D23" s="50">
        <v>2</v>
      </c>
      <c r="E23" s="49">
        <v>2.9895366218236174E-3</v>
      </c>
    </row>
    <row r="24" spans="1:6" ht="13.5" x14ac:dyDescent="0.2">
      <c r="B24" s="97"/>
      <c r="C24" s="77" t="s">
        <v>23</v>
      </c>
      <c r="D24" s="76">
        <v>3</v>
      </c>
      <c r="E24" s="75">
        <v>4.4843049327354259E-3</v>
      </c>
    </row>
    <row r="25" spans="1:6" ht="13.5" x14ac:dyDescent="0.2">
      <c r="B25" s="96" t="s">
        <v>141</v>
      </c>
      <c r="C25" s="64" t="s">
        <v>156</v>
      </c>
      <c r="D25" s="50">
        <v>21</v>
      </c>
      <c r="E25" s="49">
        <v>3.1390134529147982E-2</v>
      </c>
    </row>
    <row r="26" spans="1:6" ht="13.5" x14ac:dyDescent="0.2">
      <c r="B26" s="98"/>
      <c r="C26" s="64" t="s">
        <v>154</v>
      </c>
      <c r="D26" s="50">
        <v>7</v>
      </c>
      <c r="E26" s="49">
        <v>1.0463378176382661E-2</v>
      </c>
    </row>
    <row r="27" spans="1:6" ht="13.5" x14ac:dyDescent="0.2">
      <c r="B27" s="97"/>
      <c r="C27" s="77" t="s">
        <v>23</v>
      </c>
      <c r="D27" s="76">
        <v>28</v>
      </c>
      <c r="E27" s="75">
        <v>4.1853512705530643E-2</v>
      </c>
    </row>
    <row r="28" spans="1:6" ht="13.5" x14ac:dyDescent="0.2">
      <c r="B28" s="96" t="s">
        <v>140</v>
      </c>
      <c r="C28" s="64" t="s">
        <v>156</v>
      </c>
      <c r="D28" s="50">
        <v>9</v>
      </c>
      <c r="E28" s="49">
        <v>1.3452914798206279E-2</v>
      </c>
    </row>
    <row r="29" spans="1:6" ht="13.5" x14ac:dyDescent="0.2">
      <c r="B29" s="98"/>
      <c r="C29" s="64" t="s">
        <v>154</v>
      </c>
      <c r="D29" s="50">
        <v>14</v>
      </c>
      <c r="E29" s="49">
        <v>2.0926756352765322E-2</v>
      </c>
    </row>
    <row r="30" spans="1:6" ht="13.5" x14ac:dyDescent="0.2">
      <c r="B30" s="97"/>
      <c r="C30" s="77" t="s">
        <v>23</v>
      </c>
      <c r="D30" s="76">
        <v>23</v>
      </c>
      <c r="E30" s="75">
        <v>3.4379671150971597E-2</v>
      </c>
    </row>
    <row r="31" spans="1:6" ht="13.5" x14ac:dyDescent="0.2">
      <c r="B31" s="96" t="s">
        <v>139</v>
      </c>
      <c r="C31" s="64" t="s">
        <v>156</v>
      </c>
      <c r="D31" s="50">
        <v>8</v>
      </c>
      <c r="E31" s="49">
        <v>1.195814648729447E-2</v>
      </c>
    </row>
    <row r="32" spans="1:6" ht="13.5" x14ac:dyDescent="0.2">
      <c r="B32" s="98"/>
      <c r="C32" s="64" t="s">
        <v>154</v>
      </c>
      <c r="D32" s="50">
        <v>6</v>
      </c>
      <c r="E32" s="49">
        <v>8.9686098654708519E-3</v>
      </c>
    </row>
    <row r="33" spans="2:5" ht="13.5" x14ac:dyDescent="0.2">
      <c r="B33" s="97"/>
      <c r="C33" s="77" t="s">
        <v>23</v>
      </c>
      <c r="D33" s="76">
        <v>14</v>
      </c>
      <c r="E33" s="75">
        <v>2.0926756352765322E-2</v>
      </c>
    </row>
    <row r="34" spans="2:5" ht="13.5" x14ac:dyDescent="0.2">
      <c r="B34" s="96" t="s">
        <v>138</v>
      </c>
      <c r="C34" s="64" t="s">
        <v>156</v>
      </c>
      <c r="D34" s="50">
        <v>3</v>
      </c>
      <c r="E34" s="49">
        <v>4.4843049327354259E-3</v>
      </c>
    </row>
    <row r="35" spans="2:5" ht="13.5" x14ac:dyDescent="0.2">
      <c r="B35" s="98"/>
      <c r="C35" s="64" t="s">
        <v>154</v>
      </c>
      <c r="D35" s="50">
        <v>2</v>
      </c>
      <c r="E35" s="49">
        <v>2.9895366218236174E-3</v>
      </c>
    </row>
    <row r="36" spans="2:5" ht="13.5" x14ac:dyDescent="0.2">
      <c r="B36" s="97"/>
      <c r="C36" s="77" t="s">
        <v>23</v>
      </c>
      <c r="D36" s="76">
        <v>5</v>
      </c>
      <c r="E36" s="75">
        <v>7.4738415545590429E-3</v>
      </c>
    </row>
    <row r="37" spans="2:5" ht="13.5" x14ac:dyDescent="0.2">
      <c r="B37" s="96" t="s">
        <v>137</v>
      </c>
      <c r="C37" s="64" t="s">
        <v>156</v>
      </c>
      <c r="D37" s="50">
        <v>2</v>
      </c>
      <c r="E37" s="49">
        <v>2.9895366218236174E-3</v>
      </c>
    </row>
    <row r="38" spans="2:5" ht="13.5" x14ac:dyDescent="0.2">
      <c r="B38" s="97"/>
      <c r="C38" s="77" t="s">
        <v>23</v>
      </c>
      <c r="D38" s="76">
        <v>2</v>
      </c>
      <c r="E38" s="75">
        <v>2.9895366218236174E-3</v>
      </c>
    </row>
    <row r="39" spans="2:5" ht="13.5" x14ac:dyDescent="0.2">
      <c r="B39" s="96" t="s">
        <v>136</v>
      </c>
      <c r="C39" s="64" t="s">
        <v>156</v>
      </c>
      <c r="D39" s="50">
        <v>5</v>
      </c>
      <c r="E39" s="49">
        <v>7.4738415545590429E-3</v>
      </c>
    </row>
    <row r="40" spans="2:5" ht="13.5" x14ac:dyDescent="0.2">
      <c r="B40" s="98"/>
      <c r="C40" s="64" t="s">
        <v>154</v>
      </c>
      <c r="D40" s="50">
        <v>2</v>
      </c>
      <c r="E40" s="49">
        <v>2.9895366218236174E-3</v>
      </c>
    </row>
    <row r="41" spans="2:5" ht="13.5" x14ac:dyDescent="0.2">
      <c r="B41" s="97"/>
      <c r="C41" s="77" t="s">
        <v>23</v>
      </c>
      <c r="D41" s="76">
        <v>7</v>
      </c>
      <c r="E41" s="75">
        <v>1.0463378176382661E-2</v>
      </c>
    </row>
    <row r="42" spans="2:5" ht="13.5" x14ac:dyDescent="0.2">
      <c r="B42" s="96" t="s">
        <v>135</v>
      </c>
      <c r="C42" s="64" t="s">
        <v>156</v>
      </c>
      <c r="D42" s="50">
        <v>6</v>
      </c>
      <c r="E42" s="49">
        <v>8.9686098654708519E-3</v>
      </c>
    </row>
    <row r="43" spans="2:5" ht="13.5" x14ac:dyDescent="0.2">
      <c r="B43" s="98"/>
      <c r="C43" s="64" t="s">
        <v>154</v>
      </c>
      <c r="D43" s="50">
        <v>2</v>
      </c>
      <c r="E43" s="49">
        <v>2.9895366218236174E-3</v>
      </c>
    </row>
    <row r="44" spans="2:5" ht="13.5" x14ac:dyDescent="0.2">
      <c r="B44" s="97"/>
      <c r="C44" s="77" t="s">
        <v>23</v>
      </c>
      <c r="D44" s="76">
        <v>8</v>
      </c>
      <c r="E44" s="75">
        <v>1.195814648729447E-2</v>
      </c>
    </row>
    <row r="45" spans="2:5" ht="13.5" x14ac:dyDescent="0.2">
      <c r="B45" s="96" t="s">
        <v>134</v>
      </c>
      <c r="C45" s="64" t="s">
        <v>156</v>
      </c>
      <c r="D45" s="50">
        <v>16</v>
      </c>
      <c r="E45" s="49">
        <v>2.391629297458894E-2</v>
      </c>
    </row>
    <row r="46" spans="2:5" ht="13.5" x14ac:dyDescent="0.2">
      <c r="B46" s="98"/>
      <c r="C46" s="64" t="s">
        <v>154</v>
      </c>
      <c r="D46" s="50">
        <v>13</v>
      </c>
      <c r="E46" s="49">
        <v>1.9431988041853511E-2</v>
      </c>
    </row>
    <row r="47" spans="2:5" ht="13.5" x14ac:dyDescent="0.2">
      <c r="B47" s="97"/>
      <c r="C47" s="77" t="s">
        <v>23</v>
      </c>
      <c r="D47" s="76">
        <v>29</v>
      </c>
      <c r="E47" s="75">
        <v>4.3348281016442454E-2</v>
      </c>
    </row>
    <row r="48" spans="2:5" ht="13.5" x14ac:dyDescent="0.2">
      <c r="B48" s="96" t="s">
        <v>133</v>
      </c>
      <c r="C48" s="64" t="s">
        <v>156</v>
      </c>
      <c r="D48" s="50">
        <v>6</v>
      </c>
      <c r="E48" s="49">
        <v>8.9686098654708519E-3</v>
      </c>
    </row>
    <row r="49" spans="2:5" ht="13.5" x14ac:dyDescent="0.2">
      <c r="B49" s="98"/>
      <c r="C49" s="64" t="s">
        <v>154</v>
      </c>
      <c r="D49" s="50">
        <v>3</v>
      </c>
      <c r="E49" s="49">
        <v>4.4843049327354259E-3</v>
      </c>
    </row>
    <row r="50" spans="2:5" ht="13.5" x14ac:dyDescent="0.2">
      <c r="B50" s="97"/>
      <c r="C50" s="77" t="s">
        <v>23</v>
      </c>
      <c r="D50" s="76">
        <v>9</v>
      </c>
      <c r="E50" s="75">
        <v>1.3452914798206279E-2</v>
      </c>
    </row>
    <row r="51" spans="2:5" ht="13.5" x14ac:dyDescent="0.2">
      <c r="B51" s="96" t="s">
        <v>132</v>
      </c>
      <c r="C51" s="64" t="s">
        <v>156</v>
      </c>
      <c r="D51" s="50">
        <v>12</v>
      </c>
      <c r="E51" s="49">
        <v>1.7937219730941704E-2</v>
      </c>
    </row>
    <row r="52" spans="2:5" ht="13.5" x14ac:dyDescent="0.2">
      <c r="B52" s="98"/>
      <c r="C52" s="64" t="s">
        <v>154</v>
      </c>
      <c r="D52" s="50">
        <v>8</v>
      </c>
      <c r="E52" s="49">
        <v>1.195814648729447E-2</v>
      </c>
    </row>
    <row r="53" spans="2:5" ht="13.5" x14ac:dyDescent="0.2">
      <c r="B53" s="97"/>
      <c r="C53" s="77" t="s">
        <v>23</v>
      </c>
      <c r="D53" s="76">
        <v>20</v>
      </c>
      <c r="E53" s="75">
        <v>2.9895366218236172E-2</v>
      </c>
    </row>
    <row r="54" spans="2:5" ht="13.5" x14ac:dyDescent="0.2">
      <c r="B54" s="96" t="s">
        <v>131</v>
      </c>
      <c r="C54" s="64" t="s">
        <v>156</v>
      </c>
      <c r="D54" s="50">
        <v>1</v>
      </c>
      <c r="E54" s="49">
        <v>1.4947683109118087E-3</v>
      </c>
    </row>
    <row r="55" spans="2:5" ht="13.5" x14ac:dyDescent="0.2">
      <c r="B55" s="98"/>
      <c r="C55" s="64" t="s">
        <v>154</v>
      </c>
      <c r="D55" s="50">
        <v>1</v>
      </c>
      <c r="E55" s="49">
        <v>1.4947683109118087E-3</v>
      </c>
    </row>
    <row r="56" spans="2:5" ht="13.5" x14ac:dyDescent="0.2">
      <c r="B56" s="97"/>
      <c r="C56" s="77" t="s">
        <v>23</v>
      </c>
      <c r="D56" s="76">
        <v>2</v>
      </c>
      <c r="E56" s="75">
        <v>2.9895366218236174E-3</v>
      </c>
    </row>
    <row r="57" spans="2:5" ht="13.5" x14ac:dyDescent="0.2">
      <c r="B57" s="96" t="s">
        <v>130</v>
      </c>
      <c r="C57" s="64" t="s">
        <v>156</v>
      </c>
      <c r="D57" s="50">
        <v>3</v>
      </c>
      <c r="E57" s="49">
        <v>4.4843049327354259E-3</v>
      </c>
    </row>
    <row r="58" spans="2:5" ht="13.5" x14ac:dyDescent="0.2">
      <c r="B58" s="98"/>
      <c r="C58" s="64" t="s">
        <v>154</v>
      </c>
      <c r="D58" s="50">
        <v>3</v>
      </c>
      <c r="E58" s="49">
        <v>4.4843049327354259E-3</v>
      </c>
    </row>
    <row r="59" spans="2:5" ht="13.5" x14ac:dyDescent="0.2">
      <c r="B59" s="97"/>
      <c r="C59" s="77" t="s">
        <v>23</v>
      </c>
      <c r="D59" s="76">
        <v>6</v>
      </c>
      <c r="E59" s="75">
        <v>8.9686098654708519E-3</v>
      </c>
    </row>
    <row r="60" spans="2:5" ht="13.5" x14ac:dyDescent="0.2">
      <c r="B60" s="96" t="s">
        <v>129</v>
      </c>
      <c r="C60" s="64" t="s">
        <v>156</v>
      </c>
      <c r="D60" s="50">
        <v>12</v>
      </c>
      <c r="E60" s="49">
        <v>1.7937219730941704E-2</v>
      </c>
    </row>
    <row r="61" spans="2:5" ht="13.5" x14ac:dyDescent="0.2">
      <c r="B61" s="98"/>
      <c r="C61" s="64" t="s">
        <v>154</v>
      </c>
      <c r="D61" s="50">
        <v>7</v>
      </c>
      <c r="E61" s="49">
        <v>1.0463378176382661E-2</v>
      </c>
    </row>
    <row r="62" spans="2:5" ht="13.5" x14ac:dyDescent="0.2">
      <c r="B62" s="97"/>
      <c r="C62" s="77" t="s">
        <v>23</v>
      </c>
      <c r="D62" s="76">
        <v>19</v>
      </c>
      <c r="E62" s="75">
        <v>2.8400597907324365E-2</v>
      </c>
    </row>
    <row r="63" spans="2:5" ht="13.5" x14ac:dyDescent="0.2">
      <c r="B63" s="96" t="s">
        <v>128</v>
      </c>
      <c r="C63" s="64" t="s">
        <v>156</v>
      </c>
      <c r="D63" s="50">
        <v>23</v>
      </c>
      <c r="E63" s="49">
        <v>3.4379671150971597E-2</v>
      </c>
    </row>
    <row r="64" spans="2:5" ht="13.5" x14ac:dyDescent="0.2">
      <c r="B64" s="98"/>
      <c r="C64" s="64" t="s">
        <v>154</v>
      </c>
      <c r="D64" s="50">
        <v>12</v>
      </c>
      <c r="E64" s="49">
        <v>1.7937219730941704E-2</v>
      </c>
    </row>
    <row r="65" spans="2:5" ht="13.5" x14ac:dyDescent="0.2">
      <c r="B65" s="97"/>
      <c r="C65" s="77" t="s">
        <v>23</v>
      </c>
      <c r="D65" s="76">
        <v>35</v>
      </c>
      <c r="E65" s="75">
        <v>5.2316890881913304E-2</v>
      </c>
    </row>
    <row r="66" spans="2:5" ht="13.5" x14ac:dyDescent="0.2">
      <c r="B66" s="96" t="s">
        <v>127</v>
      </c>
      <c r="C66" s="64" t="s">
        <v>156</v>
      </c>
      <c r="D66" s="50">
        <v>5</v>
      </c>
      <c r="E66" s="49">
        <v>7.4738415545590429E-3</v>
      </c>
    </row>
    <row r="67" spans="2:5" ht="13.5" x14ac:dyDescent="0.2">
      <c r="B67" s="98"/>
      <c r="C67" s="64" t="s">
        <v>154</v>
      </c>
      <c r="D67" s="50">
        <v>5</v>
      </c>
      <c r="E67" s="49">
        <v>7.4738415545590429E-3</v>
      </c>
    </row>
    <row r="68" spans="2:5" ht="13.5" x14ac:dyDescent="0.2">
      <c r="B68" s="97"/>
      <c r="C68" s="77" t="s">
        <v>23</v>
      </c>
      <c r="D68" s="76">
        <v>10</v>
      </c>
      <c r="E68" s="75">
        <v>1.4947683109118086E-2</v>
      </c>
    </row>
    <row r="69" spans="2:5" ht="13.5" x14ac:dyDescent="0.2">
      <c r="B69" s="96" t="s">
        <v>126</v>
      </c>
      <c r="C69" s="64" t="s">
        <v>156</v>
      </c>
      <c r="D69" s="50">
        <v>7</v>
      </c>
      <c r="E69" s="49">
        <v>1.0463378176382661E-2</v>
      </c>
    </row>
    <row r="70" spans="2:5" ht="13.5" x14ac:dyDescent="0.2">
      <c r="B70" s="98"/>
      <c r="C70" s="64" t="s">
        <v>154</v>
      </c>
      <c r="D70" s="50">
        <v>4</v>
      </c>
      <c r="E70" s="49">
        <v>5.9790732436472349E-3</v>
      </c>
    </row>
    <row r="71" spans="2:5" ht="13.5" x14ac:dyDescent="0.2">
      <c r="B71" s="97"/>
      <c r="C71" s="77" t="s">
        <v>23</v>
      </c>
      <c r="D71" s="76">
        <v>11</v>
      </c>
      <c r="E71" s="75">
        <v>1.6442451420029897E-2</v>
      </c>
    </row>
    <row r="72" spans="2:5" ht="13.5" x14ac:dyDescent="0.2">
      <c r="B72" s="96" t="s">
        <v>125</v>
      </c>
      <c r="C72" s="64" t="s">
        <v>156</v>
      </c>
      <c r="D72" s="50">
        <v>4</v>
      </c>
      <c r="E72" s="49">
        <v>5.9790732436472349E-3</v>
      </c>
    </row>
    <row r="73" spans="2:5" ht="13.5" x14ac:dyDescent="0.2">
      <c r="B73" s="98"/>
      <c r="C73" s="64" t="s">
        <v>154</v>
      </c>
      <c r="D73" s="50">
        <v>1</v>
      </c>
      <c r="E73" s="49">
        <v>1.4947683109118087E-3</v>
      </c>
    </row>
    <row r="74" spans="2:5" ht="13.5" x14ac:dyDescent="0.2">
      <c r="B74" s="97"/>
      <c r="C74" s="77" t="s">
        <v>23</v>
      </c>
      <c r="D74" s="76">
        <v>5</v>
      </c>
      <c r="E74" s="75">
        <v>7.4738415545590429E-3</v>
      </c>
    </row>
    <row r="75" spans="2:5" ht="13.5" x14ac:dyDescent="0.2">
      <c r="B75" s="96" t="s">
        <v>124</v>
      </c>
      <c r="C75" s="64" t="s">
        <v>156</v>
      </c>
      <c r="D75" s="50">
        <v>1</v>
      </c>
      <c r="E75" s="49">
        <v>1.4947683109118087E-3</v>
      </c>
    </row>
    <row r="76" spans="2:5" ht="13.5" x14ac:dyDescent="0.2">
      <c r="B76" s="97"/>
      <c r="C76" s="77" t="s">
        <v>23</v>
      </c>
      <c r="D76" s="76">
        <v>1</v>
      </c>
      <c r="E76" s="75">
        <v>1.4947683109118087E-3</v>
      </c>
    </row>
    <row r="77" spans="2:5" ht="13.5" x14ac:dyDescent="0.2">
      <c r="B77" s="96" t="s">
        <v>123</v>
      </c>
      <c r="C77" s="64" t="s">
        <v>156</v>
      </c>
      <c r="D77" s="50">
        <v>8</v>
      </c>
      <c r="E77" s="49">
        <v>1.195814648729447E-2</v>
      </c>
    </row>
    <row r="78" spans="2:5" ht="13.5" x14ac:dyDescent="0.2">
      <c r="B78" s="97"/>
      <c r="C78" s="77" t="s">
        <v>23</v>
      </c>
      <c r="D78" s="76">
        <v>8</v>
      </c>
      <c r="E78" s="75">
        <v>1.195814648729447E-2</v>
      </c>
    </row>
    <row r="79" spans="2:5" ht="13.5" x14ac:dyDescent="0.2">
      <c r="B79" s="96" t="s">
        <v>122</v>
      </c>
      <c r="C79" s="64" t="s">
        <v>156</v>
      </c>
      <c r="D79" s="50">
        <v>8</v>
      </c>
      <c r="E79" s="49">
        <v>1.195814648729447E-2</v>
      </c>
    </row>
    <row r="80" spans="2:5" ht="13.5" x14ac:dyDescent="0.2">
      <c r="B80" s="98"/>
      <c r="C80" s="64" t="s">
        <v>154</v>
      </c>
      <c r="D80" s="50">
        <v>3</v>
      </c>
      <c r="E80" s="49">
        <v>4.4843049327354259E-3</v>
      </c>
    </row>
    <row r="81" spans="2:5" ht="13.5" x14ac:dyDescent="0.2">
      <c r="B81" s="97"/>
      <c r="C81" s="77" t="s">
        <v>23</v>
      </c>
      <c r="D81" s="76">
        <v>11</v>
      </c>
      <c r="E81" s="75">
        <v>1.6442451420029897E-2</v>
      </c>
    </row>
    <row r="82" spans="2:5" ht="13.5" x14ac:dyDescent="0.2">
      <c r="B82" s="96" t="s">
        <v>121</v>
      </c>
      <c r="C82" s="64" t="s">
        <v>156</v>
      </c>
      <c r="D82" s="50">
        <v>3</v>
      </c>
      <c r="E82" s="49">
        <v>4.4843049327354259E-3</v>
      </c>
    </row>
    <row r="83" spans="2:5" ht="13.5" x14ac:dyDescent="0.2">
      <c r="B83" s="98"/>
      <c r="C83" s="64" t="s">
        <v>154</v>
      </c>
      <c r="D83" s="50">
        <v>2</v>
      </c>
      <c r="E83" s="49">
        <v>2.9895366218236174E-3</v>
      </c>
    </row>
    <row r="84" spans="2:5" ht="13.5" x14ac:dyDescent="0.2">
      <c r="B84" s="97"/>
      <c r="C84" s="77" t="s">
        <v>23</v>
      </c>
      <c r="D84" s="76">
        <v>5</v>
      </c>
      <c r="E84" s="75">
        <v>7.4738415545590429E-3</v>
      </c>
    </row>
    <row r="85" spans="2:5" ht="13.5" x14ac:dyDescent="0.2">
      <c r="B85" s="96" t="s">
        <v>120</v>
      </c>
      <c r="C85" s="64" t="s">
        <v>156</v>
      </c>
      <c r="D85" s="50">
        <v>13</v>
      </c>
      <c r="E85" s="49">
        <v>1.9431988041853511E-2</v>
      </c>
    </row>
    <row r="86" spans="2:5" ht="13.5" x14ac:dyDescent="0.2">
      <c r="B86" s="98"/>
      <c r="C86" s="64" t="s">
        <v>154</v>
      </c>
      <c r="D86" s="50">
        <v>3</v>
      </c>
      <c r="E86" s="49">
        <v>4.4843049327354259E-3</v>
      </c>
    </row>
    <row r="87" spans="2:5" ht="13.5" x14ac:dyDescent="0.2">
      <c r="B87" s="97"/>
      <c r="C87" s="77" t="s">
        <v>23</v>
      </c>
      <c r="D87" s="76">
        <v>16</v>
      </c>
      <c r="E87" s="75">
        <v>2.391629297458894E-2</v>
      </c>
    </row>
    <row r="88" spans="2:5" ht="13.5" x14ac:dyDescent="0.2">
      <c r="B88" s="96" t="s">
        <v>119</v>
      </c>
      <c r="C88" s="64" t="s">
        <v>156</v>
      </c>
      <c r="D88" s="50">
        <v>5</v>
      </c>
      <c r="E88" s="49">
        <v>7.4738415545590429E-3</v>
      </c>
    </row>
    <row r="89" spans="2:5" ht="13.5" x14ac:dyDescent="0.2">
      <c r="B89" s="98"/>
      <c r="C89" s="64" t="s">
        <v>154</v>
      </c>
      <c r="D89" s="50">
        <v>4</v>
      </c>
      <c r="E89" s="49">
        <v>5.9790732436472349E-3</v>
      </c>
    </row>
    <row r="90" spans="2:5" ht="13.5" x14ac:dyDescent="0.2">
      <c r="B90" s="97"/>
      <c r="C90" s="77" t="s">
        <v>23</v>
      </c>
      <c r="D90" s="76">
        <v>9</v>
      </c>
      <c r="E90" s="75">
        <v>1.3452914798206279E-2</v>
      </c>
    </row>
    <row r="91" spans="2:5" ht="13.5" x14ac:dyDescent="0.2">
      <c r="B91" s="96" t="s">
        <v>118</v>
      </c>
      <c r="C91" s="64" t="s">
        <v>156</v>
      </c>
      <c r="D91" s="50">
        <v>1</v>
      </c>
      <c r="E91" s="49">
        <v>1.4947683109118087E-3</v>
      </c>
    </row>
    <row r="92" spans="2:5" ht="13.5" x14ac:dyDescent="0.2">
      <c r="B92" s="98"/>
      <c r="C92" s="64" t="s">
        <v>154</v>
      </c>
      <c r="D92" s="50">
        <v>1</v>
      </c>
      <c r="E92" s="49">
        <v>1.4947683109118087E-3</v>
      </c>
    </row>
    <row r="93" spans="2:5" ht="13.5" x14ac:dyDescent="0.2">
      <c r="B93" s="97"/>
      <c r="C93" s="77" t="s">
        <v>23</v>
      </c>
      <c r="D93" s="76">
        <v>2</v>
      </c>
      <c r="E93" s="75">
        <v>2.9895366218236174E-3</v>
      </c>
    </row>
    <row r="94" spans="2:5" ht="13.5" x14ac:dyDescent="0.2">
      <c r="B94" s="96" t="s">
        <v>117</v>
      </c>
      <c r="C94" s="64" t="s">
        <v>156</v>
      </c>
      <c r="D94" s="50">
        <v>12</v>
      </c>
      <c r="E94" s="49">
        <v>1.7937219730941704E-2</v>
      </c>
    </row>
    <row r="95" spans="2:5" ht="13.5" x14ac:dyDescent="0.2">
      <c r="B95" s="98"/>
      <c r="C95" s="64" t="s">
        <v>154</v>
      </c>
      <c r="D95" s="50">
        <v>5</v>
      </c>
      <c r="E95" s="49">
        <v>7.4738415545590429E-3</v>
      </c>
    </row>
    <row r="96" spans="2:5" ht="13.5" x14ac:dyDescent="0.2">
      <c r="B96" s="97"/>
      <c r="C96" s="77" t="s">
        <v>23</v>
      </c>
      <c r="D96" s="76">
        <v>17</v>
      </c>
      <c r="E96" s="75">
        <v>2.5411061285500747E-2</v>
      </c>
    </row>
    <row r="97" spans="2:5" ht="13.5" x14ac:dyDescent="0.2">
      <c r="B97" s="96" t="s">
        <v>116</v>
      </c>
      <c r="C97" s="64" t="s">
        <v>156</v>
      </c>
      <c r="D97" s="50">
        <v>25</v>
      </c>
      <c r="E97" s="49">
        <v>3.7369207772795218E-2</v>
      </c>
    </row>
    <row r="98" spans="2:5" ht="13.5" x14ac:dyDescent="0.2">
      <c r="B98" s="98"/>
      <c r="C98" s="64" t="s">
        <v>154</v>
      </c>
      <c r="D98" s="50">
        <v>14</v>
      </c>
      <c r="E98" s="49">
        <v>2.0926756352765322E-2</v>
      </c>
    </row>
    <row r="99" spans="2:5" ht="13.5" x14ac:dyDescent="0.2">
      <c r="B99" s="97"/>
      <c r="C99" s="77" t="s">
        <v>23</v>
      </c>
      <c r="D99" s="76">
        <v>39</v>
      </c>
      <c r="E99" s="75">
        <v>5.829596412556054E-2</v>
      </c>
    </row>
    <row r="100" spans="2:5" ht="13.5" x14ac:dyDescent="0.2">
      <c r="B100" s="96" t="s">
        <v>115</v>
      </c>
      <c r="C100" s="64" t="s">
        <v>156</v>
      </c>
      <c r="D100" s="50">
        <v>6</v>
      </c>
      <c r="E100" s="49">
        <v>8.9686098654708519E-3</v>
      </c>
    </row>
    <row r="101" spans="2:5" ht="13.5" x14ac:dyDescent="0.2">
      <c r="B101" s="98"/>
      <c r="C101" s="64" t="s">
        <v>154</v>
      </c>
      <c r="D101" s="50">
        <v>2</v>
      </c>
      <c r="E101" s="49">
        <v>2.9895366218236174E-3</v>
      </c>
    </row>
    <row r="102" spans="2:5" ht="13.5" x14ac:dyDescent="0.2">
      <c r="B102" s="97"/>
      <c r="C102" s="77" t="s">
        <v>23</v>
      </c>
      <c r="D102" s="76">
        <v>8</v>
      </c>
      <c r="E102" s="75">
        <v>1.195814648729447E-2</v>
      </c>
    </row>
    <row r="103" spans="2:5" ht="13.5" x14ac:dyDescent="0.2">
      <c r="B103" s="96" t="s">
        <v>114</v>
      </c>
      <c r="C103" s="64" t="s">
        <v>156</v>
      </c>
      <c r="D103" s="50">
        <v>4</v>
      </c>
      <c r="E103" s="49">
        <v>5.9790732436472349E-3</v>
      </c>
    </row>
    <row r="104" spans="2:5" ht="13.5" x14ac:dyDescent="0.2">
      <c r="B104" s="98"/>
      <c r="C104" s="64" t="s">
        <v>154</v>
      </c>
      <c r="D104" s="50">
        <v>4</v>
      </c>
      <c r="E104" s="49">
        <v>5.9790732436472349E-3</v>
      </c>
    </row>
    <row r="105" spans="2:5" ht="13.5" x14ac:dyDescent="0.2">
      <c r="B105" s="97"/>
      <c r="C105" s="77" t="s">
        <v>23</v>
      </c>
      <c r="D105" s="76">
        <v>8</v>
      </c>
      <c r="E105" s="75">
        <v>1.195814648729447E-2</v>
      </c>
    </row>
    <row r="106" spans="2:5" ht="13.5" x14ac:dyDescent="0.2">
      <c r="B106" s="96" t="s">
        <v>113</v>
      </c>
      <c r="C106" s="64" t="s">
        <v>156</v>
      </c>
      <c r="D106" s="50">
        <v>6</v>
      </c>
      <c r="E106" s="49">
        <v>8.9686098654708519E-3</v>
      </c>
    </row>
    <row r="107" spans="2:5" ht="13.5" x14ac:dyDescent="0.2">
      <c r="B107" s="98"/>
      <c r="C107" s="64" t="s">
        <v>154</v>
      </c>
      <c r="D107" s="50">
        <v>3</v>
      </c>
      <c r="E107" s="49">
        <v>4.4843049327354259E-3</v>
      </c>
    </row>
    <row r="108" spans="2:5" ht="13.5" x14ac:dyDescent="0.2">
      <c r="B108" s="97"/>
      <c r="C108" s="77" t="s">
        <v>23</v>
      </c>
      <c r="D108" s="76">
        <v>9</v>
      </c>
      <c r="E108" s="75">
        <v>1.3452914798206279E-2</v>
      </c>
    </row>
    <row r="109" spans="2:5" ht="13.5" x14ac:dyDescent="0.2">
      <c r="B109" s="96" t="s">
        <v>112</v>
      </c>
      <c r="C109" s="64" t="s">
        <v>156</v>
      </c>
      <c r="D109" s="50">
        <v>2</v>
      </c>
      <c r="E109" s="49">
        <v>2.9895366218236174E-3</v>
      </c>
    </row>
    <row r="110" spans="2:5" ht="13.5" x14ac:dyDescent="0.2">
      <c r="B110" s="98"/>
      <c r="C110" s="64" t="s">
        <v>154</v>
      </c>
      <c r="D110" s="50">
        <v>3</v>
      </c>
      <c r="E110" s="49">
        <v>4.4843049327354259E-3</v>
      </c>
    </row>
    <row r="111" spans="2:5" ht="13.5" x14ac:dyDescent="0.2">
      <c r="B111" s="97"/>
      <c r="C111" s="77" t="s">
        <v>23</v>
      </c>
      <c r="D111" s="76">
        <v>5</v>
      </c>
      <c r="E111" s="75">
        <v>7.4738415545590429E-3</v>
      </c>
    </row>
    <row r="112" spans="2:5" ht="13.5" x14ac:dyDescent="0.2">
      <c r="B112" s="96" t="s">
        <v>111</v>
      </c>
      <c r="C112" s="64" t="s">
        <v>156</v>
      </c>
      <c r="D112" s="50">
        <v>5</v>
      </c>
      <c r="E112" s="49">
        <v>7.4738415545590429E-3</v>
      </c>
    </row>
    <row r="113" spans="2:5" ht="13.5" x14ac:dyDescent="0.2">
      <c r="B113" s="98"/>
      <c r="C113" s="64" t="s">
        <v>154</v>
      </c>
      <c r="D113" s="50">
        <v>5</v>
      </c>
      <c r="E113" s="49">
        <v>7.4738415545590429E-3</v>
      </c>
    </row>
    <row r="114" spans="2:5" ht="13.5" x14ac:dyDescent="0.2">
      <c r="B114" s="97"/>
      <c r="C114" s="77" t="s">
        <v>23</v>
      </c>
      <c r="D114" s="76">
        <v>10</v>
      </c>
      <c r="E114" s="75">
        <v>1.4947683109118086E-2</v>
      </c>
    </row>
    <row r="115" spans="2:5" ht="13.5" x14ac:dyDescent="0.2">
      <c r="B115" s="96" t="s">
        <v>110</v>
      </c>
      <c r="C115" s="64" t="s">
        <v>156</v>
      </c>
      <c r="D115" s="50">
        <v>3</v>
      </c>
      <c r="E115" s="49">
        <v>4.4843049327354259E-3</v>
      </c>
    </row>
    <row r="116" spans="2:5" ht="13.5" x14ac:dyDescent="0.2">
      <c r="B116" s="98"/>
      <c r="C116" s="64" t="s">
        <v>154</v>
      </c>
      <c r="D116" s="50">
        <v>3</v>
      </c>
      <c r="E116" s="49">
        <v>4.4843049327354259E-3</v>
      </c>
    </row>
    <row r="117" spans="2:5" ht="13.5" x14ac:dyDescent="0.2">
      <c r="B117" s="97"/>
      <c r="C117" s="77" t="s">
        <v>23</v>
      </c>
      <c r="D117" s="76">
        <v>6</v>
      </c>
      <c r="E117" s="75">
        <v>8.9686098654708519E-3</v>
      </c>
    </row>
    <row r="118" spans="2:5" ht="13.5" x14ac:dyDescent="0.2">
      <c r="B118" s="96" t="s">
        <v>109</v>
      </c>
      <c r="C118" s="64" t="s">
        <v>156</v>
      </c>
      <c r="D118" s="50">
        <v>80</v>
      </c>
      <c r="E118" s="49">
        <v>0.11958146487294469</v>
      </c>
    </row>
    <row r="119" spans="2:5" ht="13.5" x14ac:dyDescent="0.2">
      <c r="B119" s="98"/>
      <c r="C119" s="64" t="s">
        <v>154</v>
      </c>
      <c r="D119" s="50">
        <v>26</v>
      </c>
      <c r="E119" s="49">
        <v>3.8863976083707022E-2</v>
      </c>
    </row>
    <row r="120" spans="2:5" ht="13.5" x14ac:dyDescent="0.2">
      <c r="B120" s="97"/>
      <c r="C120" s="77" t="s">
        <v>23</v>
      </c>
      <c r="D120" s="76">
        <v>106</v>
      </c>
      <c r="E120" s="75">
        <v>0.15844544095665172</v>
      </c>
    </row>
    <row r="121" spans="2:5" ht="13.5" x14ac:dyDescent="0.2">
      <c r="B121" s="96" t="s">
        <v>107</v>
      </c>
      <c r="C121" s="64" t="s">
        <v>156</v>
      </c>
      <c r="D121" s="50">
        <v>7</v>
      </c>
      <c r="E121" s="49">
        <v>1.0463378176382661E-2</v>
      </c>
    </row>
    <row r="122" spans="2:5" ht="13.5" x14ac:dyDescent="0.2">
      <c r="B122" s="98"/>
      <c r="C122" s="64" t="s">
        <v>154</v>
      </c>
      <c r="D122" s="50">
        <v>3</v>
      </c>
      <c r="E122" s="49">
        <v>4.4843049327354259E-3</v>
      </c>
    </row>
    <row r="123" spans="2:5" ht="13.5" x14ac:dyDescent="0.2">
      <c r="B123" s="97"/>
      <c r="C123" s="77" t="s">
        <v>23</v>
      </c>
      <c r="D123" s="76">
        <v>10</v>
      </c>
      <c r="E123" s="75">
        <v>1.4947683109118086E-2</v>
      </c>
    </row>
    <row r="124" spans="2:5" ht="13.5" x14ac:dyDescent="0.2">
      <c r="B124" s="96" t="s">
        <v>106</v>
      </c>
      <c r="C124" s="64" t="s">
        <v>156</v>
      </c>
      <c r="D124" s="50">
        <v>10</v>
      </c>
      <c r="E124" s="49">
        <v>1.4947683109118086E-2</v>
      </c>
    </row>
    <row r="125" spans="2:5" ht="13.5" x14ac:dyDescent="0.2">
      <c r="B125" s="98"/>
      <c r="C125" s="64" t="s">
        <v>154</v>
      </c>
      <c r="D125" s="50">
        <v>2</v>
      </c>
      <c r="E125" s="49">
        <v>2.9895366218236174E-3</v>
      </c>
    </row>
    <row r="126" spans="2:5" ht="13.5" x14ac:dyDescent="0.2">
      <c r="B126" s="97"/>
      <c r="C126" s="77" t="s">
        <v>23</v>
      </c>
      <c r="D126" s="76">
        <v>12</v>
      </c>
      <c r="E126" s="75">
        <v>1.7937219730941704E-2</v>
      </c>
    </row>
    <row r="127" spans="2:5" ht="13.5" x14ac:dyDescent="0.2">
      <c r="B127" s="96" t="s">
        <v>105</v>
      </c>
      <c r="C127" s="64" t="s">
        <v>156</v>
      </c>
      <c r="D127" s="50">
        <v>6</v>
      </c>
      <c r="E127" s="49">
        <v>8.9686098654708519E-3</v>
      </c>
    </row>
    <row r="128" spans="2:5" ht="13.5" x14ac:dyDescent="0.2">
      <c r="B128" s="98"/>
      <c r="C128" s="64" t="s">
        <v>154</v>
      </c>
      <c r="D128" s="50">
        <v>1</v>
      </c>
      <c r="E128" s="49">
        <v>1.4947683109118087E-3</v>
      </c>
    </row>
    <row r="129" spans="2:5" ht="13.5" x14ac:dyDescent="0.2">
      <c r="B129" s="97"/>
      <c r="C129" s="77" t="s">
        <v>23</v>
      </c>
      <c r="D129" s="76">
        <v>7</v>
      </c>
      <c r="E129" s="75">
        <v>1.0463378176382661E-2</v>
      </c>
    </row>
    <row r="130" spans="2:5" ht="13.5" x14ac:dyDescent="0.2">
      <c r="B130" s="96" t="s">
        <v>28</v>
      </c>
      <c r="C130" s="64" t="s">
        <v>156</v>
      </c>
      <c r="D130" s="50">
        <v>21</v>
      </c>
      <c r="E130" s="49">
        <v>3.1390134529147982E-2</v>
      </c>
    </row>
    <row r="131" spans="2:5" ht="13.5" x14ac:dyDescent="0.2">
      <c r="B131" s="98"/>
      <c r="C131" s="64" t="s">
        <v>154</v>
      </c>
      <c r="D131" s="50">
        <v>8</v>
      </c>
      <c r="E131" s="49">
        <v>1.195814648729447E-2</v>
      </c>
    </row>
    <row r="132" spans="2:5" ht="13.5" x14ac:dyDescent="0.2">
      <c r="B132" s="97"/>
      <c r="C132" s="77" t="s">
        <v>23</v>
      </c>
      <c r="D132" s="76">
        <v>29</v>
      </c>
      <c r="E132" s="75">
        <v>4.3348281016442454E-2</v>
      </c>
    </row>
    <row r="133" spans="2:5" ht="13.5" x14ac:dyDescent="0.2">
      <c r="B133" s="91" t="s">
        <v>163</v>
      </c>
      <c r="C133" s="92"/>
      <c r="D133" s="61">
        <v>669</v>
      </c>
      <c r="E133" s="60">
        <v>1</v>
      </c>
    </row>
    <row r="135" spans="2:5" x14ac:dyDescent="0.2">
      <c r="B135" s="19" t="s">
        <v>22</v>
      </c>
    </row>
    <row r="136" spans="2:5" x14ac:dyDescent="0.2">
      <c r="B136" s="21" t="s">
        <v>21</v>
      </c>
    </row>
    <row r="137" spans="2:5" x14ac:dyDescent="0.2">
      <c r="B137" s="20" t="s">
        <v>20</v>
      </c>
    </row>
    <row r="138" spans="2:5" x14ac:dyDescent="0.2">
      <c r="B138" s="19" t="s">
        <v>19</v>
      </c>
    </row>
    <row r="139" spans="2:5" x14ac:dyDescent="0.2">
      <c r="B139" s="19" t="s">
        <v>18</v>
      </c>
    </row>
  </sheetData>
  <mergeCells count="44">
    <mergeCell ref="B109:B111"/>
    <mergeCell ref="B130:B132"/>
    <mergeCell ref="B133:C133"/>
    <mergeCell ref="B112:B114"/>
    <mergeCell ref="B115:B117"/>
    <mergeCell ref="B118:B120"/>
    <mergeCell ref="B121:B123"/>
    <mergeCell ref="B124:B126"/>
    <mergeCell ref="B127:B129"/>
    <mergeCell ref="B79:B81"/>
    <mergeCell ref="B82:B84"/>
    <mergeCell ref="B85:B87"/>
    <mergeCell ref="B88:B90"/>
    <mergeCell ref="B91:B93"/>
    <mergeCell ref="B94:B96"/>
    <mergeCell ref="B97:B99"/>
    <mergeCell ref="B100:B102"/>
    <mergeCell ref="B103:B105"/>
    <mergeCell ref="B106:B108"/>
    <mergeCell ref="B51:B53"/>
    <mergeCell ref="B54:B56"/>
    <mergeCell ref="B57:B59"/>
    <mergeCell ref="B60:B62"/>
    <mergeCell ref="B63:B65"/>
    <mergeCell ref="B66:B68"/>
    <mergeCell ref="B69:B71"/>
    <mergeCell ref="B72:B74"/>
    <mergeCell ref="B75:B76"/>
    <mergeCell ref="B77:B78"/>
    <mergeCell ref="B22:B24"/>
    <mergeCell ref="B25:B27"/>
    <mergeCell ref="B28:B30"/>
    <mergeCell ref="B31:B33"/>
    <mergeCell ref="B34:B36"/>
    <mergeCell ref="B37:B38"/>
    <mergeCell ref="B39:B41"/>
    <mergeCell ref="B42:B44"/>
    <mergeCell ref="B45:B47"/>
    <mergeCell ref="B48:B50"/>
    <mergeCell ref="B8:E10"/>
    <mergeCell ref="B12:B13"/>
    <mergeCell ref="B14:B16"/>
    <mergeCell ref="B17:B19"/>
    <mergeCell ref="B20:B21"/>
  </mergeCells>
  <printOptions horizontalCentered="1"/>
  <pageMargins left="0.74803149606299213" right="0.74803149606299213" top="0.98425196850393704" bottom="0.98425196850393704" header="0.51181102362204722" footer="0.51181102362204722"/>
  <pageSetup scale="64" orientation="portrait" r:id="rId1"/>
  <headerFooter>
    <oddFooter>&amp;C&amp;P de &amp;N</oddFooter>
  </headerFooter>
  <rowBreaks count="2" manualBreakCount="2">
    <brk id="59" max="16383" man="1"/>
    <brk id="108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1"/>
  <sheetViews>
    <sheetView showGridLines="0" view="pageBreakPreview" zoomScaleNormal="175" zoomScaleSheetLayoutView="100" workbookViewId="0">
      <selection activeCell="G4" sqref="G4"/>
    </sheetView>
  </sheetViews>
  <sheetFormatPr baseColWidth="10" defaultRowHeight="11.25" x14ac:dyDescent="0.2"/>
  <cols>
    <col min="1" max="1" width="5.7109375" style="31" customWidth="1"/>
    <col min="2" max="2" width="19" style="35" customWidth="1"/>
    <col min="3" max="3" width="17.28515625" style="35" customWidth="1"/>
    <col min="4" max="4" width="17.28515625" style="59" customWidth="1"/>
    <col min="5" max="5" width="16.7109375" style="59" customWidth="1"/>
    <col min="6" max="6" width="16.7109375" style="35" customWidth="1"/>
    <col min="7" max="7" width="5.7109375" style="31" customWidth="1"/>
    <col min="8" max="16384" width="11.42578125" style="31"/>
  </cols>
  <sheetData>
    <row r="1" spans="1:7" s="66" customFormat="1" ht="15" x14ac:dyDescent="0.25">
      <c r="B1" s="38"/>
      <c r="C1" s="35"/>
    </row>
    <row r="2" spans="1:7" s="35" customFormat="1" x14ac:dyDescent="0.2">
      <c r="B2" s="70"/>
    </row>
    <row r="3" spans="1:7" ht="15" customHeight="1" x14ac:dyDescent="0.2">
      <c r="B3" s="71"/>
      <c r="C3" s="58"/>
      <c r="D3" s="31"/>
      <c r="E3" s="31"/>
      <c r="G3" s="35"/>
    </row>
    <row r="4" spans="1:7" ht="30" customHeight="1" x14ac:dyDescent="0.2">
      <c r="B4" s="71"/>
      <c r="C4" s="58"/>
      <c r="D4" s="31"/>
      <c r="E4" s="31"/>
      <c r="G4" s="35"/>
    </row>
    <row r="5" spans="1:7" ht="15" customHeight="1" x14ac:dyDescent="0.2">
      <c r="B5" s="71"/>
      <c r="C5" s="58"/>
      <c r="D5" s="31"/>
      <c r="E5" s="31"/>
      <c r="G5" s="35"/>
    </row>
    <row r="6" spans="1:7" s="35" customFormat="1" x14ac:dyDescent="0.2">
      <c r="B6" s="42"/>
      <c r="C6" s="30"/>
    </row>
    <row r="7" spans="1:7" s="35" customFormat="1" x14ac:dyDescent="0.2">
      <c r="A7" s="38"/>
      <c r="B7" s="70"/>
      <c r="C7" s="38"/>
    </row>
    <row r="8" spans="1:7" s="66" customFormat="1" ht="15" customHeight="1" x14ac:dyDescent="0.25">
      <c r="B8" s="94" t="s">
        <v>161</v>
      </c>
      <c r="C8" s="94"/>
      <c r="D8" s="94"/>
      <c r="E8" s="94"/>
      <c r="F8" s="94"/>
    </row>
    <row r="9" spans="1:7" s="66" customFormat="1" ht="15" customHeight="1" x14ac:dyDescent="0.25">
      <c r="A9" s="68"/>
      <c r="B9" s="94"/>
      <c r="C9" s="94"/>
      <c r="D9" s="94"/>
      <c r="E9" s="94"/>
      <c r="F9" s="94"/>
      <c r="G9" s="69"/>
    </row>
    <row r="10" spans="1:7" s="66" customFormat="1" ht="15" customHeight="1" x14ac:dyDescent="0.25">
      <c r="A10" s="68"/>
      <c r="B10" s="95"/>
      <c r="C10" s="95"/>
      <c r="D10" s="95"/>
      <c r="E10" s="95"/>
      <c r="F10" s="95"/>
      <c r="G10" s="68"/>
    </row>
    <row r="11" spans="1:7" s="66" customFormat="1" ht="36.950000000000003" customHeight="1" x14ac:dyDescent="0.25">
      <c r="B11" s="67" t="s">
        <v>160</v>
      </c>
      <c r="C11" s="67" t="s">
        <v>159</v>
      </c>
      <c r="D11" s="67" t="s">
        <v>73</v>
      </c>
      <c r="E11" s="67" t="s">
        <v>158</v>
      </c>
      <c r="F11" s="67" t="s">
        <v>157</v>
      </c>
    </row>
    <row r="12" spans="1:7" ht="15" customHeight="1" x14ac:dyDescent="0.2">
      <c r="B12" s="96" t="s">
        <v>156</v>
      </c>
      <c r="C12" s="64" t="s">
        <v>153</v>
      </c>
      <c r="D12" s="50">
        <v>1</v>
      </c>
      <c r="E12" s="65">
        <v>2.2222222222222222E-3</v>
      </c>
      <c r="F12" s="49">
        <f t="shared" ref="F12:F25" si="0">D12/$D$25</f>
        <v>1.4947683109118087E-3</v>
      </c>
    </row>
    <row r="13" spans="1:7" ht="15" customHeight="1" x14ac:dyDescent="0.2">
      <c r="B13" s="98"/>
      <c r="C13" s="64" t="s">
        <v>152</v>
      </c>
      <c r="D13" s="50">
        <v>7</v>
      </c>
      <c r="E13" s="65">
        <v>1.5555555555555555E-2</v>
      </c>
      <c r="F13" s="49">
        <f t="shared" si="0"/>
        <v>1.0463378176382661E-2</v>
      </c>
    </row>
    <row r="14" spans="1:7" ht="15" customHeight="1" x14ac:dyDescent="0.2">
      <c r="B14" s="98"/>
      <c r="C14" s="64" t="s">
        <v>151</v>
      </c>
      <c r="D14" s="50">
        <v>109</v>
      </c>
      <c r="E14" s="65">
        <v>0.24222222222222223</v>
      </c>
      <c r="F14" s="49">
        <f t="shared" si="0"/>
        <v>0.16292974588938713</v>
      </c>
    </row>
    <row r="15" spans="1:7" ht="15" customHeight="1" x14ac:dyDescent="0.2">
      <c r="B15" s="98"/>
      <c r="C15" s="64" t="s">
        <v>150</v>
      </c>
      <c r="D15" s="50">
        <v>241</v>
      </c>
      <c r="E15" s="65">
        <v>0.53555555555555556</v>
      </c>
      <c r="F15" s="49">
        <f t="shared" si="0"/>
        <v>0.36023916292974589</v>
      </c>
    </row>
    <row r="16" spans="1:7" ht="15" customHeight="1" x14ac:dyDescent="0.2">
      <c r="B16" s="98"/>
      <c r="C16" s="64" t="s">
        <v>149</v>
      </c>
      <c r="D16" s="50">
        <v>67</v>
      </c>
      <c r="E16" s="65">
        <v>0.14888888888888888</v>
      </c>
      <c r="F16" s="49">
        <f t="shared" si="0"/>
        <v>0.10014947683109118</v>
      </c>
    </row>
    <row r="17" spans="1:7" s="35" customFormat="1" ht="15" customHeight="1" x14ac:dyDescent="0.2">
      <c r="A17" s="31"/>
      <c r="B17" s="98"/>
      <c r="C17" s="64" t="s">
        <v>148</v>
      </c>
      <c r="D17" s="50">
        <v>23</v>
      </c>
      <c r="E17" s="65">
        <v>5.1111111111111114E-2</v>
      </c>
      <c r="F17" s="49">
        <f t="shared" si="0"/>
        <v>3.4379671150971597E-2</v>
      </c>
      <c r="G17" s="31"/>
    </row>
    <row r="18" spans="1:7" s="35" customFormat="1" ht="15" customHeight="1" x14ac:dyDescent="0.2">
      <c r="A18" s="31"/>
      <c r="B18" s="97"/>
      <c r="C18" s="64" t="s">
        <v>155</v>
      </c>
      <c r="D18" s="50">
        <v>2</v>
      </c>
      <c r="E18" s="65">
        <v>4.4444444444444444E-3</v>
      </c>
      <c r="F18" s="49">
        <f t="shared" si="0"/>
        <v>2.9895366218236174E-3</v>
      </c>
      <c r="G18" s="31"/>
    </row>
    <row r="19" spans="1:7" s="35" customFormat="1" ht="15" customHeight="1" x14ac:dyDescent="0.2">
      <c r="A19" s="31"/>
      <c r="B19" s="96" t="s">
        <v>154</v>
      </c>
      <c r="C19" s="64" t="s">
        <v>153</v>
      </c>
      <c r="D19" s="50">
        <v>1</v>
      </c>
      <c r="E19" s="63">
        <v>4.5662100456621002E-3</v>
      </c>
      <c r="F19" s="49">
        <f t="shared" si="0"/>
        <v>1.4947683109118087E-3</v>
      </c>
      <c r="G19" s="31"/>
    </row>
    <row r="20" spans="1:7" s="35" customFormat="1" ht="15" customHeight="1" x14ac:dyDescent="0.2">
      <c r="A20" s="31"/>
      <c r="B20" s="98"/>
      <c r="C20" s="64" t="s">
        <v>152</v>
      </c>
      <c r="D20" s="50">
        <v>8</v>
      </c>
      <c r="E20" s="63">
        <v>3.6529680365296802E-2</v>
      </c>
      <c r="F20" s="49">
        <f t="shared" si="0"/>
        <v>1.195814648729447E-2</v>
      </c>
      <c r="G20" s="31"/>
    </row>
    <row r="21" spans="1:7" s="35" customFormat="1" ht="15" customHeight="1" x14ac:dyDescent="0.2">
      <c r="A21" s="31"/>
      <c r="B21" s="98"/>
      <c r="C21" s="64" t="s">
        <v>151</v>
      </c>
      <c r="D21" s="50">
        <v>68</v>
      </c>
      <c r="E21" s="63">
        <v>0.31050228310502281</v>
      </c>
      <c r="F21" s="49">
        <f t="shared" si="0"/>
        <v>0.10164424514200299</v>
      </c>
      <c r="G21" s="31"/>
    </row>
    <row r="22" spans="1:7" ht="13.5" x14ac:dyDescent="0.2">
      <c r="B22" s="98"/>
      <c r="C22" s="64" t="s">
        <v>150</v>
      </c>
      <c r="D22" s="50">
        <v>102</v>
      </c>
      <c r="E22" s="63">
        <v>0.46575342465753422</v>
      </c>
      <c r="F22" s="49">
        <f t="shared" si="0"/>
        <v>0.15246636771300448</v>
      </c>
    </row>
    <row r="23" spans="1:7" ht="27" x14ac:dyDescent="0.2">
      <c r="B23" s="98"/>
      <c r="C23" s="64" t="s">
        <v>149</v>
      </c>
      <c r="D23" s="50">
        <v>30</v>
      </c>
      <c r="E23" s="63">
        <v>0.13698630136986301</v>
      </c>
      <c r="F23" s="49">
        <f t="shared" si="0"/>
        <v>4.4843049327354258E-2</v>
      </c>
    </row>
    <row r="24" spans="1:7" ht="13.5" x14ac:dyDescent="0.2">
      <c r="B24" s="97"/>
      <c r="C24" s="64" t="s">
        <v>148</v>
      </c>
      <c r="D24" s="50">
        <v>10</v>
      </c>
      <c r="E24" s="63">
        <v>4.5662100456621002E-2</v>
      </c>
      <c r="F24" s="49">
        <f t="shared" si="0"/>
        <v>1.4947683109118086E-2</v>
      </c>
    </row>
    <row r="25" spans="1:7" ht="13.5" x14ac:dyDescent="0.2">
      <c r="B25" s="62" t="s">
        <v>23</v>
      </c>
      <c r="C25" s="62"/>
      <c r="D25" s="61">
        <v>669</v>
      </c>
      <c r="E25" s="60"/>
      <c r="F25" s="60">
        <f t="shared" si="0"/>
        <v>1</v>
      </c>
    </row>
    <row r="27" spans="1:7" x14ac:dyDescent="0.2">
      <c r="B27" s="19" t="s">
        <v>22</v>
      </c>
    </row>
    <row r="28" spans="1:7" x14ac:dyDescent="0.2">
      <c r="B28" s="21" t="s">
        <v>21</v>
      </c>
    </row>
    <row r="29" spans="1:7" x14ac:dyDescent="0.2">
      <c r="B29" s="20" t="s">
        <v>20</v>
      </c>
    </row>
    <row r="30" spans="1:7" x14ac:dyDescent="0.2">
      <c r="B30" s="19" t="s">
        <v>19</v>
      </c>
    </row>
    <row r="31" spans="1:7" x14ac:dyDescent="0.2">
      <c r="B31" s="19" t="s">
        <v>18</v>
      </c>
    </row>
  </sheetData>
  <mergeCells count="3">
    <mergeCell ref="B8:F10"/>
    <mergeCell ref="B12:B18"/>
    <mergeCell ref="B19:B24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D37"/>
  <sheetViews>
    <sheetView showGridLines="0" topLeftCell="A4" zoomScaleNormal="100" zoomScaleSheetLayoutView="115" workbookViewId="0">
      <selection activeCell="G11" sqref="G11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8"/>
    </row>
    <row r="2" spans="1:4" s="31" customFormat="1" ht="15" customHeight="1" x14ac:dyDescent="0.2">
      <c r="C2" s="58"/>
    </row>
    <row r="3" spans="1:4" s="31" customFormat="1" ht="15" customHeight="1" x14ac:dyDescent="0.2">
      <c r="A3" s="31" t="s">
        <v>104</v>
      </c>
      <c r="C3" s="58"/>
    </row>
    <row r="4" spans="1:4" s="31" customFormat="1" ht="30" customHeight="1" x14ac:dyDescent="0.2">
      <c r="C4" s="58"/>
      <c r="D4" s="57"/>
    </row>
    <row r="5" spans="1:4" s="31" customFormat="1" ht="15" customHeight="1" x14ac:dyDescent="0.2">
      <c r="C5" s="58"/>
      <c r="D5" s="57"/>
    </row>
    <row r="6" spans="1:4" s="31" customFormat="1" ht="15" customHeight="1" x14ac:dyDescent="0.2">
      <c r="C6" s="58"/>
      <c r="D6" s="57"/>
    </row>
    <row r="7" spans="1:4" s="31" customFormat="1" ht="15" customHeight="1" x14ac:dyDescent="0.2">
      <c r="B7" s="93" t="s">
        <v>202</v>
      </c>
      <c r="C7" s="93"/>
      <c r="D7" s="93"/>
    </row>
    <row r="8" spans="1:4" s="31" customFormat="1" ht="15" customHeight="1" x14ac:dyDescent="0.2">
      <c r="B8" s="93"/>
      <c r="C8" s="93"/>
      <c r="D8" s="93"/>
    </row>
    <row r="9" spans="1:4" s="31" customFormat="1" ht="33" customHeight="1" x14ac:dyDescent="0.2">
      <c r="B9" s="93"/>
      <c r="C9" s="93"/>
      <c r="D9" s="93"/>
    </row>
    <row r="10" spans="1:4" s="31" customFormat="1" ht="4.5" customHeight="1" x14ac:dyDescent="0.2">
      <c r="B10" s="56"/>
      <c r="C10" s="56"/>
      <c r="D10" s="56"/>
    </row>
    <row r="11" spans="1:4" s="31" customFormat="1" ht="33" customHeight="1" x14ac:dyDescent="0.2">
      <c r="B11" s="55" t="s">
        <v>201</v>
      </c>
      <c r="C11" s="54" t="s">
        <v>73</v>
      </c>
      <c r="D11" s="53" t="s">
        <v>72</v>
      </c>
    </row>
    <row r="12" spans="1:4" ht="15" customHeight="1" x14ac:dyDescent="0.25">
      <c r="B12" s="51" t="s">
        <v>200</v>
      </c>
      <c r="C12" s="50">
        <v>405</v>
      </c>
      <c r="D12" s="49">
        <f t="shared" ref="D12:D29" si="0">C12/$C$29</f>
        <v>0.60538116591928248</v>
      </c>
    </row>
    <row r="13" spans="1:4" x14ac:dyDescent="0.25">
      <c r="B13" s="51" t="s">
        <v>199</v>
      </c>
      <c r="C13" s="50">
        <v>101</v>
      </c>
      <c r="D13" s="49">
        <f t="shared" si="0"/>
        <v>0.15097159940209268</v>
      </c>
    </row>
    <row r="14" spans="1:4" s="52" customFormat="1" ht="15.75" x14ac:dyDescent="0.25">
      <c r="A14" s="43"/>
      <c r="B14" s="51" t="s">
        <v>198</v>
      </c>
      <c r="C14" s="50">
        <v>55</v>
      </c>
      <c r="D14" s="49">
        <f t="shared" si="0"/>
        <v>8.2212257100149483E-2</v>
      </c>
    </row>
    <row r="15" spans="1:4" s="52" customFormat="1" ht="15.75" x14ac:dyDescent="0.25">
      <c r="A15" s="43"/>
      <c r="B15" s="51" t="s">
        <v>197</v>
      </c>
      <c r="C15" s="50">
        <v>27</v>
      </c>
      <c r="D15" s="49">
        <f t="shared" si="0"/>
        <v>4.0358744394618833E-2</v>
      </c>
    </row>
    <row r="16" spans="1:4" x14ac:dyDescent="0.25">
      <c r="B16" s="51" t="s">
        <v>196</v>
      </c>
      <c r="C16" s="50">
        <v>25</v>
      </c>
      <c r="D16" s="49">
        <f t="shared" si="0"/>
        <v>3.7369207772795218E-2</v>
      </c>
    </row>
    <row r="17" spans="1:4" x14ac:dyDescent="0.25">
      <c r="B17" s="51" t="s">
        <v>195</v>
      </c>
      <c r="C17" s="50">
        <v>21</v>
      </c>
      <c r="D17" s="49">
        <f t="shared" si="0"/>
        <v>3.1390134529147982E-2</v>
      </c>
    </row>
    <row r="18" spans="1:4" x14ac:dyDescent="0.25">
      <c r="B18" s="51" t="s">
        <v>194</v>
      </c>
      <c r="C18" s="50">
        <v>9</v>
      </c>
      <c r="D18" s="49">
        <f t="shared" si="0"/>
        <v>1.3452914798206279E-2</v>
      </c>
    </row>
    <row r="19" spans="1:4" x14ac:dyDescent="0.25">
      <c r="B19" s="51" t="s">
        <v>193</v>
      </c>
      <c r="C19" s="50">
        <v>7</v>
      </c>
      <c r="D19" s="49">
        <f t="shared" si="0"/>
        <v>1.0463378176382661E-2</v>
      </c>
    </row>
    <row r="20" spans="1:4" x14ac:dyDescent="0.25">
      <c r="B20" s="51" t="s">
        <v>192</v>
      </c>
      <c r="C20" s="50">
        <v>5</v>
      </c>
      <c r="D20" s="49">
        <f t="shared" si="0"/>
        <v>7.4738415545590429E-3</v>
      </c>
    </row>
    <row r="21" spans="1:4" x14ac:dyDescent="0.25">
      <c r="B21" s="51" t="s">
        <v>191</v>
      </c>
      <c r="C21" s="50">
        <v>5</v>
      </c>
      <c r="D21" s="49">
        <f t="shared" si="0"/>
        <v>7.4738415545590429E-3</v>
      </c>
    </row>
    <row r="22" spans="1:4" x14ac:dyDescent="0.25">
      <c r="B22" s="51" t="s">
        <v>190</v>
      </c>
      <c r="C22" s="50">
        <v>2</v>
      </c>
      <c r="D22" s="49">
        <f t="shared" si="0"/>
        <v>2.9895366218236174E-3</v>
      </c>
    </row>
    <row r="23" spans="1:4" x14ac:dyDescent="0.25">
      <c r="B23" s="51" t="s">
        <v>189</v>
      </c>
      <c r="C23" s="50">
        <v>2</v>
      </c>
      <c r="D23" s="49">
        <f t="shared" si="0"/>
        <v>2.9895366218236174E-3</v>
      </c>
    </row>
    <row r="24" spans="1:4" x14ac:dyDescent="0.25">
      <c r="B24" s="51" t="s">
        <v>188</v>
      </c>
      <c r="C24" s="50">
        <v>1</v>
      </c>
      <c r="D24" s="49">
        <f t="shared" si="0"/>
        <v>1.4947683109118087E-3</v>
      </c>
    </row>
    <row r="25" spans="1:4" x14ac:dyDescent="0.25">
      <c r="B25" s="51" t="s">
        <v>187</v>
      </c>
      <c r="C25" s="50">
        <v>1</v>
      </c>
      <c r="D25" s="49">
        <f t="shared" si="0"/>
        <v>1.4947683109118087E-3</v>
      </c>
    </row>
    <row r="26" spans="1:4" x14ac:dyDescent="0.25">
      <c r="B26" s="51" t="s">
        <v>186</v>
      </c>
      <c r="C26" s="50">
        <v>1</v>
      </c>
      <c r="D26" s="49">
        <f t="shared" si="0"/>
        <v>1.4947683109118087E-3</v>
      </c>
    </row>
    <row r="27" spans="1:4" x14ac:dyDescent="0.25">
      <c r="B27" s="51" t="s">
        <v>185</v>
      </c>
      <c r="C27" s="50">
        <v>1</v>
      </c>
      <c r="D27" s="49">
        <f t="shared" si="0"/>
        <v>1.4947683109118087E-3</v>
      </c>
    </row>
    <row r="28" spans="1:4" x14ac:dyDescent="0.25">
      <c r="B28" s="51" t="s">
        <v>184</v>
      </c>
      <c r="C28" s="50">
        <v>1</v>
      </c>
      <c r="D28" s="49">
        <f t="shared" si="0"/>
        <v>1.4947683109118087E-3</v>
      </c>
    </row>
    <row r="29" spans="1:4" x14ac:dyDescent="0.25">
      <c r="B29" s="48" t="s">
        <v>23</v>
      </c>
      <c r="C29" s="47">
        <v>669</v>
      </c>
      <c r="D29" s="46">
        <f t="shared" si="0"/>
        <v>1</v>
      </c>
    </row>
    <row r="31" spans="1:4" x14ac:dyDescent="0.25">
      <c r="A31" s="45" t="s">
        <v>183</v>
      </c>
    </row>
    <row r="32" spans="1:4" x14ac:dyDescent="0.25">
      <c r="A32" s="45" t="s">
        <v>21</v>
      </c>
    </row>
    <row r="33" spans="1:1" x14ac:dyDescent="0.25">
      <c r="A33" s="45" t="s">
        <v>20</v>
      </c>
    </row>
    <row r="34" spans="1:1" x14ac:dyDescent="0.25">
      <c r="A34" s="45" t="s">
        <v>19</v>
      </c>
    </row>
    <row r="35" spans="1:1" x14ac:dyDescent="0.25">
      <c r="A35" s="45" t="s">
        <v>18</v>
      </c>
    </row>
    <row r="36" spans="1:1" x14ac:dyDescent="0.25">
      <c r="A36" s="45"/>
    </row>
    <row r="37" spans="1:1" x14ac:dyDescent="0.25">
      <c r="A37" s="4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Quintana Roo_EdoUsa</vt:lpstr>
      <vt:lpstr>Quintana Roo_Cons_2018</vt:lpstr>
      <vt:lpstr>Quintana RooXCons2018</vt:lpstr>
      <vt:lpstr>Quintana Roo_EdoMun</vt:lpstr>
      <vt:lpstr>Quintana Roo_USAMuni2018</vt:lpstr>
      <vt:lpstr>Quintana Roo_MUNICIPIO</vt:lpstr>
      <vt:lpstr>Quintana Roo_educ_gral</vt:lpstr>
      <vt:lpstr>Quintana Roo_NivelE_Cons</vt:lpstr>
      <vt:lpstr>Quintana Roo_EducCons</vt:lpstr>
      <vt:lpstr>Quintana Roo_GenGral</vt:lpstr>
      <vt:lpstr>Quintana Roo_GENERO</vt:lpstr>
      <vt:lpstr>Quintana Roo_Gen_Edad</vt:lpstr>
      <vt:lpstr>Quintana Roo_ocup_gral</vt:lpstr>
      <vt:lpstr>'Quintana Roo_EducCons'!Área_de_impresión</vt:lpstr>
      <vt:lpstr>'Quintana Roo_MUNICIPIO'!Área_de_impresión</vt:lpstr>
      <vt:lpstr>'Quintana Roo_NivelE_Cons'!Área_de_impresión</vt:lpstr>
      <vt:lpstr>'Quintana Roo_USAMuni2018'!Área_de_impresión</vt:lpstr>
      <vt:lpstr>'Quintana Roo_Cons_2018'!Títulos_a_imprimir</vt:lpstr>
      <vt:lpstr>'Quintana Roo_EdoMun'!Títulos_a_imprimir</vt:lpstr>
      <vt:lpstr>'Quintana Roo_EdoUsa'!Títulos_a_imprimir</vt:lpstr>
      <vt:lpstr>'Quintana Roo_educ_gral'!Títulos_a_imprimir</vt:lpstr>
      <vt:lpstr>'Quintana Roo_EducCons'!Títulos_a_imprimir</vt:lpstr>
      <vt:lpstr>'Quintana Roo_Gen_Edad'!Títulos_a_imprimir</vt:lpstr>
      <vt:lpstr>'Quintana Roo_GENERO'!Títulos_a_imprimir</vt:lpstr>
      <vt:lpstr>'Quintana Roo_GenGral'!Títulos_a_imprimir</vt:lpstr>
      <vt:lpstr>'Quintana Roo_MUNICIPIO'!Títulos_a_imprimir</vt:lpstr>
      <vt:lpstr>'Quintana Roo_NivelE_Cons'!Títulos_a_imprimir</vt:lpstr>
      <vt:lpstr>'Quintana Roo_ocup_gral'!Títulos_a_imprimir</vt:lpstr>
      <vt:lpstr>'Quintana Roo_USAMuni2018'!Títulos_a_imprimir</vt:lpstr>
      <vt:lpstr>'Quintana RooXCons2018'!Títulos_a_imprimir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2019-12-18T18:17:14Z</cp:lastPrinted>
  <dcterms:created xsi:type="dcterms:W3CDTF">2019-12-17T21:51:29Z</dcterms:created>
  <dcterms:modified xsi:type="dcterms:W3CDTF">2019-12-19T22:31:45Z</dcterms:modified>
</cp:coreProperties>
</file>