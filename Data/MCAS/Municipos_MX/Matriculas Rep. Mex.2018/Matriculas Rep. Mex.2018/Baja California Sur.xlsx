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Baja California Sur_EdoUsa" sheetId="18" r:id="rId2"/>
    <sheet name="Baja California Sur_Cons_2018" sheetId="24" r:id="rId3"/>
    <sheet name="Baja California SurXCons2018" sheetId="26" r:id="rId4"/>
    <sheet name="Baja California Sur_EdoMun" sheetId="27" r:id="rId5"/>
    <sheet name="Baja California Sur_USAMuni2018" sheetId="17" r:id="rId6"/>
    <sheet name="Baja California Sur_MUNICIPIO" sheetId="29" r:id="rId7"/>
    <sheet name="Baja California Sur_educ_gral" sheetId="19" r:id="rId8"/>
    <sheet name="Baja California Sur_NivelE_Cons" sheetId="21" r:id="rId9"/>
    <sheet name="Baja California Sur_EducCons" sheetId="20" r:id="rId10"/>
    <sheet name="Baja California Sur_GenGral" sheetId="23" r:id="rId11"/>
    <sheet name="Baja California Sur_GENERO" sheetId="25" r:id="rId12"/>
    <sheet name="Baja California Sur_Gen_Edad" sheetId="22" r:id="rId13"/>
    <sheet name="Baja California Sur_ocup_gral" sheetId="28" r:id="rId14"/>
  </sheets>
  <definedNames>
    <definedName name="_xlnm._FilterDatabase" localSheetId="2" hidden="1">'Baja California Sur_Cons_2018'!$B$11:$D$12</definedName>
    <definedName name="_xlnm._FilterDatabase" localSheetId="4" hidden="1">'Baja California Sur_EdoMun'!$B$11:$D$12</definedName>
    <definedName name="_xlnm._FilterDatabase" localSheetId="1" hidden="1">'Baja California Sur_EdoUsa'!$B$11:$D$46</definedName>
    <definedName name="_xlnm._FilterDatabase" localSheetId="7" hidden="1">'Baja California Sur_educ_gral'!$B$11:$D$12</definedName>
    <definedName name="_xlnm._FilterDatabase" localSheetId="9" hidden="1">'Baja California Sur_EducCons'!$B$9:$E$9</definedName>
    <definedName name="_xlnm._FilterDatabase" localSheetId="10" hidden="1">'Baja California Sur_GenGral'!$B$11:$D$12</definedName>
    <definedName name="_xlnm._FilterDatabase" localSheetId="6" hidden="1">'Baja California Sur_MUNICIPIO'!$B$9:$E$11</definedName>
    <definedName name="_xlnm._FilterDatabase" localSheetId="8" hidden="1">'Baja California Sur_NivelE_Cons'!$B$9:$E$9</definedName>
    <definedName name="_xlnm._FilterDatabase" localSheetId="13" hidden="1">'Baja California Sur_ocup_gral'!$B$11:$D$12</definedName>
    <definedName name="_xlnm._FilterDatabase" localSheetId="5" hidden="1">'Baja California Sur_USAMuni2018'!$B$9:$E$11</definedName>
    <definedName name="_xlnm._FilterDatabase" localSheetId="3" hidden="1">'Baja California SurXCons2018'!$B$11:$D$12</definedName>
    <definedName name="_xlnm.Print_Area" localSheetId="9">'Baja California Sur_EducCons'!$A$1:$E$266</definedName>
    <definedName name="_xlnm.Print_Area" localSheetId="6">'Baja California Sur_MUNICIPIO'!$A$1:$E$166</definedName>
    <definedName name="_xlnm.Print_Area" localSheetId="8">'Baja California Sur_NivelE_Cons'!$A$1:$E$180</definedName>
    <definedName name="_xlnm.Print_Area" localSheetId="5">'Baja California Sur_USAMuni2018'!$A$1:$E$137</definedName>
    <definedName name="_xlnm.Print_Titles" localSheetId="2">'Baja California Sur_Cons_2018'!$1:$11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2">'Baja California Sur_Gen_Edad'!$1:$11</definedName>
    <definedName name="_xlnm.Print_Titles" localSheetId="11">'Baja California Sur_GENERO'!$1:$11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3">'Baja California Sur_ocup_gral'!$1:$11</definedName>
    <definedName name="_xlnm.Print_Titles" localSheetId="5">'Baja California Sur_USAMuni2018'!$1:$9</definedName>
    <definedName name="_xlnm.Print_Titles" localSheetId="3">'Baja California SurXCons2018'!$1:$11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7" i="28" l="1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C22" i="26"/>
  <c r="D21" i="26" s="1"/>
  <c r="D18" i="26"/>
  <c r="D14" i="26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D36" i="19"/>
  <c r="D35" i="19"/>
  <c r="D34" i="19"/>
  <c r="D33" i="19"/>
  <c r="D32" i="19"/>
  <c r="D31" i="19"/>
  <c r="D30" i="19"/>
  <c r="D29" i="19"/>
  <c r="D28" i="19"/>
  <c r="D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5" i="26" l="1"/>
  <c r="D19" i="26"/>
  <c r="D22" i="26"/>
  <c r="D12" i="26"/>
  <c r="D16" i="26"/>
  <c r="D20" i="26"/>
  <c r="D13" i="26"/>
  <c r="D17" i="26"/>
</calcChain>
</file>

<file path=xl/sharedStrings.xml><?xml version="1.0" encoding="utf-8"?>
<sst xmlns="http://schemas.openxmlformats.org/spreadsheetml/2006/main" count="1290" uniqueCount="200">
  <si>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</si>
  <si>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</si>
  <si>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</si>
  <si>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</si>
  <si>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</si>
  <si>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</si>
  <si>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</si>
  <si>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</si>
  <si>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</si>
  <si>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</si>
  <si>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</si>
  <si>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</si>
  <si>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</si>
  <si>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</si>
  <si>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</si>
  <si>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</si>
  <si>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</si>
  <si>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</si>
  <si>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</si>
  <si>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</si>
  <si>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</si>
  <si>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</si>
  <si>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</si>
  <si>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North Carolina</t>
  </si>
  <si>
    <t>Georgia</t>
  </si>
  <si>
    <t>Arkansas</t>
  </si>
  <si>
    <t>Utah</t>
  </si>
  <si>
    <t>Kansas</t>
  </si>
  <si>
    <t>Tennessee</t>
  </si>
  <si>
    <t>New Mexico</t>
  </si>
  <si>
    <t>Washington</t>
  </si>
  <si>
    <t>Kentucky</t>
  </si>
  <si>
    <t>Nebraska</t>
  </si>
  <si>
    <t>Michigan</t>
  </si>
  <si>
    <t>Arizona</t>
  </si>
  <si>
    <t>Iowa</t>
  </si>
  <si>
    <t>Virginia</t>
  </si>
  <si>
    <t>South Carolina</t>
  </si>
  <si>
    <t>Wisconsin</t>
  </si>
  <si>
    <t>Oregon</t>
  </si>
  <si>
    <t>Missouri</t>
  </si>
  <si>
    <t>Ohio</t>
  </si>
  <si>
    <t>Idaho</t>
  </si>
  <si>
    <t>Minnesota</t>
  </si>
  <si>
    <t>Alabama</t>
  </si>
  <si>
    <t>Mississippi</t>
  </si>
  <si>
    <t>New York</t>
  </si>
  <si>
    <t>Pennsylvania</t>
  </si>
  <si>
    <t>Connecticut</t>
  </si>
  <si>
    <t>Maryland</t>
  </si>
  <si>
    <t>Delaware</t>
  </si>
  <si>
    <t>New Jersey</t>
  </si>
  <si>
    <t>Montana</t>
  </si>
  <si>
    <t>District of Columbia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</si>
  <si>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</si>
  <si>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</si>
  <si>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</si>
  <si>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</si>
  <si>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</si>
  <si>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</si>
  <si>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Consulado</t>
  </si>
  <si>
    <t>Chicago</t>
  </si>
  <si>
    <t>Little Rock</t>
  </si>
  <si>
    <t>Los Ángeles</t>
  </si>
  <si>
    <t>Dallas</t>
  </si>
  <si>
    <t>Denver</t>
  </si>
  <si>
    <t>Houston</t>
  </si>
  <si>
    <t>San Bernardino</t>
  </si>
  <si>
    <t>Atlanta</t>
  </si>
  <si>
    <t>Raleigh</t>
  </si>
  <si>
    <t>Kansas City</t>
  </si>
  <si>
    <t>Austin</t>
  </si>
  <si>
    <t>Las Vegas</t>
  </si>
  <si>
    <t>Indianápolis</t>
  </si>
  <si>
    <t>Fresno</t>
  </si>
  <si>
    <t>Santa Ana</t>
  </si>
  <si>
    <t>San Antonio</t>
  </si>
  <si>
    <t>Orlando</t>
  </si>
  <si>
    <t>Omaha</t>
  </si>
  <si>
    <t>Sacramento</t>
  </si>
  <si>
    <t>Salt Lake City</t>
  </si>
  <si>
    <t>Oxnard</t>
  </si>
  <si>
    <t>Seattle</t>
  </si>
  <si>
    <t>San José</t>
  </si>
  <si>
    <t>San Francisco</t>
  </si>
  <si>
    <t>Albuquerque</t>
  </si>
  <si>
    <t>Detroit</t>
  </si>
  <si>
    <t>Miami</t>
  </si>
  <si>
    <t>Phoenix</t>
  </si>
  <si>
    <t>Mcallen</t>
  </si>
  <si>
    <t>Milwaukee</t>
  </si>
  <si>
    <t>San Diego</t>
  </si>
  <si>
    <t>Boise</t>
  </si>
  <si>
    <t>El Paso</t>
  </si>
  <si>
    <t>Portland</t>
  </si>
  <si>
    <t>Nueva Orleans</t>
  </si>
  <si>
    <t>Saint Paul</t>
  </si>
  <si>
    <t>Nueva York</t>
  </si>
  <si>
    <t>Filadelfia</t>
  </si>
  <si>
    <t>Laredo</t>
  </si>
  <si>
    <t>Brownsville</t>
  </si>
  <si>
    <t>Presidio</t>
  </si>
  <si>
    <t>Boston</t>
  </si>
  <si>
    <t>Yuma</t>
  </si>
  <si>
    <t>Caléxico</t>
  </si>
  <si>
    <t>Del Río</t>
  </si>
  <si>
    <t>Tucson</t>
  </si>
  <si>
    <t>Douglas</t>
  </si>
  <si>
    <t>Eagle Pass</t>
  </si>
  <si>
    <t>Nogales</t>
  </si>
  <si>
    <t>Municipio de origen</t>
  </si>
  <si>
    <t>Estado</t>
  </si>
  <si>
    <t>Municipio de Origen</t>
  </si>
  <si>
    <t>Nivel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</si>
  <si>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</si>
  <si>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</si>
  <si>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</si>
  <si>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</si>
  <si>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</si>
  <si>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</si>
  <si>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</si>
  <si>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</si>
  <si>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</si>
  <si>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</si>
  <si>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</si>
  <si>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</si>
  <si>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</si>
  <si>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</si>
  <si>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</si>
  <si>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</si>
  <si>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</si>
  <si>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</si>
  <si>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</si>
  <si>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</si>
  <si>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</si>
  <si>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</si>
  <si>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</si>
  <si>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</si>
  <si>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Nivel de Estudios</t>
  </si>
  <si>
    <t>Calexico</t>
  </si>
  <si>
    <t>Menores de edad</t>
  </si>
  <si>
    <t>Indianapolis</t>
  </si>
  <si>
    <t>Los Angeles</t>
  </si>
  <si>
    <t>Mc Allen</t>
  </si>
  <si>
    <t>San Jose</t>
  </si>
  <si>
    <t>Género</t>
  </si>
  <si>
    <t>Hombre</t>
  </si>
  <si>
    <t>Mujer</t>
  </si>
  <si>
    <t>TOTAL</t>
  </si>
  <si>
    <t>Edad Cumplida</t>
  </si>
  <si>
    <t>Porcentaje con respecto al Género</t>
  </si>
  <si>
    <t>Porcentaje con respecto al total de Matrículas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</si>
  <si>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</si>
  <si>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</si>
  <si>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</si>
  <si>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</si>
  <si>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</si>
  <si>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</si>
  <si>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</si>
  <si>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Ocupación</t>
  </si>
  <si>
    <t>Empleado(a)</t>
  </si>
  <si>
    <t>Hogar</t>
  </si>
  <si>
    <t>Obrero(a)</t>
  </si>
  <si>
    <t>Estudiante</t>
  </si>
  <si>
    <t>Cocinero(a)</t>
  </si>
  <si>
    <t>Otro</t>
  </si>
  <si>
    <t>Albañil</t>
  </si>
  <si>
    <t>Jardinero(a)</t>
  </si>
  <si>
    <t>Pintor(a)</t>
  </si>
  <si>
    <t>Campesino(a)</t>
  </si>
  <si>
    <t>Comerciante</t>
  </si>
  <si>
    <t>Profesionista</t>
  </si>
  <si>
    <t>Chofer</t>
  </si>
  <si>
    <t>Jubilado(a)</t>
  </si>
  <si>
    <t>Cajero(a)</t>
  </si>
  <si>
    <t>Tamaño de la muestra: 826,856</t>
  </si>
  <si>
    <t>4.1 Educación general</t>
  </si>
  <si>
    <t>4.2 Por Estado de USA</t>
  </si>
  <si>
    <t>4.3 Por Circunscripción Consular</t>
  </si>
  <si>
    <t>Número de matrículas</t>
  </si>
  <si>
    <t>Tamaño de la muestra: 814,748</t>
  </si>
  <si>
    <t>5.1 Género General</t>
  </si>
  <si>
    <t>HOMBRE</t>
  </si>
  <si>
    <t>MUJER</t>
  </si>
  <si>
    <t>5.2 Por Circunscripción Consular</t>
  </si>
  <si>
    <t xml:space="preserve">Da clic al texto para ir a la información, selecciona                 para regresar. </t>
  </si>
  <si>
    <t>Matrículas consulares expedidas a originarios de Baja California Sur en el 2018.</t>
  </si>
  <si>
    <t>Comondú</t>
  </si>
  <si>
    <t>La Paz</t>
  </si>
  <si>
    <t>Los Cabos</t>
  </si>
  <si>
    <t>Mulegé</t>
  </si>
  <si>
    <t>Loreto</t>
  </si>
  <si>
    <t>MATRÍCULAS CONSULARES DE ALTA SEGURIDAD EXPEDIDAS A ORIGINARIOS DE BAJA CALIFORNIA SUR POR ESTADO DE LA UNIÓN AMERICANA. DURANTE EL 2018</t>
  </si>
  <si>
    <t>MATRÍCULAS CONSULARES EXPEDIDAS EN EE.UU. A ORIGINARIOS DE BAJA CALIFORNIA SUR POR NIVEL DE EDUCACIÓN, 2016.</t>
  </si>
  <si>
    <t>MATRÍCULAS CONSULARES EXPEDIDAS A ORIGINARIOS DE BAJA CALIFORNIA SUR POR GÉNERO Y EDAD EN EE.UU.</t>
  </si>
  <si>
    <t>MATRÍCULAS CONSULARES EXPEDIDAS A ORIGINARIOS DE BAJA CALIFORNIA SUR POR GÉNERO EN EE.UU DURANTE EL 2016.</t>
  </si>
  <si>
    <t>MATRÍCULAS CONSULARES DE ALTA SEGURIDAD EXPEDIDAS DURANTE EL 2018 A ORIGINARIOS DE BAJA CALIFORNIA SUR EN LOS CONSULADOS DE MÉXICO EN EE.UU.</t>
  </si>
  <si>
    <t>MATRÍCULAS CONSULARES EXPEDIDAS A ORIGINARIOS DE BAJA CALIFORNIA SUR POR GÉNERO Y CONSULADO DE MÉXICO 2018.</t>
  </si>
  <si>
    <t>MATRÍCULAS CONSULARES DE ALTA SEGURIDAD EXPEDIDAS POR MUNICIPIO A ORIGINARIOS DEL ESTADO DE BAJA CALIFORNIA SUR EN LOS CONSULADOS DE MÉXICO EN EE.UU. 2018</t>
  </si>
  <si>
    <t>MATRÍCULAS CONSULARES EXPEDIDAS EN EE.UU. A ORIGINARIOS DE BAJA CALIFORNIA SUR POR PERFIL OCUPACIONAL,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</si>
</sst>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.5"/>
      <color theme="1"/>
      <name val="Montserrat"/>
    </font>
    <font>
      <sz val="8"/>
      <color indexed="8"/>
      <name val="Soberana Sans"/>
      <family val="3"/>
    </font>
    <font>
      <u/>
      <sz val="11"/>
      <color theme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21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5" fillId="0" borderId="0" xfId="0" applyFont="1"/>
    <xf numFmtId="1" fontId="5" fillId="0" borderId="0" xfId="0" applyNumberFormat="1" applyFont="1"/>
    <xf numFmtId="3" fontId="5" fillId="0" borderId="0" xfId="0" applyNumberFormat="1" applyFont="1"/>
    <xf numFmtId="0" fontId="7" fillId="0" borderId="0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9" fillId="3" borderId="11" xfId="0" applyNumberFormat="1" applyFont="1" applyFill="1" applyBorder="1" applyAlignment="1">
      <alignment vertical="center" wrapText="1"/>
    </xf>
    <xf numFmtId="3" fontId="10" fillId="3" borderId="11" xfId="0" applyNumberFormat="1" applyFont="1" applyFill="1" applyBorder="1" applyAlignment="1">
      <alignment horizontal="right" vertical="center" wrapText="1"/>
    </xf>
    <xf numFmtId="164" fontId="10" fillId="3" borderId="11" xfId="0" applyNumberFormat="1" applyFont="1" applyFill="1" applyBorder="1" applyAlignment="1">
      <alignment horizontal="right" vertical="center" wrapText="1"/>
    </xf>
    <xf numFmtId="0" fontId="11" fillId="3" borderId="0" xfId="0" applyFont="1" applyFill="1"/>
    <xf numFmtId="49" fontId="8" fillId="4" borderId="11" xfId="0" applyNumberFormat="1" applyFont="1" applyFill="1" applyBorder="1" applyAlignment="1">
      <alignment vertical="center" wrapText="1"/>
    </xf>
    <xf numFmtId="3" fontId="8" fillId="4" borderId="11" xfId="0" applyNumberFormat="1" applyFont="1" applyFill="1" applyBorder="1" applyAlignment="1">
      <alignment horizontal="right" vertical="center" wrapText="1"/>
    </xf>
    <xf numFmtId="164" fontId="8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2" fillId="3" borderId="0" xfId="0" applyFont="1" applyFill="1" applyAlignment="1">
      <alignment vertical="top"/>
    </xf>
    <xf numFmtId="0" fontId="5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13" fillId="3" borderId="0" xfId="0" applyFont="1" applyFill="1" applyBorder="1"/>
    <xf numFmtId="1" fontId="5" fillId="3" borderId="0" xfId="0" applyNumberFormat="1" applyFont="1" applyFill="1" applyBorder="1"/>
    <xf numFmtId="3" fontId="5" fillId="3" borderId="0" xfId="0" applyNumberFormat="1" applyFont="1" applyFill="1" applyBorder="1"/>
    <xf numFmtId="0" fontId="5" fillId="3" borderId="0" xfId="0" applyFont="1" applyFill="1"/>
    <xf numFmtId="0" fontId="13" fillId="3" borderId="0" xfId="0" applyFont="1" applyFill="1" applyAlignment="1">
      <alignment vertical="center"/>
    </xf>
    <xf numFmtId="0" fontId="13" fillId="3" borderId="0" xfId="0" applyFont="1" applyFill="1"/>
    <xf numFmtId="0" fontId="14" fillId="3" borderId="0" xfId="0" applyFont="1" applyFill="1" applyAlignment="1"/>
    <xf numFmtId="0" fontId="15" fillId="2" borderId="10" xfId="2" applyFont="1" applyFill="1" applyBorder="1" applyAlignment="1">
      <alignment horizontal="center" vertical="center" wrapText="1"/>
    </xf>
    <xf numFmtId="0" fontId="8" fillId="2" borderId="10" xfId="2" applyFont="1" applyFill="1" applyBorder="1" applyAlignment="1">
      <alignment horizontal="center" vertical="center" wrapText="1"/>
    </xf>
    <xf numFmtId="1" fontId="15" fillId="2" borderId="10" xfId="2" applyNumberFormat="1" applyFont="1" applyFill="1" applyBorder="1" applyAlignment="1">
      <alignment horizontal="center" vertical="center" wrapText="1"/>
    </xf>
    <xf numFmtId="0" fontId="16" fillId="3" borderId="0" xfId="0" applyFont="1" applyFill="1"/>
    <xf numFmtId="49" fontId="17" fillId="3" borderId="11" xfId="1" applyNumberFormat="1" applyFont="1" applyFill="1" applyBorder="1" applyAlignment="1">
      <alignment vertical="top" wrapText="1"/>
    </xf>
    <xf numFmtId="165" fontId="17" fillId="3" borderId="11" xfId="1" applyNumberFormat="1" applyFont="1" applyFill="1" applyBorder="1" applyAlignment="1">
      <alignment horizontal="right" vertical="top" wrapText="1"/>
    </xf>
    <xf numFmtId="164" fontId="17" fillId="3" borderId="11" xfId="1" applyNumberFormat="1" applyFont="1" applyFill="1" applyBorder="1" applyAlignment="1">
      <alignment horizontal="right" vertical="top" wrapText="1"/>
    </xf>
    <xf numFmtId="49" fontId="8" fillId="5" borderId="11" xfId="1" applyNumberFormat="1" applyFont="1" applyFill="1" applyBorder="1" applyAlignment="1">
      <alignment vertical="top" wrapText="1"/>
    </xf>
    <xf numFmtId="165" fontId="8" fillId="5" borderId="11" xfId="1" applyNumberFormat="1" applyFont="1" applyFill="1" applyBorder="1" applyAlignment="1">
      <alignment horizontal="right" vertical="top" wrapText="1"/>
    </xf>
    <xf numFmtId="164" fontId="8" fillId="5" borderId="11" xfId="1" applyNumberFormat="1" applyFont="1" applyFill="1" applyBorder="1" applyAlignment="1">
      <alignment horizontal="right" vertical="top" wrapText="1"/>
    </xf>
    <xf numFmtId="3" fontId="8" fillId="6" borderId="11" xfId="0" applyNumberFormat="1" applyFont="1" applyFill="1" applyBorder="1" applyAlignment="1">
      <alignment horizontal="right" wrapText="1"/>
    </xf>
    <xf numFmtId="164" fontId="8" fillId="6" borderId="11" xfId="0" applyNumberFormat="1" applyFont="1" applyFill="1" applyBorder="1" applyAlignment="1">
      <alignment horizontal="right" wrapText="1"/>
    </xf>
    <xf numFmtId="0" fontId="18" fillId="3" borderId="0" xfId="0" applyFont="1" applyFill="1"/>
    <xf numFmtId="0" fontId="0" fillId="3" borderId="0" xfId="0" applyFill="1"/>
    <xf numFmtId="0" fontId="5" fillId="3" borderId="0" xfId="0" applyFont="1" applyFill="1" applyBorder="1" applyAlignment="1">
      <alignment vertical="center"/>
    </xf>
    <xf numFmtId="0" fontId="5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5" fillId="2" borderId="11" xfId="2" applyFont="1" applyFill="1" applyBorder="1" applyAlignment="1">
      <alignment horizontal="center" vertical="center" wrapText="1"/>
    </xf>
    <xf numFmtId="49" fontId="9" fillId="3" borderId="11" xfId="0" applyNumberFormat="1" applyFont="1" applyFill="1" applyBorder="1" applyAlignment="1">
      <alignment horizontal="left" vertical="center" wrapText="1"/>
    </xf>
    <xf numFmtId="49" fontId="8" fillId="7" borderId="15" xfId="0" applyNumberFormat="1" applyFont="1" applyFill="1" applyBorder="1" applyAlignment="1">
      <alignment vertical="center" wrapText="1"/>
    </xf>
    <xf numFmtId="3" fontId="8" fillId="7" borderId="11" xfId="0" applyNumberFormat="1" applyFont="1" applyFill="1" applyBorder="1" applyAlignment="1">
      <alignment horizontal="right" vertical="center" wrapText="1"/>
    </xf>
    <xf numFmtId="164" fontId="8" fillId="7" borderId="11" xfId="0" applyNumberFormat="1" applyFont="1" applyFill="1" applyBorder="1" applyAlignment="1">
      <alignment horizontal="right" vertical="center" wrapText="1"/>
    </xf>
    <xf numFmtId="3" fontId="8" fillId="6" borderId="11" xfId="0" applyNumberFormat="1" applyFont="1" applyFill="1" applyBorder="1" applyAlignment="1">
      <alignment horizontal="right" vertical="center" wrapText="1"/>
    </xf>
    <xf numFmtId="164" fontId="8" fillId="6" borderId="11" xfId="0" applyNumberFormat="1" applyFont="1" applyFill="1" applyBorder="1" applyAlignment="1">
      <alignment horizontal="right" vertical="center" wrapText="1"/>
    </xf>
    <xf numFmtId="3" fontId="5" fillId="3" borderId="0" xfId="0" applyNumberFormat="1" applyFont="1" applyFill="1"/>
    <xf numFmtId="164" fontId="10" fillId="8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49" fontId="8" fillId="6" borderId="11" xfId="0" applyNumberFormat="1" applyFont="1" applyFill="1" applyBorder="1" applyAlignment="1">
      <alignment vertical="center" wrapText="1"/>
    </xf>
    <xf numFmtId="0" fontId="20" fillId="3" borderId="0" xfId="0" applyFont="1" applyFill="1"/>
    <xf numFmtId="3" fontId="11" fillId="3" borderId="0" xfId="0" applyNumberFormat="1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4" fillId="0" borderId="1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4" fillId="0" borderId="2" xfId="3" applyFont="1" applyBorder="1" applyAlignment="1">
      <alignment horizontal="left"/>
    </xf>
    <xf numFmtId="0" fontId="6" fillId="0" borderId="0" xfId="0" applyFont="1" applyBorder="1" applyAlignment="1">
      <alignment horizontal="center"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2" xfId="1" applyNumberFormat="1" applyFont="1" applyFill="1" applyBorder="1" applyAlignment="1">
      <alignment horizontal="center" vertical="center" wrapText="1"/>
    </xf>
    <xf numFmtId="49" fontId="17" fillId="3" borderId="13" xfId="1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2" xfId="0" applyNumberFormat="1" applyFont="1" applyFill="1" applyBorder="1" applyAlignment="1">
      <alignment horizontal="center" vertical="center" wrapText="1"/>
    </xf>
    <xf numFmtId="49" fontId="9" fillId="3" borderId="13" xfId="0" applyNumberFormat="1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distributed"/>
    </xf>
    <xf numFmtId="0" fontId="19" fillId="3" borderId="16" xfId="0" applyFont="1" applyFill="1" applyBorder="1" applyAlignment="1">
      <alignment horizontal="center" vertical="distributed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152400</xdr:rowOff>
    </xdr:from>
    <xdr:to>
      <xdr:col>7</xdr:col>
      <xdr:colOff>114300</xdr:colOff>
      <xdr:row>4</xdr:row>
      <xdr:rowOff>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334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2</xdr:row>
      <xdr:rowOff>171450</xdr:rowOff>
    </xdr:from>
    <xdr:to>
      <xdr:col>7</xdr:col>
      <xdr:colOff>38100</xdr:colOff>
      <xdr:row>4</xdr:row>
      <xdr:rowOff>19050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67350" y="5524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133350</xdr:rowOff>
    </xdr:from>
    <xdr:to>
      <xdr:col>7</xdr:col>
      <xdr:colOff>95250</xdr:colOff>
      <xdr:row>3</xdr:row>
      <xdr:rowOff>361950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5143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3</xdr:row>
      <xdr:rowOff>19050</xdr:rowOff>
    </xdr:from>
    <xdr:to>
      <xdr:col>7</xdr:col>
      <xdr:colOff>85725</xdr:colOff>
      <xdr:row>4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905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91965</xdr:colOff>
      <xdr:row>2</xdr:row>
      <xdr:rowOff>124811</xdr:rowOff>
    </xdr:from>
    <xdr:to>
      <xdr:col>5</xdr:col>
      <xdr:colOff>853965</xdr:colOff>
      <xdr:row>3</xdr:row>
      <xdr:rowOff>353411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2948" y="466397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183931</xdr:colOff>
      <xdr:row>2</xdr:row>
      <xdr:rowOff>52552</xdr:rowOff>
    </xdr:from>
    <xdr:to>
      <xdr:col>5</xdr:col>
      <xdr:colOff>945931</xdr:colOff>
      <xdr:row>3</xdr:row>
      <xdr:rowOff>281152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44914" y="394138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3</xdr:row>
      <xdr:rowOff>9525</xdr:rowOff>
    </xdr:from>
    <xdr:to>
      <xdr:col>7</xdr:col>
      <xdr:colOff>57150</xdr:colOff>
      <xdr:row>4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5810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32845</xdr:colOff>
      <xdr:row>2</xdr:row>
      <xdr:rowOff>164224</xdr:rowOff>
    </xdr:from>
    <xdr:to>
      <xdr:col>5</xdr:col>
      <xdr:colOff>794845</xdr:colOff>
      <xdr:row>4</xdr:row>
      <xdr:rowOff>11824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93828" y="50581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1255060</xdr:colOff>
      <xdr:row>2</xdr:row>
      <xdr:rowOff>168088</xdr:rowOff>
    </xdr:from>
    <xdr:to>
      <xdr:col>4</xdr:col>
      <xdr:colOff>2017060</xdr:colOff>
      <xdr:row>4</xdr:row>
      <xdr:rowOff>15688</xdr:rowOff>
    </xdr:to>
    <xdr:sp macro="" textlink="">
      <xdr:nvSpPr>
        <xdr:cNvPr id="9" name="Rectángulo redondeado 8">
          <a:hlinkClick xmlns:r="http://schemas.openxmlformats.org/officeDocument/2006/relationships" r:id="rId3"/>
        </xdr:cNvPr>
        <xdr:cNvSpPr/>
      </xdr:nvSpPr>
      <xdr:spPr>
        <a:xfrm>
          <a:off x="5894295" y="51547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104775</xdr:colOff>
      <xdr:row>2</xdr:row>
      <xdr:rowOff>161925</xdr:rowOff>
    </xdr:from>
    <xdr:to>
      <xdr:col>7</xdr:col>
      <xdr:colOff>104775</xdr:colOff>
      <xdr:row>4</xdr:row>
      <xdr:rowOff>9525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34025" y="5429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238125</xdr:colOff>
      <xdr:row>2</xdr:row>
      <xdr:rowOff>133350</xdr:rowOff>
    </xdr:from>
    <xdr:to>
      <xdr:col>6</xdr:col>
      <xdr:colOff>619125</xdr:colOff>
      <xdr:row>3</xdr:row>
      <xdr:rowOff>361950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48300" y="4667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190500</xdr:colOff>
      <xdr:row>3</xdr:row>
      <xdr:rowOff>38100</xdr:rowOff>
    </xdr:from>
    <xdr:to>
      <xdr:col>7</xdr:col>
      <xdr:colOff>571500</xdr:colOff>
      <xdr:row>4</xdr:row>
      <xdr:rowOff>76200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72225" y="5619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180975</xdr:rowOff>
    </xdr:from>
    <xdr:to>
      <xdr:col>7</xdr:col>
      <xdr:colOff>85725</xdr:colOff>
      <xdr:row>4</xdr:row>
      <xdr:rowOff>28575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619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I14" sqref="I14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186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185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75"/>
      <c r="B5" s="76"/>
      <c r="C5" s="76"/>
      <c r="D5" s="77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176</v>
      </c>
      <c r="C17" s="85"/>
      <c r="D17" s="86"/>
    </row>
    <row r="18" spans="1:4" x14ac:dyDescent="0.35">
      <c r="A18" s="8"/>
      <c r="B18" s="85" t="s">
        <v>177</v>
      </c>
      <c r="C18" s="85"/>
      <c r="D18" s="86"/>
    </row>
    <row r="19" spans="1:4" x14ac:dyDescent="0.35">
      <c r="A19" s="8"/>
      <c r="B19" s="85" t="s">
        <v>178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181</v>
      </c>
      <c r="C22" s="85"/>
      <c r="D22" s="86"/>
    </row>
    <row r="23" spans="1:4" x14ac:dyDescent="0.35">
      <c r="A23" s="8"/>
      <c r="B23" s="85" t="s">
        <v>184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Baja California Sur_EdoUsa'!A1" display="1. Por Estados de USA"/>
    <hyperlink ref="A8:D8" location="'Baja California Sur_Cons_2018'!A1" display="2. Por Circunscripción Consular"/>
    <hyperlink ref="B9:D9" location="'Baja California SurXCons2018'!A1" display="2.1 Top ten por circunscripción consular"/>
    <hyperlink ref="B12:D12" location="'Baja California Sur_EdoMun'!A1" display="3.1 Municipio general"/>
    <hyperlink ref="B13:D13" location="'Baja California Sur_USAMuni2018'!A1" display="3.2 Por Estado de USA"/>
    <hyperlink ref="B14:D14" location="'Baja California Sur_MUNICIPIO'!A1" display="3.3 Por Circunscripción Consular"/>
    <hyperlink ref="B17:D17" location="'Baja California Sur_educ_gral'!A1" display="4.1 Educación general"/>
    <hyperlink ref="B18:D18" location="'Baja California Sur_NivelE_Cons'!A1" display="4.2 Por Estado de USA"/>
    <hyperlink ref="B19:D19" location="'Baja California Sur_EducCons'!A1" display="4.3 Por Circunscripción Consular"/>
    <hyperlink ref="B22:D22" location="'Baja California Sur_GenGral'!A1" display="5.1 Género General"/>
    <hyperlink ref="B23:D23" location="'Baja California Sur_GENERO'!A1" display="5.2 Por Circunscripción Consular"/>
    <hyperlink ref="A25:D25" location="'Baja California Sur_Gen_Edad'!A1" display="6. Por estructura de Edad"/>
    <hyperlink ref="A27:D27" location="'Baja California Sur_ocup_gral'!Títulos_a_imprimir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192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12</v>
      </c>
      <c r="C11" s="19" t="s">
        <v>13</v>
      </c>
      <c r="D11" s="20" t="s">
        <v>14</v>
      </c>
    </row>
    <row r="12" spans="1:4" x14ac:dyDescent="0.25">
      <c r="B12" s="22" t="s">
        <v>15</v>
      </c>
      <c r="C12" s="23">
        <v>213</v>
      </c>
      <c r="D12" s="24">
        <v>0.50593824228028506</v>
      </c>
    </row>
    <row r="13" spans="1:4" s="25" customFormat="1" ht="15.75" x14ac:dyDescent="0.25">
      <c r="A13" s="21"/>
      <c r="B13" s="22" t="s">
        <v>16</v>
      </c>
      <c r="C13" s="23">
        <v>29</v>
      </c>
      <c r="D13" s="24">
        <v>6.8883610451306407E-2</v>
      </c>
    </row>
    <row r="14" spans="1:4" s="25" customFormat="1" ht="15.75" x14ac:dyDescent="0.25">
      <c r="A14" s="21"/>
      <c r="B14" s="22" t="s">
        <v>17</v>
      </c>
      <c r="C14" s="23">
        <v>18</v>
      </c>
      <c r="D14" s="24">
        <v>4.2755344418052253E-2</v>
      </c>
    </row>
    <row r="15" spans="1:4" x14ac:dyDescent="0.25">
      <c r="B15" s="22" t="s">
        <v>22</v>
      </c>
      <c r="C15" s="23">
        <v>18</v>
      </c>
      <c r="D15" s="24">
        <v>4.2755344418052253E-2</v>
      </c>
    </row>
    <row r="16" spans="1:4" x14ac:dyDescent="0.25">
      <c r="B16" s="22" t="s">
        <v>23</v>
      </c>
      <c r="C16" s="23">
        <v>16</v>
      </c>
      <c r="D16" s="24">
        <v>3.800475059382423E-2</v>
      </c>
    </row>
    <row r="17" spans="2:4" x14ac:dyDescent="0.25">
      <c r="B17" s="22" t="s">
        <v>26</v>
      </c>
      <c r="C17" s="23">
        <v>16</v>
      </c>
      <c r="D17" s="24">
        <v>3.800475059382423E-2</v>
      </c>
    </row>
    <row r="18" spans="2:4" x14ac:dyDescent="0.25">
      <c r="B18" s="22" t="s">
        <v>21</v>
      </c>
      <c r="C18" s="23">
        <v>11</v>
      </c>
      <c r="D18" s="24">
        <v>2.6128266033254157E-2</v>
      </c>
    </row>
    <row r="19" spans="2:4" x14ac:dyDescent="0.25">
      <c r="B19" s="22" t="s">
        <v>30</v>
      </c>
      <c r="C19" s="23">
        <v>10</v>
      </c>
      <c r="D19" s="24">
        <v>2.3752969121140142E-2</v>
      </c>
    </row>
    <row r="20" spans="2:4" x14ac:dyDescent="0.25">
      <c r="B20" s="22" t="s">
        <v>29</v>
      </c>
      <c r="C20" s="23">
        <v>9</v>
      </c>
      <c r="D20" s="24">
        <v>2.1377672209026127E-2</v>
      </c>
    </row>
    <row r="21" spans="2:4" x14ac:dyDescent="0.25">
      <c r="B21" s="22" t="s">
        <v>39</v>
      </c>
      <c r="C21" s="23">
        <v>8</v>
      </c>
      <c r="D21" s="24">
        <v>1.9002375296912115E-2</v>
      </c>
    </row>
    <row r="22" spans="2:4" x14ac:dyDescent="0.25">
      <c r="B22" s="22" t="s">
        <v>34</v>
      </c>
      <c r="C22" s="23">
        <v>7</v>
      </c>
      <c r="D22" s="24">
        <v>1.66270783847981E-2</v>
      </c>
    </row>
    <row r="23" spans="2:4" x14ac:dyDescent="0.25">
      <c r="B23" s="22" t="s">
        <v>19</v>
      </c>
      <c r="C23" s="23">
        <v>7</v>
      </c>
      <c r="D23" s="24">
        <v>1.66270783847981E-2</v>
      </c>
    </row>
    <row r="24" spans="2:4" x14ac:dyDescent="0.25">
      <c r="B24" s="22" t="s">
        <v>37</v>
      </c>
      <c r="C24" s="23">
        <v>7</v>
      </c>
      <c r="D24" s="24">
        <v>1.66270783847981E-2</v>
      </c>
    </row>
    <row r="25" spans="2:4" x14ac:dyDescent="0.25">
      <c r="B25" s="22" t="s">
        <v>43</v>
      </c>
      <c r="C25" s="23">
        <v>5</v>
      </c>
      <c r="D25" s="24">
        <v>1.1876484560570071E-2</v>
      </c>
    </row>
    <row r="26" spans="2:4" x14ac:dyDescent="0.25">
      <c r="B26" s="22" t="s">
        <v>28</v>
      </c>
      <c r="C26" s="23">
        <v>5</v>
      </c>
      <c r="D26" s="24">
        <v>1.1876484560570071E-2</v>
      </c>
    </row>
    <row r="27" spans="2:4" x14ac:dyDescent="0.25">
      <c r="B27" s="22" t="s">
        <v>36</v>
      </c>
      <c r="C27" s="23">
        <v>5</v>
      </c>
      <c r="D27" s="24">
        <v>1.1876484560570071E-2</v>
      </c>
    </row>
    <row r="28" spans="2:4" x14ac:dyDescent="0.25">
      <c r="B28" s="22" t="s">
        <v>24</v>
      </c>
      <c r="C28" s="23">
        <v>4</v>
      </c>
      <c r="D28" s="24">
        <v>9.5011876484560574E-3</v>
      </c>
    </row>
    <row r="29" spans="2:4" x14ac:dyDescent="0.25">
      <c r="B29" s="22" t="s">
        <v>35</v>
      </c>
      <c r="C29" s="23">
        <v>4</v>
      </c>
      <c r="D29" s="24">
        <v>9.5011876484560574E-3</v>
      </c>
    </row>
    <row r="30" spans="2:4" x14ac:dyDescent="0.25">
      <c r="B30" s="22" t="s">
        <v>18</v>
      </c>
      <c r="C30" s="23">
        <v>4</v>
      </c>
      <c r="D30" s="24">
        <v>9.5011876484560574E-3</v>
      </c>
    </row>
    <row r="31" spans="2:4" x14ac:dyDescent="0.25">
      <c r="B31" s="22" t="s">
        <v>25</v>
      </c>
      <c r="C31" s="23">
        <v>3</v>
      </c>
      <c r="D31" s="24">
        <v>7.1258907363420431E-3</v>
      </c>
    </row>
    <row r="32" spans="2:4" x14ac:dyDescent="0.25">
      <c r="B32" s="22" t="s">
        <v>27</v>
      </c>
      <c r="C32" s="23">
        <v>3</v>
      </c>
      <c r="D32" s="24">
        <v>7.1258907363420431E-3</v>
      </c>
    </row>
    <row r="33" spans="2:4" x14ac:dyDescent="0.25">
      <c r="B33" s="22" t="s">
        <v>44</v>
      </c>
      <c r="C33" s="23">
        <v>2</v>
      </c>
      <c r="D33" s="24">
        <v>4.7505938242280287E-3</v>
      </c>
    </row>
    <row r="34" spans="2:4" x14ac:dyDescent="0.25">
      <c r="B34" s="22" t="s">
        <v>48</v>
      </c>
      <c r="C34" s="23">
        <v>2</v>
      </c>
      <c r="D34" s="24">
        <v>4.7505938242280287E-3</v>
      </c>
    </row>
    <row r="35" spans="2:4" x14ac:dyDescent="0.25">
      <c r="B35" s="22" t="s">
        <v>20</v>
      </c>
      <c r="C35" s="23">
        <v>2</v>
      </c>
      <c r="D35" s="24">
        <v>4.7505938242280287E-3</v>
      </c>
    </row>
    <row r="36" spans="2:4" x14ac:dyDescent="0.25">
      <c r="B36" s="22" t="s">
        <v>51</v>
      </c>
      <c r="C36" s="23">
        <v>2</v>
      </c>
      <c r="D36" s="24">
        <v>4.7505938242280287E-3</v>
      </c>
    </row>
    <row r="37" spans="2:4" x14ac:dyDescent="0.25">
      <c r="B37" s="22" t="s">
        <v>41</v>
      </c>
      <c r="C37" s="23">
        <v>2</v>
      </c>
      <c r="D37" s="24">
        <v>4.7505938242280287E-3</v>
      </c>
    </row>
    <row r="38" spans="2:4" x14ac:dyDescent="0.25">
      <c r="B38" s="22" t="s">
        <v>47</v>
      </c>
      <c r="C38" s="23">
        <v>2</v>
      </c>
      <c r="D38" s="24">
        <v>4.7505938242280287E-3</v>
      </c>
    </row>
    <row r="39" spans="2:4" x14ac:dyDescent="0.25">
      <c r="B39" s="22" t="s">
        <v>50</v>
      </c>
      <c r="C39" s="23">
        <v>1</v>
      </c>
      <c r="D39" s="24">
        <v>2.3752969121140144E-3</v>
      </c>
    </row>
    <row r="40" spans="2:4" x14ac:dyDescent="0.25">
      <c r="B40" s="22" t="s">
        <v>42</v>
      </c>
      <c r="C40" s="23">
        <v>1</v>
      </c>
      <c r="D40" s="24">
        <v>2.3752969121140144E-3</v>
      </c>
    </row>
    <row r="41" spans="2:4" x14ac:dyDescent="0.25">
      <c r="B41" s="22" t="s">
        <v>31</v>
      </c>
      <c r="C41" s="23">
        <v>1</v>
      </c>
      <c r="D41" s="24">
        <v>2.3752969121140144E-3</v>
      </c>
    </row>
    <row r="42" spans="2:4" x14ac:dyDescent="0.25">
      <c r="B42" s="22" t="s">
        <v>33</v>
      </c>
      <c r="C42" s="23">
        <v>1</v>
      </c>
      <c r="D42" s="24">
        <v>2.3752969121140144E-3</v>
      </c>
    </row>
    <row r="43" spans="2:4" x14ac:dyDescent="0.25">
      <c r="B43" s="22" t="s">
        <v>32</v>
      </c>
      <c r="C43" s="23">
        <v>1</v>
      </c>
      <c r="D43" s="24">
        <v>2.3752969121140144E-3</v>
      </c>
    </row>
    <row r="44" spans="2:4" x14ac:dyDescent="0.25">
      <c r="B44" s="22" t="s">
        <v>46</v>
      </c>
      <c r="C44" s="23">
        <v>1</v>
      </c>
      <c r="D44" s="24">
        <v>2.3752969121140144E-3</v>
      </c>
    </row>
    <row r="45" spans="2:4" x14ac:dyDescent="0.25">
      <c r="B45" s="22" t="s">
        <v>38</v>
      </c>
      <c r="C45" s="23">
        <v>1</v>
      </c>
      <c r="D45" s="24">
        <v>2.3752969121140144E-3</v>
      </c>
    </row>
    <row r="46" spans="2:4" ht="15" customHeight="1" x14ac:dyDescent="0.25">
      <c r="B46" s="26" t="s">
        <v>54</v>
      </c>
      <c r="C46" s="27">
        <v>421</v>
      </c>
      <c r="D46" s="28">
        <v>1</v>
      </c>
    </row>
    <row r="65" spans="2:2" x14ac:dyDescent="0.25">
      <c r="B65" s="30" t="s">
        <v>55</v>
      </c>
    </row>
    <row r="66" spans="2:2" x14ac:dyDescent="0.25">
      <c r="B66" s="31" t="s">
        <v>56</v>
      </c>
    </row>
    <row r="67" spans="2:2" x14ac:dyDescent="0.25">
      <c r="B67" s="32" t="s">
        <v>57</v>
      </c>
    </row>
    <row r="68" spans="2:2" x14ac:dyDescent="0.25">
      <c r="B68" s="30" t="s">
        <v>58</v>
      </c>
    </row>
    <row r="69" spans="2:2" x14ac:dyDescent="0.25">
      <c r="B69" s="30" t="s">
        <v>59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196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60</v>
      </c>
      <c r="C11" s="19" t="s">
        <v>13</v>
      </c>
      <c r="D11" s="20" t="s">
        <v>14</v>
      </c>
    </row>
    <row r="12" spans="1:4" ht="15" customHeight="1" x14ac:dyDescent="0.25">
      <c r="B12" s="22" t="s">
        <v>63</v>
      </c>
      <c r="C12" s="23">
        <v>60</v>
      </c>
      <c r="D12" s="24">
        <f t="shared" ref="D12:D62" si="0">C12/$C$62</f>
        <v>0.14251781472684086</v>
      </c>
    </row>
    <row r="13" spans="1:4" x14ac:dyDescent="0.25">
      <c r="B13" s="22" t="s">
        <v>74</v>
      </c>
      <c r="C13" s="23">
        <v>39</v>
      </c>
      <c r="D13" s="24">
        <f t="shared" si="0"/>
        <v>9.2636579572446559E-2</v>
      </c>
    </row>
    <row r="14" spans="1:4" s="25" customFormat="1" ht="15.75" x14ac:dyDescent="0.25">
      <c r="A14" s="21"/>
      <c r="B14" s="22" t="s">
        <v>67</v>
      </c>
      <c r="C14" s="23">
        <v>30</v>
      </c>
      <c r="D14" s="24">
        <f t="shared" si="0"/>
        <v>7.1258907363420429E-2</v>
      </c>
    </row>
    <row r="15" spans="1:4" s="25" customFormat="1" ht="15.75" x14ac:dyDescent="0.25">
      <c r="A15" s="21"/>
      <c r="B15" s="22" t="s">
        <v>69</v>
      </c>
      <c r="C15" s="23">
        <v>23</v>
      </c>
      <c r="D15" s="24">
        <f t="shared" si="0"/>
        <v>5.4631828978622329E-2</v>
      </c>
    </row>
    <row r="16" spans="1:4" x14ac:dyDescent="0.25">
      <c r="B16" s="22" t="s">
        <v>61</v>
      </c>
      <c r="C16" s="23">
        <v>20</v>
      </c>
      <c r="D16" s="24">
        <f t="shared" si="0"/>
        <v>4.7505938242280284E-2</v>
      </c>
    </row>
    <row r="17" spans="2:4" x14ac:dyDescent="0.25">
      <c r="B17" s="22" t="s">
        <v>81</v>
      </c>
      <c r="C17" s="23">
        <v>19</v>
      </c>
      <c r="D17" s="24">
        <f t="shared" si="0"/>
        <v>4.5130641330166268E-2</v>
      </c>
    </row>
    <row r="18" spans="2:4" x14ac:dyDescent="0.25">
      <c r="B18" s="22" t="s">
        <v>72</v>
      </c>
      <c r="C18" s="23">
        <v>18</v>
      </c>
      <c r="D18" s="24">
        <f t="shared" si="0"/>
        <v>4.2755344418052253E-2</v>
      </c>
    </row>
    <row r="19" spans="2:4" x14ac:dyDescent="0.25">
      <c r="B19" s="22" t="s">
        <v>80</v>
      </c>
      <c r="C19" s="23">
        <v>16</v>
      </c>
      <c r="D19" s="24">
        <f t="shared" si="0"/>
        <v>3.800475059382423E-2</v>
      </c>
    </row>
    <row r="20" spans="2:4" x14ac:dyDescent="0.25">
      <c r="B20" s="22" t="s">
        <v>83</v>
      </c>
      <c r="C20" s="23">
        <v>16</v>
      </c>
      <c r="D20" s="24">
        <f t="shared" si="0"/>
        <v>3.800475059382423E-2</v>
      </c>
    </row>
    <row r="21" spans="2:4" x14ac:dyDescent="0.25">
      <c r="B21" s="22" t="s">
        <v>79</v>
      </c>
      <c r="C21" s="23">
        <v>15</v>
      </c>
      <c r="D21" s="24">
        <f t="shared" si="0"/>
        <v>3.5629453681710214E-2</v>
      </c>
    </row>
    <row r="22" spans="2:4" x14ac:dyDescent="0.25">
      <c r="B22" s="22" t="s">
        <v>64</v>
      </c>
      <c r="C22" s="23">
        <v>14</v>
      </c>
      <c r="D22" s="24">
        <f t="shared" si="0"/>
        <v>3.3254156769596199E-2</v>
      </c>
    </row>
    <row r="23" spans="2:4" x14ac:dyDescent="0.25">
      <c r="B23" s="22" t="s">
        <v>91</v>
      </c>
      <c r="C23" s="23">
        <v>13</v>
      </c>
      <c r="D23" s="24">
        <f t="shared" si="0"/>
        <v>3.0878859857482184E-2</v>
      </c>
    </row>
    <row r="24" spans="2:4" x14ac:dyDescent="0.25">
      <c r="B24" s="22" t="s">
        <v>75</v>
      </c>
      <c r="C24" s="23">
        <v>12</v>
      </c>
      <c r="D24" s="24">
        <f t="shared" si="0"/>
        <v>2.8503562945368172E-2</v>
      </c>
    </row>
    <row r="25" spans="2:4" x14ac:dyDescent="0.25">
      <c r="B25" s="22" t="s">
        <v>68</v>
      </c>
      <c r="C25" s="23">
        <v>10</v>
      </c>
      <c r="D25" s="24">
        <f t="shared" si="0"/>
        <v>2.3752969121140142E-2</v>
      </c>
    </row>
    <row r="26" spans="2:4" x14ac:dyDescent="0.25">
      <c r="B26" s="22" t="s">
        <v>94</v>
      </c>
      <c r="C26" s="23">
        <v>9</v>
      </c>
      <c r="D26" s="24">
        <f t="shared" si="0"/>
        <v>2.1377672209026127E-2</v>
      </c>
    </row>
    <row r="27" spans="2:4" x14ac:dyDescent="0.25">
      <c r="B27" s="22" t="s">
        <v>82</v>
      </c>
      <c r="C27" s="23">
        <v>9</v>
      </c>
      <c r="D27" s="24">
        <f t="shared" si="0"/>
        <v>2.1377672209026127E-2</v>
      </c>
    </row>
    <row r="28" spans="2:4" x14ac:dyDescent="0.25">
      <c r="B28" s="22" t="s">
        <v>66</v>
      </c>
      <c r="C28" s="23">
        <v>8</v>
      </c>
      <c r="D28" s="24">
        <f t="shared" si="0"/>
        <v>1.9002375296912115E-2</v>
      </c>
    </row>
    <row r="29" spans="2:4" x14ac:dyDescent="0.25">
      <c r="B29" s="22" t="s">
        <v>77</v>
      </c>
      <c r="C29" s="23">
        <v>8</v>
      </c>
      <c r="D29" s="24">
        <f t="shared" si="0"/>
        <v>1.9002375296912115E-2</v>
      </c>
    </row>
    <row r="30" spans="2:4" x14ac:dyDescent="0.25">
      <c r="B30" s="22" t="s">
        <v>85</v>
      </c>
      <c r="C30" s="23">
        <v>7</v>
      </c>
      <c r="D30" s="24">
        <f t="shared" si="0"/>
        <v>1.66270783847981E-2</v>
      </c>
    </row>
    <row r="31" spans="2:4" x14ac:dyDescent="0.25">
      <c r="B31" s="22" t="s">
        <v>65</v>
      </c>
      <c r="C31" s="23">
        <v>7</v>
      </c>
      <c r="D31" s="24">
        <f t="shared" si="0"/>
        <v>1.66270783847981E-2</v>
      </c>
    </row>
    <row r="32" spans="2:4" x14ac:dyDescent="0.25">
      <c r="B32" s="22" t="s">
        <v>62</v>
      </c>
      <c r="C32" s="23">
        <v>7</v>
      </c>
      <c r="D32" s="24">
        <f t="shared" si="0"/>
        <v>1.66270783847981E-2</v>
      </c>
    </row>
    <row r="33" spans="2:4" x14ac:dyDescent="0.25">
      <c r="B33" s="22" t="s">
        <v>84</v>
      </c>
      <c r="C33" s="23">
        <v>7</v>
      </c>
      <c r="D33" s="24">
        <f t="shared" si="0"/>
        <v>1.66270783847981E-2</v>
      </c>
    </row>
    <row r="34" spans="2:4" x14ac:dyDescent="0.25">
      <c r="B34" s="22" t="s">
        <v>78</v>
      </c>
      <c r="C34" s="23">
        <v>5</v>
      </c>
      <c r="D34" s="24">
        <f t="shared" si="0"/>
        <v>1.1876484560570071E-2</v>
      </c>
    </row>
    <row r="35" spans="2:4" x14ac:dyDescent="0.25">
      <c r="B35" s="22" t="s">
        <v>96</v>
      </c>
      <c r="C35" s="23">
        <v>5</v>
      </c>
      <c r="D35" s="24">
        <f t="shared" si="0"/>
        <v>1.1876484560570071E-2</v>
      </c>
    </row>
    <row r="36" spans="2:4" x14ac:dyDescent="0.25">
      <c r="B36" s="22" t="s">
        <v>30</v>
      </c>
      <c r="C36" s="23">
        <v>5</v>
      </c>
      <c r="D36" s="24">
        <f t="shared" si="0"/>
        <v>1.1876484560570071E-2</v>
      </c>
    </row>
    <row r="37" spans="2:4" x14ac:dyDescent="0.25">
      <c r="B37" s="22" t="s">
        <v>98</v>
      </c>
      <c r="C37" s="23">
        <v>4</v>
      </c>
      <c r="D37" s="24">
        <f t="shared" si="0"/>
        <v>9.5011876484560574E-3</v>
      </c>
    </row>
    <row r="38" spans="2:4" x14ac:dyDescent="0.25">
      <c r="B38" s="22" t="s">
        <v>70</v>
      </c>
      <c r="C38" s="23">
        <v>4</v>
      </c>
      <c r="D38" s="24">
        <f t="shared" si="0"/>
        <v>9.5011876484560574E-3</v>
      </c>
    </row>
    <row r="39" spans="2:4" x14ac:dyDescent="0.25">
      <c r="B39" s="22" t="s">
        <v>97</v>
      </c>
      <c r="C39" s="23">
        <v>4</v>
      </c>
      <c r="D39" s="24">
        <f t="shared" si="0"/>
        <v>9.5011876484560574E-3</v>
      </c>
    </row>
    <row r="40" spans="2:4" x14ac:dyDescent="0.25">
      <c r="B40" s="22" t="s">
        <v>88</v>
      </c>
      <c r="C40" s="23">
        <v>4</v>
      </c>
      <c r="D40" s="24">
        <f t="shared" si="0"/>
        <v>9.5011876484560574E-3</v>
      </c>
    </row>
    <row r="41" spans="2:4" x14ac:dyDescent="0.25">
      <c r="B41" s="22" t="s">
        <v>73</v>
      </c>
      <c r="C41" s="23">
        <v>3</v>
      </c>
      <c r="D41" s="24">
        <f t="shared" si="0"/>
        <v>7.1258907363420431E-3</v>
      </c>
    </row>
    <row r="42" spans="2:4" x14ac:dyDescent="0.25">
      <c r="B42" s="22" t="s">
        <v>99</v>
      </c>
      <c r="C42" s="23">
        <v>3</v>
      </c>
      <c r="D42" s="24">
        <f t="shared" si="0"/>
        <v>7.1258907363420431E-3</v>
      </c>
    </row>
    <row r="43" spans="2:4" x14ac:dyDescent="0.25">
      <c r="B43" s="22" t="s">
        <v>87</v>
      </c>
      <c r="C43" s="23">
        <v>3</v>
      </c>
      <c r="D43" s="24">
        <f t="shared" si="0"/>
        <v>7.1258907363420431E-3</v>
      </c>
    </row>
    <row r="44" spans="2:4" x14ac:dyDescent="0.25">
      <c r="B44" s="22" t="s">
        <v>106</v>
      </c>
      <c r="C44" s="23">
        <v>3</v>
      </c>
      <c r="D44" s="24">
        <f t="shared" si="0"/>
        <v>7.1258907363420431E-3</v>
      </c>
    </row>
    <row r="45" spans="2:4" x14ac:dyDescent="0.25">
      <c r="B45" s="22" t="s">
        <v>104</v>
      </c>
      <c r="C45" s="23">
        <v>2</v>
      </c>
      <c r="D45" s="24">
        <f t="shared" si="0"/>
        <v>4.7505938242280287E-3</v>
      </c>
    </row>
    <row r="46" spans="2:4" x14ac:dyDescent="0.25">
      <c r="B46" s="22" t="s">
        <v>93</v>
      </c>
      <c r="C46" s="23">
        <v>2</v>
      </c>
      <c r="D46" s="24">
        <f t="shared" si="0"/>
        <v>4.7505938242280287E-3</v>
      </c>
    </row>
    <row r="47" spans="2:4" x14ac:dyDescent="0.25">
      <c r="B47" s="22" t="s">
        <v>89</v>
      </c>
      <c r="C47" s="23">
        <v>2</v>
      </c>
      <c r="D47" s="24">
        <f t="shared" si="0"/>
        <v>4.7505938242280287E-3</v>
      </c>
    </row>
    <row r="48" spans="2:4" x14ac:dyDescent="0.25">
      <c r="B48" s="22" t="s">
        <v>76</v>
      </c>
      <c r="C48" s="23">
        <v>2</v>
      </c>
      <c r="D48" s="24">
        <f t="shared" si="0"/>
        <v>4.7505938242280287E-3</v>
      </c>
    </row>
    <row r="49" spans="2:4" x14ac:dyDescent="0.25">
      <c r="B49" s="22" t="s">
        <v>92</v>
      </c>
      <c r="C49" s="23">
        <v>1</v>
      </c>
      <c r="D49" s="24">
        <f t="shared" si="0"/>
        <v>2.3752969121140144E-3</v>
      </c>
    </row>
    <row r="50" spans="2:4" x14ac:dyDescent="0.25">
      <c r="B50" s="22" t="s">
        <v>86</v>
      </c>
      <c r="C50" s="23">
        <v>1</v>
      </c>
      <c r="D50" s="24">
        <f t="shared" si="0"/>
        <v>2.3752969121140144E-3</v>
      </c>
    </row>
    <row r="51" spans="2:4" x14ac:dyDescent="0.25">
      <c r="B51" s="22" t="s">
        <v>90</v>
      </c>
      <c r="C51" s="23">
        <v>1</v>
      </c>
      <c r="D51" s="24">
        <f t="shared" si="0"/>
        <v>2.3752969121140144E-3</v>
      </c>
    </row>
    <row r="52" spans="2:4" x14ac:dyDescent="0.25">
      <c r="B52" s="22" t="s">
        <v>71</v>
      </c>
      <c r="C52" s="23">
        <v>0</v>
      </c>
      <c r="D52" s="24">
        <f t="shared" si="0"/>
        <v>0</v>
      </c>
    </row>
    <row r="53" spans="2:4" x14ac:dyDescent="0.25">
      <c r="B53" s="22" t="s">
        <v>102</v>
      </c>
      <c r="C53" s="23">
        <v>0</v>
      </c>
      <c r="D53" s="24">
        <f t="shared" si="0"/>
        <v>0</v>
      </c>
    </row>
    <row r="54" spans="2:4" x14ac:dyDescent="0.25">
      <c r="B54" s="22" t="s">
        <v>100</v>
      </c>
      <c r="C54" s="23">
        <v>0</v>
      </c>
      <c r="D54" s="24">
        <f t="shared" si="0"/>
        <v>0</v>
      </c>
    </row>
    <row r="55" spans="2:4" x14ac:dyDescent="0.25">
      <c r="B55" s="22" t="s">
        <v>105</v>
      </c>
      <c r="C55" s="23">
        <v>0</v>
      </c>
      <c r="D55" s="24">
        <f t="shared" si="0"/>
        <v>0</v>
      </c>
    </row>
    <row r="56" spans="2:4" x14ac:dyDescent="0.25">
      <c r="B56" s="22" t="s">
        <v>107</v>
      </c>
      <c r="C56" s="23">
        <v>0</v>
      </c>
      <c r="D56" s="24">
        <f t="shared" si="0"/>
        <v>0</v>
      </c>
    </row>
    <row r="57" spans="2:4" x14ac:dyDescent="0.25">
      <c r="B57" s="22" t="s">
        <v>108</v>
      </c>
      <c r="C57" s="23">
        <v>0</v>
      </c>
      <c r="D57" s="24">
        <f t="shared" si="0"/>
        <v>0</v>
      </c>
    </row>
    <row r="58" spans="2:4" x14ac:dyDescent="0.25">
      <c r="B58" s="22" t="s">
        <v>109</v>
      </c>
      <c r="C58" s="23">
        <v>0</v>
      </c>
      <c r="D58" s="24">
        <f t="shared" si="0"/>
        <v>0</v>
      </c>
    </row>
    <row r="59" spans="2:4" x14ac:dyDescent="0.25">
      <c r="B59" s="22" t="s">
        <v>95</v>
      </c>
      <c r="C59" s="23">
        <v>0</v>
      </c>
      <c r="D59" s="24">
        <f t="shared" si="0"/>
        <v>0</v>
      </c>
    </row>
    <row r="60" spans="2:4" x14ac:dyDescent="0.25">
      <c r="B60" s="22" t="s">
        <v>101</v>
      </c>
      <c r="C60" s="23">
        <v>0</v>
      </c>
      <c r="D60" s="24">
        <f t="shared" si="0"/>
        <v>0</v>
      </c>
    </row>
    <row r="61" spans="2:4" x14ac:dyDescent="0.25">
      <c r="B61" s="22" t="s">
        <v>103</v>
      </c>
      <c r="C61" s="23">
        <v>0</v>
      </c>
      <c r="D61" s="24">
        <f t="shared" si="0"/>
        <v>0</v>
      </c>
    </row>
    <row r="62" spans="2:4" x14ac:dyDescent="0.25">
      <c r="B62" s="26" t="s">
        <v>54</v>
      </c>
      <c r="C62" s="27">
        <v>421</v>
      </c>
      <c r="D62" s="28">
        <f t="shared" si="0"/>
        <v>1</v>
      </c>
    </row>
    <row r="64" spans="2:4" x14ac:dyDescent="0.25">
      <c r="B64" s="30" t="s">
        <v>55</v>
      </c>
    </row>
    <row r="65" spans="2:2" x14ac:dyDescent="0.25">
      <c r="B65" s="31" t="s">
        <v>56</v>
      </c>
    </row>
    <row r="66" spans="2:2" x14ac:dyDescent="0.25">
      <c r="B66" s="32" t="s">
        <v>57</v>
      </c>
    </row>
    <row r="67" spans="2:2" x14ac:dyDescent="0.25">
      <c r="B67" s="30" t="s">
        <v>58</v>
      </c>
    </row>
    <row r="68" spans="2:2" x14ac:dyDescent="0.25">
      <c r="B68" s="30" t="s">
        <v>59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196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60</v>
      </c>
      <c r="C11" s="19" t="s">
        <v>13</v>
      </c>
      <c r="D11" s="20" t="s">
        <v>14</v>
      </c>
    </row>
    <row r="12" spans="1:4" ht="15" customHeight="1" x14ac:dyDescent="0.25">
      <c r="B12" s="22" t="s">
        <v>63</v>
      </c>
      <c r="C12" s="23">
        <v>60</v>
      </c>
      <c r="D12" s="24">
        <f t="shared" ref="D12:D22" si="0">C12/$C$22</f>
        <v>0.234375</v>
      </c>
    </row>
    <row r="13" spans="1:4" x14ac:dyDescent="0.25">
      <c r="B13" s="22" t="s">
        <v>74</v>
      </c>
      <c r="C13" s="23">
        <v>39</v>
      </c>
      <c r="D13" s="24">
        <f t="shared" si="0"/>
        <v>0.15234375</v>
      </c>
    </row>
    <row r="14" spans="1:4" s="25" customFormat="1" ht="15.75" x14ac:dyDescent="0.25">
      <c r="A14" s="21"/>
      <c r="B14" s="22" t="s">
        <v>67</v>
      </c>
      <c r="C14" s="23">
        <v>30</v>
      </c>
      <c r="D14" s="24">
        <f t="shared" si="0"/>
        <v>0.1171875</v>
      </c>
    </row>
    <row r="15" spans="1:4" s="25" customFormat="1" ht="15.75" x14ac:dyDescent="0.25">
      <c r="A15" s="21"/>
      <c r="B15" s="22" t="s">
        <v>69</v>
      </c>
      <c r="C15" s="23">
        <v>23</v>
      </c>
      <c r="D15" s="24">
        <f t="shared" si="0"/>
        <v>8.984375E-2</v>
      </c>
    </row>
    <row r="16" spans="1:4" x14ac:dyDescent="0.25">
      <c r="B16" s="22" t="s">
        <v>61</v>
      </c>
      <c r="C16" s="23">
        <v>20</v>
      </c>
      <c r="D16" s="24">
        <f t="shared" si="0"/>
        <v>7.8125E-2</v>
      </c>
    </row>
    <row r="17" spans="2:4" x14ac:dyDescent="0.25">
      <c r="B17" s="22" t="s">
        <v>81</v>
      </c>
      <c r="C17" s="23">
        <v>19</v>
      </c>
      <c r="D17" s="24">
        <f t="shared" si="0"/>
        <v>7.421875E-2</v>
      </c>
    </row>
    <row r="18" spans="2:4" x14ac:dyDescent="0.25">
      <c r="B18" s="22" t="s">
        <v>72</v>
      </c>
      <c r="C18" s="23">
        <v>18</v>
      </c>
      <c r="D18" s="24">
        <f t="shared" si="0"/>
        <v>7.03125E-2</v>
      </c>
    </row>
    <row r="19" spans="2:4" x14ac:dyDescent="0.25">
      <c r="B19" s="22" t="s">
        <v>80</v>
      </c>
      <c r="C19" s="23">
        <v>16</v>
      </c>
      <c r="D19" s="24">
        <f t="shared" si="0"/>
        <v>6.25E-2</v>
      </c>
    </row>
    <row r="20" spans="2:4" x14ac:dyDescent="0.25">
      <c r="B20" s="22" t="s">
        <v>83</v>
      </c>
      <c r="C20" s="23">
        <v>16</v>
      </c>
      <c r="D20" s="24">
        <f t="shared" si="0"/>
        <v>6.25E-2</v>
      </c>
    </row>
    <row r="21" spans="2:4" x14ac:dyDescent="0.25">
      <c r="B21" s="22" t="s">
        <v>79</v>
      </c>
      <c r="C21" s="23">
        <v>15</v>
      </c>
      <c r="D21" s="24">
        <f t="shared" si="0"/>
        <v>5.859375E-2</v>
      </c>
    </row>
    <row r="22" spans="2:4" x14ac:dyDescent="0.25">
      <c r="B22" s="26" t="s">
        <v>54</v>
      </c>
      <c r="C22" s="27">
        <f>SUM(C12:C21)</f>
        <v>256</v>
      </c>
      <c r="D22" s="28">
        <f t="shared" si="0"/>
        <v>1</v>
      </c>
    </row>
    <row r="24" spans="2:4" x14ac:dyDescent="0.25">
      <c r="B24" s="30" t="s">
        <v>55</v>
      </c>
    </row>
    <row r="25" spans="2:4" x14ac:dyDescent="0.25">
      <c r="B25" s="31" t="s">
        <v>56</v>
      </c>
    </row>
    <row r="26" spans="2:4" x14ac:dyDescent="0.25">
      <c r="B26" s="32" t="s">
        <v>57</v>
      </c>
    </row>
    <row r="27" spans="2:4" x14ac:dyDescent="0.25">
      <c r="B27" s="30" t="s">
        <v>58</v>
      </c>
    </row>
    <row r="28" spans="2:4" x14ac:dyDescent="0.25">
      <c r="B28" s="30" t="s">
        <v>59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198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110</v>
      </c>
      <c r="C11" s="19" t="s">
        <v>13</v>
      </c>
      <c r="D11" s="20" t="s">
        <v>14</v>
      </c>
    </row>
    <row r="12" spans="1:4" ht="15" customHeight="1" x14ac:dyDescent="0.25">
      <c r="B12" s="22" t="s">
        <v>188</v>
      </c>
      <c r="C12" s="23">
        <v>186</v>
      </c>
      <c r="D12" s="24">
        <v>0.44180522565320662</v>
      </c>
    </row>
    <row r="13" spans="1:4" x14ac:dyDescent="0.25">
      <c r="B13" s="22" t="s">
        <v>187</v>
      </c>
      <c r="C13" s="23">
        <v>153</v>
      </c>
      <c r="D13" s="24">
        <v>0.36342042755344417</v>
      </c>
    </row>
    <row r="14" spans="1:4" s="25" customFormat="1" ht="15.75" x14ac:dyDescent="0.25">
      <c r="A14" s="21"/>
      <c r="B14" s="22" t="s">
        <v>190</v>
      </c>
      <c r="C14" s="23">
        <v>52</v>
      </c>
      <c r="D14" s="24">
        <v>0.12351543942992874</v>
      </c>
    </row>
    <row r="15" spans="1:4" s="25" customFormat="1" ht="15.75" x14ac:dyDescent="0.25">
      <c r="A15" s="21"/>
      <c r="B15" s="22" t="s">
        <v>189</v>
      </c>
      <c r="C15" s="23">
        <v>25</v>
      </c>
      <c r="D15" s="24">
        <v>5.9382422802850353E-2</v>
      </c>
    </row>
    <row r="16" spans="1:4" x14ac:dyDescent="0.25">
      <c r="B16" s="22" t="s">
        <v>191</v>
      </c>
      <c r="C16" s="23">
        <v>5</v>
      </c>
      <c r="D16" s="24">
        <v>1.1876484560570071E-2</v>
      </c>
    </row>
    <row r="17" spans="2:4" x14ac:dyDescent="0.25">
      <c r="B17" s="26" t="s">
        <v>54</v>
      </c>
      <c r="C17" s="27">
        <v>421</v>
      </c>
      <c r="D17" s="28">
        <v>1</v>
      </c>
    </row>
    <row r="18" spans="2:4" x14ac:dyDescent="0.25">
      <c r="B18" s="30"/>
    </row>
    <row r="19" spans="2:4" x14ac:dyDescent="0.25">
      <c r="B19" s="30" t="s">
        <v>55</v>
      </c>
    </row>
    <row r="20" spans="2:4" x14ac:dyDescent="0.25">
      <c r="B20" s="31" t="s">
        <v>56</v>
      </c>
    </row>
    <row r="21" spans="2:4" x14ac:dyDescent="0.25">
      <c r="B21" s="32" t="s">
        <v>57</v>
      </c>
    </row>
    <row r="22" spans="2:4" x14ac:dyDescent="0.25">
      <c r="B22" s="30" t="s">
        <v>58</v>
      </c>
    </row>
    <row r="23" spans="2:4" x14ac:dyDescent="0.25">
      <c r="B23" s="30" t="s">
        <v>59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7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111</v>
      </c>
      <c r="C9" s="43" t="s">
        <v>112</v>
      </c>
      <c r="D9" s="44" t="s">
        <v>13</v>
      </c>
      <c r="E9" s="42" t="s">
        <v>14</v>
      </c>
    </row>
    <row r="10" spans="1:5" ht="15" customHeight="1" x14ac:dyDescent="0.25">
      <c r="B10" s="88" t="s">
        <v>44</v>
      </c>
      <c r="C10" s="46" t="s">
        <v>187</v>
      </c>
      <c r="D10" s="47">
        <v>1</v>
      </c>
      <c r="E10" s="48">
        <v>2.1413276231263384E-3</v>
      </c>
    </row>
    <row r="11" spans="1:5" ht="15" customHeight="1" x14ac:dyDescent="0.25">
      <c r="B11" s="89"/>
      <c r="C11" s="46" t="s">
        <v>188</v>
      </c>
      <c r="D11" s="47">
        <v>2</v>
      </c>
      <c r="E11" s="48">
        <v>4.2826552462526769E-3</v>
      </c>
    </row>
    <row r="12" spans="1:5" s="40" customFormat="1" ht="15" customHeight="1" x14ac:dyDescent="0.25">
      <c r="A12" s="45"/>
      <c r="B12" s="90"/>
      <c r="C12" s="49" t="s">
        <v>54</v>
      </c>
      <c r="D12" s="50">
        <v>3</v>
      </c>
      <c r="E12" s="51">
        <v>6.4239828693790149E-3</v>
      </c>
    </row>
    <row r="13" spans="1:5" ht="15" customHeight="1" x14ac:dyDescent="0.25">
      <c r="B13" s="88" t="s">
        <v>34</v>
      </c>
      <c r="C13" s="46" t="s">
        <v>187</v>
      </c>
      <c r="D13" s="47">
        <v>3</v>
      </c>
      <c r="E13" s="48">
        <v>6.4239828693790149E-3</v>
      </c>
    </row>
    <row r="14" spans="1:5" ht="15" customHeight="1" x14ac:dyDescent="0.25">
      <c r="B14" s="89"/>
      <c r="C14" s="46" t="s">
        <v>188</v>
      </c>
      <c r="D14" s="47">
        <v>4</v>
      </c>
      <c r="E14" s="48">
        <v>8.5653104925053538E-3</v>
      </c>
    </row>
    <row r="15" spans="1:5" ht="15" customHeight="1" x14ac:dyDescent="0.25">
      <c r="B15" s="90"/>
      <c r="C15" s="49" t="s">
        <v>54</v>
      </c>
      <c r="D15" s="50">
        <v>7</v>
      </c>
      <c r="E15" s="51">
        <v>1.4989293361884369E-2</v>
      </c>
    </row>
    <row r="16" spans="1:5" ht="15" customHeight="1" x14ac:dyDescent="0.25">
      <c r="B16" s="88" t="s">
        <v>25</v>
      </c>
      <c r="C16" s="46" t="s">
        <v>188</v>
      </c>
      <c r="D16" s="47">
        <v>1</v>
      </c>
      <c r="E16" s="48">
        <v>2.1413276231263384E-3</v>
      </c>
    </row>
    <row r="17" spans="2:5" ht="15" customHeight="1" x14ac:dyDescent="0.25">
      <c r="B17" s="89"/>
      <c r="C17" s="46" t="s">
        <v>189</v>
      </c>
      <c r="D17" s="47">
        <v>1</v>
      </c>
      <c r="E17" s="48">
        <v>2.1413276231263384E-3</v>
      </c>
    </row>
    <row r="18" spans="2:5" ht="15" customHeight="1" x14ac:dyDescent="0.25">
      <c r="B18" s="89"/>
      <c r="C18" s="46" t="s">
        <v>190</v>
      </c>
      <c r="D18" s="47">
        <v>1</v>
      </c>
      <c r="E18" s="48">
        <v>2.1413276231263384E-3</v>
      </c>
    </row>
    <row r="19" spans="2:5" ht="15" customHeight="1" x14ac:dyDescent="0.25">
      <c r="B19" s="90"/>
      <c r="C19" s="49" t="s">
        <v>54</v>
      </c>
      <c r="D19" s="50">
        <v>3</v>
      </c>
      <c r="E19" s="51">
        <v>6.4239828693790149E-3</v>
      </c>
    </row>
    <row r="20" spans="2:5" ht="15" customHeight="1" x14ac:dyDescent="0.25">
      <c r="B20" s="88" t="s">
        <v>15</v>
      </c>
      <c r="C20" s="46" t="s">
        <v>187</v>
      </c>
      <c r="D20" s="47">
        <v>96</v>
      </c>
      <c r="E20" s="48">
        <v>0.20556745182012848</v>
      </c>
    </row>
    <row r="21" spans="2:5" ht="15" customHeight="1" x14ac:dyDescent="0.25">
      <c r="B21" s="89"/>
      <c r="C21" s="46" t="s">
        <v>188</v>
      </c>
      <c r="D21" s="47">
        <v>93</v>
      </c>
      <c r="E21" s="48">
        <v>0.19914346895074947</v>
      </c>
    </row>
    <row r="22" spans="2:5" ht="15" customHeight="1" x14ac:dyDescent="0.25">
      <c r="B22" s="89"/>
      <c r="C22" s="46" t="s">
        <v>191</v>
      </c>
      <c r="D22" s="47">
        <v>1</v>
      </c>
      <c r="E22" s="48">
        <v>2.1413276231263384E-3</v>
      </c>
    </row>
    <row r="23" spans="2:5" ht="15" customHeight="1" x14ac:dyDescent="0.25">
      <c r="B23" s="89"/>
      <c r="C23" s="46" t="s">
        <v>189</v>
      </c>
      <c r="D23" s="47">
        <v>16</v>
      </c>
      <c r="E23" s="48">
        <v>3.4261241970021415E-2</v>
      </c>
    </row>
    <row r="24" spans="2:5" ht="15" customHeight="1" x14ac:dyDescent="0.25">
      <c r="B24" s="89"/>
      <c r="C24" s="46" t="s">
        <v>190</v>
      </c>
      <c r="D24" s="47">
        <v>33</v>
      </c>
      <c r="E24" s="48">
        <v>7.0663811563169171E-2</v>
      </c>
    </row>
    <row r="25" spans="2:5" ht="15" customHeight="1" x14ac:dyDescent="0.25">
      <c r="B25" s="90"/>
      <c r="C25" s="49" t="s">
        <v>54</v>
      </c>
      <c r="D25" s="50">
        <v>239</v>
      </c>
      <c r="E25" s="51">
        <v>0.51177730192719484</v>
      </c>
    </row>
    <row r="26" spans="2:5" ht="15" customHeight="1" x14ac:dyDescent="0.25">
      <c r="B26" s="88" t="s">
        <v>19</v>
      </c>
      <c r="C26" s="46" t="s">
        <v>187</v>
      </c>
      <c r="D26" s="47">
        <v>3</v>
      </c>
      <c r="E26" s="48">
        <v>6.4239828693790149E-3</v>
      </c>
    </row>
    <row r="27" spans="2:5" ht="15" customHeight="1" x14ac:dyDescent="0.25">
      <c r="B27" s="89"/>
      <c r="C27" s="46" t="s">
        <v>188</v>
      </c>
      <c r="D27" s="47">
        <v>4</v>
      </c>
      <c r="E27" s="48">
        <v>8.5653104925053538E-3</v>
      </c>
    </row>
    <row r="28" spans="2:5" ht="15" customHeight="1" x14ac:dyDescent="0.25">
      <c r="B28" s="90"/>
      <c r="C28" s="49" t="s">
        <v>54</v>
      </c>
      <c r="D28" s="50">
        <v>7</v>
      </c>
      <c r="E28" s="51">
        <v>1.4989293361884369E-2</v>
      </c>
    </row>
    <row r="29" spans="2:5" ht="15" customHeight="1" x14ac:dyDescent="0.25">
      <c r="B29" s="88" t="s">
        <v>53</v>
      </c>
      <c r="C29" s="46" t="s">
        <v>188</v>
      </c>
      <c r="D29" s="47">
        <v>1</v>
      </c>
      <c r="E29" s="48">
        <v>2.1413276231263384E-3</v>
      </c>
    </row>
    <row r="30" spans="2:5" ht="15" customHeight="1" x14ac:dyDescent="0.25">
      <c r="B30" s="90"/>
      <c r="C30" s="49" t="s">
        <v>54</v>
      </c>
      <c r="D30" s="50">
        <v>1</v>
      </c>
      <c r="E30" s="51">
        <v>2.1413276231263384E-3</v>
      </c>
    </row>
    <row r="31" spans="2:5" ht="15" customHeight="1" x14ac:dyDescent="0.25">
      <c r="B31" s="88" t="s">
        <v>21</v>
      </c>
      <c r="C31" s="46" t="s">
        <v>187</v>
      </c>
      <c r="D31" s="47">
        <v>3</v>
      </c>
      <c r="E31" s="48">
        <v>6.4239828693790149E-3</v>
      </c>
    </row>
    <row r="32" spans="2:5" ht="15" customHeight="1" x14ac:dyDescent="0.25">
      <c r="B32" s="89"/>
      <c r="C32" s="46" t="s">
        <v>188</v>
      </c>
      <c r="D32" s="47">
        <v>7</v>
      </c>
      <c r="E32" s="48">
        <v>1.4989293361884369E-2</v>
      </c>
    </row>
    <row r="33" spans="2:5" ht="15" customHeight="1" x14ac:dyDescent="0.25">
      <c r="B33" s="89"/>
      <c r="C33" s="46" t="s">
        <v>190</v>
      </c>
      <c r="D33" s="47">
        <v>5</v>
      </c>
      <c r="E33" s="48">
        <v>1.0706638115631691E-2</v>
      </c>
    </row>
    <row r="34" spans="2:5" ht="15" customHeight="1" x14ac:dyDescent="0.25">
      <c r="B34" s="90"/>
      <c r="C34" s="49" t="s">
        <v>54</v>
      </c>
      <c r="D34" s="50">
        <v>15</v>
      </c>
      <c r="E34" s="51">
        <v>3.2119914346895075E-2</v>
      </c>
    </row>
    <row r="35" spans="2:5" ht="15" customHeight="1" x14ac:dyDescent="0.25">
      <c r="B35" s="88" t="s">
        <v>24</v>
      </c>
      <c r="C35" s="46" t="s">
        <v>188</v>
      </c>
      <c r="D35" s="47">
        <v>8</v>
      </c>
      <c r="E35" s="48">
        <v>1.7130620985010708E-2</v>
      </c>
    </row>
    <row r="36" spans="2:5" ht="15" customHeight="1" x14ac:dyDescent="0.25">
      <c r="B36" s="89"/>
      <c r="C36" s="46" t="s">
        <v>191</v>
      </c>
      <c r="D36" s="47">
        <v>1</v>
      </c>
      <c r="E36" s="48">
        <v>2.1413276231263384E-3</v>
      </c>
    </row>
    <row r="37" spans="2:5" ht="15" customHeight="1" x14ac:dyDescent="0.25">
      <c r="B37" s="89"/>
      <c r="C37" s="46" t="s">
        <v>189</v>
      </c>
      <c r="D37" s="47">
        <v>1</v>
      </c>
      <c r="E37" s="48">
        <v>2.1413276231263384E-3</v>
      </c>
    </row>
    <row r="38" spans="2:5" ht="15" customHeight="1" x14ac:dyDescent="0.25">
      <c r="B38" s="89"/>
      <c r="C38" s="46" t="s">
        <v>190</v>
      </c>
      <c r="D38" s="47">
        <v>1</v>
      </c>
      <c r="E38" s="48">
        <v>2.1413276231263384E-3</v>
      </c>
    </row>
    <row r="39" spans="2:5" ht="15" customHeight="1" x14ac:dyDescent="0.25">
      <c r="B39" s="90"/>
      <c r="C39" s="49" t="s">
        <v>54</v>
      </c>
      <c r="D39" s="50">
        <v>11</v>
      </c>
      <c r="E39" s="51">
        <v>2.3554603854389723E-2</v>
      </c>
    </row>
    <row r="40" spans="2:5" ht="15" customHeight="1" x14ac:dyDescent="0.25">
      <c r="B40" s="88" t="s">
        <v>42</v>
      </c>
      <c r="C40" s="46" t="s">
        <v>188</v>
      </c>
      <c r="D40" s="47">
        <v>1</v>
      </c>
      <c r="E40" s="48">
        <v>2.1413276231263384E-3</v>
      </c>
    </row>
    <row r="41" spans="2:5" ht="15" customHeight="1" x14ac:dyDescent="0.25">
      <c r="B41" s="90"/>
      <c r="C41" s="49" t="s">
        <v>54</v>
      </c>
      <c r="D41" s="50">
        <v>1</v>
      </c>
      <c r="E41" s="51">
        <v>2.1413276231263384E-3</v>
      </c>
    </row>
    <row r="42" spans="2:5" ht="15" customHeight="1" x14ac:dyDescent="0.25">
      <c r="B42" s="88" t="s">
        <v>17</v>
      </c>
      <c r="C42" s="46" t="s">
        <v>187</v>
      </c>
      <c r="D42" s="47">
        <v>4</v>
      </c>
      <c r="E42" s="48">
        <v>8.5653104925053538E-3</v>
      </c>
    </row>
    <row r="43" spans="2:5" ht="15" customHeight="1" x14ac:dyDescent="0.25">
      <c r="B43" s="89"/>
      <c r="C43" s="46" t="s">
        <v>188</v>
      </c>
      <c r="D43" s="47">
        <v>8</v>
      </c>
      <c r="E43" s="48">
        <v>1.7130620985010708E-2</v>
      </c>
    </row>
    <row r="44" spans="2:5" ht="15" customHeight="1" x14ac:dyDescent="0.25">
      <c r="B44" s="89"/>
      <c r="C44" s="46" t="s">
        <v>189</v>
      </c>
      <c r="D44" s="47">
        <v>1</v>
      </c>
      <c r="E44" s="48">
        <v>2.1413276231263384E-3</v>
      </c>
    </row>
    <row r="45" spans="2:5" ht="15" customHeight="1" x14ac:dyDescent="0.25">
      <c r="B45" s="89"/>
      <c r="C45" s="46" t="s">
        <v>190</v>
      </c>
      <c r="D45" s="47">
        <v>2</v>
      </c>
      <c r="E45" s="48">
        <v>4.2826552462526769E-3</v>
      </c>
    </row>
    <row r="46" spans="2:5" ht="15" customHeight="1" x14ac:dyDescent="0.25">
      <c r="B46" s="90"/>
      <c r="C46" s="49" t="s">
        <v>54</v>
      </c>
      <c r="D46" s="50">
        <v>15</v>
      </c>
      <c r="E46" s="51">
        <v>3.2119914346895075E-2</v>
      </c>
    </row>
    <row r="47" spans="2:5" ht="15" customHeight="1" x14ac:dyDescent="0.25">
      <c r="B47" s="88" t="s">
        <v>20</v>
      </c>
      <c r="C47" s="46" t="s">
        <v>188</v>
      </c>
      <c r="D47" s="47">
        <v>5</v>
      </c>
      <c r="E47" s="48">
        <v>1.0706638115631691E-2</v>
      </c>
    </row>
    <row r="48" spans="2:5" ht="15" customHeight="1" x14ac:dyDescent="0.25">
      <c r="B48" s="89"/>
      <c r="C48" s="46" t="s">
        <v>189</v>
      </c>
      <c r="D48" s="47">
        <v>1</v>
      </c>
      <c r="E48" s="48">
        <v>2.1413276231263384E-3</v>
      </c>
    </row>
    <row r="49" spans="2:5" ht="15" customHeight="1" x14ac:dyDescent="0.25">
      <c r="B49" s="90"/>
      <c r="C49" s="49" t="s">
        <v>54</v>
      </c>
      <c r="D49" s="50">
        <v>6</v>
      </c>
      <c r="E49" s="51">
        <v>1.284796573875803E-2</v>
      </c>
    </row>
    <row r="50" spans="2:5" ht="15" customHeight="1" x14ac:dyDescent="0.25">
      <c r="B50" s="88" t="s">
        <v>35</v>
      </c>
      <c r="C50" s="46" t="s">
        <v>187</v>
      </c>
      <c r="D50" s="47">
        <v>1</v>
      </c>
      <c r="E50" s="48">
        <v>2.1413276231263384E-3</v>
      </c>
    </row>
    <row r="51" spans="2:5" ht="15" customHeight="1" x14ac:dyDescent="0.25">
      <c r="B51" s="89"/>
      <c r="C51" s="46" t="s">
        <v>188</v>
      </c>
      <c r="D51" s="47">
        <v>1</v>
      </c>
      <c r="E51" s="48">
        <v>2.1413276231263384E-3</v>
      </c>
    </row>
    <row r="52" spans="2:5" ht="15" customHeight="1" x14ac:dyDescent="0.25">
      <c r="B52" s="90"/>
      <c r="C52" s="49" t="s">
        <v>54</v>
      </c>
      <c r="D52" s="50">
        <v>2</v>
      </c>
      <c r="E52" s="51">
        <v>4.2826552462526769E-3</v>
      </c>
    </row>
    <row r="53" spans="2:5" ht="15" customHeight="1" x14ac:dyDescent="0.25">
      <c r="B53" s="88" t="s">
        <v>27</v>
      </c>
      <c r="C53" s="46" t="s">
        <v>188</v>
      </c>
      <c r="D53" s="47">
        <v>1</v>
      </c>
      <c r="E53" s="48">
        <v>2.1413276231263384E-3</v>
      </c>
    </row>
    <row r="54" spans="2:5" ht="15" customHeight="1" x14ac:dyDescent="0.25">
      <c r="B54" s="89"/>
      <c r="C54" s="46" t="s">
        <v>189</v>
      </c>
      <c r="D54" s="47">
        <v>2</v>
      </c>
      <c r="E54" s="48">
        <v>4.2826552462526769E-3</v>
      </c>
    </row>
    <row r="55" spans="2:5" ht="15" customHeight="1" x14ac:dyDescent="0.25">
      <c r="B55" s="90"/>
      <c r="C55" s="49" t="s">
        <v>54</v>
      </c>
      <c r="D55" s="50">
        <v>3</v>
      </c>
      <c r="E55" s="51">
        <v>6.4239828693790149E-3</v>
      </c>
    </row>
    <row r="56" spans="2:5" ht="15" customHeight="1" x14ac:dyDescent="0.25">
      <c r="B56" s="88" t="s">
        <v>31</v>
      </c>
      <c r="C56" s="46" t="s">
        <v>188</v>
      </c>
      <c r="D56" s="47">
        <v>1</v>
      </c>
      <c r="E56" s="48">
        <v>2.1413276231263384E-3</v>
      </c>
    </row>
    <row r="57" spans="2:5" ht="15" customHeight="1" x14ac:dyDescent="0.25">
      <c r="B57" s="89"/>
      <c r="C57" s="46" t="s">
        <v>190</v>
      </c>
      <c r="D57" s="47">
        <v>1</v>
      </c>
      <c r="E57" s="48">
        <v>2.1413276231263384E-3</v>
      </c>
    </row>
    <row r="58" spans="2:5" ht="15" customHeight="1" x14ac:dyDescent="0.25">
      <c r="B58" s="90"/>
      <c r="C58" s="49" t="s">
        <v>54</v>
      </c>
      <c r="D58" s="50">
        <v>2</v>
      </c>
      <c r="E58" s="51">
        <v>4.2826552462526769E-3</v>
      </c>
    </row>
    <row r="59" spans="2:5" ht="15" customHeight="1" x14ac:dyDescent="0.25">
      <c r="B59" s="88" t="s">
        <v>49</v>
      </c>
      <c r="C59" s="46" t="s">
        <v>190</v>
      </c>
      <c r="D59" s="47">
        <v>1</v>
      </c>
      <c r="E59" s="48">
        <v>2.1413276231263384E-3</v>
      </c>
    </row>
    <row r="60" spans="2:5" ht="15" customHeight="1" x14ac:dyDescent="0.25">
      <c r="B60" s="90"/>
      <c r="C60" s="49" t="s">
        <v>54</v>
      </c>
      <c r="D60" s="50">
        <v>1</v>
      </c>
      <c r="E60" s="51">
        <v>2.1413276231263384E-3</v>
      </c>
    </row>
    <row r="61" spans="2:5" ht="15" customHeight="1" x14ac:dyDescent="0.25">
      <c r="B61" s="88" t="s">
        <v>33</v>
      </c>
      <c r="C61" s="46" t="s">
        <v>190</v>
      </c>
      <c r="D61" s="47">
        <v>1</v>
      </c>
      <c r="E61" s="48">
        <v>2.1413276231263384E-3</v>
      </c>
    </row>
    <row r="62" spans="2:5" ht="15" customHeight="1" x14ac:dyDescent="0.25">
      <c r="B62" s="90"/>
      <c r="C62" s="49" t="s">
        <v>54</v>
      </c>
      <c r="D62" s="50">
        <v>1</v>
      </c>
      <c r="E62" s="51">
        <v>2.1413276231263384E-3</v>
      </c>
    </row>
    <row r="63" spans="2:5" ht="15" customHeight="1" x14ac:dyDescent="0.25">
      <c r="B63" s="88" t="s">
        <v>43</v>
      </c>
      <c r="C63" s="46" t="s">
        <v>187</v>
      </c>
      <c r="D63" s="47">
        <v>2</v>
      </c>
      <c r="E63" s="48">
        <v>4.2826552462526769E-3</v>
      </c>
    </row>
    <row r="64" spans="2:5" ht="15" customHeight="1" x14ac:dyDescent="0.25">
      <c r="B64" s="89"/>
      <c r="C64" s="46" t="s">
        <v>188</v>
      </c>
      <c r="D64" s="47">
        <v>1</v>
      </c>
      <c r="E64" s="48">
        <v>2.1413276231263384E-3</v>
      </c>
    </row>
    <row r="65" spans="2:5" ht="15" customHeight="1" x14ac:dyDescent="0.25">
      <c r="B65" s="89"/>
      <c r="C65" s="46" t="s">
        <v>190</v>
      </c>
      <c r="D65" s="47">
        <v>1</v>
      </c>
      <c r="E65" s="48">
        <v>2.1413276231263384E-3</v>
      </c>
    </row>
    <row r="66" spans="2:5" ht="15" customHeight="1" x14ac:dyDescent="0.25">
      <c r="B66" s="90"/>
      <c r="C66" s="49" t="s">
        <v>54</v>
      </c>
      <c r="D66" s="50">
        <v>4</v>
      </c>
      <c r="E66" s="51">
        <v>8.5653104925053538E-3</v>
      </c>
    </row>
    <row r="67" spans="2:5" ht="15" customHeight="1" x14ac:dyDescent="0.25">
      <c r="B67" s="88" t="s">
        <v>45</v>
      </c>
      <c r="C67" s="46" t="s">
        <v>187</v>
      </c>
      <c r="D67" s="47">
        <v>2</v>
      </c>
      <c r="E67" s="48">
        <v>4.2826552462526769E-3</v>
      </c>
    </row>
    <row r="68" spans="2:5" ht="15" customHeight="1" x14ac:dyDescent="0.25">
      <c r="B68" s="90"/>
      <c r="C68" s="49" t="s">
        <v>54</v>
      </c>
      <c r="D68" s="50">
        <v>2</v>
      </c>
      <c r="E68" s="51">
        <v>4.2826552462526769E-3</v>
      </c>
    </row>
    <row r="69" spans="2:5" ht="15" customHeight="1" x14ac:dyDescent="0.25">
      <c r="B69" s="88" t="s">
        <v>40</v>
      </c>
      <c r="C69" s="46" t="s">
        <v>187</v>
      </c>
      <c r="D69" s="47">
        <v>1</v>
      </c>
      <c r="E69" s="48">
        <v>2.1413276231263384E-3</v>
      </c>
    </row>
    <row r="70" spans="2:5" ht="15" customHeight="1" x14ac:dyDescent="0.25">
      <c r="B70" s="90"/>
      <c r="C70" s="49" t="s">
        <v>54</v>
      </c>
      <c r="D70" s="50">
        <v>1</v>
      </c>
      <c r="E70" s="51">
        <v>2.1413276231263384E-3</v>
      </c>
    </row>
    <row r="71" spans="2:5" ht="15" customHeight="1" x14ac:dyDescent="0.25">
      <c r="B71" s="88" t="s">
        <v>52</v>
      </c>
      <c r="C71" s="46" t="s">
        <v>188</v>
      </c>
      <c r="D71" s="47">
        <v>1</v>
      </c>
      <c r="E71" s="48">
        <v>2.1413276231263384E-3</v>
      </c>
    </row>
    <row r="72" spans="2:5" ht="15" customHeight="1" x14ac:dyDescent="0.25">
      <c r="B72" s="90"/>
      <c r="C72" s="49" t="s">
        <v>54</v>
      </c>
      <c r="D72" s="50">
        <v>1</v>
      </c>
      <c r="E72" s="51">
        <v>2.1413276231263384E-3</v>
      </c>
    </row>
    <row r="73" spans="2:5" ht="15" customHeight="1" x14ac:dyDescent="0.25">
      <c r="B73" s="88" t="s">
        <v>32</v>
      </c>
      <c r="C73" s="46" t="s">
        <v>188</v>
      </c>
      <c r="D73" s="47">
        <v>1</v>
      </c>
      <c r="E73" s="48">
        <v>2.1413276231263384E-3</v>
      </c>
    </row>
    <row r="74" spans="2:5" ht="15" customHeight="1" x14ac:dyDescent="0.25">
      <c r="B74" s="90"/>
      <c r="C74" s="49" t="s">
        <v>54</v>
      </c>
      <c r="D74" s="50">
        <v>1</v>
      </c>
      <c r="E74" s="51">
        <v>2.1413276231263384E-3</v>
      </c>
    </row>
    <row r="75" spans="2:5" ht="15" customHeight="1" x14ac:dyDescent="0.25">
      <c r="B75" s="88" t="s">
        <v>22</v>
      </c>
      <c r="C75" s="46" t="s">
        <v>187</v>
      </c>
      <c r="D75" s="47">
        <v>6</v>
      </c>
      <c r="E75" s="48">
        <v>1.284796573875803E-2</v>
      </c>
    </row>
    <row r="76" spans="2:5" ht="15" customHeight="1" x14ac:dyDescent="0.25">
      <c r="B76" s="89"/>
      <c r="C76" s="46" t="s">
        <v>188</v>
      </c>
      <c r="D76" s="47">
        <v>4</v>
      </c>
      <c r="E76" s="48">
        <v>8.5653104925053538E-3</v>
      </c>
    </row>
    <row r="77" spans="2:5" ht="15" customHeight="1" x14ac:dyDescent="0.25">
      <c r="B77" s="89"/>
      <c r="C77" s="46" t="s">
        <v>190</v>
      </c>
      <c r="D77" s="47">
        <v>3</v>
      </c>
      <c r="E77" s="48">
        <v>6.4239828693790149E-3</v>
      </c>
    </row>
    <row r="78" spans="2:5" ht="15" customHeight="1" x14ac:dyDescent="0.25">
      <c r="B78" s="90"/>
      <c r="C78" s="49" t="s">
        <v>54</v>
      </c>
      <c r="D78" s="50">
        <v>13</v>
      </c>
      <c r="E78" s="51">
        <v>2.7837259100642397E-2</v>
      </c>
    </row>
    <row r="79" spans="2:5" ht="15" customHeight="1" x14ac:dyDescent="0.25">
      <c r="B79" s="88" t="s">
        <v>51</v>
      </c>
      <c r="C79" s="46" t="s">
        <v>187</v>
      </c>
      <c r="D79" s="47">
        <v>1</v>
      </c>
      <c r="E79" s="48">
        <v>2.1413276231263384E-3</v>
      </c>
    </row>
    <row r="80" spans="2:5" ht="15" customHeight="1" x14ac:dyDescent="0.25">
      <c r="B80" s="89"/>
      <c r="C80" s="46" t="s">
        <v>190</v>
      </c>
      <c r="D80" s="47">
        <v>1</v>
      </c>
      <c r="E80" s="48">
        <v>2.1413276231263384E-3</v>
      </c>
    </row>
    <row r="81" spans="2:5" ht="15" customHeight="1" x14ac:dyDescent="0.25">
      <c r="B81" s="90"/>
      <c r="C81" s="49" t="s">
        <v>54</v>
      </c>
      <c r="D81" s="50">
        <v>2</v>
      </c>
      <c r="E81" s="51">
        <v>4.2826552462526769E-3</v>
      </c>
    </row>
    <row r="82" spans="2:5" ht="15" customHeight="1" x14ac:dyDescent="0.25">
      <c r="B82" s="88" t="s">
        <v>29</v>
      </c>
      <c r="C82" s="46" t="s">
        <v>188</v>
      </c>
      <c r="D82" s="47">
        <v>2</v>
      </c>
      <c r="E82" s="48">
        <v>4.2826552462526769E-3</v>
      </c>
    </row>
    <row r="83" spans="2:5" ht="15" customHeight="1" x14ac:dyDescent="0.25">
      <c r="B83" s="90"/>
      <c r="C83" s="49" t="s">
        <v>54</v>
      </c>
      <c r="D83" s="50">
        <v>2</v>
      </c>
      <c r="E83" s="51">
        <v>4.2826552462526769E-3</v>
      </c>
    </row>
    <row r="84" spans="2:5" ht="15" customHeight="1" x14ac:dyDescent="0.25">
      <c r="B84" s="88" t="s">
        <v>46</v>
      </c>
      <c r="C84" s="46" t="s">
        <v>188</v>
      </c>
      <c r="D84" s="47">
        <v>2</v>
      </c>
      <c r="E84" s="48">
        <v>4.2826552462526769E-3</v>
      </c>
    </row>
    <row r="85" spans="2:5" ht="15" customHeight="1" x14ac:dyDescent="0.25">
      <c r="B85" s="89"/>
      <c r="C85" s="46" t="s">
        <v>189</v>
      </c>
      <c r="D85" s="47">
        <v>1</v>
      </c>
      <c r="E85" s="48">
        <v>2.1413276231263384E-3</v>
      </c>
    </row>
    <row r="86" spans="2:5" ht="15" customHeight="1" x14ac:dyDescent="0.25">
      <c r="B86" s="90"/>
      <c r="C86" s="49" t="s">
        <v>54</v>
      </c>
      <c r="D86" s="50">
        <v>3</v>
      </c>
      <c r="E86" s="51">
        <v>6.4239828693790149E-3</v>
      </c>
    </row>
    <row r="87" spans="2:5" ht="15" customHeight="1" x14ac:dyDescent="0.25">
      <c r="B87" s="88" t="s">
        <v>23</v>
      </c>
      <c r="C87" s="46" t="s">
        <v>188</v>
      </c>
      <c r="D87" s="47">
        <v>4</v>
      </c>
      <c r="E87" s="48">
        <v>8.5653104925053538E-3</v>
      </c>
    </row>
    <row r="88" spans="2:5" ht="15" customHeight="1" x14ac:dyDescent="0.25">
      <c r="B88" s="89"/>
      <c r="C88" s="46" t="s">
        <v>190</v>
      </c>
      <c r="D88" s="47">
        <v>2</v>
      </c>
      <c r="E88" s="48">
        <v>4.2826552462526769E-3</v>
      </c>
    </row>
    <row r="89" spans="2:5" ht="15" customHeight="1" x14ac:dyDescent="0.25">
      <c r="B89" s="90"/>
      <c r="C89" s="49" t="s">
        <v>54</v>
      </c>
      <c r="D89" s="50">
        <v>6</v>
      </c>
      <c r="E89" s="51">
        <v>1.284796573875803E-2</v>
      </c>
    </row>
    <row r="90" spans="2:5" ht="15" customHeight="1" x14ac:dyDescent="0.25">
      <c r="B90" s="88" t="s">
        <v>41</v>
      </c>
      <c r="C90" s="46" t="s">
        <v>187</v>
      </c>
      <c r="D90" s="47">
        <v>1</v>
      </c>
      <c r="E90" s="48">
        <v>2.1413276231263384E-3</v>
      </c>
    </row>
    <row r="91" spans="2:5" ht="15" customHeight="1" x14ac:dyDescent="0.25">
      <c r="B91" s="89"/>
      <c r="C91" s="46" t="s">
        <v>188</v>
      </c>
      <c r="D91" s="47">
        <v>1</v>
      </c>
      <c r="E91" s="48">
        <v>2.1413276231263384E-3</v>
      </c>
    </row>
    <row r="92" spans="2:5" ht="15" customHeight="1" x14ac:dyDescent="0.25">
      <c r="B92" s="90"/>
      <c r="C92" s="49" t="s">
        <v>54</v>
      </c>
      <c r="D92" s="50">
        <v>2</v>
      </c>
      <c r="E92" s="51">
        <v>4.2826552462526769E-3</v>
      </c>
    </row>
    <row r="93" spans="2:5" ht="15" customHeight="1" x14ac:dyDescent="0.25">
      <c r="B93" s="88" t="s">
        <v>18</v>
      </c>
      <c r="C93" s="46" t="s">
        <v>187</v>
      </c>
      <c r="D93" s="47">
        <v>3</v>
      </c>
      <c r="E93" s="48">
        <v>6.4239828693790149E-3</v>
      </c>
    </row>
    <row r="94" spans="2:5" ht="15" customHeight="1" x14ac:dyDescent="0.25">
      <c r="B94" s="89"/>
      <c r="C94" s="46" t="s">
        <v>189</v>
      </c>
      <c r="D94" s="47">
        <v>1</v>
      </c>
      <c r="E94" s="48">
        <v>2.1413276231263384E-3</v>
      </c>
    </row>
    <row r="95" spans="2:5" ht="15" customHeight="1" x14ac:dyDescent="0.25">
      <c r="B95" s="90"/>
      <c r="C95" s="49" t="s">
        <v>54</v>
      </c>
      <c r="D95" s="50">
        <v>4</v>
      </c>
      <c r="E95" s="51">
        <v>8.5653104925053538E-3</v>
      </c>
    </row>
    <row r="96" spans="2:5" ht="15" customHeight="1" x14ac:dyDescent="0.25">
      <c r="B96" s="88" t="s">
        <v>39</v>
      </c>
      <c r="C96" s="46" t="s">
        <v>187</v>
      </c>
      <c r="D96" s="47">
        <v>4</v>
      </c>
      <c r="E96" s="48">
        <v>8.5653104925053538E-3</v>
      </c>
    </row>
    <row r="97" spans="2:5" ht="15" customHeight="1" x14ac:dyDescent="0.25">
      <c r="B97" s="89"/>
      <c r="C97" s="46" t="s">
        <v>188</v>
      </c>
      <c r="D97" s="47">
        <v>5</v>
      </c>
      <c r="E97" s="48">
        <v>1.0706638115631691E-2</v>
      </c>
    </row>
    <row r="98" spans="2:5" ht="15" customHeight="1" x14ac:dyDescent="0.25">
      <c r="B98" s="89"/>
      <c r="C98" s="46" t="s">
        <v>190</v>
      </c>
      <c r="D98" s="47">
        <v>3</v>
      </c>
      <c r="E98" s="48">
        <v>6.4239828693790149E-3</v>
      </c>
    </row>
    <row r="99" spans="2:5" ht="15" customHeight="1" x14ac:dyDescent="0.25">
      <c r="B99" s="90"/>
      <c r="C99" s="49" t="s">
        <v>54</v>
      </c>
      <c r="D99" s="50">
        <v>12</v>
      </c>
      <c r="E99" s="51">
        <v>2.569593147751606E-2</v>
      </c>
    </row>
    <row r="100" spans="2:5" ht="15" customHeight="1" x14ac:dyDescent="0.25">
      <c r="B100" s="88" t="s">
        <v>47</v>
      </c>
      <c r="C100" s="46" t="s">
        <v>187</v>
      </c>
      <c r="D100" s="47">
        <v>1</v>
      </c>
      <c r="E100" s="48">
        <v>2.1413276231263384E-3</v>
      </c>
    </row>
    <row r="101" spans="2:5" ht="15" customHeight="1" x14ac:dyDescent="0.25">
      <c r="B101" s="89"/>
      <c r="C101" s="46" t="s">
        <v>190</v>
      </c>
      <c r="D101" s="47">
        <v>2</v>
      </c>
      <c r="E101" s="48">
        <v>4.2826552462526769E-3</v>
      </c>
    </row>
    <row r="102" spans="2:5" ht="15" customHeight="1" x14ac:dyDescent="0.25">
      <c r="B102" s="90"/>
      <c r="C102" s="49" t="s">
        <v>54</v>
      </c>
      <c r="D102" s="50">
        <v>3</v>
      </c>
      <c r="E102" s="51">
        <v>6.4239828693790149E-3</v>
      </c>
    </row>
    <row r="103" spans="2:5" ht="15" customHeight="1" x14ac:dyDescent="0.25">
      <c r="B103" s="88" t="s">
        <v>37</v>
      </c>
      <c r="C103" s="46" t="s">
        <v>188</v>
      </c>
      <c r="D103" s="47">
        <v>2</v>
      </c>
      <c r="E103" s="48">
        <v>4.2826552462526769E-3</v>
      </c>
    </row>
    <row r="104" spans="2:5" ht="15" customHeight="1" x14ac:dyDescent="0.25">
      <c r="B104" s="89"/>
      <c r="C104" s="46" t="s">
        <v>190</v>
      </c>
      <c r="D104" s="47">
        <v>5</v>
      </c>
      <c r="E104" s="48">
        <v>1.0706638115631691E-2</v>
      </c>
    </row>
    <row r="105" spans="2:5" ht="15" customHeight="1" x14ac:dyDescent="0.25">
      <c r="B105" s="90"/>
      <c r="C105" s="49" t="s">
        <v>54</v>
      </c>
      <c r="D105" s="50">
        <v>7</v>
      </c>
      <c r="E105" s="51">
        <v>1.4989293361884369E-2</v>
      </c>
    </row>
    <row r="106" spans="2:5" ht="15" customHeight="1" x14ac:dyDescent="0.25">
      <c r="B106" s="88" t="s">
        <v>28</v>
      </c>
      <c r="C106" s="46" t="s">
        <v>187</v>
      </c>
      <c r="D106" s="47">
        <v>3</v>
      </c>
      <c r="E106" s="48">
        <v>6.4239828693790149E-3</v>
      </c>
    </row>
    <row r="107" spans="2:5" ht="15" customHeight="1" x14ac:dyDescent="0.25">
      <c r="B107" s="89"/>
      <c r="C107" s="46" t="s">
        <v>188</v>
      </c>
      <c r="D107" s="47">
        <v>1</v>
      </c>
      <c r="E107" s="48">
        <v>2.1413276231263384E-3</v>
      </c>
    </row>
    <row r="108" spans="2:5" ht="15" customHeight="1" x14ac:dyDescent="0.25">
      <c r="B108" s="90"/>
      <c r="C108" s="49" t="s">
        <v>54</v>
      </c>
      <c r="D108" s="50">
        <v>4</v>
      </c>
      <c r="E108" s="51">
        <v>8.5653104925053538E-3</v>
      </c>
    </row>
    <row r="109" spans="2:5" ht="15" customHeight="1" x14ac:dyDescent="0.25">
      <c r="B109" s="88" t="s">
        <v>16</v>
      </c>
      <c r="C109" s="46" t="s">
        <v>187</v>
      </c>
      <c r="D109" s="47">
        <v>12</v>
      </c>
      <c r="E109" s="48">
        <v>2.569593147751606E-2</v>
      </c>
    </row>
    <row r="110" spans="2:5" ht="15" customHeight="1" x14ac:dyDescent="0.25">
      <c r="B110" s="89"/>
      <c r="C110" s="46" t="s">
        <v>188</v>
      </c>
      <c r="D110" s="47">
        <v>25</v>
      </c>
      <c r="E110" s="48">
        <v>5.353319057815846E-2</v>
      </c>
    </row>
    <row r="111" spans="2:5" ht="15" customHeight="1" x14ac:dyDescent="0.25">
      <c r="B111" s="89"/>
      <c r="C111" s="46" t="s">
        <v>189</v>
      </c>
      <c r="D111" s="47">
        <v>5</v>
      </c>
      <c r="E111" s="48">
        <v>1.0706638115631691E-2</v>
      </c>
    </row>
    <row r="112" spans="2:5" ht="15" customHeight="1" x14ac:dyDescent="0.25">
      <c r="B112" s="89"/>
      <c r="C112" s="46" t="s">
        <v>190</v>
      </c>
      <c r="D112" s="47">
        <v>6</v>
      </c>
      <c r="E112" s="48">
        <v>1.284796573875803E-2</v>
      </c>
    </row>
    <row r="113" spans="2:5" ht="15" customHeight="1" x14ac:dyDescent="0.25">
      <c r="B113" s="90"/>
      <c r="C113" s="49" t="s">
        <v>54</v>
      </c>
      <c r="D113" s="50">
        <v>48</v>
      </c>
      <c r="E113" s="51">
        <v>0.10278372591006424</v>
      </c>
    </row>
    <row r="114" spans="2:5" ht="15" customHeight="1" x14ac:dyDescent="0.25">
      <c r="B114" s="88" t="s">
        <v>26</v>
      </c>
      <c r="C114" s="46" t="s">
        <v>187</v>
      </c>
      <c r="D114" s="47">
        <v>2</v>
      </c>
      <c r="E114" s="48">
        <v>4.2826552462526769E-3</v>
      </c>
    </row>
    <row r="115" spans="2:5" ht="15" customHeight="1" x14ac:dyDescent="0.25">
      <c r="B115" s="89"/>
      <c r="C115" s="46" t="s">
        <v>188</v>
      </c>
      <c r="D115" s="47">
        <v>7</v>
      </c>
      <c r="E115" s="48">
        <v>1.4989293361884369E-2</v>
      </c>
    </row>
    <row r="116" spans="2:5" ht="15" customHeight="1" x14ac:dyDescent="0.25">
      <c r="B116" s="89"/>
      <c r="C116" s="46" t="s">
        <v>190</v>
      </c>
      <c r="D116" s="47">
        <v>3</v>
      </c>
      <c r="E116" s="48">
        <v>6.4239828693790149E-3</v>
      </c>
    </row>
    <row r="117" spans="2:5" ht="15" customHeight="1" x14ac:dyDescent="0.25">
      <c r="B117" s="90"/>
      <c r="C117" s="49" t="s">
        <v>54</v>
      </c>
      <c r="D117" s="50">
        <v>12</v>
      </c>
      <c r="E117" s="51">
        <v>2.569593147751606E-2</v>
      </c>
    </row>
    <row r="118" spans="2:5" ht="15" customHeight="1" x14ac:dyDescent="0.25">
      <c r="B118" s="88" t="s">
        <v>36</v>
      </c>
      <c r="C118" s="46" t="s">
        <v>187</v>
      </c>
      <c r="D118" s="47">
        <v>3</v>
      </c>
      <c r="E118" s="48">
        <v>6.4239828693790149E-3</v>
      </c>
    </row>
    <row r="119" spans="2:5" ht="15" customHeight="1" x14ac:dyDescent="0.25">
      <c r="B119" s="89"/>
      <c r="C119" s="46" t="s">
        <v>188</v>
      </c>
      <c r="D119" s="47">
        <v>1</v>
      </c>
      <c r="E119" s="48">
        <v>2.1413276231263384E-3</v>
      </c>
    </row>
    <row r="120" spans="2:5" ht="15" customHeight="1" x14ac:dyDescent="0.25">
      <c r="B120" s="89"/>
      <c r="C120" s="46" t="s">
        <v>189</v>
      </c>
      <c r="D120" s="47">
        <v>1</v>
      </c>
      <c r="E120" s="48">
        <v>2.1413276231263384E-3</v>
      </c>
    </row>
    <row r="121" spans="2:5" ht="15" customHeight="1" x14ac:dyDescent="0.25">
      <c r="B121" s="89"/>
      <c r="C121" s="46" t="s">
        <v>190</v>
      </c>
      <c r="D121" s="47">
        <v>1</v>
      </c>
      <c r="E121" s="48">
        <v>2.1413276231263384E-3</v>
      </c>
    </row>
    <row r="122" spans="2:5" ht="15" customHeight="1" x14ac:dyDescent="0.25">
      <c r="B122" s="90"/>
      <c r="C122" s="49" t="s">
        <v>54</v>
      </c>
      <c r="D122" s="50">
        <v>6</v>
      </c>
      <c r="E122" s="51">
        <v>1.284796573875803E-2</v>
      </c>
    </row>
    <row r="123" spans="2:5" ht="15" customHeight="1" x14ac:dyDescent="0.25">
      <c r="B123" s="88" t="s">
        <v>30</v>
      </c>
      <c r="C123" s="46" t="s">
        <v>187</v>
      </c>
      <c r="D123" s="47">
        <v>7</v>
      </c>
      <c r="E123" s="48">
        <v>1.4989293361884369E-2</v>
      </c>
    </row>
    <row r="124" spans="2:5" ht="15" customHeight="1" x14ac:dyDescent="0.25">
      <c r="B124" s="89"/>
      <c r="C124" s="46" t="s">
        <v>188</v>
      </c>
      <c r="D124" s="47">
        <v>3</v>
      </c>
      <c r="E124" s="48">
        <v>6.4239828693790149E-3</v>
      </c>
    </row>
    <row r="125" spans="2:5" ht="15" customHeight="1" x14ac:dyDescent="0.25">
      <c r="B125" s="89"/>
      <c r="C125" s="46" t="s">
        <v>189</v>
      </c>
      <c r="D125" s="47">
        <v>3</v>
      </c>
      <c r="E125" s="48">
        <v>6.4239828693790149E-3</v>
      </c>
    </row>
    <row r="126" spans="2:5" ht="15" customHeight="1" x14ac:dyDescent="0.25">
      <c r="B126" s="89"/>
      <c r="C126" s="46" t="s">
        <v>190</v>
      </c>
      <c r="D126" s="47">
        <v>1</v>
      </c>
      <c r="E126" s="48">
        <v>2.1413276231263384E-3</v>
      </c>
    </row>
    <row r="127" spans="2:5" ht="15" customHeight="1" x14ac:dyDescent="0.25">
      <c r="B127" s="90"/>
      <c r="C127" s="49" t="s">
        <v>54</v>
      </c>
      <c r="D127" s="50">
        <v>14</v>
      </c>
      <c r="E127" s="51">
        <v>2.9978586723768737E-2</v>
      </c>
    </row>
    <row r="128" spans="2:5" ht="15" customHeight="1" x14ac:dyDescent="0.25">
      <c r="B128" s="88" t="s">
        <v>38</v>
      </c>
      <c r="C128" s="46" t="s">
        <v>188</v>
      </c>
      <c r="D128" s="47">
        <v>2</v>
      </c>
      <c r="E128" s="48">
        <v>4.2826552462526769E-3</v>
      </c>
    </row>
    <row r="129" spans="2:5" ht="15" customHeight="1" x14ac:dyDescent="0.25">
      <c r="B129" s="89"/>
      <c r="C129" s="46" t="s">
        <v>190</v>
      </c>
      <c r="D129" s="47">
        <v>1</v>
      </c>
      <c r="E129" s="48">
        <v>2.1413276231263384E-3</v>
      </c>
    </row>
    <row r="130" spans="2:5" ht="15" customHeight="1" x14ac:dyDescent="0.25">
      <c r="B130" s="90"/>
      <c r="C130" s="49" t="s">
        <v>54</v>
      </c>
      <c r="D130" s="50">
        <v>3</v>
      </c>
      <c r="E130" s="51">
        <v>6.4239828693790149E-3</v>
      </c>
    </row>
    <row r="131" spans="2:5" ht="15" customHeight="1" x14ac:dyDescent="0.25">
      <c r="B131" s="92" t="s">
        <v>54</v>
      </c>
      <c r="C131" s="93"/>
      <c r="D131" s="52">
        <v>467</v>
      </c>
      <c r="E131" s="53">
        <v>1</v>
      </c>
    </row>
    <row r="133" spans="2:5" ht="15" customHeight="1" x14ac:dyDescent="0.25">
      <c r="B133" s="30" t="s">
        <v>55</v>
      </c>
    </row>
    <row r="134" spans="2:5" ht="15" customHeight="1" x14ac:dyDescent="0.25">
      <c r="B134" s="31" t="s">
        <v>56</v>
      </c>
    </row>
    <row r="135" spans="2:5" ht="15" customHeight="1" x14ac:dyDescent="0.25">
      <c r="B135" s="32" t="s">
        <v>57</v>
      </c>
    </row>
    <row r="136" spans="2:5" ht="15" customHeight="1" x14ac:dyDescent="0.25">
      <c r="B136" s="30" t="s">
        <v>58</v>
      </c>
    </row>
    <row r="137" spans="2:5" ht="15" customHeight="1" x14ac:dyDescent="0.25">
      <c r="B137" s="30" t="s">
        <v>59</v>
      </c>
    </row>
  </sheetData>
  <mergeCells count="39">
    <mergeCell ref="B123:B127"/>
    <mergeCell ref="B128:B130"/>
    <mergeCell ref="B131:C131"/>
    <mergeCell ref="B100:B102"/>
    <mergeCell ref="B103:B105"/>
    <mergeCell ref="B106:B108"/>
    <mergeCell ref="B109:B113"/>
    <mergeCell ref="B114:B117"/>
    <mergeCell ref="B118:B122"/>
    <mergeCell ref="B96:B99"/>
    <mergeCell ref="B67:B68"/>
    <mergeCell ref="B69:B70"/>
    <mergeCell ref="B71:B72"/>
    <mergeCell ref="B73:B74"/>
    <mergeCell ref="B75:B78"/>
    <mergeCell ref="B79:B81"/>
    <mergeCell ref="B82:B83"/>
    <mergeCell ref="B84:B86"/>
    <mergeCell ref="B87:B89"/>
    <mergeCell ref="B90:B92"/>
    <mergeCell ref="B93:B95"/>
    <mergeCell ref="B63:B66"/>
    <mergeCell ref="B29:B30"/>
    <mergeCell ref="B31:B34"/>
    <mergeCell ref="B35:B39"/>
    <mergeCell ref="B40:B41"/>
    <mergeCell ref="B42:B46"/>
    <mergeCell ref="B47:B49"/>
    <mergeCell ref="B50:B52"/>
    <mergeCell ref="B53:B55"/>
    <mergeCell ref="B56:B58"/>
    <mergeCell ref="B59:B60"/>
    <mergeCell ref="B61:B62"/>
    <mergeCell ref="B26:B28"/>
    <mergeCell ref="B7:E8"/>
    <mergeCell ref="B10:B12"/>
    <mergeCell ref="B13:B15"/>
    <mergeCell ref="B16:B19"/>
    <mergeCell ref="B20:B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2" max="4" man="1"/>
    <brk id="95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6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60</v>
      </c>
      <c r="C9" s="43" t="s">
        <v>112</v>
      </c>
      <c r="D9" s="44" t="s">
        <v>13</v>
      </c>
      <c r="E9" s="42" t="s">
        <v>14</v>
      </c>
    </row>
    <row r="10" spans="1:5" ht="15" customHeight="1" x14ac:dyDescent="0.25">
      <c r="B10" s="88" t="s">
        <v>85</v>
      </c>
      <c r="C10" s="46" t="s">
        <v>187</v>
      </c>
      <c r="D10" s="47">
        <v>3</v>
      </c>
      <c r="E10" s="48">
        <v>7.1258907363420431E-3</v>
      </c>
    </row>
    <row r="11" spans="1:5" ht="15" customHeight="1" x14ac:dyDescent="0.25">
      <c r="B11" s="89"/>
      <c r="C11" s="46" t="s">
        <v>188</v>
      </c>
      <c r="D11" s="47">
        <v>3</v>
      </c>
      <c r="E11" s="48">
        <v>7.1258907363420431E-3</v>
      </c>
    </row>
    <row r="12" spans="1:5" ht="15" customHeight="1" x14ac:dyDescent="0.25">
      <c r="B12" s="89"/>
      <c r="C12" s="46" t="s">
        <v>190</v>
      </c>
      <c r="D12" s="47">
        <v>1</v>
      </c>
      <c r="E12" s="48">
        <v>2.3752969121140144E-3</v>
      </c>
    </row>
    <row r="13" spans="1:5" s="40" customFormat="1" ht="15" customHeight="1" x14ac:dyDescent="0.25">
      <c r="A13" s="45"/>
      <c r="B13" s="90"/>
      <c r="C13" s="49" t="s">
        <v>54</v>
      </c>
      <c r="D13" s="50">
        <v>7</v>
      </c>
      <c r="E13" s="51">
        <v>1.66270783847981E-2</v>
      </c>
    </row>
    <row r="14" spans="1:5" s="40" customFormat="1" ht="15" customHeight="1" x14ac:dyDescent="0.25">
      <c r="A14" s="45"/>
      <c r="B14" s="88" t="s">
        <v>68</v>
      </c>
      <c r="C14" s="46" t="s">
        <v>187</v>
      </c>
      <c r="D14" s="47">
        <v>3</v>
      </c>
      <c r="E14" s="48">
        <v>7.1258907363420431E-3</v>
      </c>
    </row>
    <row r="15" spans="1:5" s="40" customFormat="1" ht="15" customHeight="1" x14ac:dyDescent="0.25">
      <c r="A15" s="45"/>
      <c r="B15" s="89"/>
      <c r="C15" s="46" t="s">
        <v>188</v>
      </c>
      <c r="D15" s="47">
        <v>5</v>
      </c>
      <c r="E15" s="48">
        <v>1.1876484560570071E-2</v>
      </c>
    </row>
    <row r="16" spans="1:5" s="40" customFormat="1" ht="15" customHeight="1" x14ac:dyDescent="0.25">
      <c r="A16" s="45"/>
      <c r="B16" s="89"/>
      <c r="C16" s="46" t="s">
        <v>189</v>
      </c>
      <c r="D16" s="47">
        <v>1</v>
      </c>
      <c r="E16" s="48">
        <v>2.3752969121140144E-3</v>
      </c>
    </row>
    <row r="17" spans="2:5" ht="15" customHeight="1" x14ac:dyDescent="0.25">
      <c r="B17" s="89"/>
      <c r="C17" s="46" t="s">
        <v>190</v>
      </c>
      <c r="D17" s="47">
        <v>1</v>
      </c>
      <c r="E17" s="48">
        <v>2.3752969121140144E-3</v>
      </c>
    </row>
    <row r="18" spans="2:5" ht="15" customHeight="1" x14ac:dyDescent="0.25">
      <c r="B18" s="90"/>
      <c r="C18" s="49" t="s">
        <v>54</v>
      </c>
      <c r="D18" s="50">
        <v>10</v>
      </c>
      <c r="E18" s="51">
        <v>2.3752969121140142E-2</v>
      </c>
    </row>
    <row r="19" spans="2:5" ht="15" customHeight="1" x14ac:dyDescent="0.25">
      <c r="B19" s="88" t="s">
        <v>92</v>
      </c>
      <c r="C19" s="46" t="s">
        <v>187</v>
      </c>
      <c r="D19" s="47">
        <v>1</v>
      </c>
      <c r="E19" s="48">
        <v>2.3752969121140144E-3</v>
      </c>
    </row>
    <row r="20" spans="2:5" ht="15" customHeight="1" x14ac:dyDescent="0.25">
      <c r="B20" s="90"/>
      <c r="C20" s="49" t="s">
        <v>54</v>
      </c>
      <c r="D20" s="50">
        <v>1</v>
      </c>
      <c r="E20" s="51">
        <v>2.3752969121140144E-3</v>
      </c>
    </row>
    <row r="21" spans="2:5" ht="15" customHeight="1" x14ac:dyDescent="0.25">
      <c r="B21" s="88" t="s">
        <v>104</v>
      </c>
      <c r="C21" s="46" t="s">
        <v>188</v>
      </c>
      <c r="D21" s="47">
        <v>1</v>
      </c>
      <c r="E21" s="48">
        <v>2.3752969121140144E-3</v>
      </c>
    </row>
    <row r="22" spans="2:5" ht="15" customHeight="1" x14ac:dyDescent="0.25">
      <c r="B22" s="89"/>
      <c r="C22" s="46" t="s">
        <v>190</v>
      </c>
      <c r="D22" s="47">
        <v>1</v>
      </c>
      <c r="E22" s="48">
        <v>2.3752969121140144E-3</v>
      </c>
    </row>
    <row r="23" spans="2:5" ht="15" customHeight="1" x14ac:dyDescent="0.25">
      <c r="B23" s="90"/>
      <c r="C23" s="49" t="s">
        <v>54</v>
      </c>
      <c r="D23" s="50">
        <v>2</v>
      </c>
      <c r="E23" s="51">
        <v>4.7505938242280287E-3</v>
      </c>
    </row>
    <row r="24" spans="2:5" ht="15" customHeight="1" x14ac:dyDescent="0.25">
      <c r="B24" s="88" t="s">
        <v>61</v>
      </c>
      <c r="C24" s="46" t="s">
        <v>187</v>
      </c>
      <c r="D24" s="47">
        <v>4</v>
      </c>
      <c r="E24" s="48">
        <v>9.5011876484560574E-3</v>
      </c>
    </row>
    <row r="25" spans="2:5" ht="15" customHeight="1" x14ac:dyDescent="0.25">
      <c r="B25" s="89"/>
      <c r="C25" s="46" t="s">
        <v>188</v>
      </c>
      <c r="D25" s="47">
        <v>11</v>
      </c>
      <c r="E25" s="48">
        <v>2.6128266033254157E-2</v>
      </c>
    </row>
    <row r="26" spans="2:5" ht="15" customHeight="1" x14ac:dyDescent="0.25">
      <c r="B26" s="89"/>
      <c r="C26" s="46" t="s">
        <v>189</v>
      </c>
      <c r="D26" s="47">
        <v>2</v>
      </c>
      <c r="E26" s="48">
        <v>4.7505938242280287E-3</v>
      </c>
    </row>
    <row r="27" spans="2:5" ht="15" customHeight="1" x14ac:dyDescent="0.25">
      <c r="B27" s="89"/>
      <c r="C27" s="46" t="s">
        <v>190</v>
      </c>
      <c r="D27" s="47">
        <v>3</v>
      </c>
      <c r="E27" s="48">
        <v>7.1258907363420431E-3</v>
      </c>
    </row>
    <row r="28" spans="2:5" ht="15" customHeight="1" x14ac:dyDescent="0.25">
      <c r="B28" s="90"/>
      <c r="C28" s="49" t="s">
        <v>54</v>
      </c>
      <c r="D28" s="50">
        <v>20</v>
      </c>
      <c r="E28" s="51">
        <v>4.7505938242280284E-2</v>
      </c>
    </row>
    <row r="29" spans="2:5" ht="15" customHeight="1" x14ac:dyDescent="0.25">
      <c r="B29" s="88" t="s">
        <v>64</v>
      </c>
      <c r="C29" s="46" t="s">
        <v>187</v>
      </c>
      <c r="D29" s="47">
        <v>1</v>
      </c>
      <c r="E29" s="48">
        <v>2.3752969121140144E-3</v>
      </c>
    </row>
    <row r="30" spans="2:5" ht="15" customHeight="1" x14ac:dyDescent="0.25">
      <c r="B30" s="89"/>
      <c r="C30" s="46" t="s">
        <v>188</v>
      </c>
      <c r="D30" s="47">
        <v>9</v>
      </c>
      <c r="E30" s="48">
        <v>2.1377672209026127E-2</v>
      </c>
    </row>
    <row r="31" spans="2:5" ht="15" customHeight="1" x14ac:dyDescent="0.25">
      <c r="B31" s="89"/>
      <c r="C31" s="46" t="s">
        <v>189</v>
      </c>
      <c r="D31" s="47">
        <v>3</v>
      </c>
      <c r="E31" s="48">
        <v>7.1258907363420431E-3</v>
      </c>
    </row>
    <row r="32" spans="2:5" ht="15" customHeight="1" x14ac:dyDescent="0.25">
      <c r="B32" s="89"/>
      <c r="C32" s="46" t="s">
        <v>190</v>
      </c>
      <c r="D32" s="47">
        <v>1</v>
      </c>
      <c r="E32" s="48">
        <v>2.3752969121140144E-3</v>
      </c>
    </row>
    <row r="33" spans="2:5" ht="15" customHeight="1" x14ac:dyDescent="0.25">
      <c r="B33" s="90"/>
      <c r="C33" s="49" t="s">
        <v>54</v>
      </c>
      <c r="D33" s="50">
        <v>14</v>
      </c>
      <c r="E33" s="51">
        <v>3.3254156769596199E-2</v>
      </c>
    </row>
    <row r="34" spans="2:5" ht="15" customHeight="1" x14ac:dyDescent="0.25">
      <c r="B34" s="88" t="s">
        <v>65</v>
      </c>
      <c r="C34" s="46" t="s">
        <v>187</v>
      </c>
      <c r="D34" s="47">
        <v>2</v>
      </c>
      <c r="E34" s="48">
        <v>4.7505938242280287E-3</v>
      </c>
    </row>
    <row r="35" spans="2:5" ht="15" customHeight="1" x14ac:dyDescent="0.25">
      <c r="B35" s="89"/>
      <c r="C35" s="46" t="s">
        <v>188</v>
      </c>
      <c r="D35" s="47">
        <v>5</v>
      </c>
      <c r="E35" s="48">
        <v>1.1876484560570071E-2</v>
      </c>
    </row>
    <row r="36" spans="2:5" ht="15" customHeight="1" x14ac:dyDescent="0.25">
      <c r="B36" s="90"/>
      <c r="C36" s="49" t="s">
        <v>54</v>
      </c>
      <c r="D36" s="50">
        <v>7</v>
      </c>
      <c r="E36" s="51">
        <v>1.66270783847981E-2</v>
      </c>
    </row>
    <row r="37" spans="2:5" ht="15" customHeight="1" x14ac:dyDescent="0.25">
      <c r="B37" s="88" t="s">
        <v>86</v>
      </c>
      <c r="C37" s="46" t="s">
        <v>187</v>
      </c>
      <c r="D37" s="47">
        <v>1</v>
      </c>
      <c r="E37" s="48">
        <v>2.3752969121140144E-3</v>
      </c>
    </row>
    <row r="38" spans="2:5" ht="15" customHeight="1" x14ac:dyDescent="0.25">
      <c r="B38" s="90"/>
      <c r="C38" s="49" t="s">
        <v>54</v>
      </c>
      <c r="D38" s="50">
        <v>1</v>
      </c>
      <c r="E38" s="51">
        <v>2.3752969121140144E-3</v>
      </c>
    </row>
    <row r="39" spans="2:5" ht="15" customHeight="1" x14ac:dyDescent="0.25">
      <c r="B39" s="88" t="s">
        <v>93</v>
      </c>
      <c r="C39" s="46" t="s">
        <v>187</v>
      </c>
      <c r="D39" s="47">
        <v>2</v>
      </c>
      <c r="E39" s="48">
        <v>4.7505938242280287E-3</v>
      </c>
    </row>
    <row r="40" spans="2:5" ht="15" customHeight="1" x14ac:dyDescent="0.25">
      <c r="B40" s="90"/>
      <c r="C40" s="49" t="s">
        <v>54</v>
      </c>
      <c r="D40" s="50">
        <v>2</v>
      </c>
      <c r="E40" s="51">
        <v>4.7505938242280287E-3</v>
      </c>
    </row>
    <row r="41" spans="2:5" ht="15" customHeight="1" x14ac:dyDescent="0.25">
      <c r="B41" s="88" t="s">
        <v>98</v>
      </c>
      <c r="C41" s="46" t="s">
        <v>187</v>
      </c>
      <c r="D41" s="47">
        <v>3</v>
      </c>
      <c r="E41" s="48">
        <v>7.1258907363420431E-3</v>
      </c>
    </row>
    <row r="42" spans="2:5" ht="15" customHeight="1" x14ac:dyDescent="0.25">
      <c r="B42" s="89"/>
      <c r="C42" s="46" t="s">
        <v>190</v>
      </c>
      <c r="D42" s="47">
        <v>1</v>
      </c>
      <c r="E42" s="48">
        <v>2.3752969121140144E-3</v>
      </c>
    </row>
    <row r="43" spans="2:5" ht="15" customHeight="1" x14ac:dyDescent="0.25">
      <c r="B43" s="90"/>
      <c r="C43" s="49" t="s">
        <v>54</v>
      </c>
      <c r="D43" s="50">
        <v>4</v>
      </c>
      <c r="E43" s="51">
        <v>9.5011876484560574E-3</v>
      </c>
    </row>
    <row r="44" spans="2:5" ht="15" customHeight="1" x14ac:dyDescent="0.25">
      <c r="B44" s="88" t="s">
        <v>74</v>
      </c>
      <c r="C44" s="46" t="s">
        <v>187</v>
      </c>
      <c r="D44" s="47">
        <v>24</v>
      </c>
      <c r="E44" s="48">
        <v>5.7007125890736345E-2</v>
      </c>
    </row>
    <row r="45" spans="2:5" ht="15" customHeight="1" x14ac:dyDescent="0.25">
      <c r="B45" s="89"/>
      <c r="C45" s="46" t="s">
        <v>188</v>
      </c>
      <c r="D45" s="47">
        <v>11</v>
      </c>
      <c r="E45" s="48">
        <v>2.6128266033254157E-2</v>
      </c>
    </row>
    <row r="46" spans="2:5" ht="15" customHeight="1" x14ac:dyDescent="0.25">
      <c r="B46" s="89"/>
      <c r="C46" s="46" t="s">
        <v>190</v>
      </c>
      <c r="D46" s="47">
        <v>4</v>
      </c>
      <c r="E46" s="48">
        <v>9.5011876484560574E-3</v>
      </c>
    </row>
    <row r="47" spans="2:5" ht="15" customHeight="1" x14ac:dyDescent="0.25">
      <c r="B47" s="90"/>
      <c r="C47" s="49" t="s">
        <v>54</v>
      </c>
      <c r="D47" s="50">
        <v>39</v>
      </c>
      <c r="E47" s="51">
        <v>9.2636579572446559E-2</v>
      </c>
    </row>
    <row r="48" spans="2:5" ht="15" customHeight="1" x14ac:dyDescent="0.25">
      <c r="B48" s="88" t="s">
        <v>66</v>
      </c>
      <c r="C48" s="46" t="s">
        <v>187</v>
      </c>
      <c r="D48" s="47">
        <v>4</v>
      </c>
      <c r="E48" s="48">
        <v>9.5011876484560574E-3</v>
      </c>
    </row>
    <row r="49" spans="2:5" ht="15" customHeight="1" x14ac:dyDescent="0.25">
      <c r="B49" s="89"/>
      <c r="C49" s="46" t="s">
        <v>188</v>
      </c>
      <c r="D49" s="47">
        <v>4</v>
      </c>
      <c r="E49" s="48">
        <v>9.5011876484560574E-3</v>
      </c>
    </row>
    <row r="50" spans="2:5" ht="15" customHeight="1" x14ac:dyDescent="0.25">
      <c r="B50" s="90"/>
      <c r="C50" s="49" t="s">
        <v>54</v>
      </c>
      <c r="D50" s="50">
        <v>8</v>
      </c>
      <c r="E50" s="51">
        <v>1.9002375296912115E-2</v>
      </c>
    </row>
    <row r="51" spans="2:5" ht="15" customHeight="1" x14ac:dyDescent="0.25">
      <c r="B51" s="88" t="s">
        <v>73</v>
      </c>
      <c r="C51" s="46" t="s">
        <v>188</v>
      </c>
      <c r="D51" s="47">
        <v>1</v>
      </c>
      <c r="E51" s="48">
        <v>2.3752969121140144E-3</v>
      </c>
    </row>
    <row r="52" spans="2:5" ht="15" customHeight="1" x14ac:dyDescent="0.25">
      <c r="B52" s="89"/>
      <c r="C52" s="46" t="s">
        <v>190</v>
      </c>
      <c r="D52" s="47">
        <v>2</v>
      </c>
      <c r="E52" s="48">
        <v>4.7505938242280287E-3</v>
      </c>
    </row>
    <row r="53" spans="2:5" ht="15" customHeight="1" x14ac:dyDescent="0.25">
      <c r="B53" s="90"/>
      <c r="C53" s="49" t="s">
        <v>54</v>
      </c>
      <c r="D53" s="50">
        <v>3</v>
      </c>
      <c r="E53" s="51">
        <v>7.1258907363420431E-3</v>
      </c>
    </row>
    <row r="54" spans="2:5" ht="15" customHeight="1" x14ac:dyDescent="0.25">
      <c r="B54" s="88" t="s">
        <v>70</v>
      </c>
      <c r="C54" s="46" t="s">
        <v>188</v>
      </c>
      <c r="D54" s="47">
        <v>3</v>
      </c>
      <c r="E54" s="48">
        <v>7.1258907363420431E-3</v>
      </c>
    </row>
    <row r="55" spans="2:5" ht="15" customHeight="1" x14ac:dyDescent="0.25">
      <c r="B55" s="89"/>
      <c r="C55" s="46" t="s">
        <v>190</v>
      </c>
      <c r="D55" s="47">
        <v>1</v>
      </c>
      <c r="E55" s="48">
        <v>2.3752969121140144E-3</v>
      </c>
    </row>
    <row r="56" spans="2:5" ht="15" customHeight="1" x14ac:dyDescent="0.25">
      <c r="B56" s="90"/>
      <c r="C56" s="49" t="s">
        <v>54</v>
      </c>
      <c r="D56" s="50">
        <v>4</v>
      </c>
      <c r="E56" s="51">
        <v>9.5011876484560574E-3</v>
      </c>
    </row>
    <row r="57" spans="2:5" ht="15" customHeight="1" x14ac:dyDescent="0.25">
      <c r="B57" s="88" t="s">
        <v>99</v>
      </c>
      <c r="C57" s="46" t="s">
        <v>188</v>
      </c>
      <c r="D57" s="47">
        <v>3</v>
      </c>
      <c r="E57" s="48">
        <v>7.1258907363420431E-3</v>
      </c>
    </row>
    <row r="58" spans="2:5" ht="15" customHeight="1" x14ac:dyDescent="0.25">
      <c r="B58" s="90"/>
      <c r="C58" s="49" t="s">
        <v>54</v>
      </c>
      <c r="D58" s="50">
        <v>3</v>
      </c>
      <c r="E58" s="51">
        <v>7.1258907363420431E-3</v>
      </c>
    </row>
    <row r="59" spans="2:5" ht="15" customHeight="1" x14ac:dyDescent="0.25">
      <c r="B59" s="88" t="s">
        <v>72</v>
      </c>
      <c r="C59" s="46" t="s">
        <v>187</v>
      </c>
      <c r="D59" s="47">
        <v>12</v>
      </c>
      <c r="E59" s="48">
        <v>2.8503562945368172E-2</v>
      </c>
    </row>
    <row r="60" spans="2:5" ht="15" customHeight="1" x14ac:dyDescent="0.25">
      <c r="B60" s="89"/>
      <c r="C60" s="46" t="s">
        <v>188</v>
      </c>
      <c r="D60" s="47">
        <v>4</v>
      </c>
      <c r="E60" s="48">
        <v>9.5011876484560574E-3</v>
      </c>
    </row>
    <row r="61" spans="2:5" ht="15" customHeight="1" x14ac:dyDescent="0.25">
      <c r="B61" s="89"/>
      <c r="C61" s="46" t="s">
        <v>189</v>
      </c>
      <c r="D61" s="47">
        <v>1</v>
      </c>
      <c r="E61" s="48">
        <v>2.3752969121140144E-3</v>
      </c>
    </row>
    <row r="62" spans="2:5" ht="15" customHeight="1" x14ac:dyDescent="0.25">
      <c r="B62" s="89"/>
      <c r="C62" s="46" t="s">
        <v>190</v>
      </c>
      <c r="D62" s="47">
        <v>1</v>
      </c>
      <c r="E62" s="48">
        <v>2.3752969121140144E-3</v>
      </c>
    </row>
    <row r="63" spans="2:5" ht="15" customHeight="1" x14ac:dyDescent="0.25">
      <c r="B63" s="90"/>
      <c r="C63" s="49" t="s">
        <v>54</v>
      </c>
      <c r="D63" s="50">
        <v>18</v>
      </c>
      <c r="E63" s="51">
        <v>4.2755344418052253E-2</v>
      </c>
    </row>
    <row r="64" spans="2:5" ht="15" customHeight="1" x14ac:dyDescent="0.25">
      <c r="B64" s="88" t="s">
        <v>62</v>
      </c>
      <c r="C64" s="46" t="s">
        <v>187</v>
      </c>
      <c r="D64" s="47">
        <v>2</v>
      </c>
      <c r="E64" s="48">
        <v>4.7505938242280287E-3</v>
      </c>
    </row>
    <row r="65" spans="2:5" ht="15" customHeight="1" x14ac:dyDescent="0.25">
      <c r="B65" s="89"/>
      <c r="C65" s="46" t="s">
        <v>188</v>
      </c>
      <c r="D65" s="47">
        <v>4</v>
      </c>
      <c r="E65" s="48">
        <v>9.5011876484560574E-3</v>
      </c>
    </row>
    <row r="66" spans="2:5" ht="15" customHeight="1" x14ac:dyDescent="0.25">
      <c r="B66" s="89"/>
      <c r="C66" s="46" t="s">
        <v>190</v>
      </c>
      <c r="D66" s="47">
        <v>1</v>
      </c>
      <c r="E66" s="48">
        <v>2.3752969121140144E-3</v>
      </c>
    </row>
    <row r="67" spans="2:5" ht="15" customHeight="1" x14ac:dyDescent="0.25">
      <c r="B67" s="90"/>
      <c r="C67" s="49" t="s">
        <v>54</v>
      </c>
      <c r="D67" s="50">
        <v>7</v>
      </c>
      <c r="E67" s="51">
        <v>1.66270783847981E-2</v>
      </c>
    </row>
    <row r="68" spans="2:5" ht="15" customHeight="1" x14ac:dyDescent="0.25">
      <c r="B68" s="88" t="s">
        <v>63</v>
      </c>
      <c r="C68" s="46" t="s">
        <v>187</v>
      </c>
      <c r="D68" s="47">
        <v>24</v>
      </c>
      <c r="E68" s="48">
        <v>5.7007125890736345E-2</v>
      </c>
    </row>
    <row r="69" spans="2:5" ht="15" customHeight="1" x14ac:dyDescent="0.25">
      <c r="B69" s="89"/>
      <c r="C69" s="46" t="s">
        <v>188</v>
      </c>
      <c r="D69" s="47">
        <v>25</v>
      </c>
      <c r="E69" s="48">
        <v>5.9382422802850353E-2</v>
      </c>
    </row>
    <row r="70" spans="2:5" ht="15" customHeight="1" x14ac:dyDescent="0.25">
      <c r="B70" s="89"/>
      <c r="C70" s="46" t="s">
        <v>191</v>
      </c>
      <c r="D70" s="47">
        <v>1</v>
      </c>
      <c r="E70" s="48">
        <v>2.3752969121140144E-3</v>
      </c>
    </row>
    <row r="71" spans="2:5" ht="15" customHeight="1" x14ac:dyDescent="0.25">
      <c r="B71" s="89"/>
      <c r="C71" s="46" t="s">
        <v>189</v>
      </c>
      <c r="D71" s="47">
        <v>3</v>
      </c>
      <c r="E71" s="48">
        <v>7.1258907363420431E-3</v>
      </c>
    </row>
    <row r="72" spans="2:5" ht="15" customHeight="1" x14ac:dyDescent="0.25">
      <c r="B72" s="89"/>
      <c r="C72" s="46" t="s">
        <v>190</v>
      </c>
      <c r="D72" s="47">
        <v>7</v>
      </c>
      <c r="E72" s="48">
        <v>1.66270783847981E-2</v>
      </c>
    </row>
    <row r="73" spans="2:5" ht="15" customHeight="1" x14ac:dyDescent="0.25">
      <c r="B73" s="90"/>
      <c r="C73" s="49" t="s">
        <v>54</v>
      </c>
      <c r="D73" s="50">
        <v>60</v>
      </c>
      <c r="E73" s="51">
        <v>0.14251781472684086</v>
      </c>
    </row>
    <row r="74" spans="2:5" ht="15" customHeight="1" x14ac:dyDescent="0.25">
      <c r="B74" s="88" t="s">
        <v>89</v>
      </c>
      <c r="C74" s="46" t="s">
        <v>188</v>
      </c>
      <c r="D74" s="47">
        <v>2</v>
      </c>
      <c r="E74" s="48">
        <v>4.7505938242280287E-3</v>
      </c>
    </row>
    <row r="75" spans="2:5" ht="15" customHeight="1" x14ac:dyDescent="0.25">
      <c r="B75" s="90"/>
      <c r="C75" s="49" t="s">
        <v>54</v>
      </c>
      <c r="D75" s="50">
        <v>2</v>
      </c>
      <c r="E75" s="51">
        <v>4.7505938242280287E-3</v>
      </c>
    </row>
    <row r="76" spans="2:5" ht="15" customHeight="1" x14ac:dyDescent="0.25">
      <c r="B76" s="88" t="s">
        <v>87</v>
      </c>
      <c r="C76" s="46" t="s">
        <v>188</v>
      </c>
      <c r="D76" s="47">
        <v>1</v>
      </c>
      <c r="E76" s="48">
        <v>2.3752969121140144E-3</v>
      </c>
    </row>
    <row r="77" spans="2:5" ht="15" customHeight="1" x14ac:dyDescent="0.25">
      <c r="B77" s="89"/>
      <c r="C77" s="46" t="s">
        <v>190</v>
      </c>
      <c r="D77" s="47">
        <v>2</v>
      </c>
      <c r="E77" s="48">
        <v>4.7505938242280287E-3</v>
      </c>
    </row>
    <row r="78" spans="2:5" ht="15" customHeight="1" x14ac:dyDescent="0.25">
      <c r="B78" s="90"/>
      <c r="C78" s="49" t="s">
        <v>54</v>
      </c>
      <c r="D78" s="50">
        <v>3</v>
      </c>
      <c r="E78" s="51">
        <v>7.1258907363420431E-3</v>
      </c>
    </row>
    <row r="79" spans="2:5" ht="15" customHeight="1" x14ac:dyDescent="0.25">
      <c r="B79" s="88" t="s">
        <v>90</v>
      </c>
      <c r="C79" s="46" t="s">
        <v>187</v>
      </c>
      <c r="D79" s="47">
        <v>1</v>
      </c>
      <c r="E79" s="48">
        <v>2.3752969121140144E-3</v>
      </c>
    </row>
    <row r="80" spans="2:5" ht="15" customHeight="1" x14ac:dyDescent="0.25">
      <c r="B80" s="90"/>
      <c r="C80" s="49" t="s">
        <v>54</v>
      </c>
      <c r="D80" s="50">
        <v>1</v>
      </c>
      <c r="E80" s="51">
        <v>2.3752969121140144E-3</v>
      </c>
    </row>
    <row r="81" spans="2:5" ht="15" customHeight="1" x14ac:dyDescent="0.25">
      <c r="B81" s="88" t="s">
        <v>97</v>
      </c>
      <c r="C81" s="46" t="s">
        <v>188</v>
      </c>
      <c r="D81" s="47">
        <v>3</v>
      </c>
      <c r="E81" s="48">
        <v>7.1258907363420431E-3</v>
      </c>
    </row>
    <row r="82" spans="2:5" ht="15" customHeight="1" x14ac:dyDescent="0.25">
      <c r="B82" s="89"/>
      <c r="C82" s="46" t="s">
        <v>191</v>
      </c>
      <c r="D82" s="47">
        <v>1</v>
      </c>
      <c r="E82" s="48">
        <v>2.3752969121140144E-3</v>
      </c>
    </row>
    <row r="83" spans="2:5" ht="15" customHeight="1" x14ac:dyDescent="0.25">
      <c r="B83" s="90"/>
      <c r="C83" s="49" t="s">
        <v>54</v>
      </c>
      <c r="D83" s="50">
        <v>4</v>
      </c>
      <c r="E83" s="51">
        <v>9.5011876484560574E-3</v>
      </c>
    </row>
    <row r="84" spans="2:5" ht="15" customHeight="1" x14ac:dyDescent="0.25">
      <c r="B84" s="88" t="s">
        <v>78</v>
      </c>
      <c r="C84" s="46" t="s">
        <v>187</v>
      </c>
      <c r="D84" s="47">
        <v>1</v>
      </c>
      <c r="E84" s="48">
        <v>2.3752969121140144E-3</v>
      </c>
    </row>
    <row r="85" spans="2:5" ht="15" customHeight="1" x14ac:dyDescent="0.25">
      <c r="B85" s="89"/>
      <c r="C85" s="46" t="s">
        <v>188</v>
      </c>
      <c r="D85" s="47">
        <v>2</v>
      </c>
      <c r="E85" s="48">
        <v>4.7505938242280287E-3</v>
      </c>
    </row>
    <row r="86" spans="2:5" ht="15" customHeight="1" x14ac:dyDescent="0.25">
      <c r="B86" s="89"/>
      <c r="C86" s="46" t="s">
        <v>189</v>
      </c>
      <c r="D86" s="47">
        <v>2</v>
      </c>
      <c r="E86" s="48">
        <v>4.7505938242280287E-3</v>
      </c>
    </row>
    <row r="87" spans="2:5" ht="15" customHeight="1" x14ac:dyDescent="0.25">
      <c r="B87" s="90"/>
      <c r="C87" s="49" t="s">
        <v>54</v>
      </c>
      <c r="D87" s="50">
        <v>5</v>
      </c>
      <c r="E87" s="51">
        <v>1.1876484560570071E-2</v>
      </c>
    </row>
    <row r="88" spans="2:5" ht="15" customHeight="1" x14ac:dyDescent="0.25">
      <c r="B88" s="88" t="s">
        <v>77</v>
      </c>
      <c r="C88" s="46" t="s">
        <v>187</v>
      </c>
      <c r="D88" s="47">
        <v>3</v>
      </c>
      <c r="E88" s="48">
        <v>7.1258907363420431E-3</v>
      </c>
    </row>
    <row r="89" spans="2:5" ht="15" customHeight="1" x14ac:dyDescent="0.25">
      <c r="B89" s="89"/>
      <c r="C89" s="46" t="s">
        <v>188</v>
      </c>
      <c r="D89" s="47">
        <v>2</v>
      </c>
      <c r="E89" s="48">
        <v>4.7505938242280287E-3</v>
      </c>
    </row>
    <row r="90" spans="2:5" ht="15" customHeight="1" x14ac:dyDescent="0.25">
      <c r="B90" s="89"/>
      <c r="C90" s="46" t="s">
        <v>190</v>
      </c>
      <c r="D90" s="47">
        <v>3</v>
      </c>
      <c r="E90" s="48">
        <v>7.1258907363420431E-3</v>
      </c>
    </row>
    <row r="91" spans="2:5" ht="15" customHeight="1" x14ac:dyDescent="0.25">
      <c r="B91" s="90"/>
      <c r="C91" s="49" t="s">
        <v>54</v>
      </c>
      <c r="D91" s="50">
        <v>8</v>
      </c>
      <c r="E91" s="51">
        <v>1.9002375296912115E-2</v>
      </c>
    </row>
    <row r="92" spans="2:5" ht="15" customHeight="1" x14ac:dyDescent="0.25">
      <c r="B92" s="88" t="s">
        <v>81</v>
      </c>
      <c r="C92" s="46" t="s">
        <v>187</v>
      </c>
      <c r="D92" s="47">
        <v>6</v>
      </c>
      <c r="E92" s="48">
        <v>1.4251781472684086E-2</v>
      </c>
    </row>
    <row r="93" spans="2:5" ht="15" customHeight="1" x14ac:dyDescent="0.25">
      <c r="B93" s="89"/>
      <c r="C93" s="46" t="s">
        <v>188</v>
      </c>
      <c r="D93" s="47">
        <v>8</v>
      </c>
      <c r="E93" s="48">
        <v>1.9002375296912115E-2</v>
      </c>
    </row>
    <row r="94" spans="2:5" ht="15" customHeight="1" x14ac:dyDescent="0.25">
      <c r="B94" s="89"/>
      <c r="C94" s="46" t="s">
        <v>190</v>
      </c>
      <c r="D94" s="47">
        <v>5</v>
      </c>
      <c r="E94" s="48">
        <v>1.1876484560570071E-2</v>
      </c>
    </row>
    <row r="95" spans="2:5" ht="15" customHeight="1" x14ac:dyDescent="0.25">
      <c r="B95" s="90"/>
      <c r="C95" s="49" t="s">
        <v>54</v>
      </c>
      <c r="D95" s="50">
        <v>19</v>
      </c>
      <c r="E95" s="51">
        <v>4.5130641330166268E-2</v>
      </c>
    </row>
    <row r="96" spans="2:5" ht="15" customHeight="1" x14ac:dyDescent="0.25">
      <c r="B96" s="88" t="s">
        <v>88</v>
      </c>
      <c r="C96" s="46" t="s">
        <v>188</v>
      </c>
      <c r="D96" s="47">
        <v>3</v>
      </c>
      <c r="E96" s="48">
        <v>7.1258907363420431E-3</v>
      </c>
    </row>
    <row r="97" spans="2:5" ht="15" customHeight="1" x14ac:dyDescent="0.25">
      <c r="B97" s="89"/>
      <c r="C97" s="46" t="s">
        <v>189</v>
      </c>
      <c r="D97" s="47">
        <v>1</v>
      </c>
      <c r="E97" s="48">
        <v>2.3752969121140144E-3</v>
      </c>
    </row>
    <row r="98" spans="2:5" ht="15" customHeight="1" x14ac:dyDescent="0.25">
      <c r="B98" s="90"/>
      <c r="C98" s="49" t="s">
        <v>54</v>
      </c>
      <c r="D98" s="50">
        <v>4</v>
      </c>
      <c r="E98" s="51">
        <v>9.5011876484560574E-3</v>
      </c>
    </row>
    <row r="99" spans="2:5" ht="15" customHeight="1" x14ac:dyDescent="0.25">
      <c r="B99" s="88" t="s">
        <v>94</v>
      </c>
      <c r="C99" s="46" t="s">
        <v>187</v>
      </c>
      <c r="D99" s="47">
        <v>1</v>
      </c>
      <c r="E99" s="48">
        <v>2.3752969121140144E-3</v>
      </c>
    </row>
    <row r="100" spans="2:5" ht="15" customHeight="1" x14ac:dyDescent="0.25">
      <c r="B100" s="89"/>
      <c r="C100" s="46" t="s">
        <v>188</v>
      </c>
      <c r="D100" s="47">
        <v>5</v>
      </c>
      <c r="E100" s="48">
        <v>1.1876484560570071E-2</v>
      </c>
    </row>
    <row r="101" spans="2:5" ht="15" customHeight="1" x14ac:dyDescent="0.25">
      <c r="B101" s="89"/>
      <c r="C101" s="46" t="s">
        <v>190</v>
      </c>
      <c r="D101" s="47">
        <v>3</v>
      </c>
      <c r="E101" s="48">
        <v>7.1258907363420431E-3</v>
      </c>
    </row>
    <row r="102" spans="2:5" ht="15" customHeight="1" x14ac:dyDescent="0.25">
      <c r="B102" s="90"/>
      <c r="C102" s="49" t="s">
        <v>54</v>
      </c>
      <c r="D102" s="50">
        <v>9</v>
      </c>
      <c r="E102" s="51">
        <v>2.1377672209026127E-2</v>
      </c>
    </row>
    <row r="103" spans="2:5" ht="15" customHeight="1" x14ac:dyDescent="0.25">
      <c r="B103" s="88" t="s">
        <v>69</v>
      </c>
      <c r="C103" s="46" t="s">
        <v>187</v>
      </c>
      <c r="D103" s="47">
        <v>8</v>
      </c>
      <c r="E103" s="48">
        <v>1.9002375296912115E-2</v>
      </c>
    </row>
    <row r="104" spans="2:5" ht="15" customHeight="1" x14ac:dyDescent="0.25">
      <c r="B104" s="89"/>
      <c r="C104" s="46" t="s">
        <v>188</v>
      </c>
      <c r="D104" s="47">
        <v>10</v>
      </c>
      <c r="E104" s="48">
        <v>2.3752969121140142E-2</v>
      </c>
    </row>
    <row r="105" spans="2:5" ht="15" customHeight="1" x14ac:dyDescent="0.25">
      <c r="B105" s="89"/>
      <c r="C105" s="46" t="s">
        <v>189</v>
      </c>
      <c r="D105" s="47">
        <v>3</v>
      </c>
      <c r="E105" s="48">
        <v>7.1258907363420431E-3</v>
      </c>
    </row>
    <row r="106" spans="2:5" ht="15" customHeight="1" x14ac:dyDescent="0.25">
      <c r="B106" s="89"/>
      <c r="C106" s="46" t="s">
        <v>190</v>
      </c>
      <c r="D106" s="47">
        <v>2</v>
      </c>
      <c r="E106" s="48">
        <v>4.7505938242280287E-3</v>
      </c>
    </row>
    <row r="107" spans="2:5" ht="15" customHeight="1" x14ac:dyDescent="0.25">
      <c r="B107" s="90"/>
      <c r="C107" s="49" t="s">
        <v>54</v>
      </c>
      <c r="D107" s="50">
        <v>23</v>
      </c>
      <c r="E107" s="51">
        <v>5.4631828978622329E-2</v>
      </c>
    </row>
    <row r="108" spans="2:5" ht="15" customHeight="1" x14ac:dyDescent="0.25">
      <c r="B108" s="88" t="s">
        <v>79</v>
      </c>
      <c r="C108" s="46" t="s">
        <v>187</v>
      </c>
      <c r="D108" s="47">
        <v>6</v>
      </c>
      <c r="E108" s="48">
        <v>1.4251781472684086E-2</v>
      </c>
    </row>
    <row r="109" spans="2:5" ht="15" customHeight="1" x14ac:dyDescent="0.25">
      <c r="B109" s="89"/>
      <c r="C109" s="46" t="s">
        <v>188</v>
      </c>
      <c r="D109" s="47">
        <v>6</v>
      </c>
      <c r="E109" s="48">
        <v>1.4251781472684086E-2</v>
      </c>
    </row>
    <row r="110" spans="2:5" ht="15" customHeight="1" x14ac:dyDescent="0.25">
      <c r="B110" s="89"/>
      <c r="C110" s="46" t="s">
        <v>189</v>
      </c>
      <c r="D110" s="47">
        <v>1</v>
      </c>
      <c r="E110" s="48">
        <v>2.3752969121140144E-3</v>
      </c>
    </row>
    <row r="111" spans="2:5" ht="15" customHeight="1" x14ac:dyDescent="0.25">
      <c r="B111" s="89"/>
      <c r="C111" s="46" t="s">
        <v>190</v>
      </c>
      <c r="D111" s="47">
        <v>2</v>
      </c>
      <c r="E111" s="48">
        <v>4.7505938242280287E-3</v>
      </c>
    </row>
    <row r="112" spans="2:5" ht="15" customHeight="1" x14ac:dyDescent="0.25">
      <c r="B112" s="90"/>
      <c r="C112" s="49" t="s">
        <v>54</v>
      </c>
      <c r="D112" s="50">
        <v>15</v>
      </c>
      <c r="E112" s="51">
        <v>3.5629453681710214E-2</v>
      </c>
    </row>
    <row r="113" spans="2:5" ht="15" customHeight="1" x14ac:dyDescent="0.25">
      <c r="B113" s="88" t="s">
        <v>96</v>
      </c>
      <c r="C113" s="46" t="s">
        <v>187</v>
      </c>
      <c r="D113" s="47">
        <v>1</v>
      </c>
      <c r="E113" s="48">
        <v>2.3752969121140144E-3</v>
      </c>
    </row>
    <row r="114" spans="2:5" ht="15" customHeight="1" x14ac:dyDescent="0.25">
      <c r="B114" s="89"/>
      <c r="C114" s="46" t="s">
        <v>188</v>
      </c>
      <c r="D114" s="47">
        <v>3</v>
      </c>
      <c r="E114" s="48">
        <v>7.1258907363420431E-3</v>
      </c>
    </row>
    <row r="115" spans="2:5" ht="15" customHeight="1" x14ac:dyDescent="0.25">
      <c r="B115" s="89"/>
      <c r="C115" s="46" t="s">
        <v>190</v>
      </c>
      <c r="D115" s="47">
        <v>1</v>
      </c>
      <c r="E115" s="48">
        <v>2.3752969121140144E-3</v>
      </c>
    </row>
    <row r="116" spans="2:5" ht="15" customHeight="1" x14ac:dyDescent="0.25">
      <c r="B116" s="90"/>
      <c r="C116" s="49" t="s">
        <v>54</v>
      </c>
      <c r="D116" s="50">
        <v>5</v>
      </c>
      <c r="E116" s="51">
        <v>1.1876484560570071E-2</v>
      </c>
    </row>
    <row r="117" spans="2:5" ht="15" customHeight="1" x14ac:dyDescent="0.25">
      <c r="B117" s="88" t="s">
        <v>80</v>
      </c>
      <c r="C117" s="46" t="s">
        <v>187</v>
      </c>
      <c r="D117" s="47">
        <v>2</v>
      </c>
      <c r="E117" s="48">
        <v>4.7505938242280287E-3</v>
      </c>
    </row>
    <row r="118" spans="2:5" ht="15" customHeight="1" x14ac:dyDescent="0.25">
      <c r="B118" s="89"/>
      <c r="C118" s="46" t="s">
        <v>188</v>
      </c>
      <c r="D118" s="47">
        <v>10</v>
      </c>
      <c r="E118" s="48">
        <v>2.3752969121140142E-2</v>
      </c>
    </row>
    <row r="119" spans="2:5" ht="15" customHeight="1" x14ac:dyDescent="0.25">
      <c r="B119" s="89"/>
      <c r="C119" s="46" t="s">
        <v>191</v>
      </c>
      <c r="D119" s="47">
        <v>1</v>
      </c>
      <c r="E119" s="48">
        <v>2.3752969121140144E-3</v>
      </c>
    </row>
    <row r="120" spans="2:5" ht="15" customHeight="1" x14ac:dyDescent="0.25">
      <c r="B120" s="89"/>
      <c r="C120" s="46" t="s">
        <v>189</v>
      </c>
      <c r="D120" s="47">
        <v>1</v>
      </c>
      <c r="E120" s="48">
        <v>2.3752969121140144E-3</v>
      </c>
    </row>
    <row r="121" spans="2:5" ht="15" customHeight="1" x14ac:dyDescent="0.25">
      <c r="B121" s="89"/>
      <c r="C121" s="46" t="s">
        <v>190</v>
      </c>
      <c r="D121" s="47">
        <v>2</v>
      </c>
      <c r="E121" s="48">
        <v>4.7505938242280287E-3</v>
      </c>
    </row>
    <row r="122" spans="2:5" ht="15" customHeight="1" x14ac:dyDescent="0.25">
      <c r="B122" s="90"/>
      <c r="C122" s="49" t="s">
        <v>54</v>
      </c>
      <c r="D122" s="50">
        <v>16</v>
      </c>
      <c r="E122" s="51">
        <v>3.800475059382423E-2</v>
      </c>
    </row>
    <row r="123" spans="2:5" ht="15" customHeight="1" x14ac:dyDescent="0.25">
      <c r="B123" s="88" t="s">
        <v>76</v>
      </c>
      <c r="C123" s="46" t="s">
        <v>188</v>
      </c>
      <c r="D123" s="47">
        <v>2</v>
      </c>
      <c r="E123" s="48">
        <v>4.7505938242280287E-3</v>
      </c>
    </row>
    <row r="124" spans="2:5" ht="15" customHeight="1" x14ac:dyDescent="0.25">
      <c r="B124" s="90"/>
      <c r="C124" s="49" t="s">
        <v>54</v>
      </c>
      <c r="D124" s="50">
        <v>2</v>
      </c>
      <c r="E124" s="51">
        <v>4.7505938242280287E-3</v>
      </c>
    </row>
    <row r="125" spans="2:5" ht="15" customHeight="1" x14ac:dyDescent="0.25">
      <c r="B125" s="88" t="s">
        <v>67</v>
      </c>
      <c r="C125" s="46" t="s">
        <v>187</v>
      </c>
      <c r="D125" s="47">
        <v>18</v>
      </c>
      <c r="E125" s="48">
        <v>4.2755344418052253E-2</v>
      </c>
    </row>
    <row r="126" spans="2:5" ht="15" customHeight="1" x14ac:dyDescent="0.25">
      <c r="B126" s="89"/>
      <c r="C126" s="46" t="s">
        <v>188</v>
      </c>
      <c r="D126" s="47">
        <v>9</v>
      </c>
      <c r="E126" s="48">
        <v>2.1377672209026127E-2</v>
      </c>
    </row>
    <row r="127" spans="2:5" ht="15" customHeight="1" x14ac:dyDescent="0.25">
      <c r="B127" s="89"/>
      <c r="C127" s="46" t="s">
        <v>189</v>
      </c>
      <c r="D127" s="47">
        <v>2</v>
      </c>
      <c r="E127" s="48">
        <v>4.7505938242280287E-3</v>
      </c>
    </row>
    <row r="128" spans="2:5" ht="15" customHeight="1" x14ac:dyDescent="0.25">
      <c r="B128" s="89"/>
      <c r="C128" s="46" t="s">
        <v>190</v>
      </c>
      <c r="D128" s="47">
        <v>1</v>
      </c>
      <c r="E128" s="48">
        <v>2.3752969121140144E-3</v>
      </c>
    </row>
    <row r="129" spans="2:5" ht="15" customHeight="1" x14ac:dyDescent="0.25">
      <c r="B129" s="90"/>
      <c r="C129" s="49" t="s">
        <v>54</v>
      </c>
      <c r="D129" s="50">
        <v>30</v>
      </c>
      <c r="E129" s="51">
        <v>7.1258907363420429E-2</v>
      </c>
    </row>
    <row r="130" spans="2:5" ht="15" customHeight="1" x14ac:dyDescent="0.25">
      <c r="B130" s="88" t="s">
        <v>91</v>
      </c>
      <c r="C130" s="46" t="s">
        <v>187</v>
      </c>
      <c r="D130" s="47">
        <v>4</v>
      </c>
      <c r="E130" s="48">
        <v>9.5011876484560574E-3</v>
      </c>
    </row>
    <row r="131" spans="2:5" ht="15" customHeight="1" x14ac:dyDescent="0.25">
      <c r="B131" s="89"/>
      <c r="C131" s="46" t="s">
        <v>188</v>
      </c>
      <c r="D131" s="47">
        <v>6</v>
      </c>
      <c r="E131" s="48">
        <v>1.4251781472684086E-2</v>
      </c>
    </row>
    <row r="132" spans="2:5" ht="15" customHeight="1" x14ac:dyDescent="0.25">
      <c r="B132" s="89"/>
      <c r="C132" s="46" t="s">
        <v>189</v>
      </c>
      <c r="D132" s="47">
        <v>2</v>
      </c>
      <c r="E132" s="48">
        <v>4.7505938242280287E-3</v>
      </c>
    </row>
    <row r="133" spans="2:5" ht="15" customHeight="1" x14ac:dyDescent="0.25">
      <c r="B133" s="89"/>
      <c r="C133" s="46" t="s">
        <v>190</v>
      </c>
      <c r="D133" s="47">
        <v>1</v>
      </c>
      <c r="E133" s="48">
        <v>2.3752969121140144E-3</v>
      </c>
    </row>
    <row r="134" spans="2:5" ht="15" customHeight="1" x14ac:dyDescent="0.25">
      <c r="B134" s="90"/>
      <c r="C134" s="49" t="s">
        <v>54</v>
      </c>
      <c r="D134" s="50">
        <v>13</v>
      </c>
      <c r="E134" s="51">
        <v>3.0878859857482184E-2</v>
      </c>
    </row>
    <row r="135" spans="2:5" ht="15" customHeight="1" x14ac:dyDescent="0.25">
      <c r="B135" s="88" t="s">
        <v>84</v>
      </c>
      <c r="C135" s="46" t="s">
        <v>187</v>
      </c>
      <c r="D135" s="47">
        <v>2</v>
      </c>
      <c r="E135" s="48">
        <v>4.7505938242280287E-3</v>
      </c>
    </row>
    <row r="136" spans="2:5" ht="15" customHeight="1" x14ac:dyDescent="0.25">
      <c r="B136" s="89"/>
      <c r="C136" s="46" t="s">
        <v>188</v>
      </c>
      <c r="D136" s="47">
        <v>4</v>
      </c>
      <c r="E136" s="48">
        <v>9.5011876484560574E-3</v>
      </c>
    </row>
    <row r="137" spans="2:5" ht="15" customHeight="1" x14ac:dyDescent="0.25">
      <c r="B137" s="89"/>
      <c r="C137" s="46" t="s">
        <v>189</v>
      </c>
      <c r="D137" s="47">
        <v>1</v>
      </c>
      <c r="E137" s="48">
        <v>2.3752969121140144E-3</v>
      </c>
    </row>
    <row r="138" spans="2:5" ht="15" customHeight="1" x14ac:dyDescent="0.25">
      <c r="B138" s="90"/>
      <c r="C138" s="49" t="s">
        <v>54</v>
      </c>
      <c r="D138" s="50">
        <v>7</v>
      </c>
      <c r="E138" s="51">
        <v>1.66270783847981E-2</v>
      </c>
    </row>
    <row r="139" spans="2:5" ht="15" customHeight="1" x14ac:dyDescent="0.25">
      <c r="B139" s="88" t="s">
        <v>83</v>
      </c>
      <c r="C139" s="46" t="s">
        <v>187</v>
      </c>
      <c r="D139" s="47">
        <v>5</v>
      </c>
      <c r="E139" s="48">
        <v>1.1876484560570071E-2</v>
      </c>
    </row>
    <row r="140" spans="2:5" ht="15" customHeight="1" x14ac:dyDescent="0.25">
      <c r="B140" s="89"/>
      <c r="C140" s="46" t="s">
        <v>188</v>
      </c>
      <c r="D140" s="47">
        <v>8</v>
      </c>
      <c r="E140" s="48">
        <v>1.9002375296912115E-2</v>
      </c>
    </row>
    <row r="141" spans="2:5" ht="15" customHeight="1" x14ac:dyDescent="0.25">
      <c r="B141" s="89"/>
      <c r="C141" s="46" t="s">
        <v>190</v>
      </c>
      <c r="D141" s="47">
        <v>3</v>
      </c>
      <c r="E141" s="48">
        <v>7.1258907363420431E-3</v>
      </c>
    </row>
    <row r="142" spans="2:5" ht="15" customHeight="1" x14ac:dyDescent="0.25">
      <c r="B142" s="90"/>
      <c r="C142" s="49" t="s">
        <v>54</v>
      </c>
      <c r="D142" s="50">
        <v>16</v>
      </c>
      <c r="E142" s="51">
        <v>3.800475059382423E-2</v>
      </c>
    </row>
    <row r="143" spans="2:5" ht="15" customHeight="1" x14ac:dyDescent="0.25">
      <c r="B143" s="88" t="s">
        <v>75</v>
      </c>
      <c r="C143" s="46" t="s">
        <v>187</v>
      </c>
      <c r="D143" s="47">
        <v>2</v>
      </c>
      <c r="E143" s="48">
        <v>4.7505938242280287E-3</v>
      </c>
    </row>
    <row r="144" spans="2:5" ht="15" customHeight="1" x14ac:dyDescent="0.25">
      <c r="B144" s="89"/>
      <c r="C144" s="46" t="s">
        <v>188</v>
      </c>
      <c r="D144" s="47">
        <v>5</v>
      </c>
      <c r="E144" s="48">
        <v>1.1876484560570071E-2</v>
      </c>
    </row>
    <row r="145" spans="2:5" ht="15" customHeight="1" x14ac:dyDescent="0.25">
      <c r="B145" s="89"/>
      <c r="C145" s="46" t="s">
        <v>191</v>
      </c>
      <c r="D145" s="47">
        <v>2</v>
      </c>
      <c r="E145" s="48">
        <v>4.7505938242280287E-3</v>
      </c>
    </row>
    <row r="146" spans="2:5" ht="15" customHeight="1" x14ac:dyDescent="0.25">
      <c r="B146" s="89"/>
      <c r="C146" s="46" t="s">
        <v>189</v>
      </c>
      <c r="D146" s="47">
        <v>2</v>
      </c>
      <c r="E146" s="48">
        <v>4.7505938242280287E-3</v>
      </c>
    </row>
    <row r="147" spans="2:5" ht="15" customHeight="1" x14ac:dyDescent="0.25">
      <c r="B147" s="89"/>
      <c r="C147" s="46" t="s">
        <v>190</v>
      </c>
      <c r="D147" s="47">
        <v>1</v>
      </c>
      <c r="E147" s="48">
        <v>2.3752969121140144E-3</v>
      </c>
    </row>
    <row r="148" spans="2:5" ht="15" customHeight="1" x14ac:dyDescent="0.25">
      <c r="B148" s="90"/>
      <c r="C148" s="49" t="s">
        <v>54</v>
      </c>
      <c r="D148" s="50">
        <v>12</v>
      </c>
      <c r="E148" s="51">
        <v>2.8503562945368172E-2</v>
      </c>
    </row>
    <row r="149" spans="2:5" ht="15" customHeight="1" x14ac:dyDescent="0.25">
      <c r="B149" s="88" t="s">
        <v>82</v>
      </c>
      <c r="C149" s="46" t="s">
        <v>187</v>
      </c>
      <c r="D149" s="47">
        <v>3</v>
      </c>
      <c r="E149" s="48">
        <v>7.1258907363420431E-3</v>
      </c>
    </row>
    <row r="150" spans="2:5" ht="15" customHeight="1" x14ac:dyDescent="0.25">
      <c r="B150" s="89"/>
      <c r="C150" s="46" t="s">
        <v>188</v>
      </c>
      <c r="D150" s="47">
        <v>5</v>
      </c>
      <c r="E150" s="48">
        <v>1.1876484560570071E-2</v>
      </c>
    </row>
    <row r="151" spans="2:5" ht="15" customHeight="1" x14ac:dyDescent="0.25">
      <c r="B151" s="89"/>
      <c r="C151" s="46" t="s">
        <v>190</v>
      </c>
      <c r="D151" s="47">
        <v>1</v>
      </c>
      <c r="E151" s="48">
        <v>2.3752969121140144E-3</v>
      </c>
    </row>
    <row r="152" spans="2:5" ht="15" customHeight="1" x14ac:dyDescent="0.25">
      <c r="B152" s="90"/>
      <c r="C152" s="49" t="s">
        <v>54</v>
      </c>
      <c r="D152" s="50">
        <v>9</v>
      </c>
      <c r="E152" s="51">
        <v>2.1377672209026127E-2</v>
      </c>
    </row>
    <row r="153" spans="2:5" ht="15" customHeight="1" x14ac:dyDescent="0.25">
      <c r="B153" s="88" t="s">
        <v>106</v>
      </c>
      <c r="C153" s="46" t="s">
        <v>187</v>
      </c>
      <c r="D153" s="47">
        <v>1</v>
      </c>
      <c r="E153" s="48">
        <v>2.3752969121140144E-3</v>
      </c>
    </row>
    <row r="154" spans="2:5" ht="15" customHeight="1" x14ac:dyDescent="0.25">
      <c r="B154" s="89"/>
      <c r="C154" s="46" t="s">
        <v>188</v>
      </c>
      <c r="D154" s="47">
        <v>1</v>
      </c>
      <c r="E154" s="48">
        <v>2.3752969121140144E-3</v>
      </c>
    </row>
    <row r="155" spans="2:5" ht="15" customHeight="1" x14ac:dyDescent="0.25">
      <c r="B155" s="89"/>
      <c r="C155" s="46" t="s">
        <v>190</v>
      </c>
      <c r="D155" s="47">
        <v>1</v>
      </c>
      <c r="E155" s="48">
        <v>2.3752969121140144E-3</v>
      </c>
    </row>
    <row r="156" spans="2:5" ht="15" customHeight="1" x14ac:dyDescent="0.25">
      <c r="B156" s="90"/>
      <c r="C156" s="49" t="s">
        <v>54</v>
      </c>
      <c r="D156" s="50">
        <v>3</v>
      </c>
      <c r="E156" s="51">
        <v>7.1258907363420431E-3</v>
      </c>
    </row>
    <row r="157" spans="2:5" ht="15" customHeight="1" x14ac:dyDescent="0.25">
      <c r="B157" s="88" t="s">
        <v>30</v>
      </c>
      <c r="C157" s="46" t="s">
        <v>187</v>
      </c>
      <c r="D157" s="47">
        <v>3</v>
      </c>
      <c r="E157" s="48">
        <v>7.1258907363420431E-3</v>
      </c>
    </row>
    <row r="158" spans="2:5" ht="15" customHeight="1" x14ac:dyDescent="0.25">
      <c r="B158" s="89"/>
      <c r="C158" s="46" t="s">
        <v>188</v>
      </c>
      <c r="D158" s="47">
        <v>2</v>
      </c>
      <c r="E158" s="48">
        <v>4.7505938242280287E-3</v>
      </c>
    </row>
    <row r="159" spans="2:5" ht="15" customHeight="1" x14ac:dyDescent="0.25">
      <c r="B159" s="90"/>
      <c r="C159" s="49" t="s">
        <v>54</v>
      </c>
      <c r="D159" s="50">
        <v>5</v>
      </c>
      <c r="E159" s="51">
        <v>1.1876484560570071E-2</v>
      </c>
    </row>
    <row r="160" spans="2:5" ht="15" customHeight="1" x14ac:dyDescent="0.25">
      <c r="B160" s="92" t="s">
        <v>54</v>
      </c>
      <c r="C160" s="93"/>
      <c r="D160" s="52">
        <v>421</v>
      </c>
      <c r="E160" s="53">
        <v>1</v>
      </c>
    </row>
    <row r="162" spans="2:2" ht="15" customHeight="1" x14ac:dyDescent="0.25">
      <c r="B162" s="30" t="s">
        <v>55</v>
      </c>
    </row>
    <row r="163" spans="2:2" ht="15" customHeight="1" x14ac:dyDescent="0.25">
      <c r="B163" s="31" t="s">
        <v>56</v>
      </c>
    </row>
    <row r="164" spans="2:2" ht="15" customHeight="1" x14ac:dyDescent="0.25">
      <c r="B164" s="32" t="s">
        <v>57</v>
      </c>
    </row>
    <row r="165" spans="2:2" ht="15" customHeight="1" x14ac:dyDescent="0.25">
      <c r="B165" s="30" t="s">
        <v>58</v>
      </c>
    </row>
    <row r="166" spans="2:2" ht="15" customHeight="1" x14ac:dyDescent="0.25">
      <c r="B166" s="30" t="s">
        <v>59</v>
      </c>
    </row>
  </sheetData>
  <mergeCells count="42">
    <mergeCell ref="B160:C160"/>
    <mergeCell ref="B113:B116"/>
    <mergeCell ref="B117:B122"/>
    <mergeCell ref="B123:B124"/>
    <mergeCell ref="B125:B129"/>
    <mergeCell ref="B130:B134"/>
    <mergeCell ref="B135:B138"/>
    <mergeCell ref="B139:B142"/>
    <mergeCell ref="B143:B148"/>
    <mergeCell ref="B149:B152"/>
    <mergeCell ref="B153:B156"/>
    <mergeCell ref="B157:B159"/>
    <mergeCell ref="B108:B112"/>
    <mergeCell ref="B68:B73"/>
    <mergeCell ref="B74:B75"/>
    <mergeCell ref="B76:B78"/>
    <mergeCell ref="B79:B80"/>
    <mergeCell ref="B81:B83"/>
    <mergeCell ref="B84:B87"/>
    <mergeCell ref="B88:B91"/>
    <mergeCell ref="B92:B95"/>
    <mergeCell ref="B96:B98"/>
    <mergeCell ref="B99:B102"/>
    <mergeCell ref="B103:B107"/>
    <mergeCell ref="B64:B67"/>
    <mergeCell ref="B29:B33"/>
    <mergeCell ref="B34:B36"/>
    <mergeCell ref="B37:B38"/>
    <mergeCell ref="B39:B40"/>
    <mergeCell ref="B41:B43"/>
    <mergeCell ref="B44:B47"/>
    <mergeCell ref="B48:B50"/>
    <mergeCell ref="B51:B53"/>
    <mergeCell ref="B54:B56"/>
    <mergeCell ref="B57:B58"/>
    <mergeCell ref="B59:B63"/>
    <mergeCell ref="B24:B28"/>
    <mergeCell ref="B7:E8"/>
    <mergeCell ref="B10:B13"/>
    <mergeCell ref="B14:B18"/>
    <mergeCell ref="B19:B20"/>
    <mergeCell ref="B21:B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" manualBreakCount="3">
    <brk id="50" max="4" man="1"/>
    <brk id="91" max="4" man="1"/>
    <brk id="13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I15" sqref="I15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193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138</v>
      </c>
      <c r="C11" s="19" t="s">
        <v>179</v>
      </c>
      <c r="D11" s="20" t="s">
        <v>14</v>
      </c>
    </row>
    <row r="12" spans="1:4" ht="15" customHeight="1" x14ac:dyDescent="0.25">
      <c r="B12" s="22" t="s">
        <v>114</v>
      </c>
      <c r="C12" s="23">
        <v>2</v>
      </c>
      <c r="D12" s="24">
        <f t="shared" ref="D12:D36" si="0">C12/$C$36</f>
        <v>4.7505938242280287E-3</v>
      </c>
    </row>
    <row r="13" spans="1:4" x14ac:dyDescent="0.25">
      <c r="B13" s="22" t="s">
        <v>115</v>
      </c>
      <c r="C13" s="23">
        <v>7</v>
      </c>
      <c r="D13" s="24">
        <f t="shared" si="0"/>
        <v>1.66270783847981E-2</v>
      </c>
    </row>
    <row r="14" spans="1:4" s="25" customFormat="1" ht="15.75" x14ac:dyDescent="0.25">
      <c r="A14" s="21"/>
      <c r="B14" s="22" t="s">
        <v>116</v>
      </c>
      <c r="C14" s="23">
        <v>3</v>
      </c>
      <c r="D14" s="24">
        <f t="shared" si="0"/>
        <v>7.1258907363420431E-3</v>
      </c>
    </row>
    <row r="15" spans="1:4" s="25" customFormat="1" ht="15.75" x14ac:dyDescent="0.25">
      <c r="A15" s="21"/>
      <c r="B15" s="22" t="s">
        <v>117</v>
      </c>
      <c r="C15" s="23">
        <v>3</v>
      </c>
      <c r="D15" s="24">
        <f t="shared" si="0"/>
        <v>7.1258907363420431E-3</v>
      </c>
    </row>
    <row r="16" spans="1:4" x14ac:dyDescent="0.25">
      <c r="B16" s="22" t="s">
        <v>118</v>
      </c>
      <c r="C16" s="23">
        <v>3</v>
      </c>
      <c r="D16" s="24">
        <f t="shared" si="0"/>
        <v>7.1258907363420431E-3</v>
      </c>
    </row>
    <row r="17" spans="2:4" x14ac:dyDescent="0.25">
      <c r="B17" s="22" t="s">
        <v>119</v>
      </c>
      <c r="C17" s="23">
        <v>5</v>
      </c>
      <c r="D17" s="24">
        <f t="shared" si="0"/>
        <v>1.1876484560570071E-2</v>
      </c>
    </row>
    <row r="18" spans="2:4" x14ac:dyDescent="0.25">
      <c r="B18" s="22" t="s">
        <v>120</v>
      </c>
      <c r="C18" s="23">
        <v>7</v>
      </c>
      <c r="D18" s="24">
        <f t="shared" si="0"/>
        <v>1.66270783847981E-2</v>
      </c>
    </row>
    <row r="19" spans="2:4" x14ac:dyDescent="0.25">
      <c r="B19" s="22" t="s">
        <v>121</v>
      </c>
      <c r="C19" s="23">
        <v>21</v>
      </c>
      <c r="D19" s="24">
        <f t="shared" si="0"/>
        <v>4.9881235154394299E-2</v>
      </c>
    </row>
    <row r="20" spans="2:4" ht="27" x14ac:dyDescent="0.25">
      <c r="B20" s="22" t="s">
        <v>122</v>
      </c>
      <c r="C20" s="23">
        <v>43</v>
      </c>
      <c r="D20" s="24">
        <f t="shared" si="0"/>
        <v>0.10213776722090261</v>
      </c>
    </row>
    <row r="21" spans="2:4" x14ac:dyDescent="0.25">
      <c r="B21" s="22" t="s">
        <v>123</v>
      </c>
      <c r="C21" s="23">
        <v>6</v>
      </c>
      <c r="D21" s="24">
        <f t="shared" si="0"/>
        <v>1.4251781472684086E-2</v>
      </c>
    </row>
    <row r="22" spans="2:4" x14ac:dyDescent="0.25">
      <c r="B22" s="22" t="s">
        <v>124</v>
      </c>
      <c r="C22" s="23">
        <v>9</v>
      </c>
      <c r="D22" s="24">
        <f t="shared" si="0"/>
        <v>2.1377672209026127E-2</v>
      </c>
    </row>
    <row r="23" spans="2:4" x14ac:dyDescent="0.25">
      <c r="B23" s="22" t="s">
        <v>125</v>
      </c>
      <c r="C23" s="23">
        <v>14</v>
      </c>
      <c r="D23" s="24">
        <f t="shared" si="0"/>
        <v>3.3254156769596199E-2</v>
      </c>
    </row>
    <row r="24" spans="2:4" ht="27" x14ac:dyDescent="0.25">
      <c r="B24" s="22" t="s">
        <v>126</v>
      </c>
      <c r="C24" s="23">
        <v>91</v>
      </c>
      <c r="D24" s="24">
        <f t="shared" si="0"/>
        <v>0.2161520190023753</v>
      </c>
    </row>
    <row r="25" spans="2:4" x14ac:dyDescent="0.25">
      <c r="B25" s="22" t="s">
        <v>127</v>
      </c>
      <c r="C25" s="23">
        <v>9</v>
      </c>
      <c r="D25" s="24">
        <f t="shared" si="0"/>
        <v>2.1377672209026127E-2</v>
      </c>
    </row>
    <row r="26" spans="2:4" ht="27" x14ac:dyDescent="0.25">
      <c r="B26" s="22" t="s">
        <v>128</v>
      </c>
      <c r="C26" s="23">
        <v>47</v>
      </c>
      <c r="D26" s="24">
        <f t="shared" si="0"/>
        <v>0.11163895486935867</v>
      </c>
    </row>
    <row r="27" spans="2:4" ht="27" x14ac:dyDescent="0.25">
      <c r="B27" s="22" t="s">
        <v>129</v>
      </c>
      <c r="C27" s="23">
        <v>113</v>
      </c>
      <c r="D27" s="24">
        <f t="shared" si="0"/>
        <v>0.26840855106888362</v>
      </c>
    </row>
    <row r="28" spans="2:4" x14ac:dyDescent="0.25">
      <c r="B28" s="22" t="s">
        <v>130</v>
      </c>
      <c r="C28" s="23">
        <v>0</v>
      </c>
      <c r="D28" s="24">
        <f t="shared" si="0"/>
        <v>0</v>
      </c>
    </row>
    <row r="29" spans="2:4" x14ac:dyDescent="0.25">
      <c r="B29" s="22" t="s">
        <v>131</v>
      </c>
      <c r="C29" s="23">
        <v>1</v>
      </c>
      <c r="D29" s="24">
        <f t="shared" si="0"/>
        <v>2.3752969121140144E-3</v>
      </c>
    </row>
    <row r="30" spans="2:4" x14ac:dyDescent="0.25">
      <c r="B30" s="22" t="s">
        <v>132</v>
      </c>
      <c r="C30" s="23">
        <v>5</v>
      </c>
      <c r="D30" s="24">
        <f t="shared" si="0"/>
        <v>1.1876484560570071E-2</v>
      </c>
    </row>
    <row r="31" spans="2:4" x14ac:dyDescent="0.25">
      <c r="B31" s="22" t="s">
        <v>133</v>
      </c>
      <c r="C31" s="23">
        <v>0</v>
      </c>
      <c r="D31" s="24">
        <f t="shared" si="0"/>
        <v>0</v>
      </c>
    </row>
    <row r="32" spans="2:4" x14ac:dyDescent="0.25">
      <c r="B32" s="22" t="s">
        <v>134</v>
      </c>
      <c r="C32" s="23">
        <v>11</v>
      </c>
      <c r="D32" s="24">
        <f t="shared" si="0"/>
        <v>2.6128266033254157E-2</v>
      </c>
    </row>
    <row r="33" spans="1:4" x14ac:dyDescent="0.25">
      <c r="B33" s="22" t="s">
        <v>135</v>
      </c>
      <c r="C33" s="23">
        <v>19</v>
      </c>
      <c r="D33" s="24">
        <f t="shared" si="0"/>
        <v>4.5130641330166268E-2</v>
      </c>
    </row>
    <row r="34" spans="1:4" x14ac:dyDescent="0.25">
      <c r="B34" s="22" t="s">
        <v>136</v>
      </c>
      <c r="C34" s="23">
        <v>2</v>
      </c>
      <c r="D34" s="24">
        <f t="shared" si="0"/>
        <v>4.7505938242280287E-3</v>
      </c>
    </row>
    <row r="35" spans="1:4" x14ac:dyDescent="0.25">
      <c r="B35" s="22" t="s">
        <v>137</v>
      </c>
      <c r="C35" s="23">
        <v>0</v>
      </c>
      <c r="D35" s="24">
        <f t="shared" si="0"/>
        <v>0</v>
      </c>
    </row>
    <row r="36" spans="1:4" x14ac:dyDescent="0.25">
      <c r="B36" s="26" t="s">
        <v>54</v>
      </c>
      <c r="C36" s="27">
        <v>421</v>
      </c>
      <c r="D36" s="28">
        <f t="shared" si="0"/>
        <v>1</v>
      </c>
    </row>
    <row r="38" spans="1:4" x14ac:dyDescent="0.25">
      <c r="A38" s="71" t="s">
        <v>180</v>
      </c>
    </row>
    <row r="39" spans="1:4" x14ac:dyDescent="0.25">
      <c r="A39" s="71" t="s">
        <v>56</v>
      </c>
    </row>
    <row r="40" spans="1:4" x14ac:dyDescent="0.25">
      <c r="A40" s="71" t="s">
        <v>57</v>
      </c>
    </row>
    <row r="41" spans="1:4" x14ac:dyDescent="0.25">
      <c r="A41" s="71" t="s">
        <v>58</v>
      </c>
    </row>
    <row r="42" spans="1:4" x14ac:dyDescent="0.25">
      <c r="A42" s="71" t="s">
        <v>59</v>
      </c>
    </row>
    <row r="43" spans="1:4" x14ac:dyDescent="0.25">
      <c r="A43" s="71"/>
    </row>
    <row r="44" spans="1:4" x14ac:dyDescent="0.25">
      <c r="A44" s="7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80"/>
  <sheetViews>
    <sheetView zoomScale="145" zoomScaleNormal="145" zoomScaleSheetLayoutView="85" workbookViewId="0">
      <selection activeCell="F4" sqref="F4"/>
    </sheetView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113</v>
      </c>
      <c r="C9" s="43" t="s">
        <v>111</v>
      </c>
      <c r="D9" s="44" t="s">
        <v>13</v>
      </c>
      <c r="E9" s="42" t="s">
        <v>14</v>
      </c>
    </row>
    <row r="10" spans="1:5" ht="15" customHeight="1" x14ac:dyDescent="0.25">
      <c r="B10" s="88" t="s">
        <v>114</v>
      </c>
      <c r="C10" s="46" t="s">
        <v>15</v>
      </c>
      <c r="D10" s="47">
        <v>1</v>
      </c>
      <c r="E10" s="48">
        <v>2.3752969121140144E-3</v>
      </c>
    </row>
    <row r="11" spans="1:5" ht="15" customHeight="1" x14ac:dyDescent="0.25">
      <c r="B11" s="89"/>
      <c r="C11" s="46" t="s">
        <v>27</v>
      </c>
      <c r="D11" s="47">
        <v>1</v>
      </c>
      <c r="E11" s="48">
        <v>2.3752969121140144E-3</v>
      </c>
    </row>
    <row r="12" spans="1:5" ht="15" customHeight="1" x14ac:dyDescent="0.25">
      <c r="B12" s="90"/>
      <c r="C12" s="49" t="s">
        <v>54</v>
      </c>
      <c r="D12" s="50">
        <v>2</v>
      </c>
      <c r="E12" s="51">
        <v>4.7505938242280287E-3</v>
      </c>
    </row>
    <row r="13" spans="1:5" ht="15" customHeight="1" x14ac:dyDescent="0.25">
      <c r="B13" s="88" t="s">
        <v>115</v>
      </c>
      <c r="C13" s="46" t="s">
        <v>15</v>
      </c>
      <c r="D13" s="47">
        <v>5</v>
      </c>
      <c r="E13" s="48">
        <v>1.1876484560570071E-2</v>
      </c>
    </row>
    <row r="14" spans="1:5" ht="15" customHeight="1" x14ac:dyDescent="0.25">
      <c r="B14" s="89"/>
      <c r="C14" s="46" t="s">
        <v>21</v>
      </c>
      <c r="D14" s="47">
        <v>1</v>
      </c>
      <c r="E14" s="48">
        <v>2.3752969121140144E-3</v>
      </c>
    </row>
    <row r="15" spans="1:5" ht="15" customHeight="1" x14ac:dyDescent="0.25">
      <c r="B15" s="89"/>
      <c r="C15" s="46" t="s">
        <v>30</v>
      </c>
      <c r="D15" s="47">
        <v>1</v>
      </c>
      <c r="E15" s="48">
        <v>2.3752969121140144E-3</v>
      </c>
    </row>
    <row r="16" spans="1:5" ht="15" customHeight="1" x14ac:dyDescent="0.25">
      <c r="B16" s="90"/>
      <c r="C16" s="49" t="s">
        <v>54</v>
      </c>
      <c r="D16" s="50">
        <v>7</v>
      </c>
      <c r="E16" s="51">
        <v>1.66270783847981E-2</v>
      </c>
    </row>
    <row r="17" spans="2:5" ht="15" customHeight="1" x14ac:dyDescent="0.25">
      <c r="B17" s="88" t="s">
        <v>116</v>
      </c>
      <c r="C17" s="46" t="s">
        <v>15</v>
      </c>
      <c r="D17" s="47">
        <v>2</v>
      </c>
      <c r="E17" s="48">
        <v>4.7505938242280287E-3</v>
      </c>
    </row>
    <row r="18" spans="2:5" ht="15" customHeight="1" x14ac:dyDescent="0.25">
      <c r="B18" s="89"/>
      <c r="C18" s="46" t="s">
        <v>30</v>
      </c>
      <c r="D18" s="47">
        <v>1</v>
      </c>
      <c r="E18" s="48">
        <v>2.3752969121140144E-3</v>
      </c>
    </row>
    <row r="19" spans="2:5" ht="15" customHeight="1" x14ac:dyDescent="0.25">
      <c r="B19" s="90"/>
      <c r="C19" s="49" t="s">
        <v>54</v>
      </c>
      <c r="D19" s="50">
        <v>3</v>
      </c>
      <c r="E19" s="51">
        <v>7.1258907363420431E-3</v>
      </c>
    </row>
    <row r="20" spans="2:5" ht="15" customHeight="1" x14ac:dyDescent="0.25">
      <c r="B20" s="88" t="s">
        <v>117</v>
      </c>
      <c r="C20" s="46" t="s">
        <v>15</v>
      </c>
      <c r="D20" s="47">
        <v>1</v>
      </c>
      <c r="E20" s="48">
        <v>2.3752969121140144E-3</v>
      </c>
    </row>
    <row r="21" spans="2:5" ht="15" customHeight="1" x14ac:dyDescent="0.25">
      <c r="B21" s="89"/>
      <c r="C21" s="46" t="s">
        <v>21</v>
      </c>
      <c r="D21" s="47">
        <v>1</v>
      </c>
      <c r="E21" s="48">
        <v>2.3752969121140144E-3</v>
      </c>
    </row>
    <row r="22" spans="2:5" ht="15" customHeight="1" x14ac:dyDescent="0.25">
      <c r="B22" s="89"/>
      <c r="C22" s="46" t="s">
        <v>35</v>
      </c>
      <c r="D22" s="47">
        <v>1</v>
      </c>
      <c r="E22" s="48">
        <v>2.3752969121140144E-3</v>
      </c>
    </row>
    <row r="23" spans="2:5" ht="15" customHeight="1" x14ac:dyDescent="0.25">
      <c r="B23" s="90"/>
      <c r="C23" s="49" t="s">
        <v>54</v>
      </c>
      <c r="D23" s="50">
        <v>3</v>
      </c>
      <c r="E23" s="51">
        <v>7.1258907363420431E-3</v>
      </c>
    </row>
    <row r="24" spans="2:5" ht="15" customHeight="1" x14ac:dyDescent="0.25">
      <c r="B24" s="88" t="s">
        <v>118</v>
      </c>
      <c r="C24" s="46" t="s">
        <v>15</v>
      </c>
      <c r="D24" s="47">
        <v>2</v>
      </c>
      <c r="E24" s="48">
        <v>4.7505938242280287E-3</v>
      </c>
    </row>
    <row r="25" spans="2:5" ht="15" customHeight="1" x14ac:dyDescent="0.25">
      <c r="B25" s="89"/>
      <c r="C25" s="46" t="s">
        <v>37</v>
      </c>
      <c r="D25" s="47">
        <v>1</v>
      </c>
      <c r="E25" s="48">
        <v>2.3752969121140144E-3</v>
      </c>
    </row>
    <row r="26" spans="2:5" ht="15" customHeight="1" x14ac:dyDescent="0.25">
      <c r="B26" s="90"/>
      <c r="C26" s="49" t="s">
        <v>54</v>
      </c>
      <c r="D26" s="50">
        <v>3</v>
      </c>
      <c r="E26" s="51">
        <v>7.1258907363420431E-3</v>
      </c>
    </row>
    <row r="27" spans="2:5" ht="15" customHeight="1" x14ac:dyDescent="0.25">
      <c r="B27" s="88" t="s">
        <v>119</v>
      </c>
      <c r="C27" s="46" t="s">
        <v>15</v>
      </c>
      <c r="D27" s="47">
        <v>3</v>
      </c>
      <c r="E27" s="48">
        <v>7.1258907363420431E-3</v>
      </c>
    </row>
    <row r="28" spans="2:5" ht="15" customHeight="1" x14ac:dyDescent="0.25">
      <c r="B28" s="89"/>
      <c r="C28" s="46" t="s">
        <v>21</v>
      </c>
      <c r="D28" s="47">
        <v>1</v>
      </c>
      <c r="E28" s="48">
        <v>2.3752969121140144E-3</v>
      </c>
    </row>
    <row r="29" spans="2:5" ht="15" customHeight="1" x14ac:dyDescent="0.25">
      <c r="B29" s="89"/>
      <c r="C29" s="46" t="s">
        <v>47</v>
      </c>
      <c r="D29" s="47">
        <v>1</v>
      </c>
      <c r="E29" s="48">
        <v>2.3752969121140144E-3</v>
      </c>
    </row>
    <row r="30" spans="2:5" ht="15" customHeight="1" x14ac:dyDescent="0.25">
      <c r="B30" s="90"/>
      <c r="C30" s="49" t="s">
        <v>54</v>
      </c>
      <c r="D30" s="50">
        <v>5</v>
      </c>
      <c r="E30" s="51">
        <v>1.1876484560570071E-2</v>
      </c>
    </row>
    <row r="31" spans="2:5" ht="15" customHeight="1" x14ac:dyDescent="0.25">
      <c r="B31" s="88" t="s">
        <v>120</v>
      </c>
      <c r="C31" s="46" t="s">
        <v>15</v>
      </c>
      <c r="D31" s="47">
        <v>5</v>
      </c>
      <c r="E31" s="48">
        <v>1.1876484560570071E-2</v>
      </c>
    </row>
    <row r="32" spans="2:5" ht="15" customHeight="1" x14ac:dyDescent="0.25">
      <c r="B32" s="89"/>
      <c r="C32" s="46" t="s">
        <v>19</v>
      </c>
      <c r="D32" s="47">
        <v>1</v>
      </c>
      <c r="E32" s="48">
        <v>2.3752969121140144E-3</v>
      </c>
    </row>
    <row r="33" spans="2:5" ht="15" customHeight="1" x14ac:dyDescent="0.25">
      <c r="B33" s="89"/>
      <c r="C33" s="46" t="s">
        <v>23</v>
      </c>
      <c r="D33" s="47">
        <v>1</v>
      </c>
      <c r="E33" s="48">
        <v>2.3752969121140144E-3</v>
      </c>
    </row>
    <row r="34" spans="2:5" ht="15" customHeight="1" x14ac:dyDescent="0.25">
      <c r="B34" s="90"/>
      <c r="C34" s="49" t="s">
        <v>54</v>
      </c>
      <c r="D34" s="50">
        <v>7</v>
      </c>
      <c r="E34" s="51">
        <v>1.66270783847981E-2</v>
      </c>
    </row>
    <row r="35" spans="2:5" ht="15" customHeight="1" x14ac:dyDescent="0.25">
      <c r="B35" s="88" t="s">
        <v>121</v>
      </c>
      <c r="C35" s="46" t="s">
        <v>15</v>
      </c>
      <c r="D35" s="47">
        <v>14</v>
      </c>
      <c r="E35" s="48">
        <v>3.3254156769596199E-2</v>
      </c>
    </row>
    <row r="36" spans="2:5" ht="15" customHeight="1" x14ac:dyDescent="0.25">
      <c r="B36" s="89"/>
      <c r="C36" s="46" t="s">
        <v>19</v>
      </c>
      <c r="D36" s="47">
        <v>1</v>
      </c>
      <c r="E36" s="48">
        <v>2.3752969121140144E-3</v>
      </c>
    </row>
    <row r="37" spans="2:5" ht="15" customHeight="1" x14ac:dyDescent="0.25">
      <c r="B37" s="89"/>
      <c r="C37" s="46" t="s">
        <v>21</v>
      </c>
      <c r="D37" s="47">
        <v>1</v>
      </c>
      <c r="E37" s="48">
        <v>2.3752969121140144E-3</v>
      </c>
    </row>
    <row r="38" spans="2:5" ht="15" customHeight="1" x14ac:dyDescent="0.25">
      <c r="B38" s="89"/>
      <c r="C38" s="46" t="s">
        <v>35</v>
      </c>
      <c r="D38" s="47">
        <v>1</v>
      </c>
      <c r="E38" s="48">
        <v>2.3752969121140144E-3</v>
      </c>
    </row>
    <row r="39" spans="2:5" ht="15" customHeight="1" x14ac:dyDescent="0.25">
      <c r="B39" s="89"/>
      <c r="C39" s="46" t="s">
        <v>29</v>
      </c>
      <c r="D39" s="47">
        <v>1</v>
      </c>
      <c r="E39" s="48">
        <v>2.3752969121140144E-3</v>
      </c>
    </row>
    <row r="40" spans="2:5" ht="15" customHeight="1" x14ac:dyDescent="0.25">
      <c r="B40" s="89"/>
      <c r="C40" s="46" t="s">
        <v>39</v>
      </c>
      <c r="D40" s="47">
        <v>1</v>
      </c>
      <c r="E40" s="48">
        <v>2.3752969121140144E-3</v>
      </c>
    </row>
    <row r="41" spans="2:5" ht="15" customHeight="1" x14ac:dyDescent="0.25">
      <c r="B41" s="89"/>
      <c r="C41" s="46" t="s">
        <v>28</v>
      </c>
      <c r="D41" s="47">
        <v>1</v>
      </c>
      <c r="E41" s="48">
        <v>2.3752969121140144E-3</v>
      </c>
    </row>
    <row r="42" spans="2:5" ht="15" customHeight="1" x14ac:dyDescent="0.25">
      <c r="B42" s="89"/>
      <c r="C42" s="46" t="s">
        <v>16</v>
      </c>
      <c r="D42" s="47">
        <v>1</v>
      </c>
      <c r="E42" s="48">
        <v>2.3752969121140144E-3</v>
      </c>
    </row>
    <row r="43" spans="2:5" ht="15" customHeight="1" x14ac:dyDescent="0.25">
      <c r="B43" s="90"/>
      <c r="C43" s="49" t="s">
        <v>54</v>
      </c>
      <c r="D43" s="50">
        <v>21</v>
      </c>
      <c r="E43" s="51">
        <v>4.9881235154394299E-2</v>
      </c>
    </row>
    <row r="44" spans="2:5" ht="15" customHeight="1" x14ac:dyDescent="0.25">
      <c r="B44" s="88" t="s">
        <v>122</v>
      </c>
      <c r="C44" s="46" t="s">
        <v>34</v>
      </c>
      <c r="D44" s="47">
        <v>2</v>
      </c>
      <c r="E44" s="48">
        <v>4.7505938242280287E-3</v>
      </c>
    </row>
    <row r="45" spans="2:5" ht="15" customHeight="1" x14ac:dyDescent="0.25">
      <c r="B45" s="89"/>
      <c r="C45" s="46" t="s">
        <v>15</v>
      </c>
      <c r="D45" s="47">
        <v>24</v>
      </c>
      <c r="E45" s="48">
        <v>5.7007125890736345E-2</v>
      </c>
    </row>
    <row r="46" spans="2:5" ht="15" customHeight="1" x14ac:dyDescent="0.25">
      <c r="B46" s="89"/>
      <c r="C46" s="46" t="s">
        <v>21</v>
      </c>
      <c r="D46" s="47">
        <v>1</v>
      </c>
      <c r="E46" s="48">
        <v>2.3752969121140144E-3</v>
      </c>
    </row>
    <row r="47" spans="2:5" ht="15" customHeight="1" x14ac:dyDescent="0.25">
      <c r="B47" s="89"/>
      <c r="C47" s="46" t="s">
        <v>24</v>
      </c>
      <c r="D47" s="47">
        <v>1</v>
      </c>
      <c r="E47" s="48">
        <v>2.3752969121140144E-3</v>
      </c>
    </row>
    <row r="48" spans="2:5" ht="15" customHeight="1" x14ac:dyDescent="0.25">
      <c r="B48" s="89"/>
      <c r="C48" s="46" t="s">
        <v>17</v>
      </c>
      <c r="D48" s="47">
        <v>2</v>
      </c>
      <c r="E48" s="48">
        <v>4.7505938242280287E-3</v>
      </c>
    </row>
    <row r="49" spans="2:5" ht="15" customHeight="1" x14ac:dyDescent="0.25">
      <c r="B49" s="89"/>
      <c r="C49" s="46" t="s">
        <v>20</v>
      </c>
      <c r="D49" s="47">
        <v>1</v>
      </c>
      <c r="E49" s="48">
        <v>2.3752969121140144E-3</v>
      </c>
    </row>
    <row r="50" spans="2:5" ht="15" customHeight="1" x14ac:dyDescent="0.25">
      <c r="B50" s="89"/>
      <c r="C50" s="46" t="s">
        <v>22</v>
      </c>
      <c r="D50" s="47">
        <v>1</v>
      </c>
      <c r="E50" s="48">
        <v>2.3752969121140144E-3</v>
      </c>
    </row>
    <row r="51" spans="2:5" ht="15" customHeight="1" x14ac:dyDescent="0.25">
      <c r="B51" s="89"/>
      <c r="C51" s="46" t="s">
        <v>29</v>
      </c>
      <c r="D51" s="47">
        <v>1</v>
      </c>
      <c r="E51" s="48">
        <v>2.3752969121140144E-3</v>
      </c>
    </row>
    <row r="52" spans="2:5" ht="15" customHeight="1" x14ac:dyDescent="0.25">
      <c r="B52" s="89"/>
      <c r="C52" s="46" t="s">
        <v>23</v>
      </c>
      <c r="D52" s="47">
        <v>2</v>
      </c>
      <c r="E52" s="48">
        <v>4.7505938242280287E-3</v>
      </c>
    </row>
    <row r="53" spans="2:5" ht="15" customHeight="1" x14ac:dyDescent="0.25">
      <c r="B53" s="89"/>
      <c r="C53" s="46" t="s">
        <v>18</v>
      </c>
      <c r="D53" s="47">
        <v>1</v>
      </c>
      <c r="E53" s="48">
        <v>2.3752969121140144E-3</v>
      </c>
    </row>
    <row r="54" spans="2:5" ht="15" customHeight="1" x14ac:dyDescent="0.25">
      <c r="B54" s="89"/>
      <c r="C54" s="46" t="s">
        <v>28</v>
      </c>
      <c r="D54" s="47">
        <v>1</v>
      </c>
      <c r="E54" s="48">
        <v>2.3752969121140144E-3</v>
      </c>
    </row>
    <row r="55" spans="2:5" ht="15" customHeight="1" x14ac:dyDescent="0.25">
      <c r="B55" s="89"/>
      <c r="C55" s="46" t="s">
        <v>16</v>
      </c>
      <c r="D55" s="47">
        <v>3</v>
      </c>
      <c r="E55" s="48">
        <v>7.1258907363420431E-3</v>
      </c>
    </row>
    <row r="56" spans="2:5" ht="15" customHeight="1" x14ac:dyDescent="0.25">
      <c r="B56" s="89"/>
      <c r="C56" s="46" t="s">
        <v>26</v>
      </c>
      <c r="D56" s="47">
        <v>2</v>
      </c>
      <c r="E56" s="48">
        <v>4.7505938242280287E-3</v>
      </c>
    </row>
    <row r="57" spans="2:5" ht="15" customHeight="1" x14ac:dyDescent="0.25">
      <c r="B57" s="89"/>
      <c r="C57" s="46" t="s">
        <v>36</v>
      </c>
      <c r="D57" s="47">
        <v>1</v>
      </c>
      <c r="E57" s="48">
        <v>2.3752969121140144E-3</v>
      </c>
    </row>
    <row r="58" spans="2:5" ht="15" customHeight="1" x14ac:dyDescent="0.25">
      <c r="B58" s="90"/>
      <c r="C58" s="49" t="s">
        <v>54</v>
      </c>
      <c r="D58" s="50">
        <v>43</v>
      </c>
      <c r="E58" s="51">
        <v>0.10213776722090261</v>
      </c>
    </row>
    <row r="59" spans="2:5" ht="15" customHeight="1" x14ac:dyDescent="0.25">
      <c r="B59" s="88" t="s">
        <v>123</v>
      </c>
      <c r="C59" s="46" t="s">
        <v>15</v>
      </c>
      <c r="D59" s="47">
        <v>3</v>
      </c>
      <c r="E59" s="48">
        <v>7.1258907363420431E-3</v>
      </c>
    </row>
    <row r="60" spans="2:5" ht="15" customHeight="1" x14ac:dyDescent="0.25">
      <c r="B60" s="89"/>
      <c r="C60" s="46" t="s">
        <v>24</v>
      </c>
      <c r="D60" s="47">
        <v>1</v>
      </c>
      <c r="E60" s="48">
        <v>2.3752969121140144E-3</v>
      </c>
    </row>
    <row r="61" spans="2:5" ht="15" customHeight="1" x14ac:dyDescent="0.25">
      <c r="B61" s="89"/>
      <c r="C61" s="46" t="s">
        <v>51</v>
      </c>
      <c r="D61" s="47">
        <v>1</v>
      </c>
      <c r="E61" s="48">
        <v>2.3752969121140144E-3</v>
      </c>
    </row>
    <row r="62" spans="2:5" ht="15" customHeight="1" x14ac:dyDescent="0.25">
      <c r="B62" s="89"/>
      <c r="C62" s="46" t="s">
        <v>23</v>
      </c>
      <c r="D62" s="47">
        <v>1</v>
      </c>
      <c r="E62" s="48">
        <v>2.3752969121140144E-3</v>
      </c>
    </row>
    <row r="63" spans="2:5" ht="15" customHeight="1" x14ac:dyDescent="0.25">
      <c r="B63" s="90"/>
      <c r="C63" s="49" t="s">
        <v>54</v>
      </c>
      <c r="D63" s="50">
        <v>6</v>
      </c>
      <c r="E63" s="51">
        <v>1.4251781472684086E-2</v>
      </c>
    </row>
    <row r="64" spans="2:5" ht="15" customHeight="1" x14ac:dyDescent="0.25">
      <c r="B64" s="88" t="s">
        <v>124</v>
      </c>
      <c r="C64" s="46" t="s">
        <v>15</v>
      </c>
      <c r="D64" s="47">
        <v>5</v>
      </c>
      <c r="E64" s="48">
        <v>1.1876484560570071E-2</v>
      </c>
    </row>
    <row r="65" spans="2:5" ht="15" customHeight="1" x14ac:dyDescent="0.25">
      <c r="B65" s="89"/>
      <c r="C65" s="46" t="s">
        <v>19</v>
      </c>
      <c r="D65" s="47">
        <v>1</v>
      </c>
      <c r="E65" s="48">
        <v>2.3752969121140144E-3</v>
      </c>
    </row>
    <row r="66" spans="2:5" ht="15" customHeight="1" x14ac:dyDescent="0.25">
      <c r="B66" s="89"/>
      <c r="C66" s="46" t="s">
        <v>21</v>
      </c>
      <c r="D66" s="47">
        <v>1</v>
      </c>
      <c r="E66" s="48">
        <v>2.3752969121140144E-3</v>
      </c>
    </row>
    <row r="67" spans="2:5" ht="15" customHeight="1" x14ac:dyDescent="0.25">
      <c r="B67" s="89"/>
      <c r="C67" s="46" t="s">
        <v>23</v>
      </c>
      <c r="D67" s="47">
        <v>1</v>
      </c>
      <c r="E67" s="48">
        <v>2.3752969121140144E-3</v>
      </c>
    </row>
    <row r="68" spans="2:5" ht="15" customHeight="1" x14ac:dyDescent="0.25">
      <c r="B68" s="89"/>
      <c r="C68" s="46" t="s">
        <v>37</v>
      </c>
      <c r="D68" s="47">
        <v>1</v>
      </c>
      <c r="E68" s="48">
        <v>2.3752969121140144E-3</v>
      </c>
    </row>
    <row r="69" spans="2:5" ht="15" customHeight="1" x14ac:dyDescent="0.25">
      <c r="B69" s="90"/>
      <c r="C69" s="49" t="s">
        <v>54</v>
      </c>
      <c r="D69" s="50">
        <v>9</v>
      </c>
      <c r="E69" s="51">
        <v>2.1377672209026127E-2</v>
      </c>
    </row>
    <row r="70" spans="2:5" ht="15" customHeight="1" x14ac:dyDescent="0.25">
      <c r="B70" s="88" t="s">
        <v>125</v>
      </c>
      <c r="C70" s="46" t="s">
        <v>15</v>
      </c>
      <c r="D70" s="47">
        <v>5</v>
      </c>
      <c r="E70" s="48">
        <v>1.1876484560570071E-2</v>
      </c>
    </row>
    <row r="71" spans="2:5" ht="15" customHeight="1" x14ac:dyDescent="0.25">
      <c r="B71" s="89"/>
      <c r="C71" s="46" t="s">
        <v>17</v>
      </c>
      <c r="D71" s="47">
        <v>1</v>
      </c>
      <c r="E71" s="48">
        <v>2.3752969121140144E-3</v>
      </c>
    </row>
    <row r="72" spans="2:5" ht="15" customHeight="1" x14ac:dyDescent="0.25">
      <c r="B72" s="89"/>
      <c r="C72" s="46" t="s">
        <v>22</v>
      </c>
      <c r="D72" s="47">
        <v>1</v>
      </c>
      <c r="E72" s="48">
        <v>2.3752969121140144E-3</v>
      </c>
    </row>
    <row r="73" spans="2:5" ht="15" customHeight="1" x14ac:dyDescent="0.25">
      <c r="B73" s="89"/>
      <c r="C73" s="46" t="s">
        <v>29</v>
      </c>
      <c r="D73" s="47">
        <v>2</v>
      </c>
      <c r="E73" s="48">
        <v>4.7505938242280287E-3</v>
      </c>
    </row>
    <row r="74" spans="2:5" ht="15" customHeight="1" x14ac:dyDescent="0.25">
      <c r="B74" s="89"/>
      <c r="C74" s="46" t="s">
        <v>39</v>
      </c>
      <c r="D74" s="47">
        <v>1</v>
      </c>
      <c r="E74" s="48">
        <v>2.3752969121140144E-3</v>
      </c>
    </row>
    <row r="75" spans="2:5" ht="15" customHeight="1" x14ac:dyDescent="0.25">
      <c r="B75" s="89"/>
      <c r="C75" s="46" t="s">
        <v>37</v>
      </c>
      <c r="D75" s="47">
        <v>1</v>
      </c>
      <c r="E75" s="48">
        <v>2.3752969121140144E-3</v>
      </c>
    </row>
    <row r="76" spans="2:5" ht="15" customHeight="1" x14ac:dyDescent="0.25">
      <c r="B76" s="89"/>
      <c r="C76" s="46" t="s">
        <v>28</v>
      </c>
      <c r="D76" s="47">
        <v>1</v>
      </c>
      <c r="E76" s="48">
        <v>2.3752969121140144E-3</v>
      </c>
    </row>
    <row r="77" spans="2:5" ht="15" customHeight="1" x14ac:dyDescent="0.25">
      <c r="B77" s="89"/>
      <c r="C77" s="46" t="s">
        <v>26</v>
      </c>
      <c r="D77" s="47">
        <v>1</v>
      </c>
      <c r="E77" s="48">
        <v>2.3752969121140144E-3</v>
      </c>
    </row>
    <row r="78" spans="2:5" ht="15" customHeight="1" x14ac:dyDescent="0.25">
      <c r="B78" s="89"/>
      <c r="C78" s="46" t="s">
        <v>30</v>
      </c>
      <c r="D78" s="47">
        <v>1</v>
      </c>
      <c r="E78" s="48">
        <v>2.3752969121140144E-3</v>
      </c>
    </row>
    <row r="79" spans="2:5" ht="15" customHeight="1" x14ac:dyDescent="0.25">
      <c r="B79" s="90"/>
      <c r="C79" s="49" t="s">
        <v>54</v>
      </c>
      <c r="D79" s="50">
        <v>14</v>
      </c>
      <c r="E79" s="51">
        <v>3.3254156769596199E-2</v>
      </c>
    </row>
    <row r="80" spans="2:5" ht="15" customHeight="1" x14ac:dyDescent="0.25">
      <c r="B80" s="88" t="s">
        <v>126</v>
      </c>
      <c r="C80" s="46" t="s">
        <v>34</v>
      </c>
      <c r="D80" s="47">
        <v>1</v>
      </c>
      <c r="E80" s="48">
        <v>2.3752969121140144E-3</v>
      </c>
    </row>
    <row r="81" spans="2:5" ht="15" customHeight="1" x14ac:dyDescent="0.25">
      <c r="B81" s="89"/>
      <c r="C81" s="46" t="s">
        <v>25</v>
      </c>
      <c r="D81" s="47">
        <v>1</v>
      </c>
      <c r="E81" s="48">
        <v>2.3752969121140144E-3</v>
      </c>
    </row>
    <row r="82" spans="2:5" ht="15" customHeight="1" x14ac:dyDescent="0.25">
      <c r="B82" s="89"/>
      <c r="C82" s="46" t="s">
        <v>15</v>
      </c>
      <c r="D82" s="47">
        <v>34</v>
      </c>
      <c r="E82" s="48">
        <v>8.076009501187649E-2</v>
      </c>
    </row>
    <row r="83" spans="2:5" ht="15" customHeight="1" x14ac:dyDescent="0.25">
      <c r="B83" s="89"/>
      <c r="C83" s="46" t="s">
        <v>19</v>
      </c>
      <c r="D83" s="47">
        <v>2</v>
      </c>
      <c r="E83" s="48">
        <v>4.7505938242280287E-3</v>
      </c>
    </row>
    <row r="84" spans="2:5" ht="15" customHeight="1" x14ac:dyDescent="0.25">
      <c r="B84" s="89"/>
      <c r="C84" s="46" t="s">
        <v>50</v>
      </c>
      <c r="D84" s="47">
        <v>1</v>
      </c>
      <c r="E84" s="48">
        <v>2.3752969121140144E-3</v>
      </c>
    </row>
    <row r="85" spans="2:5" ht="15" customHeight="1" x14ac:dyDescent="0.25">
      <c r="B85" s="89"/>
      <c r="C85" s="46" t="s">
        <v>21</v>
      </c>
      <c r="D85" s="47">
        <v>1</v>
      </c>
      <c r="E85" s="48">
        <v>2.3752969121140144E-3</v>
      </c>
    </row>
    <row r="86" spans="2:5" ht="15" customHeight="1" x14ac:dyDescent="0.25">
      <c r="B86" s="89"/>
      <c r="C86" s="46" t="s">
        <v>24</v>
      </c>
      <c r="D86" s="47">
        <v>1</v>
      </c>
      <c r="E86" s="48">
        <v>2.3752969121140144E-3</v>
      </c>
    </row>
    <row r="87" spans="2:5" ht="15" customHeight="1" x14ac:dyDescent="0.25">
      <c r="B87" s="89"/>
      <c r="C87" s="46" t="s">
        <v>17</v>
      </c>
      <c r="D87" s="47">
        <v>11</v>
      </c>
      <c r="E87" s="48">
        <v>2.6128266033254157E-2</v>
      </c>
    </row>
    <row r="88" spans="2:5" ht="15" customHeight="1" x14ac:dyDescent="0.25">
      <c r="B88" s="89"/>
      <c r="C88" s="46" t="s">
        <v>35</v>
      </c>
      <c r="D88" s="47">
        <v>1</v>
      </c>
      <c r="E88" s="48">
        <v>2.3752969121140144E-3</v>
      </c>
    </row>
    <row r="89" spans="2:5" ht="15" customHeight="1" x14ac:dyDescent="0.25">
      <c r="B89" s="89"/>
      <c r="C89" s="46" t="s">
        <v>31</v>
      </c>
      <c r="D89" s="47">
        <v>1</v>
      </c>
      <c r="E89" s="48">
        <v>2.3752969121140144E-3</v>
      </c>
    </row>
    <row r="90" spans="2:5" ht="15" customHeight="1" x14ac:dyDescent="0.25">
      <c r="B90" s="89"/>
      <c r="C90" s="46" t="s">
        <v>33</v>
      </c>
      <c r="D90" s="47">
        <v>1</v>
      </c>
      <c r="E90" s="48">
        <v>2.3752969121140144E-3</v>
      </c>
    </row>
    <row r="91" spans="2:5" ht="15" customHeight="1" x14ac:dyDescent="0.25">
      <c r="B91" s="89"/>
      <c r="C91" s="46" t="s">
        <v>43</v>
      </c>
      <c r="D91" s="47">
        <v>4</v>
      </c>
      <c r="E91" s="48">
        <v>9.5011876484560574E-3</v>
      </c>
    </row>
    <row r="92" spans="2:5" ht="15" customHeight="1" x14ac:dyDescent="0.25">
      <c r="B92" s="89"/>
      <c r="C92" s="46" t="s">
        <v>22</v>
      </c>
      <c r="D92" s="47">
        <v>4</v>
      </c>
      <c r="E92" s="48">
        <v>9.5011876484560574E-3</v>
      </c>
    </row>
    <row r="93" spans="2:5" ht="15" customHeight="1" x14ac:dyDescent="0.25">
      <c r="B93" s="89"/>
      <c r="C93" s="46" t="s">
        <v>51</v>
      </c>
      <c r="D93" s="47">
        <v>1</v>
      </c>
      <c r="E93" s="48">
        <v>2.3752969121140144E-3</v>
      </c>
    </row>
    <row r="94" spans="2:5" ht="15" customHeight="1" x14ac:dyDescent="0.25">
      <c r="B94" s="89"/>
      <c r="C94" s="46" t="s">
        <v>29</v>
      </c>
      <c r="D94" s="47">
        <v>2</v>
      </c>
      <c r="E94" s="48">
        <v>4.7505938242280287E-3</v>
      </c>
    </row>
    <row r="95" spans="2:5" ht="15" customHeight="1" x14ac:dyDescent="0.25">
      <c r="B95" s="89"/>
      <c r="C95" s="46" t="s">
        <v>46</v>
      </c>
      <c r="D95" s="47">
        <v>1</v>
      </c>
      <c r="E95" s="48">
        <v>2.3752969121140144E-3</v>
      </c>
    </row>
    <row r="96" spans="2:5" ht="15" customHeight="1" x14ac:dyDescent="0.25">
      <c r="B96" s="89"/>
      <c r="C96" s="46" t="s">
        <v>23</v>
      </c>
      <c r="D96" s="47">
        <v>3</v>
      </c>
      <c r="E96" s="48">
        <v>7.1258907363420431E-3</v>
      </c>
    </row>
    <row r="97" spans="2:5" ht="15" customHeight="1" x14ac:dyDescent="0.25">
      <c r="B97" s="89"/>
      <c r="C97" s="46" t="s">
        <v>18</v>
      </c>
      <c r="D97" s="47">
        <v>2</v>
      </c>
      <c r="E97" s="48">
        <v>4.7505938242280287E-3</v>
      </c>
    </row>
    <row r="98" spans="2:5" ht="15" customHeight="1" x14ac:dyDescent="0.25">
      <c r="B98" s="89"/>
      <c r="C98" s="46" t="s">
        <v>39</v>
      </c>
      <c r="D98" s="47">
        <v>2</v>
      </c>
      <c r="E98" s="48">
        <v>4.7505938242280287E-3</v>
      </c>
    </row>
    <row r="99" spans="2:5" ht="15" customHeight="1" x14ac:dyDescent="0.25">
      <c r="B99" s="89"/>
      <c r="C99" s="46" t="s">
        <v>28</v>
      </c>
      <c r="D99" s="47">
        <v>1</v>
      </c>
      <c r="E99" s="48">
        <v>2.3752969121140144E-3</v>
      </c>
    </row>
    <row r="100" spans="2:5" ht="15" customHeight="1" x14ac:dyDescent="0.25">
      <c r="B100" s="89"/>
      <c r="C100" s="46" t="s">
        <v>16</v>
      </c>
      <c r="D100" s="47">
        <v>10</v>
      </c>
      <c r="E100" s="48">
        <v>2.3752969121140142E-2</v>
      </c>
    </row>
    <row r="101" spans="2:5" ht="15" customHeight="1" x14ac:dyDescent="0.25">
      <c r="B101" s="89"/>
      <c r="C101" s="46" t="s">
        <v>26</v>
      </c>
      <c r="D101" s="47">
        <v>3</v>
      </c>
      <c r="E101" s="48">
        <v>7.1258907363420431E-3</v>
      </c>
    </row>
    <row r="102" spans="2:5" ht="15" customHeight="1" x14ac:dyDescent="0.25">
      <c r="B102" s="89"/>
      <c r="C102" s="46" t="s">
        <v>36</v>
      </c>
      <c r="D102" s="47">
        <v>1</v>
      </c>
      <c r="E102" s="48">
        <v>2.3752969121140144E-3</v>
      </c>
    </row>
    <row r="103" spans="2:5" ht="15" customHeight="1" x14ac:dyDescent="0.25">
      <c r="B103" s="89"/>
      <c r="C103" s="46" t="s">
        <v>30</v>
      </c>
      <c r="D103" s="47">
        <v>1</v>
      </c>
      <c r="E103" s="48">
        <v>2.3752969121140144E-3</v>
      </c>
    </row>
    <row r="104" spans="2:5" ht="15" customHeight="1" x14ac:dyDescent="0.25">
      <c r="B104" s="89"/>
      <c r="C104" s="46" t="s">
        <v>38</v>
      </c>
      <c r="D104" s="47">
        <v>1</v>
      </c>
      <c r="E104" s="48">
        <v>2.3752969121140144E-3</v>
      </c>
    </row>
    <row r="105" spans="2:5" ht="15" customHeight="1" x14ac:dyDescent="0.25">
      <c r="B105" s="90"/>
      <c r="C105" s="49" t="s">
        <v>54</v>
      </c>
      <c r="D105" s="50">
        <v>91</v>
      </c>
      <c r="E105" s="51">
        <v>0.2161520190023753</v>
      </c>
    </row>
    <row r="106" spans="2:5" ht="15" customHeight="1" x14ac:dyDescent="0.25">
      <c r="B106" s="88" t="s">
        <v>127</v>
      </c>
      <c r="C106" s="46" t="s">
        <v>15</v>
      </c>
      <c r="D106" s="47">
        <v>7</v>
      </c>
      <c r="E106" s="48">
        <v>1.66270783847981E-2</v>
      </c>
    </row>
    <row r="107" spans="2:5" ht="15" customHeight="1" x14ac:dyDescent="0.25">
      <c r="B107" s="89"/>
      <c r="C107" s="46" t="s">
        <v>24</v>
      </c>
      <c r="D107" s="47">
        <v>1</v>
      </c>
      <c r="E107" s="48">
        <v>2.3752969121140144E-3</v>
      </c>
    </row>
    <row r="108" spans="2:5" ht="15" customHeight="1" x14ac:dyDescent="0.25">
      <c r="B108" s="89"/>
      <c r="C108" s="46" t="s">
        <v>17</v>
      </c>
      <c r="D108" s="47">
        <v>1</v>
      </c>
      <c r="E108" s="48">
        <v>2.3752969121140144E-3</v>
      </c>
    </row>
    <row r="109" spans="2:5" ht="15" customHeight="1" x14ac:dyDescent="0.25">
      <c r="B109" s="90"/>
      <c r="C109" s="49" t="s">
        <v>54</v>
      </c>
      <c r="D109" s="50">
        <v>9</v>
      </c>
      <c r="E109" s="51">
        <v>2.1377672209026127E-2</v>
      </c>
    </row>
    <row r="110" spans="2:5" ht="15" customHeight="1" x14ac:dyDescent="0.25">
      <c r="B110" s="88" t="s">
        <v>128</v>
      </c>
      <c r="C110" s="46" t="s">
        <v>44</v>
      </c>
      <c r="D110" s="47">
        <v>1</v>
      </c>
      <c r="E110" s="48">
        <v>2.3752969121140144E-3</v>
      </c>
    </row>
    <row r="111" spans="2:5" ht="15" customHeight="1" x14ac:dyDescent="0.25">
      <c r="B111" s="89"/>
      <c r="C111" s="46" t="s">
        <v>34</v>
      </c>
      <c r="D111" s="47">
        <v>2</v>
      </c>
      <c r="E111" s="48">
        <v>4.7505938242280287E-3</v>
      </c>
    </row>
    <row r="112" spans="2:5" ht="15" customHeight="1" x14ac:dyDescent="0.25">
      <c r="B112" s="89"/>
      <c r="C112" s="46" t="s">
        <v>15</v>
      </c>
      <c r="D112" s="47">
        <v>25</v>
      </c>
      <c r="E112" s="48">
        <v>5.9382422802850353E-2</v>
      </c>
    </row>
    <row r="113" spans="2:5" ht="15" customHeight="1" x14ac:dyDescent="0.25">
      <c r="B113" s="89"/>
      <c r="C113" s="46" t="s">
        <v>48</v>
      </c>
      <c r="D113" s="47">
        <v>1</v>
      </c>
      <c r="E113" s="48">
        <v>2.3752969121140144E-3</v>
      </c>
    </row>
    <row r="114" spans="2:5" ht="15" customHeight="1" x14ac:dyDescent="0.25">
      <c r="B114" s="89"/>
      <c r="C114" s="46" t="s">
        <v>21</v>
      </c>
      <c r="D114" s="47">
        <v>1</v>
      </c>
      <c r="E114" s="48">
        <v>2.3752969121140144E-3</v>
      </c>
    </row>
    <row r="115" spans="2:5" ht="15" customHeight="1" x14ac:dyDescent="0.25">
      <c r="B115" s="89"/>
      <c r="C115" s="46" t="s">
        <v>20</v>
      </c>
      <c r="D115" s="47">
        <v>1</v>
      </c>
      <c r="E115" s="48">
        <v>2.3752969121140144E-3</v>
      </c>
    </row>
    <row r="116" spans="2:5" ht="15" customHeight="1" x14ac:dyDescent="0.25">
      <c r="B116" s="89"/>
      <c r="C116" s="46" t="s">
        <v>27</v>
      </c>
      <c r="D116" s="47">
        <v>1</v>
      </c>
      <c r="E116" s="48">
        <v>2.3752969121140144E-3</v>
      </c>
    </row>
    <row r="117" spans="2:5" ht="15" customHeight="1" x14ac:dyDescent="0.25">
      <c r="B117" s="89"/>
      <c r="C117" s="46" t="s">
        <v>22</v>
      </c>
      <c r="D117" s="47">
        <v>2</v>
      </c>
      <c r="E117" s="48">
        <v>4.7505938242280287E-3</v>
      </c>
    </row>
    <row r="118" spans="2:5" ht="15" customHeight="1" x14ac:dyDescent="0.25">
      <c r="B118" s="89"/>
      <c r="C118" s="46" t="s">
        <v>23</v>
      </c>
      <c r="D118" s="47">
        <v>2</v>
      </c>
      <c r="E118" s="48">
        <v>4.7505938242280287E-3</v>
      </c>
    </row>
    <row r="119" spans="2:5" ht="15" customHeight="1" x14ac:dyDescent="0.25">
      <c r="B119" s="89"/>
      <c r="C119" s="46" t="s">
        <v>41</v>
      </c>
      <c r="D119" s="47">
        <v>1</v>
      </c>
      <c r="E119" s="48">
        <v>2.3752969121140144E-3</v>
      </c>
    </row>
    <row r="120" spans="2:5" ht="15" customHeight="1" x14ac:dyDescent="0.25">
      <c r="B120" s="89"/>
      <c r="C120" s="46" t="s">
        <v>18</v>
      </c>
      <c r="D120" s="47">
        <v>1</v>
      </c>
      <c r="E120" s="48">
        <v>2.3752969121140144E-3</v>
      </c>
    </row>
    <row r="121" spans="2:5" ht="15" customHeight="1" x14ac:dyDescent="0.25">
      <c r="B121" s="89"/>
      <c r="C121" s="46" t="s">
        <v>37</v>
      </c>
      <c r="D121" s="47">
        <v>2</v>
      </c>
      <c r="E121" s="48">
        <v>4.7505938242280287E-3</v>
      </c>
    </row>
    <row r="122" spans="2:5" ht="15" customHeight="1" x14ac:dyDescent="0.25">
      <c r="B122" s="89"/>
      <c r="C122" s="46" t="s">
        <v>16</v>
      </c>
      <c r="D122" s="47">
        <v>4</v>
      </c>
      <c r="E122" s="48">
        <v>9.5011876484560574E-3</v>
      </c>
    </row>
    <row r="123" spans="2:5" ht="15" customHeight="1" x14ac:dyDescent="0.25">
      <c r="B123" s="89"/>
      <c r="C123" s="46" t="s">
        <v>26</v>
      </c>
      <c r="D123" s="47">
        <v>1</v>
      </c>
      <c r="E123" s="48">
        <v>2.3752969121140144E-3</v>
      </c>
    </row>
    <row r="124" spans="2:5" ht="15" customHeight="1" x14ac:dyDescent="0.25">
      <c r="B124" s="89"/>
      <c r="C124" s="46" t="s">
        <v>30</v>
      </c>
      <c r="D124" s="47">
        <v>2</v>
      </c>
      <c r="E124" s="48">
        <v>4.7505938242280287E-3</v>
      </c>
    </row>
    <row r="125" spans="2:5" ht="15" customHeight="1" x14ac:dyDescent="0.25">
      <c r="B125" s="90"/>
      <c r="C125" s="49" t="s">
        <v>54</v>
      </c>
      <c r="D125" s="50">
        <v>47</v>
      </c>
      <c r="E125" s="51">
        <v>0.11163895486935867</v>
      </c>
    </row>
    <row r="126" spans="2:5" ht="15" customHeight="1" x14ac:dyDescent="0.25">
      <c r="B126" s="88" t="s">
        <v>129</v>
      </c>
      <c r="C126" s="46" t="s">
        <v>44</v>
      </c>
      <c r="D126" s="47">
        <v>1</v>
      </c>
      <c r="E126" s="48">
        <v>2.3752969121140144E-3</v>
      </c>
    </row>
    <row r="127" spans="2:5" ht="15" customHeight="1" x14ac:dyDescent="0.25">
      <c r="B127" s="89"/>
      <c r="C127" s="46" t="s">
        <v>34</v>
      </c>
      <c r="D127" s="47">
        <v>1</v>
      </c>
      <c r="E127" s="48">
        <v>2.3752969121140144E-3</v>
      </c>
    </row>
    <row r="128" spans="2:5" ht="15" customHeight="1" x14ac:dyDescent="0.25">
      <c r="B128" s="89"/>
      <c r="C128" s="46" t="s">
        <v>25</v>
      </c>
      <c r="D128" s="47">
        <v>2</v>
      </c>
      <c r="E128" s="48">
        <v>4.7505938242280287E-3</v>
      </c>
    </row>
    <row r="129" spans="2:5" ht="15" customHeight="1" x14ac:dyDescent="0.25">
      <c r="B129" s="89"/>
      <c r="C129" s="46" t="s">
        <v>15</v>
      </c>
      <c r="D129" s="47">
        <v>59</v>
      </c>
      <c r="E129" s="48">
        <v>0.14014251781472684</v>
      </c>
    </row>
    <row r="130" spans="2:5" ht="15" customHeight="1" x14ac:dyDescent="0.25">
      <c r="B130" s="89"/>
      <c r="C130" s="46" t="s">
        <v>19</v>
      </c>
      <c r="D130" s="47">
        <v>1</v>
      </c>
      <c r="E130" s="48">
        <v>2.3752969121140144E-3</v>
      </c>
    </row>
    <row r="131" spans="2:5" ht="15" customHeight="1" x14ac:dyDescent="0.25">
      <c r="B131" s="89"/>
      <c r="C131" s="46" t="s">
        <v>21</v>
      </c>
      <c r="D131" s="47">
        <v>3</v>
      </c>
      <c r="E131" s="48">
        <v>7.1258907363420431E-3</v>
      </c>
    </row>
    <row r="132" spans="2:5" ht="15" customHeight="1" x14ac:dyDescent="0.25">
      <c r="B132" s="89"/>
      <c r="C132" s="46" t="s">
        <v>42</v>
      </c>
      <c r="D132" s="47">
        <v>1</v>
      </c>
      <c r="E132" s="48">
        <v>2.3752969121140144E-3</v>
      </c>
    </row>
    <row r="133" spans="2:5" ht="15" customHeight="1" x14ac:dyDescent="0.25">
      <c r="B133" s="89"/>
      <c r="C133" s="46" t="s">
        <v>17</v>
      </c>
      <c r="D133" s="47">
        <v>1</v>
      </c>
      <c r="E133" s="48">
        <v>2.3752969121140144E-3</v>
      </c>
    </row>
    <row r="134" spans="2:5" ht="15" customHeight="1" x14ac:dyDescent="0.25">
      <c r="B134" s="89"/>
      <c r="C134" s="46" t="s">
        <v>27</v>
      </c>
      <c r="D134" s="47">
        <v>1</v>
      </c>
      <c r="E134" s="48">
        <v>2.3752969121140144E-3</v>
      </c>
    </row>
    <row r="135" spans="2:5" ht="15" customHeight="1" x14ac:dyDescent="0.25">
      <c r="B135" s="89"/>
      <c r="C135" s="46" t="s">
        <v>43</v>
      </c>
      <c r="D135" s="47">
        <v>1</v>
      </c>
      <c r="E135" s="48">
        <v>2.3752969121140144E-3</v>
      </c>
    </row>
    <row r="136" spans="2:5" ht="15" customHeight="1" x14ac:dyDescent="0.25">
      <c r="B136" s="89"/>
      <c r="C136" s="46" t="s">
        <v>22</v>
      </c>
      <c r="D136" s="47">
        <v>10</v>
      </c>
      <c r="E136" s="48">
        <v>2.3752969121140142E-2</v>
      </c>
    </row>
    <row r="137" spans="2:5" ht="15" customHeight="1" x14ac:dyDescent="0.25">
      <c r="B137" s="89"/>
      <c r="C137" s="46" t="s">
        <v>29</v>
      </c>
      <c r="D137" s="47">
        <v>2</v>
      </c>
      <c r="E137" s="48">
        <v>4.7505938242280287E-3</v>
      </c>
    </row>
    <row r="138" spans="2:5" ht="15" customHeight="1" x14ac:dyDescent="0.25">
      <c r="B138" s="89"/>
      <c r="C138" s="46" t="s">
        <v>23</v>
      </c>
      <c r="D138" s="47">
        <v>4</v>
      </c>
      <c r="E138" s="48">
        <v>9.5011876484560574E-3</v>
      </c>
    </row>
    <row r="139" spans="2:5" ht="15" customHeight="1" x14ac:dyDescent="0.25">
      <c r="B139" s="89"/>
      <c r="C139" s="46" t="s">
        <v>41</v>
      </c>
      <c r="D139" s="47">
        <v>1</v>
      </c>
      <c r="E139" s="48">
        <v>2.3752969121140144E-3</v>
      </c>
    </row>
    <row r="140" spans="2:5" ht="15" customHeight="1" x14ac:dyDescent="0.25">
      <c r="B140" s="89"/>
      <c r="C140" s="46" t="s">
        <v>39</v>
      </c>
      <c r="D140" s="47">
        <v>1</v>
      </c>
      <c r="E140" s="48">
        <v>2.3752969121140144E-3</v>
      </c>
    </row>
    <row r="141" spans="2:5" ht="15" customHeight="1" x14ac:dyDescent="0.25">
      <c r="B141" s="89"/>
      <c r="C141" s="46" t="s">
        <v>47</v>
      </c>
      <c r="D141" s="47">
        <v>1</v>
      </c>
      <c r="E141" s="48">
        <v>2.3752969121140144E-3</v>
      </c>
    </row>
    <row r="142" spans="2:5" ht="15" customHeight="1" x14ac:dyDescent="0.25">
      <c r="B142" s="89"/>
      <c r="C142" s="46" t="s">
        <v>37</v>
      </c>
      <c r="D142" s="47">
        <v>2</v>
      </c>
      <c r="E142" s="48">
        <v>4.7505938242280287E-3</v>
      </c>
    </row>
    <row r="143" spans="2:5" ht="15" customHeight="1" x14ac:dyDescent="0.25">
      <c r="B143" s="89"/>
      <c r="C143" s="46" t="s">
        <v>28</v>
      </c>
      <c r="D143" s="47">
        <v>1</v>
      </c>
      <c r="E143" s="48">
        <v>2.3752969121140144E-3</v>
      </c>
    </row>
    <row r="144" spans="2:5" ht="15" customHeight="1" x14ac:dyDescent="0.25">
      <c r="B144" s="89"/>
      <c r="C144" s="46" t="s">
        <v>16</v>
      </c>
      <c r="D144" s="47">
        <v>6</v>
      </c>
      <c r="E144" s="48">
        <v>1.4251781472684086E-2</v>
      </c>
    </row>
    <row r="145" spans="2:5" ht="15" customHeight="1" x14ac:dyDescent="0.25">
      <c r="B145" s="89"/>
      <c r="C145" s="46" t="s">
        <v>26</v>
      </c>
      <c r="D145" s="47">
        <v>8</v>
      </c>
      <c r="E145" s="48">
        <v>1.9002375296912115E-2</v>
      </c>
    </row>
    <row r="146" spans="2:5" ht="15" customHeight="1" x14ac:dyDescent="0.25">
      <c r="B146" s="89"/>
      <c r="C146" s="46" t="s">
        <v>36</v>
      </c>
      <c r="D146" s="47">
        <v>3</v>
      </c>
      <c r="E146" s="48">
        <v>7.1258907363420431E-3</v>
      </c>
    </row>
    <row r="147" spans="2:5" ht="15" customHeight="1" x14ac:dyDescent="0.25">
      <c r="B147" s="89"/>
      <c r="C147" s="46" t="s">
        <v>30</v>
      </c>
      <c r="D147" s="47">
        <v>3</v>
      </c>
      <c r="E147" s="48">
        <v>7.1258907363420431E-3</v>
      </c>
    </row>
    <row r="148" spans="2:5" ht="15" customHeight="1" x14ac:dyDescent="0.25">
      <c r="B148" s="90"/>
      <c r="C148" s="49" t="s">
        <v>54</v>
      </c>
      <c r="D148" s="50">
        <v>113</v>
      </c>
      <c r="E148" s="51">
        <v>0.26840855106888362</v>
      </c>
    </row>
    <row r="149" spans="2:5" ht="15" customHeight="1" x14ac:dyDescent="0.25">
      <c r="B149" s="88" t="s">
        <v>131</v>
      </c>
      <c r="C149" s="46" t="s">
        <v>15</v>
      </c>
      <c r="D149" s="47">
        <v>1</v>
      </c>
      <c r="E149" s="48">
        <v>2.3752969121140144E-3</v>
      </c>
    </row>
    <row r="150" spans="2:5" ht="15" customHeight="1" x14ac:dyDescent="0.25">
      <c r="B150" s="90"/>
      <c r="C150" s="49" t="s">
        <v>54</v>
      </c>
      <c r="D150" s="50">
        <v>1</v>
      </c>
      <c r="E150" s="51">
        <v>2.3752969121140144E-3</v>
      </c>
    </row>
    <row r="151" spans="2:5" ht="15" customHeight="1" x14ac:dyDescent="0.25">
      <c r="B151" s="88" t="s">
        <v>132</v>
      </c>
      <c r="C151" s="46" t="s">
        <v>15</v>
      </c>
      <c r="D151" s="47">
        <v>3</v>
      </c>
      <c r="E151" s="48">
        <v>7.1258907363420431E-3</v>
      </c>
    </row>
    <row r="152" spans="2:5" ht="15" customHeight="1" x14ac:dyDescent="0.25">
      <c r="B152" s="89"/>
      <c r="C152" s="46" t="s">
        <v>17</v>
      </c>
      <c r="D152" s="47">
        <v>1</v>
      </c>
      <c r="E152" s="48">
        <v>2.3752969121140144E-3</v>
      </c>
    </row>
    <row r="153" spans="2:5" ht="15" customHeight="1" x14ac:dyDescent="0.25">
      <c r="B153" s="89"/>
      <c r="C153" s="46" t="s">
        <v>23</v>
      </c>
      <c r="D153" s="47">
        <v>1</v>
      </c>
      <c r="E153" s="48">
        <v>2.3752969121140144E-3</v>
      </c>
    </row>
    <row r="154" spans="2:5" ht="15" customHeight="1" x14ac:dyDescent="0.25">
      <c r="B154" s="90"/>
      <c r="C154" s="49" t="s">
        <v>54</v>
      </c>
      <c r="D154" s="50">
        <v>5</v>
      </c>
      <c r="E154" s="51">
        <v>1.1876484560570071E-2</v>
      </c>
    </row>
    <row r="155" spans="2:5" ht="15" customHeight="1" x14ac:dyDescent="0.25">
      <c r="B155" s="88" t="s">
        <v>134</v>
      </c>
      <c r="C155" s="46" t="s">
        <v>15</v>
      </c>
      <c r="D155" s="47">
        <v>5</v>
      </c>
      <c r="E155" s="48">
        <v>1.1876484560570071E-2</v>
      </c>
    </row>
    <row r="156" spans="2:5" ht="15" customHeight="1" x14ac:dyDescent="0.25">
      <c r="B156" s="89"/>
      <c r="C156" s="46" t="s">
        <v>19</v>
      </c>
      <c r="D156" s="47">
        <v>1</v>
      </c>
      <c r="E156" s="48">
        <v>2.3752969121140144E-3</v>
      </c>
    </row>
    <row r="157" spans="2:5" ht="15" customHeight="1" x14ac:dyDescent="0.25">
      <c r="B157" s="89"/>
      <c r="C157" s="46" t="s">
        <v>35</v>
      </c>
      <c r="D157" s="47">
        <v>1</v>
      </c>
      <c r="E157" s="48">
        <v>2.3752969121140144E-3</v>
      </c>
    </row>
    <row r="158" spans="2:5" ht="15" customHeight="1" x14ac:dyDescent="0.25">
      <c r="B158" s="89"/>
      <c r="C158" s="46" t="s">
        <v>23</v>
      </c>
      <c r="D158" s="47">
        <v>1</v>
      </c>
      <c r="E158" s="48">
        <v>2.3752969121140144E-3</v>
      </c>
    </row>
    <row r="159" spans="2:5" ht="15" customHeight="1" x14ac:dyDescent="0.25">
      <c r="B159" s="89"/>
      <c r="C159" s="46" t="s">
        <v>16</v>
      </c>
      <c r="D159" s="47">
        <v>2</v>
      </c>
      <c r="E159" s="48">
        <v>4.7505938242280287E-3</v>
      </c>
    </row>
    <row r="160" spans="2:5" ht="15" customHeight="1" x14ac:dyDescent="0.25">
      <c r="B160" s="89"/>
      <c r="C160" s="46" t="s">
        <v>30</v>
      </c>
      <c r="D160" s="47">
        <v>1</v>
      </c>
      <c r="E160" s="48">
        <v>2.3752969121140144E-3</v>
      </c>
    </row>
    <row r="161" spans="2:5" ht="15" customHeight="1" x14ac:dyDescent="0.25">
      <c r="B161" s="90"/>
      <c r="C161" s="49" t="s">
        <v>54</v>
      </c>
      <c r="D161" s="50">
        <v>11</v>
      </c>
      <c r="E161" s="51">
        <v>2.6128266033254157E-2</v>
      </c>
    </row>
    <row r="162" spans="2:5" ht="15" customHeight="1" x14ac:dyDescent="0.25">
      <c r="B162" s="88" t="s">
        <v>135</v>
      </c>
      <c r="C162" s="46" t="s">
        <v>34</v>
      </c>
      <c r="D162" s="47">
        <v>1</v>
      </c>
      <c r="E162" s="48">
        <v>2.3752969121140144E-3</v>
      </c>
    </row>
    <row r="163" spans="2:5" ht="15" customHeight="1" x14ac:dyDescent="0.25">
      <c r="B163" s="89"/>
      <c r="C163" s="46" t="s">
        <v>15</v>
      </c>
      <c r="D163" s="47">
        <v>8</v>
      </c>
      <c r="E163" s="48">
        <v>1.9002375296912115E-2</v>
      </c>
    </row>
    <row r="164" spans="2:5" ht="15" customHeight="1" x14ac:dyDescent="0.25">
      <c r="B164" s="89"/>
      <c r="C164" s="46" t="s">
        <v>17</v>
      </c>
      <c r="D164" s="47">
        <v>1</v>
      </c>
      <c r="E164" s="48">
        <v>2.3752969121140144E-3</v>
      </c>
    </row>
    <row r="165" spans="2:5" ht="15" customHeight="1" x14ac:dyDescent="0.25">
      <c r="B165" s="89"/>
      <c r="C165" s="46" t="s">
        <v>32</v>
      </c>
      <c r="D165" s="47">
        <v>1</v>
      </c>
      <c r="E165" s="48">
        <v>2.3752969121140144E-3</v>
      </c>
    </row>
    <row r="166" spans="2:5" ht="15" customHeight="1" x14ac:dyDescent="0.25">
      <c r="B166" s="89"/>
      <c r="C166" s="46" t="s">
        <v>29</v>
      </c>
      <c r="D166" s="47">
        <v>1</v>
      </c>
      <c r="E166" s="48">
        <v>2.3752969121140144E-3</v>
      </c>
    </row>
    <row r="167" spans="2:5" ht="15" customHeight="1" x14ac:dyDescent="0.25">
      <c r="B167" s="89"/>
      <c r="C167" s="46" t="s">
        <v>39</v>
      </c>
      <c r="D167" s="47">
        <v>3</v>
      </c>
      <c r="E167" s="48">
        <v>7.1258907363420431E-3</v>
      </c>
    </row>
    <row r="168" spans="2:5" ht="15" customHeight="1" x14ac:dyDescent="0.25">
      <c r="B168" s="89"/>
      <c r="C168" s="46" t="s">
        <v>16</v>
      </c>
      <c r="D168" s="47">
        <v>3</v>
      </c>
      <c r="E168" s="48">
        <v>7.1258907363420431E-3</v>
      </c>
    </row>
    <row r="169" spans="2:5" ht="15" customHeight="1" x14ac:dyDescent="0.25">
      <c r="B169" s="89"/>
      <c r="C169" s="46" t="s">
        <v>26</v>
      </c>
      <c r="D169" s="47">
        <v>1</v>
      </c>
      <c r="E169" s="48">
        <v>2.3752969121140144E-3</v>
      </c>
    </row>
    <row r="170" spans="2:5" ht="15" customHeight="1" x14ac:dyDescent="0.25">
      <c r="B170" s="90"/>
      <c r="C170" s="49" t="s">
        <v>54</v>
      </c>
      <c r="D170" s="50">
        <v>19</v>
      </c>
      <c r="E170" s="51">
        <v>4.5130641330166268E-2</v>
      </c>
    </row>
    <row r="171" spans="2:5" ht="15" customHeight="1" x14ac:dyDescent="0.25">
      <c r="B171" s="88" t="s">
        <v>136</v>
      </c>
      <c r="C171" s="46" t="s">
        <v>15</v>
      </c>
      <c r="D171" s="47">
        <v>1</v>
      </c>
      <c r="E171" s="48">
        <v>2.3752969121140144E-3</v>
      </c>
    </row>
    <row r="172" spans="2:5" ht="15" customHeight="1" x14ac:dyDescent="0.25">
      <c r="B172" s="89"/>
      <c r="C172" s="46" t="s">
        <v>48</v>
      </c>
      <c r="D172" s="47">
        <v>1</v>
      </c>
      <c r="E172" s="48">
        <v>2.3752969121140144E-3</v>
      </c>
    </row>
    <row r="173" spans="2:5" ht="15" customHeight="1" x14ac:dyDescent="0.25">
      <c r="B173" s="90"/>
      <c r="C173" s="49" t="s">
        <v>54</v>
      </c>
      <c r="D173" s="50">
        <v>2</v>
      </c>
      <c r="E173" s="51">
        <v>4.7505938242280287E-3</v>
      </c>
    </row>
    <row r="174" spans="2:5" ht="15" customHeight="1" x14ac:dyDescent="0.25">
      <c r="B174" s="92" t="s">
        <v>54</v>
      </c>
      <c r="C174" s="93"/>
      <c r="D174" s="52">
        <v>421</v>
      </c>
      <c r="E174" s="53">
        <v>1</v>
      </c>
    </row>
    <row r="176" spans="2:5" ht="15" customHeight="1" x14ac:dyDescent="0.25">
      <c r="B176" s="30" t="s">
        <v>55</v>
      </c>
    </row>
    <row r="177" spans="2:2" ht="15" customHeight="1" x14ac:dyDescent="0.25">
      <c r="B177" s="31" t="s">
        <v>56</v>
      </c>
    </row>
    <row r="178" spans="2:2" ht="15" customHeight="1" x14ac:dyDescent="0.25">
      <c r="B178" s="32" t="s">
        <v>57</v>
      </c>
    </row>
    <row r="179" spans="2:2" ht="15" customHeight="1" x14ac:dyDescent="0.25">
      <c r="B179" s="30" t="s">
        <v>58</v>
      </c>
    </row>
    <row r="180" spans="2:2" ht="15" customHeight="1" x14ac:dyDescent="0.25">
      <c r="B180" s="30" t="s">
        <v>59</v>
      </c>
    </row>
  </sheetData>
  <mergeCells count="23">
    <mergeCell ref="B151:B154"/>
    <mergeCell ref="B155:B161"/>
    <mergeCell ref="B162:B170"/>
    <mergeCell ref="B171:B173"/>
    <mergeCell ref="B174:C174"/>
    <mergeCell ref="B149:B150"/>
    <mergeCell ref="B27:B30"/>
    <mergeCell ref="B31:B34"/>
    <mergeCell ref="B35:B43"/>
    <mergeCell ref="B44:B58"/>
    <mergeCell ref="B59:B63"/>
    <mergeCell ref="B64:B69"/>
    <mergeCell ref="B70:B79"/>
    <mergeCell ref="B80:B105"/>
    <mergeCell ref="B106:B109"/>
    <mergeCell ref="B110:B125"/>
    <mergeCell ref="B126:B148"/>
    <mergeCell ref="B24:B26"/>
    <mergeCell ref="B7:E8"/>
    <mergeCell ref="B10:B12"/>
    <mergeCell ref="B13:B16"/>
    <mergeCell ref="B17:B19"/>
    <mergeCell ref="B20:B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43" max="4" man="1"/>
    <brk id="79" max="4" man="1"/>
    <brk id="109" max="4" man="1"/>
    <brk id="15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6"/>
  <sheetViews>
    <sheetView view="pageBreakPreview" zoomScale="85" zoomScaleNormal="145" zoomScaleSheetLayoutView="85" workbookViewId="0">
      <selection activeCell="G12" sqref="G12"/>
    </sheetView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32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60</v>
      </c>
      <c r="C9" s="43" t="s">
        <v>138</v>
      </c>
      <c r="D9" s="44" t="s">
        <v>13</v>
      </c>
      <c r="E9" s="42" t="s">
        <v>14</v>
      </c>
    </row>
    <row r="10" spans="1:5" s="40" customFormat="1" ht="15" customHeight="1" x14ac:dyDescent="0.25">
      <c r="A10" s="45"/>
      <c r="B10" s="88" t="s">
        <v>85</v>
      </c>
      <c r="C10" s="46" t="s">
        <v>121</v>
      </c>
      <c r="D10" s="47">
        <v>1</v>
      </c>
      <c r="E10" s="48">
        <v>2.3752969121140144E-3</v>
      </c>
    </row>
    <row r="11" spans="1:5" s="40" customFormat="1" ht="15" customHeight="1" x14ac:dyDescent="0.25">
      <c r="A11" s="45"/>
      <c r="B11" s="89"/>
      <c r="C11" s="46" t="s">
        <v>122</v>
      </c>
      <c r="D11" s="47">
        <v>1</v>
      </c>
      <c r="E11" s="48">
        <v>2.3752969121140144E-3</v>
      </c>
    </row>
    <row r="12" spans="1:5" ht="15" customHeight="1" x14ac:dyDescent="0.25">
      <c r="B12" s="89"/>
      <c r="C12" s="46" t="s">
        <v>125</v>
      </c>
      <c r="D12" s="47">
        <v>1</v>
      </c>
      <c r="E12" s="48">
        <v>2.3752969121140144E-3</v>
      </c>
    </row>
    <row r="13" spans="1:5" ht="15" customHeight="1" x14ac:dyDescent="0.25">
      <c r="B13" s="89"/>
      <c r="C13" s="46" t="s">
        <v>126</v>
      </c>
      <c r="D13" s="47">
        <v>2</v>
      </c>
      <c r="E13" s="48">
        <v>4.7505938242280287E-3</v>
      </c>
    </row>
    <row r="14" spans="1:5" ht="15" customHeight="1" x14ac:dyDescent="0.25">
      <c r="B14" s="89"/>
      <c r="C14" s="46" t="s">
        <v>129</v>
      </c>
      <c r="D14" s="47">
        <v>1</v>
      </c>
      <c r="E14" s="48">
        <v>2.3752969121140144E-3</v>
      </c>
    </row>
    <row r="15" spans="1:5" ht="15" customHeight="1" x14ac:dyDescent="0.25">
      <c r="B15" s="89"/>
      <c r="C15" s="46" t="s">
        <v>135</v>
      </c>
      <c r="D15" s="47">
        <v>1</v>
      </c>
      <c r="E15" s="48">
        <v>2.3752969121140144E-3</v>
      </c>
    </row>
    <row r="16" spans="1:5" ht="15" customHeight="1" x14ac:dyDescent="0.25">
      <c r="B16" s="90"/>
      <c r="C16" s="49" t="s">
        <v>54</v>
      </c>
      <c r="D16" s="50">
        <v>7</v>
      </c>
      <c r="E16" s="51">
        <v>1.66270783847981E-2</v>
      </c>
    </row>
    <row r="17" spans="2:5" ht="15" customHeight="1" x14ac:dyDescent="0.25">
      <c r="B17" s="88" t="s">
        <v>68</v>
      </c>
      <c r="C17" s="46" t="s">
        <v>121</v>
      </c>
      <c r="D17" s="47">
        <v>1</v>
      </c>
      <c r="E17" s="48">
        <v>2.3752969121140144E-3</v>
      </c>
    </row>
    <row r="18" spans="2:5" ht="15" customHeight="1" x14ac:dyDescent="0.25">
      <c r="B18" s="89"/>
      <c r="C18" s="46" t="s">
        <v>122</v>
      </c>
      <c r="D18" s="47">
        <v>2</v>
      </c>
      <c r="E18" s="48">
        <v>4.7505938242280287E-3</v>
      </c>
    </row>
    <row r="19" spans="2:5" ht="15" customHeight="1" x14ac:dyDescent="0.25">
      <c r="B19" s="89"/>
      <c r="C19" s="46" t="s">
        <v>123</v>
      </c>
      <c r="D19" s="47">
        <v>1</v>
      </c>
      <c r="E19" s="48">
        <v>2.3752969121140144E-3</v>
      </c>
    </row>
    <row r="20" spans="2:5" ht="15" customHeight="1" x14ac:dyDescent="0.25">
      <c r="B20" s="89"/>
      <c r="C20" s="46" t="s">
        <v>126</v>
      </c>
      <c r="D20" s="47">
        <v>2</v>
      </c>
      <c r="E20" s="48">
        <v>4.7505938242280287E-3</v>
      </c>
    </row>
    <row r="21" spans="2:5" ht="15" customHeight="1" x14ac:dyDescent="0.25">
      <c r="B21" s="89"/>
      <c r="C21" s="46" t="s">
        <v>127</v>
      </c>
      <c r="D21" s="47">
        <v>1</v>
      </c>
      <c r="E21" s="48">
        <v>2.3752969121140144E-3</v>
      </c>
    </row>
    <row r="22" spans="2:5" ht="15" customHeight="1" x14ac:dyDescent="0.25">
      <c r="B22" s="89"/>
      <c r="C22" s="46" t="s">
        <v>128</v>
      </c>
      <c r="D22" s="47">
        <v>1</v>
      </c>
      <c r="E22" s="48">
        <v>2.3752969121140144E-3</v>
      </c>
    </row>
    <row r="23" spans="2:5" ht="15" customHeight="1" x14ac:dyDescent="0.25">
      <c r="B23" s="89"/>
      <c r="C23" s="46" t="s">
        <v>129</v>
      </c>
      <c r="D23" s="47">
        <v>2</v>
      </c>
      <c r="E23" s="48">
        <v>4.7505938242280287E-3</v>
      </c>
    </row>
    <row r="24" spans="2:5" ht="15" customHeight="1" x14ac:dyDescent="0.25">
      <c r="B24" s="90"/>
      <c r="C24" s="49" t="s">
        <v>54</v>
      </c>
      <c r="D24" s="50">
        <v>10</v>
      </c>
      <c r="E24" s="51">
        <v>2.3752969121140142E-2</v>
      </c>
    </row>
    <row r="25" spans="2:5" ht="15" customHeight="1" x14ac:dyDescent="0.25">
      <c r="B25" s="88" t="s">
        <v>92</v>
      </c>
      <c r="C25" s="46" t="s">
        <v>129</v>
      </c>
      <c r="D25" s="47">
        <v>1</v>
      </c>
      <c r="E25" s="48">
        <v>2.3752969121140144E-3</v>
      </c>
    </row>
    <row r="26" spans="2:5" ht="15" customHeight="1" x14ac:dyDescent="0.25">
      <c r="B26" s="90"/>
      <c r="C26" s="49" t="s">
        <v>54</v>
      </c>
      <c r="D26" s="50">
        <v>1</v>
      </c>
      <c r="E26" s="51">
        <v>2.3752969121140144E-3</v>
      </c>
    </row>
    <row r="27" spans="2:5" ht="15" customHeight="1" x14ac:dyDescent="0.25">
      <c r="B27" s="88" t="s">
        <v>139</v>
      </c>
      <c r="C27" s="46" t="s">
        <v>121</v>
      </c>
      <c r="D27" s="47">
        <v>1</v>
      </c>
      <c r="E27" s="48">
        <v>2.3752969121140144E-3</v>
      </c>
    </row>
    <row r="28" spans="2:5" ht="15" customHeight="1" x14ac:dyDescent="0.25">
      <c r="B28" s="89"/>
      <c r="C28" s="46" t="s">
        <v>135</v>
      </c>
      <c r="D28" s="47">
        <v>1</v>
      </c>
      <c r="E28" s="48">
        <v>2.3752969121140144E-3</v>
      </c>
    </row>
    <row r="29" spans="2:5" ht="15" customHeight="1" x14ac:dyDescent="0.25">
      <c r="B29" s="90"/>
      <c r="C29" s="49" t="s">
        <v>54</v>
      </c>
      <c r="D29" s="50">
        <v>2</v>
      </c>
      <c r="E29" s="51">
        <v>4.7505938242280287E-3</v>
      </c>
    </row>
    <row r="30" spans="2:5" ht="15" customHeight="1" x14ac:dyDescent="0.25">
      <c r="B30" s="88" t="s">
        <v>61</v>
      </c>
      <c r="C30" s="46" t="s">
        <v>122</v>
      </c>
      <c r="D30" s="47">
        <v>3</v>
      </c>
      <c r="E30" s="48">
        <v>7.1258907363420431E-3</v>
      </c>
    </row>
    <row r="31" spans="2:5" ht="15" customHeight="1" x14ac:dyDescent="0.25">
      <c r="B31" s="89"/>
      <c r="C31" s="46" t="s">
        <v>125</v>
      </c>
      <c r="D31" s="47">
        <v>1</v>
      </c>
      <c r="E31" s="48">
        <v>2.3752969121140144E-3</v>
      </c>
    </row>
    <row r="32" spans="2:5" ht="15" customHeight="1" x14ac:dyDescent="0.25">
      <c r="B32" s="89"/>
      <c r="C32" s="46" t="s">
        <v>126</v>
      </c>
      <c r="D32" s="47">
        <v>11</v>
      </c>
      <c r="E32" s="48">
        <v>2.6128266033254157E-2</v>
      </c>
    </row>
    <row r="33" spans="2:5" ht="15" customHeight="1" x14ac:dyDescent="0.25">
      <c r="B33" s="89"/>
      <c r="C33" s="46" t="s">
        <v>127</v>
      </c>
      <c r="D33" s="47">
        <v>1</v>
      </c>
      <c r="E33" s="48">
        <v>2.3752969121140144E-3</v>
      </c>
    </row>
    <row r="34" spans="2:5" ht="15" customHeight="1" x14ac:dyDescent="0.25">
      <c r="B34" s="89"/>
      <c r="C34" s="46" t="s">
        <v>128</v>
      </c>
      <c r="D34" s="47">
        <v>1</v>
      </c>
      <c r="E34" s="48">
        <v>2.3752969121140144E-3</v>
      </c>
    </row>
    <row r="35" spans="2:5" ht="15" customHeight="1" x14ac:dyDescent="0.25">
      <c r="B35" s="89"/>
      <c r="C35" s="46" t="s">
        <v>129</v>
      </c>
      <c r="D35" s="47">
        <v>1</v>
      </c>
      <c r="E35" s="48">
        <v>2.3752969121140144E-3</v>
      </c>
    </row>
    <row r="36" spans="2:5" ht="15" customHeight="1" x14ac:dyDescent="0.25">
      <c r="B36" s="89"/>
      <c r="C36" s="46" t="s">
        <v>132</v>
      </c>
      <c r="D36" s="47">
        <v>1</v>
      </c>
      <c r="E36" s="48">
        <v>2.3752969121140144E-3</v>
      </c>
    </row>
    <row r="37" spans="2:5" ht="15" customHeight="1" x14ac:dyDescent="0.25">
      <c r="B37" s="89"/>
      <c r="C37" s="46" t="s">
        <v>135</v>
      </c>
      <c r="D37" s="47">
        <v>1</v>
      </c>
      <c r="E37" s="48">
        <v>2.3752969121140144E-3</v>
      </c>
    </row>
    <row r="38" spans="2:5" ht="15" customHeight="1" x14ac:dyDescent="0.25">
      <c r="B38" s="90"/>
      <c r="C38" s="49" t="s">
        <v>54</v>
      </c>
      <c r="D38" s="50">
        <v>20</v>
      </c>
      <c r="E38" s="51">
        <v>4.7505938242280284E-2</v>
      </c>
    </row>
    <row r="39" spans="2:5" ht="15" customHeight="1" x14ac:dyDescent="0.25">
      <c r="B39" s="88" t="s">
        <v>64</v>
      </c>
      <c r="C39" s="46" t="s">
        <v>122</v>
      </c>
      <c r="D39" s="47">
        <v>1</v>
      </c>
      <c r="E39" s="48">
        <v>2.3752969121140144E-3</v>
      </c>
    </row>
    <row r="40" spans="2:5" ht="15" customHeight="1" x14ac:dyDescent="0.25">
      <c r="B40" s="89"/>
      <c r="C40" s="46" t="s">
        <v>126</v>
      </c>
      <c r="D40" s="47">
        <v>4</v>
      </c>
      <c r="E40" s="48">
        <v>9.5011876484560574E-3</v>
      </c>
    </row>
    <row r="41" spans="2:5" ht="15" customHeight="1" x14ac:dyDescent="0.25">
      <c r="B41" s="89"/>
      <c r="C41" s="46" t="s">
        <v>128</v>
      </c>
      <c r="D41" s="47">
        <v>3</v>
      </c>
      <c r="E41" s="48">
        <v>7.1258907363420431E-3</v>
      </c>
    </row>
    <row r="42" spans="2:5" ht="15" customHeight="1" x14ac:dyDescent="0.25">
      <c r="B42" s="89"/>
      <c r="C42" s="46" t="s">
        <v>129</v>
      </c>
      <c r="D42" s="47">
        <v>3</v>
      </c>
      <c r="E42" s="48">
        <v>7.1258907363420431E-3</v>
      </c>
    </row>
    <row r="43" spans="2:5" ht="15" customHeight="1" x14ac:dyDescent="0.25">
      <c r="B43" s="89"/>
      <c r="C43" s="46" t="s">
        <v>134</v>
      </c>
      <c r="D43" s="47">
        <v>1</v>
      </c>
      <c r="E43" s="48">
        <v>2.3752969121140144E-3</v>
      </c>
    </row>
    <row r="44" spans="2:5" ht="15" customHeight="1" x14ac:dyDescent="0.25">
      <c r="B44" s="89"/>
      <c r="C44" s="46" t="s">
        <v>135</v>
      </c>
      <c r="D44" s="47">
        <v>2</v>
      </c>
      <c r="E44" s="48">
        <v>4.7505938242280287E-3</v>
      </c>
    </row>
    <row r="45" spans="2:5" ht="15" customHeight="1" x14ac:dyDescent="0.25">
      <c r="B45" s="90"/>
      <c r="C45" s="49" t="s">
        <v>54</v>
      </c>
      <c r="D45" s="50">
        <v>14</v>
      </c>
      <c r="E45" s="51">
        <v>3.3254156769596199E-2</v>
      </c>
    </row>
    <row r="46" spans="2:5" ht="15" customHeight="1" x14ac:dyDescent="0.25">
      <c r="B46" s="88" t="s">
        <v>65</v>
      </c>
      <c r="C46" s="46" t="s">
        <v>120</v>
      </c>
      <c r="D46" s="47">
        <v>1</v>
      </c>
      <c r="E46" s="48">
        <v>2.3752969121140144E-3</v>
      </c>
    </row>
    <row r="47" spans="2:5" ht="15" customHeight="1" x14ac:dyDescent="0.25">
      <c r="B47" s="89"/>
      <c r="C47" s="46" t="s">
        <v>121</v>
      </c>
      <c r="D47" s="47">
        <v>1</v>
      </c>
      <c r="E47" s="48">
        <v>2.3752969121140144E-3</v>
      </c>
    </row>
    <row r="48" spans="2:5" ht="15" customHeight="1" x14ac:dyDescent="0.25">
      <c r="B48" s="89"/>
      <c r="C48" s="46" t="s">
        <v>124</v>
      </c>
      <c r="D48" s="47">
        <v>1</v>
      </c>
      <c r="E48" s="48">
        <v>2.3752969121140144E-3</v>
      </c>
    </row>
    <row r="49" spans="2:5" ht="15" customHeight="1" x14ac:dyDescent="0.25">
      <c r="B49" s="89"/>
      <c r="C49" s="46" t="s">
        <v>126</v>
      </c>
      <c r="D49" s="47">
        <v>2</v>
      </c>
      <c r="E49" s="48">
        <v>4.7505938242280287E-3</v>
      </c>
    </row>
    <row r="50" spans="2:5" ht="15" customHeight="1" x14ac:dyDescent="0.25">
      <c r="B50" s="89"/>
      <c r="C50" s="46" t="s">
        <v>129</v>
      </c>
      <c r="D50" s="47">
        <v>1</v>
      </c>
      <c r="E50" s="48">
        <v>2.3752969121140144E-3</v>
      </c>
    </row>
    <row r="51" spans="2:5" ht="15" customHeight="1" x14ac:dyDescent="0.25">
      <c r="B51" s="89"/>
      <c r="C51" s="46" t="s">
        <v>134</v>
      </c>
      <c r="D51" s="47">
        <v>1</v>
      </c>
      <c r="E51" s="48">
        <v>2.3752969121140144E-3</v>
      </c>
    </row>
    <row r="52" spans="2:5" ht="15" customHeight="1" x14ac:dyDescent="0.25">
      <c r="B52" s="90"/>
      <c r="C52" s="49" t="s">
        <v>54</v>
      </c>
      <c r="D52" s="50">
        <v>7</v>
      </c>
      <c r="E52" s="51">
        <v>1.66270783847981E-2</v>
      </c>
    </row>
    <row r="53" spans="2:5" ht="15" customHeight="1" x14ac:dyDescent="0.25">
      <c r="B53" s="88" t="s">
        <v>86</v>
      </c>
      <c r="C53" s="46" t="s">
        <v>126</v>
      </c>
      <c r="D53" s="47">
        <v>1</v>
      </c>
      <c r="E53" s="48">
        <v>2.3752969121140144E-3</v>
      </c>
    </row>
    <row r="54" spans="2:5" ht="15" customHeight="1" x14ac:dyDescent="0.25">
      <c r="B54" s="90"/>
      <c r="C54" s="49" t="s">
        <v>54</v>
      </c>
      <c r="D54" s="50">
        <v>1</v>
      </c>
      <c r="E54" s="51">
        <v>2.3752969121140144E-3</v>
      </c>
    </row>
    <row r="55" spans="2:5" ht="15" customHeight="1" x14ac:dyDescent="0.25">
      <c r="B55" s="88" t="s">
        <v>93</v>
      </c>
      <c r="C55" s="46" t="s">
        <v>125</v>
      </c>
      <c r="D55" s="47">
        <v>1</v>
      </c>
      <c r="E55" s="48">
        <v>2.3752969121140144E-3</v>
      </c>
    </row>
    <row r="56" spans="2:5" ht="15" customHeight="1" x14ac:dyDescent="0.25">
      <c r="B56" s="89"/>
      <c r="C56" s="46" t="s">
        <v>129</v>
      </c>
      <c r="D56" s="47">
        <v>1</v>
      </c>
      <c r="E56" s="48">
        <v>2.3752969121140144E-3</v>
      </c>
    </row>
    <row r="57" spans="2:5" ht="15" customHeight="1" x14ac:dyDescent="0.25">
      <c r="B57" s="90"/>
      <c r="C57" s="49" t="s">
        <v>54</v>
      </c>
      <c r="D57" s="50">
        <v>2</v>
      </c>
      <c r="E57" s="51">
        <v>4.7505938242280287E-3</v>
      </c>
    </row>
    <row r="58" spans="2:5" ht="15" customHeight="1" x14ac:dyDescent="0.25">
      <c r="B58" s="88" t="s">
        <v>98</v>
      </c>
      <c r="C58" s="46" t="s">
        <v>119</v>
      </c>
      <c r="D58" s="47">
        <v>1</v>
      </c>
      <c r="E58" s="48">
        <v>2.3752969121140144E-3</v>
      </c>
    </row>
    <row r="59" spans="2:5" ht="15" customHeight="1" x14ac:dyDescent="0.25">
      <c r="B59" s="89"/>
      <c r="C59" s="46" t="s">
        <v>126</v>
      </c>
      <c r="D59" s="47">
        <v>2</v>
      </c>
      <c r="E59" s="48">
        <v>4.7505938242280287E-3</v>
      </c>
    </row>
    <row r="60" spans="2:5" ht="15" customHeight="1" x14ac:dyDescent="0.25">
      <c r="B60" s="89"/>
      <c r="C60" s="46" t="s">
        <v>129</v>
      </c>
      <c r="D60" s="47">
        <v>1</v>
      </c>
      <c r="E60" s="48">
        <v>2.3752969121140144E-3</v>
      </c>
    </row>
    <row r="61" spans="2:5" ht="15" customHeight="1" x14ac:dyDescent="0.25">
      <c r="B61" s="90"/>
      <c r="C61" s="49" t="s">
        <v>54</v>
      </c>
      <c r="D61" s="50">
        <v>4</v>
      </c>
      <c r="E61" s="51">
        <v>9.5011876484560574E-3</v>
      </c>
    </row>
    <row r="62" spans="2:5" ht="15" customHeight="1" x14ac:dyDescent="0.25">
      <c r="B62" s="88" t="s">
        <v>74</v>
      </c>
      <c r="C62" s="46" t="s">
        <v>115</v>
      </c>
      <c r="D62" s="47">
        <v>1</v>
      </c>
      <c r="E62" s="48">
        <v>2.3752969121140144E-3</v>
      </c>
    </row>
    <row r="63" spans="2:5" ht="15" customHeight="1" x14ac:dyDescent="0.25">
      <c r="B63" s="89"/>
      <c r="C63" s="46" t="s">
        <v>119</v>
      </c>
      <c r="D63" s="47">
        <v>1</v>
      </c>
      <c r="E63" s="48">
        <v>2.3752969121140144E-3</v>
      </c>
    </row>
    <row r="64" spans="2:5" ht="15" customHeight="1" x14ac:dyDescent="0.25">
      <c r="B64" s="89"/>
      <c r="C64" s="46" t="s">
        <v>120</v>
      </c>
      <c r="D64" s="47">
        <v>2</v>
      </c>
      <c r="E64" s="48">
        <v>4.7505938242280287E-3</v>
      </c>
    </row>
    <row r="65" spans="2:5" ht="15" customHeight="1" x14ac:dyDescent="0.25">
      <c r="B65" s="89"/>
      <c r="C65" s="46" t="s">
        <v>121</v>
      </c>
      <c r="D65" s="47">
        <v>2</v>
      </c>
      <c r="E65" s="48">
        <v>4.7505938242280287E-3</v>
      </c>
    </row>
    <row r="66" spans="2:5" ht="15" customHeight="1" x14ac:dyDescent="0.25">
      <c r="B66" s="89"/>
      <c r="C66" s="46" t="s">
        <v>122</v>
      </c>
      <c r="D66" s="47">
        <v>5</v>
      </c>
      <c r="E66" s="48">
        <v>1.1876484560570071E-2</v>
      </c>
    </row>
    <row r="67" spans="2:5" ht="15" customHeight="1" x14ac:dyDescent="0.25">
      <c r="B67" s="89"/>
      <c r="C67" s="46" t="s">
        <v>124</v>
      </c>
      <c r="D67" s="47">
        <v>1</v>
      </c>
      <c r="E67" s="48">
        <v>2.3752969121140144E-3</v>
      </c>
    </row>
    <row r="68" spans="2:5" ht="15" customHeight="1" x14ac:dyDescent="0.25">
      <c r="B68" s="89"/>
      <c r="C68" s="46" t="s">
        <v>125</v>
      </c>
      <c r="D68" s="47">
        <v>1</v>
      </c>
      <c r="E68" s="48">
        <v>2.3752969121140144E-3</v>
      </c>
    </row>
    <row r="69" spans="2:5" ht="15" customHeight="1" x14ac:dyDescent="0.25">
      <c r="B69" s="89"/>
      <c r="C69" s="46" t="s">
        <v>126</v>
      </c>
      <c r="D69" s="47">
        <v>6</v>
      </c>
      <c r="E69" s="48">
        <v>1.4251781472684086E-2</v>
      </c>
    </row>
    <row r="70" spans="2:5" ht="15" customHeight="1" x14ac:dyDescent="0.25">
      <c r="B70" s="89"/>
      <c r="C70" s="46" t="s">
        <v>127</v>
      </c>
      <c r="D70" s="47">
        <v>1</v>
      </c>
      <c r="E70" s="48">
        <v>2.3752969121140144E-3</v>
      </c>
    </row>
    <row r="71" spans="2:5" ht="15" customHeight="1" x14ac:dyDescent="0.25">
      <c r="B71" s="89"/>
      <c r="C71" s="46" t="s">
        <v>128</v>
      </c>
      <c r="D71" s="47">
        <v>4</v>
      </c>
      <c r="E71" s="48">
        <v>9.5011876484560574E-3</v>
      </c>
    </row>
    <row r="72" spans="2:5" ht="15" customHeight="1" x14ac:dyDescent="0.25">
      <c r="B72" s="89"/>
      <c r="C72" s="46" t="s">
        <v>129</v>
      </c>
      <c r="D72" s="47">
        <v>13</v>
      </c>
      <c r="E72" s="48">
        <v>3.0878859857482184E-2</v>
      </c>
    </row>
    <row r="73" spans="2:5" ht="15" customHeight="1" x14ac:dyDescent="0.25">
      <c r="B73" s="89"/>
      <c r="C73" s="46" t="s">
        <v>132</v>
      </c>
      <c r="D73" s="47">
        <v>1</v>
      </c>
      <c r="E73" s="48">
        <v>2.3752969121140144E-3</v>
      </c>
    </row>
    <row r="74" spans="2:5" ht="15" customHeight="1" x14ac:dyDescent="0.25">
      <c r="B74" s="89"/>
      <c r="C74" s="46" t="s">
        <v>135</v>
      </c>
      <c r="D74" s="47">
        <v>1</v>
      </c>
      <c r="E74" s="48">
        <v>2.3752969121140144E-3</v>
      </c>
    </row>
    <row r="75" spans="2:5" ht="15" customHeight="1" x14ac:dyDescent="0.25">
      <c r="B75" s="90"/>
      <c r="C75" s="49" t="s">
        <v>54</v>
      </c>
      <c r="D75" s="50">
        <v>39</v>
      </c>
      <c r="E75" s="51">
        <v>9.2636579572446559E-2</v>
      </c>
    </row>
    <row r="76" spans="2:5" ht="15" customHeight="1" x14ac:dyDescent="0.25">
      <c r="B76" s="88" t="s">
        <v>66</v>
      </c>
      <c r="C76" s="46" t="s">
        <v>121</v>
      </c>
      <c r="D76" s="47">
        <v>1</v>
      </c>
      <c r="E76" s="48">
        <v>2.3752969121140144E-3</v>
      </c>
    </row>
    <row r="77" spans="2:5" ht="15" customHeight="1" x14ac:dyDescent="0.25">
      <c r="B77" s="89"/>
      <c r="C77" s="46" t="s">
        <v>126</v>
      </c>
      <c r="D77" s="47">
        <v>5</v>
      </c>
      <c r="E77" s="48">
        <v>1.1876484560570071E-2</v>
      </c>
    </row>
    <row r="78" spans="2:5" ht="15" customHeight="1" x14ac:dyDescent="0.25">
      <c r="B78" s="89"/>
      <c r="C78" s="46" t="s">
        <v>129</v>
      </c>
      <c r="D78" s="47">
        <v>2</v>
      </c>
      <c r="E78" s="48">
        <v>4.7505938242280287E-3</v>
      </c>
    </row>
    <row r="79" spans="2:5" ht="15" customHeight="1" x14ac:dyDescent="0.25">
      <c r="B79" s="90"/>
      <c r="C79" s="49" t="s">
        <v>54</v>
      </c>
      <c r="D79" s="50">
        <v>8</v>
      </c>
      <c r="E79" s="51">
        <v>1.9002375296912115E-2</v>
      </c>
    </row>
    <row r="80" spans="2:5" ht="15" customHeight="1" x14ac:dyDescent="0.25">
      <c r="B80" s="88" t="s">
        <v>141</v>
      </c>
      <c r="C80" s="46" t="s">
        <v>126</v>
      </c>
      <c r="D80" s="47">
        <v>1</v>
      </c>
      <c r="E80" s="48">
        <v>2.3752969121140144E-3</v>
      </c>
    </row>
    <row r="81" spans="2:5" ht="15" customHeight="1" x14ac:dyDescent="0.25">
      <c r="B81" s="89"/>
      <c r="C81" s="46" t="s">
        <v>128</v>
      </c>
      <c r="D81" s="47">
        <v>1</v>
      </c>
      <c r="E81" s="48">
        <v>2.3752969121140144E-3</v>
      </c>
    </row>
    <row r="82" spans="2:5" ht="15" customHeight="1" x14ac:dyDescent="0.25">
      <c r="B82" s="89"/>
      <c r="C82" s="46" t="s">
        <v>129</v>
      </c>
      <c r="D82" s="47">
        <v>1</v>
      </c>
      <c r="E82" s="48">
        <v>2.3752969121140144E-3</v>
      </c>
    </row>
    <row r="83" spans="2:5" ht="15" customHeight="1" x14ac:dyDescent="0.25">
      <c r="B83" s="90"/>
      <c r="C83" s="49" t="s">
        <v>54</v>
      </c>
      <c r="D83" s="50">
        <v>3</v>
      </c>
      <c r="E83" s="51">
        <v>7.1258907363420431E-3</v>
      </c>
    </row>
    <row r="84" spans="2:5" ht="15" customHeight="1" x14ac:dyDescent="0.25">
      <c r="B84" s="88" t="s">
        <v>70</v>
      </c>
      <c r="C84" s="46" t="s">
        <v>140</v>
      </c>
      <c r="D84" s="47">
        <v>1</v>
      </c>
      <c r="E84" s="48">
        <v>2.3752969121140144E-3</v>
      </c>
    </row>
    <row r="85" spans="2:5" ht="15" customHeight="1" x14ac:dyDescent="0.25">
      <c r="B85" s="89"/>
      <c r="C85" s="46" t="s">
        <v>126</v>
      </c>
      <c r="D85" s="47">
        <v>1</v>
      </c>
      <c r="E85" s="48">
        <v>2.3752969121140144E-3</v>
      </c>
    </row>
    <row r="86" spans="2:5" ht="15" customHeight="1" x14ac:dyDescent="0.25">
      <c r="B86" s="89"/>
      <c r="C86" s="46" t="s">
        <v>128</v>
      </c>
      <c r="D86" s="47">
        <v>1</v>
      </c>
      <c r="E86" s="48">
        <v>2.3752969121140144E-3</v>
      </c>
    </row>
    <row r="87" spans="2:5" ht="15" customHeight="1" x14ac:dyDescent="0.25">
      <c r="B87" s="89"/>
      <c r="C87" s="46" t="s">
        <v>129</v>
      </c>
      <c r="D87" s="47">
        <v>1</v>
      </c>
      <c r="E87" s="48">
        <v>2.3752969121140144E-3</v>
      </c>
    </row>
    <row r="88" spans="2:5" ht="15" customHeight="1" x14ac:dyDescent="0.25">
      <c r="B88" s="90"/>
      <c r="C88" s="49" t="s">
        <v>54</v>
      </c>
      <c r="D88" s="50">
        <v>4</v>
      </c>
      <c r="E88" s="51">
        <v>9.5011876484560574E-3</v>
      </c>
    </row>
    <row r="89" spans="2:5" ht="15" customHeight="1" x14ac:dyDescent="0.25">
      <c r="B89" s="88" t="s">
        <v>99</v>
      </c>
      <c r="C89" s="46" t="s">
        <v>128</v>
      </c>
      <c r="D89" s="47">
        <v>1</v>
      </c>
      <c r="E89" s="48">
        <v>2.3752969121140144E-3</v>
      </c>
    </row>
    <row r="90" spans="2:5" ht="15" customHeight="1" x14ac:dyDescent="0.25">
      <c r="B90" s="89"/>
      <c r="C90" s="46" t="s">
        <v>134</v>
      </c>
      <c r="D90" s="47">
        <v>1</v>
      </c>
      <c r="E90" s="48">
        <v>2.3752969121140144E-3</v>
      </c>
    </row>
    <row r="91" spans="2:5" ht="15" customHeight="1" x14ac:dyDescent="0.25">
      <c r="B91" s="89"/>
      <c r="C91" s="46" t="s">
        <v>135</v>
      </c>
      <c r="D91" s="47">
        <v>1</v>
      </c>
      <c r="E91" s="48">
        <v>2.3752969121140144E-3</v>
      </c>
    </row>
    <row r="92" spans="2:5" ht="15" customHeight="1" x14ac:dyDescent="0.25">
      <c r="B92" s="90"/>
      <c r="C92" s="49" t="s">
        <v>54</v>
      </c>
      <c r="D92" s="50">
        <v>3</v>
      </c>
      <c r="E92" s="51">
        <v>7.1258907363420431E-3</v>
      </c>
    </row>
    <row r="93" spans="2:5" ht="15" customHeight="1" x14ac:dyDescent="0.25">
      <c r="B93" s="88" t="s">
        <v>72</v>
      </c>
      <c r="C93" s="46" t="s">
        <v>122</v>
      </c>
      <c r="D93" s="47">
        <v>1</v>
      </c>
      <c r="E93" s="48">
        <v>2.3752969121140144E-3</v>
      </c>
    </row>
    <row r="94" spans="2:5" ht="15" customHeight="1" x14ac:dyDescent="0.25">
      <c r="B94" s="89"/>
      <c r="C94" s="46" t="s">
        <v>125</v>
      </c>
      <c r="D94" s="47">
        <v>1</v>
      </c>
      <c r="E94" s="48">
        <v>2.3752969121140144E-3</v>
      </c>
    </row>
    <row r="95" spans="2:5" ht="15" customHeight="1" x14ac:dyDescent="0.25">
      <c r="B95" s="89"/>
      <c r="C95" s="46" t="s">
        <v>126</v>
      </c>
      <c r="D95" s="47">
        <v>4</v>
      </c>
      <c r="E95" s="48">
        <v>9.5011876484560574E-3</v>
      </c>
    </row>
    <row r="96" spans="2:5" ht="15" customHeight="1" x14ac:dyDescent="0.25">
      <c r="B96" s="89"/>
      <c r="C96" s="46" t="s">
        <v>128</v>
      </c>
      <c r="D96" s="47">
        <v>2</v>
      </c>
      <c r="E96" s="48">
        <v>4.7505938242280287E-3</v>
      </c>
    </row>
    <row r="97" spans="2:5" ht="15" customHeight="1" x14ac:dyDescent="0.25">
      <c r="B97" s="89"/>
      <c r="C97" s="46" t="s">
        <v>129</v>
      </c>
      <c r="D97" s="47">
        <v>10</v>
      </c>
      <c r="E97" s="48">
        <v>2.3752969121140142E-2</v>
      </c>
    </row>
    <row r="98" spans="2:5" ht="15" customHeight="1" x14ac:dyDescent="0.25">
      <c r="B98" s="90"/>
      <c r="C98" s="49" t="s">
        <v>54</v>
      </c>
      <c r="D98" s="50">
        <v>18</v>
      </c>
      <c r="E98" s="51">
        <v>4.2755344418052253E-2</v>
      </c>
    </row>
    <row r="99" spans="2:5" ht="15" customHeight="1" x14ac:dyDescent="0.25">
      <c r="B99" s="88" t="s">
        <v>62</v>
      </c>
      <c r="C99" s="46" t="s">
        <v>122</v>
      </c>
      <c r="D99" s="47">
        <v>1</v>
      </c>
      <c r="E99" s="48">
        <v>2.3752969121140144E-3</v>
      </c>
    </row>
    <row r="100" spans="2:5" ht="15" customHeight="1" x14ac:dyDescent="0.25">
      <c r="B100" s="89"/>
      <c r="C100" s="46" t="s">
        <v>125</v>
      </c>
      <c r="D100" s="47">
        <v>1</v>
      </c>
      <c r="E100" s="48">
        <v>2.3752969121140144E-3</v>
      </c>
    </row>
    <row r="101" spans="2:5" ht="15" customHeight="1" x14ac:dyDescent="0.25">
      <c r="B101" s="89"/>
      <c r="C101" s="46" t="s">
        <v>126</v>
      </c>
      <c r="D101" s="47">
        <v>2</v>
      </c>
      <c r="E101" s="48">
        <v>4.7505938242280287E-3</v>
      </c>
    </row>
    <row r="102" spans="2:5" ht="15" customHeight="1" x14ac:dyDescent="0.25">
      <c r="B102" s="89"/>
      <c r="C102" s="46" t="s">
        <v>128</v>
      </c>
      <c r="D102" s="47">
        <v>1</v>
      </c>
      <c r="E102" s="48">
        <v>2.3752969121140144E-3</v>
      </c>
    </row>
    <row r="103" spans="2:5" ht="15" customHeight="1" x14ac:dyDescent="0.25">
      <c r="B103" s="89"/>
      <c r="C103" s="46" t="s">
        <v>129</v>
      </c>
      <c r="D103" s="47">
        <v>2</v>
      </c>
      <c r="E103" s="48">
        <v>4.7505938242280287E-3</v>
      </c>
    </row>
    <row r="104" spans="2:5" ht="15" customHeight="1" x14ac:dyDescent="0.25">
      <c r="B104" s="90"/>
      <c r="C104" s="49" t="s">
        <v>54</v>
      </c>
      <c r="D104" s="50">
        <v>7</v>
      </c>
      <c r="E104" s="51">
        <v>1.66270783847981E-2</v>
      </c>
    </row>
    <row r="105" spans="2:5" ht="15" customHeight="1" x14ac:dyDescent="0.25">
      <c r="B105" s="88" t="s">
        <v>142</v>
      </c>
      <c r="C105" s="46" t="s">
        <v>140</v>
      </c>
      <c r="D105" s="47">
        <v>1</v>
      </c>
      <c r="E105" s="48">
        <v>2.3752969121140144E-3</v>
      </c>
    </row>
    <row r="106" spans="2:5" ht="15" customHeight="1" x14ac:dyDescent="0.25">
      <c r="B106" s="89"/>
      <c r="C106" s="46" t="s">
        <v>115</v>
      </c>
      <c r="D106" s="47">
        <v>2</v>
      </c>
      <c r="E106" s="48">
        <v>4.7505938242280287E-3</v>
      </c>
    </row>
    <row r="107" spans="2:5" ht="15" customHeight="1" x14ac:dyDescent="0.25">
      <c r="B107" s="89"/>
      <c r="C107" s="46" t="s">
        <v>118</v>
      </c>
      <c r="D107" s="47">
        <v>1</v>
      </c>
      <c r="E107" s="48">
        <v>2.3752969121140144E-3</v>
      </c>
    </row>
    <row r="108" spans="2:5" ht="15" customHeight="1" x14ac:dyDescent="0.25">
      <c r="B108" s="89"/>
      <c r="C108" s="46" t="s">
        <v>120</v>
      </c>
      <c r="D108" s="47">
        <v>2</v>
      </c>
      <c r="E108" s="48">
        <v>4.7505938242280287E-3</v>
      </c>
    </row>
    <row r="109" spans="2:5" ht="15" customHeight="1" x14ac:dyDescent="0.25">
      <c r="B109" s="89"/>
      <c r="C109" s="46" t="s">
        <v>121</v>
      </c>
      <c r="D109" s="47">
        <v>4</v>
      </c>
      <c r="E109" s="48">
        <v>9.5011876484560574E-3</v>
      </c>
    </row>
    <row r="110" spans="2:5" ht="15" customHeight="1" x14ac:dyDescent="0.25">
      <c r="B110" s="89"/>
      <c r="C110" s="46" t="s">
        <v>122</v>
      </c>
      <c r="D110" s="47">
        <v>6</v>
      </c>
      <c r="E110" s="48">
        <v>1.4251781472684086E-2</v>
      </c>
    </row>
    <row r="111" spans="2:5" ht="15" customHeight="1" x14ac:dyDescent="0.25">
      <c r="B111" s="89"/>
      <c r="C111" s="46" t="s">
        <v>123</v>
      </c>
      <c r="D111" s="47">
        <v>2</v>
      </c>
      <c r="E111" s="48">
        <v>4.7505938242280287E-3</v>
      </c>
    </row>
    <row r="112" spans="2:5" ht="15" customHeight="1" x14ac:dyDescent="0.25">
      <c r="B112" s="89"/>
      <c r="C112" s="46" t="s">
        <v>124</v>
      </c>
      <c r="D112" s="47">
        <v>2</v>
      </c>
      <c r="E112" s="48">
        <v>4.7505938242280287E-3</v>
      </c>
    </row>
    <row r="113" spans="2:5" ht="15" customHeight="1" x14ac:dyDescent="0.25">
      <c r="B113" s="89"/>
      <c r="C113" s="46" t="s">
        <v>126</v>
      </c>
      <c r="D113" s="47">
        <v>13</v>
      </c>
      <c r="E113" s="48">
        <v>3.0878859857482184E-2</v>
      </c>
    </row>
    <row r="114" spans="2:5" ht="15" customHeight="1" x14ac:dyDescent="0.25">
      <c r="B114" s="89"/>
      <c r="C114" s="46" t="s">
        <v>128</v>
      </c>
      <c r="D114" s="47">
        <v>9</v>
      </c>
      <c r="E114" s="48">
        <v>2.1377672209026127E-2</v>
      </c>
    </row>
    <row r="115" spans="2:5" ht="15" customHeight="1" x14ac:dyDescent="0.25">
      <c r="B115" s="89"/>
      <c r="C115" s="46" t="s">
        <v>129</v>
      </c>
      <c r="D115" s="47">
        <v>14</v>
      </c>
      <c r="E115" s="48">
        <v>3.3254156769596199E-2</v>
      </c>
    </row>
    <row r="116" spans="2:5" ht="15" customHeight="1" x14ac:dyDescent="0.25">
      <c r="B116" s="89"/>
      <c r="C116" s="46" t="s">
        <v>132</v>
      </c>
      <c r="D116" s="47">
        <v>1</v>
      </c>
      <c r="E116" s="48">
        <v>2.3752969121140144E-3</v>
      </c>
    </row>
    <row r="117" spans="2:5" ht="15" customHeight="1" x14ac:dyDescent="0.25">
      <c r="B117" s="89"/>
      <c r="C117" s="46" t="s">
        <v>134</v>
      </c>
      <c r="D117" s="47">
        <v>1</v>
      </c>
      <c r="E117" s="48">
        <v>2.3752969121140144E-3</v>
      </c>
    </row>
    <row r="118" spans="2:5" ht="15" customHeight="1" x14ac:dyDescent="0.25">
      <c r="B118" s="89"/>
      <c r="C118" s="46" t="s">
        <v>135</v>
      </c>
      <c r="D118" s="47">
        <v>2</v>
      </c>
      <c r="E118" s="48">
        <v>4.7505938242280287E-3</v>
      </c>
    </row>
    <row r="119" spans="2:5" ht="15" customHeight="1" x14ac:dyDescent="0.25">
      <c r="B119" s="90"/>
      <c r="C119" s="49" t="s">
        <v>54</v>
      </c>
      <c r="D119" s="50">
        <v>60</v>
      </c>
      <c r="E119" s="51">
        <v>0.14251781472684086</v>
      </c>
    </row>
    <row r="120" spans="2:5" ht="15" customHeight="1" x14ac:dyDescent="0.25">
      <c r="B120" s="88" t="s">
        <v>143</v>
      </c>
      <c r="C120" s="46" t="s">
        <v>126</v>
      </c>
      <c r="D120" s="47">
        <v>1</v>
      </c>
      <c r="E120" s="48">
        <v>2.3752969121140144E-3</v>
      </c>
    </row>
    <row r="121" spans="2:5" ht="15" customHeight="1" x14ac:dyDescent="0.25">
      <c r="B121" s="89"/>
      <c r="C121" s="46" t="s">
        <v>129</v>
      </c>
      <c r="D121" s="47">
        <v>1</v>
      </c>
      <c r="E121" s="48">
        <v>2.3752969121140144E-3</v>
      </c>
    </row>
    <row r="122" spans="2:5" ht="15" customHeight="1" x14ac:dyDescent="0.25">
      <c r="B122" s="90"/>
      <c r="C122" s="49" t="s">
        <v>54</v>
      </c>
      <c r="D122" s="50">
        <v>2</v>
      </c>
      <c r="E122" s="51">
        <v>4.7505938242280287E-3</v>
      </c>
    </row>
    <row r="123" spans="2:5" ht="15" customHeight="1" x14ac:dyDescent="0.25">
      <c r="B123" s="88" t="s">
        <v>87</v>
      </c>
      <c r="C123" s="46" t="s">
        <v>122</v>
      </c>
      <c r="D123" s="47">
        <v>1</v>
      </c>
      <c r="E123" s="48">
        <v>2.3752969121140144E-3</v>
      </c>
    </row>
    <row r="124" spans="2:5" ht="15" customHeight="1" x14ac:dyDescent="0.25">
      <c r="B124" s="89"/>
      <c r="C124" s="46" t="s">
        <v>129</v>
      </c>
      <c r="D124" s="47">
        <v>2</v>
      </c>
      <c r="E124" s="48">
        <v>4.7505938242280287E-3</v>
      </c>
    </row>
    <row r="125" spans="2:5" ht="15" customHeight="1" x14ac:dyDescent="0.25">
      <c r="B125" s="90"/>
      <c r="C125" s="49" t="s">
        <v>54</v>
      </c>
      <c r="D125" s="50">
        <v>3</v>
      </c>
      <c r="E125" s="51">
        <v>7.1258907363420431E-3</v>
      </c>
    </row>
    <row r="126" spans="2:5" ht="15" customHeight="1" x14ac:dyDescent="0.25">
      <c r="B126" s="88" t="s">
        <v>90</v>
      </c>
      <c r="C126" s="46" t="s">
        <v>126</v>
      </c>
      <c r="D126" s="47">
        <v>1</v>
      </c>
      <c r="E126" s="48">
        <v>2.3752969121140144E-3</v>
      </c>
    </row>
    <row r="127" spans="2:5" ht="15" customHeight="1" x14ac:dyDescent="0.25">
      <c r="B127" s="90"/>
      <c r="C127" s="49" t="s">
        <v>54</v>
      </c>
      <c r="D127" s="50">
        <v>1</v>
      </c>
      <c r="E127" s="51">
        <v>2.3752969121140144E-3</v>
      </c>
    </row>
    <row r="128" spans="2:5" ht="15" customHeight="1" x14ac:dyDescent="0.25">
      <c r="B128" s="88" t="s">
        <v>97</v>
      </c>
      <c r="C128" s="46" t="s">
        <v>123</v>
      </c>
      <c r="D128" s="47">
        <v>1</v>
      </c>
      <c r="E128" s="48">
        <v>2.3752969121140144E-3</v>
      </c>
    </row>
    <row r="129" spans="2:5" ht="15" customHeight="1" x14ac:dyDescent="0.25">
      <c r="B129" s="89"/>
      <c r="C129" s="46" t="s">
        <v>126</v>
      </c>
      <c r="D129" s="47">
        <v>1</v>
      </c>
      <c r="E129" s="48">
        <v>2.3752969121140144E-3</v>
      </c>
    </row>
    <row r="130" spans="2:5" ht="15" customHeight="1" x14ac:dyDescent="0.25">
      <c r="B130" s="89"/>
      <c r="C130" s="46" t="s">
        <v>128</v>
      </c>
      <c r="D130" s="47">
        <v>1</v>
      </c>
      <c r="E130" s="48">
        <v>2.3752969121140144E-3</v>
      </c>
    </row>
    <row r="131" spans="2:5" ht="15" customHeight="1" x14ac:dyDescent="0.25">
      <c r="B131" s="89"/>
      <c r="C131" s="46" t="s">
        <v>136</v>
      </c>
      <c r="D131" s="47">
        <v>1</v>
      </c>
      <c r="E131" s="48">
        <v>2.3752969121140144E-3</v>
      </c>
    </row>
    <row r="132" spans="2:5" ht="15" customHeight="1" x14ac:dyDescent="0.25">
      <c r="B132" s="90"/>
      <c r="C132" s="49" t="s">
        <v>54</v>
      </c>
      <c r="D132" s="50">
        <v>4</v>
      </c>
      <c r="E132" s="51">
        <v>9.5011876484560574E-3</v>
      </c>
    </row>
    <row r="133" spans="2:5" ht="15" customHeight="1" x14ac:dyDescent="0.25">
      <c r="B133" s="88" t="s">
        <v>78</v>
      </c>
      <c r="C133" s="46" t="s">
        <v>117</v>
      </c>
      <c r="D133" s="47">
        <v>1</v>
      </c>
      <c r="E133" s="48">
        <v>2.3752969121140144E-3</v>
      </c>
    </row>
    <row r="134" spans="2:5" ht="15" customHeight="1" x14ac:dyDescent="0.25">
      <c r="B134" s="89"/>
      <c r="C134" s="46" t="s">
        <v>121</v>
      </c>
      <c r="D134" s="47">
        <v>1</v>
      </c>
      <c r="E134" s="48">
        <v>2.3752969121140144E-3</v>
      </c>
    </row>
    <row r="135" spans="2:5" ht="15" customHeight="1" x14ac:dyDescent="0.25">
      <c r="B135" s="89"/>
      <c r="C135" s="46" t="s">
        <v>126</v>
      </c>
      <c r="D135" s="47">
        <v>1</v>
      </c>
      <c r="E135" s="48">
        <v>2.3752969121140144E-3</v>
      </c>
    </row>
    <row r="136" spans="2:5" ht="15" customHeight="1" x14ac:dyDescent="0.25">
      <c r="B136" s="89"/>
      <c r="C136" s="46" t="s">
        <v>134</v>
      </c>
      <c r="D136" s="47">
        <v>1</v>
      </c>
      <c r="E136" s="48">
        <v>2.3752969121140144E-3</v>
      </c>
    </row>
    <row r="137" spans="2:5" ht="15" customHeight="1" x14ac:dyDescent="0.25">
      <c r="B137" s="89"/>
      <c r="C137" s="46" t="s">
        <v>135</v>
      </c>
      <c r="D137" s="47">
        <v>1</v>
      </c>
      <c r="E137" s="48">
        <v>2.3752969121140144E-3</v>
      </c>
    </row>
    <row r="138" spans="2:5" ht="15" customHeight="1" x14ac:dyDescent="0.25">
      <c r="B138" s="90"/>
      <c r="C138" s="49" t="s">
        <v>54</v>
      </c>
      <c r="D138" s="50">
        <v>5</v>
      </c>
      <c r="E138" s="51">
        <v>1.1876484560570071E-2</v>
      </c>
    </row>
    <row r="139" spans="2:5" ht="15" customHeight="1" x14ac:dyDescent="0.25">
      <c r="B139" s="88" t="s">
        <v>77</v>
      </c>
      <c r="C139" s="46" t="s">
        <v>115</v>
      </c>
      <c r="D139" s="47">
        <v>1</v>
      </c>
      <c r="E139" s="48">
        <v>2.3752969121140144E-3</v>
      </c>
    </row>
    <row r="140" spans="2:5" ht="15" customHeight="1" x14ac:dyDescent="0.25">
      <c r="B140" s="89"/>
      <c r="C140" s="46" t="s">
        <v>117</v>
      </c>
      <c r="D140" s="47">
        <v>1</v>
      </c>
      <c r="E140" s="48">
        <v>2.3752969121140144E-3</v>
      </c>
    </row>
    <row r="141" spans="2:5" ht="15" customHeight="1" x14ac:dyDescent="0.25">
      <c r="B141" s="89"/>
      <c r="C141" s="46" t="s">
        <v>119</v>
      </c>
      <c r="D141" s="47">
        <v>1</v>
      </c>
      <c r="E141" s="48">
        <v>2.3752969121140144E-3</v>
      </c>
    </row>
    <row r="142" spans="2:5" ht="15" customHeight="1" x14ac:dyDescent="0.25">
      <c r="B142" s="89"/>
      <c r="C142" s="46" t="s">
        <v>121</v>
      </c>
      <c r="D142" s="47">
        <v>1</v>
      </c>
      <c r="E142" s="48">
        <v>2.3752969121140144E-3</v>
      </c>
    </row>
    <row r="143" spans="2:5" ht="15" customHeight="1" x14ac:dyDescent="0.25">
      <c r="B143" s="89"/>
      <c r="C143" s="46" t="s">
        <v>124</v>
      </c>
      <c r="D143" s="47">
        <v>1</v>
      </c>
      <c r="E143" s="48">
        <v>2.3752969121140144E-3</v>
      </c>
    </row>
    <row r="144" spans="2:5" ht="15" customHeight="1" x14ac:dyDescent="0.25">
      <c r="B144" s="89"/>
      <c r="C144" s="46" t="s">
        <v>126</v>
      </c>
      <c r="D144" s="47">
        <v>1</v>
      </c>
      <c r="E144" s="48">
        <v>2.3752969121140144E-3</v>
      </c>
    </row>
    <row r="145" spans="2:5" ht="15" customHeight="1" x14ac:dyDescent="0.25">
      <c r="B145" s="89"/>
      <c r="C145" s="46" t="s">
        <v>128</v>
      </c>
      <c r="D145" s="47">
        <v>1</v>
      </c>
      <c r="E145" s="48">
        <v>2.3752969121140144E-3</v>
      </c>
    </row>
    <row r="146" spans="2:5" ht="15" customHeight="1" x14ac:dyDescent="0.25">
      <c r="B146" s="89"/>
      <c r="C146" s="46" t="s">
        <v>129</v>
      </c>
      <c r="D146" s="47">
        <v>1</v>
      </c>
      <c r="E146" s="48">
        <v>2.3752969121140144E-3</v>
      </c>
    </row>
    <row r="147" spans="2:5" ht="15" customHeight="1" x14ac:dyDescent="0.25">
      <c r="B147" s="90"/>
      <c r="C147" s="49" t="s">
        <v>54</v>
      </c>
      <c r="D147" s="50">
        <v>8</v>
      </c>
      <c r="E147" s="51">
        <v>1.9002375296912115E-2</v>
      </c>
    </row>
    <row r="148" spans="2:5" ht="15" customHeight="1" x14ac:dyDescent="0.25">
      <c r="B148" s="88" t="s">
        <v>81</v>
      </c>
      <c r="C148" s="46" t="s">
        <v>116</v>
      </c>
      <c r="D148" s="47">
        <v>1</v>
      </c>
      <c r="E148" s="48">
        <v>2.3752969121140144E-3</v>
      </c>
    </row>
    <row r="149" spans="2:5" ht="15" customHeight="1" x14ac:dyDescent="0.25">
      <c r="B149" s="89"/>
      <c r="C149" s="46" t="s">
        <v>117</v>
      </c>
      <c r="D149" s="47">
        <v>1</v>
      </c>
      <c r="E149" s="48">
        <v>2.3752969121140144E-3</v>
      </c>
    </row>
    <row r="150" spans="2:5" ht="15" customHeight="1" x14ac:dyDescent="0.25">
      <c r="B150" s="89"/>
      <c r="C150" s="46" t="s">
        <v>119</v>
      </c>
      <c r="D150" s="47">
        <v>1</v>
      </c>
      <c r="E150" s="48">
        <v>2.3752969121140144E-3</v>
      </c>
    </row>
    <row r="151" spans="2:5" ht="15" customHeight="1" x14ac:dyDescent="0.25">
      <c r="B151" s="89"/>
      <c r="C151" s="46" t="s">
        <v>120</v>
      </c>
      <c r="D151" s="47">
        <v>1</v>
      </c>
      <c r="E151" s="48">
        <v>2.3752969121140144E-3</v>
      </c>
    </row>
    <row r="152" spans="2:5" ht="15" customHeight="1" x14ac:dyDescent="0.25">
      <c r="B152" s="89"/>
      <c r="C152" s="46" t="s">
        <v>121</v>
      </c>
      <c r="D152" s="47">
        <v>1</v>
      </c>
      <c r="E152" s="48">
        <v>2.3752969121140144E-3</v>
      </c>
    </row>
    <row r="153" spans="2:5" ht="15" customHeight="1" x14ac:dyDescent="0.25">
      <c r="B153" s="89"/>
      <c r="C153" s="46" t="s">
        <v>122</v>
      </c>
      <c r="D153" s="47">
        <v>2</v>
      </c>
      <c r="E153" s="48">
        <v>4.7505938242280287E-3</v>
      </c>
    </row>
    <row r="154" spans="2:5" ht="15" customHeight="1" x14ac:dyDescent="0.25">
      <c r="B154" s="89"/>
      <c r="C154" s="46" t="s">
        <v>124</v>
      </c>
      <c r="D154" s="47">
        <v>1</v>
      </c>
      <c r="E154" s="48">
        <v>2.3752969121140144E-3</v>
      </c>
    </row>
    <row r="155" spans="2:5" ht="15" customHeight="1" x14ac:dyDescent="0.25">
      <c r="B155" s="89"/>
      <c r="C155" s="46" t="s">
        <v>126</v>
      </c>
      <c r="D155" s="47">
        <v>2</v>
      </c>
      <c r="E155" s="48">
        <v>4.7505938242280287E-3</v>
      </c>
    </row>
    <row r="156" spans="2:5" ht="15" customHeight="1" x14ac:dyDescent="0.25">
      <c r="B156" s="89"/>
      <c r="C156" s="46" t="s">
        <v>128</v>
      </c>
      <c r="D156" s="47">
        <v>3</v>
      </c>
      <c r="E156" s="48">
        <v>7.1258907363420431E-3</v>
      </c>
    </row>
    <row r="157" spans="2:5" ht="15" customHeight="1" x14ac:dyDescent="0.25">
      <c r="B157" s="89"/>
      <c r="C157" s="46" t="s">
        <v>129</v>
      </c>
      <c r="D157" s="47">
        <v>6</v>
      </c>
      <c r="E157" s="48">
        <v>1.4251781472684086E-2</v>
      </c>
    </row>
    <row r="158" spans="2:5" ht="15" customHeight="1" x14ac:dyDescent="0.25">
      <c r="B158" s="90"/>
      <c r="C158" s="49" t="s">
        <v>54</v>
      </c>
      <c r="D158" s="50">
        <v>19</v>
      </c>
      <c r="E158" s="51">
        <v>4.5130641330166268E-2</v>
      </c>
    </row>
    <row r="159" spans="2:5" ht="15" customHeight="1" x14ac:dyDescent="0.25">
      <c r="B159" s="88" t="s">
        <v>88</v>
      </c>
      <c r="C159" s="46" t="s">
        <v>126</v>
      </c>
      <c r="D159" s="47">
        <v>1</v>
      </c>
      <c r="E159" s="48">
        <v>2.3752969121140144E-3</v>
      </c>
    </row>
    <row r="160" spans="2:5" ht="15" customHeight="1" x14ac:dyDescent="0.25">
      <c r="B160" s="89"/>
      <c r="C160" s="46" t="s">
        <v>128</v>
      </c>
      <c r="D160" s="47">
        <v>2</v>
      </c>
      <c r="E160" s="48">
        <v>4.7505938242280287E-3</v>
      </c>
    </row>
    <row r="161" spans="2:5" ht="15" customHeight="1" x14ac:dyDescent="0.25">
      <c r="B161" s="89"/>
      <c r="C161" s="46" t="s">
        <v>129</v>
      </c>
      <c r="D161" s="47">
        <v>1</v>
      </c>
      <c r="E161" s="48">
        <v>2.3752969121140144E-3</v>
      </c>
    </row>
    <row r="162" spans="2:5" ht="15" customHeight="1" x14ac:dyDescent="0.25">
      <c r="B162" s="90"/>
      <c r="C162" s="49" t="s">
        <v>54</v>
      </c>
      <c r="D162" s="50">
        <v>4</v>
      </c>
      <c r="E162" s="51">
        <v>9.5011876484560574E-3</v>
      </c>
    </row>
    <row r="163" spans="2:5" ht="15" customHeight="1" x14ac:dyDescent="0.25">
      <c r="B163" s="88" t="s">
        <v>94</v>
      </c>
      <c r="C163" s="46" t="s">
        <v>121</v>
      </c>
      <c r="D163" s="47">
        <v>1</v>
      </c>
      <c r="E163" s="48">
        <v>2.3752969121140144E-3</v>
      </c>
    </row>
    <row r="164" spans="2:5" ht="15" customHeight="1" x14ac:dyDescent="0.25">
      <c r="B164" s="89"/>
      <c r="C164" s="46" t="s">
        <v>125</v>
      </c>
      <c r="D164" s="47">
        <v>2</v>
      </c>
      <c r="E164" s="48">
        <v>4.7505938242280287E-3</v>
      </c>
    </row>
    <row r="165" spans="2:5" ht="15" customHeight="1" x14ac:dyDescent="0.25">
      <c r="B165" s="89"/>
      <c r="C165" s="46" t="s">
        <v>126</v>
      </c>
      <c r="D165" s="47">
        <v>2</v>
      </c>
      <c r="E165" s="48">
        <v>4.7505938242280287E-3</v>
      </c>
    </row>
    <row r="166" spans="2:5" ht="15" customHeight="1" x14ac:dyDescent="0.25">
      <c r="B166" s="89"/>
      <c r="C166" s="46" t="s">
        <v>129</v>
      </c>
      <c r="D166" s="47">
        <v>1</v>
      </c>
      <c r="E166" s="48">
        <v>2.3752969121140144E-3</v>
      </c>
    </row>
    <row r="167" spans="2:5" ht="15" customHeight="1" x14ac:dyDescent="0.25">
      <c r="B167" s="89"/>
      <c r="C167" s="46" t="s">
        <v>135</v>
      </c>
      <c r="D167" s="47">
        <v>3</v>
      </c>
      <c r="E167" s="48">
        <v>7.1258907363420431E-3</v>
      </c>
    </row>
    <row r="168" spans="2:5" ht="15" customHeight="1" x14ac:dyDescent="0.25">
      <c r="B168" s="90"/>
      <c r="C168" s="49" t="s">
        <v>54</v>
      </c>
      <c r="D168" s="50">
        <v>9</v>
      </c>
      <c r="E168" s="51">
        <v>2.1377672209026127E-2</v>
      </c>
    </row>
    <row r="169" spans="2:5" ht="15" customHeight="1" x14ac:dyDescent="0.25">
      <c r="B169" s="88" t="s">
        <v>69</v>
      </c>
      <c r="C169" s="46" t="s">
        <v>118</v>
      </c>
      <c r="D169" s="47">
        <v>1</v>
      </c>
      <c r="E169" s="48">
        <v>2.3752969121140144E-3</v>
      </c>
    </row>
    <row r="170" spans="2:5" ht="15" customHeight="1" x14ac:dyDescent="0.25">
      <c r="B170" s="89"/>
      <c r="C170" s="46" t="s">
        <v>120</v>
      </c>
      <c r="D170" s="47">
        <v>1</v>
      </c>
      <c r="E170" s="48">
        <v>2.3752969121140144E-3</v>
      </c>
    </row>
    <row r="171" spans="2:5" ht="15" customHeight="1" x14ac:dyDescent="0.25">
      <c r="B171" s="89"/>
      <c r="C171" s="46" t="s">
        <v>122</v>
      </c>
      <c r="D171" s="47">
        <v>2</v>
      </c>
      <c r="E171" s="48">
        <v>4.7505938242280287E-3</v>
      </c>
    </row>
    <row r="172" spans="2:5" ht="15" customHeight="1" x14ac:dyDescent="0.25">
      <c r="B172" s="89"/>
      <c r="C172" s="46" t="s">
        <v>123</v>
      </c>
      <c r="D172" s="47">
        <v>1</v>
      </c>
      <c r="E172" s="48">
        <v>2.3752969121140144E-3</v>
      </c>
    </row>
    <row r="173" spans="2:5" ht="15" customHeight="1" x14ac:dyDescent="0.25">
      <c r="B173" s="89"/>
      <c r="C173" s="46" t="s">
        <v>124</v>
      </c>
      <c r="D173" s="47">
        <v>2</v>
      </c>
      <c r="E173" s="48">
        <v>4.7505938242280287E-3</v>
      </c>
    </row>
    <row r="174" spans="2:5" ht="15" customHeight="1" x14ac:dyDescent="0.25">
      <c r="B174" s="89"/>
      <c r="C174" s="46" t="s">
        <v>125</v>
      </c>
      <c r="D174" s="47">
        <v>1</v>
      </c>
      <c r="E174" s="48">
        <v>2.3752969121140144E-3</v>
      </c>
    </row>
    <row r="175" spans="2:5" ht="15" customHeight="1" x14ac:dyDescent="0.25">
      <c r="B175" s="89"/>
      <c r="C175" s="46" t="s">
        <v>126</v>
      </c>
      <c r="D175" s="47">
        <v>3</v>
      </c>
      <c r="E175" s="48">
        <v>7.1258907363420431E-3</v>
      </c>
    </row>
    <row r="176" spans="2:5" ht="15" customHeight="1" x14ac:dyDescent="0.25">
      <c r="B176" s="89"/>
      <c r="C176" s="46" t="s">
        <v>128</v>
      </c>
      <c r="D176" s="47">
        <v>4</v>
      </c>
      <c r="E176" s="48">
        <v>9.5011876484560574E-3</v>
      </c>
    </row>
    <row r="177" spans="2:5" ht="15" customHeight="1" x14ac:dyDescent="0.25">
      <c r="B177" s="89"/>
      <c r="C177" s="46" t="s">
        <v>129</v>
      </c>
      <c r="D177" s="47">
        <v>6</v>
      </c>
      <c r="E177" s="48">
        <v>1.4251781472684086E-2</v>
      </c>
    </row>
    <row r="178" spans="2:5" ht="15" customHeight="1" x14ac:dyDescent="0.25">
      <c r="B178" s="89"/>
      <c r="C178" s="46" t="s">
        <v>132</v>
      </c>
      <c r="D178" s="47">
        <v>1</v>
      </c>
      <c r="E178" s="48">
        <v>2.3752969121140144E-3</v>
      </c>
    </row>
    <row r="179" spans="2:5" ht="15" customHeight="1" x14ac:dyDescent="0.25">
      <c r="B179" s="89"/>
      <c r="C179" s="46" t="s">
        <v>134</v>
      </c>
      <c r="D179" s="47">
        <v>1</v>
      </c>
      <c r="E179" s="48">
        <v>2.3752969121140144E-3</v>
      </c>
    </row>
    <row r="180" spans="2:5" ht="15" customHeight="1" x14ac:dyDescent="0.25">
      <c r="B180" s="90"/>
      <c r="C180" s="49" t="s">
        <v>54</v>
      </c>
      <c r="D180" s="50">
        <v>23</v>
      </c>
      <c r="E180" s="51">
        <v>5.4631828978622329E-2</v>
      </c>
    </row>
    <row r="181" spans="2:5" ht="15" customHeight="1" x14ac:dyDescent="0.25">
      <c r="B181" s="88" t="s">
        <v>79</v>
      </c>
      <c r="C181" s="46" t="s">
        <v>121</v>
      </c>
      <c r="D181" s="47">
        <v>1</v>
      </c>
      <c r="E181" s="48">
        <v>2.3752969121140144E-3</v>
      </c>
    </row>
    <row r="182" spans="2:5" ht="15" customHeight="1" x14ac:dyDescent="0.25">
      <c r="B182" s="89"/>
      <c r="C182" s="46" t="s">
        <v>122</v>
      </c>
      <c r="D182" s="47">
        <v>4</v>
      </c>
      <c r="E182" s="48">
        <v>9.5011876484560574E-3</v>
      </c>
    </row>
    <row r="183" spans="2:5" ht="15" customHeight="1" x14ac:dyDescent="0.25">
      <c r="B183" s="89"/>
      <c r="C183" s="46" t="s">
        <v>126</v>
      </c>
      <c r="D183" s="47">
        <v>4</v>
      </c>
      <c r="E183" s="48">
        <v>9.5011876484560574E-3</v>
      </c>
    </row>
    <row r="184" spans="2:5" ht="15" customHeight="1" x14ac:dyDescent="0.25">
      <c r="B184" s="89"/>
      <c r="C184" s="46" t="s">
        <v>127</v>
      </c>
      <c r="D184" s="47">
        <v>1</v>
      </c>
      <c r="E184" s="48">
        <v>2.3752969121140144E-3</v>
      </c>
    </row>
    <row r="185" spans="2:5" ht="15" customHeight="1" x14ac:dyDescent="0.25">
      <c r="B185" s="89"/>
      <c r="C185" s="46" t="s">
        <v>128</v>
      </c>
      <c r="D185" s="47">
        <v>2</v>
      </c>
      <c r="E185" s="48">
        <v>4.7505938242280287E-3</v>
      </c>
    </row>
    <row r="186" spans="2:5" ht="15" customHeight="1" x14ac:dyDescent="0.25">
      <c r="B186" s="89"/>
      <c r="C186" s="46" t="s">
        <v>129</v>
      </c>
      <c r="D186" s="47">
        <v>1</v>
      </c>
      <c r="E186" s="48">
        <v>2.3752969121140144E-3</v>
      </c>
    </row>
    <row r="187" spans="2:5" ht="15" customHeight="1" x14ac:dyDescent="0.25">
      <c r="B187" s="89"/>
      <c r="C187" s="46" t="s">
        <v>134</v>
      </c>
      <c r="D187" s="47">
        <v>1</v>
      </c>
      <c r="E187" s="48">
        <v>2.3752969121140144E-3</v>
      </c>
    </row>
    <row r="188" spans="2:5" ht="15" customHeight="1" x14ac:dyDescent="0.25">
      <c r="B188" s="89"/>
      <c r="C188" s="46" t="s">
        <v>135</v>
      </c>
      <c r="D188" s="47">
        <v>1</v>
      </c>
      <c r="E188" s="48">
        <v>2.3752969121140144E-3</v>
      </c>
    </row>
    <row r="189" spans="2:5" ht="15" customHeight="1" x14ac:dyDescent="0.25">
      <c r="B189" s="90"/>
      <c r="C189" s="49" t="s">
        <v>54</v>
      </c>
      <c r="D189" s="50">
        <v>15</v>
      </c>
      <c r="E189" s="51">
        <v>3.5629453681710214E-2</v>
      </c>
    </row>
    <row r="190" spans="2:5" ht="15" customHeight="1" x14ac:dyDescent="0.25">
      <c r="B190" s="88" t="s">
        <v>96</v>
      </c>
      <c r="C190" s="46" t="s">
        <v>126</v>
      </c>
      <c r="D190" s="47">
        <v>4</v>
      </c>
      <c r="E190" s="48">
        <v>9.5011876484560574E-3</v>
      </c>
    </row>
    <row r="191" spans="2:5" ht="15" customHeight="1" x14ac:dyDescent="0.25">
      <c r="B191" s="89"/>
      <c r="C191" s="46" t="s">
        <v>129</v>
      </c>
      <c r="D191" s="47">
        <v>1</v>
      </c>
      <c r="E191" s="48">
        <v>2.3752969121140144E-3</v>
      </c>
    </row>
    <row r="192" spans="2:5" ht="15" customHeight="1" x14ac:dyDescent="0.25">
      <c r="B192" s="90"/>
      <c r="C192" s="49" t="s">
        <v>54</v>
      </c>
      <c r="D192" s="50">
        <v>5</v>
      </c>
      <c r="E192" s="51">
        <v>1.1876484560570071E-2</v>
      </c>
    </row>
    <row r="193" spans="2:5" ht="15" customHeight="1" x14ac:dyDescent="0.25">
      <c r="B193" s="88" t="s">
        <v>80</v>
      </c>
      <c r="C193" s="46" t="s">
        <v>122</v>
      </c>
      <c r="D193" s="47">
        <v>2</v>
      </c>
      <c r="E193" s="48">
        <v>4.7505938242280287E-3</v>
      </c>
    </row>
    <row r="194" spans="2:5" ht="15" customHeight="1" x14ac:dyDescent="0.25">
      <c r="B194" s="89"/>
      <c r="C194" s="46" t="s">
        <v>125</v>
      </c>
      <c r="D194" s="47">
        <v>1</v>
      </c>
      <c r="E194" s="48">
        <v>2.3752969121140144E-3</v>
      </c>
    </row>
    <row r="195" spans="2:5" ht="15" customHeight="1" x14ac:dyDescent="0.25">
      <c r="B195" s="89"/>
      <c r="C195" s="46" t="s">
        <v>126</v>
      </c>
      <c r="D195" s="47">
        <v>3</v>
      </c>
      <c r="E195" s="48">
        <v>7.1258907363420431E-3</v>
      </c>
    </row>
    <row r="196" spans="2:5" ht="15" customHeight="1" x14ac:dyDescent="0.25">
      <c r="B196" s="89"/>
      <c r="C196" s="46" t="s">
        <v>128</v>
      </c>
      <c r="D196" s="47">
        <v>1</v>
      </c>
      <c r="E196" s="48">
        <v>2.3752969121140144E-3</v>
      </c>
    </row>
    <row r="197" spans="2:5" ht="15" customHeight="1" x14ac:dyDescent="0.25">
      <c r="B197" s="89"/>
      <c r="C197" s="46" t="s">
        <v>129</v>
      </c>
      <c r="D197" s="47">
        <v>8</v>
      </c>
      <c r="E197" s="48">
        <v>1.9002375296912115E-2</v>
      </c>
    </row>
    <row r="198" spans="2:5" ht="15" customHeight="1" x14ac:dyDescent="0.25">
      <c r="B198" s="89"/>
      <c r="C198" s="46" t="s">
        <v>135</v>
      </c>
      <c r="D198" s="47">
        <v>1</v>
      </c>
      <c r="E198" s="48">
        <v>2.3752969121140144E-3</v>
      </c>
    </row>
    <row r="199" spans="2:5" ht="15" customHeight="1" x14ac:dyDescent="0.25">
      <c r="B199" s="90"/>
      <c r="C199" s="49" t="s">
        <v>54</v>
      </c>
      <c r="D199" s="50">
        <v>16</v>
      </c>
      <c r="E199" s="51">
        <v>3.800475059382423E-2</v>
      </c>
    </row>
    <row r="200" spans="2:5" ht="15" customHeight="1" x14ac:dyDescent="0.25">
      <c r="B200" s="88" t="s">
        <v>76</v>
      </c>
      <c r="C200" s="46" t="s">
        <v>122</v>
      </c>
      <c r="D200" s="47">
        <v>2</v>
      </c>
      <c r="E200" s="48">
        <v>4.7505938242280287E-3</v>
      </c>
    </row>
    <row r="201" spans="2:5" ht="15" customHeight="1" x14ac:dyDescent="0.25">
      <c r="B201" s="90"/>
      <c r="C201" s="49" t="s">
        <v>54</v>
      </c>
      <c r="D201" s="50">
        <v>2</v>
      </c>
      <c r="E201" s="51">
        <v>4.7505938242280287E-3</v>
      </c>
    </row>
    <row r="202" spans="2:5" ht="15" customHeight="1" x14ac:dyDescent="0.25">
      <c r="B202" s="88" t="s">
        <v>67</v>
      </c>
      <c r="C202" s="46" t="s">
        <v>119</v>
      </c>
      <c r="D202" s="47">
        <v>1</v>
      </c>
      <c r="E202" s="48">
        <v>2.3752969121140144E-3</v>
      </c>
    </row>
    <row r="203" spans="2:5" ht="15" customHeight="1" x14ac:dyDescent="0.25">
      <c r="B203" s="89"/>
      <c r="C203" s="46" t="s">
        <v>121</v>
      </c>
      <c r="D203" s="47">
        <v>1</v>
      </c>
      <c r="E203" s="48">
        <v>2.3752969121140144E-3</v>
      </c>
    </row>
    <row r="204" spans="2:5" ht="15" customHeight="1" x14ac:dyDescent="0.25">
      <c r="B204" s="89"/>
      <c r="C204" s="46" t="s">
        <v>122</v>
      </c>
      <c r="D204" s="47">
        <v>2</v>
      </c>
      <c r="E204" s="48">
        <v>4.7505938242280287E-3</v>
      </c>
    </row>
    <row r="205" spans="2:5" ht="15" customHeight="1" x14ac:dyDescent="0.25">
      <c r="B205" s="89"/>
      <c r="C205" s="46" t="s">
        <v>124</v>
      </c>
      <c r="D205" s="47">
        <v>1</v>
      </c>
      <c r="E205" s="48">
        <v>2.3752969121140144E-3</v>
      </c>
    </row>
    <row r="206" spans="2:5" ht="15" customHeight="1" x14ac:dyDescent="0.25">
      <c r="B206" s="89"/>
      <c r="C206" s="46" t="s">
        <v>125</v>
      </c>
      <c r="D206" s="47">
        <v>2</v>
      </c>
      <c r="E206" s="48">
        <v>4.7505938242280287E-3</v>
      </c>
    </row>
    <row r="207" spans="2:5" ht="15" customHeight="1" x14ac:dyDescent="0.25">
      <c r="B207" s="89"/>
      <c r="C207" s="46" t="s">
        <v>126</v>
      </c>
      <c r="D207" s="47">
        <v>1</v>
      </c>
      <c r="E207" s="48">
        <v>2.3752969121140144E-3</v>
      </c>
    </row>
    <row r="208" spans="2:5" ht="15" customHeight="1" x14ac:dyDescent="0.25">
      <c r="B208" s="89"/>
      <c r="C208" s="46" t="s">
        <v>127</v>
      </c>
      <c r="D208" s="47">
        <v>2</v>
      </c>
      <c r="E208" s="48">
        <v>4.7505938242280287E-3</v>
      </c>
    </row>
    <row r="209" spans="2:5" ht="15" customHeight="1" x14ac:dyDescent="0.25">
      <c r="B209" s="89"/>
      <c r="C209" s="46" t="s">
        <v>128</v>
      </c>
      <c r="D209" s="47">
        <v>1</v>
      </c>
      <c r="E209" s="48">
        <v>2.3752969121140144E-3</v>
      </c>
    </row>
    <row r="210" spans="2:5" ht="15" customHeight="1" x14ac:dyDescent="0.25">
      <c r="B210" s="89"/>
      <c r="C210" s="46" t="s">
        <v>129</v>
      </c>
      <c r="D210" s="47">
        <v>14</v>
      </c>
      <c r="E210" s="48">
        <v>3.3254156769596199E-2</v>
      </c>
    </row>
    <row r="211" spans="2:5" ht="15" customHeight="1" x14ac:dyDescent="0.25">
      <c r="B211" s="89"/>
      <c r="C211" s="46" t="s">
        <v>132</v>
      </c>
      <c r="D211" s="47">
        <v>1</v>
      </c>
      <c r="E211" s="48">
        <v>2.3752969121140144E-3</v>
      </c>
    </row>
    <row r="212" spans="2:5" ht="15" customHeight="1" x14ac:dyDescent="0.25">
      <c r="B212" s="89"/>
      <c r="C212" s="46" t="s">
        <v>134</v>
      </c>
      <c r="D212" s="47">
        <v>2</v>
      </c>
      <c r="E212" s="48">
        <v>4.7505938242280287E-3</v>
      </c>
    </row>
    <row r="213" spans="2:5" ht="15" customHeight="1" x14ac:dyDescent="0.25">
      <c r="B213" s="89"/>
      <c r="C213" s="46" t="s">
        <v>135</v>
      </c>
      <c r="D213" s="47">
        <v>2</v>
      </c>
      <c r="E213" s="48">
        <v>4.7505938242280287E-3</v>
      </c>
    </row>
    <row r="214" spans="2:5" ht="15" customHeight="1" x14ac:dyDescent="0.25">
      <c r="B214" s="90"/>
      <c r="C214" s="49" t="s">
        <v>54</v>
      </c>
      <c r="D214" s="50">
        <v>30</v>
      </c>
      <c r="E214" s="51">
        <v>7.1258907363420429E-2</v>
      </c>
    </row>
    <row r="215" spans="2:5" ht="15" customHeight="1" x14ac:dyDescent="0.25">
      <c r="B215" s="88" t="s">
        <v>91</v>
      </c>
      <c r="C215" s="46" t="s">
        <v>122</v>
      </c>
      <c r="D215" s="47">
        <v>2</v>
      </c>
      <c r="E215" s="48">
        <v>4.7505938242280287E-3</v>
      </c>
    </row>
    <row r="216" spans="2:5" ht="15" customHeight="1" x14ac:dyDescent="0.25">
      <c r="B216" s="89"/>
      <c r="C216" s="46" t="s">
        <v>126</v>
      </c>
      <c r="D216" s="47">
        <v>3</v>
      </c>
      <c r="E216" s="48">
        <v>7.1258907363420431E-3</v>
      </c>
    </row>
    <row r="217" spans="2:5" ht="15" customHeight="1" x14ac:dyDescent="0.25">
      <c r="B217" s="89"/>
      <c r="C217" s="46" t="s">
        <v>127</v>
      </c>
      <c r="D217" s="47">
        <v>2</v>
      </c>
      <c r="E217" s="48">
        <v>4.7505938242280287E-3</v>
      </c>
    </row>
    <row r="218" spans="2:5" ht="15" customHeight="1" x14ac:dyDescent="0.25">
      <c r="B218" s="89"/>
      <c r="C218" s="46" t="s">
        <v>128</v>
      </c>
      <c r="D218" s="47">
        <v>2</v>
      </c>
      <c r="E218" s="48">
        <v>4.7505938242280287E-3</v>
      </c>
    </row>
    <row r="219" spans="2:5" ht="15" customHeight="1" x14ac:dyDescent="0.25">
      <c r="B219" s="89"/>
      <c r="C219" s="46" t="s">
        <v>129</v>
      </c>
      <c r="D219" s="47">
        <v>3</v>
      </c>
      <c r="E219" s="48">
        <v>7.1258907363420431E-3</v>
      </c>
    </row>
    <row r="220" spans="2:5" ht="15" customHeight="1" x14ac:dyDescent="0.25">
      <c r="B220" s="89"/>
      <c r="C220" s="46" t="s">
        <v>136</v>
      </c>
      <c r="D220" s="47">
        <v>1</v>
      </c>
      <c r="E220" s="48">
        <v>2.3752969121140144E-3</v>
      </c>
    </row>
    <row r="221" spans="2:5" ht="15" customHeight="1" x14ac:dyDescent="0.25">
      <c r="B221" s="90"/>
      <c r="C221" s="49" t="s">
        <v>54</v>
      </c>
      <c r="D221" s="50">
        <v>13</v>
      </c>
      <c r="E221" s="51">
        <v>3.0878859857482184E-2</v>
      </c>
    </row>
    <row r="222" spans="2:5" ht="15" customHeight="1" x14ac:dyDescent="0.25">
      <c r="B222" s="88" t="s">
        <v>84</v>
      </c>
      <c r="C222" s="46" t="s">
        <v>115</v>
      </c>
      <c r="D222" s="47">
        <v>1</v>
      </c>
      <c r="E222" s="48">
        <v>2.3752969121140144E-3</v>
      </c>
    </row>
    <row r="223" spans="2:5" ht="15" customHeight="1" x14ac:dyDescent="0.25">
      <c r="B223" s="89"/>
      <c r="C223" s="46" t="s">
        <v>123</v>
      </c>
      <c r="D223" s="47">
        <v>1</v>
      </c>
      <c r="E223" s="48">
        <v>2.3752969121140144E-3</v>
      </c>
    </row>
    <row r="224" spans="2:5" ht="15" customHeight="1" x14ac:dyDescent="0.25">
      <c r="B224" s="89"/>
      <c r="C224" s="46" t="s">
        <v>126</v>
      </c>
      <c r="D224" s="47">
        <v>3</v>
      </c>
      <c r="E224" s="48">
        <v>7.1258907363420431E-3</v>
      </c>
    </row>
    <row r="225" spans="2:5" ht="15" customHeight="1" x14ac:dyDescent="0.25">
      <c r="B225" s="89"/>
      <c r="C225" s="46" t="s">
        <v>127</v>
      </c>
      <c r="D225" s="47">
        <v>1</v>
      </c>
      <c r="E225" s="48">
        <v>2.3752969121140144E-3</v>
      </c>
    </row>
    <row r="226" spans="2:5" ht="15" customHeight="1" x14ac:dyDescent="0.25">
      <c r="B226" s="89"/>
      <c r="C226" s="46" t="s">
        <v>128</v>
      </c>
      <c r="D226" s="47">
        <v>1</v>
      </c>
      <c r="E226" s="48">
        <v>2.3752969121140144E-3</v>
      </c>
    </row>
    <row r="227" spans="2:5" ht="15" customHeight="1" x14ac:dyDescent="0.25">
      <c r="B227" s="90"/>
      <c r="C227" s="49" t="s">
        <v>54</v>
      </c>
      <c r="D227" s="50">
        <v>7</v>
      </c>
      <c r="E227" s="51">
        <v>1.66270783847981E-2</v>
      </c>
    </row>
    <row r="228" spans="2:5" ht="15" customHeight="1" x14ac:dyDescent="0.25">
      <c r="B228" s="88" t="s">
        <v>144</v>
      </c>
      <c r="C228" s="46" t="s">
        <v>116</v>
      </c>
      <c r="D228" s="47">
        <v>1</v>
      </c>
      <c r="E228" s="48">
        <v>2.3752969121140144E-3</v>
      </c>
    </row>
    <row r="229" spans="2:5" ht="15" customHeight="1" x14ac:dyDescent="0.25">
      <c r="B229" s="89"/>
      <c r="C229" s="46" t="s">
        <v>118</v>
      </c>
      <c r="D229" s="47">
        <v>1</v>
      </c>
      <c r="E229" s="48">
        <v>2.3752969121140144E-3</v>
      </c>
    </row>
    <row r="230" spans="2:5" ht="15" customHeight="1" x14ac:dyDescent="0.25">
      <c r="B230" s="89"/>
      <c r="C230" s="46" t="s">
        <v>121</v>
      </c>
      <c r="D230" s="47">
        <v>4</v>
      </c>
      <c r="E230" s="48">
        <v>9.5011876484560574E-3</v>
      </c>
    </row>
    <row r="231" spans="2:5" ht="15" customHeight="1" x14ac:dyDescent="0.25">
      <c r="B231" s="89"/>
      <c r="C231" s="46" t="s">
        <v>122</v>
      </c>
      <c r="D231" s="47">
        <v>1</v>
      </c>
      <c r="E231" s="48">
        <v>2.3752969121140144E-3</v>
      </c>
    </row>
    <row r="232" spans="2:5" ht="15" customHeight="1" x14ac:dyDescent="0.25">
      <c r="B232" s="89"/>
      <c r="C232" s="46" t="s">
        <v>125</v>
      </c>
      <c r="D232" s="47">
        <v>1</v>
      </c>
      <c r="E232" s="48">
        <v>2.3752969121140144E-3</v>
      </c>
    </row>
    <row r="233" spans="2:5" ht="15" customHeight="1" x14ac:dyDescent="0.25">
      <c r="B233" s="89"/>
      <c r="C233" s="46" t="s">
        <v>126</v>
      </c>
      <c r="D233" s="47">
        <v>2</v>
      </c>
      <c r="E233" s="48">
        <v>4.7505938242280287E-3</v>
      </c>
    </row>
    <row r="234" spans="2:5" ht="15" customHeight="1" x14ac:dyDescent="0.25">
      <c r="B234" s="89"/>
      <c r="C234" s="46" t="s">
        <v>128</v>
      </c>
      <c r="D234" s="47">
        <v>1</v>
      </c>
      <c r="E234" s="48">
        <v>2.3752969121140144E-3</v>
      </c>
    </row>
    <row r="235" spans="2:5" ht="15" customHeight="1" x14ac:dyDescent="0.25">
      <c r="B235" s="89"/>
      <c r="C235" s="46" t="s">
        <v>129</v>
      </c>
      <c r="D235" s="47">
        <v>4</v>
      </c>
      <c r="E235" s="48">
        <v>9.5011876484560574E-3</v>
      </c>
    </row>
    <row r="236" spans="2:5" ht="15" customHeight="1" x14ac:dyDescent="0.25">
      <c r="B236" s="89"/>
      <c r="C236" s="46" t="s">
        <v>135</v>
      </c>
      <c r="D236" s="47">
        <v>1</v>
      </c>
      <c r="E236" s="48">
        <v>2.3752969121140144E-3</v>
      </c>
    </row>
    <row r="237" spans="2:5" ht="15" customHeight="1" x14ac:dyDescent="0.25">
      <c r="B237" s="90"/>
      <c r="C237" s="49" t="s">
        <v>54</v>
      </c>
      <c r="D237" s="50">
        <v>16</v>
      </c>
      <c r="E237" s="51">
        <v>3.800475059382423E-2</v>
      </c>
    </row>
    <row r="238" spans="2:5" ht="15" customHeight="1" x14ac:dyDescent="0.25">
      <c r="B238" s="88" t="s">
        <v>75</v>
      </c>
      <c r="C238" s="46" t="s">
        <v>115</v>
      </c>
      <c r="D238" s="47">
        <v>1</v>
      </c>
      <c r="E238" s="48">
        <v>2.3752969121140144E-3</v>
      </c>
    </row>
    <row r="239" spans="2:5" ht="15" customHeight="1" x14ac:dyDescent="0.25">
      <c r="B239" s="89"/>
      <c r="C239" s="46" t="s">
        <v>122</v>
      </c>
      <c r="D239" s="47">
        <v>2</v>
      </c>
      <c r="E239" s="48">
        <v>4.7505938242280287E-3</v>
      </c>
    </row>
    <row r="240" spans="2:5" ht="15" customHeight="1" x14ac:dyDescent="0.25">
      <c r="B240" s="89"/>
      <c r="C240" s="46" t="s">
        <v>125</v>
      </c>
      <c r="D240" s="47">
        <v>1</v>
      </c>
      <c r="E240" s="48">
        <v>2.3752969121140144E-3</v>
      </c>
    </row>
    <row r="241" spans="2:5" ht="15" customHeight="1" x14ac:dyDescent="0.25">
      <c r="B241" s="89"/>
      <c r="C241" s="46" t="s">
        <v>128</v>
      </c>
      <c r="D241" s="47">
        <v>2</v>
      </c>
      <c r="E241" s="48">
        <v>4.7505938242280287E-3</v>
      </c>
    </row>
    <row r="242" spans="2:5" ht="15" customHeight="1" x14ac:dyDescent="0.25">
      <c r="B242" s="89"/>
      <c r="C242" s="46" t="s">
        <v>129</v>
      </c>
      <c r="D242" s="47">
        <v>4</v>
      </c>
      <c r="E242" s="48">
        <v>9.5011876484560574E-3</v>
      </c>
    </row>
    <row r="243" spans="2:5" ht="15" customHeight="1" x14ac:dyDescent="0.25">
      <c r="B243" s="89"/>
      <c r="C243" s="46" t="s">
        <v>131</v>
      </c>
      <c r="D243" s="47">
        <v>1</v>
      </c>
      <c r="E243" s="48">
        <v>2.3752969121140144E-3</v>
      </c>
    </row>
    <row r="244" spans="2:5" ht="15" customHeight="1" x14ac:dyDescent="0.25">
      <c r="B244" s="89"/>
      <c r="C244" s="46" t="s">
        <v>134</v>
      </c>
      <c r="D244" s="47">
        <v>1</v>
      </c>
      <c r="E244" s="48">
        <v>2.3752969121140144E-3</v>
      </c>
    </row>
    <row r="245" spans="2:5" ht="15" customHeight="1" x14ac:dyDescent="0.25">
      <c r="B245" s="90"/>
      <c r="C245" s="49" t="s">
        <v>54</v>
      </c>
      <c r="D245" s="50">
        <v>12</v>
      </c>
      <c r="E245" s="51">
        <v>2.8503562945368172E-2</v>
      </c>
    </row>
    <row r="246" spans="2:5" ht="15" customHeight="1" x14ac:dyDescent="0.25">
      <c r="B246" s="88" t="s">
        <v>82</v>
      </c>
      <c r="C246" s="46" t="s">
        <v>115</v>
      </c>
      <c r="D246" s="47">
        <v>1</v>
      </c>
      <c r="E246" s="48">
        <v>2.3752969121140144E-3</v>
      </c>
    </row>
    <row r="247" spans="2:5" ht="15" customHeight="1" x14ac:dyDescent="0.25">
      <c r="B247" s="89"/>
      <c r="C247" s="46" t="s">
        <v>116</v>
      </c>
      <c r="D247" s="47">
        <v>1</v>
      </c>
      <c r="E247" s="48">
        <v>2.3752969121140144E-3</v>
      </c>
    </row>
    <row r="248" spans="2:5" ht="15" customHeight="1" x14ac:dyDescent="0.25">
      <c r="B248" s="89"/>
      <c r="C248" s="46" t="s">
        <v>126</v>
      </c>
      <c r="D248" s="47">
        <v>1</v>
      </c>
      <c r="E248" s="48">
        <v>2.3752969121140144E-3</v>
      </c>
    </row>
    <row r="249" spans="2:5" ht="15" customHeight="1" x14ac:dyDescent="0.25">
      <c r="B249" s="89"/>
      <c r="C249" s="46" t="s">
        <v>128</v>
      </c>
      <c r="D249" s="47">
        <v>2</v>
      </c>
      <c r="E249" s="48">
        <v>4.7505938242280287E-3</v>
      </c>
    </row>
    <row r="250" spans="2:5" ht="15" customHeight="1" x14ac:dyDescent="0.25">
      <c r="B250" s="89"/>
      <c r="C250" s="46" t="s">
        <v>129</v>
      </c>
      <c r="D250" s="47">
        <v>3</v>
      </c>
      <c r="E250" s="48">
        <v>7.1258907363420431E-3</v>
      </c>
    </row>
    <row r="251" spans="2:5" ht="15" customHeight="1" x14ac:dyDescent="0.25">
      <c r="B251" s="89"/>
      <c r="C251" s="46" t="s">
        <v>134</v>
      </c>
      <c r="D251" s="47">
        <v>1</v>
      </c>
      <c r="E251" s="48">
        <v>2.3752969121140144E-3</v>
      </c>
    </row>
    <row r="252" spans="2:5" ht="15" customHeight="1" x14ac:dyDescent="0.25">
      <c r="B252" s="90"/>
      <c r="C252" s="49" t="s">
        <v>54</v>
      </c>
      <c r="D252" s="50">
        <v>9</v>
      </c>
      <c r="E252" s="51">
        <v>2.1377672209026127E-2</v>
      </c>
    </row>
    <row r="253" spans="2:5" ht="15" customHeight="1" x14ac:dyDescent="0.25">
      <c r="B253" s="88" t="s">
        <v>106</v>
      </c>
      <c r="C253" s="46" t="s">
        <v>122</v>
      </c>
      <c r="D253" s="47">
        <v>2</v>
      </c>
      <c r="E253" s="48">
        <v>4.7505938242280287E-3</v>
      </c>
    </row>
    <row r="254" spans="2:5" ht="15" customHeight="1" x14ac:dyDescent="0.25">
      <c r="B254" s="89"/>
      <c r="C254" s="46" t="s">
        <v>135</v>
      </c>
      <c r="D254" s="47">
        <v>1</v>
      </c>
      <c r="E254" s="48">
        <v>2.3752969121140144E-3</v>
      </c>
    </row>
    <row r="255" spans="2:5" ht="15" customHeight="1" x14ac:dyDescent="0.25">
      <c r="B255" s="90"/>
      <c r="C255" s="49" t="s">
        <v>54</v>
      </c>
      <c r="D255" s="50">
        <v>3</v>
      </c>
      <c r="E255" s="51">
        <v>7.1258907363420431E-3</v>
      </c>
    </row>
    <row r="256" spans="2:5" ht="15" customHeight="1" x14ac:dyDescent="0.25">
      <c r="B256" s="88" t="s">
        <v>30</v>
      </c>
      <c r="C256" s="46" t="s">
        <v>122</v>
      </c>
      <c r="D256" s="47">
        <v>1</v>
      </c>
      <c r="E256" s="48">
        <v>2.3752969121140144E-3</v>
      </c>
    </row>
    <row r="257" spans="2:5" ht="15" customHeight="1" x14ac:dyDescent="0.25">
      <c r="B257" s="89"/>
      <c r="C257" s="46" t="s">
        <v>126</v>
      </c>
      <c r="D257" s="47">
        <v>1</v>
      </c>
      <c r="E257" s="48">
        <v>2.3752969121140144E-3</v>
      </c>
    </row>
    <row r="258" spans="2:5" ht="15" customHeight="1" x14ac:dyDescent="0.25">
      <c r="B258" s="89"/>
      <c r="C258" s="46" t="s">
        <v>129</v>
      </c>
      <c r="D258" s="47">
        <v>3</v>
      </c>
      <c r="E258" s="48">
        <v>7.1258907363420431E-3</v>
      </c>
    </row>
    <row r="259" spans="2:5" ht="15" customHeight="1" x14ac:dyDescent="0.25">
      <c r="B259" s="90"/>
      <c r="C259" s="49" t="s">
        <v>54</v>
      </c>
      <c r="D259" s="50">
        <v>5</v>
      </c>
      <c r="E259" s="51">
        <v>1.1876484560570071E-2</v>
      </c>
    </row>
    <row r="260" spans="2:5" ht="15" customHeight="1" x14ac:dyDescent="0.25">
      <c r="B260" s="92" t="s">
        <v>54</v>
      </c>
      <c r="C260" s="93"/>
      <c r="D260" s="52">
        <v>421</v>
      </c>
      <c r="E260" s="53">
        <v>1</v>
      </c>
    </row>
    <row r="262" spans="2:5" ht="15" customHeight="1" x14ac:dyDescent="0.25">
      <c r="B262" s="30" t="s">
        <v>55</v>
      </c>
    </row>
    <row r="263" spans="2:5" ht="15" customHeight="1" x14ac:dyDescent="0.25">
      <c r="B263" s="31" t="s">
        <v>56</v>
      </c>
    </row>
    <row r="264" spans="2:5" ht="15" customHeight="1" x14ac:dyDescent="0.25">
      <c r="B264" s="32" t="s">
        <v>57</v>
      </c>
    </row>
    <row r="265" spans="2:5" ht="15" customHeight="1" x14ac:dyDescent="0.25">
      <c r="B265" s="30" t="s">
        <v>58</v>
      </c>
    </row>
    <row r="266" spans="2:5" ht="15" customHeight="1" x14ac:dyDescent="0.25">
      <c r="B266" s="30" t="s">
        <v>59</v>
      </c>
    </row>
  </sheetData>
  <mergeCells count="42">
    <mergeCell ref="B260:C260"/>
    <mergeCell ref="B190:B192"/>
    <mergeCell ref="B193:B199"/>
    <mergeCell ref="B200:B201"/>
    <mergeCell ref="B202:B214"/>
    <mergeCell ref="B215:B221"/>
    <mergeCell ref="B222:B227"/>
    <mergeCell ref="B228:B237"/>
    <mergeCell ref="B238:B245"/>
    <mergeCell ref="B246:B252"/>
    <mergeCell ref="B253:B255"/>
    <mergeCell ref="B256:B259"/>
    <mergeCell ref="B181:B189"/>
    <mergeCell ref="B105:B119"/>
    <mergeCell ref="B120:B122"/>
    <mergeCell ref="B123:B125"/>
    <mergeCell ref="B126:B127"/>
    <mergeCell ref="B128:B132"/>
    <mergeCell ref="B133:B138"/>
    <mergeCell ref="B139:B147"/>
    <mergeCell ref="B148:B158"/>
    <mergeCell ref="B159:B162"/>
    <mergeCell ref="B163:B168"/>
    <mergeCell ref="B169:B180"/>
    <mergeCell ref="B99:B104"/>
    <mergeCell ref="B39:B45"/>
    <mergeCell ref="B46:B52"/>
    <mergeCell ref="B53:B54"/>
    <mergeCell ref="B55:B57"/>
    <mergeCell ref="B58:B61"/>
    <mergeCell ref="B62:B75"/>
    <mergeCell ref="B76:B79"/>
    <mergeCell ref="B80:B83"/>
    <mergeCell ref="B84:B88"/>
    <mergeCell ref="B89:B92"/>
    <mergeCell ref="B93:B98"/>
    <mergeCell ref="B30:B38"/>
    <mergeCell ref="B7:E8"/>
    <mergeCell ref="B10:B16"/>
    <mergeCell ref="B17:B24"/>
    <mergeCell ref="B25:B26"/>
    <mergeCell ref="B27:B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52" max="4" man="1"/>
    <brk id="92" max="4" man="1"/>
    <brk id="132" max="4" man="1"/>
    <brk id="168" max="4" man="1"/>
    <brk id="201" max="4" man="1"/>
    <brk id="24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4" t="s">
        <v>195</v>
      </c>
      <c r="C7" s="94"/>
      <c r="D7" s="94"/>
    </row>
    <row r="8" spans="1:4" s="14" customFormat="1" ht="15" customHeight="1" x14ac:dyDescent="0.2">
      <c r="B8" s="94"/>
      <c r="C8" s="94"/>
      <c r="D8" s="94"/>
    </row>
    <row r="9" spans="1:4" s="14" customFormat="1" ht="33" customHeight="1" x14ac:dyDescent="0.2">
      <c r="B9" s="94"/>
      <c r="C9" s="94"/>
      <c r="D9" s="94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145</v>
      </c>
      <c r="C11" s="19" t="s">
        <v>13</v>
      </c>
      <c r="D11" s="20" t="s">
        <v>14</v>
      </c>
    </row>
    <row r="12" spans="1:4" ht="15" customHeight="1" x14ac:dyDescent="0.25">
      <c r="B12" s="22" t="s">
        <v>182</v>
      </c>
      <c r="C12" s="23">
        <v>221</v>
      </c>
      <c r="D12" s="24">
        <v>0.52494061757719712</v>
      </c>
    </row>
    <row r="13" spans="1:4" ht="15" customHeight="1" x14ac:dyDescent="0.25">
      <c r="B13" s="22" t="s">
        <v>183</v>
      </c>
      <c r="C13" s="23">
        <v>200</v>
      </c>
      <c r="D13" s="24">
        <v>0.47505938242280282</v>
      </c>
    </row>
    <row r="14" spans="1:4" x14ac:dyDescent="0.25">
      <c r="B14" s="26" t="s">
        <v>148</v>
      </c>
      <c r="C14" s="27">
        <v>421</v>
      </c>
      <c r="D14" s="28">
        <v>1</v>
      </c>
    </row>
    <row r="15" spans="1:4" s="25" customFormat="1" ht="15.75" x14ac:dyDescent="0.25">
      <c r="A15" s="21"/>
      <c r="C15" s="72"/>
      <c r="D15" s="72"/>
    </row>
    <row r="16" spans="1:4" s="25" customFormat="1" ht="15.75" x14ac:dyDescent="0.25">
      <c r="A16" s="21"/>
      <c r="B16" s="30" t="s">
        <v>55</v>
      </c>
      <c r="C16" s="72"/>
      <c r="D16" s="72"/>
    </row>
    <row r="17" spans="2:4" x14ac:dyDescent="0.25">
      <c r="B17" s="31" t="s">
        <v>56</v>
      </c>
      <c r="C17" s="73"/>
      <c r="D17" s="73"/>
    </row>
    <row r="18" spans="2:4" x14ac:dyDescent="0.25">
      <c r="B18" s="32" t="s">
        <v>57</v>
      </c>
      <c r="C18" s="74"/>
      <c r="D18" s="74"/>
    </row>
    <row r="19" spans="2:4" x14ac:dyDescent="0.25">
      <c r="B19" s="30" t="s">
        <v>58</v>
      </c>
    </row>
    <row r="20" spans="2:4" x14ac:dyDescent="0.25">
      <c r="B20" s="30" t="s">
        <v>59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2"/>
  <sheetViews>
    <sheetView showGridLines="0" view="pageBreakPreview" zoomScaleNormal="175" zoomScaleSheetLayoutView="100" workbookViewId="0"/>
  </sheetViews>
  <sheetFormatPr baseColWidth="10" defaultRowHeight="11.25" x14ac:dyDescent="0.2"/>
  <cols>
    <col min="1" max="1" width="5.7109375" style="14" customWidth="1"/>
    <col min="2" max="2" width="19" style="38" customWidth="1"/>
    <col min="3" max="3" width="14.7109375" style="38" customWidth="1"/>
    <col min="4" max="4" width="23.5703125" style="67" customWidth="1"/>
    <col min="5" max="5" width="15.140625" style="38" bestFit="1" customWidth="1"/>
    <col min="6" max="6" width="5.7109375" style="14" customWidth="1"/>
    <col min="7" max="16384" width="11.42578125" style="14"/>
  </cols>
  <sheetData>
    <row r="1" spans="1:6" s="55" customFormat="1" ht="15" x14ac:dyDescent="0.25">
      <c r="B1" s="33"/>
      <c r="C1" s="38"/>
    </row>
    <row r="2" spans="1:6" s="38" customFormat="1" x14ac:dyDescent="0.2">
      <c r="B2" s="56"/>
    </row>
    <row r="3" spans="1:6" ht="15" customHeight="1" x14ac:dyDescent="0.2">
      <c r="B3" s="57"/>
      <c r="C3" s="15"/>
      <c r="D3" s="14"/>
      <c r="F3" s="38"/>
    </row>
    <row r="4" spans="1:6" ht="30" customHeight="1" x14ac:dyDescent="0.2">
      <c r="B4" s="57"/>
      <c r="C4" s="15"/>
      <c r="D4" s="14"/>
      <c r="F4" s="38"/>
    </row>
    <row r="5" spans="1:6" ht="15" customHeight="1" x14ac:dyDescent="0.2">
      <c r="B5" s="57"/>
      <c r="C5" s="15"/>
      <c r="D5" s="14"/>
      <c r="F5" s="38"/>
    </row>
    <row r="6" spans="1:6" s="38" customFormat="1" x14ac:dyDescent="0.2">
      <c r="B6" s="34"/>
      <c r="C6" s="40"/>
    </row>
    <row r="7" spans="1:6" s="38" customFormat="1" x14ac:dyDescent="0.2">
      <c r="A7" s="33"/>
      <c r="B7" s="56"/>
      <c r="C7" s="33"/>
    </row>
    <row r="8" spans="1:6" s="55" customFormat="1" ht="15" customHeight="1" x14ac:dyDescent="0.25">
      <c r="B8" s="98" t="s">
        <v>197</v>
      </c>
      <c r="C8" s="98"/>
      <c r="D8" s="98"/>
      <c r="E8" s="98"/>
    </row>
    <row r="9" spans="1:6" s="55" customFormat="1" ht="15" customHeight="1" x14ac:dyDescent="0.25">
      <c r="A9" s="58"/>
      <c r="B9" s="98"/>
      <c r="C9" s="98"/>
      <c r="D9" s="98"/>
      <c r="E9" s="98"/>
      <c r="F9" s="59"/>
    </row>
    <row r="10" spans="1:6" s="55" customFormat="1" ht="15" customHeight="1" x14ac:dyDescent="0.25">
      <c r="A10" s="58"/>
      <c r="B10" s="99"/>
      <c r="C10" s="99"/>
      <c r="D10" s="99"/>
      <c r="E10" s="99"/>
      <c r="F10" s="58"/>
    </row>
    <row r="11" spans="1:6" s="55" customFormat="1" ht="36.950000000000003" customHeight="1" x14ac:dyDescent="0.25">
      <c r="B11" s="60" t="s">
        <v>60</v>
      </c>
      <c r="C11" s="60" t="s">
        <v>145</v>
      </c>
      <c r="D11" s="60" t="s">
        <v>13</v>
      </c>
      <c r="E11" s="60" t="s">
        <v>14</v>
      </c>
    </row>
    <row r="12" spans="1:6" ht="15" customHeight="1" x14ac:dyDescent="0.2">
      <c r="B12" s="95" t="s">
        <v>85</v>
      </c>
      <c r="C12" s="61" t="s">
        <v>146</v>
      </c>
      <c r="D12" s="23">
        <v>3</v>
      </c>
      <c r="E12" s="24">
        <v>7.1258907363420431E-3</v>
      </c>
    </row>
    <row r="13" spans="1:6" ht="15" customHeight="1" x14ac:dyDescent="0.2">
      <c r="B13" s="96"/>
      <c r="C13" s="61" t="s">
        <v>147</v>
      </c>
      <c r="D13" s="23">
        <v>4</v>
      </c>
      <c r="E13" s="24">
        <v>9.5011876484560574E-3</v>
      </c>
    </row>
    <row r="14" spans="1:6" ht="15" customHeight="1" x14ac:dyDescent="0.2">
      <c r="B14" s="97"/>
      <c r="C14" s="62" t="s">
        <v>54</v>
      </c>
      <c r="D14" s="63">
        <v>7</v>
      </c>
      <c r="E14" s="64">
        <v>1.66270783847981E-2</v>
      </c>
    </row>
    <row r="15" spans="1:6" ht="15" customHeight="1" x14ac:dyDescent="0.2">
      <c r="B15" s="95" t="s">
        <v>68</v>
      </c>
      <c r="C15" s="61" t="s">
        <v>146</v>
      </c>
      <c r="D15" s="23">
        <v>5</v>
      </c>
      <c r="E15" s="24">
        <v>1.1876484560570071E-2</v>
      </c>
    </row>
    <row r="16" spans="1:6" ht="15" customHeight="1" x14ac:dyDescent="0.2">
      <c r="B16" s="96"/>
      <c r="C16" s="61" t="s">
        <v>147</v>
      </c>
      <c r="D16" s="23">
        <v>5</v>
      </c>
      <c r="E16" s="24">
        <v>1.1876484560570071E-2</v>
      </c>
    </row>
    <row r="17" spans="1:6" s="38" customFormat="1" ht="15" customHeight="1" x14ac:dyDescent="0.2">
      <c r="A17" s="14"/>
      <c r="B17" s="97"/>
      <c r="C17" s="62" t="s">
        <v>54</v>
      </c>
      <c r="D17" s="63">
        <v>10</v>
      </c>
      <c r="E17" s="64">
        <v>2.3752969121140142E-2</v>
      </c>
      <c r="F17" s="14"/>
    </row>
    <row r="18" spans="1:6" ht="13.5" x14ac:dyDescent="0.2">
      <c r="B18" s="95" t="s">
        <v>92</v>
      </c>
      <c r="C18" s="61" t="s">
        <v>147</v>
      </c>
      <c r="D18" s="23">
        <v>1</v>
      </c>
      <c r="E18" s="24">
        <v>2.3752969121140144E-3</v>
      </c>
    </row>
    <row r="19" spans="1:6" ht="13.5" x14ac:dyDescent="0.2">
      <c r="B19" s="97"/>
      <c r="C19" s="62" t="s">
        <v>54</v>
      </c>
      <c r="D19" s="63">
        <v>1</v>
      </c>
      <c r="E19" s="64">
        <v>2.3752969121140144E-3</v>
      </c>
    </row>
    <row r="20" spans="1:6" ht="13.5" x14ac:dyDescent="0.2">
      <c r="B20" s="95" t="s">
        <v>139</v>
      </c>
      <c r="C20" s="61" t="s">
        <v>146</v>
      </c>
      <c r="D20" s="23">
        <v>1</v>
      </c>
      <c r="E20" s="24">
        <v>2.3752969121140144E-3</v>
      </c>
    </row>
    <row r="21" spans="1:6" ht="13.5" x14ac:dyDescent="0.2">
      <c r="B21" s="96"/>
      <c r="C21" s="61" t="s">
        <v>147</v>
      </c>
      <c r="D21" s="23">
        <v>1</v>
      </c>
      <c r="E21" s="24">
        <v>2.3752969121140144E-3</v>
      </c>
    </row>
    <row r="22" spans="1:6" ht="13.5" x14ac:dyDescent="0.2">
      <c r="B22" s="97"/>
      <c r="C22" s="62" t="s">
        <v>54</v>
      </c>
      <c r="D22" s="63">
        <v>2</v>
      </c>
      <c r="E22" s="64">
        <v>4.7505938242280287E-3</v>
      </c>
    </row>
    <row r="23" spans="1:6" ht="13.5" x14ac:dyDescent="0.2">
      <c r="B23" s="95" t="s">
        <v>61</v>
      </c>
      <c r="C23" s="61" t="s">
        <v>146</v>
      </c>
      <c r="D23" s="23">
        <v>8</v>
      </c>
      <c r="E23" s="24">
        <v>1.9002375296912115E-2</v>
      </c>
    </row>
    <row r="24" spans="1:6" ht="13.5" x14ac:dyDescent="0.2">
      <c r="B24" s="96"/>
      <c r="C24" s="61" t="s">
        <v>147</v>
      </c>
      <c r="D24" s="23">
        <v>12</v>
      </c>
      <c r="E24" s="24">
        <v>2.8503562945368172E-2</v>
      </c>
    </row>
    <row r="25" spans="1:6" ht="13.5" x14ac:dyDescent="0.2">
      <c r="B25" s="97"/>
      <c r="C25" s="62" t="s">
        <v>54</v>
      </c>
      <c r="D25" s="63">
        <v>20</v>
      </c>
      <c r="E25" s="64">
        <v>4.7505938242280284E-2</v>
      </c>
    </row>
    <row r="26" spans="1:6" ht="13.5" x14ac:dyDescent="0.2">
      <c r="B26" s="95" t="s">
        <v>64</v>
      </c>
      <c r="C26" s="61" t="s">
        <v>146</v>
      </c>
      <c r="D26" s="23">
        <v>6</v>
      </c>
      <c r="E26" s="24">
        <v>1.4251781472684086E-2</v>
      </c>
    </row>
    <row r="27" spans="1:6" ht="13.5" x14ac:dyDescent="0.2">
      <c r="B27" s="96"/>
      <c r="C27" s="61" t="s">
        <v>147</v>
      </c>
      <c r="D27" s="23">
        <v>8</v>
      </c>
      <c r="E27" s="24">
        <v>1.9002375296912115E-2</v>
      </c>
    </row>
    <row r="28" spans="1:6" ht="13.5" x14ac:dyDescent="0.2">
      <c r="B28" s="97"/>
      <c r="C28" s="62" t="s">
        <v>54</v>
      </c>
      <c r="D28" s="63">
        <v>14</v>
      </c>
      <c r="E28" s="64">
        <v>3.3254156769596199E-2</v>
      </c>
    </row>
    <row r="29" spans="1:6" ht="13.5" x14ac:dyDescent="0.2">
      <c r="B29" s="95" t="s">
        <v>65</v>
      </c>
      <c r="C29" s="61" t="s">
        <v>146</v>
      </c>
      <c r="D29" s="23">
        <v>3</v>
      </c>
      <c r="E29" s="24">
        <v>7.1258907363420431E-3</v>
      </c>
    </row>
    <row r="30" spans="1:6" ht="13.5" x14ac:dyDescent="0.2">
      <c r="B30" s="96"/>
      <c r="C30" s="61" t="s">
        <v>147</v>
      </c>
      <c r="D30" s="23">
        <v>4</v>
      </c>
      <c r="E30" s="24">
        <v>9.5011876484560574E-3</v>
      </c>
    </row>
    <row r="31" spans="1:6" ht="13.5" x14ac:dyDescent="0.2">
      <c r="B31" s="97"/>
      <c r="C31" s="62" t="s">
        <v>54</v>
      </c>
      <c r="D31" s="63">
        <v>7</v>
      </c>
      <c r="E31" s="64">
        <v>1.66270783847981E-2</v>
      </c>
    </row>
    <row r="32" spans="1:6" ht="13.5" x14ac:dyDescent="0.2">
      <c r="B32" s="95" t="s">
        <v>86</v>
      </c>
      <c r="C32" s="61" t="s">
        <v>147</v>
      </c>
      <c r="D32" s="23">
        <v>1</v>
      </c>
      <c r="E32" s="24">
        <v>2.3752969121140144E-3</v>
      </c>
    </row>
    <row r="33" spans="2:5" ht="13.5" x14ac:dyDescent="0.2">
      <c r="B33" s="97"/>
      <c r="C33" s="62" t="s">
        <v>54</v>
      </c>
      <c r="D33" s="63">
        <v>1</v>
      </c>
      <c r="E33" s="64">
        <v>2.3752969121140144E-3</v>
      </c>
    </row>
    <row r="34" spans="2:5" ht="13.5" x14ac:dyDescent="0.2">
      <c r="B34" s="95" t="s">
        <v>93</v>
      </c>
      <c r="C34" s="61" t="s">
        <v>146</v>
      </c>
      <c r="D34" s="23">
        <v>1</v>
      </c>
      <c r="E34" s="24">
        <v>2.3752969121140144E-3</v>
      </c>
    </row>
    <row r="35" spans="2:5" ht="13.5" x14ac:dyDescent="0.2">
      <c r="B35" s="96"/>
      <c r="C35" s="61" t="s">
        <v>147</v>
      </c>
      <c r="D35" s="23">
        <v>1</v>
      </c>
      <c r="E35" s="24">
        <v>2.3752969121140144E-3</v>
      </c>
    </row>
    <row r="36" spans="2:5" ht="13.5" x14ac:dyDescent="0.2">
      <c r="B36" s="97"/>
      <c r="C36" s="62" t="s">
        <v>54</v>
      </c>
      <c r="D36" s="63">
        <v>2</v>
      </c>
      <c r="E36" s="64">
        <v>4.7505938242280287E-3</v>
      </c>
    </row>
    <row r="37" spans="2:5" ht="13.5" x14ac:dyDescent="0.2">
      <c r="B37" s="95" t="s">
        <v>98</v>
      </c>
      <c r="C37" s="61" t="s">
        <v>146</v>
      </c>
      <c r="D37" s="23">
        <v>2</v>
      </c>
      <c r="E37" s="24">
        <v>4.7505938242280287E-3</v>
      </c>
    </row>
    <row r="38" spans="2:5" ht="13.5" x14ac:dyDescent="0.2">
      <c r="B38" s="96"/>
      <c r="C38" s="61" t="s">
        <v>147</v>
      </c>
      <c r="D38" s="23">
        <v>2</v>
      </c>
      <c r="E38" s="24">
        <v>4.7505938242280287E-3</v>
      </c>
    </row>
    <row r="39" spans="2:5" ht="13.5" x14ac:dyDescent="0.2">
      <c r="B39" s="97"/>
      <c r="C39" s="62" t="s">
        <v>54</v>
      </c>
      <c r="D39" s="63">
        <v>4</v>
      </c>
      <c r="E39" s="64">
        <v>9.5011876484560574E-3</v>
      </c>
    </row>
    <row r="40" spans="2:5" ht="13.5" x14ac:dyDescent="0.2">
      <c r="B40" s="95" t="s">
        <v>74</v>
      </c>
      <c r="C40" s="61" t="s">
        <v>146</v>
      </c>
      <c r="D40" s="23">
        <v>22</v>
      </c>
      <c r="E40" s="24">
        <v>5.2256532066508314E-2</v>
      </c>
    </row>
    <row r="41" spans="2:5" ht="13.5" x14ac:dyDescent="0.2">
      <c r="B41" s="96"/>
      <c r="C41" s="61" t="s">
        <v>147</v>
      </c>
      <c r="D41" s="23">
        <v>17</v>
      </c>
      <c r="E41" s="24">
        <v>4.0380047505938245E-2</v>
      </c>
    </row>
    <row r="42" spans="2:5" ht="13.5" x14ac:dyDescent="0.2">
      <c r="B42" s="97"/>
      <c r="C42" s="62" t="s">
        <v>54</v>
      </c>
      <c r="D42" s="63">
        <v>39</v>
      </c>
      <c r="E42" s="64">
        <v>9.2636579572446559E-2</v>
      </c>
    </row>
    <row r="43" spans="2:5" ht="13.5" x14ac:dyDescent="0.2">
      <c r="B43" s="95" t="s">
        <v>66</v>
      </c>
      <c r="C43" s="61" t="s">
        <v>146</v>
      </c>
      <c r="D43" s="23">
        <v>5</v>
      </c>
      <c r="E43" s="24">
        <v>1.1876484560570071E-2</v>
      </c>
    </row>
    <row r="44" spans="2:5" ht="13.5" x14ac:dyDescent="0.2">
      <c r="B44" s="96"/>
      <c r="C44" s="61" t="s">
        <v>147</v>
      </c>
      <c r="D44" s="23">
        <v>3</v>
      </c>
      <c r="E44" s="24">
        <v>7.1258907363420431E-3</v>
      </c>
    </row>
    <row r="45" spans="2:5" ht="13.5" x14ac:dyDescent="0.2">
      <c r="B45" s="97"/>
      <c r="C45" s="62" t="s">
        <v>54</v>
      </c>
      <c r="D45" s="63">
        <v>8</v>
      </c>
      <c r="E45" s="64">
        <v>1.9002375296912115E-2</v>
      </c>
    </row>
    <row r="46" spans="2:5" ht="13.5" x14ac:dyDescent="0.2">
      <c r="B46" s="95" t="s">
        <v>141</v>
      </c>
      <c r="C46" s="61" t="s">
        <v>146</v>
      </c>
      <c r="D46" s="23">
        <v>3</v>
      </c>
      <c r="E46" s="24">
        <v>7.1258907363420431E-3</v>
      </c>
    </row>
    <row r="47" spans="2:5" ht="13.5" x14ac:dyDescent="0.2">
      <c r="B47" s="97"/>
      <c r="C47" s="62" t="s">
        <v>54</v>
      </c>
      <c r="D47" s="63">
        <v>3</v>
      </c>
      <c r="E47" s="64">
        <v>7.1258907363420431E-3</v>
      </c>
    </row>
    <row r="48" spans="2:5" ht="13.5" x14ac:dyDescent="0.2">
      <c r="B48" s="95" t="s">
        <v>70</v>
      </c>
      <c r="C48" s="61" t="s">
        <v>146</v>
      </c>
      <c r="D48" s="23">
        <v>4</v>
      </c>
      <c r="E48" s="24">
        <v>9.5011876484560574E-3</v>
      </c>
    </row>
    <row r="49" spans="2:5" ht="13.5" x14ac:dyDescent="0.2">
      <c r="B49" s="97"/>
      <c r="C49" s="62" t="s">
        <v>54</v>
      </c>
      <c r="D49" s="63">
        <v>4</v>
      </c>
      <c r="E49" s="64">
        <v>9.5011876484560574E-3</v>
      </c>
    </row>
    <row r="50" spans="2:5" ht="13.5" x14ac:dyDescent="0.2">
      <c r="B50" s="95" t="s">
        <v>99</v>
      </c>
      <c r="C50" s="61" t="s">
        <v>146</v>
      </c>
      <c r="D50" s="23">
        <v>1</v>
      </c>
      <c r="E50" s="24">
        <v>2.3752969121140144E-3</v>
      </c>
    </row>
    <row r="51" spans="2:5" ht="13.5" x14ac:dyDescent="0.2">
      <c r="B51" s="96"/>
      <c r="C51" s="61" t="s">
        <v>147</v>
      </c>
      <c r="D51" s="23">
        <v>2</v>
      </c>
      <c r="E51" s="24">
        <v>4.7505938242280287E-3</v>
      </c>
    </row>
    <row r="52" spans="2:5" ht="13.5" x14ac:dyDescent="0.2">
      <c r="B52" s="97"/>
      <c r="C52" s="62" t="s">
        <v>54</v>
      </c>
      <c r="D52" s="63">
        <v>3</v>
      </c>
      <c r="E52" s="64">
        <v>7.1258907363420431E-3</v>
      </c>
    </row>
    <row r="53" spans="2:5" ht="13.5" x14ac:dyDescent="0.2">
      <c r="B53" s="95" t="s">
        <v>72</v>
      </c>
      <c r="C53" s="61" t="s">
        <v>146</v>
      </c>
      <c r="D53" s="23">
        <v>10</v>
      </c>
      <c r="E53" s="24">
        <v>2.3752969121140142E-2</v>
      </c>
    </row>
    <row r="54" spans="2:5" ht="13.5" x14ac:dyDescent="0.2">
      <c r="B54" s="96"/>
      <c r="C54" s="61" t="s">
        <v>147</v>
      </c>
      <c r="D54" s="23">
        <v>8</v>
      </c>
      <c r="E54" s="24">
        <v>1.9002375296912115E-2</v>
      </c>
    </row>
    <row r="55" spans="2:5" ht="13.5" x14ac:dyDescent="0.2">
      <c r="B55" s="97"/>
      <c r="C55" s="62" t="s">
        <v>54</v>
      </c>
      <c r="D55" s="63">
        <v>18</v>
      </c>
      <c r="E55" s="64">
        <v>4.2755344418052253E-2</v>
      </c>
    </row>
    <row r="56" spans="2:5" ht="13.5" x14ac:dyDescent="0.2">
      <c r="B56" s="95" t="s">
        <v>62</v>
      </c>
      <c r="C56" s="61" t="s">
        <v>146</v>
      </c>
      <c r="D56" s="23">
        <v>4</v>
      </c>
      <c r="E56" s="24">
        <v>9.5011876484560574E-3</v>
      </c>
    </row>
    <row r="57" spans="2:5" ht="13.5" x14ac:dyDescent="0.2">
      <c r="B57" s="96"/>
      <c r="C57" s="61" t="s">
        <v>147</v>
      </c>
      <c r="D57" s="23">
        <v>3</v>
      </c>
      <c r="E57" s="24">
        <v>7.1258907363420431E-3</v>
      </c>
    </row>
    <row r="58" spans="2:5" ht="13.5" x14ac:dyDescent="0.2">
      <c r="B58" s="97"/>
      <c r="C58" s="62" t="s">
        <v>54</v>
      </c>
      <c r="D58" s="63">
        <v>7</v>
      </c>
      <c r="E58" s="64">
        <v>1.66270783847981E-2</v>
      </c>
    </row>
    <row r="59" spans="2:5" ht="13.5" x14ac:dyDescent="0.2">
      <c r="B59" s="95" t="s">
        <v>142</v>
      </c>
      <c r="C59" s="61" t="s">
        <v>146</v>
      </c>
      <c r="D59" s="23">
        <v>31</v>
      </c>
      <c r="E59" s="24">
        <v>7.3634204275534437E-2</v>
      </c>
    </row>
    <row r="60" spans="2:5" ht="13.5" x14ac:dyDescent="0.2">
      <c r="B60" s="96"/>
      <c r="C60" s="61" t="s">
        <v>147</v>
      </c>
      <c r="D60" s="23">
        <v>29</v>
      </c>
      <c r="E60" s="24">
        <v>6.8883610451306407E-2</v>
      </c>
    </row>
    <row r="61" spans="2:5" ht="13.5" x14ac:dyDescent="0.2">
      <c r="B61" s="97"/>
      <c r="C61" s="62" t="s">
        <v>54</v>
      </c>
      <c r="D61" s="63">
        <v>60</v>
      </c>
      <c r="E61" s="64">
        <v>0.14251781472684086</v>
      </c>
    </row>
    <row r="62" spans="2:5" ht="13.5" x14ac:dyDescent="0.2">
      <c r="B62" s="95" t="s">
        <v>143</v>
      </c>
      <c r="C62" s="61" t="s">
        <v>146</v>
      </c>
      <c r="D62" s="23">
        <v>1</v>
      </c>
      <c r="E62" s="24">
        <v>2.3752969121140144E-3</v>
      </c>
    </row>
    <row r="63" spans="2:5" ht="13.5" x14ac:dyDescent="0.2">
      <c r="B63" s="96"/>
      <c r="C63" s="61" t="s">
        <v>147</v>
      </c>
      <c r="D63" s="23">
        <v>1</v>
      </c>
      <c r="E63" s="24">
        <v>2.3752969121140144E-3</v>
      </c>
    </row>
    <row r="64" spans="2:5" ht="13.5" x14ac:dyDescent="0.2">
      <c r="B64" s="97"/>
      <c r="C64" s="62" t="s">
        <v>54</v>
      </c>
      <c r="D64" s="63">
        <v>2</v>
      </c>
      <c r="E64" s="64">
        <v>4.7505938242280287E-3</v>
      </c>
    </row>
    <row r="65" spans="2:5" ht="13.5" x14ac:dyDescent="0.2">
      <c r="B65" s="95" t="s">
        <v>87</v>
      </c>
      <c r="C65" s="61" t="s">
        <v>146</v>
      </c>
      <c r="D65" s="23">
        <v>2</v>
      </c>
      <c r="E65" s="24">
        <v>4.7505938242280287E-3</v>
      </c>
    </row>
    <row r="66" spans="2:5" ht="13.5" x14ac:dyDescent="0.2">
      <c r="B66" s="96"/>
      <c r="C66" s="61" t="s">
        <v>147</v>
      </c>
      <c r="D66" s="23">
        <v>1</v>
      </c>
      <c r="E66" s="24">
        <v>2.3752969121140144E-3</v>
      </c>
    </row>
    <row r="67" spans="2:5" ht="13.5" x14ac:dyDescent="0.2">
      <c r="B67" s="97"/>
      <c r="C67" s="62" t="s">
        <v>54</v>
      </c>
      <c r="D67" s="63">
        <v>3</v>
      </c>
      <c r="E67" s="64">
        <v>7.1258907363420431E-3</v>
      </c>
    </row>
    <row r="68" spans="2:5" ht="13.5" x14ac:dyDescent="0.2">
      <c r="B68" s="95" t="s">
        <v>90</v>
      </c>
      <c r="C68" s="61" t="s">
        <v>147</v>
      </c>
      <c r="D68" s="23">
        <v>1</v>
      </c>
      <c r="E68" s="24">
        <v>2.3752969121140144E-3</v>
      </c>
    </row>
    <row r="69" spans="2:5" ht="13.5" x14ac:dyDescent="0.2">
      <c r="B69" s="97"/>
      <c r="C69" s="62" t="s">
        <v>54</v>
      </c>
      <c r="D69" s="63">
        <v>1</v>
      </c>
      <c r="E69" s="64">
        <v>2.3752969121140144E-3</v>
      </c>
    </row>
    <row r="70" spans="2:5" ht="13.5" x14ac:dyDescent="0.2">
      <c r="B70" s="95" t="s">
        <v>97</v>
      </c>
      <c r="C70" s="61" t="s">
        <v>146</v>
      </c>
      <c r="D70" s="23">
        <v>3</v>
      </c>
      <c r="E70" s="24">
        <v>7.1258907363420431E-3</v>
      </c>
    </row>
    <row r="71" spans="2:5" ht="13.5" x14ac:dyDescent="0.2">
      <c r="B71" s="96"/>
      <c r="C71" s="61" t="s">
        <v>147</v>
      </c>
      <c r="D71" s="23">
        <v>1</v>
      </c>
      <c r="E71" s="24">
        <v>2.3752969121140144E-3</v>
      </c>
    </row>
    <row r="72" spans="2:5" ht="13.5" x14ac:dyDescent="0.2">
      <c r="B72" s="97"/>
      <c r="C72" s="62" t="s">
        <v>54</v>
      </c>
      <c r="D72" s="63">
        <v>4</v>
      </c>
      <c r="E72" s="64">
        <v>9.5011876484560574E-3</v>
      </c>
    </row>
    <row r="73" spans="2:5" ht="13.5" x14ac:dyDescent="0.2">
      <c r="B73" s="95" t="s">
        <v>78</v>
      </c>
      <c r="C73" s="61" t="s">
        <v>146</v>
      </c>
      <c r="D73" s="23">
        <v>3</v>
      </c>
      <c r="E73" s="24">
        <v>7.1258907363420431E-3</v>
      </c>
    </row>
    <row r="74" spans="2:5" ht="13.5" x14ac:dyDescent="0.2">
      <c r="B74" s="96"/>
      <c r="C74" s="61" t="s">
        <v>147</v>
      </c>
      <c r="D74" s="23">
        <v>2</v>
      </c>
      <c r="E74" s="24">
        <v>4.7505938242280287E-3</v>
      </c>
    </row>
    <row r="75" spans="2:5" ht="13.5" x14ac:dyDescent="0.2">
      <c r="B75" s="97"/>
      <c r="C75" s="62" t="s">
        <v>54</v>
      </c>
      <c r="D75" s="63">
        <v>5</v>
      </c>
      <c r="E75" s="64">
        <v>1.1876484560570071E-2</v>
      </c>
    </row>
    <row r="76" spans="2:5" ht="13.5" x14ac:dyDescent="0.2">
      <c r="B76" s="95" t="s">
        <v>77</v>
      </c>
      <c r="C76" s="61" t="s">
        <v>146</v>
      </c>
      <c r="D76" s="23">
        <v>2</v>
      </c>
      <c r="E76" s="24">
        <v>4.7505938242280287E-3</v>
      </c>
    </row>
    <row r="77" spans="2:5" ht="13.5" x14ac:dyDescent="0.2">
      <c r="B77" s="96"/>
      <c r="C77" s="61" t="s">
        <v>147</v>
      </c>
      <c r="D77" s="23">
        <v>6</v>
      </c>
      <c r="E77" s="24">
        <v>1.4251781472684086E-2</v>
      </c>
    </row>
    <row r="78" spans="2:5" ht="13.5" x14ac:dyDescent="0.2">
      <c r="B78" s="97"/>
      <c r="C78" s="62" t="s">
        <v>54</v>
      </c>
      <c r="D78" s="63">
        <v>8</v>
      </c>
      <c r="E78" s="64">
        <v>1.9002375296912115E-2</v>
      </c>
    </row>
    <row r="79" spans="2:5" ht="13.5" x14ac:dyDescent="0.2">
      <c r="B79" s="95" t="s">
        <v>81</v>
      </c>
      <c r="C79" s="61" t="s">
        <v>146</v>
      </c>
      <c r="D79" s="23">
        <v>11</v>
      </c>
      <c r="E79" s="24">
        <v>2.6128266033254157E-2</v>
      </c>
    </row>
    <row r="80" spans="2:5" ht="13.5" x14ac:dyDescent="0.2">
      <c r="B80" s="96"/>
      <c r="C80" s="61" t="s">
        <v>147</v>
      </c>
      <c r="D80" s="23">
        <v>8</v>
      </c>
      <c r="E80" s="24">
        <v>1.9002375296912115E-2</v>
      </c>
    </row>
    <row r="81" spans="2:5" ht="13.5" x14ac:dyDescent="0.2">
      <c r="B81" s="97"/>
      <c r="C81" s="62" t="s">
        <v>54</v>
      </c>
      <c r="D81" s="63">
        <v>19</v>
      </c>
      <c r="E81" s="64">
        <v>4.5130641330166268E-2</v>
      </c>
    </row>
    <row r="82" spans="2:5" ht="13.5" x14ac:dyDescent="0.2">
      <c r="B82" s="95" t="s">
        <v>88</v>
      </c>
      <c r="C82" s="61" t="s">
        <v>146</v>
      </c>
      <c r="D82" s="23">
        <v>2</v>
      </c>
      <c r="E82" s="24">
        <v>4.7505938242280287E-3</v>
      </c>
    </row>
    <row r="83" spans="2:5" ht="13.5" x14ac:dyDescent="0.2">
      <c r="B83" s="96"/>
      <c r="C83" s="61" t="s">
        <v>147</v>
      </c>
      <c r="D83" s="23">
        <v>2</v>
      </c>
      <c r="E83" s="24">
        <v>4.7505938242280287E-3</v>
      </c>
    </row>
    <row r="84" spans="2:5" ht="13.5" x14ac:dyDescent="0.2">
      <c r="B84" s="97"/>
      <c r="C84" s="62" t="s">
        <v>54</v>
      </c>
      <c r="D84" s="63">
        <v>4</v>
      </c>
      <c r="E84" s="64">
        <v>9.5011876484560574E-3</v>
      </c>
    </row>
    <row r="85" spans="2:5" ht="13.5" x14ac:dyDescent="0.2">
      <c r="B85" s="95" t="s">
        <v>94</v>
      </c>
      <c r="C85" s="61" t="s">
        <v>146</v>
      </c>
      <c r="D85" s="23">
        <v>5</v>
      </c>
      <c r="E85" s="24">
        <v>1.1876484560570071E-2</v>
      </c>
    </row>
    <row r="86" spans="2:5" ht="13.5" x14ac:dyDescent="0.2">
      <c r="B86" s="96"/>
      <c r="C86" s="61" t="s">
        <v>147</v>
      </c>
      <c r="D86" s="23">
        <v>4</v>
      </c>
      <c r="E86" s="24">
        <v>9.5011876484560574E-3</v>
      </c>
    </row>
    <row r="87" spans="2:5" ht="13.5" x14ac:dyDescent="0.2">
      <c r="B87" s="97"/>
      <c r="C87" s="62" t="s">
        <v>54</v>
      </c>
      <c r="D87" s="63">
        <v>9</v>
      </c>
      <c r="E87" s="64">
        <v>2.1377672209026127E-2</v>
      </c>
    </row>
    <row r="88" spans="2:5" ht="13.5" x14ac:dyDescent="0.2">
      <c r="B88" s="95" t="s">
        <v>69</v>
      </c>
      <c r="C88" s="61" t="s">
        <v>146</v>
      </c>
      <c r="D88" s="23">
        <v>12</v>
      </c>
      <c r="E88" s="24">
        <v>2.8503562945368172E-2</v>
      </c>
    </row>
    <row r="89" spans="2:5" ht="13.5" x14ac:dyDescent="0.2">
      <c r="B89" s="96"/>
      <c r="C89" s="61" t="s">
        <v>147</v>
      </c>
      <c r="D89" s="23">
        <v>11</v>
      </c>
      <c r="E89" s="24">
        <v>2.6128266033254157E-2</v>
      </c>
    </row>
    <row r="90" spans="2:5" ht="13.5" x14ac:dyDescent="0.2">
      <c r="B90" s="97"/>
      <c r="C90" s="62" t="s">
        <v>54</v>
      </c>
      <c r="D90" s="63">
        <v>23</v>
      </c>
      <c r="E90" s="64">
        <v>5.4631828978622329E-2</v>
      </c>
    </row>
    <row r="91" spans="2:5" ht="13.5" x14ac:dyDescent="0.2">
      <c r="B91" s="95" t="s">
        <v>79</v>
      </c>
      <c r="C91" s="61" t="s">
        <v>146</v>
      </c>
      <c r="D91" s="23">
        <v>8</v>
      </c>
      <c r="E91" s="24">
        <v>1.9002375296912115E-2</v>
      </c>
    </row>
    <row r="92" spans="2:5" ht="13.5" x14ac:dyDescent="0.2">
      <c r="B92" s="96"/>
      <c r="C92" s="61" t="s">
        <v>147</v>
      </c>
      <c r="D92" s="23">
        <v>7</v>
      </c>
      <c r="E92" s="24">
        <v>1.66270783847981E-2</v>
      </c>
    </row>
    <row r="93" spans="2:5" ht="13.5" x14ac:dyDescent="0.2">
      <c r="B93" s="97"/>
      <c r="C93" s="62" t="s">
        <v>54</v>
      </c>
      <c r="D93" s="63">
        <v>15</v>
      </c>
      <c r="E93" s="64">
        <v>3.5629453681710214E-2</v>
      </c>
    </row>
    <row r="94" spans="2:5" ht="13.5" x14ac:dyDescent="0.2">
      <c r="B94" s="95" t="s">
        <v>96</v>
      </c>
      <c r="C94" s="61" t="s">
        <v>146</v>
      </c>
      <c r="D94" s="23">
        <v>3</v>
      </c>
      <c r="E94" s="24">
        <v>7.1258907363420431E-3</v>
      </c>
    </row>
    <row r="95" spans="2:5" ht="13.5" x14ac:dyDescent="0.2">
      <c r="B95" s="96"/>
      <c r="C95" s="61" t="s">
        <v>147</v>
      </c>
      <c r="D95" s="23">
        <v>2</v>
      </c>
      <c r="E95" s="24">
        <v>4.7505938242280287E-3</v>
      </c>
    </row>
    <row r="96" spans="2:5" ht="13.5" x14ac:dyDescent="0.2">
      <c r="B96" s="97"/>
      <c r="C96" s="62" t="s">
        <v>54</v>
      </c>
      <c r="D96" s="63">
        <v>5</v>
      </c>
      <c r="E96" s="64">
        <v>1.1876484560570071E-2</v>
      </c>
    </row>
    <row r="97" spans="2:5" ht="13.5" x14ac:dyDescent="0.2">
      <c r="B97" s="95" t="s">
        <v>80</v>
      </c>
      <c r="C97" s="61" t="s">
        <v>146</v>
      </c>
      <c r="D97" s="23">
        <v>8</v>
      </c>
      <c r="E97" s="24">
        <v>1.9002375296912115E-2</v>
      </c>
    </row>
    <row r="98" spans="2:5" ht="13.5" x14ac:dyDescent="0.2">
      <c r="B98" s="96"/>
      <c r="C98" s="61" t="s">
        <v>147</v>
      </c>
      <c r="D98" s="23">
        <v>8</v>
      </c>
      <c r="E98" s="24">
        <v>1.9002375296912115E-2</v>
      </c>
    </row>
    <row r="99" spans="2:5" ht="13.5" x14ac:dyDescent="0.2">
      <c r="B99" s="97"/>
      <c r="C99" s="62" t="s">
        <v>54</v>
      </c>
      <c r="D99" s="63">
        <v>16</v>
      </c>
      <c r="E99" s="64">
        <v>3.800475059382423E-2</v>
      </c>
    </row>
    <row r="100" spans="2:5" ht="13.5" x14ac:dyDescent="0.2">
      <c r="B100" s="95" t="s">
        <v>76</v>
      </c>
      <c r="C100" s="61" t="s">
        <v>146</v>
      </c>
      <c r="D100" s="23">
        <v>1</v>
      </c>
      <c r="E100" s="24">
        <v>2.3752969121140144E-3</v>
      </c>
    </row>
    <row r="101" spans="2:5" ht="13.5" x14ac:dyDescent="0.2">
      <c r="B101" s="96"/>
      <c r="C101" s="61" t="s">
        <v>147</v>
      </c>
      <c r="D101" s="23">
        <v>1</v>
      </c>
      <c r="E101" s="24">
        <v>2.3752969121140144E-3</v>
      </c>
    </row>
    <row r="102" spans="2:5" ht="13.5" x14ac:dyDescent="0.2">
      <c r="B102" s="97"/>
      <c r="C102" s="62" t="s">
        <v>54</v>
      </c>
      <c r="D102" s="63">
        <v>2</v>
      </c>
      <c r="E102" s="64">
        <v>4.7505938242280287E-3</v>
      </c>
    </row>
    <row r="103" spans="2:5" ht="13.5" x14ac:dyDescent="0.2">
      <c r="B103" s="95" t="s">
        <v>67</v>
      </c>
      <c r="C103" s="61" t="s">
        <v>146</v>
      </c>
      <c r="D103" s="23">
        <v>11</v>
      </c>
      <c r="E103" s="24">
        <v>2.6128266033254157E-2</v>
      </c>
    </row>
    <row r="104" spans="2:5" ht="13.5" x14ac:dyDescent="0.2">
      <c r="B104" s="96"/>
      <c r="C104" s="61" t="s">
        <v>147</v>
      </c>
      <c r="D104" s="23">
        <v>19</v>
      </c>
      <c r="E104" s="24">
        <v>4.5130641330166268E-2</v>
      </c>
    </row>
    <row r="105" spans="2:5" ht="13.5" x14ac:dyDescent="0.2">
      <c r="B105" s="97"/>
      <c r="C105" s="62" t="s">
        <v>54</v>
      </c>
      <c r="D105" s="63">
        <v>30</v>
      </c>
      <c r="E105" s="64">
        <v>7.1258907363420429E-2</v>
      </c>
    </row>
    <row r="106" spans="2:5" ht="13.5" x14ac:dyDescent="0.2">
      <c r="B106" s="95" t="s">
        <v>91</v>
      </c>
      <c r="C106" s="61" t="s">
        <v>146</v>
      </c>
      <c r="D106" s="23">
        <v>8</v>
      </c>
      <c r="E106" s="24">
        <v>1.9002375296912115E-2</v>
      </c>
    </row>
    <row r="107" spans="2:5" ht="13.5" x14ac:dyDescent="0.2">
      <c r="B107" s="96"/>
      <c r="C107" s="61" t="s">
        <v>147</v>
      </c>
      <c r="D107" s="23">
        <v>5</v>
      </c>
      <c r="E107" s="24">
        <v>1.1876484560570071E-2</v>
      </c>
    </row>
    <row r="108" spans="2:5" ht="13.5" x14ac:dyDescent="0.2">
      <c r="B108" s="97"/>
      <c r="C108" s="62" t="s">
        <v>54</v>
      </c>
      <c r="D108" s="63">
        <v>13</v>
      </c>
      <c r="E108" s="64">
        <v>3.0878859857482184E-2</v>
      </c>
    </row>
    <row r="109" spans="2:5" ht="13.5" x14ac:dyDescent="0.2">
      <c r="B109" s="95" t="s">
        <v>84</v>
      </c>
      <c r="C109" s="61" t="s">
        <v>146</v>
      </c>
      <c r="D109" s="23">
        <v>3</v>
      </c>
      <c r="E109" s="24">
        <v>7.1258907363420431E-3</v>
      </c>
    </row>
    <row r="110" spans="2:5" ht="13.5" x14ac:dyDescent="0.2">
      <c r="B110" s="96"/>
      <c r="C110" s="61" t="s">
        <v>147</v>
      </c>
      <c r="D110" s="23">
        <v>4</v>
      </c>
      <c r="E110" s="24">
        <v>9.5011876484560574E-3</v>
      </c>
    </row>
    <row r="111" spans="2:5" ht="13.5" x14ac:dyDescent="0.2">
      <c r="B111" s="97"/>
      <c r="C111" s="62" t="s">
        <v>54</v>
      </c>
      <c r="D111" s="63">
        <v>7</v>
      </c>
      <c r="E111" s="64">
        <v>1.66270783847981E-2</v>
      </c>
    </row>
    <row r="112" spans="2:5" ht="13.5" x14ac:dyDescent="0.2">
      <c r="B112" s="95" t="s">
        <v>144</v>
      </c>
      <c r="C112" s="61" t="s">
        <v>146</v>
      </c>
      <c r="D112" s="23">
        <v>9</v>
      </c>
      <c r="E112" s="24">
        <v>2.1377672209026127E-2</v>
      </c>
    </row>
    <row r="113" spans="2:5" ht="13.5" x14ac:dyDescent="0.2">
      <c r="B113" s="96"/>
      <c r="C113" s="61" t="s">
        <v>147</v>
      </c>
      <c r="D113" s="23">
        <v>7</v>
      </c>
      <c r="E113" s="24">
        <v>1.66270783847981E-2</v>
      </c>
    </row>
    <row r="114" spans="2:5" ht="13.5" x14ac:dyDescent="0.2">
      <c r="B114" s="97"/>
      <c r="C114" s="62" t="s">
        <v>54</v>
      </c>
      <c r="D114" s="63">
        <v>16</v>
      </c>
      <c r="E114" s="64">
        <v>3.800475059382423E-2</v>
      </c>
    </row>
    <row r="115" spans="2:5" ht="13.5" x14ac:dyDescent="0.2">
      <c r="B115" s="95" t="s">
        <v>75</v>
      </c>
      <c r="C115" s="61" t="s">
        <v>146</v>
      </c>
      <c r="D115" s="23">
        <v>6</v>
      </c>
      <c r="E115" s="24">
        <v>1.4251781472684086E-2</v>
      </c>
    </row>
    <row r="116" spans="2:5" ht="13.5" x14ac:dyDescent="0.2">
      <c r="B116" s="96"/>
      <c r="C116" s="61" t="s">
        <v>147</v>
      </c>
      <c r="D116" s="23">
        <v>6</v>
      </c>
      <c r="E116" s="24">
        <v>1.4251781472684086E-2</v>
      </c>
    </row>
    <row r="117" spans="2:5" ht="13.5" x14ac:dyDescent="0.2">
      <c r="B117" s="97"/>
      <c r="C117" s="62" t="s">
        <v>54</v>
      </c>
      <c r="D117" s="63">
        <v>12</v>
      </c>
      <c r="E117" s="64">
        <v>2.8503562945368172E-2</v>
      </c>
    </row>
    <row r="118" spans="2:5" ht="13.5" x14ac:dyDescent="0.2">
      <c r="B118" s="95" t="s">
        <v>82</v>
      </c>
      <c r="C118" s="61" t="s">
        <v>146</v>
      </c>
      <c r="D118" s="23">
        <v>7</v>
      </c>
      <c r="E118" s="24">
        <v>1.66270783847981E-2</v>
      </c>
    </row>
    <row r="119" spans="2:5" ht="13.5" x14ac:dyDescent="0.2">
      <c r="B119" s="96"/>
      <c r="C119" s="61" t="s">
        <v>147</v>
      </c>
      <c r="D119" s="23">
        <v>2</v>
      </c>
      <c r="E119" s="24">
        <v>4.7505938242280287E-3</v>
      </c>
    </row>
    <row r="120" spans="2:5" ht="13.5" x14ac:dyDescent="0.2">
      <c r="B120" s="97"/>
      <c r="C120" s="62" t="s">
        <v>54</v>
      </c>
      <c r="D120" s="63">
        <v>9</v>
      </c>
      <c r="E120" s="64">
        <v>2.1377672209026127E-2</v>
      </c>
    </row>
    <row r="121" spans="2:5" ht="13.5" x14ac:dyDescent="0.2">
      <c r="B121" s="95" t="s">
        <v>106</v>
      </c>
      <c r="C121" s="61" t="s">
        <v>146</v>
      </c>
      <c r="D121" s="23">
        <v>3</v>
      </c>
      <c r="E121" s="24">
        <v>7.1258907363420431E-3</v>
      </c>
    </row>
    <row r="122" spans="2:5" ht="13.5" x14ac:dyDescent="0.2">
      <c r="B122" s="97"/>
      <c r="C122" s="62" t="s">
        <v>54</v>
      </c>
      <c r="D122" s="63">
        <v>3</v>
      </c>
      <c r="E122" s="64">
        <v>7.1258907363420431E-3</v>
      </c>
    </row>
    <row r="123" spans="2:5" ht="13.5" x14ac:dyDescent="0.2">
      <c r="B123" s="95" t="s">
        <v>30</v>
      </c>
      <c r="C123" s="61" t="s">
        <v>146</v>
      </c>
      <c r="D123" s="23">
        <v>4</v>
      </c>
      <c r="E123" s="24">
        <v>9.5011876484560574E-3</v>
      </c>
    </row>
    <row r="124" spans="2:5" ht="13.5" x14ac:dyDescent="0.2">
      <c r="B124" s="96"/>
      <c r="C124" s="61" t="s">
        <v>147</v>
      </c>
      <c r="D124" s="23">
        <v>1</v>
      </c>
      <c r="E124" s="24">
        <v>2.3752969121140144E-3</v>
      </c>
    </row>
    <row r="125" spans="2:5" ht="13.5" x14ac:dyDescent="0.2">
      <c r="B125" s="97"/>
      <c r="C125" s="62" t="s">
        <v>54</v>
      </c>
      <c r="D125" s="63">
        <v>5</v>
      </c>
      <c r="E125" s="64">
        <v>1.1876484560570071E-2</v>
      </c>
    </row>
    <row r="126" spans="2:5" ht="13.5" x14ac:dyDescent="0.2">
      <c r="B126" s="92" t="s">
        <v>148</v>
      </c>
      <c r="C126" s="93"/>
      <c r="D126" s="65">
        <v>421</v>
      </c>
      <c r="E126" s="66">
        <v>1</v>
      </c>
    </row>
    <row r="128" spans="2:5" x14ac:dyDescent="0.2">
      <c r="B128" s="30" t="s">
        <v>55</v>
      </c>
    </row>
    <row r="129" spans="2:2" x14ac:dyDescent="0.2">
      <c r="B129" s="31" t="s">
        <v>56</v>
      </c>
    </row>
    <row r="130" spans="2:2" x14ac:dyDescent="0.2">
      <c r="B130" s="32" t="s">
        <v>57</v>
      </c>
    </row>
    <row r="131" spans="2:2" x14ac:dyDescent="0.2">
      <c r="B131" s="30" t="s">
        <v>58</v>
      </c>
    </row>
    <row r="132" spans="2:2" x14ac:dyDescent="0.2">
      <c r="B132" s="30" t="s">
        <v>59</v>
      </c>
    </row>
  </sheetData>
  <mergeCells count="42">
    <mergeCell ref="B126:C126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2"/>
    <mergeCell ref="B123:B125"/>
    <mergeCell ref="B91:B93"/>
    <mergeCell ref="B59:B61"/>
    <mergeCell ref="B62:B64"/>
    <mergeCell ref="B65:B67"/>
    <mergeCell ref="B68:B69"/>
    <mergeCell ref="B70:B72"/>
    <mergeCell ref="B73:B75"/>
    <mergeCell ref="B76:B78"/>
    <mergeCell ref="B79:B81"/>
    <mergeCell ref="B82:B84"/>
    <mergeCell ref="B85:B87"/>
    <mergeCell ref="B88:B90"/>
    <mergeCell ref="B56:B58"/>
    <mergeCell ref="B26:B28"/>
    <mergeCell ref="B29:B31"/>
    <mergeCell ref="B32:B33"/>
    <mergeCell ref="B34:B36"/>
    <mergeCell ref="B37:B39"/>
    <mergeCell ref="B40:B42"/>
    <mergeCell ref="B43:B45"/>
    <mergeCell ref="B46:B47"/>
    <mergeCell ref="B48:B49"/>
    <mergeCell ref="B50:B52"/>
    <mergeCell ref="B53:B55"/>
    <mergeCell ref="B23:B25"/>
    <mergeCell ref="B8:E10"/>
    <mergeCell ref="B12:B14"/>
    <mergeCell ref="B15:B17"/>
    <mergeCell ref="B18:B19"/>
    <mergeCell ref="B20:B22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1"/>
  <sheetViews>
    <sheetView showGridLines="0" view="pageBreakPreview" zoomScaleNormal="175" zoomScaleSheetLayoutView="100" workbookViewId="0">
      <selection activeCell="J9" sqref="J9"/>
    </sheetView>
  </sheetViews>
  <sheetFormatPr baseColWidth="10" defaultRowHeight="11.25" x14ac:dyDescent="0.2"/>
  <cols>
    <col min="1" max="1" width="5.7109375" style="14" customWidth="1"/>
    <col min="2" max="2" width="19" style="38" customWidth="1"/>
    <col min="3" max="3" width="17.28515625" style="38" customWidth="1"/>
    <col min="4" max="4" width="17.28515625" style="67" customWidth="1"/>
    <col min="5" max="5" width="16.7109375" style="67" customWidth="1"/>
    <col min="6" max="6" width="16.7109375" style="38" customWidth="1"/>
    <col min="7" max="7" width="5.7109375" style="14" customWidth="1"/>
    <col min="8" max="16384" width="11.42578125" style="14"/>
  </cols>
  <sheetData>
    <row r="1" spans="1:7" s="55" customFormat="1" ht="15" x14ac:dyDescent="0.25">
      <c r="B1" s="33"/>
      <c r="C1" s="38"/>
    </row>
    <row r="2" spans="1:7" s="38" customFormat="1" x14ac:dyDescent="0.2">
      <c r="B2" s="56"/>
    </row>
    <row r="3" spans="1:7" ht="15" customHeight="1" x14ac:dyDescent="0.2">
      <c r="B3" s="57"/>
      <c r="C3" s="15"/>
      <c r="D3" s="14"/>
      <c r="E3" s="14"/>
      <c r="G3" s="38"/>
    </row>
    <row r="4" spans="1:7" ht="30" customHeight="1" x14ac:dyDescent="0.2">
      <c r="B4" s="57"/>
      <c r="C4" s="15"/>
      <c r="D4" s="14"/>
      <c r="E4" s="14"/>
      <c r="G4" s="38"/>
    </row>
    <row r="5" spans="1:7" ht="15" customHeight="1" x14ac:dyDescent="0.2">
      <c r="B5" s="57"/>
      <c r="C5" s="15"/>
      <c r="D5" s="14"/>
      <c r="E5" s="14"/>
      <c r="G5" s="38"/>
    </row>
    <row r="6" spans="1:7" s="38" customFormat="1" x14ac:dyDescent="0.2">
      <c r="B6" s="34"/>
      <c r="C6" s="40"/>
    </row>
    <row r="7" spans="1:7" s="38" customFormat="1" x14ac:dyDescent="0.2">
      <c r="A7" s="33"/>
      <c r="B7" s="56"/>
      <c r="C7" s="33"/>
    </row>
    <row r="8" spans="1:7" s="55" customFormat="1" ht="15" customHeight="1" x14ac:dyDescent="0.25">
      <c r="B8" s="98" t="s">
        <v>194</v>
      </c>
      <c r="C8" s="98"/>
      <c r="D8" s="98"/>
      <c r="E8" s="98"/>
      <c r="F8" s="98"/>
    </row>
    <row r="9" spans="1:7" s="55" customFormat="1" ht="15" customHeight="1" x14ac:dyDescent="0.25">
      <c r="A9" s="58"/>
      <c r="B9" s="98"/>
      <c r="C9" s="98"/>
      <c r="D9" s="98"/>
      <c r="E9" s="98"/>
      <c r="F9" s="98"/>
      <c r="G9" s="59"/>
    </row>
    <row r="10" spans="1:7" s="55" customFormat="1" ht="15" customHeight="1" x14ac:dyDescent="0.25">
      <c r="A10" s="58"/>
      <c r="B10" s="99"/>
      <c r="C10" s="99"/>
      <c r="D10" s="99"/>
      <c r="E10" s="99"/>
      <c r="F10" s="99"/>
      <c r="G10" s="58"/>
    </row>
    <row r="11" spans="1:7" s="55" customFormat="1" ht="36.950000000000003" customHeight="1" x14ac:dyDescent="0.25">
      <c r="B11" s="60" t="s">
        <v>145</v>
      </c>
      <c r="C11" s="60" t="s">
        <v>149</v>
      </c>
      <c r="D11" s="60" t="s">
        <v>13</v>
      </c>
      <c r="E11" s="60" t="s">
        <v>150</v>
      </c>
      <c r="F11" s="60" t="s">
        <v>151</v>
      </c>
    </row>
    <row r="12" spans="1:7" ht="15" customHeight="1" x14ac:dyDescent="0.2">
      <c r="B12" s="95" t="s">
        <v>146</v>
      </c>
      <c r="C12" s="61" t="s">
        <v>152</v>
      </c>
      <c r="D12" s="23">
        <v>9</v>
      </c>
      <c r="E12" s="68">
        <v>4.072398190045249E-2</v>
      </c>
      <c r="F12" s="24">
        <f t="shared" ref="F12:F25" si="0">D12/$D$25</f>
        <v>2.1377672209026127E-2</v>
      </c>
    </row>
    <row r="13" spans="1:7" ht="15" customHeight="1" x14ac:dyDescent="0.2">
      <c r="B13" s="96"/>
      <c r="C13" s="61" t="s">
        <v>153</v>
      </c>
      <c r="D13" s="23">
        <v>53</v>
      </c>
      <c r="E13" s="68">
        <v>0.23981900452488689</v>
      </c>
      <c r="F13" s="24">
        <f t="shared" si="0"/>
        <v>0.12589073634204276</v>
      </c>
    </row>
    <row r="14" spans="1:7" ht="15" customHeight="1" x14ac:dyDescent="0.2">
      <c r="B14" s="96"/>
      <c r="C14" s="61" t="s">
        <v>154</v>
      </c>
      <c r="D14" s="23">
        <v>73</v>
      </c>
      <c r="E14" s="68">
        <v>0.33031674208144796</v>
      </c>
      <c r="F14" s="24">
        <f t="shared" si="0"/>
        <v>0.17339667458432304</v>
      </c>
    </row>
    <row r="15" spans="1:7" ht="15" customHeight="1" x14ac:dyDescent="0.2">
      <c r="B15" s="96"/>
      <c r="C15" s="61" t="s">
        <v>155</v>
      </c>
      <c r="D15" s="23">
        <v>65</v>
      </c>
      <c r="E15" s="68">
        <v>0.29411764705882354</v>
      </c>
      <c r="F15" s="24">
        <f t="shared" si="0"/>
        <v>0.15439429928741091</v>
      </c>
    </row>
    <row r="16" spans="1:7" ht="15" customHeight="1" x14ac:dyDescent="0.2">
      <c r="B16" s="96"/>
      <c r="C16" s="61" t="s">
        <v>156</v>
      </c>
      <c r="D16" s="23">
        <v>20</v>
      </c>
      <c r="E16" s="68">
        <v>9.0497737556561084E-2</v>
      </c>
      <c r="F16" s="24">
        <f t="shared" si="0"/>
        <v>4.7505938242280284E-2</v>
      </c>
    </row>
    <row r="17" spans="1:7" s="38" customFormat="1" ht="15" customHeight="1" x14ac:dyDescent="0.2">
      <c r="A17" s="14"/>
      <c r="B17" s="97"/>
      <c r="C17" s="61" t="s">
        <v>157</v>
      </c>
      <c r="D17" s="23">
        <v>1</v>
      </c>
      <c r="E17" s="68">
        <v>4.5248868778280547E-3</v>
      </c>
      <c r="F17" s="24">
        <f t="shared" si="0"/>
        <v>2.3752969121140144E-3</v>
      </c>
      <c r="G17" s="14"/>
    </row>
    <row r="18" spans="1:7" s="38" customFormat="1" ht="15" customHeight="1" x14ac:dyDescent="0.2">
      <c r="A18" s="14"/>
      <c r="B18" s="95" t="s">
        <v>147</v>
      </c>
      <c r="C18" s="61" t="s">
        <v>152</v>
      </c>
      <c r="D18" s="23">
        <v>5</v>
      </c>
      <c r="E18" s="69">
        <v>2.5000000000000001E-2</v>
      </c>
      <c r="F18" s="24">
        <f t="shared" si="0"/>
        <v>1.1876484560570071E-2</v>
      </c>
      <c r="G18" s="14"/>
    </row>
    <row r="19" spans="1:7" s="38" customFormat="1" ht="15" customHeight="1" x14ac:dyDescent="0.2">
      <c r="A19" s="14"/>
      <c r="B19" s="96"/>
      <c r="C19" s="61" t="s">
        <v>153</v>
      </c>
      <c r="D19" s="23">
        <v>39</v>
      </c>
      <c r="E19" s="69">
        <v>0.19500000000000001</v>
      </c>
      <c r="F19" s="24">
        <f t="shared" si="0"/>
        <v>9.2636579572446559E-2</v>
      </c>
      <c r="G19" s="14"/>
    </row>
    <row r="20" spans="1:7" s="38" customFormat="1" ht="15" customHeight="1" x14ac:dyDescent="0.2">
      <c r="A20" s="14"/>
      <c r="B20" s="96"/>
      <c r="C20" s="61" t="s">
        <v>154</v>
      </c>
      <c r="D20" s="23">
        <v>68</v>
      </c>
      <c r="E20" s="69">
        <v>0.34</v>
      </c>
      <c r="F20" s="24">
        <f t="shared" si="0"/>
        <v>0.16152019002375298</v>
      </c>
      <c r="G20" s="14"/>
    </row>
    <row r="21" spans="1:7" s="38" customFormat="1" ht="15" customHeight="1" x14ac:dyDescent="0.2">
      <c r="A21" s="14"/>
      <c r="B21" s="96"/>
      <c r="C21" s="61" t="s">
        <v>155</v>
      </c>
      <c r="D21" s="23">
        <v>66</v>
      </c>
      <c r="E21" s="69">
        <v>0.33</v>
      </c>
      <c r="F21" s="24">
        <f t="shared" si="0"/>
        <v>0.15676959619952494</v>
      </c>
      <c r="G21" s="14"/>
    </row>
    <row r="22" spans="1:7" ht="13.5" x14ac:dyDescent="0.2">
      <c r="B22" s="96"/>
      <c r="C22" s="61" t="s">
        <v>156</v>
      </c>
      <c r="D22" s="23">
        <v>14</v>
      </c>
      <c r="E22" s="69">
        <v>7.0000000000000007E-2</v>
      </c>
      <c r="F22" s="24">
        <f t="shared" si="0"/>
        <v>3.3254156769596199E-2</v>
      </c>
    </row>
    <row r="23" spans="1:7" ht="13.5" x14ac:dyDescent="0.2">
      <c r="B23" s="96"/>
      <c r="C23" s="61" t="s">
        <v>157</v>
      </c>
      <c r="D23" s="23">
        <v>6</v>
      </c>
      <c r="E23" s="69">
        <v>0.03</v>
      </c>
      <c r="F23" s="24">
        <f t="shared" si="0"/>
        <v>1.4251781472684086E-2</v>
      </c>
    </row>
    <row r="24" spans="1:7" ht="13.5" x14ac:dyDescent="0.2">
      <c r="B24" s="97"/>
      <c r="C24" s="61" t="s">
        <v>158</v>
      </c>
      <c r="D24" s="23">
        <v>2</v>
      </c>
      <c r="E24" s="69">
        <v>0.01</v>
      </c>
      <c r="F24" s="24">
        <f t="shared" si="0"/>
        <v>4.7505938242280287E-3</v>
      </c>
    </row>
    <row r="25" spans="1:7" ht="13.5" x14ac:dyDescent="0.2">
      <c r="B25" s="70" t="s">
        <v>54</v>
      </c>
      <c r="C25" s="70"/>
      <c r="D25" s="65">
        <v>421</v>
      </c>
      <c r="E25" s="66"/>
      <c r="F25" s="66">
        <f t="shared" si="0"/>
        <v>1</v>
      </c>
    </row>
    <row r="27" spans="1:7" x14ac:dyDescent="0.2">
      <c r="B27" s="30" t="s">
        <v>55</v>
      </c>
    </row>
    <row r="28" spans="1:7" x14ac:dyDescent="0.2">
      <c r="B28" s="31" t="s">
        <v>56</v>
      </c>
    </row>
    <row r="29" spans="1:7" x14ac:dyDescent="0.2">
      <c r="B29" s="32" t="s">
        <v>57</v>
      </c>
    </row>
    <row r="30" spans="1:7" x14ac:dyDescent="0.2">
      <c r="B30" s="30" t="s">
        <v>58</v>
      </c>
    </row>
    <row r="31" spans="1:7" x14ac:dyDescent="0.2">
      <c r="B31" s="30" t="s">
        <v>59</v>
      </c>
    </row>
  </sheetData>
  <mergeCells count="3">
    <mergeCell ref="B8:F10"/>
    <mergeCell ref="B12:B17"/>
    <mergeCell ref="B18:B2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35"/>
  <sheetViews>
    <sheetView showGridLines="0" zoomScaleNormal="100" zoomScaleSheetLayoutView="115" workbookViewId="0">
      <selection activeCell="I4" sqref="I4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11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199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159</v>
      </c>
      <c r="C11" s="19" t="s">
        <v>13</v>
      </c>
      <c r="D11" s="20" t="s">
        <v>14</v>
      </c>
    </row>
    <row r="12" spans="1:4" ht="15" customHeight="1" x14ac:dyDescent="0.25">
      <c r="B12" s="22" t="s">
        <v>160</v>
      </c>
      <c r="C12" s="23">
        <v>206</v>
      </c>
      <c r="D12" s="24">
        <f t="shared" ref="D12:D27" si="0">C12/$C$27</f>
        <v>0.48931116389548696</v>
      </c>
    </row>
    <row r="13" spans="1:4" x14ac:dyDescent="0.25">
      <c r="B13" s="22" t="s">
        <v>161</v>
      </c>
      <c r="C13" s="23">
        <v>96</v>
      </c>
      <c r="D13" s="24">
        <f t="shared" si="0"/>
        <v>0.22802850356294538</v>
      </c>
    </row>
    <row r="14" spans="1:4" s="25" customFormat="1" ht="15.75" x14ac:dyDescent="0.25">
      <c r="A14" s="21"/>
      <c r="B14" s="22" t="s">
        <v>163</v>
      </c>
      <c r="C14" s="23">
        <v>36</v>
      </c>
      <c r="D14" s="24">
        <f t="shared" si="0"/>
        <v>8.5510688836104506E-2</v>
      </c>
    </row>
    <row r="15" spans="1:4" s="25" customFormat="1" ht="15.75" x14ac:dyDescent="0.25">
      <c r="A15" s="21"/>
      <c r="B15" s="22" t="s">
        <v>169</v>
      </c>
      <c r="C15" s="23">
        <v>22</v>
      </c>
      <c r="D15" s="24">
        <f t="shared" si="0"/>
        <v>5.2256532066508314E-2</v>
      </c>
    </row>
    <row r="16" spans="1:4" x14ac:dyDescent="0.25">
      <c r="B16" s="22" t="s">
        <v>162</v>
      </c>
      <c r="C16" s="23">
        <v>15</v>
      </c>
      <c r="D16" s="24">
        <f t="shared" si="0"/>
        <v>3.5629453681710214E-2</v>
      </c>
    </row>
    <row r="17" spans="1:4" x14ac:dyDescent="0.25">
      <c r="B17" s="22" t="s">
        <v>165</v>
      </c>
      <c r="C17" s="23">
        <v>15</v>
      </c>
      <c r="D17" s="24">
        <f t="shared" si="0"/>
        <v>3.5629453681710214E-2</v>
      </c>
    </row>
    <row r="18" spans="1:4" x14ac:dyDescent="0.25">
      <c r="B18" s="22" t="s">
        <v>170</v>
      </c>
      <c r="C18" s="23">
        <v>7</v>
      </c>
      <c r="D18" s="24">
        <f t="shared" si="0"/>
        <v>1.66270783847981E-2</v>
      </c>
    </row>
    <row r="19" spans="1:4" x14ac:dyDescent="0.25">
      <c r="B19" s="22" t="s">
        <v>166</v>
      </c>
      <c r="C19" s="23">
        <v>6</v>
      </c>
      <c r="D19" s="24">
        <f t="shared" si="0"/>
        <v>1.4251781472684086E-2</v>
      </c>
    </row>
    <row r="20" spans="1:4" x14ac:dyDescent="0.25">
      <c r="B20" s="22" t="s">
        <v>173</v>
      </c>
      <c r="C20" s="23">
        <v>4</v>
      </c>
      <c r="D20" s="24">
        <f t="shared" si="0"/>
        <v>9.5011876484560574E-3</v>
      </c>
    </row>
    <row r="21" spans="1:4" x14ac:dyDescent="0.25">
      <c r="B21" s="22" t="s">
        <v>171</v>
      </c>
      <c r="C21" s="23">
        <v>4</v>
      </c>
      <c r="D21" s="24">
        <f t="shared" si="0"/>
        <v>9.5011876484560574E-3</v>
      </c>
    </row>
    <row r="22" spans="1:4" x14ac:dyDescent="0.25">
      <c r="B22" s="22" t="s">
        <v>164</v>
      </c>
      <c r="C22" s="23">
        <v>3</v>
      </c>
      <c r="D22" s="24">
        <f t="shared" si="0"/>
        <v>7.1258907363420431E-3</v>
      </c>
    </row>
    <row r="23" spans="1:4" x14ac:dyDescent="0.25">
      <c r="B23" s="22" t="s">
        <v>172</v>
      </c>
      <c r="C23" s="23">
        <v>2</v>
      </c>
      <c r="D23" s="24">
        <f t="shared" si="0"/>
        <v>4.7505938242280287E-3</v>
      </c>
    </row>
    <row r="24" spans="1:4" x14ac:dyDescent="0.25">
      <c r="B24" s="22" t="s">
        <v>167</v>
      </c>
      <c r="C24" s="23">
        <v>2</v>
      </c>
      <c r="D24" s="24">
        <f t="shared" si="0"/>
        <v>4.7505938242280287E-3</v>
      </c>
    </row>
    <row r="25" spans="1:4" x14ac:dyDescent="0.25">
      <c r="B25" s="22" t="s">
        <v>168</v>
      </c>
      <c r="C25" s="23">
        <v>2</v>
      </c>
      <c r="D25" s="24">
        <f t="shared" si="0"/>
        <v>4.7505938242280287E-3</v>
      </c>
    </row>
    <row r="26" spans="1:4" x14ac:dyDescent="0.25">
      <c r="B26" s="22" t="s">
        <v>174</v>
      </c>
      <c r="C26" s="23">
        <v>1</v>
      </c>
      <c r="D26" s="24">
        <f t="shared" si="0"/>
        <v>2.3752969121140144E-3</v>
      </c>
    </row>
    <row r="27" spans="1:4" x14ac:dyDescent="0.25">
      <c r="B27" s="26" t="s">
        <v>54</v>
      </c>
      <c r="C27" s="27">
        <v>421</v>
      </c>
      <c r="D27" s="28">
        <f t="shared" si="0"/>
        <v>1</v>
      </c>
    </row>
    <row r="29" spans="1:4" x14ac:dyDescent="0.25">
      <c r="A29" s="71" t="s">
        <v>175</v>
      </c>
    </row>
    <row r="30" spans="1:4" x14ac:dyDescent="0.25">
      <c r="A30" s="71" t="s">
        <v>56</v>
      </c>
    </row>
    <row r="31" spans="1:4" x14ac:dyDescent="0.25">
      <c r="A31" s="71" t="s">
        <v>57</v>
      </c>
    </row>
    <row r="32" spans="1:4" x14ac:dyDescent="0.25">
      <c r="A32" s="71" t="s">
        <v>58</v>
      </c>
    </row>
    <row r="33" spans="1:1" x14ac:dyDescent="0.25">
      <c r="A33" s="71" t="s">
        <v>59</v>
      </c>
    </row>
    <row r="34" spans="1:1" x14ac:dyDescent="0.25">
      <c r="A34" s="71"/>
    </row>
    <row r="35" spans="1:1" x14ac:dyDescent="0.25">
      <c r="A35" s="7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 Sur_EdoUsa</vt:lpstr>
      <vt:lpstr>Baja California Sur_Cons_2018</vt:lpstr>
      <vt:lpstr>Baja California SurXCons2018</vt:lpstr>
      <vt:lpstr>Baja California Sur_EdoMun</vt:lpstr>
      <vt:lpstr>Baja California Sur_USAMuni2018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Sur_Gen_Edad</vt:lpstr>
      <vt:lpstr>Baja California Sur_ocup_gral</vt:lpstr>
      <vt:lpstr>'Baja California Sur_EducCons'!Área_de_impresión</vt:lpstr>
      <vt:lpstr>'Baja California Sur_MUNICIPIO'!Área_de_impresión</vt:lpstr>
      <vt:lpstr>'Baja California Sur_NivelE_Cons'!Área_de_impresión</vt:lpstr>
      <vt:lpstr>'Baja California Sur_USAMuni2018'!Área_de_impresión</vt:lpstr>
      <vt:lpstr>'Baja California Sur_Cons_2018'!Títulos_a_imprimir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Sur_USAMuni2018'!Títulos_a_imprimir</vt:lpstr>
      <vt:lpstr>'Baja California SurXCons2018'!Títulos_a_imprimir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2019-12-19T17:58:35Z</dcterms:modified>
</cp:coreProperties>
</file>