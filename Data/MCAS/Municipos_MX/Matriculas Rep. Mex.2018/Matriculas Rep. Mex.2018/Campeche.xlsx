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ampeche_EdoUsa" sheetId="2" r:id="rId2"/>
    <sheet name="Campeche_Cons_2018" sheetId="8" r:id="rId3"/>
    <sheet name="CampecheXCons2018" sheetId="10" r:id="rId4"/>
    <sheet name="Campeche_EdoMun" sheetId="11" r:id="rId5"/>
    <sheet name="Campeche_USAMuni2018" sheetId="14" r:id="rId6"/>
    <sheet name="Campeche_MUNICIPIO" sheetId="13" r:id="rId7"/>
    <sheet name="Campeche_educ_gral" sheetId="3" r:id="rId8"/>
    <sheet name="Campeche_NivelE_Cons" sheetId="5" r:id="rId9"/>
    <sheet name="Campeche_EducCons" sheetId="4" r:id="rId10"/>
    <sheet name="Campeche_GenGral" sheetId="7" r:id="rId11"/>
    <sheet name="Campeche_GENERO" sheetId="9" r:id="rId12"/>
    <sheet name="Campeche_Gen_Edad" sheetId="6" r:id="rId13"/>
    <sheet name="Campeche_ocup_gral" sheetId="12" r:id="rId14"/>
  </sheets>
  <definedNames>
    <definedName name="_xlnm._FilterDatabase" localSheetId="2" hidden="1">Campeche_Cons_2018!$B$11:$D$12</definedName>
    <definedName name="_xlnm._FilterDatabase" localSheetId="4" hidden="1">Campeche_EdoMun!$B$11:$D$12</definedName>
    <definedName name="_xlnm._FilterDatabase" localSheetId="1" hidden="1">Campeche_EdoUsa!$B$11:$D$52</definedName>
    <definedName name="_xlnm._FilterDatabase" localSheetId="7" hidden="1">Campeche_educ_gral!$B$11:$D$12</definedName>
    <definedName name="_xlnm._FilterDatabase" localSheetId="9" hidden="1">Campeche_EducCons!$B$9:$E$9</definedName>
    <definedName name="_xlnm._FilterDatabase" localSheetId="10" hidden="1">Campeche_GenGral!$B$11:$D$12</definedName>
    <definedName name="_xlnm._FilterDatabase" localSheetId="6" hidden="1">Campeche_MUNICIPIO!$B$9:$E$9</definedName>
    <definedName name="_xlnm._FilterDatabase" localSheetId="8" hidden="1">Campeche_NivelE_Cons!$B$9:$E$9</definedName>
    <definedName name="_xlnm._FilterDatabase" localSheetId="13" hidden="1">Campeche_ocup_gral!$B$11:$D$12</definedName>
    <definedName name="_xlnm._FilterDatabase" localSheetId="5" hidden="1">Campeche_USAMuni2018!$B$9:$E$11</definedName>
    <definedName name="_xlnm._FilterDatabase" localSheetId="3" hidden="1">CampecheXCons2018!$B$11:$D$12</definedName>
    <definedName name="_xlnm.Print_Area" localSheetId="9">Campeche_EducCons!$A$1:$E$415</definedName>
    <definedName name="_xlnm.Print_Area" localSheetId="6">Campeche_MUNICIPIO!$A$1:$E$278</definedName>
    <definedName name="_xlnm.Print_Area" localSheetId="8">Campeche_NivelE_Cons!$A$1:$E$326</definedName>
    <definedName name="_xlnm.Print_Area" localSheetId="5">Campeche_USAMuni2018!$A$1:$E$257</definedName>
    <definedName name="_xlnm.Print_Titles" localSheetId="2">Campeche_Cons_2018!$1:$11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2">Campeche_Gen_Edad!$1:$11</definedName>
    <definedName name="_xlnm.Print_Titles" localSheetId="11">Campeche_GENERO!$1:$11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3">Campeche_ocup_gral!$1:$11</definedName>
    <definedName name="_xlnm.Print_Titles" localSheetId="5">Campeche_USAMuni2018!$1:$9</definedName>
    <definedName name="_xlnm.Print_Titles" localSheetId="3">CampecheXCons2018!$1:$11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0" i="12" l="1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22" i="10"/>
  <c r="C22" i="10"/>
  <c r="D21" i="10"/>
  <c r="D20" i="10"/>
  <c r="D19" i="10"/>
  <c r="D18" i="10"/>
  <c r="D17" i="10"/>
  <c r="D16" i="10"/>
  <c r="D15" i="10"/>
  <c r="D14" i="10"/>
  <c r="D13" i="10"/>
  <c r="D12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</calcChain>
</file>

<file path=xl/sharedStrings.xml><?xml version="1.0" encoding="utf-8"?>
<sst xmlns="http://schemas.openxmlformats.org/spreadsheetml/2006/main" count="1856" uniqueCount="211">
  <si>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</si>
  <si>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</si>
  <si>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</si>
  <si>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</si>
  <si>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</si>
  <si>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</si>
  <si>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</si>
  <si>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</si>
  <si>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</si>
  <si>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</si>
  <si>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</si>
  <si>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</si>
  <si>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</si>
  <si>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</si>
  <si>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</si>
  <si>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</si>
  <si>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</si>
  <si>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Campeche en el 2018.</t>
  </si>
  <si>
    <t>Aguascalientes</t>
  </si>
  <si>
    <t>MATRÍCULAS CONSULARES DE ALTA SEGURIDAD EXPEDIDAS A ORIGINARIOS DE CAMPECHE POR ESTADO DE LA UNIÓN AMERICANA. DURANTE EL 2018</t>
  </si>
  <si>
    <t xml:space="preserve">Estado </t>
  </si>
  <si>
    <t>Número de Matrículas</t>
  </si>
  <si>
    <t>Porcentaje de Matrículas</t>
  </si>
  <si>
    <t>Texas</t>
  </si>
  <si>
    <t>California</t>
  </si>
  <si>
    <t>Florida</t>
  </si>
  <si>
    <t>Nebraska</t>
  </si>
  <si>
    <t>North Carolina</t>
  </si>
  <si>
    <t>Colorado</t>
  </si>
  <si>
    <t>Alabama</t>
  </si>
  <si>
    <t>Georgia</t>
  </si>
  <si>
    <t>Illinois</t>
  </si>
  <si>
    <t>Indiana</t>
  </si>
  <si>
    <t>Tennessee</t>
  </si>
  <si>
    <t>Iowa</t>
  </si>
  <si>
    <t>Missouri</t>
  </si>
  <si>
    <t>Arkansas</t>
  </si>
  <si>
    <t>Nevada</t>
  </si>
  <si>
    <t>Oklahoma</t>
  </si>
  <si>
    <t>Kansas</t>
  </si>
  <si>
    <t>Virginia</t>
  </si>
  <si>
    <t>Washington</t>
  </si>
  <si>
    <t>Louisiana</t>
  </si>
  <si>
    <t>South Carolina</t>
  </si>
  <si>
    <t>Ohio</t>
  </si>
  <si>
    <t>Kentucky</t>
  </si>
  <si>
    <t>Minnesota</t>
  </si>
  <si>
    <t>Idaho</t>
  </si>
  <si>
    <t>Michigan</t>
  </si>
  <si>
    <t>Mississippi</t>
  </si>
  <si>
    <t>Wisconsin</t>
  </si>
  <si>
    <t>New Jersey</t>
  </si>
  <si>
    <t>New York</t>
  </si>
  <si>
    <t>New Mexico</t>
  </si>
  <si>
    <t>Arizona</t>
  </si>
  <si>
    <t>Oregon</t>
  </si>
  <si>
    <t>Utah</t>
  </si>
  <si>
    <t>Delaware</t>
  </si>
  <si>
    <t>Maryland</t>
  </si>
  <si>
    <t>Connecticut</t>
  </si>
  <si>
    <t>South Dakota</t>
  </si>
  <si>
    <t>Hawaii</t>
  </si>
  <si>
    <t>Vermont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</si>
  <si>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</si>
  <si>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</si>
  <si>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</si>
  <si>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</si>
  <si>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</si>
  <si>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</si>
  <si>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CAMPECHE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</si>
  <si>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</si>
  <si>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</si>
  <si>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</si>
  <si>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</si>
  <si>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</si>
  <si>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</si>
  <si>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</si>
  <si>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</si>
  <si>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</si>
  <si>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</si>
  <si>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</si>
  <si>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</si>
  <si>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</si>
  <si>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</si>
  <si>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</si>
  <si>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</si>
  <si>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</si>
  <si>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</si>
  <si>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</si>
  <si>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</si>
  <si>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</si>
  <si>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</si>
  <si>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</si>
  <si>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</si>
  <si>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</si>
  <si>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</si>
  <si>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</si>
  <si>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</si>
  <si>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</si>
  <si>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</si>
  <si>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</si>
  <si>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Boise</t>
  </si>
  <si>
    <t>Boston</t>
  </si>
  <si>
    <t>Brownsville</t>
  </si>
  <si>
    <t>Chicago</t>
  </si>
  <si>
    <t>Dallas</t>
  </si>
  <si>
    <t>Denver</t>
  </si>
  <si>
    <t>Detroit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</si>
  <si>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</si>
  <si>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</si>
  <si>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</si>
  <si>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</si>
  <si>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</si>
  <si>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</si>
  <si>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</si>
  <si>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</si>
  <si>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</si>
  <si>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</si>
  <si>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</si>
  <si>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</si>
  <si>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</si>
  <si>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</si>
  <si>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</si>
  <si>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</si>
  <si>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</si>
  <si>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</si>
  <si>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</si>
  <si>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</si>
  <si>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</si>
  <si>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</si>
  <si>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</si>
  <si>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</si>
  <si>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</si>
  <si>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</si>
  <si>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</si>
  <si>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</si>
  <si>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</si>
  <si>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</si>
  <si>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</si>
  <si>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</si>
  <si>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Nivel</t>
  </si>
  <si>
    <t>Estado</t>
  </si>
  <si>
    <t>MATRÍCULAS CONSULARES EXPEDIDAS A ORIGINARIOS DE CAMPECHE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</si>
  <si>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</si>
  <si>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</si>
  <si>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</si>
  <si>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</si>
  <si>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</si>
  <si>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</si>
  <si>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</si>
  <si>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</si>
  <si>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</si>
  <si>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</si>
  <si>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</si>
  <si>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Mujer</t>
  </si>
  <si>
    <t>MATRÍCULAS CONSULARES EXPEDIDAS A ORIGINARIOS DE CAMPECHE POR GÉNERO EN EE.UU DURANTE EL 2016.</t>
  </si>
  <si>
    <t>HOMBRE</t>
  </si>
  <si>
    <t>MUJER</t>
  </si>
  <si>
    <t>TOTAL</t>
  </si>
  <si>
    <t>MATRÍCULAS CONSULARES DE ALTA SEGURIDAD EXPEDIDAS DURANTE EL 2018 A ORIGINARIOS DE CAMPECHE EN LOS CONSULADOS DE MÉXICO EN EE.UU.</t>
  </si>
  <si>
    <t>San José</t>
  </si>
  <si>
    <t>Los Ángeles</t>
  </si>
  <si>
    <t>Indianápolis</t>
  </si>
  <si>
    <t>Mcallen</t>
  </si>
  <si>
    <t>Caléxico</t>
  </si>
  <si>
    <t>Del Río</t>
  </si>
  <si>
    <t>Douglas</t>
  </si>
  <si>
    <t>Eagle Pass</t>
  </si>
  <si>
    <t>Nogales</t>
  </si>
  <si>
    <t>Tucson</t>
  </si>
  <si>
    <t>Yuma</t>
  </si>
  <si>
    <t>MATRÍCULAS CONSULARES EXPEDIDAS A ORIGINARIOS DE CAMPECHE POR GÉNERO Y CONSULADO DE MÉXICO 2018.</t>
  </si>
  <si>
    <t>MATRÍCULAS CONSULARES DE ALTA SEGURIDAD EXPEDIDAS POR MUNICIPIO A ORIGINARIOS DEL ESTADO DE CAMPECHE EN LOS CONSULADOS DE MÉXICO EN EE.UU. 2018</t>
  </si>
  <si>
    <t>Municipio de origen</t>
  </si>
  <si>
    <t>Carmen</t>
  </si>
  <si>
    <t>Campeche</t>
  </si>
  <si>
    <t>Champotón</t>
  </si>
  <si>
    <t>Escárcega</t>
  </si>
  <si>
    <t>Hopelchén</t>
  </si>
  <si>
    <t>Candelaria</t>
  </si>
  <si>
    <t>Calkiní</t>
  </si>
  <si>
    <t>Hecelchakán</t>
  </si>
  <si>
    <t>Palizada</t>
  </si>
  <si>
    <t>Tenabo</t>
  </si>
  <si>
    <t>MATRÍCULAS CONSULARES EXPEDIDAS EN EE.UU. A ORIGINARIOS DE CAMPECHE POR PERFIL OCUPACIONAL, 2018.</t>
  </si>
  <si>
    <t>Ocupación</t>
  </si>
  <si>
    <t>Empleado(a)</t>
  </si>
  <si>
    <t>Hogar</t>
  </si>
  <si>
    <t>Obrero(a)</t>
  </si>
  <si>
    <t>Estudiante</t>
  </si>
  <si>
    <t>Otro</t>
  </si>
  <si>
    <t>Cocinero(a)</t>
  </si>
  <si>
    <t>Campesino(a)</t>
  </si>
  <si>
    <t>Jardinero(a)</t>
  </si>
  <si>
    <t>Albañil</t>
  </si>
  <si>
    <t>Pintor(a)</t>
  </si>
  <si>
    <t>Comerciante</t>
  </si>
  <si>
    <t>Mesero(a)</t>
  </si>
  <si>
    <t>Profesionista</t>
  </si>
  <si>
    <t>Cajero(a)</t>
  </si>
  <si>
    <t>Carnicero</t>
  </si>
  <si>
    <t>Chofer</t>
  </si>
  <si>
    <t>Misionero(a)</t>
  </si>
  <si>
    <t>Panadero(a)</t>
  </si>
  <si>
    <t>Tamaño de la muestra: 826,856</t>
  </si>
  <si>
    <t>Municipio de Origen</t>
  </si>
  <si>
    <t>District of Columbia</t>
  </si>
  <si>
    <t>Massachusetts</t>
  </si>
  <si>
    <t>Montana</t>
  </si>
  <si>
    <t>Pennsylvania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</si>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</sst>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0" fillId="9" borderId="15" xfId="0" applyNumberFormat="1" applyFont="1" applyFill="1" applyBorder="1" applyAlignment="1">
      <alignment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3" borderId="0" xfId="0" applyFont="1" applyFill="1" applyAlignment="1">
      <alignment horizontal="center" wrapText="1"/>
    </xf>
    <xf numFmtId="0" fontId="18" fillId="2" borderId="0" xfId="3" applyFont="1" applyFill="1" applyBorder="1" applyAlignment="1">
      <alignment horizontal="center" vertical="center" wrapText="1"/>
    </xf>
    <xf numFmtId="164" fontId="20" fillId="3" borderId="0" xfId="1" applyNumberFormat="1" applyFont="1" applyFill="1" applyBorder="1" applyAlignment="1">
      <alignment horizontal="right" vertical="top" wrapText="1"/>
    </xf>
    <xf numFmtId="164" fontId="10" fillId="5" borderId="0" xfId="1" applyNumberFormat="1" applyFont="1" applyFill="1" applyBorder="1" applyAlignment="1">
      <alignment horizontal="right" vertical="top" wrapText="1"/>
    </xf>
    <xf numFmtId="164" fontId="10" fillId="6" borderId="0" xfId="0" applyNumberFormat="1" applyFont="1" applyFill="1" applyBorder="1" applyAlignment="1">
      <alignment horizontal="right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1" xfId="2" applyFont="1" applyBorder="1" applyAlignment="1">
      <alignment horizontal="left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8" fillId="0" borderId="0" xfId="0" applyFont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2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0</xdr:colOff>
      <xdr:row>4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2</xdr:row>
      <xdr:rowOff>142875</xdr:rowOff>
    </xdr:from>
    <xdr:to>
      <xdr:col>7</xdr:col>
      <xdr:colOff>39300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6735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57149</xdr:colOff>
      <xdr:row>2</xdr:row>
      <xdr:rowOff>190499</xdr:rowOff>
    </xdr:from>
    <xdr:to>
      <xdr:col>7</xdr:col>
      <xdr:colOff>58349</xdr:colOff>
      <xdr:row>4</xdr:row>
      <xdr:rowOff>36599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399" y="57149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</xdr:colOff>
      <xdr:row>2</xdr:row>
      <xdr:rowOff>104775</xdr:rowOff>
    </xdr:from>
    <xdr:to>
      <xdr:col>7</xdr:col>
      <xdr:colOff>10725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38775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118241</xdr:colOff>
      <xdr:row>2</xdr:row>
      <xdr:rowOff>177363</xdr:rowOff>
    </xdr:from>
    <xdr:to>
      <xdr:col>5</xdr:col>
      <xdr:colOff>881441</xdr:colOff>
      <xdr:row>4</xdr:row>
      <xdr:rowOff>24963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79224" y="518949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105103</xdr:colOff>
      <xdr:row>2</xdr:row>
      <xdr:rowOff>124811</xdr:rowOff>
    </xdr:from>
    <xdr:to>
      <xdr:col>5</xdr:col>
      <xdr:colOff>868303</xdr:colOff>
      <xdr:row>3</xdr:row>
      <xdr:rowOff>351911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6086" y="46639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180975</xdr:rowOff>
    </xdr:from>
    <xdr:to>
      <xdr:col>7</xdr:col>
      <xdr:colOff>67875</xdr:colOff>
      <xdr:row>4</xdr:row>
      <xdr:rowOff>27075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619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111672</xdr:colOff>
      <xdr:row>2</xdr:row>
      <xdr:rowOff>170793</xdr:rowOff>
    </xdr:from>
    <xdr:to>
      <xdr:col>5</xdr:col>
      <xdr:colOff>874872</xdr:colOff>
      <xdr:row>4</xdr:row>
      <xdr:rowOff>16893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72655" y="51237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1165411</xdr:colOff>
      <xdr:row>2</xdr:row>
      <xdr:rowOff>134471</xdr:rowOff>
    </xdr:from>
    <xdr:to>
      <xdr:col>4</xdr:col>
      <xdr:colOff>1928611</xdr:colOff>
      <xdr:row>3</xdr:row>
      <xdr:rowOff>361571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4646" y="48185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3</xdr:row>
      <xdr:rowOff>0</xdr:rowOff>
    </xdr:from>
    <xdr:to>
      <xdr:col>7</xdr:col>
      <xdr:colOff>125025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53075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3</xdr:row>
      <xdr:rowOff>57150</xdr:rowOff>
    </xdr:from>
    <xdr:to>
      <xdr:col>6</xdr:col>
      <xdr:colOff>572700</xdr:colOff>
      <xdr:row>4</xdr:row>
      <xdr:rowOff>93750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5810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3</xdr:row>
      <xdr:rowOff>76200</xdr:rowOff>
    </xdr:from>
    <xdr:to>
      <xdr:col>7</xdr:col>
      <xdr:colOff>582225</xdr:colOff>
      <xdr:row>4</xdr:row>
      <xdr:rowOff>112800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81750" y="6000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3</xdr:row>
      <xdr:rowOff>28575</xdr:rowOff>
    </xdr:from>
    <xdr:to>
      <xdr:col>7</xdr:col>
      <xdr:colOff>67875</xdr:colOff>
      <xdr:row>4</xdr:row>
      <xdr:rowOff>65175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6000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3" t="s">
        <v>17</v>
      </c>
      <c r="B1" s="84"/>
      <c r="C1" s="84"/>
      <c r="D1" s="85"/>
    </row>
    <row r="2" spans="1:4" x14ac:dyDescent="0.35">
      <c r="A2" s="2"/>
      <c r="B2" s="3"/>
      <c r="C2" s="3"/>
      <c r="D2" s="4"/>
    </row>
    <row r="3" spans="1:4" x14ac:dyDescent="0.35">
      <c r="A3" s="86" t="s">
        <v>16</v>
      </c>
      <c r="B3" s="87"/>
      <c r="C3" s="87"/>
      <c r="D3" s="88"/>
    </row>
    <row r="4" spans="1:4" x14ac:dyDescent="0.35">
      <c r="A4" s="86"/>
      <c r="B4" s="87"/>
      <c r="C4" s="87"/>
      <c r="D4" s="88"/>
    </row>
    <row r="5" spans="1:4" x14ac:dyDescent="0.35">
      <c r="A5" s="75"/>
      <c r="B5" s="76"/>
      <c r="C5" s="76"/>
      <c r="D5" s="77"/>
    </row>
    <row r="6" spans="1:4" x14ac:dyDescent="0.35">
      <c r="A6" s="89" t="s">
        <v>0</v>
      </c>
      <c r="B6" s="90"/>
      <c r="C6" s="90"/>
      <c r="D6" s="91"/>
    </row>
    <row r="7" spans="1:4" x14ac:dyDescent="0.35">
      <c r="A7" s="5"/>
      <c r="B7" s="6"/>
      <c r="C7" s="6"/>
      <c r="D7" s="7"/>
    </row>
    <row r="8" spans="1:4" x14ac:dyDescent="0.35">
      <c r="A8" s="89" t="s">
        <v>1</v>
      </c>
      <c r="B8" s="90"/>
      <c r="C8" s="90"/>
      <c r="D8" s="91"/>
    </row>
    <row r="9" spans="1:4" x14ac:dyDescent="0.35">
      <c r="A9" s="8"/>
      <c r="B9" s="90" t="s">
        <v>10</v>
      </c>
      <c r="C9" s="90"/>
      <c r="D9" s="91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90" t="s">
        <v>2</v>
      </c>
      <c r="C12" s="90"/>
      <c r="D12" s="91"/>
    </row>
    <row r="13" spans="1:4" x14ac:dyDescent="0.35">
      <c r="A13" s="8"/>
      <c r="B13" s="90" t="s">
        <v>3</v>
      </c>
      <c r="C13" s="90"/>
      <c r="D13" s="91"/>
    </row>
    <row r="14" spans="1:4" x14ac:dyDescent="0.35">
      <c r="A14" s="8"/>
      <c r="B14" s="90" t="s">
        <v>4</v>
      </c>
      <c r="C14" s="90"/>
      <c r="D14" s="91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90" t="s">
        <v>11</v>
      </c>
      <c r="C17" s="90"/>
      <c r="D17" s="91"/>
    </row>
    <row r="18" spans="1:4" x14ac:dyDescent="0.35">
      <c r="A18" s="8"/>
      <c r="B18" s="90" t="s">
        <v>12</v>
      </c>
      <c r="C18" s="90"/>
      <c r="D18" s="91"/>
    </row>
    <row r="19" spans="1:4" x14ac:dyDescent="0.35">
      <c r="A19" s="8"/>
      <c r="B19" s="90" t="s">
        <v>13</v>
      </c>
      <c r="C19" s="90"/>
      <c r="D19" s="91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90" t="s">
        <v>14</v>
      </c>
      <c r="C22" s="90"/>
      <c r="D22" s="91"/>
    </row>
    <row r="23" spans="1:4" x14ac:dyDescent="0.35">
      <c r="A23" s="8"/>
      <c r="B23" s="90" t="s">
        <v>15</v>
      </c>
      <c r="C23" s="90"/>
      <c r="D23" s="91"/>
    </row>
    <row r="24" spans="1:4" x14ac:dyDescent="0.35">
      <c r="A24" s="8"/>
      <c r="B24" s="9"/>
      <c r="C24" s="9"/>
      <c r="D24" s="10"/>
    </row>
    <row r="25" spans="1:4" x14ac:dyDescent="0.35">
      <c r="A25" s="89" t="s">
        <v>6</v>
      </c>
      <c r="B25" s="90"/>
      <c r="C25" s="90"/>
      <c r="D25" s="91"/>
    </row>
    <row r="26" spans="1:4" x14ac:dyDescent="0.35">
      <c r="A26" s="8"/>
      <c r="B26" s="9"/>
      <c r="C26" s="9"/>
      <c r="D26" s="10"/>
    </row>
    <row r="27" spans="1:4" x14ac:dyDescent="0.35">
      <c r="A27" s="89" t="s">
        <v>7</v>
      </c>
      <c r="B27" s="90"/>
      <c r="C27" s="90"/>
      <c r="D27" s="91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Campeche_EdoUsa!A1" display="1. Por Estados de USA"/>
    <hyperlink ref="A8:D8" location="Campeche_Cons_2018!A1" display="2. Por Circunscripción Consular"/>
    <hyperlink ref="B9:D9" location="CampecheXCons2018!A1" display="2.1 Top ten por circunscripción consular"/>
    <hyperlink ref="B12:D12" location="Campeche_EdoMun!A1" display="3.1 Municipio general"/>
    <hyperlink ref="B13:D13" location="Campeche_USAMuni2018!A1" display="3.2 Por Estado de USA"/>
    <hyperlink ref="B14:D14" location="Campeche_MUNICIPIO!A1" display="3.3 Por Circunscripción Consular"/>
    <hyperlink ref="B17:D17" location="Campeche_educ_gral!A1" display="4.1 Educación general"/>
    <hyperlink ref="B18:D18" location="Campeche_NivelE_Cons!A1" display="4.2 Por Estado de USA"/>
    <hyperlink ref="B19:D19" location="Campeche_EducCons!A1" display="4.3 Por Circunscripción Consular"/>
    <hyperlink ref="B22:D22" location="Campeche_GenGral!A1" display="5.1 Género General"/>
    <hyperlink ref="B23:D23" location="Campeche_GENERO!A1" display="5.2 Por Circunscripción Consular"/>
    <hyperlink ref="A25:D25" location="Campeche_Gen_Edad!A1" display="6. Por estructura de Edad"/>
    <hyperlink ref="A27:D27" location="Campeche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19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20</v>
      </c>
      <c r="C11" s="19" t="s">
        <v>21</v>
      </c>
      <c r="D11" s="20" t="s">
        <v>22</v>
      </c>
    </row>
    <row r="12" spans="1:4" x14ac:dyDescent="0.25">
      <c r="B12" s="22" t="s">
        <v>23</v>
      </c>
      <c r="C12" s="23">
        <v>278</v>
      </c>
      <c r="D12" s="24">
        <v>0.21550387596899226</v>
      </c>
    </row>
    <row r="13" spans="1:4" s="25" customFormat="1" ht="15.75" x14ac:dyDescent="0.25">
      <c r="A13" s="21"/>
      <c r="B13" s="22" t="s">
        <v>24</v>
      </c>
      <c r="C13" s="23">
        <v>244</v>
      </c>
      <c r="D13" s="24">
        <v>0.18914728682170542</v>
      </c>
    </row>
    <row r="14" spans="1:4" s="25" customFormat="1" ht="15.75" x14ac:dyDescent="0.25">
      <c r="A14" s="21"/>
      <c r="B14" s="22" t="s">
        <v>25</v>
      </c>
      <c r="C14" s="23">
        <v>102</v>
      </c>
      <c r="D14" s="24">
        <v>7.9069767441860464E-2</v>
      </c>
    </row>
    <row r="15" spans="1:4" x14ac:dyDescent="0.25">
      <c r="B15" s="22" t="s">
        <v>26</v>
      </c>
      <c r="C15" s="23">
        <v>82</v>
      </c>
      <c r="D15" s="24">
        <v>6.3565891472868216E-2</v>
      </c>
    </row>
    <row r="16" spans="1:4" x14ac:dyDescent="0.25">
      <c r="B16" s="22" t="s">
        <v>27</v>
      </c>
      <c r="C16" s="23">
        <v>54</v>
      </c>
      <c r="D16" s="24">
        <v>4.1860465116279069E-2</v>
      </c>
    </row>
    <row r="17" spans="2:4" x14ac:dyDescent="0.25">
      <c r="B17" s="22" t="s">
        <v>28</v>
      </c>
      <c r="C17" s="23">
        <v>46</v>
      </c>
      <c r="D17" s="24">
        <v>3.565891472868217E-2</v>
      </c>
    </row>
    <row r="18" spans="2:4" x14ac:dyDescent="0.25">
      <c r="B18" s="22" t="s">
        <v>29</v>
      </c>
      <c r="C18" s="23">
        <v>41</v>
      </c>
      <c r="D18" s="24">
        <v>3.1782945736434108E-2</v>
      </c>
    </row>
    <row r="19" spans="2:4" x14ac:dyDescent="0.25">
      <c r="B19" s="22" t="s">
        <v>30</v>
      </c>
      <c r="C19" s="23">
        <v>32</v>
      </c>
      <c r="D19" s="24">
        <v>2.4806201550387597E-2</v>
      </c>
    </row>
    <row r="20" spans="2:4" x14ac:dyDescent="0.25">
      <c r="B20" s="22" t="s">
        <v>31</v>
      </c>
      <c r="C20" s="23">
        <v>32</v>
      </c>
      <c r="D20" s="24">
        <v>2.4806201550387597E-2</v>
      </c>
    </row>
    <row r="21" spans="2:4" x14ac:dyDescent="0.25">
      <c r="B21" s="22" t="s">
        <v>32</v>
      </c>
      <c r="C21" s="23">
        <v>32</v>
      </c>
      <c r="D21" s="24">
        <v>2.4806201550387597E-2</v>
      </c>
    </row>
    <row r="22" spans="2:4" x14ac:dyDescent="0.25">
      <c r="B22" s="22" t="s">
        <v>33</v>
      </c>
      <c r="C22" s="23">
        <v>30</v>
      </c>
      <c r="D22" s="24">
        <v>2.3255813953488372E-2</v>
      </c>
    </row>
    <row r="23" spans="2:4" x14ac:dyDescent="0.25">
      <c r="B23" s="22" t="s">
        <v>34</v>
      </c>
      <c r="C23" s="23">
        <v>23</v>
      </c>
      <c r="D23" s="24">
        <v>1.7829457364341085E-2</v>
      </c>
    </row>
    <row r="24" spans="2:4" x14ac:dyDescent="0.25">
      <c r="B24" s="22" t="s">
        <v>35</v>
      </c>
      <c r="C24" s="23">
        <v>23</v>
      </c>
      <c r="D24" s="24">
        <v>1.7829457364341085E-2</v>
      </c>
    </row>
    <row r="25" spans="2:4" x14ac:dyDescent="0.25">
      <c r="B25" s="22" t="s">
        <v>36</v>
      </c>
      <c r="C25" s="23">
        <v>22</v>
      </c>
      <c r="D25" s="24">
        <v>1.7054263565891473E-2</v>
      </c>
    </row>
    <row r="26" spans="2:4" x14ac:dyDescent="0.25">
      <c r="B26" s="22" t="s">
        <v>37</v>
      </c>
      <c r="C26" s="23">
        <v>21</v>
      </c>
      <c r="D26" s="24">
        <v>1.627906976744186E-2</v>
      </c>
    </row>
    <row r="27" spans="2:4" x14ac:dyDescent="0.25">
      <c r="B27" s="22" t="s">
        <v>38</v>
      </c>
      <c r="C27" s="23">
        <v>21</v>
      </c>
      <c r="D27" s="24">
        <v>1.627906976744186E-2</v>
      </c>
    </row>
    <row r="28" spans="2:4" x14ac:dyDescent="0.25">
      <c r="B28" s="22" t="s">
        <v>39</v>
      </c>
      <c r="C28" s="23">
        <v>20</v>
      </c>
      <c r="D28" s="24">
        <v>1.5503875968992248E-2</v>
      </c>
    </row>
    <row r="29" spans="2:4" x14ac:dyDescent="0.25">
      <c r="B29" s="22" t="s">
        <v>40</v>
      </c>
      <c r="C29" s="23">
        <v>17</v>
      </c>
      <c r="D29" s="24">
        <v>1.3178294573643411E-2</v>
      </c>
    </row>
    <row r="30" spans="2:4" x14ac:dyDescent="0.25">
      <c r="B30" s="22" t="s">
        <v>41</v>
      </c>
      <c r="C30" s="23">
        <v>17</v>
      </c>
      <c r="D30" s="24">
        <v>1.3178294573643411E-2</v>
      </c>
    </row>
    <row r="31" spans="2:4" x14ac:dyDescent="0.25">
      <c r="B31" s="22" t="s">
        <v>42</v>
      </c>
      <c r="C31" s="23">
        <v>16</v>
      </c>
      <c r="D31" s="24">
        <v>1.2403100775193798E-2</v>
      </c>
    </row>
    <row r="32" spans="2:4" x14ac:dyDescent="0.25">
      <c r="B32" s="22" t="s">
        <v>43</v>
      </c>
      <c r="C32" s="23">
        <v>16</v>
      </c>
      <c r="D32" s="24">
        <v>1.2403100775193798E-2</v>
      </c>
    </row>
    <row r="33" spans="2:4" x14ac:dyDescent="0.25">
      <c r="B33" s="22" t="s">
        <v>44</v>
      </c>
      <c r="C33" s="23">
        <v>15</v>
      </c>
      <c r="D33" s="24">
        <v>1.1627906976744186E-2</v>
      </c>
    </row>
    <row r="34" spans="2:4" x14ac:dyDescent="0.25">
      <c r="B34" s="22" t="s">
        <v>45</v>
      </c>
      <c r="C34" s="23">
        <v>13</v>
      </c>
      <c r="D34" s="24">
        <v>1.0077519379844961E-2</v>
      </c>
    </row>
    <row r="35" spans="2:4" x14ac:dyDescent="0.25">
      <c r="B35" s="22" t="s">
        <v>46</v>
      </c>
      <c r="C35" s="23">
        <v>13</v>
      </c>
      <c r="D35" s="24">
        <v>1.0077519379844961E-2</v>
      </c>
    </row>
    <row r="36" spans="2:4" x14ac:dyDescent="0.25">
      <c r="B36" s="22" t="s">
        <v>47</v>
      </c>
      <c r="C36" s="23">
        <v>10</v>
      </c>
      <c r="D36" s="24">
        <v>7.7519379844961239E-3</v>
      </c>
    </row>
    <row r="37" spans="2:4" x14ac:dyDescent="0.25">
      <c r="B37" s="22" t="s">
        <v>48</v>
      </c>
      <c r="C37" s="23">
        <v>10</v>
      </c>
      <c r="D37" s="24">
        <v>7.7519379844961239E-3</v>
      </c>
    </row>
    <row r="38" spans="2:4" x14ac:dyDescent="0.25">
      <c r="B38" s="22" t="s">
        <v>49</v>
      </c>
      <c r="C38" s="23">
        <v>9</v>
      </c>
      <c r="D38" s="24">
        <v>6.9767441860465115E-3</v>
      </c>
    </row>
    <row r="39" spans="2:4" x14ac:dyDescent="0.25">
      <c r="B39" s="22" t="s">
        <v>50</v>
      </c>
      <c r="C39" s="23">
        <v>8</v>
      </c>
      <c r="D39" s="24">
        <v>6.2015503875968991E-3</v>
      </c>
    </row>
    <row r="40" spans="2:4" x14ac:dyDescent="0.25">
      <c r="B40" s="22" t="s">
        <v>51</v>
      </c>
      <c r="C40" s="23">
        <v>7</v>
      </c>
      <c r="D40" s="24">
        <v>5.4263565891472867E-3</v>
      </c>
    </row>
    <row r="41" spans="2:4" x14ac:dyDescent="0.25">
      <c r="B41" s="22" t="s">
        <v>52</v>
      </c>
      <c r="C41" s="23">
        <v>7</v>
      </c>
      <c r="D41" s="24">
        <v>5.4263565891472867E-3</v>
      </c>
    </row>
    <row r="42" spans="2:4" x14ac:dyDescent="0.25">
      <c r="B42" s="22" t="s">
        <v>53</v>
      </c>
      <c r="C42" s="23">
        <v>5</v>
      </c>
      <c r="D42" s="24">
        <v>3.875968992248062E-3</v>
      </c>
    </row>
    <row r="43" spans="2:4" x14ac:dyDescent="0.25">
      <c r="B43" s="22" t="s">
        <v>54</v>
      </c>
      <c r="C43" s="23">
        <v>4</v>
      </c>
      <c r="D43" s="24">
        <v>3.1007751937984496E-3</v>
      </c>
    </row>
    <row r="44" spans="2:4" x14ac:dyDescent="0.25">
      <c r="B44" s="22" t="s">
        <v>55</v>
      </c>
      <c r="C44" s="23">
        <v>4</v>
      </c>
      <c r="D44" s="24">
        <v>3.1007751937984496E-3</v>
      </c>
    </row>
    <row r="45" spans="2:4" x14ac:dyDescent="0.25">
      <c r="B45" s="22" t="s">
        <v>56</v>
      </c>
      <c r="C45" s="23">
        <v>4</v>
      </c>
      <c r="D45" s="24">
        <v>3.1007751937984496E-3</v>
      </c>
    </row>
    <row r="46" spans="2:4" x14ac:dyDescent="0.25">
      <c r="B46" s="22" t="s">
        <v>57</v>
      </c>
      <c r="C46" s="23">
        <v>3</v>
      </c>
      <c r="D46" s="24">
        <v>2.3255813953488372E-3</v>
      </c>
    </row>
    <row r="47" spans="2:4" x14ac:dyDescent="0.25">
      <c r="B47" s="22" t="s">
        <v>58</v>
      </c>
      <c r="C47" s="23">
        <v>3</v>
      </c>
      <c r="D47" s="24">
        <v>2.3255813953488372E-3</v>
      </c>
    </row>
    <row r="48" spans="2:4" x14ac:dyDescent="0.25">
      <c r="B48" s="22" t="s">
        <v>59</v>
      </c>
      <c r="C48" s="23">
        <v>2</v>
      </c>
      <c r="D48" s="24">
        <v>1.5503875968992248E-3</v>
      </c>
    </row>
    <row r="49" spans="2:4" x14ac:dyDescent="0.25">
      <c r="B49" s="22" t="s">
        <v>60</v>
      </c>
      <c r="C49" s="23">
        <v>2</v>
      </c>
      <c r="D49" s="24">
        <v>1.5503875968992248E-3</v>
      </c>
    </row>
    <row r="50" spans="2:4" x14ac:dyDescent="0.25">
      <c r="B50" s="22" t="s">
        <v>61</v>
      </c>
      <c r="C50" s="23">
        <v>1</v>
      </c>
      <c r="D50" s="24">
        <v>7.7519379844961239E-4</v>
      </c>
    </row>
    <row r="51" spans="2:4" x14ac:dyDescent="0.25">
      <c r="B51" s="22" t="s">
        <v>62</v>
      </c>
      <c r="C51" s="23">
        <v>1</v>
      </c>
      <c r="D51" s="24">
        <v>7.7519379844961239E-4</v>
      </c>
    </row>
    <row r="52" spans="2:4" ht="15" customHeight="1" x14ac:dyDescent="0.25">
      <c r="B52" s="26" t="s">
        <v>63</v>
      </c>
      <c r="C52" s="27">
        <v>1290</v>
      </c>
      <c r="D52" s="28">
        <v>1</v>
      </c>
    </row>
    <row r="65" spans="2:2" x14ac:dyDescent="0.25">
      <c r="B65" s="30" t="s">
        <v>64</v>
      </c>
    </row>
    <row r="66" spans="2:2" x14ac:dyDescent="0.25">
      <c r="B66" s="31" t="s">
        <v>65</v>
      </c>
    </row>
    <row r="67" spans="2:2" x14ac:dyDescent="0.25">
      <c r="B67" s="32" t="s">
        <v>66</v>
      </c>
    </row>
    <row r="68" spans="2:2" x14ac:dyDescent="0.25">
      <c r="B68" s="30" t="s">
        <v>67</v>
      </c>
    </row>
    <row r="69" spans="2:2" x14ac:dyDescent="0.25">
      <c r="B69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I11" sqref="I11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159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97</v>
      </c>
      <c r="C11" s="19" t="s">
        <v>21</v>
      </c>
      <c r="D11" s="20" t="s">
        <v>22</v>
      </c>
    </row>
    <row r="12" spans="1:4" ht="15" customHeight="1" x14ac:dyDescent="0.25">
      <c r="B12" s="22" t="s">
        <v>123</v>
      </c>
      <c r="C12" s="23">
        <v>104</v>
      </c>
      <c r="D12" s="24">
        <f t="shared" ref="D12:D62" si="0">C12/$C$62</f>
        <v>8.0620155038759689E-2</v>
      </c>
    </row>
    <row r="13" spans="1:4" x14ac:dyDescent="0.25">
      <c r="B13" s="22" t="s">
        <v>99</v>
      </c>
      <c r="C13" s="23">
        <v>97</v>
      </c>
      <c r="D13" s="24">
        <f t="shared" si="0"/>
        <v>7.5193798449612409E-2</v>
      </c>
    </row>
    <row r="14" spans="1:4" s="25" customFormat="1" ht="15.75" x14ac:dyDescent="0.25">
      <c r="A14" s="21"/>
      <c r="B14" s="22" t="s">
        <v>129</v>
      </c>
      <c r="C14" s="23">
        <v>71</v>
      </c>
      <c r="D14" s="24">
        <f t="shared" si="0"/>
        <v>5.503875968992248E-2</v>
      </c>
    </row>
    <row r="15" spans="1:4" s="25" customFormat="1" ht="15.75" x14ac:dyDescent="0.25">
      <c r="A15" s="21"/>
      <c r="B15" s="22" t="s">
        <v>124</v>
      </c>
      <c r="C15" s="23">
        <v>67</v>
      </c>
      <c r="D15" s="24">
        <f t="shared" si="0"/>
        <v>5.193798449612403E-2</v>
      </c>
    </row>
    <row r="16" spans="1:4" x14ac:dyDescent="0.25">
      <c r="B16" s="22" t="s">
        <v>160</v>
      </c>
      <c r="C16" s="23">
        <v>66</v>
      </c>
      <c r="D16" s="24">
        <f t="shared" si="0"/>
        <v>5.1162790697674418E-2</v>
      </c>
    </row>
    <row r="17" spans="2:4" x14ac:dyDescent="0.25">
      <c r="B17" s="22" t="s">
        <v>105</v>
      </c>
      <c r="C17" s="23">
        <v>65</v>
      </c>
      <c r="D17" s="24">
        <f t="shared" si="0"/>
        <v>5.0387596899224806E-2</v>
      </c>
    </row>
    <row r="18" spans="2:4" x14ac:dyDescent="0.25">
      <c r="B18" s="22" t="s">
        <v>111</v>
      </c>
      <c r="C18" s="23">
        <v>61</v>
      </c>
      <c r="D18" s="24">
        <f t="shared" si="0"/>
        <v>4.7286821705426356E-2</v>
      </c>
    </row>
    <row r="19" spans="2:4" x14ac:dyDescent="0.25">
      <c r="B19" s="22" t="s">
        <v>161</v>
      </c>
      <c r="C19" s="23">
        <v>49</v>
      </c>
      <c r="D19" s="24">
        <f t="shared" si="0"/>
        <v>3.7984496124031007E-2</v>
      </c>
    </row>
    <row r="20" spans="2:4" x14ac:dyDescent="0.25">
      <c r="B20" s="22" t="s">
        <v>133</v>
      </c>
      <c r="C20" s="23">
        <v>49</v>
      </c>
      <c r="D20" s="24">
        <f t="shared" si="0"/>
        <v>3.7984496124031007E-2</v>
      </c>
    </row>
    <row r="21" spans="2:4" x14ac:dyDescent="0.25">
      <c r="B21" s="22" t="s">
        <v>162</v>
      </c>
      <c r="C21" s="23">
        <v>48</v>
      </c>
      <c r="D21" s="24">
        <f t="shared" si="0"/>
        <v>3.7209302325581395E-2</v>
      </c>
    </row>
    <row r="22" spans="2:4" x14ac:dyDescent="0.25">
      <c r="B22" s="22" t="s">
        <v>116</v>
      </c>
      <c r="C22" s="23">
        <v>48</v>
      </c>
      <c r="D22" s="24">
        <f t="shared" si="0"/>
        <v>3.7209302325581395E-2</v>
      </c>
    </row>
    <row r="23" spans="2:4" x14ac:dyDescent="0.25">
      <c r="B23" s="22" t="s">
        <v>136</v>
      </c>
      <c r="C23" s="23">
        <v>47</v>
      </c>
      <c r="D23" s="24">
        <f t="shared" si="0"/>
        <v>3.6434108527131782E-2</v>
      </c>
    </row>
    <row r="24" spans="2:4" x14ac:dyDescent="0.25">
      <c r="B24" s="22" t="s">
        <v>106</v>
      </c>
      <c r="C24" s="23">
        <v>46</v>
      </c>
      <c r="D24" s="24">
        <f t="shared" si="0"/>
        <v>3.565891472868217E-2</v>
      </c>
    </row>
    <row r="25" spans="2:4" x14ac:dyDescent="0.25">
      <c r="B25" s="22" t="s">
        <v>100</v>
      </c>
      <c r="C25" s="23">
        <v>45</v>
      </c>
      <c r="D25" s="24">
        <f t="shared" si="0"/>
        <v>3.4883720930232558E-2</v>
      </c>
    </row>
    <row r="26" spans="2:4" x14ac:dyDescent="0.25">
      <c r="B26" s="22" t="s">
        <v>113</v>
      </c>
      <c r="C26" s="23">
        <v>44</v>
      </c>
      <c r="D26" s="24">
        <f t="shared" si="0"/>
        <v>3.4108527131782945E-2</v>
      </c>
    </row>
    <row r="27" spans="2:4" x14ac:dyDescent="0.25">
      <c r="B27" s="22" t="s">
        <v>104</v>
      </c>
      <c r="C27" s="23">
        <v>39</v>
      </c>
      <c r="D27" s="24">
        <f t="shared" si="0"/>
        <v>3.0232558139534883E-2</v>
      </c>
    </row>
    <row r="28" spans="2:4" x14ac:dyDescent="0.25">
      <c r="B28" s="22" t="s">
        <v>119</v>
      </c>
      <c r="C28" s="23">
        <v>35</v>
      </c>
      <c r="D28" s="24">
        <f t="shared" si="0"/>
        <v>2.7131782945736434E-2</v>
      </c>
    </row>
    <row r="29" spans="2:4" x14ac:dyDescent="0.25">
      <c r="B29" s="22" t="s">
        <v>163</v>
      </c>
      <c r="C29" s="23">
        <v>32</v>
      </c>
      <c r="D29" s="24">
        <f t="shared" si="0"/>
        <v>2.4806201550387597E-2</v>
      </c>
    </row>
    <row r="30" spans="2:4" x14ac:dyDescent="0.25">
      <c r="B30" s="22" t="s">
        <v>121</v>
      </c>
      <c r="C30" s="23">
        <v>25</v>
      </c>
      <c r="D30" s="24">
        <f t="shared" si="0"/>
        <v>1.937984496124031E-2</v>
      </c>
    </row>
    <row r="31" spans="2:4" x14ac:dyDescent="0.25">
      <c r="B31" s="22" t="s">
        <v>115</v>
      </c>
      <c r="C31" s="23">
        <v>21</v>
      </c>
      <c r="D31" s="24">
        <f t="shared" si="0"/>
        <v>1.627906976744186E-2</v>
      </c>
    </row>
    <row r="32" spans="2:4" x14ac:dyDescent="0.25">
      <c r="B32" s="22" t="s">
        <v>41</v>
      </c>
      <c r="C32" s="23">
        <v>20</v>
      </c>
      <c r="D32" s="24">
        <f t="shared" si="0"/>
        <v>1.5503875968992248E-2</v>
      </c>
    </row>
    <row r="33" spans="2:4" x14ac:dyDescent="0.25">
      <c r="B33" s="22" t="s">
        <v>110</v>
      </c>
      <c r="C33" s="23">
        <v>19</v>
      </c>
      <c r="D33" s="24">
        <f t="shared" si="0"/>
        <v>1.4728682170542635E-2</v>
      </c>
    </row>
    <row r="34" spans="2:4" x14ac:dyDescent="0.25">
      <c r="B34" s="22" t="s">
        <v>138</v>
      </c>
      <c r="C34" s="23">
        <v>19</v>
      </c>
      <c r="D34" s="24">
        <f t="shared" si="0"/>
        <v>1.4728682170542635E-2</v>
      </c>
    </row>
    <row r="35" spans="2:4" x14ac:dyDescent="0.25">
      <c r="B35" s="22" t="s">
        <v>125</v>
      </c>
      <c r="C35" s="23">
        <v>17</v>
      </c>
      <c r="D35" s="24">
        <f t="shared" si="0"/>
        <v>1.3178294573643411E-2</v>
      </c>
    </row>
    <row r="36" spans="2:4" x14ac:dyDescent="0.25">
      <c r="B36" s="22" t="s">
        <v>130</v>
      </c>
      <c r="C36" s="23">
        <v>17</v>
      </c>
      <c r="D36" s="24">
        <f t="shared" si="0"/>
        <v>1.3178294573643411E-2</v>
      </c>
    </row>
    <row r="37" spans="2:4" x14ac:dyDescent="0.25">
      <c r="B37" s="22" t="s">
        <v>131</v>
      </c>
      <c r="C37" s="23">
        <v>16</v>
      </c>
      <c r="D37" s="24">
        <f t="shared" si="0"/>
        <v>1.2403100775193798E-2</v>
      </c>
    </row>
    <row r="38" spans="2:4" x14ac:dyDescent="0.25">
      <c r="B38" s="22" t="s">
        <v>122</v>
      </c>
      <c r="C38" s="23">
        <v>15</v>
      </c>
      <c r="D38" s="24">
        <f t="shared" si="0"/>
        <v>1.1627906976744186E-2</v>
      </c>
    </row>
    <row r="39" spans="2:4" x14ac:dyDescent="0.25">
      <c r="B39" s="22" t="s">
        <v>107</v>
      </c>
      <c r="C39" s="23">
        <v>14</v>
      </c>
      <c r="D39" s="24">
        <f t="shared" si="0"/>
        <v>1.0852713178294573E-2</v>
      </c>
    </row>
    <row r="40" spans="2:4" x14ac:dyDescent="0.25">
      <c r="B40" s="22" t="s">
        <v>103</v>
      </c>
      <c r="C40" s="23">
        <v>13</v>
      </c>
      <c r="D40" s="24">
        <f t="shared" si="0"/>
        <v>1.0077519379844961E-2</v>
      </c>
    </row>
    <row r="41" spans="2:4" x14ac:dyDescent="0.25">
      <c r="B41" s="22" t="s">
        <v>127</v>
      </c>
      <c r="C41" s="23">
        <v>12</v>
      </c>
      <c r="D41" s="24">
        <f t="shared" si="0"/>
        <v>9.3023255813953487E-3</v>
      </c>
    </row>
    <row r="42" spans="2:4" x14ac:dyDescent="0.25">
      <c r="B42" s="22" t="s">
        <v>101</v>
      </c>
      <c r="C42" s="23">
        <v>10</v>
      </c>
      <c r="D42" s="24">
        <f t="shared" si="0"/>
        <v>7.7519379844961239E-3</v>
      </c>
    </row>
    <row r="43" spans="2:4" x14ac:dyDescent="0.25">
      <c r="B43" s="22" t="s">
        <v>134</v>
      </c>
      <c r="C43" s="23">
        <v>10</v>
      </c>
      <c r="D43" s="24">
        <f t="shared" si="0"/>
        <v>7.7519379844961239E-3</v>
      </c>
    </row>
    <row r="44" spans="2:4" x14ac:dyDescent="0.25">
      <c r="B44" s="22" t="s">
        <v>108</v>
      </c>
      <c r="C44" s="23">
        <v>9</v>
      </c>
      <c r="D44" s="24">
        <f t="shared" si="0"/>
        <v>6.9767441860465115E-3</v>
      </c>
    </row>
    <row r="45" spans="2:4" x14ac:dyDescent="0.25">
      <c r="B45" s="22" t="s">
        <v>139</v>
      </c>
      <c r="C45" s="23">
        <v>9</v>
      </c>
      <c r="D45" s="24">
        <f t="shared" si="0"/>
        <v>6.9767441860465115E-3</v>
      </c>
    </row>
    <row r="46" spans="2:4" x14ac:dyDescent="0.25">
      <c r="B46" s="22" t="s">
        <v>114</v>
      </c>
      <c r="C46" s="23">
        <v>7</v>
      </c>
      <c r="D46" s="24">
        <f t="shared" si="0"/>
        <v>5.4263565891472867E-3</v>
      </c>
    </row>
    <row r="47" spans="2:4" x14ac:dyDescent="0.25">
      <c r="B47" s="22" t="s">
        <v>120</v>
      </c>
      <c r="C47" s="23">
        <v>7</v>
      </c>
      <c r="D47" s="24">
        <f t="shared" si="0"/>
        <v>5.4263565891472867E-3</v>
      </c>
    </row>
    <row r="48" spans="2:4" x14ac:dyDescent="0.25">
      <c r="B48" s="22" t="s">
        <v>126</v>
      </c>
      <c r="C48" s="23">
        <v>4</v>
      </c>
      <c r="D48" s="24">
        <f t="shared" si="0"/>
        <v>3.1007751937984496E-3</v>
      </c>
    </row>
    <row r="49" spans="2:4" x14ac:dyDescent="0.25">
      <c r="B49" s="22" t="s">
        <v>132</v>
      </c>
      <c r="C49" s="23">
        <v>4</v>
      </c>
      <c r="D49" s="24">
        <f t="shared" si="0"/>
        <v>3.1007751937984496E-3</v>
      </c>
    </row>
    <row r="50" spans="2:4" x14ac:dyDescent="0.25">
      <c r="B50" s="22" t="s">
        <v>109</v>
      </c>
      <c r="C50" s="23">
        <v>3</v>
      </c>
      <c r="D50" s="24">
        <f t="shared" si="0"/>
        <v>2.3255813953488372E-3</v>
      </c>
    </row>
    <row r="51" spans="2:4" x14ac:dyDescent="0.25">
      <c r="B51" s="22" t="s">
        <v>98</v>
      </c>
      <c r="C51" s="23">
        <v>2</v>
      </c>
      <c r="D51" s="24">
        <f t="shared" si="0"/>
        <v>1.5503875968992248E-3</v>
      </c>
    </row>
    <row r="52" spans="2:4" x14ac:dyDescent="0.25">
      <c r="B52" s="22" t="s">
        <v>135</v>
      </c>
      <c r="C52" s="23">
        <v>2</v>
      </c>
      <c r="D52" s="24">
        <f t="shared" si="0"/>
        <v>1.5503875968992248E-3</v>
      </c>
    </row>
    <row r="53" spans="2:4" x14ac:dyDescent="0.25">
      <c r="B53" s="22" t="s">
        <v>102</v>
      </c>
      <c r="C53" s="23">
        <v>1</v>
      </c>
      <c r="D53" s="24">
        <f t="shared" si="0"/>
        <v>7.7519379844961239E-4</v>
      </c>
    </row>
    <row r="54" spans="2:4" x14ac:dyDescent="0.25">
      <c r="B54" s="22" t="s">
        <v>128</v>
      </c>
      <c r="C54" s="23">
        <v>1</v>
      </c>
      <c r="D54" s="24">
        <f t="shared" si="0"/>
        <v>7.7519379844961239E-4</v>
      </c>
    </row>
    <row r="55" spans="2:4" x14ac:dyDescent="0.25">
      <c r="B55" s="22" t="s">
        <v>164</v>
      </c>
      <c r="C55" s="23">
        <v>0</v>
      </c>
      <c r="D55" s="24">
        <f t="shared" si="0"/>
        <v>0</v>
      </c>
    </row>
    <row r="56" spans="2:4" x14ac:dyDescent="0.25">
      <c r="B56" s="22" t="s">
        <v>165</v>
      </c>
      <c r="C56" s="23">
        <v>0</v>
      </c>
      <c r="D56" s="24">
        <f t="shared" si="0"/>
        <v>0</v>
      </c>
    </row>
    <row r="57" spans="2:4" x14ac:dyDescent="0.25">
      <c r="B57" s="22" t="s">
        <v>166</v>
      </c>
      <c r="C57" s="23">
        <v>0</v>
      </c>
      <c r="D57" s="24">
        <f t="shared" si="0"/>
        <v>0</v>
      </c>
    </row>
    <row r="58" spans="2:4" x14ac:dyDescent="0.25">
      <c r="B58" s="22" t="s">
        <v>167</v>
      </c>
      <c r="C58" s="23">
        <v>0</v>
      </c>
      <c r="D58" s="24">
        <f t="shared" si="0"/>
        <v>0</v>
      </c>
    </row>
    <row r="59" spans="2:4" x14ac:dyDescent="0.25">
      <c r="B59" s="22" t="s">
        <v>168</v>
      </c>
      <c r="C59" s="23">
        <v>0</v>
      </c>
      <c r="D59" s="24">
        <f t="shared" si="0"/>
        <v>0</v>
      </c>
    </row>
    <row r="60" spans="2:4" x14ac:dyDescent="0.25">
      <c r="B60" s="22" t="s">
        <v>169</v>
      </c>
      <c r="C60" s="23">
        <v>0</v>
      </c>
      <c r="D60" s="24">
        <f t="shared" si="0"/>
        <v>0</v>
      </c>
    </row>
    <row r="61" spans="2:4" x14ac:dyDescent="0.25">
      <c r="B61" s="22" t="s">
        <v>170</v>
      </c>
      <c r="C61" s="23">
        <v>0</v>
      </c>
      <c r="D61" s="24">
        <f t="shared" si="0"/>
        <v>0</v>
      </c>
    </row>
    <row r="62" spans="2:4" x14ac:dyDescent="0.25">
      <c r="B62" s="26" t="s">
        <v>63</v>
      </c>
      <c r="C62" s="27">
        <v>1290</v>
      </c>
      <c r="D62" s="28">
        <f t="shared" si="0"/>
        <v>1</v>
      </c>
    </row>
    <row r="64" spans="2:4" x14ac:dyDescent="0.25">
      <c r="B64" s="30" t="s">
        <v>64</v>
      </c>
    </row>
    <row r="65" spans="2:2" x14ac:dyDescent="0.25">
      <c r="B65" s="31" t="s">
        <v>65</v>
      </c>
    </row>
    <row r="66" spans="2:2" x14ac:dyDescent="0.25">
      <c r="B66" s="32" t="s">
        <v>66</v>
      </c>
    </row>
    <row r="67" spans="2:2" x14ac:dyDescent="0.25">
      <c r="B67" s="30" t="s">
        <v>67</v>
      </c>
    </row>
    <row r="68" spans="2:2" x14ac:dyDescent="0.25">
      <c r="B68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5" sqref="H14:H15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159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97</v>
      </c>
      <c r="C11" s="19" t="s">
        <v>21</v>
      </c>
      <c r="D11" s="20" t="s">
        <v>22</v>
      </c>
    </row>
    <row r="12" spans="1:4" ht="15" customHeight="1" x14ac:dyDescent="0.25">
      <c r="B12" s="22" t="s">
        <v>123</v>
      </c>
      <c r="C12" s="23">
        <v>104</v>
      </c>
      <c r="D12" s="24">
        <f t="shared" ref="D12:D22" si="0">C12/$C$22</f>
        <v>0.15361890694239291</v>
      </c>
    </row>
    <row r="13" spans="1:4" x14ac:dyDescent="0.25">
      <c r="B13" s="22" t="s">
        <v>99</v>
      </c>
      <c r="C13" s="23">
        <v>97</v>
      </c>
      <c r="D13" s="24">
        <f t="shared" si="0"/>
        <v>0.14327917282127031</v>
      </c>
    </row>
    <row r="14" spans="1:4" s="25" customFormat="1" ht="15.75" x14ac:dyDescent="0.25">
      <c r="A14" s="21"/>
      <c r="B14" s="22" t="s">
        <v>129</v>
      </c>
      <c r="C14" s="23">
        <v>71</v>
      </c>
      <c r="D14" s="24">
        <f t="shared" si="0"/>
        <v>0.10487444608567208</v>
      </c>
    </row>
    <row r="15" spans="1:4" s="25" customFormat="1" ht="15.75" x14ac:dyDescent="0.25">
      <c r="A15" s="21"/>
      <c r="B15" s="22" t="s">
        <v>124</v>
      </c>
      <c r="C15" s="23">
        <v>67</v>
      </c>
      <c r="D15" s="24">
        <f t="shared" si="0"/>
        <v>9.8966026587887737E-2</v>
      </c>
    </row>
    <row r="16" spans="1:4" x14ac:dyDescent="0.25">
      <c r="B16" s="22" t="s">
        <v>160</v>
      </c>
      <c r="C16" s="23">
        <v>66</v>
      </c>
      <c r="D16" s="24">
        <f t="shared" si="0"/>
        <v>9.7488921713441659E-2</v>
      </c>
    </row>
    <row r="17" spans="2:4" x14ac:dyDescent="0.25">
      <c r="B17" s="22" t="s">
        <v>105</v>
      </c>
      <c r="C17" s="23">
        <v>65</v>
      </c>
      <c r="D17" s="24">
        <f t="shared" si="0"/>
        <v>9.6011816838995567E-2</v>
      </c>
    </row>
    <row r="18" spans="2:4" x14ac:dyDescent="0.25">
      <c r="B18" s="22" t="s">
        <v>111</v>
      </c>
      <c r="C18" s="23">
        <v>61</v>
      </c>
      <c r="D18" s="24">
        <f t="shared" si="0"/>
        <v>9.0103397341211228E-2</v>
      </c>
    </row>
    <row r="19" spans="2:4" x14ac:dyDescent="0.25">
      <c r="B19" s="22" t="s">
        <v>161</v>
      </c>
      <c r="C19" s="23">
        <v>49</v>
      </c>
      <c r="D19" s="24">
        <f t="shared" si="0"/>
        <v>7.2378138847858195E-2</v>
      </c>
    </row>
    <row r="20" spans="2:4" x14ac:dyDescent="0.25">
      <c r="B20" s="22" t="s">
        <v>133</v>
      </c>
      <c r="C20" s="23">
        <v>49</v>
      </c>
      <c r="D20" s="24">
        <f t="shared" si="0"/>
        <v>7.2378138847858195E-2</v>
      </c>
    </row>
    <row r="21" spans="2:4" x14ac:dyDescent="0.25">
      <c r="B21" s="22" t="s">
        <v>162</v>
      </c>
      <c r="C21" s="23">
        <v>48</v>
      </c>
      <c r="D21" s="24">
        <f t="shared" si="0"/>
        <v>7.0901033973412117E-2</v>
      </c>
    </row>
    <row r="22" spans="2:4" x14ac:dyDescent="0.25">
      <c r="B22" s="26" t="s">
        <v>63</v>
      </c>
      <c r="C22" s="27">
        <f>SUM(C12:C21)</f>
        <v>677</v>
      </c>
      <c r="D22" s="28">
        <f t="shared" si="0"/>
        <v>1</v>
      </c>
    </row>
    <row r="24" spans="2:4" x14ac:dyDescent="0.25">
      <c r="B24" s="30" t="s">
        <v>64</v>
      </c>
    </row>
    <row r="25" spans="2:4" x14ac:dyDescent="0.25">
      <c r="B25" s="31" t="s">
        <v>65</v>
      </c>
    </row>
    <row r="26" spans="2:4" x14ac:dyDescent="0.25">
      <c r="B26" s="32" t="s">
        <v>66</v>
      </c>
    </row>
    <row r="27" spans="2:4" x14ac:dyDescent="0.25">
      <c r="B27" s="30" t="s">
        <v>67</v>
      </c>
    </row>
    <row r="28" spans="2:4" x14ac:dyDescent="0.25">
      <c r="B28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showGridLines="0" zoomScaleNormal="100" zoomScaleSheetLayoutView="115" workbookViewId="0">
      <selection activeCell="L11" sqref="L11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172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173</v>
      </c>
      <c r="C11" s="19" t="s">
        <v>21</v>
      </c>
      <c r="D11" s="20" t="s">
        <v>22</v>
      </c>
    </row>
    <row r="12" spans="1:4" ht="15" customHeight="1" x14ac:dyDescent="0.25">
      <c r="B12" s="22" t="s">
        <v>174</v>
      </c>
      <c r="C12" s="23">
        <v>467</v>
      </c>
      <c r="D12" s="24">
        <v>0.36201550387596898</v>
      </c>
    </row>
    <row r="13" spans="1:4" x14ac:dyDescent="0.25">
      <c r="B13" s="22" t="s">
        <v>175</v>
      </c>
      <c r="C13" s="23">
        <v>266</v>
      </c>
      <c r="D13" s="24">
        <v>0.20620155038759691</v>
      </c>
    </row>
    <row r="14" spans="1:4" s="25" customFormat="1" ht="15.75" x14ac:dyDescent="0.25">
      <c r="A14" s="21"/>
      <c r="B14" s="22" t="s">
        <v>176</v>
      </c>
      <c r="C14" s="23">
        <v>255</v>
      </c>
      <c r="D14" s="24">
        <v>0.19767441860465115</v>
      </c>
    </row>
    <row r="15" spans="1:4" s="25" customFormat="1" ht="15.75" x14ac:dyDescent="0.25">
      <c r="A15" s="21"/>
      <c r="B15" s="22" t="s">
        <v>177</v>
      </c>
      <c r="C15" s="23">
        <v>149</v>
      </c>
      <c r="D15" s="24">
        <v>0.11550387596899225</v>
      </c>
    </row>
    <row r="16" spans="1:4" x14ac:dyDescent="0.25">
      <c r="B16" s="22" t="s">
        <v>178</v>
      </c>
      <c r="C16" s="23">
        <v>50</v>
      </c>
      <c r="D16" s="24">
        <v>3.875968992248062E-2</v>
      </c>
    </row>
    <row r="17" spans="2:4" x14ac:dyDescent="0.25">
      <c r="B17" s="22" t="s">
        <v>179</v>
      </c>
      <c r="C17" s="23">
        <v>42</v>
      </c>
      <c r="D17" s="24">
        <v>3.255813953488372E-2</v>
      </c>
    </row>
    <row r="18" spans="2:4" x14ac:dyDescent="0.25">
      <c r="B18" s="22" t="s">
        <v>180</v>
      </c>
      <c r="C18" s="23">
        <v>29</v>
      </c>
      <c r="D18" s="24">
        <v>2.2480620155038759E-2</v>
      </c>
    </row>
    <row r="19" spans="2:4" x14ac:dyDescent="0.25">
      <c r="B19" s="22" t="s">
        <v>181</v>
      </c>
      <c r="C19" s="23">
        <v>25</v>
      </c>
      <c r="D19" s="24">
        <v>1.937984496124031E-2</v>
      </c>
    </row>
    <row r="20" spans="2:4" x14ac:dyDescent="0.25">
      <c r="B20" s="22" t="s">
        <v>182</v>
      </c>
      <c r="C20" s="23">
        <v>6</v>
      </c>
      <c r="D20" s="24">
        <v>4.6511627906976744E-3</v>
      </c>
    </row>
    <row r="21" spans="2:4" x14ac:dyDescent="0.25">
      <c r="B21" s="22" t="s">
        <v>183</v>
      </c>
      <c r="C21" s="23">
        <v>1</v>
      </c>
      <c r="D21" s="24">
        <v>7.7519379844961239E-4</v>
      </c>
    </row>
    <row r="22" spans="2:4" x14ac:dyDescent="0.25">
      <c r="B22" s="26" t="s">
        <v>63</v>
      </c>
      <c r="C22" s="27">
        <v>1290</v>
      </c>
      <c r="D22" s="28">
        <v>1</v>
      </c>
    </row>
    <row r="24" spans="2:4" x14ac:dyDescent="0.25">
      <c r="B24" s="30" t="s">
        <v>64</v>
      </c>
    </row>
    <row r="25" spans="2:4" x14ac:dyDescent="0.25">
      <c r="B25" s="31" t="s">
        <v>65</v>
      </c>
    </row>
    <row r="26" spans="2:4" x14ac:dyDescent="0.25">
      <c r="B26" s="32" t="s">
        <v>66</v>
      </c>
    </row>
    <row r="27" spans="2:4" x14ac:dyDescent="0.25">
      <c r="B27" s="30" t="s">
        <v>67</v>
      </c>
    </row>
    <row r="28" spans="2:4" x14ac:dyDescent="0.25">
      <c r="B28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57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8"/>
      <c r="C7" s="98"/>
      <c r="D7" s="98"/>
      <c r="E7" s="98"/>
    </row>
    <row r="8" spans="1:5" s="39" customFormat="1" ht="33" customHeight="1" x14ac:dyDescent="0.3">
      <c r="A8" s="42"/>
      <c r="B8" s="98"/>
      <c r="C8" s="98"/>
      <c r="D8" s="98"/>
      <c r="E8" s="98"/>
    </row>
    <row r="9" spans="1:5" s="14" customFormat="1" ht="40.5" customHeight="1" x14ac:dyDescent="0.2">
      <c r="B9" s="43" t="s">
        <v>141</v>
      </c>
      <c r="C9" s="44" t="s">
        <v>205</v>
      </c>
      <c r="D9" s="45" t="s">
        <v>21</v>
      </c>
      <c r="E9" s="43" t="s">
        <v>22</v>
      </c>
    </row>
    <row r="10" spans="1:5" ht="15" customHeight="1" x14ac:dyDescent="0.25">
      <c r="B10" s="93" t="s">
        <v>29</v>
      </c>
      <c r="C10" s="47" t="s">
        <v>175</v>
      </c>
      <c r="D10" s="48">
        <v>7</v>
      </c>
      <c r="E10" s="49">
        <v>4.6854082998661313E-3</v>
      </c>
    </row>
    <row r="11" spans="1:5" ht="15" customHeight="1" x14ac:dyDescent="0.25">
      <c r="B11" s="94"/>
      <c r="C11" s="47" t="s">
        <v>174</v>
      </c>
      <c r="D11" s="48">
        <v>16</v>
      </c>
      <c r="E11" s="49">
        <v>1.0709504685408299E-2</v>
      </c>
    </row>
    <row r="12" spans="1:5" ht="15" customHeight="1" x14ac:dyDescent="0.25">
      <c r="B12" s="94"/>
      <c r="C12" s="47" t="s">
        <v>176</v>
      </c>
      <c r="D12" s="48">
        <v>7</v>
      </c>
      <c r="E12" s="49">
        <v>4.6854082998661313E-3</v>
      </c>
    </row>
    <row r="13" spans="1:5" s="41" customFormat="1" ht="15" customHeight="1" x14ac:dyDescent="0.25">
      <c r="A13" s="46"/>
      <c r="B13" s="94"/>
      <c r="C13" s="47" t="s">
        <v>177</v>
      </c>
      <c r="D13" s="48">
        <v>4</v>
      </c>
      <c r="E13" s="49">
        <v>2.6773761713520749E-3</v>
      </c>
    </row>
    <row r="14" spans="1:5" s="41" customFormat="1" ht="15" customHeight="1" x14ac:dyDescent="0.25">
      <c r="A14" s="46"/>
      <c r="B14" s="94"/>
      <c r="C14" s="47" t="s">
        <v>178</v>
      </c>
      <c r="D14" s="48">
        <v>11</v>
      </c>
      <c r="E14" s="49">
        <v>7.3627844712182058E-3</v>
      </c>
    </row>
    <row r="15" spans="1:5" ht="15" customHeight="1" x14ac:dyDescent="0.25">
      <c r="B15" s="95"/>
      <c r="C15" s="50" t="s">
        <v>63</v>
      </c>
      <c r="D15" s="51">
        <v>45</v>
      </c>
      <c r="E15" s="52">
        <v>3.0120481927710843E-2</v>
      </c>
    </row>
    <row r="16" spans="1:5" ht="15" customHeight="1" x14ac:dyDescent="0.25">
      <c r="B16" s="93" t="s">
        <v>54</v>
      </c>
      <c r="C16" s="47" t="s">
        <v>175</v>
      </c>
      <c r="D16" s="48">
        <v>1</v>
      </c>
      <c r="E16" s="49">
        <v>6.6934404283801872E-4</v>
      </c>
    </row>
    <row r="17" spans="2:5" ht="15" customHeight="1" x14ac:dyDescent="0.25">
      <c r="B17" s="94"/>
      <c r="C17" s="47" t="s">
        <v>174</v>
      </c>
      <c r="D17" s="48">
        <v>4</v>
      </c>
      <c r="E17" s="49">
        <v>2.6773761713520749E-3</v>
      </c>
    </row>
    <row r="18" spans="2:5" ht="15" customHeight="1" x14ac:dyDescent="0.25">
      <c r="B18" s="94"/>
      <c r="C18" s="47" t="s">
        <v>176</v>
      </c>
      <c r="D18" s="48">
        <v>3</v>
      </c>
      <c r="E18" s="49">
        <v>2.008032128514056E-3</v>
      </c>
    </row>
    <row r="19" spans="2:5" ht="15" customHeight="1" x14ac:dyDescent="0.25">
      <c r="B19" s="94"/>
      <c r="C19" s="47" t="s">
        <v>177</v>
      </c>
      <c r="D19" s="48">
        <v>3</v>
      </c>
      <c r="E19" s="49">
        <v>2.008032128514056E-3</v>
      </c>
    </row>
    <row r="20" spans="2:5" ht="15" customHeight="1" x14ac:dyDescent="0.25">
      <c r="B20" s="95"/>
      <c r="C20" s="50" t="s">
        <v>63</v>
      </c>
      <c r="D20" s="51">
        <v>11</v>
      </c>
      <c r="E20" s="52">
        <v>7.3627844712182058E-3</v>
      </c>
    </row>
    <row r="21" spans="2:5" ht="15" customHeight="1" x14ac:dyDescent="0.25">
      <c r="B21" s="93" t="s">
        <v>36</v>
      </c>
      <c r="C21" s="47" t="s">
        <v>175</v>
      </c>
      <c r="D21" s="48">
        <v>2</v>
      </c>
      <c r="E21" s="49">
        <v>1.3386880856760374E-3</v>
      </c>
    </row>
    <row r="22" spans="2:5" ht="15" customHeight="1" x14ac:dyDescent="0.25">
      <c r="B22" s="94"/>
      <c r="C22" s="47" t="s">
        <v>174</v>
      </c>
      <c r="D22" s="48">
        <v>5</v>
      </c>
      <c r="E22" s="49">
        <v>3.3467202141900937E-3</v>
      </c>
    </row>
    <row r="23" spans="2:5" ht="15" customHeight="1" x14ac:dyDescent="0.25">
      <c r="B23" s="94"/>
      <c r="C23" s="47" t="s">
        <v>176</v>
      </c>
      <c r="D23" s="48">
        <v>7</v>
      </c>
      <c r="E23" s="49">
        <v>4.6854082998661313E-3</v>
      </c>
    </row>
    <row r="24" spans="2:5" ht="15" customHeight="1" x14ac:dyDescent="0.25">
      <c r="B24" s="94"/>
      <c r="C24" s="47" t="s">
        <v>177</v>
      </c>
      <c r="D24" s="48">
        <v>4</v>
      </c>
      <c r="E24" s="49">
        <v>2.6773761713520749E-3</v>
      </c>
    </row>
    <row r="25" spans="2:5" ht="15" customHeight="1" x14ac:dyDescent="0.25">
      <c r="B25" s="94"/>
      <c r="C25" s="47" t="s">
        <v>178</v>
      </c>
      <c r="D25" s="48">
        <v>1</v>
      </c>
      <c r="E25" s="49">
        <v>6.6934404283801872E-4</v>
      </c>
    </row>
    <row r="26" spans="2:5" ht="15" customHeight="1" x14ac:dyDescent="0.25">
      <c r="B26" s="95"/>
      <c r="C26" s="50" t="s">
        <v>63</v>
      </c>
      <c r="D26" s="51">
        <v>19</v>
      </c>
      <c r="E26" s="52">
        <v>1.2717536813922356E-2</v>
      </c>
    </row>
    <row r="27" spans="2:5" ht="15" customHeight="1" x14ac:dyDescent="0.25">
      <c r="B27" s="93" t="s">
        <v>24</v>
      </c>
      <c r="C27" s="47" t="s">
        <v>180</v>
      </c>
      <c r="D27" s="48">
        <v>9</v>
      </c>
      <c r="E27" s="49">
        <v>6.024096385542169E-3</v>
      </c>
    </row>
    <row r="28" spans="2:5" ht="15" customHeight="1" x14ac:dyDescent="0.25">
      <c r="B28" s="94"/>
      <c r="C28" s="47" t="s">
        <v>175</v>
      </c>
      <c r="D28" s="48">
        <v>63</v>
      </c>
      <c r="E28" s="49">
        <v>4.2168674698795178E-2</v>
      </c>
    </row>
    <row r="29" spans="2:5" ht="15" customHeight="1" x14ac:dyDescent="0.25">
      <c r="B29" s="94"/>
      <c r="C29" s="47" t="s">
        <v>179</v>
      </c>
      <c r="D29" s="48">
        <v>5</v>
      </c>
      <c r="E29" s="49">
        <v>3.3467202141900937E-3</v>
      </c>
    </row>
    <row r="30" spans="2:5" ht="15" customHeight="1" x14ac:dyDescent="0.25">
      <c r="B30" s="94"/>
      <c r="C30" s="47" t="s">
        <v>174</v>
      </c>
      <c r="D30" s="48">
        <v>84</v>
      </c>
      <c r="E30" s="49">
        <v>5.6224899598393573E-2</v>
      </c>
    </row>
    <row r="31" spans="2:5" ht="15" customHeight="1" x14ac:dyDescent="0.25">
      <c r="B31" s="94"/>
      <c r="C31" s="47" t="s">
        <v>176</v>
      </c>
      <c r="D31" s="48">
        <v>46</v>
      </c>
      <c r="E31" s="49">
        <v>3.0789825970548863E-2</v>
      </c>
    </row>
    <row r="32" spans="2:5" ht="15" customHeight="1" x14ac:dyDescent="0.25">
      <c r="B32" s="94"/>
      <c r="C32" s="47" t="s">
        <v>177</v>
      </c>
      <c r="D32" s="48">
        <v>21</v>
      </c>
      <c r="E32" s="49">
        <v>1.4056224899598393E-2</v>
      </c>
    </row>
    <row r="33" spans="2:5" ht="15" customHeight="1" x14ac:dyDescent="0.25">
      <c r="B33" s="94"/>
      <c r="C33" s="47" t="s">
        <v>181</v>
      </c>
      <c r="D33" s="48">
        <v>8</v>
      </c>
      <c r="E33" s="49">
        <v>5.3547523427041497E-3</v>
      </c>
    </row>
    <row r="34" spans="2:5" ht="15" customHeight="1" x14ac:dyDescent="0.25">
      <c r="B34" s="94"/>
      <c r="C34" s="47" t="s">
        <v>178</v>
      </c>
      <c r="D34" s="48">
        <v>7</v>
      </c>
      <c r="E34" s="49">
        <v>4.6854082998661313E-3</v>
      </c>
    </row>
    <row r="35" spans="2:5" ht="15" customHeight="1" x14ac:dyDescent="0.25">
      <c r="B35" s="94"/>
      <c r="C35" s="47" t="s">
        <v>182</v>
      </c>
      <c r="D35" s="48">
        <v>2</v>
      </c>
      <c r="E35" s="49">
        <v>1.3386880856760374E-3</v>
      </c>
    </row>
    <row r="36" spans="2:5" ht="15" customHeight="1" x14ac:dyDescent="0.25">
      <c r="B36" s="94"/>
      <c r="C36" s="47" t="s">
        <v>183</v>
      </c>
      <c r="D36" s="48">
        <v>1</v>
      </c>
      <c r="E36" s="49">
        <v>6.6934404283801872E-4</v>
      </c>
    </row>
    <row r="37" spans="2:5" ht="15" customHeight="1" x14ac:dyDescent="0.25">
      <c r="B37" s="95"/>
      <c r="C37" s="50" t="s">
        <v>63</v>
      </c>
      <c r="D37" s="51">
        <v>246</v>
      </c>
      <c r="E37" s="52">
        <v>0.1646586345381526</v>
      </c>
    </row>
    <row r="38" spans="2:5" ht="15" customHeight="1" x14ac:dyDescent="0.25">
      <c r="B38" s="93" t="s">
        <v>28</v>
      </c>
      <c r="C38" s="47" t="s">
        <v>180</v>
      </c>
      <c r="D38" s="48">
        <v>1</v>
      </c>
      <c r="E38" s="49">
        <v>6.6934404283801872E-4</v>
      </c>
    </row>
    <row r="39" spans="2:5" ht="15" customHeight="1" x14ac:dyDescent="0.25">
      <c r="B39" s="94"/>
      <c r="C39" s="47" t="s">
        <v>175</v>
      </c>
      <c r="D39" s="48">
        <v>4</v>
      </c>
      <c r="E39" s="49">
        <v>2.6773761713520749E-3</v>
      </c>
    </row>
    <row r="40" spans="2:5" ht="15" customHeight="1" x14ac:dyDescent="0.25">
      <c r="B40" s="94"/>
      <c r="C40" s="47" t="s">
        <v>179</v>
      </c>
      <c r="D40" s="48">
        <v>4</v>
      </c>
      <c r="E40" s="49">
        <v>2.6773761713520749E-3</v>
      </c>
    </row>
    <row r="41" spans="2:5" ht="15" customHeight="1" x14ac:dyDescent="0.25">
      <c r="B41" s="94"/>
      <c r="C41" s="47" t="s">
        <v>174</v>
      </c>
      <c r="D41" s="48">
        <v>22</v>
      </c>
      <c r="E41" s="49">
        <v>1.4725568942436412E-2</v>
      </c>
    </row>
    <row r="42" spans="2:5" ht="15" customHeight="1" x14ac:dyDescent="0.25">
      <c r="B42" s="94"/>
      <c r="C42" s="47" t="s">
        <v>176</v>
      </c>
      <c r="D42" s="48">
        <v>1</v>
      </c>
      <c r="E42" s="49">
        <v>6.6934404283801872E-4</v>
      </c>
    </row>
    <row r="43" spans="2:5" ht="15" customHeight="1" x14ac:dyDescent="0.25">
      <c r="B43" s="94"/>
      <c r="C43" s="47" t="s">
        <v>178</v>
      </c>
      <c r="D43" s="48">
        <v>3</v>
      </c>
      <c r="E43" s="49">
        <v>2.008032128514056E-3</v>
      </c>
    </row>
    <row r="44" spans="2:5" ht="15" customHeight="1" x14ac:dyDescent="0.25">
      <c r="B44" s="95"/>
      <c r="C44" s="50" t="s">
        <v>63</v>
      </c>
      <c r="D44" s="51">
        <v>35</v>
      </c>
      <c r="E44" s="52">
        <v>2.3427041499330656E-2</v>
      </c>
    </row>
    <row r="45" spans="2:5" ht="15" customHeight="1" x14ac:dyDescent="0.25">
      <c r="B45" s="93" t="s">
        <v>59</v>
      </c>
      <c r="C45" s="47" t="s">
        <v>179</v>
      </c>
      <c r="D45" s="48">
        <v>2</v>
      </c>
      <c r="E45" s="49">
        <v>1.3386880856760374E-3</v>
      </c>
    </row>
    <row r="46" spans="2:5" ht="15" customHeight="1" x14ac:dyDescent="0.25">
      <c r="B46" s="94"/>
      <c r="C46" s="47" t="s">
        <v>174</v>
      </c>
      <c r="D46" s="48">
        <v>1</v>
      </c>
      <c r="E46" s="49">
        <v>6.6934404283801872E-4</v>
      </c>
    </row>
    <row r="47" spans="2:5" ht="15" customHeight="1" x14ac:dyDescent="0.25">
      <c r="B47" s="94"/>
      <c r="C47" s="47" t="s">
        <v>181</v>
      </c>
      <c r="D47" s="48">
        <v>1</v>
      </c>
      <c r="E47" s="49">
        <v>6.6934404283801872E-4</v>
      </c>
    </row>
    <row r="48" spans="2:5" ht="15" customHeight="1" x14ac:dyDescent="0.25">
      <c r="B48" s="95"/>
      <c r="C48" s="50" t="s">
        <v>63</v>
      </c>
      <c r="D48" s="51">
        <v>4</v>
      </c>
      <c r="E48" s="52">
        <v>2.6773761713520749E-3</v>
      </c>
    </row>
    <row r="49" spans="2:5" ht="15" customHeight="1" x14ac:dyDescent="0.25">
      <c r="B49" s="93" t="s">
        <v>206</v>
      </c>
      <c r="C49" s="47" t="s">
        <v>176</v>
      </c>
      <c r="D49" s="48">
        <v>1</v>
      </c>
      <c r="E49" s="49">
        <v>6.6934404283801872E-4</v>
      </c>
    </row>
    <row r="50" spans="2:5" ht="15" customHeight="1" x14ac:dyDescent="0.25">
      <c r="B50" s="95"/>
      <c r="C50" s="50" t="s">
        <v>63</v>
      </c>
      <c r="D50" s="51">
        <v>1</v>
      </c>
      <c r="E50" s="52">
        <v>6.6934404283801872E-4</v>
      </c>
    </row>
    <row r="51" spans="2:5" ht="15" customHeight="1" x14ac:dyDescent="0.25">
      <c r="B51" s="93" t="s">
        <v>25</v>
      </c>
      <c r="C51" s="47" t="s">
        <v>180</v>
      </c>
      <c r="D51" s="48">
        <v>2</v>
      </c>
      <c r="E51" s="49">
        <v>1.3386880856760374E-3</v>
      </c>
    </row>
    <row r="52" spans="2:5" ht="15" customHeight="1" x14ac:dyDescent="0.25">
      <c r="B52" s="94"/>
      <c r="C52" s="47" t="s">
        <v>175</v>
      </c>
      <c r="D52" s="48">
        <v>10</v>
      </c>
      <c r="E52" s="49">
        <v>6.6934404283801874E-3</v>
      </c>
    </row>
    <row r="53" spans="2:5" ht="15" customHeight="1" x14ac:dyDescent="0.25">
      <c r="B53" s="94"/>
      <c r="C53" s="47" t="s">
        <v>179</v>
      </c>
      <c r="D53" s="48">
        <v>3</v>
      </c>
      <c r="E53" s="49">
        <v>2.008032128514056E-3</v>
      </c>
    </row>
    <row r="54" spans="2:5" ht="15" customHeight="1" x14ac:dyDescent="0.25">
      <c r="B54" s="94"/>
      <c r="C54" s="47" t="s">
        <v>174</v>
      </c>
      <c r="D54" s="48">
        <v>40</v>
      </c>
      <c r="E54" s="49">
        <v>2.677376171352075E-2</v>
      </c>
    </row>
    <row r="55" spans="2:5" ht="15" customHeight="1" x14ac:dyDescent="0.25">
      <c r="B55" s="94"/>
      <c r="C55" s="47" t="s">
        <v>176</v>
      </c>
      <c r="D55" s="48">
        <v>37</v>
      </c>
      <c r="E55" s="49">
        <v>2.4765729585006693E-2</v>
      </c>
    </row>
    <row r="56" spans="2:5" ht="15" customHeight="1" x14ac:dyDescent="0.25">
      <c r="B56" s="94"/>
      <c r="C56" s="47" t="s">
        <v>177</v>
      </c>
      <c r="D56" s="48">
        <v>18</v>
      </c>
      <c r="E56" s="49">
        <v>1.2048192771084338E-2</v>
      </c>
    </row>
    <row r="57" spans="2:5" ht="15" customHeight="1" x14ac:dyDescent="0.25">
      <c r="B57" s="94"/>
      <c r="C57" s="47" t="s">
        <v>181</v>
      </c>
      <c r="D57" s="48">
        <v>1</v>
      </c>
      <c r="E57" s="49">
        <v>6.6934404283801872E-4</v>
      </c>
    </row>
    <row r="58" spans="2:5" ht="15" customHeight="1" x14ac:dyDescent="0.25">
      <c r="B58" s="94"/>
      <c r="C58" s="47" t="s">
        <v>178</v>
      </c>
      <c r="D58" s="48">
        <v>4</v>
      </c>
      <c r="E58" s="49">
        <v>2.6773761713520749E-3</v>
      </c>
    </row>
    <row r="59" spans="2:5" ht="15" customHeight="1" x14ac:dyDescent="0.25">
      <c r="B59" s="94"/>
      <c r="C59" s="47" t="s">
        <v>182</v>
      </c>
      <c r="D59" s="48">
        <v>2</v>
      </c>
      <c r="E59" s="49">
        <v>1.3386880856760374E-3</v>
      </c>
    </row>
    <row r="60" spans="2:5" ht="15" customHeight="1" x14ac:dyDescent="0.25">
      <c r="B60" s="95"/>
      <c r="C60" s="50" t="s">
        <v>63</v>
      </c>
      <c r="D60" s="51">
        <v>117</v>
      </c>
      <c r="E60" s="52">
        <v>7.8313253012048195E-2</v>
      </c>
    </row>
    <row r="61" spans="2:5" ht="15" customHeight="1" x14ac:dyDescent="0.25">
      <c r="B61" s="93" t="s">
        <v>30</v>
      </c>
      <c r="C61" s="47" t="s">
        <v>180</v>
      </c>
      <c r="D61" s="48">
        <v>3</v>
      </c>
      <c r="E61" s="49">
        <v>2.008032128514056E-3</v>
      </c>
    </row>
    <row r="62" spans="2:5" ht="15" customHeight="1" x14ac:dyDescent="0.25">
      <c r="B62" s="94"/>
      <c r="C62" s="47" t="s">
        <v>175</v>
      </c>
      <c r="D62" s="48">
        <v>6</v>
      </c>
      <c r="E62" s="49">
        <v>4.0160642570281121E-3</v>
      </c>
    </row>
    <row r="63" spans="2:5" ht="15" customHeight="1" x14ac:dyDescent="0.25">
      <c r="B63" s="94"/>
      <c r="C63" s="47" t="s">
        <v>174</v>
      </c>
      <c r="D63" s="48">
        <v>15</v>
      </c>
      <c r="E63" s="49">
        <v>1.0040160642570281E-2</v>
      </c>
    </row>
    <row r="64" spans="2:5" ht="15" customHeight="1" x14ac:dyDescent="0.25">
      <c r="B64" s="94"/>
      <c r="C64" s="47" t="s">
        <v>176</v>
      </c>
      <c r="D64" s="48">
        <v>16</v>
      </c>
      <c r="E64" s="49">
        <v>1.0709504685408299E-2</v>
      </c>
    </row>
    <row r="65" spans="2:5" ht="15" customHeight="1" x14ac:dyDescent="0.25">
      <c r="B65" s="94"/>
      <c r="C65" s="47" t="s">
        <v>177</v>
      </c>
      <c r="D65" s="48">
        <v>8</v>
      </c>
      <c r="E65" s="49">
        <v>5.3547523427041497E-3</v>
      </c>
    </row>
    <row r="66" spans="2:5" ht="15" customHeight="1" x14ac:dyDescent="0.25">
      <c r="B66" s="94"/>
      <c r="C66" s="47" t="s">
        <v>181</v>
      </c>
      <c r="D66" s="48">
        <v>1</v>
      </c>
      <c r="E66" s="49">
        <v>6.6934404283801872E-4</v>
      </c>
    </row>
    <row r="67" spans="2:5" ht="15" customHeight="1" x14ac:dyDescent="0.25">
      <c r="B67" s="94"/>
      <c r="C67" s="47" t="s">
        <v>178</v>
      </c>
      <c r="D67" s="48">
        <v>1</v>
      </c>
      <c r="E67" s="49">
        <v>6.6934404283801872E-4</v>
      </c>
    </row>
    <row r="68" spans="2:5" ht="15" customHeight="1" x14ac:dyDescent="0.25">
      <c r="B68" s="94"/>
      <c r="C68" s="47" t="s">
        <v>182</v>
      </c>
      <c r="D68" s="48">
        <v>1</v>
      </c>
      <c r="E68" s="49">
        <v>6.6934404283801872E-4</v>
      </c>
    </row>
    <row r="69" spans="2:5" ht="15" customHeight="1" x14ac:dyDescent="0.25">
      <c r="B69" s="95"/>
      <c r="C69" s="50" t="s">
        <v>63</v>
      </c>
      <c r="D69" s="51">
        <v>51</v>
      </c>
      <c r="E69" s="52">
        <v>3.4136546184738957E-2</v>
      </c>
    </row>
    <row r="70" spans="2:5" ht="15" customHeight="1" x14ac:dyDescent="0.25">
      <c r="B70" s="93" t="s">
        <v>47</v>
      </c>
      <c r="C70" s="47" t="s">
        <v>174</v>
      </c>
      <c r="D70" s="48">
        <v>10</v>
      </c>
      <c r="E70" s="49">
        <v>6.6934404283801874E-3</v>
      </c>
    </row>
    <row r="71" spans="2:5" ht="15" customHeight="1" x14ac:dyDescent="0.25">
      <c r="B71" s="94"/>
      <c r="C71" s="47" t="s">
        <v>177</v>
      </c>
      <c r="D71" s="48">
        <v>3</v>
      </c>
      <c r="E71" s="49">
        <v>2.008032128514056E-3</v>
      </c>
    </row>
    <row r="72" spans="2:5" ht="15" customHeight="1" x14ac:dyDescent="0.25">
      <c r="B72" s="94"/>
      <c r="C72" s="47" t="s">
        <v>181</v>
      </c>
      <c r="D72" s="48">
        <v>1</v>
      </c>
      <c r="E72" s="49">
        <v>6.6934404283801872E-4</v>
      </c>
    </row>
    <row r="73" spans="2:5" ht="15" customHeight="1" x14ac:dyDescent="0.25">
      <c r="B73" s="95"/>
      <c r="C73" s="50" t="s">
        <v>63</v>
      </c>
      <c r="D73" s="51">
        <v>14</v>
      </c>
      <c r="E73" s="52">
        <v>9.3708165997322627E-3</v>
      </c>
    </row>
    <row r="74" spans="2:5" ht="15" customHeight="1" x14ac:dyDescent="0.25">
      <c r="B74" s="93" t="s">
        <v>31</v>
      </c>
      <c r="C74" s="47" t="s">
        <v>175</v>
      </c>
      <c r="D74" s="48">
        <v>10</v>
      </c>
      <c r="E74" s="49">
        <v>6.6934404283801874E-3</v>
      </c>
    </row>
    <row r="75" spans="2:5" ht="15" customHeight="1" x14ac:dyDescent="0.25">
      <c r="B75" s="94"/>
      <c r="C75" s="47" t="s">
        <v>174</v>
      </c>
      <c r="D75" s="48">
        <v>4</v>
      </c>
      <c r="E75" s="49">
        <v>2.6773761713520749E-3</v>
      </c>
    </row>
    <row r="76" spans="2:5" ht="15" customHeight="1" x14ac:dyDescent="0.25">
      <c r="B76" s="94"/>
      <c r="C76" s="47" t="s">
        <v>176</v>
      </c>
      <c r="D76" s="48">
        <v>9</v>
      </c>
      <c r="E76" s="49">
        <v>6.024096385542169E-3</v>
      </c>
    </row>
    <row r="77" spans="2:5" ht="15" customHeight="1" x14ac:dyDescent="0.25">
      <c r="B77" s="94"/>
      <c r="C77" s="47" t="s">
        <v>177</v>
      </c>
      <c r="D77" s="48">
        <v>2</v>
      </c>
      <c r="E77" s="49">
        <v>1.3386880856760374E-3</v>
      </c>
    </row>
    <row r="78" spans="2:5" ht="15" customHeight="1" x14ac:dyDescent="0.25">
      <c r="B78" s="95"/>
      <c r="C78" s="50" t="s">
        <v>63</v>
      </c>
      <c r="D78" s="51">
        <v>25</v>
      </c>
      <c r="E78" s="52">
        <v>1.6733601070950468E-2</v>
      </c>
    </row>
    <row r="79" spans="2:5" ht="15" customHeight="1" x14ac:dyDescent="0.25">
      <c r="B79" s="93" t="s">
        <v>32</v>
      </c>
      <c r="C79" s="47" t="s">
        <v>180</v>
      </c>
      <c r="D79" s="48">
        <v>2</v>
      </c>
      <c r="E79" s="49">
        <v>1.3386880856760374E-3</v>
      </c>
    </row>
    <row r="80" spans="2:5" ht="15" customHeight="1" x14ac:dyDescent="0.25">
      <c r="B80" s="94"/>
      <c r="C80" s="47" t="s">
        <v>175</v>
      </c>
      <c r="D80" s="48">
        <v>9</v>
      </c>
      <c r="E80" s="49">
        <v>6.024096385542169E-3</v>
      </c>
    </row>
    <row r="81" spans="2:5" ht="15" customHeight="1" x14ac:dyDescent="0.25">
      <c r="B81" s="94"/>
      <c r="C81" s="47" t="s">
        <v>174</v>
      </c>
      <c r="D81" s="48">
        <v>21</v>
      </c>
      <c r="E81" s="49">
        <v>1.4056224899598393E-2</v>
      </c>
    </row>
    <row r="82" spans="2:5" ht="15" customHeight="1" x14ac:dyDescent="0.25">
      <c r="B82" s="94"/>
      <c r="C82" s="47" t="s">
        <v>176</v>
      </c>
      <c r="D82" s="48">
        <v>2</v>
      </c>
      <c r="E82" s="49">
        <v>1.3386880856760374E-3</v>
      </c>
    </row>
    <row r="83" spans="2:5" ht="15" customHeight="1" x14ac:dyDescent="0.25">
      <c r="B83" s="94"/>
      <c r="C83" s="47" t="s">
        <v>177</v>
      </c>
      <c r="D83" s="48">
        <v>2</v>
      </c>
      <c r="E83" s="49">
        <v>1.3386880856760374E-3</v>
      </c>
    </row>
    <row r="84" spans="2:5" ht="15" customHeight="1" x14ac:dyDescent="0.25">
      <c r="B84" s="94"/>
      <c r="C84" s="47" t="s">
        <v>182</v>
      </c>
      <c r="D84" s="48">
        <v>1</v>
      </c>
      <c r="E84" s="49">
        <v>6.6934404283801872E-4</v>
      </c>
    </row>
    <row r="85" spans="2:5" ht="15" customHeight="1" x14ac:dyDescent="0.25">
      <c r="B85" s="95"/>
      <c r="C85" s="50" t="s">
        <v>63</v>
      </c>
      <c r="D85" s="51">
        <v>37</v>
      </c>
      <c r="E85" s="52">
        <v>2.4765729585006693E-2</v>
      </c>
    </row>
    <row r="86" spans="2:5" ht="15" customHeight="1" x14ac:dyDescent="0.25">
      <c r="B86" s="93" t="s">
        <v>34</v>
      </c>
      <c r="C86" s="47" t="s">
        <v>180</v>
      </c>
      <c r="D86" s="48">
        <v>1</v>
      </c>
      <c r="E86" s="49">
        <v>6.6934404283801872E-4</v>
      </c>
    </row>
    <row r="87" spans="2:5" ht="15" customHeight="1" x14ac:dyDescent="0.25">
      <c r="B87" s="94"/>
      <c r="C87" s="47" t="s">
        <v>175</v>
      </c>
      <c r="D87" s="48">
        <v>8</v>
      </c>
      <c r="E87" s="49">
        <v>5.3547523427041497E-3</v>
      </c>
    </row>
    <row r="88" spans="2:5" ht="15" customHeight="1" x14ac:dyDescent="0.25">
      <c r="B88" s="94"/>
      <c r="C88" s="47" t="s">
        <v>174</v>
      </c>
      <c r="D88" s="48">
        <v>15</v>
      </c>
      <c r="E88" s="49">
        <v>1.0040160642570281E-2</v>
      </c>
    </row>
    <row r="89" spans="2:5" ht="15" customHeight="1" x14ac:dyDescent="0.25">
      <c r="B89" s="94"/>
      <c r="C89" s="47" t="s">
        <v>176</v>
      </c>
      <c r="D89" s="48">
        <v>9</v>
      </c>
      <c r="E89" s="49">
        <v>6.024096385542169E-3</v>
      </c>
    </row>
    <row r="90" spans="2:5" ht="15" customHeight="1" x14ac:dyDescent="0.25">
      <c r="B90" s="94"/>
      <c r="C90" s="47" t="s">
        <v>177</v>
      </c>
      <c r="D90" s="48">
        <v>5</v>
      </c>
      <c r="E90" s="49">
        <v>3.3467202141900937E-3</v>
      </c>
    </row>
    <row r="91" spans="2:5" ht="15" customHeight="1" x14ac:dyDescent="0.25">
      <c r="B91" s="95"/>
      <c r="C91" s="50" t="s">
        <v>63</v>
      </c>
      <c r="D91" s="51">
        <v>38</v>
      </c>
      <c r="E91" s="52">
        <v>2.5435073627844713E-2</v>
      </c>
    </row>
    <row r="92" spans="2:5" ht="15" customHeight="1" x14ac:dyDescent="0.25">
      <c r="B92" s="93" t="s">
        <v>39</v>
      </c>
      <c r="C92" s="47" t="s">
        <v>175</v>
      </c>
      <c r="D92" s="48">
        <v>2</v>
      </c>
      <c r="E92" s="49">
        <v>1.3386880856760374E-3</v>
      </c>
    </row>
    <row r="93" spans="2:5" ht="15" customHeight="1" x14ac:dyDescent="0.25">
      <c r="B93" s="94"/>
      <c r="C93" s="47" t="s">
        <v>179</v>
      </c>
      <c r="D93" s="48">
        <v>1</v>
      </c>
      <c r="E93" s="49">
        <v>6.6934404283801872E-4</v>
      </c>
    </row>
    <row r="94" spans="2:5" ht="15" customHeight="1" x14ac:dyDescent="0.25">
      <c r="B94" s="94"/>
      <c r="C94" s="47" t="s">
        <v>174</v>
      </c>
      <c r="D94" s="48">
        <v>10</v>
      </c>
      <c r="E94" s="49">
        <v>6.6934404283801874E-3</v>
      </c>
    </row>
    <row r="95" spans="2:5" ht="15" customHeight="1" x14ac:dyDescent="0.25">
      <c r="B95" s="94"/>
      <c r="C95" s="47" t="s">
        <v>176</v>
      </c>
      <c r="D95" s="48">
        <v>3</v>
      </c>
      <c r="E95" s="49">
        <v>2.008032128514056E-3</v>
      </c>
    </row>
    <row r="96" spans="2:5" ht="15" customHeight="1" x14ac:dyDescent="0.25">
      <c r="B96" s="94"/>
      <c r="C96" s="47" t="s">
        <v>177</v>
      </c>
      <c r="D96" s="48">
        <v>2</v>
      </c>
      <c r="E96" s="49">
        <v>1.3386880856760374E-3</v>
      </c>
    </row>
    <row r="97" spans="2:5" ht="15" customHeight="1" x14ac:dyDescent="0.25">
      <c r="B97" s="94"/>
      <c r="C97" s="47" t="s">
        <v>178</v>
      </c>
      <c r="D97" s="48">
        <v>1</v>
      </c>
      <c r="E97" s="49">
        <v>6.6934404283801872E-4</v>
      </c>
    </row>
    <row r="98" spans="2:5" ht="15" customHeight="1" x14ac:dyDescent="0.25">
      <c r="B98" s="95"/>
      <c r="C98" s="50" t="s">
        <v>63</v>
      </c>
      <c r="D98" s="51">
        <v>19</v>
      </c>
      <c r="E98" s="52">
        <v>1.2717536813922356E-2</v>
      </c>
    </row>
    <row r="99" spans="2:5" ht="15" customHeight="1" x14ac:dyDescent="0.25">
      <c r="B99" s="93" t="s">
        <v>45</v>
      </c>
      <c r="C99" s="47" t="s">
        <v>180</v>
      </c>
      <c r="D99" s="48">
        <v>1</v>
      </c>
      <c r="E99" s="49">
        <v>6.6934404283801872E-4</v>
      </c>
    </row>
    <row r="100" spans="2:5" ht="15" customHeight="1" x14ac:dyDescent="0.25">
      <c r="B100" s="94"/>
      <c r="C100" s="47" t="s">
        <v>175</v>
      </c>
      <c r="D100" s="48">
        <v>2</v>
      </c>
      <c r="E100" s="49">
        <v>1.3386880856760374E-3</v>
      </c>
    </row>
    <row r="101" spans="2:5" ht="15" customHeight="1" x14ac:dyDescent="0.25">
      <c r="B101" s="94"/>
      <c r="C101" s="47" t="s">
        <v>174</v>
      </c>
      <c r="D101" s="48">
        <v>6</v>
      </c>
      <c r="E101" s="49">
        <v>4.0160642570281121E-3</v>
      </c>
    </row>
    <row r="102" spans="2:5" ht="15" customHeight="1" x14ac:dyDescent="0.25">
      <c r="B102" s="94"/>
      <c r="C102" s="47" t="s">
        <v>176</v>
      </c>
      <c r="D102" s="48">
        <v>5</v>
      </c>
      <c r="E102" s="49">
        <v>3.3467202141900937E-3</v>
      </c>
    </row>
    <row r="103" spans="2:5" ht="15" customHeight="1" x14ac:dyDescent="0.25">
      <c r="B103" s="95"/>
      <c r="C103" s="50" t="s">
        <v>63</v>
      </c>
      <c r="D103" s="51">
        <v>14</v>
      </c>
      <c r="E103" s="52">
        <v>9.3708165997322627E-3</v>
      </c>
    </row>
    <row r="104" spans="2:5" ht="15" customHeight="1" x14ac:dyDescent="0.25">
      <c r="B104" s="93" t="s">
        <v>42</v>
      </c>
      <c r="C104" s="47" t="s">
        <v>175</v>
      </c>
      <c r="D104" s="48">
        <v>2</v>
      </c>
      <c r="E104" s="49">
        <v>1.3386880856760374E-3</v>
      </c>
    </row>
    <row r="105" spans="2:5" ht="15" customHeight="1" x14ac:dyDescent="0.25">
      <c r="B105" s="94"/>
      <c r="C105" s="47" t="s">
        <v>179</v>
      </c>
      <c r="D105" s="48">
        <v>3</v>
      </c>
      <c r="E105" s="49">
        <v>2.008032128514056E-3</v>
      </c>
    </row>
    <row r="106" spans="2:5" ht="15" customHeight="1" x14ac:dyDescent="0.25">
      <c r="B106" s="94"/>
      <c r="C106" s="47" t="s">
        <v>174</v>
      </c>
      <c r="D106" s="48">
        <v>9</v>
      </c>
      <c r="E106" s="49">
        <v>6.024096385542169E-3</v>
      </c>
    </row>
    <row r="107" spans="2:5" ht="15" customHeight="1" x14ac:dyDescent="0.25">
      <c r="B107" s="94"/>
      <c r="C107" s="47" t="s">
        <v>176</v>
      </c>
      <c r="D107" s="48">
        <v>2</v>
      </c>
      <c r="E107" s="49">
        <v>1.3386880856760374E-3</v>
      </c>
    </row>
    <row r="108" spans="2:5" ht="15" customHeight="1" x14ac:dyDescent="0.25">
      <c r="B108" s="94"/>
      <c r="C108" s="47" t="s">
        <v>178</v>
      </c>
      <c r="D108" s="48">
        <v>2</v>
      </c>
      <c r="E108" s="49">
        <v>1.3386880856760374E-3</v>
      </c>
    </row>
    <row r="109" spans="2:5" ht="15" customHeight="1" x14ac:dyDescent="0.25">
      <c r="B109" s="95"/>
      <c r="C109" s="50" t="s">
        <v>63</v>
      </c>
      <c r="D109" s="51">
        <v>18</v>
      </c>
      <c r="E109" s="52">
        <v>1.2048192771084338E-2</v>
      </c>
    </row>
    <row r="110" spans="2:5" ht="15" customHeight="1" x14ac:dyDescent="0.25">
      <c r="B110" s="93" t="s">
        <v>58</v>
      </c>
      <c r="C110" s="47" t="s">
        <v>175</v>
      </c>
      <c r="D110" s="48">
        <v>1</v>
      </c>
      <c r="E110" s="49">
        <v>6.6934404283801872E-4</v>
      </c>
    </row>
    <row r="111" spans="2:5" ht="15" customHeight="1" x14ac:dyDescent="0.25">
      <c r="B111" s="94"/>
      <c r="C111" s="47" t="s">
        <v>174</v>
      </c>
      <c r="D111" s="48">
        <v>2</v>
      </c>
      <c r="E111" s="49">
        <v>1.3386880856760374E-3</v>
      </c>
    </row>
    <row r="112" spans="2:5" ht="15" customHeight="1" x14ac:dyDescent="0.25">
      <c r="B112" s="94"/>
      <c r="C112" s="47" t="s">
        <v>176</v>
      </c>
      <c r="D112" s="48">
        <v>2</v>
      </c>
      <c r="E112" s="49">
        <v>1.3386880856760374E-3</v>
      </c>
    </row>
    <row r="113" spans="2:5" ht="15" customHeight="1" x14ac:dyDescent="0.25">
      <c r="B113" s="94"/>
      <c r="C113" s="47" t="s">
        <v>183</v>
      </c>
      <c r="D113" s="48">
        <v>1</v>
      </c>
      <c r="E113" s="49">
        <v>6.6934404283801872E-4</v>
      </c>
    </row>
    <row r="114" spans="2:5" ht="15" customHeight="1" x14ac:dyDescent="0.25">
      <c r="B114" s="95"/>
      <c r="C114" s="50" t="s">
        <v>63</v>
      </c>
      <c r="D114" s="51">
        <v>6</v>
      </c>
      <c r="E114" s="52">
        <v>4.0160642570281121E-3</v>
      </c>
    </row>
    <row r="115" spans="2:5" ht="15" customHeight="1" x14ac:dyDescent="0.25">
      <c r="B115" s="93" t="s">
        <v>207</v>
      </c>
      <c r="C115" s="47" t="s">
        <v>178</v>
      </c>
      <c r="D115" s="48">
        <v>3</v>
      </c>
      <c r="E115" s="49">
        <v>2.008032128514056E-3</v>
      </c>
    </row>
    <row r="116" spans="2:5" ht="15" customHeight="1" x14ac:dyDescent="0.25">
      <c r="B116" s="95"/>
      <c r="C116" s="50" t="s">
        <v>63</v>
      </c>
      <c r="D116" s="51">
        <v>3</v>
      </c>
      <c r="E116" s="52">
        <v>2.008032128514056E-3</v>
      </c>
    </row>
    <row r="117" spans="2:5" ht="15" customHeight="1" x14ac:dyDescent="0.25">
      <c r="B117" s="93" t="s">
        <v>48</v>
      </c>
      <c r="C117" s="47" t="s">
        <v>175</v>
      </c>
      <c r="D117" s="48">
        <v>5</v>
      </c>
      <c r="E117" s="49">
        <v>3.3467202141900937E-3</v>
      </c>
    </row>
    <row r="118" spans="2:5" ht="15" customHeight="1" x14ac:dyDescent="0.25">
      <c r="B118" s="94"/>
      <c r="C118" s="47" t="s">
        <v>174</v>
      </c>
      <c r="D118" s="48">
        <v>3</v>
      </c>
      <c r="E118" s="49">
        <v>2.008032128514056E-3</v>
      </c>
    </row>
    <row r="119" spans="2:5" ht="15" customHeight="1" x14ac:dyDescent="0.25">
      <c r="B119" s="94"/>
      <c r="C119" s="47" t="s">
        <v>176</v>
      </c>
      <c r="D119" s="48">
        <v>2</v>
      </c>
      <c r="E119" s="49">
        <v>1.3386880856760374E-3</v>
      </c>
    </row>
    <row r="120" spans="2:5" ht="15" customHeight="1" x14ac:dyDescent="0.25">
      <c r="B120" s="94"/>
      <c r="C120" s="47" t="s">
        <v>177</v>
      </c>
      <c r="D120" s="48">
        <v>1</v>
      </c>
      <c r="E120" s="49">
        <v>6.6934404283801872E-4</v>
      </c>
    </row>
    <row r="121" spans="2:5" ht="15" customHeight="1" x14ac:dyDescent="0.25">
      <c r="B121" s="95"/>
      <c r="C121" s="50" t="s">
        <v>63</v>
      </c>
      <c r="D121" s="51">
        <v>11</v>
      </c>
      <c r="E121" s="52">
        <v>7.3627844712182058E-3</v>
      </c>
    </row>
    <row r="122" spans="2:5" ht="15" customHeight="1" x14ac:dyDescent="0.25">
      <c r="B122" s="93" t="s">
        <v>46</v>
      </c>
      <c r="C122" s="47" t="s">
        <v>175</v>
      </c>
      <c r="D122" s="48">
        <v>8</v>
      </c>
      <c r="E122" s="49">
        <v>5.3547523427041497E-3</v>
      </c>
    </row>
    <row r="123" spans="2:5" ht="15" customHeight="1" x14ac:dyDescent="0.25">
      <c r="B123" s="94"/>
      <c r="C123" s="47" t="s">
        <v>174</v>
      </c>
      <c r="D123" s="48">
        <v>2</v>
      </c>
      <c r="E123" s="49">
        <v>1.3386880856760374E-3</v>
      </c>
    </row>
    <row r="124" spans="2:5" ht="15" customHeight="1" x14ac:dyDescent="0.25">
      <c r="B124" s="94"/>
      <c r="C124" s="47" t="s">
        <v>176</v>
      </c>
      <c r="D124" s="48">
        <v>4</v>
      </c>
      <c r="E124" s="49">
        <v>2.6773761713520749E-3</v>
      </c>
    </row>
    <row r="125" spans="2:5" ht="15" customHeight="1" x14ac:dyDescent="0.25">
      <c r="B125" s="94"/>
      <c r="C125" s="47" t="s">
        <v>177</v>
      </c>
      <c r="D125" s="48">
        <v>1</v>
      </c>
      <c r="E125" s="49">
        <v>6.6934404283801872E-4</v>
      </c>
    </row>
    <row r="126" spans="2:5" ht="15" customHeight="1" x14ac:dyDescent="0.25">
      <c r="B126" s="94"/>
      <c r="C126" s="47" t="s">
        <v>178</v>
      </c>
      <c r="D126" s="48">
        <v>1</v>
      </c>
      <c r="E126" s="49">
        <v>6.6934404283801872E-4</v>
      </c>
    </row>
    <row r="127" spans="2:5" ht="15" customHeight="1" x14ac:dyDescent="0.25">
      <c r="B127" s="95"/>
      <c r="C127" s="50" t="s">
        <v>63</v>
      </c>
      <c r="D127" s="51">
        <v>16</v>
      </c>
      <c r="E127" s="52">
        <v>1.0709504685408299E-2</v>
      </c>
    </row>
    <row r="128" spans="2:5" ht="15" customHeight="1" x14ac:dyDescent="0.25">
      <c r="B128" s="93" t="s">
        <v>49</v>
      </c>
      <c r="C128" s="47" t="s">
        <v>180</v>
      </c>
      <c r="D128" s="48">
        <v>1</v>
      </c>
      <c r="E128" s="49">
        <v>6.6934404283801872E-4</v>
      </c>
    </row>
    <row r="129" spans="2:5" ht="15" customHeight="1" x14ac:dyDescent="0.25">
      <c r="B129" s="94"/>
      <c r="C129" s="47" t="s">
        <v>175</v>
      </c>
      <c r="D129" s="48">
        <v>5</v>
      </c>
      <c r="E129" s="49">
        <v>3.3467202141900937E-3</v>
      </c>
    </row>
    <row r="130" spans="2:5" ht="15" customHeight="1" x14ac:dyDescent="0.25">
      <c r="B130" s="94"/>
      <c r="C130" s="47" t="s">
        <v>174</v>
      </c>
      <c r="D130" s="48">
        <v>6</v>
      </c>
      <c r="E130" s="49">
        <v>4.0160642570281121E-3</v>
      </c>
    </row>
    <row r="131" spans="2:5" ht="15" customHeight="1" x14ac:dyDescent="0.25">
      <c r="B131" s="94"/>
      <c r="C131" s="47" t="s">
        <v>176</v>
      </c>
      <c r="D131" s="48">
        <v>3</v>
      </c>
      <c r="E131" s="49">
        <v>2.008032128514056E-3</v>
      </c>
    </row>
    <row r="132" spans="2:5" ht="15" customHeight="1" x14ac:dyDescent="0.25">
      <c r="B132" s="94"/>
      <c r="C132" s="47" t="s">
        <v>178</v>
      </c>
      <c r="D132" s="48">
        <v>3</v>
      </c>
      <c r="E132" s="49">
        <v>2.008032128514056E-3</v>
      </c>
    </row>
    <row r="133" spans="2:5" ht="15" customHeight="1" x14ac:dyDescent="0.25">
      <c r="B133" s="95"/>
      <c r="C133" s="50" t="s">
        <v>63</v>
      </c>
      <c r="D133" s="51">
        <v>18</v>
      </c>
      <c r="E133" s="52">
        <v>1.2048192771084338E-2</v>
      </c>
    </row>
    <row r="134" spans="2:5" ht="15" customHeight="1" x14ac:dyDescent="0.25">
      <c r="B134" s="93" t="s">
        <v>35</v>
      </c>
      <c r="C134" s="47" t="s">
        <v>175</v>
      </c>
      <c r="D134" s="48">
        <v>7</v>
      </c>
      <c r="E134" s="49">
        <v>4.6854082998661313E-3</v>
      </c>
    </row>
    <row r="135" spans="2:5" ht="15" customHeight="1" x14ac:dyDescent="0.25">
      <c r="B135" s="94"/>
      <c r="C135" s="47" t="s">
        <v>174</v>
      </c>
      <c r="D135" s="48">
        <v>5</v>
      </c>
      <c r="E135" s="49">
        <v>3.3467202141900937E-3</v>
      </c>
    </row>
    <row r="136" spans="2:5" ht="15" customHeight="1" x14ac:dyDescent="0.25">
      <c r="B136" s="94"/>
      <c r="C136" s="47" t="s">
        <v>177</v>
      </c>
      <c r="D136" s="48">
        <v>6</v>
      </c>
      <c r="E136" s="49">
        <v>4.0160642570281121E-3</v>
      </c>
    </row>
    <row r="137" spans="2:5" ht="15" customHeight="1" x14ac:dyDescent="0.25">
      <c r="B137" s="95"/>
      <c r="C137" s="50" t="s">
        <v>63</v>
      </c>
      <c r="D137" s="51">
        <v>18</v>
      </c>
      <c r="E137" s="52">
        <v>1.2048192771084338E-2</v>
      </c>
    </row>
    <row r="138" spans="2:5" ht="15" customHeight="1" x14ac:dyDescent="0.25">
      <c r="B138" s="93" t="s">
        <v>208</v>
      </c>
      <c r="C138" s="47" t="s">
        <v>177</v>
      </c>
      <c r="D138" s="48">
        <v>1</v>
      </c>
      <c r="E138" s="49">
        <v>6.6934404283801872E-4</v>
      </c>
    </row>
    <row r="139" spans="2:5" ht="15" customHeight="1" x14ac:dyDescent="0.25">
      <c r="B139" s="95"/>
      <c r="C139" s="50" t="s">
        <v>63</v>
      </c>
      <c r="D139" s="51">
        <v>1</v>
      </c>
      <c r="E139" s="52">
        <v>6.6934404283801872E-4</v>
      </c>
    </row>
    <row r="140" spans="2:5" ht="15" customHeight="1" x14ac:dyDescent="0.25">
      <c r="B140" s="93" t="s">
        <v>26</v>
      </c>
      <c r="C140" s="47" t="s">
        <v>175</v>
      </c>
      <c r="D140" s="48">
        <v>5</v>
      </c>
      <c r="E140" s="49">
        <v>3.3467202141900937E-3</v>
      </c>
    </row>
    <row r="141" spans="2:5" ht="15" customHeight="1" x14ac:dyDescent="0.25">
      <c r="B141" s="94"/>
      <c r="C141" s="47" t="s">
        <v>174</v>
      </c>
      <c r="D141" s="48">
        <v>23</v>
      </c>
      <c r="E141" s="49">
        <v>1.5394912985274432E-2</v>
      </c>
    </row>
    <row r="142" spans="2:5" ht="15" customHeight="1" x14ac:dyDescent="0.25">
      <c r="B142" s="94"/>
      <c r="C142" s="47" t="s">
        <v>176</v>
      </c>
      <c r="D142" s="48">
        <v>7</v>
      </c>
      <c r="E142" s="49">
        <v>4.6854082998661313E-3</v>
      </c>
    </row>
    <row r="143" spans="2:5" ht="15" customHeight="1" x14ac:dyDescent="0.25">
      <c r="B143" s="94"/>
      <c r="C143" s="47" t="s">
        <v>177</v>
      </c>
      <c r="D143" s="48">
        <v>30</v>
      </c>
      <c r="E143" s="49">
        <v>2.0080321285140562E-2</v>
      </c>
    </row>
    <row r="144" spans="2:5" ht="15" customHeight="1" x14ac:dyDescent="0.25">
      <c r="B144" s="95"/>
      <c r="C144" s="50" t="s">
        <v>63</v>
      </c>
      <c r="D144" s="51">
        <v>65</v>
      </c>
      <c r="E144" s="52">
        <v>4.3507362784471218E-2</v>
      </c>
    </row>
    <row r="145" spans="2:5" ht="15" customHeight="1" x14ac:dyDescent="0.25">
      <c r="B145" s="93" t="s">
        <v>37</v>
      </c>
      <c r="C145" s="47" t="s">
        <v>180</v>
      </c>
      <c r="D145" s="48">
        <v>3</v>
      </c>
      <c r="E145" s="49">
        <v>2.008032128514056E-3</v>
      </c>
    </row>
    <row r="146" spans="2:5" ht="15" customHeight="1" x14ac:dyDescent="0.25">
      <c r="B146" s="94"/>
      <c r="C146" s="47" t="s">
        <v>175</v>
      </c>
      <c r="D146" s="48">
        <v>17</v>
      </c>
      <c r="E146" s="49">
        <v>1.1378848728246318E-2</v>
      </c>
    </row>
    <row r="147" spans="2:5" ht="15" customHeight="1" x14ac:dyDescent="0.25">
      <c r="B147" s="94"/>
      <c r="C147" s="47" t="s">
        <v>179</v>
      </c>
      <c r="D147" s="48">
        <v>1</v>
      </c>
      <c r="E147" s="49">
        <v>6.6934404283801872E-4</v>
      </c>
    </row>
    <row r="148" spans="2:5" ht="15" customHeight="1" x14ac:dyDescent="0.25">
      <c r="B148" s="94"/>
      <c r="C148" s="47" t="s">
        <v>174</v>
      </c>
      <c r="D148" s="48">
        <v>4</v>
      </c>
      <c r="E148" s="49">
        <v>2.6773761713520749E-3</v>
      </c>
    </row>
    <row r="149" spans="2:5" ht="15" customHeight="1" x14ac:dyDescent="0.25">
      <c r="B149" s="94"/>
      <c r="C149" s="47" t="s">
        <v>176</v>
      </c>
      <c r="D149" s="48">
        <v>4</v>
      </c>
      <c r="E149" s="49">
        <v>2.6773761713520749E-3</v>
      </c>
    </row>
    <row r="150" spans="2:5" ht="15" customHeight="1" x14ac:dyDescent="0.25">
      <c r="B150" s="95"/>
      <c r="C150" s="50" t="s">
        <v>63</v>
      </c>
      <c r="D150" s="51">
        <v>29</v>
      </c>
      <c r="E150" s="52">
        <v>1.9410977242302542E-2</v>
      </c>
    </row>
    <row r="151" spans="2:5" ht="15" customHeight="1" x14ac:dyDescent="0.25">
      <c r="B151" s="93" t="s">
        <v>51</v>
      </c>
      <c r="C151" s="47" t="s">
        <v>175</v>
      </c>
      <c r="D151" s="48">
        <v>3</v>
      </c>
      <c r="E151" s="49">
        <v>2.008032128514056E-3</v>
      </c>
    </row>
    <row r="152" spans="2:5" ht="15" customHeight="1" x14ac:dyDescent="0.25">
      <c r="B152" s="94"/>
      <c r="C152" s="47" t="s">
        <v>179</v>
      </c>
      <c r="D152" s="48">
        <v>1</v>
      </c>
      <c r="E152" s="49">
        <v>6.6934404283801872E-4</v>
      </c>
    </row>
    <row r="153" spans="2:5" ht="15" customHeight="1" x14ac:dyDescent="0.25">
      <c r="B153" s="94"/>
      <c r="C153" s="47" t="s">
        <v>174</v>
      </c>
      <c r="D153" s="48">
        <v>2</v>
      </c>
      <c r="E153" s="49">
        <v>1.3386880856760374E-3</v>
      </c>
    </row>
    <row r="154" spans="2:5" ht="15" customHeight="1" x14ac:dyDescent="0.25">
      <c r="B154" s="94"/>
      <c r="C154" s="47" t="s">
        <v>176</v>
      </c>
      <c r="D154" s="48">
        <v>7</v>
      </c>
      <c r="E154" s="49">
        <v>4.6854082998661313E-3</v>
      </c>
    </row>
    <row r="155" spans="2:5" ht="15" customHeight="1" x14ac:dyDescent="0.25">
      <c r="B155" s="94"/>
      <c r="C155" s="47" t="s">
        <v>177</v>
      </c>
      <c r="D155" s="48">
        <v>2</v>
      </c>
      <c r="E155" s="49">
        <v>1.3386880856760374E-3</v>
      </c>
    </row>
    <row r="156" spans="2:5" ht="15" customHeight="1" x14ac:dyDescent="0.25">
      <c r="B156" s="94"/>
      <c r="C156" s="47" t="s">
        <v>181</v>
      </c>
      <c r="D156" s="48">
        <v>1</v>
      </c>
      <c r="E156" s="49">
        <v>6.6934404283801872E-4</v>
      </c>
    </row>
    <row r="157" spans="2:5" ht="15" customHeight="1" x14ac:dyDescent="0.25">
      <c r="B157" s="95"/>
      <c r="C157" s="50" t="s">
        <v>63</v>
      </c>
      <c r="D157" s="51">
        <v>16</v>
      </c>
      <c r="E157" s="52">
        <v>1.0709504685408299E-2</v>
      </c>
    </row>
    <row r="158" spans="2:5" ht="15" customHeight="1" x14ac:dyDescent="0.25">
      <c r="B158" s="93" t="s">
        <v>53</v>
      </c>
      <c r="C158" s="47" t="s">
        <v>175</v>
      </c>
      <c r="D158" s="48">
        <v>1</v>
      </c>
      <c r="E158" s="49">
        <v>6.6934404283801872E-4</v>
      </c>
    </row>
    <row r="159" spans="2:5" ht="15" customHeight="1" x14ac:dyDescent="0.25">
      <c r="B159" s="94"/>
      <c r="C159" s="47" t="s">
        <v>178</v>
      </c>
      <c r="D159" s="48">
        <v>1</v>
      </c>
      <c r="E159" s="49">
        <v>6.6934404283801872E-4</v>
      </c>
    </row>
    <row r="160" spans="2:5" ht="15" customHeight="1" x14ac:dyDescent="0.25">
      <c r="B160" s="95"/>
      <c r="C160" s="50" t="s">
        <v>63</v>
      </c>
      <c r="D160" s="51">
        <v>2</v>
      </c>
      <c r="E160" s="52">
        <v>1.3386880856760374E-3</v>
      </c>
    </row>
    <row r="161" spans="2:5" ht="15" customHeight="1" x14ac:dyDescent="0.25">
      <c r="B161" s="93" t="s">
        <v>52</v>
      </c>
      <c r="C161" s="47" t="s">
        <v>175</v>
      </c>
      <c r="D161" s="48">
        <v>9</v>
      </c>
      <c r="E161" s="49">
        <v>6.024096385542169E-3</v>
      </c>
    </row>
    <row r="162" spans="2:5" ht="15" customHeight="1" x14ac:dyDescent="0.25">
      <c r="B162" s="94"/>
      <c r="C162" s="47" t="s">
        <v>174</v>
      </c>
      <c r="D162" s="48">
        <v>3</v>
      </c>
      <c r="E162" s="49">
        <v>2.008032128514056E-3</v>
      </c>
    </row>
    <row r="163" spans="2:5" ht="15" customHeight="1" x14ac:dyDescent="0.25">
      <c r="B163" s="94"/>
      <c r="C163" s="47" t="s">
        <v>176</v>
      </c>
      <c r="D163" s="48">
        <v>3</v>
      </c>
      <c r="E163" s="49">
        <v>2.008032128514056E-3</v>
      </c>
    </row>
    <row r="164" spans="2:5" ht="15" customHeight="1" x14ac:dyDescent="0.25">
      <c r="B164" s="94"/>
      <c r="C164" s="47" t="s">
        <v>177</v>
      </c>
      <c r="D164" s="48">
        <v>1</v>
      </c>
      <c r="E164" s="49">
        <v>6.6934404283801872E-4</v>
      </c>
    </row>
    <row r="165" spans="2:5" ht="15" customHeight="1" x14ac:dyDescent="0.25">
      <c r="B165" s="94"/>
      <c r="C165" s="47" t="s">
        <v>178</v>
      </c>
      <c r="D165" s="48">
        <v>1</v>
      </c>
      <c r="E165" s="49">
        <v>6.6934404283801872E-4</v>
      </c>
    </row>
    <row r="166" spans="2:5" ht="15" customHeight="1" x14ac:dyDescent="0.25">
      <c r="B166" s="95"/>
      <c r="C166" s="50" t="s">
        <v>63</v>
      </c>
      <c r="D166" s="51">
        <v>17</v>
      </c>
      <c r="E166" s="52">
        <v>1.1378848728246318E-2</v>
      </c>
    </row>
    <row r="167" spans="2:5" ht="15" customHeight="1" x14ac:dyDescent="0.25">
      <c r="B167" s="93" t="s">
        <v>27</v>
      </c>
      <c r="C167" s="47" t="s">
        <v>175</v>
      </c>
      <c r="D167" s="48">
        <v>6</v>
      </c>
      <c r="E167" s="49">
        <v>4.0160642570281121E-3</v>
      </c>
    </row>
    <row r="168" spans="2:5" ht="15" customHeight="1" x14ac:dyDescent="0.25">
      <c r="B168" s="94"/>
      <c r="C168" s="47" t="s">
        <v>179</v>
      </c>
      <c r="D168" s="48">
        <v>1</v>
      </c>
      <c r="E168" s="49">
        <v>6.6934404283801872E-4</v>
      </c>
    </row>
    <row r="169" spans="2:5" ht="15" customHeight="1" x14ac:dyDescent="0.25">
      <c r="B169" s="94"/>
      <c r="C169" s="47" t="s">
        <v>174</v>
      </c>
      <c r="D169" s="48">
        <v>19</v>
      </c>
      <c r="E169" s="49">
        <v>1.2717536813922356E-2</v>
      </c>
    </row>
    <row r="170" spans="2:5" ht="15" customHeight="1" x14ac:dyDescent="0.25">
      <c r="B170" s="94"/>
      <c r="C170" s="47" t="s">
        <v>176</v>
      </c>
      <c r="D170" s="48">
        <v>15</v>
      </c>
      <c r="E170" s="49">
        <v>1.0040160642570281E-2</v>
      </c>
    </row>
    <row r="171" spans="2:5" ht="15" customHeight="1" x14ac:dyDescent="0.25">
      <c r="B171" s="94"/>
      <c r="C171" s="47" t="s">
        <v>177</v>
      </c>
      <c r="D171" s="48">
        <v>3</v>
      </c>
      <c r="E171" s="49">
        <v>2.008032128514056E-3</v>
      </c>
    </row>
    <row r="172" spans="2:5" ht="15" customHeight="1" x14ac:dyDescent="0.25">
      <c r="B172" s="94"/>
      <c r="C172" s="47" t="s">
        <v>178</v>
      </c>
      <c r="D172" s="48">
        <v>3</v>
      </c>
      <c r="E172" s="49">
        <v>2.008032128514056E-3</v>
      </c>
    </row>
    <row r="173" spans="2:5" ht="15" customHeight="1" x14ac:dyDescent="0.25">
      <c r="B173" s="95"/>
      <c r="C173" s="50" t="s">
        <v>63</v>
      </c>
      <c r="D173" s="51">
        <v>47</v>
      </c>
      <c r="E173" s="52">
        <v>3.1459170013386883E-2</v>
      </c>
    </row>
    <row r="174" spans="2:5" ht="15" customHeight="1" x14ac:dyDescent="0.25">
      <c r="B174" s="93" t="s">
        <v>44</v>
      </c>
      <c r="C174" s="47" t="s">
        <v>175</v>
      </c>
      <c r="D174" s="48">
        <v>1</v>
      </c>
      <c r="E174" s="49">
        <v>6.6934404283801872E-4</v>
      </c>
    </row>
    <row r="175" spans="2:5" ht="15" customHeight="1" x14ac:dyDescent="0.25">
      <c r="B175" s="94"/>
      <c r="C175" s="47" t="s">
        <v>174</v>
      </c>
      <c r="D175" s="48">
        <v>6</v>
      </c>
      <c r="E175" s="49">
        <v>4.0160642570281121E-3</v>
      </c>
    </row>
    <row r="176" spans="2:5" ht="15" customHeight="1" x14ac:dyDescent="0.25">
      <c r="B176" s="94"/>
      <c r="C176" s="47" t="s">
        <v>176</v>
      </c>
      <c r="D176" s="48">
        <v>3</v>
      </c>
      <c r="E176" s="49">
        <v>2.008032128514056E-3</v>
      </c>
    </row>
    <row r="177" spans="2:5" ht="15" customHeight="1" x14ac:dyDescent="0.25">
      <c r="B177" s="94"/>
      <c r="C177" s="47" t="s">
        <v>178</v>
      </c>
      <c r="D177" s="48">
        <v>1</v>
      </c>
      <c r="E177" s="49">
        <v>6.6934404283801872E-4</v>
      </c>
    </row>
    <row r="178" spans="2:5" ht="15" customHeight="1" x14ac:dyDescent="0.25">
      <c r="B178" s="95"/>
      <c r="C178" s="50" t="s">
        <v>63</v>
      </c>
      <c r="D178" s="51">
        <v>11</v>
      </c>
      <c r="E178" s="52">
        <v>7.3627844712182058E-3</v>
      </c>
    </row>
    <row r="179" spans="2:5" ht="15" customHeight="1" x14ac:dyDescent="0.25">
      <c r="B179" s="93" t="s">
        <v>38</v>
      </c>
      <c r="C179" s="47" t="s">
        <v>175</v>
      </c>
      <c r="D179" s="48">
        <v>7</v>
      </c>
      <c r="E179" s="49">
        <v>4.6854082998661313E-3</v>
      </c>
    </row>
    <row r="180" spans="2:5" ht="15" customHeight="1" x14ac:dyDescent="0.25">
      <c r="B180" s="94"/>
      <c r="C180" s="47" t="s">
        <v>174</v>
      </c>
      <c r="D180" s="48">
        <v>17</v>
      </c>
      <c r="E180" s="49">
        <v>1.1378848728246318E-2</v>
      </c>
    </row>
    <row r="181" spans="2:5" ht="15" customHeight="1" x14ac:dyDescent="0.25">
      <c r="B181" s="94"/>
      <c r="C181" s="47" t="s">
        <v>176</v>
      </c>
      <c r="D181" s="48">
        <v>2</v>
      </c>
      <c r="E181" s="49">
        <v>1.3386880856760374E-3</v>
      </c>
    </row>
    <row r="182" spans="2:5" ht="15" customHeight="1" x14ac:dyDescent="0.25">
      <c r="B182" s="94"/>
      <c r="C182" s="47" t="s">
        <v>177</v>
      </c>
      <c r="D182" s="48">
        <v>2</v>
      </c>
      <c r="E182" s="49">
        <v>1.3386880856760374E-3</v>
      </c>
    </row>
    <row r="183" spans="2:5" ht="15" customHeight="1" x14ac:dyDescent="0.25">
      <c r="B183" s="94"/>
      <c r="C183" s="47" t="s">
        <v>181</v>
      </c>
      <c r="D183" s="48">
        <v>1</v>
      </c>
      <c r="E183" s="49">
        <v>6.6934404283801872E-4</v>
      </c>
    </row>
    <row r="184" spans="2:5" ht="15" customHeight="1" x14ac:dyDescent="0.25">
      <c r="B184" s="95"/>
      <c r="C184" s="50" t="s">
        <v>63</v>
      </c>
      <c r="D184" s="51">
        <v>29</v>
      </c>
      <c r="E184" s="52">
        <v>1.9410977242302542E-2</v>
      </c>
    </row>
    <row r="185" spans="2:5" ht="15" customHeight="1" x14ac:dyDescent="0.25">
      <c r="B185" s="93" t="s">
        <v>55</v>
      </c>
      <c r="C185" s="47" t="s">
        <v>175</v>
      </c>
      <c r="D185" s="48">
        <v>1</v>
      </c>
      <c r="E185" s="49">
        <v>6.6934404283801872E-4</v>
      </c>
    </row>
    <row r="186" spans="2:5" ht="15" customHeight="1" x14ac:dyDescent="0.25">
      <c r="B186" s="94"/>
      <c r="C186" s="47" t="s">
        <v>174</v>
      </c>
      <c r="D186" s="48">
        <v>2</v>
      </c>
      <c r="E186" s="49">
        <v>1.3386880856760374E-3</v>
      </c>
    </row>
    <row r="187" spans="2:5" ht="15" customHeight="1" x14ac:dyDescent="0.25">
      <c r="B187" s="94"/>
      <c r="C187" s="47" t="s">
        <v>176</v>
      </c>
      <c r="D187" s="48">
        <v>6</v>
      </c>
      <c r="E187" s="49">
        <v>4.0160642570281121E-3</v>
      </c>
    </row>
    <row r="188" spans="2:5" ht="15" customHeight="1" x14ac:dyDescent="0.25">
      <c r="B188" s="94"/>
      <c r="C188" s="47" t="s">
        <v>177</v>
      </c>
      <c r="D188" s="48">
        <v>3</v>
      </c>
      <c r="E188" s="49">
        <v>2.008032128514056E-3</v>
      </c>
    </row>
    <row r="189" spans="2:5" ht="15" customHeight="1" x14ac:dyDescent="0.25">
      <c r="B189" s="95"/>
      <c r="C189" s="50" t="s">
        <v>63</v>
      </c>
      <c r="D189" s="51">
        <v>12</v>
      </c>
      <c r="E189" s="52">
        <v>8.0321285140562242E-3</v>
      </c>
    </row>
    <row r="190" spans="2:5" ht="15" customHeight="1" x14ac:dyDescent="0.25">
      <c r="B190" s="93" t="s">
        <v>209</v>
      </c>
      <c r="C190" s="47" t="s">
        <v>174</v>
      </c>
      <c r="D190" s="48">
        <v>2</v>
      </c>
      <c r="E190" s="49">
        <v>1.3386880856760374E-3</v>
      </c>
    </row>
    <row r="191" spans="2:5" ht="15" customHeight="1" x14ac:dyDescent="0.25">
      <c r="B191" s="94"/>
      <c r="C191" s="47" t="s">
        <v>177</v>
      </c>
      <c r="D191" s="48">
        <v>1</v>
      </c>
      <c r="E191" s="49">
        <v>6.6934404283801872E-4</v>
      </c>
    </row>
    <row r="192" spans="2:5" ht="15" customHeight="1" x14ac:dyDescent="0.25">
      <c r="B192" s="95"/>
      <c r="C192" s="50" t="s">
        <v>63</v>
      </c>
      <c r="D192" s="51">
        <v>3</v>
      </c>
      <c r="E192" s="52">
        <v>2.008032128514056E-3</v>
      </c>
    </row>
    <row r="193" spans="2:5" ht="15" customHeight="1" x14ac:dyDescent="0.25">
      <c r="B193" s="93" t="s">
        <v>43</v>
      </c>
      <c r="C193" s="47" t="s">
        <v>180</v>
      </c>
      <c r="D193" s="48">
        <v>1</v>
      </c>
      <c r="E193" s="49">
        <v>6.6934404283801872E-4</v>
      </c>
    </row>
    <row r="194" spans="2:5" ht="15" customHeight="1" x14ac:dyDescent="0.25">
      <c r="B194" s="94"/>
      <c r="C194" s="47" t="s">
        <v>175</v>
      </c>
      <c r="D194" s="48">
        <v>3</v>
      </c>
      <c r="E194" s="49">
        <v>2.008032128514056E-3</v>
      </c>
    </row>
    <row r="195" spans="2:5" ht="15" customHeight="1" x14ac:dyDescent="0.25">
      <c r="B195" s="94"/>
      <c r="C195" s="47" t="s">
        <v>179</v>
      </c>
      <c r="D195" s="48">
        <v>1</v>
      </c>
      <c r="E195" s="49">
        <v>6.6934404283801872E-4</v>
      </c>
    </row>
    <row r="196" spans="2:5" ht="15" customHeight="1" x14ac:dyDescent="0.25">
      <c r="B196" s="94"/>
      <c r="C196" s="47" t="s">
        <v>174</v>
      </c>
      <c r="D196" s="48">
        <v>7</v>
      </c>
      <c r="E196" s="49">
        <v>4.6854082998661313E-3</v>
      </c>
    </row>
    <row r="197" spans="2:5" ht="15" customHeight="1" x14ac:dyDescent="0.25">
      <c r="B197" s="94"/>
      <c r="C197" s="47" t="s">
        <v>176</v>
      </c>
      <c r="D197" s="48">
        <v>10</v>
      </c>
      <c r="E197" s="49">
        <v>6.6934404283801874E-3</v>
      </c>
    </row>
    <row r="198" spans="2:5" ht="15" customHeight="1" x14ac:dyDescent="0.25">
      <c r="B198" s="94"/>
      <c r="C198" s="47" t="s">
        <v>178</v>
      </c>
      <c r="D198" s="48">
        <v>1</v>
      </c>
      <c r="E198" s="49">
        <v>6.6934404283801872E-4</v>
      </c>
    </row>
    <row r="199" spans="2:5" ht="15" customHeight="1" x14ac:dyDescent="0.25">
      <c r="B199" s="95"/>
      <c r="C199" s="50" t="s">
        <v>63</v>
      </c>
      <c r="D199" s="51">
        <v>23</v>
      </c>
      <c r="E199" s="52">
        <v>1.5394912985274432E-2</v>
      </c>
    </row>
    <row r="200" spans="2:5" ht="15" customHeight="1" x14ac:dyDescent="0.25">
      <c r="B200" s="93" t="s">
        <v>60</v>
      </c>
      <c r="C200" s="47" t="s">
        <v>174</v>
      </c>
      <c r="D200" s="48">
        <v>1</v>
      </c>
      <c r="E200" s="49">
        <v>6.6934404283801872E-4</v>
      </c>
    </row>
    <row r="201" spans="2:5" ht="15" customHeight="1" x14ac:dyDescent="0.25">
      <c r="B201" s="94"/>
      <c r="C201" s="47" t="s">
        <v>176</v>
      </c>
      <c r="D201" s="48">
        <v>1</v>
      </c>
      <c r="E201" s="49">
        <v>6.6934404283801872E-4</v>
      </c>
    </row>
    <row r="202" spans="2:5" ht="15" customHeight="1" x14ac:dyDescent="0.25">
      <c r="B202" s="95"/>
      <c r="C202" s="50" t="s">
        <v>63</v>
      </c>
      <c r="D202" s="51">
        <v>2</v>
      </c>
      <c r="E202" s="52">
        <v>1.3386880856760374E-3</v>
      </c>
    </row>
    <row r="203" spans="2:5" ht="15" customHeight="1" x14ac:dyDescent="0.25">
      <c r="B203" s="93" t="s">
        <v>33</v>
      </c>
      <c r="C203" s="47" t="s">
        <v>180</v>
      </c>
      <c r="D203" s="48">
        <v>1</v>
      </c>
      <c r="E203" s="49">
        <v>6.6934404283801872E-4</v>
      </c>
    </row>
    <row r="204" spans="2:5" ht="15" customHeight="1" x14ac:dyDescent="0.25">
      <c r="B204" s="94"/>
      <c r="C204" s="47" t="s">
        <v>175</v>
      </c>
      <c r="D204" s="48">
        <v>3</v>
      </c>
      <c r="E204" s="49">
        <v>2.008032128514056E-3</v>
      </c>
    </row>
    <row r="205" spans="2:5" ht="15" customHeight="1" x14ac:dyDescent="0.25">
      <c r="B205" s="94"/>
      <c r="C205" s="47" t="s">
        <v>179</v>
      </c>
      <c r="D205" s="48">
        <v>2</v>
      </c>
      <c r="E205" s="49">
        <v>1.3386880856760374E-3</v>
      </c>
    </row>
    <row r="206" spans="2:5" ht="15" customHeight="1" x14ac:dyDescent="0.25">
      <c r="B206" s="94"/>
      <c r="C206" s="47" t="s">
        <v>174</v>
      </c>
      <c r="D206" s="48">
        <v>11</v>
      </c>
      <c r="E206" s="49">
        <v>7.3627844712182058E-3</v>
      </c>
    </row>
    <row r="207" spans="2:5" ht="15" customHeight="1" x14ac:dyDescent="0.25">
      <c r="B207" s="94"/>
      <c r="C207" s="47" t="s">
        <v>176</v>
      </c>
      <c r="D207" s="48">
        <v>11</v>
      </c>
      <c r="E207" s="49">
        <v>7.3627844712182058E-3</v>
      </c>
    </row>
    <row r="208" spans="2:5" ht="15" customHeight="1" x14ac:dyDescent="0.25">
      <c r="B208" s="94"/>
      <c r="C208" s="47" t="s">
        <v>177</v>
      </c>
      <c r="D208" s="48">
        <v>2</v>
      </c>
      <c r="E208" s="49">
        <v>1.3386880856760374E-3</v>
      </c>
    </row>
    <row r="209" spans="2:5" ht="15" customHeight="1" x14ac:dyDescent="0.25">
      <c r="B209" s="94"/>
      <c r="C209" s="47" t="s">
        <v>178</v>
      </c>
      <c r="D209" s="48">
        <v>1</v>
      </c>
      <c r="E209" s="49">
        <v>6.6934404283801872E-4</v>
      </c>
    </row>
    <row r="210" spans="2:5" ht="15" customHeight="1" x14ac:dyDescent="0.25">
      <c r="B210" s="95"/>
      <c r="C210" s="50" t="s">
        <v>63</v>
      </c>
      <c r="D210" s="51">
        <v>31</v>
      </c>
      <c r="E210" s="52">
        <v>2.0749665327978582E-2</v>
      </c>
    </row>
    <row r="211" spans="2:5" ht="15" customHeight="1" x14ac:dyDescent="0.25">
      <c r="B211" s="93" t="s">
        <v>23</v>
      </c>
      <c r="C211" s="47" t="s">
        <v>180</v>
      </c>
      <c r="D211" s="48">
        <v>5</v>
      </c>
      <c r="E211" s="49">
        <v>3.3467202141900937E-3</v>
      </c>
    </row>
    <row r="212" spans="2:5" ht="15" customHeight="1" x14ac:dyDescent="0.25">
      <c r="B212" s="94"/>
      <c r="C212" s="47" t="s">
        <v>175</v>
      </c>
      <c r="D212" s="48">
        <v>114</v>
      </c>
      <c r="E212" s="49">
        <v>7.6305220883534142E-2</v>
      </c>
    </row>
    <row r="213" spans="2:5" ht="15" customHeight="1" x14ac:dyDescent="0.25">
      <c r="B213" s="94"/>
      <c r="C213" s="47" t="s">
        <v>179</v>
      </c>
      <c r="D213" s="48">
        <v>17</v>
      </c>
      <c r="E213" s="49">
        <v>1.1378848728246318E-2</v>
      </c>
    </row>
    <row r="214" spans="2:5" ht="15" customHeight="1" x14ac:dyDescent="0.25">
      <c r="B214" s="94"/>
      <c r="C214" s="47" t="s">
        <v>174</v>
      </c>
      <c r="D214" s="48">
        <v>131</v>
      </c>
      <c r="E214" s="49">
        <v>8.7684069611780449E-2</v>
      </c>
    </row>
    <row r="215" spans="2:5" ht="15" customHeight="1" x14ac:dyDescent="0.25">
      <c r="B215" s="94"/>
      <c r="C215" s="47" t="s">
        <v>176</v>
      </c>
      <c r="D215" s="48">
        <v>54</v>
      </c>
      <c r="E215" s="49">
        <v>3.614457831325301E-2</v>
      </c>
    </row>
    <row r="216" spans="2:5" ht="15" customHeight="1" x14ac:dyDescent="0.25">
      <c r="B216" s="94"/>
      <c r="C216" s="47" t="s">
        <v>177</v>
      </c>
      <c r="D216" s="48">
        <v>33</v>
      </c>
      <c r="E216" s="49">
        <v>2.2088353413654619E-2</v>
      </c>
    </row>
    <row r="217" spans="2:5" ht="15" customHeight="1" x14ac:dyDescent="0.25">
      <c r="B217" s="94"/>
      <c r="C217" s="47" t="s">
        <v>181</v>
      </c>
      <c r="D217" s="48">
        <v>1</v>
      </c>
      <c r="E217" s="49">
        <v>6.6934404283801872E-4</v>
      </c>
    </row>
    <row r="218" spans="2:5" ht="15" customHeight="1" x14ac:dyDescent="0.25">
      <c r="B218" s="94"/>
      <c r="C218" s="47" t="s">
        <v>178</v>
      </c>
      <c r="D218" s="48">
        <v>11</v>
      </c>
      <c r="E218" s="49">
        <v>7.3627844712182058E-3</v>
      </c>
    </row>
    <row r="219" spans="2:5" ht="15" customHeight="1" x14ac:dyDescent="0.25">
      <c r="B219" s="94"/>
      <c r="C219" s="47" t="s">
        <v>182</v>
      </c>
      <c r="D219" s="48">
        <v>1</v>
      </c>
      <c r="E219" s="49">
        <v>6.6934404283801872E-4</v>
      </c>
    </row>
    <row r="220" spans="2:5" ht="15" customHeight="1" x14ac:dyDescent="0.25">
      <c r="B220" s="94"/>
      <c r="C220" s="47" t="s">
        <v>183</v>
      </c>
      <c r="D220" s="48">
        <v>2</v>
      </c>
      <c r="E220" s="49">
        <v>1.3386880856760374E-3</v>
      </c>
    </row>
    <row r="221" spans="2:5" ht="15" customHeight="1" x14ac:dyDescent="0.25">
      <c r="B221" s="95"/>
      <c r="C221" s="50" t="s">
        <v>63</v>
      </c>
      <c r="D221" s="51">
        <v>369</v>
      </c>
      <c r="E221" s="52">
        <v>0.24698795180722891</v>
      </c>
    </row>
    <row r="222" spans="2:5" ht="15" customHeight="1" x14ac:dyDescent="0.25">
      <c r="B222" s="93" t="s">
        <v>56</v>
      </c>
      <c r="C222" s="47" t="s">
        <v>175</v>
      </c>
      <c r="D222" s="48">
        <v>6</v>
      </c>
      <c r="E222" s="49">
        <v>4.0160642570281121E-3</v>
      </c>
    </row>
    <row r="223" spans="2:5" ht="15" customHeight="1" x14ac:dyDescent="0.25">
      <c r="B223" s="94"/>
      <c r="C223" s="47" t="s">
        <v>174</v>
      </c>
      <c r="D223" s="48">
        <v>3</v>
      </c>
      <c r="E223" s="49">
        <v>2.008032128514056E-3</v>
      </c>
    </row>
    <row r="224" spans="2:5" ht="15" customHeight="1" x14ac:dyDescent="0.25">
      <c r="B224" s="94"/>
      <c r="C224" s="47" t="s">
        <v>176</v>
      </c>
      <c r="D224" s="48">
        <v>1</v>
      </c>
      <c r="E224" s="49">
        <v>6.6934404283801872E-4</v>
      </c>
    </row>
    <row r="225" spans="2:5" ht="15" customHeight="1" x14ac:dyDescent="0.25">
      <c r="B225" s="94"/>
      <c r="C225" s="47" t="s">
        <v>177</v>
      </c>
      <c r="D225" s="48">
        <v>1</v>
      </c>
      <c r="E225" s="49">
        <v>6.6934404283801872E-4</v>
      </c>
    </row>
    <row r="226" spans="2:5" ht="15" customHeight="1" x14ac:dyDescent="0.25">
      <c r="B226" s="94"/>
      <c r="C226" s="47" t="s">
        <v>178</v>
      </c>
      <c r="D226" s="48">
        <v>1</v>
      </c>
      <c r="E226" s="49">
        <v>6.6934404283801872E-4</v>
      </c>
    </row>
    <row r="227" spans="2:5" ht="15" customHeight="1" x14ac:dyDescent="0.25">
      <c r="B227" s="95"/>
      <c r="C227" s="50" t="s">
        <v>63</v>
      </c>
      <c r="D227" s="51">
        <v>12</v>
      </c>
      <c r="E227" s="52">
        <v>8.0321285140562242E-3</v>
      </c>
    </row>
    <row r="228" spans="2:5" ht="15" customHeight="1" x14ac:dyDescent="0.25">
      <c r="B228" s="93" t="s">
        <v>40</v>
      </c>
      <c r="C228" s="47" t="s">
        <v>180</v>
      </c>
      <c r="D228" s="48">
        <v>3</v>
      </c>
      <c r="E228" s="49">
        <v>2.008032128514056E-3</v>
      </c>
    </row>
    <row r="229" spans="2:5" ht="15" customHeight="1" x14ac:dyDescent="0.25">
      <c r="B229" s="94"/>
      <c r="C229" s="47" t="s">
        <v>175</v>
      </c>
      <c r="D229" s="48">
        <v>3</v>
      </c>
      <c r="E229" s="49">
        <v>2.008032128514056E-3</v>
      </c>
    </row>
    <row r="230" spans="2:5" ht="15" customHeight="1" x14ac:dyDescent="0.25">
      <c r="B230" s="94"/>
      <c r="C230" s="47" t="s">
        <v>174</v>
      </c>
      <c r="D230" s="48">
        <v>6</v>
      </c>
      <c r="E230" s="49">
        <v>4.0160642570281121E-3</v>
      </c>
    </row>
    <row r="231" spans="2:5" ht="15" customHeight="1" x14ac:dyDescent="0.25">
      <c r="B231" s="94"/>
      <c r="C231" s="47" t="s">
        <v>176</v>
      </c>
      <c r="D231" s="48">
        <v>11</v>
      </c>
      <c r="E231" s="49">
        <v>7.3627844712182058E-3</v>
      </c>
    </row>
    <row r="232" spans="2:5" ht="15" customHeight="1" x14ac:dyDescent="0.25">
      <c r="B232" s="94"/>
      <c r="C232" s="47" t="s">
        <v>177</v>
      </c>
      <c r="D232" s="48">
        <v>1</v>
      </c>
      <c r="E232" s="49">
        <v>6.6934404283801872E-4</v>
      </c>
    </row>
    <row r="233" spans="2:5" ht="15" customHeight="1" x14ac:dyDescent="0.25">
      <c r="B233" s="94"/>
      <c r="C233" s="47" t="s">
        <v>181</v>
      </c>
      <c r="D233" s="48">
        <v>2</v>
      </c>
      <c r="E233" s="49">
        <v>1.3386880856760374E-3</v>
      </c>
    </row>
    <row r="234" spans="2:5" ht="15" customHeight="1" x14ac:dyDescent="0.25">
      <c r="B234" s="94"/>
      <c r="C234" s="47" t="s">
        <v>178</v>
      </c>
      <c r="D234" s="48">
        <v>3</v>
      </c>
      <c r="E234" s="49">
        <v>2.008032128514056E-3</v>
      </c>
    </row>
    <row r="235" spans="2:5" ht="15" customHeight="1" x14ac:dyDescent="0.25">
      <c r="B235" s="95"/>
      <c r="C235" s="50" t="s">
        <v>63</v>
      </c>
      <c r="D235" s="51">
        <v>29</v>
      </c>
      <c r="E235" s="52">
        <v>1.9410977242302542E-2</v>
      </c>
    </row>
    <row r="236" spans="2:5" ht="15" customHeight="1" x14ac:dyDescent="0.25">
      <c r="B236" s="93" t="s">
        <v>41</v>
      </c>
      <c r="C236" s="47" t="s">
        <v>175</v>
      </c>
      <c r="D236" s="48">
        <v>2</v>
      </c>
      <c r="E236" s="49">
        <v>1.3386880856760374E-3</v>
      </c>
    </row>
    <row r="237" spans="2:5" ht="15" customHeight="1" x14ac:dyDescent="0.25">
      <c r="B237" s="94"/>
      <c r="C237" s="47" t="s">
        <v>174</v>
      </c>
      <c r="D237" s="48">
        <v>6</v>
      </c>
      <c r="E237" s="49">
        <v>4.0160642570281121E-3</v>
      </c>
    </row>
    <row r="238" spans="2:5" ht="15" customHeight="1" x14ac:dyDescent="0.25">
      <c r="B238" s="94"/>
      <c r="C238" s="47" t="s">
        <v>176</v>
      </c>
      <c r="D238" s="48">
        <v>5</v>
      </c>
      <c r="E238" s="49">
        <v>3.3467202141900937E-3</v>
      </c>
    </row>
    <row r="239" spans="2:5" ht="15" customHeight="1" x14ac:dyDescent="0.25">
      <c r="B239" s="94"/>
      <c r="C239" s="47" t="s">
        <v>177</v>
      </c>
      <c r="D239" s="48">
        <v>2</v>
      </c>
      <c r="E239" s="49">
        <v>1.3386880856760374E-3</v>
      </c>
    </row>
    <row r="240" spans="2:5" ht="15" customHeight="1" x14ac:dyDescent="0.25">
      <c r="B240" s="94"/>
      <c r="C240" s="47" t="s">
        <v>181</v>
      </c>
      <c r="D240" s="48">
        <v>2</v>
      </c>
      <c r="E240" s="49">
        <v>1.3386880856760374E-3</v>
      </c>
    </row>
    <row r="241" spans="2:5" ht="15" customHeight="1" x14ac:dyDescent="0.25">
      <c r="B241" s="95"/>
      <c r="C241" s="50" t="s">
        <v>63</v>
      </c>
      <c r="D241" s="51">
        <v>17</v>
      </c>
      <c r="E241" s="52">
        <v>1.1378848728246318E-2</v>
      </c>
    </row>
    <row r="242" spans="2:5" ht="15" customHeight="1" x14ac:dyDescent="0.25">
      <c r="B242" s="93" t="s">
        <v>50</v>
      </c>
      <c r="C242" s="47" t="s">
        <v>175</v>
      </c>
      <c r="D242" s="48">
        <v>1</v>
      </c>
      <c r="E242" s="49">
        <v>6.6934404283801872E-4</v>
      </c>
    </row>
    <row r="243" spans="2:5" ht="15" customHeight="1" x14ac:dyDescent="0.25">
      <c r="B243" s="94"/>
      <c r="C243" s="47" t="s">
        <v>179</v>
      </c>
      <c r="D243" s="48">
        <v>2</v>
      </c>
      <c r="E243" s="49">
        <v>1.3386880856760374E-3</v>
      </c>
    </row>
    <row r="244" spans="2:5" ht="15" customHeight="1" x14ac:dyDescent="0.25">
      <c r="B244" s="94"/>
      <c r="C244" s="47" t="s">
        <v>174</v>
      </c>
      <c r="D244" s="48">
        <v>5</v>
      </c>
      <c r="E244" s="49">
        <v>3.3467202141900937E-3</v>
      </c>
    </row>
    <row r="245" spans="2:5" ht="15" customHeight="1" x14ac:dyDescent="0.25">
      <c r="B245" s="94"/>
      <c r="C245" s="47" t="s">
        <v>176</v>
      </c>
      <c r="D245" s="48">
        <v>2</v>
      </c>
      <c r="E245" s="49">
        <v>1.3386880856760374E-3</v>
      </c>
    </row>
    <row r="246" spans="2:5" ht="15" customHeight="1" x14ac:dyDescent="0.25">
      <c r="B246" s="95"/>
      <c r="C246" s="50" t="s">
        <v>63</v>
      </c>
      <c r="D246" s="51">
        <v>10</v>
      </c>
      <c r="E246" s="52">
        <v>6.6934404283801874E-3</v>
      </c>
    </row>
    <row r="247" spans="2:5" ht="15" customHeight="1" x14ac:dyDescent="0.25">
      <c r="B247" s="93" t="s">
        <v>210</v>
      </c>
      <c r="C247" s="47" t="s">
        <v>174</v>
      </c>
      <c r="D247" s="48">
        <v>1</v>
      </c>
      <c r="E247" s="49">
        <v>6.6934404283801872E-4</v>
      </c>
    </row>
    <row r="248" spans="2:5" ht="15" customHeight="1" x14ac:dyDescent="0.25">
      <c r="B248" s="94"/>
      <c r="C248" s="47" t="s">
        <v>176</v>
      </c>
      <c r="D248" s="48">
        <v>1</v>
      </c>
      <c r="E248" s="49">
        <v>6.6934404283801872E-4</v>
      </c>
    </row>
    <row r="249" spans="2:5" ht="15" customHeight="1" x14ac:dyDescent="0.25">
      <c r="B249" s="94"/>
      <c r="C249" s="47" t="s">
        <v>177</v>
      </c>
      <c r="D249" s="48">
        <v>1</v>
      </c>
      <c r="E249" s="49">
        <v>6.6934404283801872E-4</v>
      </c>
    </row>
    <row r="250" spans="2:5" ht="15" customHeight="1" x14ac:dyDescent="0.25">
      <c r="B250" s="95"/>
      <c r="C250" s="50" t="s">
        <v>63</v>
      </c>
      <c r="D250" s="51">
        <v>3</v>
      </c>
      <c r="E250" s="52">
        <v>2.008032128514056E-3</v>
      </c>
    </row>
    <row r="251" spans="2:5" ht="15" customHeight="1" x14ac:dyDescent="0.25">
      <c r="B251" s="96" t="s">
        <v>63</v>
      </c>
      <c r="C251" s="97"/>
      <c r="D251" s="53">
        <v>1494</v>
      </c>
      <c r="E251" s="54">
        <v>1</v>
      </c>
    </row>
    <row r="253" spans="2:5" ht="15" customHeight="1" x14ac:dyDescent="0.25">
      <c r="B253" s="30" t="s">
        <v>64</v>
      </c>
    </row>
    <row r="254" spans="2:5" ht="15" customHeight="1" x14ac:dyDescent="0.25">
      <c r="B254" s="31" t="s">
        <v>65</v>
      </c>
    </row>
    <row r="255" spans="2:5" ht="15" customHeight="1" x14ac:dyDescent="0.25">
      <c r="B255" s="32" t="s">
        <v>66</v>
      </c>
    </row>
    <row r="256" spans="2:5" ht="15" customHeight="1" x14ac:dyDescent="0.25">
      <c r="B256" s="30" t="s">
        <v>67</v>
      </c>
    </row>
    <row r="257" spans="2:2" ht="15" customHeight="1" x14ac:dyDescent="0.25">
      <c r="B257" s="30" t="s">
        <v>68</v>
      </c>
    </row>
  </sheetData>
  <mergeCells count="44">
    <mergeCell ref="B74:B78"/>
    <mergeCell ref="B7:E8"/>
    <mergeCell ref="B10:B15"/>
    <mergeCell ref="B16:B20"/>
    <mergeCell ref="B21:B26"/>
    <mergeCell ref="B27:B37"/>
    <mergeCell ref="B38:B44"/>
    <mergeCell ref="B45:B48"/>
    <mergeCell ref="B49:B50"/>
    <mergeCell ref="B51:B60"/>
    <mergeCell ref="B61:B69"/>
    <mergeCell ref="B70:B73"/>
    <mergeCell ref="B138:B139"/>
    <mergeCell ref="B79:B85"/>
    <mergeCell ref="B86:B91"/>
    <mergeCell ref="B92:B98"/>
    <mergeCell ref="B99:B103"/>
    <mergeCell ref="B104:B109"/>
    <mergeCell ref="B110:B114"/>
    <mergeCell ref="B115:B116"/>
    <mergeCell ref="B117:B121"/>
    <mergeCell ref="B122:B127"/>
    <mergeCell ref="B128:B133"/>
    <mergeCell ref="B134:B137"/>
    <mergeCell ref="B200:B202"/>
    <mergeCell ref="B140:B144"/>
    <mergeCell ref="B145:B150"/>
    <mergeCell ref="B151:B157"/>
    <mergeCell ref="B158:B160"/>
    <mergeCell ref="B161:B166"/>
    <mergeCell ref="B167:B173"/>
    <mergeCell ref="B174:B178"/>
    <mergeCell ref="B179:B184"/>
    <mergeCell ref="B185:B189"/>
    <mergeCell ref="B190:B192"/>
    <mergeCell ref="B193:B199"/>
    <mergeCell ref="B247:B250"/>
    <mergeCell ref="B251:C251"/>
    <mergeCell ref="B203:B210"/>
    <mergeCell ref="B211:B221"/>
    <mergeCell ref="B222:B227"/>
    <mergeCell ref="B228:B235"/>
    <mergeCell ref="B236:B241"/>
    <mergeCell ref="B242:B2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50" max="4" man="1"/>
    <brk id="91" max="4" man="1"/>
    <brk id="133" max="4" man="1"/>
    <brk id="173" max="4" man="1"/>
    <brk id="21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8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8"/>
      <c r="C7" s="98"/>
      <c r="D7" s="98"/>
      <c r="E7" s="98"/>
    </row>
    <row r="8" spans="1:5" s="39" customFormat="1" ht="33" customHeight="1" x14ac:dyDescent="0.3">
      <c r="A8" s="42"/>
      <c r="B8" s="98"/>
      <c r="C8" s="98"/>
      <c r="D8" s="98"/>
      <c r="E8" s="98"/>
    </row>
    <row r="9" spans="1:5" s="14" customFormat="1" ht="40.5" customHeight="1" x14ac:dyDescent="0.2">
      <c r="B9" s="43" t="s">
        <v>97</v>
      </c>
      <c r="C9" s="44" t="s">
        <v>205</v>
      </c>
      <c r="D9" s="45" t="s">
        <v>21</v>
      </c>
      <c r="E9" s="43" t="s">
        <v>22</v>
      </c>
    </row>
    <row r="10" spans="1:5" ht="15" customHeight="1" x14ac:dyDescent="0.25">
      <c r="B10" s="93" t="s">
        <v>98</v>
      </c>
      <c r="C10" s="47" t="s">
        <v>176</v>
      </c>
      <c r="D10" s="48">
        <v>1</v>
      </c>
      <c r="E10" s="49">
        <v>7.7519379844961239E-4</v>
      </c>
    </row>
    <row r="11" spans="1:5" s="41" customFormat="1" ht="15" customHeight="1" x14ac:dyDescent="0.25">
      <c r="A11" s="46"/>
      <c r="B11" s="94"/>
      <c r="C11" s="47" t="s">
        <v>177</v>
      </c>
      <c r="D11" s="48">
        <v>1</v>
      </c>
      <c r="E11" s="49">
        <v>7.7519379844961239E-4</v>
      </c>
    </row>
    <row r="12" spans="1:5" ht="15" customHeight="1" x14ac:dyDescent="0.25">
      <c r="B12" s="95"/>
      <c r="C12" s="50" t="s">
        <v>63</v>
      </c>
      <c r="D12" s="51">
        <v>2</v>
      </c>
      <c r="E12" s="52">
        <v>1.5503875968992248E-3</v>
      </c>
    </row>
    <row r="13" spans="1:5" ht="15" customHeight="1" x14ac:dyDescent="0.25">
      <c r="B13" s="93" t="s">
        <v>99</v>
      </c>
      <c r="C13" s="47" t="s">
        <v>175</v>
      </c>
      <c r="D13" s="48">
        <v>9</v>
      </c>
      <c r="E13" s="49">
        <v>6.9767441860465115E-3</v>
      </c>
    </row>
    <row r="14" spans="1:5" ht="15" customHeight="1" x14ac:dyDescent="0.25">
      <c r="B14" s="94"/>
      <c r="C14" s="47" t="s">
        <v>179</v>
      </c>
      <c r="D14" s="48">
        <v>4</v>
      </c>
      <c r="E14" s="49">
        <v>3.1007751937984496E-3</v>
      </c>
    </row>
    <row r="15" spans="1:5" ht="15" customHeight="1" x14ac:dyDescent="0.25">
      <c r="B15" s="94"/>
      <c r="C15" s="47" t="s">
        <v>174</v>
      </c>
      <c r="D15" s="48">
        <v>39</v>
      </c>
      <c r="E15" s="49">
        <v>3.0232558139534883E-2</v>
      </c>
    </row>
    <row r="16" spans="1:5" ht="15" customHeight="1" x14ac:dyDescent="0.25">
      <c r="B16" s="94"/>
      <c r="C16" s="47" t="s">
        <v>176</v>
      </c>
      <c r="D16" s="48">
        <v>26</v>
      </c>
      <c r="E16" s="49">
        <v>2.0155038759689922E-2</v>
      </c>
    </row>
    <row r="17" spans="2:5" ht="15" customHeight="1" x14ac:dyDescent="0.25">
      <c r="B17" s="94"/>
      <c r="C17" s="47" t="s">
        <v>177</v>
      </c>
      <c r="D17" s="48">
        <v>10</v>
      </c>
      <c r="E17" s="49">
        <v>7.7519379844961239E-3</v>
      </c>
    </row>
    <row r="18" spans="2:5" ht="15" customHeight="1" x14ac:dyDescent="0.25">
      <c r="B18" s="94"/>
      <c r="C18" s="47" t="s">
        <v>181</v>
      </c>
      <c r="D18" s="48">
        <v>2</v>
      </c>
      <c r="E18" s="49">
        <v>1.5503875968992248E-3</v>
      </c>
    </row>
    <row r="19" spans="2:5" ht="15" customHeight="1" x14ac:dyDescent="0.25">
      <c r="B19" s="94"/>
      <c r="C19" s="47" t="s">
        <v>178</v>
      </c>
      <c r="D19" s="48">
        <v>7</v>
      </c>
      <c r="E19" s="49">
        <v>5.4263565891472867E-3</v>
      </c>
    </row>
    <row r="20" spans="2:5" ht="15" customHeight="1" x14ac:dyDescent="0.25">
      <c r="B20" s="95"/>
      <c r="C20" s="50" t="s">
        <v>63</v>
      </c>
      <c r="D20" s="51">
        <v>97</v>
      </c>
      <c r="E20" s="52">
        <v>7.5193798449612409E-2</v>
      </c>
    </row>
    <row r="21" spans="2:5" ht="15" customHeight="1" x14ac:dyDescent="0.25">
      <c r="B21" s="93" t="s">
        <v>100</v>
      </c>
      <c r="C21" s="47" t="s">
        <v>180</v>
      </c>
      <c r="D21" s="48">
        <v>2</v>
      </c>
      <c r="E21" s="49">
        <v>1.5503875968992248E-3</v>
      </c>
    </row>
    <row r="22" spans="2:5" ht="15" customHeight="1" x14ac:dyDescent="0.25">
      <c r="B22" s="94"/>
      <c r="C22" s="47" t="s">
        <v>175</v>
      </c>
      <c r="D22" s="48">
        <v>11</v>
      </c>
      <c r="E22" s="49">
        <v>8.5271317829457363E-3</v>
      </c>
    </row>
    <row r="23" spans="2:5" ht="15" customHeight="1" x14ac:dyDescent="0.25">
      <c r="B23" s="94"/>
      <c r="C23" s="47" t="s">
        <v>179</v>
      </c>
      <c r="D23" s="48">
        <v>2</v>
      </c>
      <c r="E23" s="49">
        <v>1.5503875968992248E-3</v>
      </c>
    </row>
    <row r="24" spans="2:5" ht="15" customHeight="1" x14ac:dyDescent="0.25">
      <c r="B24" s="94"/>
      <c r="C24" s="47" t="s">
        <v>174</v>
      </c>
      <c r="D24" s="48">
        <v>20</v>
      </c>
      <c r="E24" s="49">
        <v>1.5503875968992248E-2</v>
      </c>
    </row>
    <row r="25" spans="2:5" ht="15" customHeight="1" x14ac:dyDescent="0.25">
      <c r="B25" s="94"/>
      <c r="C25" s="47" t="s">
        <v>176</v>
      </c>
      <c r="D25" s="48">
        <v>3</v>
      </c>
      <c r="E25" s="49">
        <v>2.3255813953488372E-3</v>
      </c>
    </row>
    <row r="26" spans="2:5" ht="15" customHeight="1" x14ac:dyDescent="0.25">
      <c r="B26" s="94"/>
      <c r="C26" s="47" t="s">
        <v>177</v>
      </c>
      <c r="D26" s="48">
        <v>4</v>
      </c>
      <c r="E26" s="49">
        <v>3.1007751937984496E-3</v>
      </c>
    </row>
    <row r="27" spans="2:5" ht="15" customHeight="1" x14ac:dyDescent="0.25">
      <c r="B27" s="94"/>
      <c r="C27" s="47" t="s">
        <v>181</v>
      </c>
      <c r="D27" s="48">
        <v>2</v>
      </c>
      <c r="E27" s="49">
        <v>1.5503875968992248E-3</v>
      </c>
    </row>
    <row r="28" spans="2:5" ht="15" customHeight="1" x14ac:dyDescent="0.25">
      <c r="B28" s="94"/>
      <c r="C28" s="47" t="s">
        <v>178</v>
      </c>
      <c r="D28" s="48">
        <v>1</v>
      </c>
      <c r="E28" s="49">
        <v>7.7519379844961239E-4</v>
      </c>
    </row>
    <row r="29" spans="2:5" ht="15" customHeight="1" x14ac:dyDescent="0.25">
      <c r="B29" s="95"/>
      <c r="C29" s="50" t="s">
        <v>63</v>
      </c>
      <c r="D29" s="51">
        <v>45</v>
      </c>
      <c r="E29" s="52">
        <v>3.4883720930232558E-2</v>
      </c>
    </row>
    <row r="30" spans="2:5" ht="15" customHeight="1" x14ac:dyDescent="0.25">
      <c r="B30" s="93" t="s">
        <v>101</v>
      </c>
      <c r="C30" s="47" t="s">
        <v>175</v>
      </c>
      <c r="D30" s="48">
        <v>2</v>
      </c>
      <c r="E30" s="49">
        <v>1.5503875968992248E-3</v>
      </c>
    </row>
    <row r="31" spans="2:5" ht="15" customHeight="1" x14ac:dyDescent="0.25">
      <c r="B31" s="94"/>
      <c r="C31" s="47" t="s">
        <v>179</v>
      </c>
      <c r="D31" s="48">
        <v>1</v>
      </c>
      <c r="E31" s="49">
        <v>7.7519379844961239E-4</v>
      </c>
    </row>
    <row r="32" spans="2:5" ht="15" customHeight="1" x14ac:dyDescent="0.25">
      <c r="B32" s="94"/>
      <c r="C32" s="47" t="s">
        <v>174</v>
      </c>
      <c r="D32" s="48">
        <v>5</v>
      </c>
      <c r="E32" s="49">
        <v>3.875968992248062E-3</v>
      </c>
    </row>
    <row r="33" spans="2:5" ht="15" customHeight="1" x14ac:dyDescent="0.25">
      <c r="B33" s="94"/>
      <c r="C33" s="47" t="s">
        <v>177</v>
      </c>
      <c r="D33" s="48">
        <v>2</v>
      </c>
      <c r="E33" s="49">
        <v>1.5503875968992248E-3</v>
      </c>
    </row>
    <row r="34" spans="2:5" ht="15" customHeight="1" x14ac:dyDescent="0.25">
      <c r="B34" s="95"/>
      <c r="C34" s="50" t="s">
        <v>63</v>
      </c>
      <c r="D34" s="51">
        <v>10</v>
      </c>
      <c r="E34" s="52">
        <v>7.7519379844961239E-3</v>
      </c>
    </row>
    <row r="35" spans="2:5" ht="15" customHeight="1" x14ac:dyDescent="0.25">
      <c r="B35" s="93" t="s">
        <v>102</v>
      </c>
      <c r="C35" s="47" t="s">
        <v>174</v>
      </c>
      <c r="D35" s="48">
        <v>1</v>
      </c>
      <c r="E35" s="49">
        <v>7.7519379844961239E-4</v>
      </c>
    </row>
    <row r="36" spans="2:5" ht="15" customHeight="1" x14ac:dyDescent="0.25">
      <c r="B36" s="95"/>
      <c r="C36" s="50" t="s">
        <v>63</v>
      </c>
      <c r="D36" s="51">
        <v>1</v>
      </c>
      <c r="E36" s="52">
        <v>7.7519379844961239E-4</v>
      </c>
    </row>
    <row r="37" spans="2:5" ht="15" customHeight="1" x14ac:dyDescent="0.25">
      <c r="B37" s="93" t="s">
        <v>103</v>
      </c>
      <c r="C37" s="47" t="s">
        <v>180</v>
      </c>
      <c r="D37" s="48">
        <v>1</v>
      </c>
      <c r="E37" s="49">
        <v>7.7519379844961239E-4</v>
      </c>
    </row>
    <row r="38" spans="2:5" ht="15" customHeight="1" x14ac:dyDescent="0.25">
      <c r="B38" s="94"/>
      <c r="C38" s="47" t="s">
        <v>179</v>
      </c>
      <c r="D38" s="48">
        <v>1</v>
      </c>
      <c r="E38" s="49">
        <v>7.7519379844961239E-4</v>
      </c>
    </row>
    <row r="39" spans="2:5" ht="15" customHeight="1" x14ac:dyDescent="0.25">
      <c r="B39" s="94"/>
      <c r="C39" s="47" t="s">
        <v>174</v>
      </c>
      <c r="D39" s="48">
        <v>6</v>
      </c>
      <c r="E39" s="49">
        <v>4.6511627906976744E-3</v>
      </c>
    </row>
    <row r="40" spans="2:5" ht="15" customHeight="1" x14ac:dyDescent="0.25">
      <c r="B40" s="94"/>
      <c r="C40" s="47" t="s">
        <v>176</v>
      </c>
      <c r="D40" s="48">
        <v>2</v>
      </c>
      <c r="E40" s="49">
        <v>1.5503875968992248E-3</v>
      </c>
    </row>
    <row r="41" spans="2:5" ht="15" customHeight="1" x14ac:dyDescent="0.25">
      <c r="B41" s="94"/>
      <c r="C41" s="47" t="s">
        <v>177</v>
      </c>
      <c r="D41" s="48">
        <v>2</v>
      </c>
      <c r="E41" s="49">
        <v>1.5503875968992248E-3</v>
      </c>
    </row>
    <row r="42" spans="2:5" ht="15" customHeight="1" x14ac:dyDescent="0.25">
      <c r="B42" s="94"/>
      <c r="C42" s="47" t="s">
        <v>181</v>
      </c>
      <c r="D42" s="48">
        <v>1</v>
      </c>
      <c r="E42" s="49">
        <v>7.7519379844961239E-4</v>
      </c>
    </row>
    <row r="43" spans="2:5" ht="15" customHeight="1" x14ac:dyDescent="0.25">
      <c r="B43" s="95"/>
      <c r="C43" s="50" t="s">
        <v>63</v>
      </c>
      <c r="D43" s="51">
        <v>13</v>
      </c>
      <c r="E43" s="52">
        <v>1.0077519379844961E-2</v>
      </c>
    </row>
    <row r="44" spans="2:5" ht="15" customHeight="1" x14ac:dyDescent="0.25">
      <c r="B44" s="93" t="s">
        <v>104</v>
      </c>
      <c r="C44" s="47" t="s">
        <v>180</v>
      </c>
      <c r="D44" s="48">
        <v>2</v>
      </c>
      <c r="E44" s="49">
        <v>1.5503875968992248E-3</v>
      </c>
    </row>
    <row r="45" spans="2:5" ht="15" customHeight="1" x14ac:dyDescent="0.25">
      <c r="B45" s="94"/>
      <c r="C45" s="47" t="s">
        <v>175</v>
      </c>
      <c r="D45" s="48">
        <v>12</v>
      </c>
      <c r="E45" s="49">
        <v>9.3023255813953487E-3</v>
      </c>
    </row>
    <row r="46" spans="2:5" ht="15" customHeight="1" x14ac:dyDescent="0.25">
      <c r="B46" s="94"/>
      <c r="C46" s="47" t="s">
        <v>174</v>
      </c>
      <c r="D46" s="48">
        <v>7</v>
      </c>
      <c r="E46" s="49">
        <v>5.4263565891472867E-3</v>
      </c>
    </row>
    <row r="47" spans="2:5" ht="15" customHeight="1" x14ac:dyDescent="0.25">
      <c r="B47" s="94"/>
      <c r="C47" s="47" t="s">
        <v>176</v>
      </c>
      <c r="D47" s="48">
        <v>12</v>
      </c>
      <c r="E47" s="49">
        <v>9.3023255813953487E-3</v>
      </c>
    </row>
    <row r="48" spans="2:5" ht="15" customHeight="1" x14ac:dyDescent="0.25">
      <c r="B48" s="94"/>
      <c r="C48" s="47" t="s">
        <v>177</v>
      </c>
      <c r="D48" s="48">
        <v>3</v>
      </c>
      <c r="E48" s="49">
        <v>2.3255813953488372E-3</v>
      </c>
    </row>
    <row r="49" spans="2:5" ht="15" customHeight="1" x14ac:dyDescent="0.25">
      <c r="B49" s="94"/>
      <c r="C49" s="47" t="s">
        <v>181</v>
      </c>
      <c r="D49" s="48">
        <v>2</v>
      </c>
      <c r="E49" s="49">
        <v>1.5503875968992248E-3</v>
      </c>
    </row>
    <row r="50" spans="2:5" ht="15" customHeight="1" x14ac:dyDescent="0.25">
      <c r="B50" s="94"/>
      <c r="C50" s="47" t="s">
        <v>178</v>
      </c>
      <c r="D50" s="48">
        <v>1</v>
      </c>
      <c r="E50" s="49">
        <v>7.7519379844961239E-4</v>
      </c>
    </row>
    <row r="51" spans="2:5" ht="15" customHeight="1" x14ac:dyDescent="0.25">
      <c r="B51" s="95"/>
      <c r="C51" s="50" t="s">
        <v>63</v>
      </c>
      <c r="D51" s="51">
        <v>39</v>
      </c>
      <c r="E51" s="52">
        <v>3.0232558139534883E-2</v>
      </c>
    </row>
    <row r="52" spans="2:5" ht="15" customHeight="1" x14ac:dyDescent="0.25">
      <c r="B52" s="93" t="s">
        <v>105</v>
      </c>
      <c r="C52" s="47" t="s">
        <v>175</v>
      </c>
      <c r="D52" s="48">
        <v>19</v>
      </c>
      <c r="E52" s="49">
        <v>1.4728682170542635E-2</v>
      </c>
    </row>
    <row r="53" spans="2:5" ht="15" customHeight="1" x14ac:dyDescent="0.25">
      <c r="B53" s="94"/>
      <c r="C53" s="47" t="s">
        <v>174</v>
      </c>
      <c r="D53" s="48">
        <v>22</v>
      </c>
      <c r="E53" s="49">
        <v>1.7054263565891473E-2</v>
      </c>
    </row>
    <row r="54" spans="2:5" ht="15" customHeight="1" x14ac:dyDescent="0.25">
      <c r="B54" s="94"/>
      <c r="C54" s="47" t="s">
        <v>176</v>
      </c>
      <c r="D54" s="48">
        <v>14</v>
      </c>
      <c r="E54" s="49">
        <v>1.0852713178294573E-2</v>
      </c>
    </row>
    <row r="55" spans="2:5" ht="15" customHeight="1" x14ac:dyDescent="0.25">
      <c r="B55" s="94"/>
      <c r="C55" s="47" t="s">
        <v>177</v>
      </c>
      <c r="D55" s="48">
        <v>7</v>
      </c>
      <c r="E55" s="49">
        <v>5.4263565891472867E-3</v>
      </c>
    </row>
    <row r="56" spans="2:5" ht="15" customHeight="1" x14ac:dyDescent="0.25">
      <c r="B56" s="94"/>
      <c r="C56" s="47" t="s">
        <v>178</v>
      </c>
      <c r="D56" s="48">
        <v>3</v>
      </c>
      <c r="E56" s="49">
        <v>2.3255813953488372E-3</v>
      </c>
    </row>
    <row r="57" spans="2:5" ht="15" customHeight="1" x14ac:dyDescent="0.25">
      <c r="B57" s="95"/>
      <c r="C57" s="50" t="s">
        <v>63</v>
      </c>
      <c r="D57" s="51">
        <v>65</v>
      </c>
      <c r="E57" s="52">
        <v>5.0387596899224806E-2</v>
      </c>
    </row>
    <row r="58" spans="2:5" ht="15" customHeight="1" x14ac:dyDescent="0.25">
      <c r="B58" s="93" t="s">
        <v>106</v>
      </c>
      <c r="C58" s="47" t="s">
        <v>180</v>
      </c>
      <c r="D58" s="48">
        <v>2</v>
      </c>
      <c r="E58" s="49">
        <v>1.5503875968992248E-3</v>
      </c>
    </row>
    <row r="59" spans="2:5" ht="15" customHeight="1" x14ac:dyDescent="0.25">
      <c r="B59" s="94"/>
      <c r="C59" s="47" t="s">
        <v>175</v>
      </c>
      <c r="D59" s="48">
        <v>5</v>
      </c>
      <c r="E59" s="49">
        <v>3.875968992248062E-3</v>
      </c>
    </row>
    <row r="60" spans="2:5" ht="15" customHeight="1" x14ac:dyDescent="0.25">
      <c r="B60" s="94"/>
      <c r="C60" s="47" t="s">
        <v>179</v>
      </c>
      <c r="D60" s="48">
        <v>6</v>
      </c>
      <c r="E60" s="49">
        <v>4.6511627906976744E-3</v>
      </c>
    </row>
    <row r="61" spans="2:5" ht="15" customHeight="1" x14ac:dyDescent="0.25">
      <c r="B61" s="94"/>
      <c r="C61" s="47" t="s">
        <v>174</v>
      </c>
      <c r="D61" s="48">
        <v>27</v>
      </c>
      <c r="E61" s="49">
        <v>2.0930232558139535E-2</v>
      </c>
    </row>
    <row r="62" spans="2:5" ht="15" customHeight="1" x14ac:dyDescent="0.25">
      <c r="B62" s="94"/>
      <c r="C62" s="47" t="s">
        <v>176</v>
      </c>
      <c r="D62" s="48">
        <v>2</v>
      </c>
      <c r="E62" s="49">
        <v>1.5503875968992248E-3</v>
      </c>
    </row>
    <row r="63" spans="2:5" ht="15" customHeight="1" x14ac:dyDescent="0.25">
      <c r="B63" s="94"/>
      <c r="C63" s="47" t="s">
        <v>177</v>
      </c>
      <c r="D63" s="48">
        <v>2</v>
      </c>
      <c r="E63" s="49">
        <v>1.5503875968992248E-3</v>
      </c>
    </row>
    <row r="64" spans="2:5" ht="15" customHeight="1" x14ac:dyDescent="0.25">
      <c r="B64" s="94"/>
      <c r="C64" s="47" t="s">
        <v>178</v>
      </c>
      <c r="D64" s="48">
        <v>2</v>
      </c>
      <c r="E64" s="49">
        <v>1.5503875968992248E-3</v>
      </c>
    </row>
    <row r="65" spans="2:5" ht="15" customHeight="1" x14ac:dyDescent="0.25">
      <c r="B65" s="95"/>
      <c r="C65" s="50" t="s">
        <v>63</v>
      </c>
      <c r="D65" s="51">
        <v>46</v>
      </c>
      <c r="E65" s="52">
        <v>3.565891472868217E-2</v>
      </c>
    </row>
    <row r="66" spans="2:5" ht="15" customHeight="1" x14ac:dyDescent="0.25">
      <c r="B66" s="93" t="s">
        <v>107</v>
      </c>
      <c r="C66" s="47" t="s">
        <v>175</v>
      </c>
      <c r="D66" s="48">
        <v>6</v>
      </c>
      <c r="E66" s="49">
        <v>4.6511627906976744E-3</v>
      </c>
    </row>
    <row r="67" spans="2:5" ht="15" customHeight="1" x14ac:dyDescent="0.25">
      <c r="B67" s="94"/>
      <c r="C67" s="47" t="s">
        <v>179</v>
      </c>
      <c r="D67" s="48">
        <v>1</v>
      </c>
      <c r="E67" s="49">
        <v>7.7519379844961239E-4</v>
      </c>
    </row>
    <row r="68" spans="2:5" ht="15" customHeight="1" x14ac:dyDescent="0.25">
      <c r="B68" s="94"/>
      <c r="C68" s="47" t="s">
        <v>174</v>
      </c>
      <c r="D68" s="48">
        <v>3</v>
      </c>
      <c r="E68" s="49">
        <v>2.3255813953488372E-3</v>
      </c>
    </row>
    <row r="69" spans="2:5" ht="15" customHeight="1" x14ac:dyDescent="0.25">
      <c r="B69" s="94"/>
      <c r="C69" s="47" t="s">
        <v>176</v>
      </c>
      <c r="D69" s="48">
        <v>3</v>
      </c>
      <c r="E69" s="49">
        <v>2.3255813953488372E-3</v>
      </c>
    </row>
    <row r="70" spans="2:5" ht="15" customHeight="1" x14ac:dyDescent="0.25">
      <c r="B70" s="94"/>
      <c r="C70" s="47" t="s">
        <v>177</v>
      </c>
      <c r="D70" s="48">
        <v>1</v>
      </c>
      <c r="E70" s="49">
        <v>7.7519379844961239E-4</v>
      </c>
    </row>
    <row r="71" spans="2:5" ht="15" customHeight="1" x14ac:dyDescent="0.25">
      <c r="B71" s="95"/>
      <c r="C71" s="50" t="s">
        <v>63</v>
      </c>
      <c r="D71" s="51">
        <v>14</v>
      </c>
      <c r="E71" s="52">
        <v>1.0852713178294573E-2</v>
      </c>
    </row>
    <row r="72" spans="2:5" ht="15" customHeight="1" x14ac:dyDescent="0.25">
      <c r="B72" s="93" t="s">
        <v>108</v>
      </c>
      <c r="C72" s="47" t="s">
        <v>175</v>
      </c>
      <c r="D72" s="48">
        <v>2</v>
      </c>
      <c r="E72" s="49">
        <v>1.5503875968992248E-3</v>
      </c>
    </row>
    <row r="73" spans="2:5" ht="15" customHeight="1" x14ac:dyDescent="0.25">
      <c r="B73" s="94"/>
      <c r="C73" s="47" t="s">
        <v>181</v>
      </c>
      <c r="D73" s="48">
        <v>2</v>
      </c>
      <c r="E73" s="49">
        <v>1.5503875968992248E-3</v>
      </c>
    </row>
    <row r="74" spans="2:5" ht="15" customHeight="1" x14ac:dyDescent="0.25">
      <c r="B74" s="94"/>
      <c r="C74" s="47" t="s">
        <v>178</v>
      </c>
      <c r="D74" s="48">
        <v>5</v>
      </c>
      <c r="E74" s="49">
        <v>3.875968992248062E-3</v>
      </c>
    </row>
    <row r="75" spans="2:5" ht="15" customHeight="1" x14ac:dyDescent="0.25">
      <c r="B75" s="95"/>
      <c r="C75" s="50" t="s">
        <v>63</v>
      </c>
      <c r="D75" s="51">
        <v>9</v>
      </c>
      <c r="E75" s="52">
        <v>6.9767441860465115E-3</v>
      </c>
    </row>
    <row r="76" spans="2:5" ht="15" customHeight="1" x14ac:dyDescent="0.25">
      <c r="B76" s="93" t="s">
        <v>109</v>
      </c>
      <c r="C76" s="47" t="s">
        <v>174</v>
      </c>
      <c r="D76" s="48">
        <v>2</v>
      </c>
      <c r="E76" s="49">
        <v>1.5503875968992248E-3</v>
      </c>
    </row>
    <row r="77" spans="2:5" ht="15" customHeight="1" x14ac:dyDescent="0.25">
      <c r="B77" s="94"/>
      <c r="C77" s="47" t="s">
        <v>176</v>
      </c>
      <c r="D77" s="48">
        <v>1</v>
      </c>
      <c r="E77" s="49">
        <v>7.7519379844961239E-4</v>
      </c>
    </row>
    <row r="78" spans="2:5" ht="15" customHeight="1" x14ac:dyDescent="0.25">
      <c r="B78" s="95"/>
      <c r="C78" s="50" t="s">
        <v>63</v>
      </c>
      <c r="D78" s="51">
        <v>3</v>
      </c>
      <c r="E78" s="52">
        <v>2.3255813953488372E-3</v>
      </c>
    </row>
    <row r="79" spans="2:5" ht="15" customHeight="1" x14ac:dyDescent="0.25">
      <c r="B79" s="93" t="s">
        <v>110</v>
      </c>
      <c r="C79" s="47" t="s">
        <v>175</v>
      </c>
      <c r="D79" s="48">
        <v>6</v>
      </c>
      <c r="E79" s="49">
        <v>4.6511627906976744E-3</v>
      </c>
    </row>
    <row r="80" spans="2:5" ht="15" customHeight="1" x14ac:dyDescent="0.25">
      <c r="B80" s="94"/>
      <c r="C80" s="47" t="s">
        <v>179</v>
      </c>
      <c r="D80" s="48">
        <v>1</v>
      </c>
      <c r="E80" s="49">
        <v>7.7519379844961239E-4</v>
      </c>
    </row>
    <row r="81" spans="2:5" ht="15" customHeight="1" x14ac:dyDescent="0.25">
      <c r="B81" s="94"/>
      <c r="C81" s="47" t="s">
        <v>174</v>
      </c>
      <c r="D81" s="48">
        <v>3</v>
      </c>
      <c r="E81" s="49">
        <v>2.3255813953488372E-3</v>
      </c>
    </row>
    <row r="82" spans="2:5" ht="15" customHeight="1" x14ac:dyDescent="0.25">
      <c r="B82" s="94"/>
      <c r="C82" s="47" t="s">
        <v>176</v>
      </c>
      <c r="D82" s="48">
        <v>6</v>
      </c>
      <c r="E82" s="49">
        <v>4.6511627906976744E-3</v>
      </c>
    </row>
    <row r="83" spans="2:5" ht="15" customHeight="1" x14ac:dyDescent="0.25">
      <c r="B83" s="94"/>
      <c r="C83" s="47" t="s">
        <v>177</v>
      </c>
      <c r="D83" s="48">
        <v>1</v>
      </c>
      <c r="E83" s="49">
        <v>7.7519379844961239E-4</v>
      </c>
    </row>
    <row r="84" spans="2:5" ht="15" customHeight="1" x14ac:dyDescent="0.25">
      <c r="B84" s="94"/>
      <c r="C84" s="47" t="s">
        <v>181</v>
      </c>
      <c r="D84" s="48">
        <v>2</v>
      </c>
      <c r="E84" s="49">
        <v>1.5503875968992248E-3</v>
      </c>
    </row>
    <row r="85" spans="2:5" ht="15" customHeight="1" x14ac:dyDescent="0.25">
      <c r="B85" s="95"/>
      <c r="C85" s="50" t="s">
        <v>63</v>
      </c>
      <c r="D85" s="51">
        <v>19</v>
      </c>
      <c r="E85" s="52">
        <v>1.4728682170542635E-2</v>
      </c>
    </row>
    <row r="86" spans="2:5" ht="15" customHeight="1" x14ac:dyDescent="0.25">
      <c r="B86" s="93" t="s">
        <v>111</v>
      </c>
      <c r="C86" s="47" t="s">
        <v>175</v>
      </c>
      <c r="D86" s="48">
        <v>20</v>
      </c>
      <c r="E86" s="49">
        <v>1.5503875968992248E-2</v>
      </c>
    </row>
    <row r="87" spans="2:5" ht="15" customHeight="1" x14ac:dyDescent="0.25">
      <c r="B87" s="94"/>
      <c r="C87" s="47" t="s">
        <v>174</v>
      </c>
      <c r="D87" s="48">
        <v>26</v>
      </c>
      <c r="E87" s="49">
        <v>2.0155038759689922E-2</v>
      </c>
    </row>
    <row r="88" spans="2:5" ht="15" customHeight="1" x14ac:dyDescent="0.25">
      <c r="B88" s="94"/>
      <c r="C88" s="47" t="s">
        <v>176</v>
      </c>
      <c r="D88" s="48">
        <v>11</v>
      </c>
      <c r="E88" s="49">
        <v>8.5271317829457363E-3</v>
      </c>
    </row>
    <row r="89" spans="2:5" ht="15" customHeight="1" x14ac:dyDescent="0.25">
      <c r="B89" s="94"/>
      <c r="C89" s="47" t="s">
        <v>177</v>
      </c>
      <c r="D89" s="48">
        <v>1</v>
      </c>
      <c r="E89" s="49">
        <v>7.7519379844961239E-4</v>
      </c>
    </row>
    <row r="90" spans="2:5" ht="15" customHeight="1" x14ac:dyDescent="0.25">
      <c r="B90" s="94"/>
      <c r="C90" s="47" t="s">
        <v>178</v>
      </c>
      <c r="D90" s="48">
        <v>2</v>
      </c>
      <c r="E90" s="49">
        <v>1.5503875968992248E-3</v>
      </c>
    </row>
    <row r="91" spans="2:5" ht="15" customHeight="1" x14ac:dyDescent="0.25">
      <c r="B91" s="94"/>
      <c r="C91" s="47" t="s">
        <v>182</v>
      </c>
      <c r="D91" s="48">
        <v>1</v>
      </c>
      <c r="E91" s="49">
        <v>7.7519379844961239E-4</v>
      </c>
    </row>
    <row r="92" spans="2:5" ht="15" customHeight="1" x14ac:dyDescent="0.25">
      <c r="B92" s="95"/>
      <c r="C92" s="50" t="s">
        <v>63</v>
      </c>
      <c r="D92" s="51">
        <v>61</v>
      </c>
      <c r="E92" s="52">
        <v>4.7286821705426356E-2</v>
      </c>
    </row>
    <row r="93" spans="2:5" ht="15" customHeight="1" x14ac:dyDescent="0.25">
      <c r="B93" s="93" t="s">
        <v>162</v>
      </c>
      <c r="C93" s="47" t="s">
        <v>180</v>
      </c>
      <c r="D93" s="48">
        <v>2</v>
      </c>
      <c r="E93" s="49">
        <v>1.5503875968992248E-3</v>
      </c>
    </row>
    <row r="94" spans="2:5" ht="15" customHeight="1" x14ac:dyDescent="0.25">
      <c r="B94" s="94"/>
      <c r="C94" s="47" t="s">
        <v>175</v>
      </c>
      <c r="D94" s="48">
        <v>3</v>
      </c>
      <c r="E94" s="49">
        <v>2.3255813953488372E-3</v>
      </c>
    </row>
    <row r="95" spans="2:5" ht="15" customHeight="1" x14ac:dyDescent="0.25">
      <c r="B95" s="94"/>
      <c r="C95" s="47" t="s">
        <v>179</v>
      </c>
      <c r="D95" s="48">
        <v>2</v>
      </c>
      <c r="E95" s="49">
        <v>1.5503875968992248E-3</v>
      </c>
    </row>
    <row r="96" spans="2:5" ht="15" customHeight="1" x14ac:dyDescent="0.25">
      <c r="B96" s="94"/>
      <c r="C96" s="47" t="s">
        <v>174</v>
      </c>
      <c r="D96" s="48">
        <v>21</v>
      </c>
      <c r="E96" s="49">
        <v>1.627906976744186E-2</v>
      </c>
    </row>
    <row r="97" spans="2:5" ht="15" customHeight="1" x14ac:dyDescent="0.25">
      <c r="B97" s="94"/>
      <c r="C97" s="47" t="s">
        <v>176</v>
      </c>
      <c r="D97" s="48">
        <v>16</v>
      </c>
      <c r="E97" s="49">
        <v>1.2403100775193798E-2</v>
      </c>
    </row>
    <row r="98" spans="2:5" ht="15" customHeight="1" x14ac:dyDescent="0.25">
      <c r="B98" s="94"/>
      <c r="C98" s="47" t="s">
        <v>177</v>
      </c>
      <c r="D98" s="48">
        <v>3</v>
      </c>
      <c r="E98" s="49">
        <v>2.3255813953488372E-3</v>
      </c>
    </row>
    <row r="99" spans="2:5" ht="15" customHeight="1" x14ac:dyDescent="0.25">
      <c r="B99" s="94"/>
      <c r="C99" s="47" t="s">
        <v>182</v>
      </c>
      <c r="D99" s="48">
        <v>1</v>
      </c>
      <c r="E99" s="49">
        <v>7.7519379844961239E-4</v>
      </c>
    </row>
    <row r="100" spans="2:5" ht="15" customHeight="1" x14ac:dyDescent="0.25">
      <c r="B100" s="95"/>
      <c r="C100" s="50" t="s">
        <v>63</v>
      </c>
      <c r="D100" s="51">
        <v>48</v>
      </c>
      <c r="E100" s="52">
        <v>3.7209302325581395E-2</v>
      </c>
    </row>
    <row r="101" spans="2:5" ht="15" customHeight="1" x14ac:dyDescent="0.25">
      <c r="B101" s="93" t="s">
        <v>113</v>
      </c>
      <c r="C101" s="47" t="s">
        <v>175</v>
      </c>
      <c r="D101" s="48">
        <v>10</v>
      </c>
      <c r="E101" s="49">
        <v>7.7519379844961239E-3</v>
      </c>
    </row>
    <row r="102" spans="2:5" ht="15" customHeight="1" x14ac:dyDescent="0.25">
      <c r="B102" s="94"/>
      <c r="C102" s="47" t="s">
        <v>179</v>
      </c>
      <c r="D102" s="48">
        <v>1</v>
      </c>
      <c r="E102" s="49">
        <v>7.7519379844961239E-4</v>
      </c>
    </row>
    <row r="103" spans="2:5" ht="15" customHeight="1" x14ac:dyDescent="0.25">
      <c r="B103" s="94"/>
      <c r="C103" s="47" t="s">
        <v>174</v>
      </c>
      <c r="D103" s="48">
        <v>17</v>
      </c>
      <c r="E103" s="49">
        <v>1.3178294573643411E-2</v>
      </c>
    </row>
    <row r="104" spans="2:5" ht="15" customHeight="1" x14ac:dyDescent="0.25">
      <c r="B104" s="94"/>
      <c r="C104" s="47" t="s">
        <v>176</v>
      </c>
      <c r="D104" s="48">
        <v>8</v>
      </c>
      <c r="E104" s="49">
        <v>6.2015503875968991E-3</v>
      </c>
    </row>
    <row r="105" spans="2:5" ht="15" customHeight="1" x14ac:dyDescent="0.25">
      <c r="B105" s="94"/>
      <c r="C105" s="47" t="s">
        <v>177</v>
      </c>
      <c r="D105" s="48">
        <v>8</v>
      </c>
      <c r="E105" s="49">
        <v>6.2015503875968991E-3</v>
      </c>
    </row>
    <row r="106" spans="2:5" ht="15" customHeight="1" x14ac:dyDescent="0.25">
      <c r="B106" s="95"/>
      <c r="C106" s="50" t="s">
        <v>63</v>
      </c>
      <c r="D106" s="51">
        <v>44</v>
      </c>
      <c r="E106" s="52">
        <v>3.4108527131782945E-2</v>
      </c>
    </row>
    <row r="107" spans="2:5" ht="15" customHeight="1" x14ac:dyDescent="0.25">
      <c r="B107" s="93" t="s">
        <v>114</v>
      </c>
      <c r="C107" s="47" t="s">
        <v>180</v>
      </c>
      <c r="D107" s="48">
        <v>1</v>
      </c>
      <c r="E107" s="49">
        <v>7.7519379844961239E-4</v>
      </c>
    </row>
    <row r="108" spans="2:5" ht="15" customHeight="1" x14ac:dyDescent="0.25">
      <c r="B108" s="94"/>
      <c r="C108" s="47" t="s">
        <v>175</v>
      </c>
      <c r="D108" s="48">
        <v>2</v>
      </c>
      <c r="E108" s="49">
        <v>1.5503875968992248E-3</v>
      </c>
    </row>
    <row r="109" spans="2:5" ht="15" customHeight="1" x14ac:dyDescent="0.25">
      <c r="B109" s="94"/>
      <c r="C109" s="47" t="s">
        <v>179</v>
      </c>
      <c r="D109" s="48">
        <v>1</v>
      </c>
      <c r="E109" s="49">
        <v>7.7519379844961239E-4</v>
      </c>
    </row>
    <row r="110" spans="2:5" ht="15" customHeight="1" x14ac:dyDescent="0.25">
      <c r="B110" s="94"/>
      <c r="C110" s="47" t="s">
        <v>174</v>
      </c>
      <c r="D110" s="48">
        <v>2</v>
      </c>
      <c r="E110" s="49">
        <v>1.5503875968992248E-3</v>
      </c>
    </row>
    <row r="111" spans="2:5" ht="15" customHeight="1" x14ac:dyDescent="0.25">
      <c r="B111" s="94"/>
      <c r="C111" s="47" t="s">
        <v>177</v>
      </c>
      <c r="D111" s="48">
        <v>1</v>
      </c>
      <c r="E111" s="49">
        <v>7.7519379844961239E-4</v>
      </c>
    </row>
    <row r="112" spans="2:5" ht="15" customHeight="1" x14ac:dyDescent="0.25">
      <c r="B112" s="95"/>
      <c r="C112" s="50" t="s">
        <v>63</v>
      </c>
      <c r="D112" s="51">
        <v>7</v>
      </c>
      <c r="E112" s="52">
        <v>5.4263565891472867E-3</v>
      </c>
    </row>
    <row r="113" spans="2:5" ht="15" customHeight="1" x14ac:dyDescent="0.25">
      <c r="B113" s="93" t="s">
        <v>115</v>
      </c>
      <c r="C113" s="47" t="s">
        <v>180</v>
      </c>
      <c r="D113" s="48">
        <v>1</v>
      </c>
      <c r="E113" s="49">
        <v>7.7519379844961239E-4</v>
      </c>
    </row>
    <row r="114" spans="2:5" ht="15" customHeight="1" x14ac:dyDescent="0.25">
      <c r="B114" s="94"/>
      <c r="C114" s="47" t="s">
        <v>175</v>
      </c>
      <c r="D114" s="48">
        <v>11</v>
      </c>
      <c r="E114" s="49">
        <v>8.5271317829457363E-3</v>
      </c>
    </row>
    <row r="115" spans="2:5" ht="15" customHeight="1" x14ac:dyDescent="0.25">
      <c r="B115" s="94"/>
      <c r="C115" s="47" t="s">
        <v>174</v>
      </c>
      <c r="D115" s="48">
        <v>5</v>
      </c>
      <c r="E115" s="49">
        <v>3.875968992248062E-3</v>
      </c>
    </row>
    <row r="116" spans="2:5" ht="15" customHeight="1" x14ac:dyDescent="0.25">
      <c r="B116" s="94"/>
      <c r="C116" s="47" t="s">
        <v>176</v>
      </c>
      <c r="D116" s="48">
        <v>4</v>
      </c>
      <c r="E116" s="49">
        <v>3.1007751937984496E-3</v>
      </c>
    </row>
    <row r="117" spans="2:5" ht="15" customHeight="1" x14ac:dyDescent="0.25">
      <c r="B117" s="95"/>
      <c r="C117" s="50" t="s">
        <v>63</v>
      </c>
      <c r="D117" s="51">
        <v>21</v>
      </c>
      <c r="E117" s="52">
        <v>1.627906976744186E-2</v>
      </c>
    </row>
    <row r="118" spans="2:5" ht="15" customHeight="1" x14ac:dyDescent="0.25">
      <c r="B118" s="93" t="s">
        <v>116</v>
      </c>
      <c r="C118" s="47" t="s">
        <v>180</v>
      </c>
      <c r="D118" s="48">
        <v>1</v>
      </c>
      <c r="E118" s="49">
        <v>7.7519379844961239E-4</v>
      </c>
    </row>
    <row r="119" spans="2:5" ht="15" customHeight="1" x14ac:dyDescent="0.25">
      <c r="B119" s="94"/>
      <c r="C119" s="47" t="s">
        <v>175</v>
      </c>
      <c r="D119" s="48">
        <v>10</v>
      </c>
      <c r="E119" s="49">
        <v>7.7519379844961239E-3</v>
      </c>
    </row>
    <row r="120" spans="2:5" ht="15" customHeight="1" x14ac:dyDescent="0.25">
      <c r="B120" s="94"/>
      <c r="C120" s="47" t="s">
        <v>179</v>
      </c>
      <c r="D120" s="48">
        <v>1</v>
      </c>
      <c r="E120" s="49">
        <v>7.7519379844961239E-4</v>
      </c>
    </row>
    <row r="121" spans="2:5" ht="15" customHeight="1" x14ac:dyDescent="0.25">
      <c r="B121" s="94"/>
      <c r="C121" s="47" t="s">
        <v>174</v>
      </c>
      <c r="D121" s="48">
        <v>21</v>
      </c>
      <c r="E121" s="49">
        <v>1.627906976744186E-2</v>
      </c>
    </row>
    <row r="122" spans="2:5" ht="15" customHeight="1" x14ac:dyDescent="0.25">
      <c r="B122" s="94"/>
      <c r="C122" s="47" t="s">
        <v>176</v>
      </c>
      <c r="D122" s="48">
        <v>6</v>
      </c>
      <c r="E122" s="49">
        <v>4.6511627906976744E-3</v>
      </c>
    </row>
    <row r="123" spans="2:5" ht="15" customHeight="1" x14ac:dyDescent="0.25">
      <c r="B123" s="94"/>
      <c r="C123" s="47" t="s">
        <v>177</v>
      </c>
      <c r="D123" s="48">
        <v>8</v>
      </c>
      <c r="E123" s="49">
        <v>6.2015503875968991E-3</v>
      </c>
    </row>
    <row r="124" spans="2:5" ht="15" customHeight="1" x14ac:dyDescent="0.25">
      <c r="B124" s="94"/>
      <c r="C124" s="47" t="s">
        <v>182</v>
      </c>
      <c r="D124" s="48">
        <v>1</v>
      </c>
      <c r="E124" s="49">
        <v>7.7519379844961239E-4</v>
      </c>
    </row>
    <row r="125" spans="2:5" ht="15" customHeight="1" x14ac:dyDescent="0.25">
      <c r="B125" s="95"/>
      <c r="C125" s="50" t="s">
        <v>63</v>
      </c>
      <c r="D125" s="51">
        <v>48</v>
      </c>
      <c r="E125" s="52">
        <v>3.7209302325581395E-2</v>
      </c>
    </row>
    <row r="126" spans="2:5" ht="15" customHeight="1" x14ac:dyDescent="0.25">
      <c r="B126" s="93" t="s">
        <v>161</v>
      </c>
      <c r="C126" s="47" t="s">
        <v>180</v>
      </c>
      <c r="D126" s="48">
        <v>4</v>
      </c>
      <c r="E126" s="49">
        <v>3.1007751937984496E-3</v>
      </c>
    </row>
    <row r="127" spans="2:5" ht="15" customHeight="1" x14ac:dyDescent="0.25">
      <c r="B127" s="94"/>
      <c r="C127" s="47" t="s">
        <v>175</v>
      </c>
      <c r="D127" s="48">
        <v>8</v>
      </c>
      <c r="E127" s="49">
        <v>6.2015503875968991E-3</v>
      </c>
    </row>
    <row r="128" spans="2:5" ht="15" customHeight="1" x14ac:dyDescent="0.25">
      <c r="B128" s="94"/>
      <c r="C128" s="47" t="s">
        <v>174</v>
      </c>
      <c r="D128" s="48">
        <v>21</v>
      </c>
      <c r="E128" s="49">
        <v>1.627906976744186E-2</v>
      </c>
    </row>
    <row r="129" spans="2:5" ht="15" customHeight="1" x14ac:dyDescent="0.25">
      <c r="B129" s="94"/>
      <c r="C129" s="47" t="s">
        <v>176</v>
      </c>
      <c r="D129" s="48">
        <v>9</v>
      </c>
      <c r="E129" s="49">
        <v>6.9767441860465115E-3</v>
      </c>
    </row>
    <row r="130" spans="2:5" ht="15" customHeight="1" x14ac:dyDescent="0.25">
      <c r="B130" s="94"/>
      <c r="C130" s="47" t="s">
        <v>177</v>
      </c>
      <c r="D130" s="48">
        <v>4</v>
      </c>
      <c r="E130" s="49">
        <v>3.1007751937984496E-3</v>
      </c>
    </row>
    <row r="131" spans="2:5" ht="15" customHeight="1" x14ac:dyDescent="0.25">
      <c r="B131" s="94"/>
      <c r="C131" s="47" t="s">
        <v>181</v>
      </c>
      <c r="D131" s="48">
        <v>1</v>
      </c>
      <c r="E131" s="49">
        <v>7.7519379844961239E-4</v>
      </c>
    </row>
    <row r="132" spans="2:5" ht="15" customHeight="1" x14ac:dyDescent="0.25">
      <c r="B132" s="94"/>
      <c r="C132" s="47" t="s">
        <v>178</v>
      </c>
      <c r="D132" s="48">
        <v>1</v>
      </c>
      <c r="E132" s="49">
        <v>7.7519379844961239E-4</v>
      </c>
    </row>
    <row r="133" spans="2:5" ht="15" customHeight="1" x14ac:dyDescent="0.25">
      <c r="B133" s="94"/>
      <c r="C133" s="47" t="s">
        <v>183</v>
      </c>
      <c r="D133" s="48">
        <v>1</v>
      </c>
      <c r="E133" s="49">
        <v>7.7519379844961239E-4</v>
      </c>
    </row>
    <row r="134" spans="2:5" ht="15" customHeight="1" x14ac:dyDescent="0.25">
      <c r="B134" s="95"/>
      <c r="C134" s="50" t="s">
        <v>63</v>
      </c>
      <c r="D134" s="51">
        <v>49</v>
      </c>
      <c r="E134" s="52">
        <v>3.7984496124031007E-2</v>
      </c>
    </row>
    <row r="135" spans="2:5" ht="15" customHeight="1" x14ac:dyDescent="0.25">
      <c r="B135" s="93" t="s">
        <v>163</v>
      </c>
      <c r="C135" s="47" t="s">
        <v>175</v>
      </c>
      <c r="D135" s="48">
        <v>4</v>
      </c>
      <c r="E135" s="49">
        <v>3.1007751937984496E-3</v>
      </c>
    </row>
    <row r="136" spans="2:5" ht="15" customHeight="1" x14ac:dyDescent="0.25">
      <c r="B136" s="94"/>
      <c r="C136" s="47" t="s">
        <v>179</v>
      </c>
      <c r="D136" s="48">
        <v>2</v>
      </c>
      <c r="E136" s="49">
        <v>1.5503875968992248E-3</v>
      </c>
    </row>
    <row r="137" spans="2:5" ht="15" customHeight="1" x14ac:dyDescent="0.25">
      <c r="B137" s="94"/>
      <c r="C137" s="47" t="s">
        <v>174</v>
      </c>
      <c r="D137" s="48">
        <v>19</v>
      </c>
      <c r="E137" s="49">
        <v>1.4728682170542635E-2</v>
      </c>
    </row>
    <row r="138" spans="2:5" ht="15" customHeight="1" x14ac:dyDescent="0.25">
      <c r="B138" s="94"/>
      <c r="C138" s="47" t="s">
        <v>176</v>
      </c>
      <c r="D138" s="48">
        <v>5</v>
      </c>
      <c r="E138" s="49">
        <v>3.875968992248062E-3</v>
      </c>
    </row>
    <row r="139" spans="2:5" ht="15" customHeight="1" x14ac:dyDescent="0.25">
      <c r="B139" s="94"/>
      <c r="C139" s="47" t="s">
        <v>177</v>
      </c>
      <c r="D139" s="48">
        <v>2</v>
      </c>
      <c r="E139" s="49">
        <v>1.5503875968992248E-3</v>
      </c>
    </row>
    <row r="140" spans="2:5" ht="15" customHeight="1" x14ac:dyDescent="0.25">
      <c r="B140" s="95"/>
      <c r="C140" s="50" t="s">
        <v>63</v>
      </c>
      <c r="D140" s="51">
        <v>32</v>
      </c>
      <c r="E140" s="52">
        <v>2.4806201550387597E-2</v>
      </c>
    </row>
    <row r="141" spans="2:5" ht="15" customHeight="1" x14ac:dyDescent="0.25">
      <c r="B141" s="93" t="s">
        <v>119</v>
      </c>
      <c r="C141" s="47" t="s">
        <v>175</v>
      </c>
      <c r="D141" s="48">
        <v>5</v>
      </c>
      <c r="E141" s="49">
        <v>3.875968992248062E-3</v>
      </c>
    </row>
    <row r="142" spans="2:5" ht="15" customHeight="1" x14ac:dyDescent="0.25">
      <c r="B142" s="94"/>
      <c r="C142" s="47" t="s">
        <v>179</v>
      </c>
      <c r="D142" s="48">
        <v>1</v>
      </c>
      <c r="E142" s="49">
        <v>7.7519379844961239E-4</v>
      </c>
    </row>
    <row r="143" spans="2:5" ht="15" customHeight="1" x14ac:dyDescent="0.25">
      <c r="B143" s="94"/>
      <c r="C143" s="47" t="s">
        <v>174</v>
      </c>
      <c r="D143" s="48">
        <v>7</v>
      </c>
      <c r="E143" s="49">
        <v>5.4263565891472867E-3</v>
      </c>
    </row>
    <row r="144" spans="2:5" ht="15" customHeight="1" x14ac:dyDescent="0.25">
      <c r="B144" s="94"/>
      <c r="C144" s="47" t="s">
        <v>176</v>
      </c>
      <c r="D144" s="48">
        <v>20</v>
      </c>
      <c r="E144" s="49">
        <v>1.5503875968992248E-2</v>
      </c>
    </row>
    <row r="145" spans="2:5" ht="15" customHeight="1" x14ac:dyDescent="0.25">
      <c r="B145" s="94"/>
      <c r="C145" s="47" t="s">
        <v>177</v>
      </c>
      <c r="D145" s="48">
        <v>1</v>
      </c>
      <c r="E145" s="49">
        <v>7.7519379844961239E-4</v>
      </c>
    </row>
    <row r="146" spans="2:5" ht="15" customHeight="1" x14ac:dyDescent="0.25">
      <c r="B146" s="94"/>
      <c r="C146" s="47" t="s">
        <v>178</v>
      </c>
      <c r="D146" s="48">
        <v>1</v>
      </c>
      <c r="E146" s="49">
        <v>7.7519379844961239E-4</v>
      </c>
    </row>
    <row r="147" spans="2:5" ht="15" customHeight="1" x14ac:dyDescent="0.25">
      <c r="B147" s="95"/>
      <c r="C147" s="50" t="s">
        <v>63</v>
      </c>
      <c r="D147" s="51">
        <v>35</v>
      </c>
      <c r="E147" s="52">
        <v>2.7131782945736434E-2</v>
      </c>
    </row>
    <row r="148" spans="2:5" ht="15" customHeight="1" x14ac:dyDescent="0.25">
      <c r="B148" s="93" t="s">
        <v>120</v>
      </c>
      <c r="C148" s="47" t="s">
        <v>175</v>
      </c>
      <c r="D148" s="48">
        <v>1</v>
      </c>
      <c r="E148" s="49">
        <v>7.7519379844961239E-4</v>
      </c>
    </row>
    <row r="149" spans="2:5" ht="15" customHeight="1" x14ac:dyDescent="0.25">
      <c r="B149" s="94"/>
      <c r="C149" s="47" t="s">
        <v>174</v>
      </c>
      <c r="D149" s="48">
        <v>3</v>
      </c>
      <c r="E149" s="49">
        <v>2.3255813953488372E-3</v>
      </c>
    </row>
    <row r="150" spans="2:5" ht="15" customHeight="1" x14ac:dyDescent="0.25">
      <c r="B150" s="94"/>
      <c r="C150" s="47" t="s">
        <v>176</v>
      </c>
      <c r="D150" s="48">
        <v>2</v>
      </c>
      <c r="E150" s="49">
        <v>1.5503875968992248E-3</v>
      </c>
    </row>
    <row r="151" spans="2:5" ht="15" customHeight="1" x14ac:dyDescent="0.25">
      <c r="B151" s="94"/>
      <c r="C151" s="47" t="s">
        <v>178</v>
      </c>
      <c r="D151" s="48">
        <v>1</v>
      </c>
      <c r="E151" s="49">
        <v>7.7519379844961239E-4</v>
      </c>
    </row>
    <row r="152" spans="2:5" ht="15" customHeight="1" x14ac:dyDescent="0.25">
      <c r="B152" s="95"/>
      <c r="C152" s="50" t="s">
        <v>63</v>
      </c>
      <c r="D152" s="51">
        <v>7</v>
      </c>
      <c r="E152" s="52">
        <v>5.4263565891472867E-3</v>
      </c>
    </row>
    <row r="153" spans="2:5" ht="15" customHeight="1" x14ac:dyDescent="0.25">
      <c r="B153" s="93" t="s">
        <v>121</v>
      </c>
      <c r="C153" s="47" t="s">
        <v>180</v>
      </c>
      <c r="D153" s="48">
        <v>1</v>
      </c>
      <c r="E153" s="49">
        <v>7.7519379844961239E-4</v>
      </c>
    </row>
    <row r="154" spans="2:5" ht="15" customHeight="1" x14ac:dyDescent="0.25">
      <c r="B154" s="94"/>
      <c r="C154" s="47" t="s">
        <v>175</v>
      </c>
      <c r="D154" s="48">
        <v>3</v>
      </c>
      <c r="E154" s="49">
        <v>2.3255813953488372E-3</v>
      </c>
    </row>
    <row r="155" spans="2:5" ht="15" customHeight="1" x14ac:dyDescent="0.25">
      <c r="B155" s="94"/>
      <c r="C155" s="47" t="s">
        <v>174</v>
      </c>
      <c r="D155" s="48">
        <v>10</v>
      </c>
      <c r="E155" s="49">
        <v>7.7519379844961239E-3</v>
      </c>
    </row>
    <row r="156" spans="2:5" ht="15" customHeight="1" x14ac:dyDescent="0.25">
      <c r="B156" s="94"/>
      <c r="C156" s="47" t="s">
        <v>176</v>
      </c>
      <c r="D156" s="48">
        <v>5</v>
      </c>
      <c r="E156" s="49">
        <v>3.875968992248062E-3</v>
      </c>
    </row>
    <row r="157" spans="2:5" ht="15" customHeight="1" x14ac:dyDescent="0.25">
      <c r="B157" s="94"/>
      <c r="C157" s="47" t="s">
        <v>177</v>
      </c>
      <c r="D157" s="48">
        <v>5</v>
      </c>
      <c r="E157" s="49">
        <v>3.875968992248062E-3</v>
      </c>
    </row>
    <row r="158" spans="2:5" ht="15" customHeight="1" x14ac:dyDescent="0.25">
      <c r="B158" s="94"/>
      <c r="C158" s="47" t="s">
        <v>181</v>
      </c>
      <c r="D158" s="48">
        <v>1</v>
      </c>
      <c r="E158" s="49">
        <v>7.7519379844961239E-4</v>
      </c>
    </row>
    <row r="159" spans="2:5" ht="15" customHeight="1" x14ac:dyDescent="0.25">
      <c r="B159" s="95"/>
      <c r="C159" s="50" t="s">
        <v>63</v>
      </c>
      <c r="D159" s="51">
        <v>25</v>
      </c>
      <c r="E159" s="52">
        <v>1.937984496124031E-2</v>
      </c>
    </row>
    <row r="160" spans="2:5" ht="15" customHeight="1" x14ac:dyDescent="0.25">
      <c r="B160" s="93" t="s">
        <v>122</v>
      </c>
      <c r="C160" s="47" t="s">
        <v>175</v>
      </c>
      <c r="D160" s="48">
        <v>5</v>
      </c>
      <c r="E160" s="49">
        <v>3.875968992248062E-3</v>
      </c>
    </row>
    <row r="161" spans="2:5" ht="15" customHeight="1" x14ac:dyDescent="0.25">
      <c r="B161" s="94"/>
      <c r="C161" s="47" t="s">
        <v>174</v>
      </c>
      <c r="D161" s="48">
        <v>3</v>
      </c>
      <c r="E161" s="49">
        <v>2.3255813953488372E-3</v>
      </c>
    </row>
    <row r="162" spans="2:5" ht="15" customHeight="1" x14ac:dyDescent="0.25">
      <c r="B162" s="94"/>
      <c r="C162" s="47" t="s">
        <v>176</v>
      </c>
      <c r="D162" s="48">
        <v>4</v>
      </c>
      <c r="E162" s="49">
        <v>3.1007751937984496E-3</v>
      </c>
    </row>
    <row r="163" spans="2:5" ht="15" customHeight="1" x14ac:dyDescent="0.25">
      <c r="B163" s="94"/>
      <c r="C163" s="47" t="s">
        <v>178</v>
      </c>
      <c r="D163" s="48">
        <v>3</v>
      </c>
      <c r="E163" s="49">
        <v>2.3255813953488372E-3</v>
      </c>
    </row>
    <row r="164" spans="2:5" ht="15" customHeight="1" x14ac:dyDescent="0.25">
      <c r="B164" s="95"/>
      <c r="C164" s="50" t="s">
        <v>63</v>
      </c>
      <c r="D164" s="51">
        <v>15</v>
      </c>
      <c r="E164" s="52">
        <v>1.1627906976744186E-2</v>
      </c>
    </row>
    <row r="165" spans="2:5" ht="15" customHeight="1" x14ac:dyDescent="0.25">
      <c r="B165" s="93" t="s">
        <v>123</v>
      </c>
      <c r="C165" s="47" t="s">
        <v>180</v>
      </c>
      <c r="D165" s="48">
        <v>1</v>
      </c>
      <c r="E165" s="49">
        <v>7.7519379844961239E-4</v>
      </c>
    </row>
    <row r="166" spans="2:5" ht="15" customHeight="1" x14ac:dyDescent="0.25">
      <c r="B166" s="94"/>
      <c r="C166" s="47" t="s">
        <v>175</v>
      </c>
      <c r="D166" s="48">
        <v>13</v>
      </c>
      <c r="E166" s="49">
        <v>1.0077519379844961E-2</v>
      </c>
    </row>
    <row r="167" spans="2:5" ht="15" customHeight="1" x14ac:dyDescent="0.25">
      <c r="B167" s="94"/>
      <c r="C167" s="47" t="s">
        <v>174</v>
      </c>
      <c r="D167" s="48">
        <v>35</v>
      </c>
      <c r="E167" s="49">
        <v>2.7131782945736434E-2</v>
      </c>
    </row>
    <row r="168" spans="2:5" ht="15" customHeight="1" x14ac:dyDescent="0.25">
      <c r="B168" s="94"/>
      <c r="C168" s="47" t="s">
        <v>176</v>
      </c>
      <c r="D168" s="48">
        <v>12</v>
      </c>
      <c r="E168" s="49">
        <v>9.3023255813953487E-3</v>
      </c>
    </row>
    <row r="169" spans="2:5" ht="15" customHeight="1" x14ac:dyDescent="0.25">
      <c r="B169" s="94"/>
      <c r="C169" s="47" t="s">
        <v>177</v>
      </c>
      <c r="D169" s="48">
        <v>42</v>
      </c>
      <c r="E169" s="49">
        <v>3.255813953488372E-2</v>
      </c>
    </row>
    <row r="170" spans="2:5" ht="15" customHeight="1" x14ac:dyDescent="0.25">
      <c r="B170" s="94"/>
      <c r="C170" s="47" t="s">
        <v>178</v>
      </c>
      <c r="D170" s="48">
        <v>1</v>
      </c>
      <c r="E170" s="49">
        <v>7.7519379844961239E-4</v>
      </c>
    </row>
    <row r="171" spans="2:5" ht="15" customHeight="1" x14ac:dyDescent="0.25">
      <c r="B171" s="95"/>
      <c r="C171" s="50" t="s">
        <v>63</v>
      </c>
      <c r="D171" s="51">
        <v>104</v>
      </c>
      <c r="E171" s="52">
        <v>8.0620155038759689E-2</v>
      </c>
    </row>
    <row r="172" spans="2:5" ht="15" customHeight="1" x14ac:dyDescent="0.25">
      <c r="B172" s="93" t="s">
        <v>124</v>
      </c>
      <c r="C172" s="47" t="s">
        <v>180</v>
      </c>
      <c r="D172" s="48">
        <v>2</v>
      </c>
      <c r="E172" s="49">
        <v>1.5503875968992248E-3</v>
      </c>
    </row>
    <row r="173" spans="2:5" ht="15" customHeight="1" x14ac:dyDescent="0.25">
      <c r="B173" s="94"/>
      <c r="C173" s="47" t="s">
        <v>175</v>
      </c>
      <c r="D173" s="48">
        <v>6</v>
      </c>
      <c r="E173" s="49">
        <v>4.6511627906976744E-3</v>
      </c>
    </row>
    <row r="174" spans="2:5" ht="15" customHeight="1" x14ac:dyDescent="0.25">
      <c r="B174" s="94"/>
      <c r="C174" s="47" t="s">
        <v>179</v>
      </c>
      <c r="D174" s="48">
        <v>4</v>
      </c>
      <c r="E174" s="49">
        <v>3.1007751937984496E-3</v>
      </c>
    </row>
    <row r="175" spans="2:5" ht="15" customHeight="1" x14ac:dyDescent="0.25">
      <c r="B175" s="94"/>
      <c r="C175" s="47" t="s">
        <v>174</v>
      </c>
      <c r="D175" s="48">
        <v>35</v>
      </c>
      <c r="E175" s="49">
        <v>2.7131782945736434E-2</v>
      </c>
    </row>
    <row r="176" spans="2:5" ht="15" customHeight="1" x14ac:dyDescent="0.25">
      <c r="B176" s="94"/>
      <c r="C176" s="47" t="s">
        <v>176</v>
      </c>
      <c r="D176" s="48">
        <v>11</v>
      </c>
      <c r="E176" s="49">
        <v>8.5271317829457363E-3</v>
      </c>
    </row>
    <row r="177" spans="2:5" ht="15" customHeight="1" x14ac:dyDescent="0.25">
      <c r="B177" s="94"/>
      <c r="C177" s="47" t="s">
        <v>177</v>
      </c>
      <c r="D177" s="48">
        <v>5</v>
      </c>
      <c r="E177" s="49">
        <v>3.875968992248062E-3</v>
      </c>
    </row>
    <row r="178" spans="2:5" ht="15" customHeight="1" x14ac:dyDescent="0.25">
      <c r="B178" s="94"/>
      <c r="C178" s="47" t="s">
        <v>178</v>
      </c>
      <c r="D178" s="48">
        <v>2</v>
      </c>
      <c r="E178" s="49">
        <v>1.5503875968992248E-3</v>
      </c>
    </row>
    <row r="179" spans="2:5" ht="15" customHeight="1" x14ac:dyDescent="0.25">
      <c r="B179" s="94"/>
      <c r="C179" s="47" t="s">
        <v>182</v>
      </c>
      <c r="D179" s="48">
        <v>2</v>
      </c>
      <c r="E179" s="49">
        <v>1.5503875968992248E-3</v>
      </c>
    </row>
    <row r="180" spans="2:5" ht="15" customHeight="1" x14ac:dyDescent="0.25">
      <c r="B180" s="95"/>
      <c r="C180" s="50" t="s">
        <v>63</v>
      </c>
      <c r="D180" s="51">
        <v>67</v>
      </c>
      <c r="E180" s="52">
        <v>5.193798449612403E-2</v>
      </c>
    </row>
    <row r="181" spans="2:5" ht="15" customHeight="1" x14ac:dyDescent="0.25">
      <c r="B181" s="93" t="s">
        <v>125</v>
      </c>
      <c r="C181" s="47" t="s">
        <v>180</v>
      </c>
      <c r="D181" s="48">
        <v>1</v>
      </c>
      <c r="E181" s="49">
        <v>7.7519379844961239E-4</v>
      </c>
    </row>
    <row r="182" spans="2:5" ht="15" customHeight="1" x14ac:dyDescent="0.25">
      <c r="B182" s="94"/>
      <c r="C182" s="47" t="s">
        <v>179</v>
      </c>
      <c r="D182" s="48">
        <v>3</v>
      </c>
      <c r="E182" s="49">
        <v>2.3255813953488372E-3</v>
      </c>
    </row>
    <row r="183" spans="2:5" ht="15" customHeight="1" x14ac:dyDescent="0.25">
      <c r="B183" s="94"/>
      <c r="C183" s="47" t="s">
        <v>174</v>
      </c>
      <c r="D183" s="48">
        <v>8</v>
      </c>
      <c r="E183" s="49">
        <v>6.2015503875968991E-3</v>
      </c>
    </row>
    <row r="184" spans="2:5" ht="15" customHeight="1" x14ac:dyDescent="0.25">
      <c r="B184" s="94"/>
      <c r="C184" s="47" t="s">
        <v>176</v>
      </c>
      <c r="D184" s="48">
        <v>3</v>
      </c>
      <c r="E184" s="49">
        <v>2.3255813953488372E-3</v>
      </c>
    </row>
    <row r="185" spans="2:5" ht="15" customHeight="1" x14ac:dyDescent="0.25">
      <c r="B185" s="94"/>
      <c r="C185" s="47" t="s">
        <v>177</v>
      </c>
      <c r="D185" s="48">
        <v>2</v>
      </c>
      <c r="E185" s="49">
        <v>1.5503875968992248E-3</v>
      </c>
    </row>
    <row r="186" spans="2:5" ht="15" customHeight="1" x14ac:dyDescent="0.25">
      <c r="B186" s="95"/>
      <c r="C186" s="50" t="s">
        <v>63</v>
      </c>
      <c r="D186" s="51">
        <v>17</v>
      </c>
      <c r="E186" s="52">
        <v>1.3178294573643411E-2</v>
      </c>
    </row>
    <row r="187" spans="2:5" ht="15" customHeight="1" x14ac:dyDescent="0.25">
      <c r="B187" s="93" t="s">
        <v>126</v>
      </c>
      <c r="C187" s="47" t="s">
        <v>175</v>
      </c>
      <c r="D187" s="48">
        <v>2</v>
      </c>
      <c r="E187" s="49">
        <v>1.5503875968992248E-3</v>
      </c>
    </row>
    <row r="188" spans="2:5" ht="15" customHeight="1" x14ac:dyDescent="0.25">
      <c r="B188" s="94"/>
      <c r="C188" s="47" t="s">
        <v>174</v>
      </c>
      <c r="D188" s="48">
        <v>2</v>
      </c>
      <c r="E188" s="49">
        <v>1.5503875968992248E-3</v>
      </c>
    </row>
    <row r="189" spans="2:5" ht="15" customHeight="1" x14ac:dyDescent="0.25">
      <c r="B189" s="95"/>
      <c r="C189" s="50" t="s">
        <v>63</v>
      </c>
      <c r="D189" s="51">
        <v>4</v>
      </c>
      <c r="E189" s="52">
        <v>3.1007751937984496E-3</v>
      </c>
    </row>
    <row r="190" spans="2:5" ht="15" customHeight="1" x14ac:dyDescent="0.25">
      <c r="B190" s="93" t="s">
        <v>127</v>
      </c>
      <c r="C190" s="47" t="s">
        <v>180</v>
      </c>
      <c r="D190" s="48">
        <v>2</v>
      </c>
      <c r="E190" s="49">
        <v>1.5503875968992248E-3</v>
      </c>
    </row>
    <row r="191" spans="2:5" ht="15" customHeight="1" x14ac:dyDescent="0.25">
      <c r="B191" s="94"/>
      <c r="C191" s="47" t="s">
        <v>175</v>
      </c>
      <c r="D191" s="48">
        <v>1</v>
      </c>
      <c r="E191" s="49">
        <v>7.7519379844961239E-4</v>
      </c>
    </row>
    <row r="192" spans="2:5" ht="15" customHeight="1" x14ac:dyDescent="0.25">
      <c r="B192" s="94"/>
      <c r="C192" s="47" t="s">
        <v>174</v>
      </c>
      <c r="D192" s="48">
        <v>1</v>
      </c>
      <c r="E192" s="49">
        <v>7.7519379844961239E-4</v>
      </c>
    </row>
    <row r="193" spans="2:5" ht="15" customHeight="1" x14ac:dyDescent="0.25">
      <c r="B193" s="94"/>
      <c r="C193" s="47" t="s">
        <v>181</v>
      </c>
      <c r="D193" s="48">
        <v>5</v>
      </c>
      <c r="E193" s="49">
        <v>3.875968992248062E-3</v>
      </c>
    </row>
    <row r="194" spans="2:5" ht="15" customHeight="1" x14ac:dyDescent="0.25">
      <c r="B194" s="94"/>
      <c r="C194" s="47" t="s">
        <v>178</v>
      </c>
      <c r="D194" s="48">
        <v>3</v>
      </c>
      <c r="E194" s="49">
        <v>2.3255813953488372E-3</v>
      </c>
    </row>
    <row r="195" spans="2:5" ht="15" customHeight="1" x14ac:dyDescent="0.25">
      <c r="B195" s="95"/>
      <c r="C195" s="50" t="s">
        <v>63</v>
      </c>
      <c r="D195" s="51">
        <v>12</v>
      </c>
      <c r="E195" s="52">
        <v>9.3023255813953487E-3</v>
      </c>
    </row>
    <row r="196" spans="2:5" ht="15" customHeight="1" x14ac:dyDescent="0.25">
      <c r="B196" s="93" t="s">
        <v>128</v>
      </c>
      <c r="C196" s="47" t="s">
        <v>174</v>
      </c>
      <c r="D196" s="48">
        <v>1</v>
      </c>
      <c r="E196" s="49">
        <v>7.7519379844961239E-4</v>
      </c>
    </row>
    <row r="197" spans="2:5" ht="15" customHeight="1" x14ac:dyDescent="0.25">
      <c r="B197" s="95"/>
      <c r="C197" s="50" t="s">
        <v>63</v>
      </c>
      <c r="D197" s="51">
        <v>1</v>
      </c>
      <c r="E197" s="52">
        <v>7.7519379844961239E-4</v>
      </c>
    </row>
    <row r="198" spans="2:5" ht="15" customHeight="1" x14ac:dyDescent="0.25">
      <c r="B198" s="93" t="s">
        <v>129</v>
      </c>
      <c r="C198" s="47" t="s">
        <v>180</v>
      </c>
      <c r="D198" s="48">
        <v>2</v>
      </c>
      <c r="E198" s="49">
        <v>1.5503875968992248E-3</v>
      </c>
    </row>
    <row r="199" spans="2:5" ht="15" customHeight="1" x14ac:dyDescent="0.25">
      <c r="B199" s="94"/>
      <c r="C199" s="47" t="s">
        <v>175</v>
      </c>
      <c r="D199" s="48">
        <v>11</v>
      </c>
      <c r="E199" s="49">
        <v>8.5271317829457363E-3</v>
      </c>
    </row>
    <row r="200" spans="2:5" ht="15" customHeight="1" x14ac:dyDescent="0.25">
      <c r="B200" s="94"/>
      <c r="C200" s="47" t="s">
        <v>179</v>
      </c>
      <c r="D200" s="48">
        <v>3</v>
      </c>
      <c r="E200" s="49">
        <v>2.3255813953488372E-3</v>
      </c>
    </row>
    <row r="201" spans="2:5" ht="15" customHeight="1" x14ac:dyDescent="0.25">
      <c r="B201" s="94"/>
      <c r="C201" s="47" t="s">
        <v>174</v>
      </c>
      <c r="D201" s="48">
        <v>14</v>
      </c>
      <c r="E201" s="49">
        <v>1.0852713178294573E-2</v>
      </c>
    </row>
    <row r="202" spans="2:5" ht="15" customHeight="1" x14ac:dyDescent="0.25">
      <c r="B202" s="94"/>
      <c r="C202" s="47" t="s">
        <v>176</v>
      </c>
      <c r="D202" s="48">
        <v>26</v>
      </c>
      <c r="E202" s="49">
        <v>2.0155038759689922E-2</v>
      </c>
    </row>
    <row r="203" spans="2:5" ht="15" customHeight="1" x14ac:dyDescent="0.25">
      <c r="B203" s="94"/>
      <c r="C203" s="47" t="s">
        <v>177</v>
      </c>
      <c r="D203" s="48">
        <v>8</v>
      </c>
      <c r="E203" s="49">
        <v>6.2015503875968991E-3</v>
      </c>
    </row>
    <row r="204" spans="2:5" ht="15" customHeight="1" x14ac:dyDescent="0.25">
      <c r="B204" s="94"/>
      <c r="C204" s="47" t="s">
        <v>178</v>
      </c>
      <c r="D204" s="48">
        <v>6</v>
      </c>
      <c r="E204" s="49">
        <v>4.6511627906976744E-3</v>
      </c>
    </row>
    <row r="205" spans="2:5" ht="15" customHeight="1" x14ac:dyDescent="0.25">
      <c r="B205" s="94"/>
      <c r="C205" s="47" t="s">
        <v>182</v>
      </c>
      <c r="D205" s="48">
        <v>1</v>
      </c>
      <c r="E205" s="49">
        <v>7.7519379844961239E-4</v>
      </c>
    </row>
    <row r="206" spans="2:5" ht="15" customHeight="1" x14ac:dyDescent="0.25">
      <c r="B206" s="95"/>
      <c r="C206" s="50" t="s">
        <v>63</v>
      </c>
      <c r="D206" s="51">
        <v>71</v>
      </c>
      <c r="E206" s="52">
        <v>5.503875968992248E-2</v>
      </c>
    </row>
    <row r="207" spans="2:5" ht="15" customHeight="1" x14ac:dyDescent="0.25">
      <c r="B207" s="93" t="s">
        <v>130</v>
      </c>
      <c r="C207" s="47" t="s">
        <v>175</v>
      </c>
      <c r="D207" s="48">
        <v>5</v>
      </c>
      <c r="E207" s="49">
        <v>3.875968992248062E-3</v>
      </c>
    </row>
    <row r="208" spans="2:5" ht="15" customHeight="1" x14ac:dyDescent="0.25">
      <c r="B208" s="94"/>
      <c r="C208" s="47" t="s">
        <v>174</v>
      </c>
      <c r="D208" s="48">
        <v>2</v>
      </c>
      <c r="E208" s="49">
        <v>1.5503875968992248E-3</v>
      </c>
    </row>
    <row r="209" spans="2:5" ht="15" customHeight="1" x14ac:dyDescent="0.25">
      <c r="B209" s="94"/>
      <c r="C209" s="47" t="s">
        <v>176</v>
      </c>
      <c r="D209" s="48">
        <v>6</v>
      </c>
      <c r="E209" s="49">
        <v>4.6511627906976744E-3</v>
      </c>
    </row>
    <row r="210" spans="2:5" ht="15" customHeight="1" x14ac:dyDescent="0.25">
      <c r="B210" s="94"/>
      <c r="C210" s="47" t="s">
        <v>177</v>
      </c>
      <c r="D210" s="48">
        <v>1</v>
      </c>
      <c r="E210" s="49">
        <v>7.7519379844961239E-4</v>
      </c>
    </row>
    <row r="211" spans="2:5" ht="15" customHeight="1" x14ac:dyDescent="0.25">
      <c r="B211" s="94"/>
      <c r="C211" s="47" t="s">
        <v>181</v>
      </c>
      <c r="D211" s="48">
        <v>3</v>
      </c>
      <c r="E211" s="49">
        <v>2.3255813953488372E-3</v>
      </c>
    </row>
    <row r="212" spans="2:5" ht="15" customHeight="1" x14ac:dyDescent="0.25">
      <c r="B212" s="95"/>
      <c r="C212" s="50" t="s">
        <v>63</v>
      </c>
      <c r="D212" s="51">
        <v>17</v>
      </c>
      <c r="E212" s="52">
        <v>1.3178294573643411E-2</v>
      </c>
    </row>
    <row r="213" spans="2:5" ht="15" customHeight="1" x14ac:dyDescent="0.25">
      <c r="B213" s="93" t="s">
        <v>131</v>
      </c>
      <c r="C213" s="47" t="s">
        <v>175</v>
      </c>
      <c r="D213" s="48">
        <v>5</v>
      </c>
      <c r="E213" s="49">
        <v>3.875968992248062E-3</v>
      </c>
    </row>
    <row r="214" spans="2:5" ht="15" customHeight="1" x14ac:dyDescent="0.25">
      <c r="B214" s="94"/>
      <c r="C214" s="47" t="s">
        <v>174</v>
      </c>
      <c r="D214" s="48">
        <v>6</v>
      </c>
      <c r="E214" s="49">
        <v>4.6511627906976744E-3</v>
      </c>
    </row>
    <row r="215" spans="2:5" ht="15" customHeight="1" x14ac:dyDescent="0.25">
      <c r="B215" s="94"/>
      <c r="C215" s="47" t="s">
        <v>176</v>
      </c>
      <c r="D215" s="48">
        <v>3</v>
      </c>
      <c r="E215" s="49">
        <v>2.3255813953488372E-3</v>
      </c>
    </row>
    <row r="216" spans="2:5" ht="15" customHeight="1" x14ac:dyDescent="0.25">
      <c r="B216" s="94"/>
      <c r="C216" s="47" t="s">
        <v>177</v>
      </c>
      <c r="D216" s="48">
        <v>2</v>
      </c>
      <c r="E216" s="49">
        <v>1.5503875968992248E-3</v>
      </c>
    </row>
    <row r="217" spans="2:5" ht="15" customHeight="1" x14ac:dyDescent="0.25">
      <c r="B217" s="95"/>
      <c r="C217" s="50" t="s">
        <v>63</v>
      </c>
      <c r="D217" s="51">
        <v>16</v>
      </c>
      <c r="E217" s="52">
        <v>1.2403100775193798E-2</v>
      </c>
    </row>
    <row r="218" spans="2:5" ht="15" customHeight="1" x14ac:dyDescent="0.25">
      <c r="B218" s="93" t="s">
        <v>132</v>
      </c>
      <c r="C218" s="47" t="s">
        <v>175</v>
      </c>
      <c r="D218" s="48">
        <v>2</v>
      </c>
      <c r="E218" s="49">
        <v>1.5503875968992248E-3</v>
      </c>
    </row>
    <row r="219" spans="2:5" ht="15" customHeight="1" x14ac:dyDescent="0.25">
      <c r="B219" s="94"/>
      <c r="C219" s="47" t="s">
        <v>174</v>
      </c>
      <c r="D219" s="48">
        <v>1</v>
      </c>
      <c r="E219" s="49">
        <v>7.7519379844961239E-4</v>
      </c>
    </row>
    <row r="220" spans="2:5" ht="15" customHeight="1" x14ac:dyDescent="0.25">
      <c r="B220" s="94"/>
      <c r="C220" s="47" t="s">
        <v>176</v>
      </c>
      <c r="D220" s="48">
        <v>1</v>
      </c>
      <c r="E220" s="49">
        <v>7.7519379844961239E-4</v>
      </c>
    </row>
    <row r="221" spans="2:5" ht="15" customHeight="1" x14ac:dyDescent="0.25">
      <c r="B221" s="95"/>
      <c r="C221" s="50" t="s">
        <v>63</v>
      </c>
      <c r="D221" s="51">
        <v>4</v>
      </c>
      <c r="E221" s="52">
        <v>3.1007751937984496E-3</v>
      </c>
    </row>
    <row r="222" spans="2:5" ht="15" customHeight="1" x14ac:dyDescent="0.25">
      <c r="B222" s="93" t="s">
        <v>133</v>
      </c>
      <c r="C222" s="47" t="s">
        <v>180</v>
      </c>
      <c r="D222" s="48">
        <v>1</v>
      </c>
      <c r="E222" s="49">
        <v>7.7519379844961239E-4</v>
      </c>
    </row>
    <row r="223" spans="2:5" ht="15" customHeight="1" x14ac:dyDescent="0.25">
      <c r="B223" s="94"/>
      <c r="C223" s="47" t="s">
        <v>175</v>
      </c>
      <c r="D223" s="48">
        <v>35</v>
      </c>
      <c r="E223" s="49">
        <v>2.7131782945736434E-2</v>
      </c>
    </row>
    <row r="224" spans="2:5" ht="15" customHeight="1" x14ac:dyDescent="0.25">
      <c r="B224" s="94"/>
      <c r="C224" s="47" t="s">
        <v>174</v>
      </c>
      <c r="D224" s="48">
        <v>11</v>
      </c>
      <c r="E224" s="49">
        <v>8.5271317829457363E-3</v>
      </c>
    </row>
    <row r="225" spans="2:5" ht="15" customHeight="1" x14ac:dyDescent="0.25">
      <c r="B225" s="94"/>
      <c r="C225" s="47" t="s">
        <v>177</v>
      </c>
      <c r="D225" s="48">
        <v>2</v>
      </c>
      <c r="E225" s="49">
        <v>1.5503875968992248E-3</v>
      </c>
    </row>
    <row r="226" spans="2:5" ht="15" customHeight="1" x14ac:dyDescent="0.25">
      <c r="B226" s="95"/>
      <c r="C226" s="50" t="s">
        <v>63</v>
      </c>
      <c r="D226" s="51">
        <v>49</v>
      </c>
      <c r="E226" s="52">
        <v>3.7984496124031007E-2</v>
      </c>
    </row>
    <row r="227" spans="2:5" ht="15" customHeight="1" x14ac:dyDescent="0.25">
      <c r="B227" s="93" t="s">
        <v>134</v>
      </c>
      <c r="C227" s="47" t="s">
        <v>180</v>
      </c>
      <c r="D227" s="48">
        <v>1</v>
      </c>
      <c r="E227" s="49">
        <v>7.7519379844961239E-4</v>
      </c>
    </row>
    <row r="228" spans="2:5" ht="15" customHeight="1" x14ac:dyDescent="0.25">
      <c r="B228" s="94"/>
      <c r="C228" s="47" t="s">
        <v>175</v>
      </c>
      <c r="D228" s="48">
        <v>5</v>
      </c>
      <c r="E228" s="49">
        <v>3.875968992248062E-3</v>
      </c>
    </row>
    <row r="229" spans="2:5" ht="15" customHeight="1" x14ac:dyDescent="0.25">
      <c r="B229" s="94"/>
      <c r="C229" s="47" t="s">
        <v>174</v>
      </c>
      <c r="D229" s="48">
        <v>2</v>
      </c>
      <c r="E229" s="49">
        <v>1.5503875968992248E-3</v>
      </c>
    </row>
    <row r="230" spans="2:5" ht="15" customHeight="1" x14ac:dyDescent="0.25">
      <c r="B230" s="94"/>
      <c r="C230" s="47" t="s">
        <v>176</v>
      </c>
      <c r="D230" s="48">
        <v>1</v>
      </c>
      <c r="E230" s="49">
        <v>7.7519379844961239E-4</v>
      </c>
    </row>
    <row r="231" spans="2:5" ht="15" customHeight="1" x14ac:dyDescent="0.25">
      <c r="B231" s="94"/>
      <c r="C231" s="47" t="s">
        <v>177</v>
      </c>
      <c r="D231" s="48">
        <v>1</v>
      </c>
      <c r="E231" s="49">
        <v>7.7519379844961239E-4</v>
      </c>
    </row>
    <row r="232" spans="2:5" ht="15" customHeight="1" x14ac:dyDescent="0.25">
      <c r="B232" s="95"/>
      <c r="C232" s="50" t="s">
        <v>63</v>
      </c>
      <c r="D232" s="51">
        <v>10</v>
      </c>
      <c r="E232" s="52">
        <v>7.7519379844961239E-3</v>
      </c>
    </row>
    <row r="233" spans="2:5" ht="15" customHeight="1" x14ac:dyDescent="0.25">
      <c r="B233" s="93" t="s">
        <v>135</v>
      </c>
      <c r="C233" s="47" t="s">
        <v>175</v>
      </c>
      <c r="D233" s="48">
        <v>1</v>
      </c>
      <c r="E233" s="49">
        <v>7.7519379844961239E-4</v>
      </c>
    </row>
    <row r="234" spans="2:5" ht="15" customHeight="1" x14ac:dyDescent="0.25">
      <c r="B234" s="94"/>
      <c r="C234" s="47" t="s">
        <v>176</v>
      </c>
      <c r="D234" s="48">
        <v>1</v>
      </c>
      <c r="E234" s="49">
        <v>7.7519379844961239E-4</v>
      </c>
    </row>
    <row r="235" spans="2:5" ht="15" customHeight="1" x14ac:dyDescent="0.25">
      <c r="B235" s="95"/>
      <c r="C235" s="50" t="s">
        <v>63</v>
      </c>
      <c r="D235" s="51">
        <v>2</v>
      </c>
      <c r="E235" s="52">
        <v>1.5503875968992248E-3</v>
      </c>
    </row>
    <row r="236" spans="2:5" ht="15" customHeight="1" x14ac:dyDescent="0.25">
      <c r="B236" s="93" t="s">
        <v>136</v>
      </c>
      <c r="C236" s="47" t="s">
        <v>180</v>
      </c>
      <c r="D236" s="48">
        <v>1</v>
      </c>
      <c r="E236" s="49">
        <v>7.7519379844961239E-4</v>
      </c>
    </row>
    <row r="237" spans="2:5" ht="15" customHeight="1" x14ac:dyDescent="0.25">
      <c r="B237" s="94"/>
      <c r="C237" s="47" t="s">
        <v>175</v>
      </c>
      <c r="D237" s="48">
        <v>7</v>
      </c>
      <c r="E237" s="49">
        <v>5.4263565891472867E-3</v>
      </c>
    </row>
    <row r="238" spans="2:5" ht="15" customHeight="1" x14ac:dyDescent="0.25">
      <c r="B238" s="94"/>
      <c r="C238" s="47" t="s">
        <v>179</v>
      </c>
      <c r="D238" s="48">
        <v>1</v>
      </c>
      <c r="E238" s="49">
        <v>7.7519379844961239E-4</v>
      </c>
    </row>
    <row r="239" spans="2:5" ht="15" customHeight="1" x14ac:dyDescent="0.25">
      <c r="B239" s="94"/>
      <c r="C239" s="47" t="s">
        <v>174</v>
      </c>
      <c r="D239" s="48">
        <v>10</v>
      </c>
      <c r="E239" s="49">
        <v>7.7519379844961239E-3</v>
      </c>
    </row>
    <row r="240" spans="2:5" ht="15" customHeight="1" x14ac:dyDescent="0.25">
      <c r="B240" s="94"/>
      <c r="C240" s="47" t="s">
        <v>176</v>
      </c>
      <c r="D240" s="48">
        <v>15</v>
      </c>
      <c r="E240" s="49">
        <v>1.1627906976744186E-2</v>
      </c>
    </row>
    <row r="241" spans="2:5" ht="15" customHeight="1" x14ac:dyDescent="0.25">
      <c r="B241" s="94"/>
      <c r="C241" s="47" t="s">
        <v>177</v>
      </c>
      <c r="D241" s="48">
        <v>1</v>
      </c>
      <c r="E241" s="49">
        <v>7.7519379844961239E-4</v>
      </c>
    </row>
    <row r="242" spans="2:5" ht="15" customHeight="1" x14ac:dyDescent="0.25">
      <c r="B242" s="94"/>
      <c r="C242" s="47" t="s">
        <v>181</v>
      </c>
      <c r="D242" s="48">
        <v>3</v>
      </c>
      <c r="E242" s="49">
        <v>2.3255813953488372E-3</v>
      </c>
    </row>
    <row r="243" spans="2:5" ht="15" customHeight="1" x14ac:dyDescent="0.25">
      <c r="B243" s="94"/>
      <c r="C243" s="47" t="s">
        <v>178</v>
      </c>
      <c r="D243" s="48">
        <v>9</v>
      </c>
      <c r="E243" s="49">
        <v>6.9767441860465115E-3</v>
      </c>
    </row>
    <row r="244" spans="2:5" ht="15" customHeight="1" x14ac:dyDescent="0.25">
      <c r="B244" s="95"/>
      <c r="C244" s="50" t="s">
        <v>63</v>
      </c>
      <c r="D244" s="51">
        <v>47</v>
      </c>
      <c r="E244" s="52">
        <v>3.6434108527131782E-2</v>
      </c>
    </row>
    <row r="245" spans="2:5" ht="15" customHeight="1" x14ac:dyDescent="0.25">
      <c r="B245" s="93" t="s">
        <v>160</v>
      </c>
      <c r="C245" s="47" t="s">
        <v>175</v>
      </c>
      <c r="D245" s="48">
        <v>8</v>
      </c>
      <c r="E245" s="49">
        <v>6.2015503875968991E-3</v>
      </c>
    </row>
    <row r="246" spans="2:5" ht="15" customHeight="1" x14ac:dyDescent="0.25">
      <c r="B246" s="94"/>
      <c r="C246" s="47" t="s">
        <v>179</v>
      </c>
      <c r="D246" s="48">
        <v>3</v>
      </c>
      <c r="E246" s="49">
        <v>2.3255813953488372E-3</v>
      </c>
    </row>
    <row r="247" spans="2:5" ht="15" customHeight="1" x14ac:dyDescent="0.25">
      <c r="B247" s="94"/>
      <c r="C247" s="47" t="s">
        <v>174</v>
      </c>
      <c r="D247" s="48">
        <v>33</v>
      </c>
      <c r="E247" s="49">
        <v>2.5581395348837209E-2</v>
      </c>
    </row>
    <row r="248" spans="2:5" ht="15" customHeight="1" x14ac:dyDescent="0.25">
      <c r="B248" s="94"/>
      <c r="C248" s="47" t="s">
        <v>176</v>
      </c>
      <c r="D248" s="48">
        <v>9</v>
      </c>
      <c r="E248" s="49">
        <v>6.9767441860465115E-3</v>
      </c>
    </row>
    <row r="249" spans="2:5" ht="15" customHeight="1" x14ac:dyDescent="0.25">
      <c r="B249" s="94"/>
      <c r="C249" s="47" t="s">
        <v>177</v>
      </c>
      <c r="D249" s="48">
        <v>13</v>
      </c>
      <c r="E249" s="49">
        <v>1.0077519379844961E-2</v>
      </c>
    </row>
    <row r="250" spans="2:5" ht="15" customHeight="1" x14ac:dyDescent="0.25">
      <c r="B250" s="95"/>
      <c r="C250" s="50" t="s">
        <v>63</v>
      </c>
      <c r="D250" s="51">
        <v>66</v>
      </c>
      <c r="E250" s="52">
        <v>5.1162790697674418E-2</v>
      </c>
    </row>
    <row r="251" spans="2:5" ht="15" customHeight="1" x14ac:dyDescent="0.25">
      <c r="B251" s="93" t="s">
        <v>138</v>
      </c>
      <c r="C251" s="47" t="s">
        <v>175</v>
      </c>
      <c r="D251" s="48">
        <v>5</v>
      </c>
      <c r="E251" s="49">
        <v>3.875968992248062E-3</v>
      </c>
    </row>
    <row r="252" spans="2:5" ht="15" customHeight="1" x14ac:dyDescent="0.25">
      <c r="B252" s="94"/>
      <c r="C252" s="47" t="s">
        <v>179</v>
      </c>
      <c r="D252" s="48">
        <v>3</v>
      </c>
      <c r="E252" s="49">
        <v>2.3255813953488372E-3</v>
      </c>
    </row>
    <row r="253" spans="2:5" ht="15" customHeight="1" x14ac:dyDescent="0.25">
      <c r="B253" s="94"/>
      <c r="C253" s="47" t="s">
        <v>174</v>
      </c>
      <c r="D253" s="48">
        <v>7</v>
      </c>
      <c r="E253" s="49">
        <v>5.4263565891472867E-3</v>
      </c>
    </row>
    <row r="254" spans="2:5" ht="15" customHeight="1" x14ac:dyDescent="0.25">
      <c r="B254" s="94"/>
      <c r="C254" s="47" t="s">
        <v>176</v>
      </c>
      <c r="D254" s="48">
        <v>1</v>
      </c>
      <c r="E254" s="49">
        <v>7.7519379844961239E-4</v>
      </c>
    </row>
    <row r="255" spans="2:5" ht="15" customHeight="1" x14ac:dyDescent="0.25">
      <c r="B255" s="94"/>
      <c r="C255" s="47" t="s">
        <v>177</v>
      </c>
      <c r="D255" s="48">
        <v>1</v>
      </c>
      <c r="E255" s="49">
        <v>7.7519379844961239E-4</v>
      </c>
    </row>
    <row r="256" spans="2:5" ht="15" customHeight="1" x14ac:dyDescent="0.25">
      <c r="B256" s="94"/>
      <c r="C256" s="47" t="s">
        <v>181</v>
      </c>
      <c r="D256" s="48">
        <v>1</v>
      </c>
      <c r="E256" s="49">
        <v>7.7519379844961239E-4</v>
      </c>
    </row>
    <row r="257" spans="2:5" ht="15" customHeight="1" x14ac:dyDescent="0.25">
      <c r="B257" s="94"/>
      <c r="C257" s="47" t="s">
        <v>178</v>
      </c>
      <c r="D257" s="48">
        <v>1</v>
      </c>
      <c r="E257" s="49">
        <v>7.7519379844961239E-4</v>
      </c>
    </row>
    <row r="258" spans="2:5" ht="15" customHeight="1" x14ac:dyDescent="0.25">
      <c r="B258" s="95"/>
      <c r="C258" s="50" t="s">
        <v>63</v>
      </c>
      <c r="D258" s="51">
        <v>19</v>
      </c>
      <c r="E258" s="52">
        <v>1.4728682170542635E-2</v>
      </c>
    </row>
    <row r="259" spans="2:5" ht="15" customHeight="1" x14ac:dyDescent="0.25">
      <c r="B259" s="93" t="s">
        <v>139</v>
      </c>
      <c r="C259" s="47" t="s">
        <v>175</v>
      </c>
      <c r="D259" s="48">
        <v>2</v>
      </c>
      <c r="E259" s="49">
        <v>1.5503875968992248E-3</v>
      </c>
    </row>
    <row r="260" spans="2:5" ht="15" customHeight="1" x14ac:dyDescent="0.25">
      <c r="B260" s="94"/>
      <c r="C260" s="47" t="s">
        <v>179</v>
      </c>
      <c r="D260" s="48">
        <v>1</v>
      </c>
      <c r="E260" s="49">
        <v>7.7519379844961239E-4</v>
      </c>
    </row>
    <row r="261" spans="2:5" ht="15" customHeight="1" x14ac:dyDescent="0.25">
      <c r="B261" s="94"/>
      <c r="C261" s="47" t="s">
        <v>174</v>
      </c>
      <c r="D261" s="48">
        <v>3</v>
      </c>
      <c r="E261" s="49">
        <v>2.3255813953488372E-3</v>
      </c>
    </row>
    <row r="262" spans="2:5" ht="15" customHeight="1" x14ac:dyDescent="0.25">
      <c r="B262" s="94"/>
      <c r="C262" s="47" t="s">
        <v>176</v>
      </c>
      <c r="D262" s="48">
        <v>2</v>
      </c>
      <c r="E262" s="49">
        <v>1.5503875968992248E-3</v>
      </c>
    </row>
    <row r="263" spans="2:5" ht="15" customHeight="1" x14ac:dyDescent="0.25">
      <c r="B263" s="94"/>
      <c r="C263" s="47" t="s">
        <v>177</v>
      </c>
      <c r="D263" s="48">
        <v>1</v>
      </c>
      <c r="E263" s="49">
        <v>7.7519379844961239E-4</v>
      </c>
    </row>
    <row r="264" spans="2:5" ht="15" customHeight="1" x14ac:dyDescent="0.25">
      <c r="B264" s="95"/>
      <c r="C264" s="50" t="s">
        <v>63</v>
      </c>
      <c r="D264" s="51">
        <v>9</v>
      </c>
      <c r="E264" s="52">
        <v>6.9767441860465115E-3</v>
      </c>
    </row>
    <row r="265" spans="2:5" ht="15" customHeight="1" x14ac:dyDescent="0.25">
      <c r="B265" s="93" t="s">
        <v>41</v>
      </c>
      <c r="C265" s="47" t="s">
        <v>180</v>
      </c>
      <c r="D265" s="48">
        <v>1</v>
      </c>
      <c r="E265" s="49">
        <v>7.7519379844961239E-4</v>
      </c>
    </row>
    <row r="266" spans="2:5" ht="15" customHeight="1" x14ac:dyDescent="0.25">
      <c r="B266" s="94"/>
      <c r="C266" s="47" t="s">
        <v>175</v>
      </c>
      <c r="D266" s="48">
        <v>4</v>
      </c>
      <c r="E266" s="49">
        <v>3.1007751937984496E-3</v>
      </c>
    </row>
    <row r="267" spans="2:5" ht="15" customHeight="1" x14ac:dyDescent="0.25">
      <c r="B267" s="94"/>
      <c r="C267" s="47" t="s">
        <v>174</v>
      </c>
      <c r="D267" s="48">
        <v>6</v>
      </c>
      <c r="E267" s="49">
        <v>4.6511627906976744E-3</v>
      </c>
    </row>
    <row r="268" spans="2:5" ht="15" customHeight="1" x14ac:dyDescent="0.25">
      <c r="B268" s="94"/>
      <c r="C268" s="47" t="s">
        <v>176</v>
      </c>
      <c r="D268" s="48">
        <v>4</v>
      </c>
      <c r="E268" s="49">
        <v>3.1007751937984496E-3</v>
      </c>
    </row>
    <row r="269" spans="2:5" ht="15" customHeight="1" x14ac:dyDescent="0.25">
      <c r="B269" s="94"/>
      <c r="C269" s="47" t="s">
        <v>177</v>
      </c>
      <c r="D269" s="48">
        <v>4</v>
      </c>
      <c r="E269" s="49">
        <v>3.1007751937984496E-3</v>
      </c>
    </row>
    <row r="270" spans="2:5" ht="15" customHeight="1" x14ac:dyDescent="0.25">
      <c r="B270" s="94"/>
      <c r="C270" s="47" t="s">
        <v>178</v>
      </c>
      <c r="D270" s="48">
        <v>1</v>
      </c>
      <c r="E270" s="49">
        <v>7.7519379844961239E-4</v>
      </c>
    </row>
    <row r="271" spans="2:5" ht="15" customHeight="1" x14ac:dyDescent="0.25">
      <c r="B271" s="95"/>
      <c r="C271" s="50" t="s">
        <v>63</v>
      </c>
      <c r="D271" s="51">
        <v>20</v>
      </c>
      <c r="E271" s="52">
        <v>1.5503875968992248E-2</v>
      </c>
    </row>
    <row r="272" spans="2:5" ht="15" customHeight="1" x14ac:dyDescent="0.25">
      <c r="B272" s="96" t="s">
        <v>63</v>
      </c>
      <c r="C272" s="97"/>
      <c r="D272" s="53">
        <v>1290</v>
      </c>
      <c r="E272" s="54">
        <v>1</v>
      </c>
    </row>
    <row r="274" spans="2:2" ht="15" customHeight="1" x14ac:dyDescent="0.25">
      <c r="B274" s="30" t="s">
        <v>64</v>
      </c>
    </row>
    <row r="275" spans="2:2" ht="15" customHeight="1" x14ac:dyDescent="0.25">
      <c r="B275" s="31" t="s">
        <v>65</v>
      </c>
    </row>
    <row r="276" spans="2:2" ht="15" customHeight="1" x14ac:dyDescent="0.25">
      <c r="B276" s="32" t="s">
        <v>66</v>
      </c>
    </row>
    <row r="277" spans="2:2" ht="15" customHeight="1" x14ac:dyDescent="0.25">
      <c r="B277" s="30" t="s">
        <v>67</v>
      </c>
    </row>
    <row r="278" spans="2:2" ht="15" customHeight="1" x14ac:dyDescent="0.25">
      <c r="B278" s="30" t="s">
        <v>68</v>
      </c>
    </row>
  </sheetData>
  <mergeCells count="45">
    <mergeCell ref="B72:B75"/>
    <mergeCell ref="B7:E8"/>
    <mergeCell ref="B10:B12"/>
    <mergeCell ref="B13:B20"/>
    <mergeCell ref="B21:B29"/>
    <mergeCell ref="B30:B34"/>
    <mergeCell ref="B35:B36"/>
    <mergeCell ref="B37:B43"/>
    <mergeCell ref="B44:B51"/>
    <mergeCell ref="B52:B57"/>
    <mergeCell ref="B58:B65"/>
    <mergeCell ref="B66:B71"/>
    <mergeCell ref="B148:B152"/>
    <mergeCell ref="B76:B78"/>
    <mergeCell ref="B79:B85"/>
    <mergeCell ref="B86:B92"/>
    <mergeCell ref="B93:B100"/>
    <mergeCell ref="B101:B106"/>
    <mergeCell ref="B107:B112"/>
    <mergeCell ref="B113:B117"/>
    <mergeCell ref="B118:B125"/>
    <mergeCell ref="B126:B134"/>
    <mergeCell ref="B135:B140"/>
    <mergeCell ref="B141:B147"/>
    <mergeCell ref="B218:B221"/>
    <mergeCell ref="B153:B159"/>
    <mergeCell ref="B160:B164"/>
    <mergeCell ref="B165:B171"/>
    <mergeCell ref="B172:B180"/>
    <mergeCell ref="B181:B186"/>
    <mergeCell ref="B187:B189"/>
    <mergeCell ref="B190:B195"/>
    <mergeCell ref="B196:B197"/>
    <mergeCell ref="B198:B206"/>
    <mergeCell ref="B207:B212"/>
    <mergeCell ref="B213:B217"/>
    <mergeCell ref="B259:B264"/>
    <mergeCell ref="B265:B271"/>
    <mergeCell ref="B272:C272"/>
    <mergeCell ref="B222:B226"/>
    <mergeCell ref="B227:B232"/>
    <mergeCell ref="B233:B235"/>
    <mergeCell ref="B236:B244"/>
    <mergeCell ref="B245:B250"/>
    <mergeCell ref="B251:B2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51" max="4" man="1"/>
    <brk id="92" max="4" man="1"/>
    <brk id="134" max="4" man="1"/>
    <brk id="171" max="4" man="1"/>
    <brk id="212" max="4" man="1"/>
    <brk id="25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I12" sqref="I12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69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70</v>
      </c>
      <c r="C11" s="19" t="s">
        <v>71</v>
      </c>
      <c r="D11" s="20" t="s">
        <v>22</v>
      </c>
    </row>
    <row r="12" spans="1:4" ht="15" customHeight="1" x14ac:dyDescent="0.25">
      <c r="B12" s="22" t="s">
        <v>72</v>
      </c>
      <c r="C12" s="23">
        <v>0</v>
      </c>
      <c r="D12" s="24">
        <f t="shared" ref="D12:D36" si="0">C12/$C$36</f>
        <v>0</v>
      </c>
    </row>
    <row r="13" spans="1:4" x14ac:dyDescent="0.25">
      <c r="B13" s="22" t="s">
        <v>73</v>
      </c>
      <c r="C13" s="23">
        <v>17</v>
      </c>
      <c r="D13" s="24">
        <f t="shared" si="0"/>
        <v>1.3178294573643411E-2</v>
      </c>
    </row>
    <row r="14" spans="1:4" s="25" customFormat="1" ht="15.75" x14ac:dyDescent="0.25">
      <c r="A14" s="21"/>
      <c r="B14" s="22" t="s">
        <v>74</v>
      </c>
      <c r="C14" s="23">
        <v>11</v>
      </c>
      <c r="D14" s="24">
        <f t="shared" si="0"/>
        <v>8.5271317829457363E-3</v>
      </c>
    </row>
    <row r="15" spans="1:4" s="25" customFormat="1" ht="15.75" x14ac:dyDescent="0.25">
      <c r="A15" s="21"/>
      <c r="B15" s="22" t="s">
        <v>75</v>
      </c>
      <c r="C15" s="23">
        <v>12</v>
      </c>
      <c r="D15" s="24">
        <f t="shared" si="0"/>
        <v>9.3023255813953487E-3</v>
      </c>
    </row>
    <row r="16" spans="1:4" x14ac:dyDescent="0.25">
      <c r="B16" s="22" t="s">
        <v>76</v>
      </c>
      <c r="C16" s="23">
        <v>17</v>
      </c>
      <c r="D16" s="24">
        <f t="shared" si="0"/>
        <v>1.3178294573643411E-2</v>
      </c>
    </row>
    <row r="17" spans="2:4" x14ac:dyDescent="0.25">
      <c r="B17" s="22" t="s">
        <v>77</v>
      </c>
      <c r="C17" s="23">
        <v>23</v>
      </c>
      <c r="D17" s="24">
        <f t="shared" si="0"/>
        <v>1.7829457364341085E-2</v>
      </c>
    </row>
    <row r="18" spans="2:4" x14ac:dyDescent="0.25">
      <c r="B18" s="22" t="s">
        <v>78</v>
      </c>
      <c r="C18" s="23">
        <v>13</v>
      </c>
      <c r="D18" s="24">
        <f t="shared" si="0"/>
        <v>1.0077519379844961E-2</v>
      </c>
    </row>
    <row r="19" spans="2:4" x14ac:dyDescent="0.25">
      <c r="B19" s="22" t="s">
        <v>79</v>
      </c>
      <c r="C19" s="23">
        <v>101</v>
      </c>
      <c r="D19" s="24">
        <f t="shared" si="0"/>
        <v>7.8294573643410859E-2</v>
      </c>
    </row>
    <row r="20" spans="2:4" ht="27" x14ac:dyDescent="0.25">
      <c r="B20" s="22" t="s">
        <v>80</v>
      </c>
      <c r="C20" s="23">
        <v>170</v>
      </c>
      <c r="D20" s="24">
        <f t="shared" si="0"/>
        <v>0.13178294573643412</v>
      </c>
    </row>
    <row r="21" spans="2:4" x14ac:dyDescent="0.25">
      <c r="B21" s="22" t="s">
        <v>81</v>
      </c>
      <c r="C21" s="23">
        <v>20</v>
      </c>
      <c r="D21" s="24">
        <f t="shared" si="0"/>
        <v>1.5503875968992248E-2</v>
      </c>
    </row>
    <row r="22" spans="2:4" x14ac:dyDescent="0.25">
      <c r="B22" s="22" t="s">
        <v>82</v>
      </c>
      <c r="C22" s="23">
        <v>37</v>
      </c>
      <c r="D22" s="24">
        <f t="shared" si="0"/>
        <v>2.8682170542635659E-2</v>
      </c>
    </row>
    <row r="23" spans="2:4" x14ac:dyDescent="0.25">
      <c r="B23" s="22" t="s">
        <v>83</v>
      </c>
      <c r="C23" s="23">
        <v>55</v>
      </c>
      <c r="D23" s="24">
        <f t="shared" si="0"/>
        <v>4.2635658914728682E-2</v>
      </c>
    </row>
    <row r="24" spans="2:4" ht="27" x14ac:dyDescent="0.25">
      <c r="B24" s="22" t="s">
        <v>84</v>
      </c>
      <c r="C24" s="23">
        <v>431</v>
      </c>
      <c r="D24" s="24">
        <f t="shared" si="0"/>
        <v>0.33410852713178296</v>
      </c>
    </row>
    <row r="25" spans="2:4" x14ac:dyDescent="0.25">
      <c r="B25" s="22" t="s">
        <v>85</v>
      </c>
      <c r="C25" s="23">
        <v>23</v>
      </c>
      <c r="D25" s="24">
        <f t="shared" si="0"/>
        <v>1.7829457364341085E-2</v>
      </c>
    </row>
    <row r="26" spans="2:4" ht="27" x14ac:dyDescent="0.25">
      <c r="B26" s="22" t="s">
        <v>86</v>
      </c>
      <c r="C26" s="23">
        <v>78</v>
      </c>
      <c r="D26" s="24">
        <f t="shared" si="0"/>
        <v>6.0465116279069767E-2</v>
      </c>
    </row>
    <row r="27" spans="2:4" ht="27" x14ac:dyDescent="0.25">
      <c r="B27" s="22" t="s">
        <v>87</v>
      </c>
      <c r="C27" s="23">
        <v>220</v>
      </c>
      <c r="D27" s="24">
        <f t="shared" si="0"/>
        <v>0.17054263565891473</v>
      </c>
    </row>
    <row r="28" spans="2:4" x14ac:dyDescent="0.25">
      <c r="B28" s="22" t="s">
        <v>88</v>
      </c>
      <c r="C28" s="23">
        <v>4</v>
      </c>
      <c r="D28" s="24">
        <f t="shared" si="0"/>
        <v>3.1007751937984496E-3</v>
      </c>
    </row>
    <row r="29" spans="2:4" x14ac:dyDescent="0.25">
      <c r="B29" s="22" t="s">
        <v>89</v>
      </c>
      <c r="C29" s="23">
        <v>3</v>
      </c>
      <c r="D29" s="24">
        <f t="shared" si="0"/>
        <v>2.3255813953488372E-3</v>
      </c>
    </row>
    <row r="30" spans="2:4" x14ac:dyDescent="0.25">
      <c r="B30" s="22" t="s">
        <v>90</v>
      </c>
      <c r="C30" s="23">
        <v>1</v>
      </c>
      <c r="D30" s="24">
        <f t="shared" si="0"/>
        <v>7.7519379844961239E-4</v>
      </c>
    </row>
    <row r="31" spans="2:4" x14ac:dyDescent="0.25">
      <c r="B31" s="22" t="s">
        <v>91</v>
      </c>
      <c r="C31" s="23">
        <v>0</v>
      </c>
      <c r="D31" s="24">
        <f t="shared" si="0"/>
        <v>0</v>
      </c>
    </row>
    <row r="32" spans="2:4" x14ac:dyDescent="0.25">
      <c r="B32" s="22" t="s">
        <v>92</v>
      </c>
      <c r="C32" s="23">
        <v>17</v>
      </c>
      <c r="D32" s="24">
        <f t="shared" si="0"/>
        <v>1.3178294573643411E-2</v>
      </c>
    </row>
    <row r="33" spans="1:4" x14ac:dyDescent="0.25">
      <c r="B33" s="22" t="s">
        <v>93</v>
      </c>
      <c r="C33" s="23">
        <v>34</v>
      </c>
      <c r="D33" s="24">
        <f t="shared" si="0"/>
        <v>2.6356589147286821E-2</v>
      </c>
    </row>
    <row r="34" spans="1:4" x14ac:dyDescent="0.25">
      <c r="B34" s="22" t="s">
        <v>94</v>
      </c>
      <c r="C34" s="23">
        <v>2</v>
      </c>
      <c r="D34" s="24">
        <f t="shared" si="0"/>
        <v>1.5503875968992248E-3</v>
      </c>
    </row>
    <row r="35" spans="1:4" x14ac:dyDescent="0.25">
      <c r="B35" s="22" t="s">
        <v>95</v>
      </c>
      <c r="C35" s="23">
        <v>1</v>
      </c>
      <c r="D35" s="24">
        <f t="shared" si="0"/>
        <v>7.7519379844961239E-4</v>
      </c>
    </row>
    <row r="36" spans="1:4" x14ac:dyDescent="0.25">
      <c r="B36" s="26" t="s">
        <v>63</v>
      </c>
      <c r="C36" s="27">
        <v>1290</v>
      </c>
      <c r="D36" s="28">
        <f t="shared" si="0"/>
        <v>1</v>
      </c>
    </row>
    <row r="38" spans="1:4" x14ac:dyDescent="0.25">
      <c r="A38" s="33" t="s">
        <v>96</v>
      </c>
    </row>
    <row r="39" spans="1:4" x14ac:dyDescent="0.25">
      <c r="A39" s="33" t="s">
        <v>65</v>
      </c>
    </row>
    <row r="40" spans="1:4" x14ac:dyDescent="0.25">
      <c r="A40" s="33" t="s">
        <v>66</v>
      </c>
    </row>
    <row r="41" spans="1:4" x14ac:dyDescent="0.25">
      <c r="A41" s="33" t="s">
        <v>67</v>
      </c>
    </row>
    <row r="42" spans="1:4" x14ac:dyDescent="0.25">
      <c r="A42" s="33" t="s">
        <v>68</v>
      </c>
    </row>
    <row r="43" spans="1:4" x14ac:dyDescent="0.25">
      <c r="A43" s="33"/>
    </row>
    <row r="44" spans="1:4" x14ac:dyDescent="0.25">
      <c r="A44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26"/>
  <sheetViews>
    <sheetView zoomScale="145" zoomScaleNormal="145" zoomScaleSheetLayoutView="85" workbookViewId="0">
      <selection activeCell="F5" sqref="F5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8"/>
      <c r="C7" s="98"/>
      <c r="D7" s="98"/>
      <c r="E7" s="98"/>
    </row>
    <row r="8" spans="1:5" s="39" customFormat="1" ht="33" customHeight="1" x14ac:dyDescent="0.3">
      <c r="A8" s="42"/>
      <c r="B8" s="98"/>
      <c r="C8" s="98"/>
      <c r="D8" s="98"/>
      <c r="E8" s="98"/>
    </row>
    <row r="9" spans="1:5" s="14" customFormat="1" ht="40.5" customHeight="1" x14ac:dyDescent="0.2">
      <c r="B9" s="43" t="s">
        <v>140</v>
      </c>
      <c r="C9" s="44" t="s">
        <v>141</v>
      </c>
      <c r="D9" s="45" t="s">
        <v>21</v>
      </c>
      <c r="E9" s="43" t="s">
        <v>22</v>
      </c>
    </row>
    <row r="10" spans="1:5" ht="15" customHeight="1" x14ac:dyDescent="0.25">
      <c r="B10" s="93" t="s">
        <v>73</v>
      </c>
      <c r="C10" s="47" t="s">
        <v>24</v>
      </c>
      <c r="D10" s="48">
        <v>7</v>
      </c>
      <c r="E10" s="49">
        <v>5.4263565891472867E-3</v>
      </c>
    </row>
    <row r="11" spans="1:5" ht="15" customHeight="1" x14ac:dyDescent="0.25">
      <c r="B11" s="94"/>
      <c r="C11" s="47" t="s">
        <v>45</v>
      </c>
      <c r="D11" s="48">
        <v>1</v>
      </c>
      <c r="E11" s="49">
        <v>7.7519379844961239E-4</v>
      </c>
    </row>
    <row r="12" spans="1:5" ht="15" customHeight="1" x14ac:dyDescent="0.25">
      <c r="B12" s="94"/>
      <c r="C12" s="47" t="s">
        <v>42</v>
      </c>
      <c r="D12" s="48">
        <v>1</v>
      </c>
      <c r="E12" s="49">
        <v>7.7519379844961239E-4</v>
      </c>
    </row>
    <row r="13" spans="1:5" ht="15" customHeight="1" x14ac:dyDescent="0.25">
      <c r="B13" s="94"/>
      <c r="C13" s="47" t="s">
        <v>48</v>
      </c>
      <c r="D13" s="48">
        <v>1</v>
      </c>
      <c r="E13" s="49">
        <v>7.7519379844961239E-4</v>
      </c>
    </row>
    <row r="14" spans="1:5" ht="15" customHeight="1" x14ac:dyDescent="0.25">
      <c r="B14" s="94"/>
      <c r="C14" s="47" t="s">
        <v>35</v>
      </c>
      <c r="D14" s="48">
        <v>2</v>
      </c>
      <c r="E14" s="49">
        <v>1.5503875968992248E-3</v>
      </c>
    </row>
    <row r="15" spans="1:5" ht="15" customHeight="1" x14ac:dyDescent="0.25">
      <c r="B15" s="94"/>
      <c r="C15" s="47" t="s">
        <v>26</v>
      </c>
      <c r="D15" s="48">
        <v>1</v>
      </c>
      <c r="E15" s="49">
        <v>7.7519379844961239E-4</v>
      </c>
    </row>
    <row r="16" spans="1:5" ht="15" customHeight="1" x14ac:dyDescent="0.25">
      <c r="B16" s="94"/>
      <c r="C16" s="47" t="s">
        <v>27</v>
      </c>
      <c r="D16" s="48">
        <v>1</v>
      </c>
      <c r="E16" s="49">
        <v>7.7519379844961239E-4</v>
      </c>
    </row>
    <row r="17" spans="2:5" ht="15" customHeight="1" x14ac:dyDescent="0.25">
      <c r="B17" s="94"/>
      <c r="C17" s="47" t="s">
        <v>43</v>
      </c>
      <c r="D17" s="48">
        <v>1</v>
      </c>
      <c r="E17" s="49">
        <v>7.7519379844961239E-4</v>
      </c>
    </row>
    <row r="18" spans="2:5" ht="15" customHeight="1" x14ac:dyDescent="0.25">
      <c r="B18" s="94"/>
      <c r="C18" s="47" t="s">
        <v>23</v>
      </c>
      <c r="D18" s="48">
        <v>2</v>
      </c>
      <c r="E18" s="49">
        <v>1.5503875968992248E-3</v>
      </c>
    </row>
    <row r="19" spans="2:5" ht="15" customHeight="1" x14ac:dyDescent="0.25">
      <c r="B19" s="95"/>
      <c r="C19" s="50" t="s">
        <v>63</v>
      </c>
      <c r="D19" s="51">
        <v>17</v>
      </c>
      <c r="E19" s="52">
        <v>1.3178294573643411E-2</v>
      </c>
    </row>
    <row r="20" spans="2:5" ht="15" customHeight="1" x14ac:dyDescent="0.25">
      <c r="B20" s="93" t="s">
        <v>74</v>
      </c>
      <c r="C20" s="47" t="s">
        <v>57</v>
      </c>
      <c r="D20" s="48">
        <v>1</v>
      </c>
      <c r="E20" s="49">
        <v>7.7519379844961239E-4</v>
      </c>
    </row>
    <row r="21" spans="2:5" ht="15" customHeight="1" x14ac:dyDescent="0.25">
      <c r="B21" s="94"/>
      <c r="C21" s="47" t="s">
        <v>25</v>
      </c>
      <c r="D21" s="48">
        <v>3</v>
      </c>
      <c r="E21" s="49">
        <v>2.3255813953488372E-3</v>
      </c>
    </row>
    <row r="22" spans="2:5" ht="15" customHeight="1" x14ac:dyDescent="0.25">
      <c r="B22" s="94"/>
      <c r="C22" s="47" t="s">
        <v>47</v>
      </c>
      <c r="D22" s="48">
        <v>1</v>
      </c>
      <c r="E22" s="49">
        <v>7.7519379844961239E-4</v>
      </c>
    </row>
    <row r="23" spans="2:5" ht="15" customHeight="1" x14ac:dyDescent="0.25">
      <c r="B23" s="94"/>
      <c r="C23" s="47" t="s">
        <v>39</v>
      </c>
      <c r="D23" s="48">
        <v>1</v>
      </c>
      <c r="E23" s="49">
        <v>7.7519379844961239E-4</v>
      </c>
    </row>
    <row r="24" spans="2:5" ht="15" customHeight="1" x14ac:dyDescent="0.25">
      <c r="B24" s="94"/>
      <c r="C24" s="47" t="s">
        <v>44</v>
      </c>
      <c r="D24" s="48">
        <v>1</v>
      </c>
      <c r="E24" s="49">
        <v>7.7519379844961239E-4</v>
      </c>
    </row>
    <row r="25" spans="2:5" ht="15" customHeight="1" x14ac:dyDescent="0.25">
      <c r="B25" s="94"/>
      <c r="C25" s="47" t="s">
        <v>23</v>
      </c>
      <c r="D25" s="48">
        <v>3</v>
      </c>
      <c r="E25" s="49">
        <v>2.3255813953488372E-3</v>
      </c>
    </row>
    <row r="26" spans="2:5" ht="15" customHeight="1" x14ac:dyDescent="0.25">
      <c r="B26" s="94"/>
      <c r="C26" s="47" t="s">
        <v>41</v>
      </c>
      <c r="D26" s="48">
        <v>1</v>
      </c>
      <c r="E26" s="49">
        <v>7.7519379844961239E-4</v>
      </c>
    </row>
    <row r="27" spans="2:5" ht="15" customHeight="1" x14ac:dyDescent="0.25">
      <c r="B27" s="95"/>
      <c r="C27" s="50" t="s">
        <v>63</v>
      </c>
      <c r="D27" s="51">
        <v>11</v>
      </c>
      <c r="E27" s="52">
        <v>8.5271317829457363E-3</v>
      </c>
    </row>
    <row r="28" spans="2:5" ht="15" customHeight="1" x14ac:dyDescent="0.25">
      <c r="B28" s="93" t="s">
        <v>75</v>
      </c>
      <c r="C28" s="47" t="s">
        <v>24</v>
      </c>
      <c r="D28" s="48">
        <v>3</v>
      </c>
      <c r="E28" s="49">
        <v>2.3255813953488372E-3</v>
      </c>
    </row>
    <row r="29" spans="2:5" ht="15" customHeight="1" x14ac:dyDescent="0.25">
      <c r="B29" s="94"/>
      <c r="C29" s="47" t="s">
        <v>25</v>
      </c>
      <c r="D29" s="48">
        <v>1</v>
      </c>
      <c r="E29" s="49">
        <v>7.7519379844961239E-4</v>
      </c>
    </row>
    <row r="30" spans="2:5" ht="15" customHeight="1" x14ac:dyDescent="0.25">
      <c r="B30" s="94"/>
      <c r="C30" s="47" t="s">
        <v>30</v>
      </c>
      <c r="D30" s="48">
        <v>1</v>
      </c>
      <c r="E30" s="49">
        <v>7.7519379844961239E-4</v>
      </c>
    </row>
    <row r="31" spans="2:5" ht="15" customHeight="1" x14ac:dyDescent="0.25">
      <c r="B31" s="94"/>
      <c r="C31" s="47" t="s">
        <v>27</v>
      </c>
      <c r="D31" s="48">
        <v>1</v>
      </c>
      <c r="E31" s="49">
        <v>7.7519379844961239E-4</v>
      </c>
    </row>
    <row r="32" spans="2:5" ht="15" customHeight="1" x14ac:dyDescent="0.25">
      <c r="B32" s="94"/>
      <c r="C32" s="47" t="s">
        <v>43</v>
      </c>
      <c r="D32" s="48">
        <v>1</v>
      </c>
      <c r="E32" s="49">
        <v>7.7519379844961239E-4</v>
      </c>
    </row>
    <row r="33" spans="2:5" ht="15" customHeight="1" x14ac:dyDescent="0.25">
      <c r="B33" s="94"/>
      <c r="C33" s="47" t="s">
        <v>60</v>
      </c>
      <c r="D33" s="48">
        <v>1</v>
      </c>
      <c r="E33" s="49">
        <v>7.7519379844961239E-4</v>
      </c>
    </row>
    <row r="34" spans="2:5" ht="15" customHeight="1" x14ac:dyDescent="0.25">
      <c r="B34" s="94"/>
      <c r="C34" s="47" t="s">
        <v>23</v>
      </c>
      <c r="D34" s="48">
        <v>2</v>
      </c>
      <c r="E34" s="49">
        <v>1.5503875968992248E-3</v>
      </c>
    </row>
    <row r="35" spans="2:5" ht="15" customHeight="1" x14ac:dyDescent="0.25">
      <c r="B35" s="94"/>
      <c r="C35" s="47" t="s">
        <v>40</v>
      </c>
      <c r="D35" s="48">
        <v>2</v>
      </c>
      <c r="E35" s="49">
        <v>1.5503875968992248E-3</v>
      </c>
    </row>
    <row r="36" spans="2:5" ht="15" customHeight="1" x14ac:dyDescent="0.25">
      <c r="B36" s="95"/>
      <c r="C36" s="50" t="s">
        <v>63</v>
      </c>
      <c r="D36" s="51">
        <v>12</v>
      </c>
      <c r="E36" s="52">
        <v>9.3023255813953487E-3</v>
      </c>
    </row>
    <row r="37" spans="2:5" ht="15" customHeight="1" x14ac:dyDescent="0.25">
      <c r="B37" s="93" t="s">
        <v>76</v>
      </c>
      <c r="C37" s="47" t="s">
        <v>24</v>
      </c>
      <c r="D37" s="48">
        <v>3</v>
      </c>
      <c r="E37" s="49">
        <v>2.3255813953488372E-3</v>
      </c>
    </row>
    <row r="38" spans="2:5" ht="15" customHeight="1" x14ac:dyDescent="0.25">
      <c r="B38" s="94"/>
      <c r="C38" s="47" t="s">
        <v>25</v>
      </c>
      <c r="D38" s="48">
        <v>1</v>
      </c>
      <c r="E38" s="49">
        <v>7.7519379844961239E-4</v>
      </c>
    </row>
    <row r="39" spans="2:5" ht="15" customHeight="1" x14ac:dyDescent="0.25">
      <c r="B39" s="94"/>
      <c r="C39" s="47" t="s">
        <v>30</v>
      </c>
      <c r="D39" s="48">
        <v>2</v>
      </c>
      <c r="E39" s="49">
        <v>1.5503875968992248E-3</v>
      </c>
    </row>
    <row r="40" spans="2:5" ht="15" customHeight="1" x14ac:dyDescent="0.25">
      <c r="B40" s="94"/>
      <c r="C40" s="47" t="s">
        <v>47</v>
      </c>
      <c r="D40" s="48">
        <v>1</v>
      </c>
      <c r="E40" s="49">
        <v>7.7519379844961239E-4</v>
      </c>
    </row>
    <row r="41" spans="2:5" ht="15" customHeight="1" x14ac:dyDescent="0.25">
      <c r="B41" s="94"/>
      <c r="C41" s="47" t="s">
        <v>34</v>
      </c>
      <c r="D41" s="48">
        <v>1</v>
      </c>
      <c r="E41" s="49">
        <v>7.7519379844961239E-4</v>
      </c>
    </row>
    <row r="42" spans="2:5" ht="15" customHeight="1" x14ac:dyDescent="0.25">
      <c r="B42" s="94"/>
      <c r="C42" s="47" t="s">
        <v>42</v>
      </c>
      <c r="D42" s="48">
        <v>2</v>
      </c>
      <c r="E42" s="49">
        <v>1.5503875968992248E-3</v>
      </c>
    </row>
    <row r="43" spans="2:5" ht="15" customHeight="1" x14ac:dyDescent="0.25">
      <c r="B43" s="94"/>
      <c r="C43" s="47" t="s">
        <v>26</v>
      </c>
      <c r="D43" s="48">
        <v>2</v>
      </c>
      <c r="E43" s="49">
        <v>1.5503875968992248E-3</v>
      </c>
    </row>
    <row r="44" spans="2:5" ht="15" customHeight="1" x14ac:dyDescent="0.25">
      <c r="B44" s="94"/>
      <c r="C44" s="47" t="s">
        <v>43</v>
      </c>
      <c r="D44" s="48">
        <v>1</v>
      </c>
      <c r="E44" s="49">
        <v>7.7519379844961239E-4</v>
      </c>
    </row>
    <row r="45" spans="2:5" ht="15" customHeight="1" x14ac:dyDescent="0.25">
      <c r="B45" s="94"/>
      <c r="C45" s="47" t="s">
        <v>23</v>
      </c>
      <c r="D45" s="48">
        <v>2</v>
      </c>
      <c r="E45" s="49">
        <v>1.5503875968992248E-3</v>
      </c>
    </row>
    <row r="46" spans="2:5" ht="15" customHeight="1" x14ac:dyDescent="0.25">
      <c r="B46" s="94"/>
      <c r="C46" s="47" t="s">
        <v>40</v>
      </c>
      <c r="D46" s="48">
        <v>1</v>
      </c>
      <c r="E46" s="49">
        <v>7.7519379844961239E-4</v>
      </c>
    </row>
    <row r="47" spans="2:5" ht="15" customHeight="1" x14ac:dyDescent="0.25">
      <c r="B47" s="94"/>
      <c r="C47" s="47" t="s">
        <v>41</v>
      </c>
      <c r="D47" s="48">
        <v>1</v>
      </c>
      <c r="E47" s="49">
        <v>7.7519379844961239E-4</v>
      </c>
    </row>
    <row r="48" spans="2:5" ht="15" customHeight="1" x14ac:dyDescent="0.25">
      <c r="B48" s="95"/>
      <c r="C48" s="50" t="s">
        <v>63</v>
      </c>
      <c r="D48" s="51">
        <v>17</v>
      </c>
      <c r="E48" s="52">
        <v>1.3178294573643411E-2</v>
      </c>
    </row>
    <row r="49" spans="2:5" ht="15" customHeight="1" x14ac:dyDescent="0.25">
      <c r="B49" s="93" t="s">
        <v>77</v>
      </c>
      <c r="C49" s="47" t="s">
        <v>29</v>
      </c>
      <c r="D49" s="48">
        <v>1</v>
      </c>
      <c r="E49" s="49">
        <v>7.7519379844961239E-4</v>
      </c>
    </row>
    <row r="50" spans="2:5" ht="15" customHeight="1" x14ac:dyDescent="0.25">
      <c r="B50" s="94"/>
      <c r="C50" s="47" t="s">
        <v>36</v>
      </c>
      <c r="D50" s="48">
        <v>2</v>
      </c>
      <c r="E50" s="49">
        <v>1.5503875968992248E-3</v>
      </c>
    </row>
    <row r="51" spans="2:5" ht="15" customHeight="1" x14ac:dyDescent="0.25">
      <c r="B51" s="94"/>
      <c r="C51" s="47" t="s">
        <v>24</v>
      </c>
      <c r="D51" s="48">
        <v>5</v>
      </c>
      <c r="E51" s="49">
        <v>3.875968992248062E-3</v>
      </c>
    </row>
    <row r="52" spans="2:5" ht="15" customHeight="1" x14ac:dyDescent="0.25">
      <c r="B52" s="94"/>
      <c r="C52" s="47" t="s">
        <v>28</v>
      </c>
      <c r="D52" s="48">
        <v>1</v>
      </c>
      <c r="E52" s="49">
        <v>7.7519379844961239E-4</v>
      </c>
    </row>
    <row r="53" spans="2:5" ht="15" customHeight="1" x14ac:dyDescent="0.25">
      <c r="B53" s="94"/>
      <c r="C53" s="47" t="s">
        <v>25</v>
      </c>
      <c r="D53" s="48">
        <v>2</v>
      </c>
      <c r="E53" s="49">
        <v>1.5503875968992248E-3</v>
      </c>
    </row>
    <row r="54" spans="2:5" ht="15" customHeight="1" x14ac:dyDescent="0.25">
      <c r="B54" s="94"/>
      <c r="C54" s="47" t="s">
        <v>34</v>
      </c>
      <c r="D54" s="48">
        <v>1</v>
      </c>
      <c r="E54" s="49">
        <v>7.7519379844961239E-4</v>
      </c>
    </row>
    <row r="55" spans="2:5" ht="15" customHeight="1" x14ac:dyDescent="0.25">
      <c r="B55" s="94"/>
      <c r="C55" s="47" t="s">
        <v>42</v>
      </c>
      <c r="D55" s="48">
        <v>1</v>
      </c>
      <c r="E55" s="49">
        <v>7.7519379844961239E-4</v>
      </c>
    </row>
    <row r="56" spans="2:5" ht="15" customHeight="1" x14ac:dyDescent="0.25">
      <c r="B56" s="94"/>
      <c r="C56" s="47" t="s">
        <v>26</v>
      </c>
      <c r="D56" s="48">
        <v>4</v>
      </c>
      <c r="E56" s="49">
        <v>3.1007751937984496E-3</v>
      </c>
    </row>
    <row r="57" spans="2:5" ht="15" customHeight="1" x14ac:dyDescent="0.25">
      <c r="B57" s="94"/>
      <c r="C57" s="47" t="s">
        <v>37</v>
      </c>
      <c r="D57" s="48">
        <v>1</v>
      </c>
      <c r="E57" s="49">
        <v>7.7519379844961239E-4</v>
      </c>
    </row>
    <row r="58" spans="2:5" ht="15" customHeight="1" x14ac:dyDescent="0.25">
      <c r="B58" s="94"/>
      <c r="C58" s="47" t="s">
        <v>52</v>
      </c>
      <c r="D58" s="48">
        <v>1</v>
      </c>
      <c r="E58" s="49">
        <v>7.7519379844961239E-4</v>
      </c>
    </row>
    <row r="59" spans="2:5" ht="15" customHeight="1" x14ac:dyDescent="0.25">
      <c r="B59" s="94"/>
      <c r="C59" s="47" t="s">
        <v>27</v>
      </c>
      <c r="D59" s="48">
        <v>1</v>
      </c>
      <c r="E59" s="49">
        <v>7.7519379844961239E-4</v>
      </c>
    </row>
    <row r="60" spans="2:5" ht="15" customHeight="1" x14ac:dyDescent="0.25">
      <c r="B60" s="94"/>
      <c r="C60" s="47" t="s">
        <v>55</v>
      </c>
      <c r="D60" s="48">
        <v>1</v>
      </c>
      <c r="E60" s="49">
        <v>7.7519379844961239E-4</v>
      </c>
    </row>
    <row r="61" spans="2:5" ht="15" customHeight="1" x14ac:dyDescent="0.25">
      <c r="B61" s="94"/>
      <c r="C61" s="47" t="s">
        <v>23</v>
      </c>
      <c r="D61" s="48">
        <v>2</v>
      </c>
      <c r="E61" s="49">
        <v>1.5503875968992248E-3</v>
      </c>
    </row>
    <row r="62" spans="2:5" ht="15" customHeight="1" x14ac:dyDescent="0.25">
      <c r="B62" s="95"/>
      <c r="C62" s="50" t="s">
        <v>63</v>
      </c>
      <c r="D62" s="51">
        <v>23</v>
      </c>
      <c r="E62" s="52">
        <v>1.7829457364341085E-2</v>
      </c>
    </row>
    <row r="63" spans="2:5" ht="15" customHeight="1" x14ac:dyDescent="0.25">
      <c r="B63" s="93" t="s">
        <v>78</v>
      </c>
      <c r="C63" s="47" t="s">
        <v>24</v>
      </c>
      <c r="D63" s="48">
        <v>5</v>
      </c>
      <c r="E63" s="49">
        <v>3.875968992248062E-3</v>
      </c>
    </row>
    <row r="64" spans="2:5" ht="15" customHeight="1" x14ac:dyDescent="0.25">
      <c r="B64" s="94"/>
      <c r="C64" s="47" t="s">
        <v>28</v>
      </c>
      <c r="D64" s="48">
        <v>1</v>
      </c>
      <c r="E64" s="49">
        <v>7.7519379844961239E-4</v>
      </c>
    </row>
    <row r="65" spans="2:5" ht="15" customHeight="1" x14ac:dyDescent="0.25">
      <c r="B65" s="94"/>
      <c r="C65" s="47" t="s">
        <v>30</v>
      </c>
      <c r="D65" s="48">
        <v>1</v>
      </c>
      <c r="E65" s="49">
        <v>7.7519379844961239E-4</v>
      </c>
    </row>
    <row r="66" spans="2:5" ht="15" customHeight="1" x14ac:dyDescent="0.25">
      <c r="B66" s="94"/>
      <c r="C66" s="47" t="s">
        <v>32</v>
      </c>
      <c r="D66" s="48">
        <v>1</v>
      </c>
      <c r="E66" s="49">
        <v>7.7519379844961239E-4</v>
      </c>
    </row>
    <row r="67" spans="2:5" ht="15" customHeight="1" x14ac:dyDescent="0.25">
      <c r="B67" s="94"/>
      <c r="C67" s="47" t="s">
        <v>45</v>
      </c>
      <c r="D67" s="48">
        <v>1</v>
      </c>
      <c r="E67" s="49">
        <v>7.7519379844961239E-4</v>
      </c>
    </row>
    <row r="68" spans="2:5" ht="15" customHeight="1" x14ac:dyDescent="0.25">
      <c r="B68" s="94"/>
      <c r="C68" s="47" t="s">
        <v>26</v>
      </c>
      <c r="D68" s="48">
        <v>1</v>
      </c>
      <c r="E68" s="49">
        <v>7.7519379844961239E-4</v>
      </c>
    </row>
    <row r="69" spans="2:5" ht="15" customHeight="1" x14ac:dyDescent="0.25">
      <c r="B69" s="94"/>
      <c r="C69" s="47" t="s">
        <v>37</v>
      </c>
      <c r="D69" s="48">
        <v>1</v>
      </c>
      <c r="E69" s="49">
        <v>7.7519379844961239E-4</v>
      </c>
    </row>
    <row r="70" spans="2:5" ht="15" customHeight="1" x14ac:dyDescent="0.25">
      <c r="B70" s="94"/>
      <c r="C70" s="47" t="s">
        <v>27</v>
      </c>
      <c r="D70" s="48">
        <v>1</v>
      </c>
      <c r="E70" s="49">
        <v>7.7519379844961239E-4</v>
      </c>
    </row>
    <row r="71" spans="2:5" ht="15" customHeight="1" x14ac:dyDescent="0.25">
      <c r="B71" s="94"/>
      <c r="C71" s="47" t="s">
        <v>23</v>
      </c>
      <c r="D71" s="48">
        <v>1</v>
      </c>
      <c r="E71" s="49">
        <v>7.7519379844961239E-4</v>
      </c>
    </row>
    <row r="72" spans="2:5" ht="15" customHeight="1" x14ac:dyDescent="0.25">
      <c r="B72" s="95"/>
      <c r="C72" s="50" t="s">
        <v>63</v>
      </c>
      <c r="D72" s="51">
        <v>13</v>
      </c>
      <c r="E72" s="52">
        <v>1.0077519379844961E-2</v>
      </c>
    </row>
    <row r="73" spans="2:5" ht="15" customHeight="1" x14ac:dyDescent="0.25">
      <c r="B73" s="93" t="s">
        <v>79</v>
      </c>
      <c r="C73" s="47" t="s">
        <v>29</v>
      </c>
      <c r="D73" s="48">
        <v>2</v>
      </c>
      <c r="E73" s="49">
        <v>1.5503875968992248E-3</v>
      </c>
    </row>
    <row r="74" spans="2:5" ht="15" customHeight="1" x14ac:dyDescent="0.25">
      <c r="B74" s="94"/>
      <c r="C74" s="47" t="s">
        <v>24</v>
      </c>
      <c r="D74" s="48">
        <v>22</v>
      </c>
      <c r="E74" s="49">
        <v>1.7054263565891473E-2</v>
      </c>
    </row>
    <row r="75" spans="2:5" ht="15" customHeight="1" x14ac:dyDescent="0.25">
      <c r="B75" s="94"/>
      <c r="C75" s="47" t="s">
        <v>28</v>
      </c>
      <c r="D75" s="48">
        <v>5</v>
      </c>
      <c r="E75" s="49">
        <v>3.875968992248062E-3</v>
      </c>
    </row>
    <row r="76" spans="2:5" ht="15" customHeight="1" x14ac:dyDescent="0.25">
      <c r="B76" s="94"/>
      <c r="C76" s="47" t="s">
        <v>25</v>
      </c>
      <c r="D76" s="48">
        <v>9</v>
      </c>
      <c r="E76" s="49">
        <v>6.9767441860465115E-3</v>
      </c>
    </row>
    <row r="77" spans="2:5" ht="15" customHeight="1" x14ac:dyDescent="0.25">
      <c r="B77" s="94"/>
      <c r="C77" s="47" t="s">
        <v>30</v>
      </c>
      <c r="D77" s="48">
        <v>1</v>
      </c>
      <c r="E77" s="49">
        <v>7.7519379844961239E-4</v>
      </c>
    </row>
    <row r="78" spans="2:5" ht="15" customHeight="1" x14ac:dyDescent="0.25">
      <c r="B78" s="94"/>
      <c r="C78" s="47" t="s">
        <v>31</v>
      </c>
      <c r="D78" s="48">
        <v>1</v>
      </c>
      <c r="E78" s="49">
        <v>7.7519379844961239E-4</v>
      </c>
    </row>
    <row r="79" spans="2:5" ht="15" customHeight="1" x14ac:dyDescent="0.25">
      <c r="B79" s="94"/>
      <c r="C79" s="47" t="s">
        <v>32</v>
      </c>
      <c r="D79" s="48">
        <v>1</v>
      </c>
      <c r="E79" s="49">
        <v>7.7519379844961239E-4</v>
      </c>
    </row>
    <row r="80" spans="2:5" ht="15" customHeight="1" x14ac:dyDescent="0.25">
      <c r="B80" s="94"/>
      <c r="C80" s="47" t="s">
        <v>34</v>
      </c>
      <c r="D80" s="48">
        <v>4</v>
      </c>
      <c r="E80" s="49">
        <v>3.1007751937984496E-3</v>
      </c>
    </row>
    <row r="81" spans="2:5" ht="15" customHeight="1" x14ac:dyDescent="0.25">
      <c r="B81" s="94"/>
      <c r="C81" s="47" t="s">
        <v>39</v>
      </c>
      <c r="D81" s="48">
        <v>2</v>
      </c>
      <c r="E81" s="49">
        <v>1.5503875968992248E-3</v>
      </c>
    </row>
    <row r="82" spans="2:5" ht="15" customHeight="1" x14ac:dyDescent="0.25">
      <c r="B82" s="94"/>
      <c r="C82" s="47" t="s">
        <v>49</v>
      </c>
      <c r="D82" s="48">
        <v>1</v>
      </c>
      <c r="E82" s="49">
        <v>7.7519379844961239E-4</v>
      </c>
    </row>
    <row r="83" spans="2:5" ht="15" customHeight="1" x14ac:dyDescent="0.25">
      <c r="B83" s="94"/>
      <c r="C83" s="47" t="s">
        <v>35</v>
      </c>
      <c r="D83" s="48">
        <v>3</v>
      </c>
      <c r="E83" s="49">
        <v>2.3255813953488372E-3</v>
      </c>
    </row>
    <row r="84" spans="2:5" ht="15" customHeight="1" x14ac:dyDescent="0.25">
      <c r="B84" s="94"/>
      <c r="C84" s="47" t="s">
        <v>26</v>
      </c>
      <c r="D84" s="48">
        <v>9</v>
      </c>
      <c r="E84" s="49">
        <v>6.9767441860465115E-3</v>
      </c>
    </row>
    <row r="85" spans="2:5" ht="15" customHeight="1" x14ac:dyDescent="0.25">
      <c r="B85" s="94"/>
      <c r="C85" s="47" t="s">
        <v>51</v>
      </c>
      <c r="D85" s="48">
        <v>1</v>
      </c>
      <c r="E85" s="49">
        <v>7.7519379844961239E-4</v>
      </c>
    </row>
    <row r="86" spans="2:5" ht="15" customHeight="1" x14ac:dyDescent="0.25">
      <c r="B86" s="94"/>
      <c r="C86" s="47" t="s">
        <v>27</v>
      </c>
      <c r="D86" s="48">
        <v>3</v>
      </c>
      <c r="E86" s="49">
        <v>2.3255813953488372E-3</v>
      </c>
    </row>
    <row r="87" spans="2:5" ht="15" customHeight="1" x14ac:dyDescent="0.25">
      <c r="B87" s="94"/>
      <c r="C87" s="47" t="s">
        <v>44</v>
      </c>
      <c r="D87" s="48">
        <v>1</v>
      </c>
      <c r="E87" s="49">
        <v>7.7519379844961239E-4</v>
      </c>
    </row>
    <row r="88" spans="2:5" ht="15" customHeight="1" x14ac:dyDescent="0.25">
      <c r="B88" s="94"/>
      <c r="C88" s="47" t="s">
        <v>38</v>
      </c>
      <c r="D88" s="48">
        <v>1</v>
      </c>
      <c r="E88" s="49">
        <v>7.7519379844961239E-4</v>
      </c>
    </row>
    <row r="89" spans="2:5" ht="15" customHeight="1" x14ac:dyDescent="0.25">
      <c r="B89" s="94"/>
      <c r="C89" s="47" t="s">
        <v>55</v>
      </c>
      <c r="D89" s="48">
        <v>1</v>
      </c>
      <c r="E89" s="49">
        <v>7.7519379844961239E-4</v>
      </c>
    </row>
    <row r="90" spans="2:5" ht="15" customHeight="1" x14ac:dyDescent="0.25">
      <c r="B90" s="94"/>
      <c r="C90" s="47" t="s">
        <v>43</v>
      </c>
      <c r="D90" s="48">
        <v>1</v>
      </c>
      <c r="E90" s="49">
        <v>7.7519379844961239E-4</v>
      </c>
    </row>
    <row r="91" spans="2:5" ht="15" customHeight="1" x14ac:dyDescent="0.25">
      <c r="B91" s="94"/>
      <c r="C91" s="47" t="s">
        <v>33</v>
      </c>
      <c r="D91" s="48">
        <v>2</v>
      </c>
      <c r="E91" s="49">
        <v>1.5503875968992248E-3</v>
      </c>
    </row>
    <row r="92" spans="2:5" ht="15" customHeight="1" x14ac:dyDescent="0.25">
      <c r="B92" s="94"/>
      <c r="C92" s="47" t="s">
        <v>23</v>
      </c>
      <c r="D92" s="48">
        <v>28</v>
      </c>
      <c r="E92" s="49">
        <v>2.1705426356589147E-2</v>
      </c>
    </row>
    <row r="93" spans="2:5" ht="15" customHeight="1" x14ac:dyDescent="0.25">
      <c r="B93" s="94"/>
      <c r="C93" s="47" t="s">
        <v>56</v>
      </c>
      <c r="D93" s="48">
        <v>1</v>
      </c>
      <c r="E93" s="49">
        <v>7.7519379844961239E-4</v>
      </c>
    </row>
    <row r="94" spans="2:5" ht="15" customHeight="1" x14ac:dyDescent="0.25">
      <c r="B94" s="94"/>
      <c r="C94" s="47" t="s">
        <v>41</v>
      </c>
      <c r="D94" s="48">
        <v>2</v>
      </c>
      <c r="E94" s="49">
        <v>1.5503875968992248E-3</v>
      </c>
    </row>
    <row r="95" spans="2:5" ht="15" customHeight="1" x14ac:dyDescent="0.25">
      <c r="B95" s="95"/>
      <c r="C95" s="50" t="s">
        <v>63</v>
      </c>
      <c r="D95" s="51">
        <v>101</v>
      </c>
      <c r="E95" s="52">
        <v>7.8294573643410859E-2</v>
      </c>
    </row>
    <row r="96" spans="2:5" ht="15" customHeight="1" x14ac:dyDescent="0.25">
      <c r="B96" s="93" t="s">
        <v>80</v>
      </c>
      <c r="C96" s="47" t="s">
        <v>29</v>
      </c>
      <c r="D96" s="48">
        <v>3</v>
      </c>
      <c r="E96" s="49">
        <v>2.3255813953488372E-3</v>
      </c>
    </row>
    <row r="97" spans="2:5" ht="15" customHeight="1" x14ac:dyDescent="0.25">
      <c r="B97" s="94"/>
      <c r="C97" s="47" t="s">
        <v>54</v>
      </c>
      <c r="D97" s="48">
        <v>1</v>
      </c>
      <c r="E97" s="49">
        <v>7.7519379844961239E-4</v>
      </c>
    </row>
    <row r="98" spans="2:5" ht="15" customHeight="1" x14ac:dyDescent="0.25">
      <c r="B98" s="94"/>
      <c r="C98" s="47" t="s">
        <v>36</v>
      </c>
      <c r="D98" s="48">
        <v>4</v>
      </c>
      <c r="E98" s="49">
        <v>3.1007751937984496E-3</v>
      </c>
    </row>
    <row r="99" spans="2:5" ht="15" customHeight="1" x14ac:dyDescent="0.25">
      <c r="B99" s="94"/>
      <c r="C99" s="47" t="s">
        <v>24</v>
      </c>
      <c r="D99" s="48">
        <v>31</v>
      </c>
      <c r="E99" s="49">
        <v>2.4031007751937984E-2</v>
      </c>
    </row>
    <row r="100" spans="2:5" ht="15" customHeight="1" x14ac:dyDescent="0.25">
      <c r="B100" s="94"/>
      <c r="C100" s="47" t="s">
        <v>28</v>
      </c>
      <c r="D100" s="48">
        <v>10</v>
      </c>
      <c r="E100" s="49">
        <v>7.7519379844961239E-3</v>
      </c>
    </row>
    <row r="101" spans="2:5" ht="15" customHeight="1" x14ac:dyDescent="0.25">
      <c r="B101" s="94"/>
      <c r="C101" s="47" t="s">
        <v>25</v>
      </c>
      <c r="D101" s="48">
        <v>24</v>
      </c>
      <c r="E101" s="49">
        <v>1.8604651162790697E-2</v>
      </c>
    </row>
    <row r="102" spans="2:5" ht="15" customHeight="1" x14ac:dyDescent="0.25">
      <c r="B102" s="94"/>
      <c r="C102" s="47" t="s">
        <v>30</v>
      </c>
      <c r="D102" s="48">
        <v>3</v>
      </c>
      <c r="E102" s="49">
        <v>2.3255813953488372E-3</v>
      </c>
    </row>
    <row r="103" spans="2:5" ht="15" customHeight="1" x14ac:dyDescent="0.25">
      <c r="B103" s="94"/>
      <c r="C103" s="47" t="s">
        <v>47</v>
      </c>
      <c r="D103" s="48">
        <v>2</v>
      </c>
      <c r="E103" s="49">
        <v>1.5503875968992248E-3</v>
      </c>
    </row>
    <row r="104" spans="2:5" ht="15" customHeight="1" x14ac:dyDescent="0.25">
      <c r="B104" s="94"/>
      <c r="C104" s="47" t="s">
        <v>31</v>
      </c>
      <c r="D104" s="48">
        <v>4</v>
      </c>
      <c r="E104" s="49">
        <v>3.1007751937984496E-3</v>
      </c>
    </row>
    <row r="105" spans="2:5" ht="15" customHeight="1" x14ac:dyDescent="0.25">
      <c r="B105" s="94"/>
      <c r="C105" s="47" t="s">
        <v>32</v>
      </c>
      <c r="D105" s="48">
        <v>4</v>
      </c>
      <c r="E105" s="49">
        <v>3.1007751937984496E-3</v>
      </c>
    </row>
    <row r="106" spans="2:5" ht="15" customHeight="1" x14ac:dyDescent="0.25">
      <c r="B106" s="94"/>
      <c r="C106" s="47" t="s">
        <v>39</v>
      </c>
      <c r="D106" s="48">
        <v>1</v>
      </c>
      <c r="E106" s="49">
        <v>7.7519379844961239E-4</v>
      </c>
    </row>
    <row r="107" spans="2:5" ht="15" customHeight="1" x14ac:dyDescent="0.25">
      <c r="B107" s="94"/>
      <c r="C107" s="47" t="s">
        <v>45</v>
      </c>
      <c r="D107" s="48">
        <v>1</v>
      </c>
      <c r="E107" s="49">
        <v>7.7519379844961239E-4</v>
      </c>
    </row>
    <row r="108" spans="2:5" ht="15" customHeight="1" x14ac:dyDescent="0.25">
      <c r="B108" s="94"/>
      <c r="C108" s="47" t="s">
        <v>42</v>
      </c>
      <c r="D108" s="48">
        <v>2</v>
      </c>
      <c r="E108" s="49">
        <v>1.5503875968992248E-3</v>
      </c>
    </row>
    <row r="109" spans="2:5" ht="15" customHeight="1" x14ac:dyDescent="0.25">
      <c r="B109" s="94"/>
      <c r="C109" s="47" t="s">
        <v>58</v>
      </c>
      <c r="D109" s="48">
        <v>1</v>
      </c>
      <c r="E109" s="49">
        <v>7.7519379844961239E-4</v>
      </c>
    </row>
    <row r="110" spans="2:5" ht="15" customHeight="1" x14ac:dyDescent="0.25">
      <c r="B110" s="94"/>
      <c r="C110" s="47" t="s">
        <v>46</v>
      </c>
      <c r="D110" s="48">
        <v>3</v>
      </c>
      <c r="E110" s="49">
        <v>2.3255813953488372E-3</v>
      </c>
    </row>
    <row r="111" spans="2:5" ht="15" customHeight="1" x14ac:dyDescent="0.25">
      <c r="B111" s="94"/>
      <c r="C111" s="47" t="s">
        <v>49</v>
      </c>
      <c r="D111" s="48">
        <v>2</v>
      </c>
      <c r="E111" s="49">
        <v>1.5503875968992248E-3</v>
      </c>
    </row>
    <row r="112" spans="2:5" ht="15" customHeight="1" x14ac:dyDescent="0.25">
      <c r="B112" s="94"/>
      <c r="C112" s="47" t="s">
        <v>35</v>
      </c>
      <c r="D112" s="48">
        <v>4</v>
      </c>
      <c r="E112" s="49">
        <v>3.1007751937984496E-3</v>
      </c>
    </row>
    <row r="113" spans="2:5" ht="15" customHeight="1" x14ac:dyDescent="0.25">
      <c r="B113" s="94"/>
      <c r="C113" s="47" t="s">
        <v>26</v>
      </c>
      <c r="D113" s="48">
        <v>8</v>
      </c>
      <c r="E113" s="49">
        <v>6.2015503875968991E-3</v>
      </c>
    </row>
    <row r="114" spans="2:5" ht="15" customHeight="1" x14ac:dyDescent="0.25">
      <c r="B114" s="94"/>
      <c r="C114" s="47" t="s">
        <v>37</v>
      </c>
      <c r="D114" s="48">
        <v>4</v>
      </c>
      <c r="E114" s="49">
        <v>3.1007751937984496E-3</v>
      </c>
    </row>
    <row r="115" spans="2:5" ht="15" customHeight="1" x14ac:dyDescent="0.25">
      <c r="B115" s="94"/>
      <c r="C115" s="47" t="s">
        <v>51</v>
      </c>
      <c r="D115" s="48">
        <v>2</v>
      </c>
      <c r="E115" s="49">
        <v>1.5503875968992248E-3</v>
      </c>
    </row>
    <row r="116" spans="2:5" ht="15" customHeight="1" x14ac:dyDescent="0.25">
      <c r="B116" s="94"/>
      <c r="C116" s="47" t="s">
        <v>27</v>
      </c>
      <c r="D116" s="48">
        <v>7</v>
      </c>
      <c r="E116" s="49">
        <v>5.4263565891472867E-3</v>
      </c>
    </row>
    <row r="117" spans="2:5" ht="15" customHeight="1" x14ac:dyDescent="0.25">
      <c r="B117" s="94"/>
      <c r="C117" s="47" t="s">
        <v>44</v>
      </c>
      <c r="D117" s="48">
        <v>1</v>
      </c>
      <c r="E117" s="49">
        <v>7.7519379844961239E-4</v>
      </c>
    </row>
    <row r="118" spans="2:5" ht="15" customHeight="1" x14ac:dyDescent="0.25">
      <c r="B118" s="94"/>
      <c r="C118" s="47" t="s">
        <v>38</v>
      </c>
      <c r="D118" s="48">
        <v>3</v>
      </c>
      <c r="E118" s="49">
        <v>2.3255813953488372E-3</v>
      </c>
    </row>
    <row r="119" spans="2:5" ht="15" customHeight="1" x14ac:dyDescent="0.25">
      <c r="B119" s="94"/>
      <c r="C119" s="47" t="s">
        <v>43</v>
      </c>
      <c r="D119" s="48">
        <v>5</v>
      </c>
      <c r="E119" s="49">
        <v>3.875968992248062E-3</v>
      </c>
    </row>
    <row r="120" spans="2:5" ht="15" customHeight="1" x14ac:dyDescent="0.25">
      <c r="B120" s="94"/>
      <c r="C120" s="47" t="s">
        <v>33</v>
      </c>
      <c r="D120" s="48">
        <v>8</v>
      </c>
      <c r="E120" s="49">
        <v>6.2015503875968991E-3</v>
      </c>
    </row>
    <row r="121" spans="2:5" ht="15" customHeight="1" x14ac:dyDescent="0.25">
      <c r="B121" s="94"/>
      <c r="C121" s="47" t="s">
        <v>23</v>
      </c>
      <c r="D121" s="48">
        <v>24</v>
      </c>
      <c r="E121" s="49">
        <v>1.8604651162790697E-2</v>
      </c>
    </row>
    <row r="122" spans="2:5" ht="15" customHeight="1" x14ac:dyDescent="0.25">
      <c r="B122" s="94"/>
      <c r="C122" s="47" t="s">
        <v>40</v>
      </c>
      <c r="D122" s="48">
        <v>3</v>
      </c>
      <c r="E122" s="49">
        <v>2.3255813953488372E-3</v>
      </c>
    </row>
    <row r="123" spans="2:5" ht="15" customHeight="1" x14ac:dyDescent="0.25">
      <c r="B123" s="94"/>
      <c r="C123" s="47" t="s">
        <v>41</v>
      </c>
      <c r="D123" s="48">
        <v>3</v>
      </c>
      <c r="E123" s="49">
        <v>2.3255813953488372E-3</v>
      </c>
    </row>
    <row r="124" spans="2:5" ht="15" customHeight="1" x14ac:dyDescent="0.25">
      <c r="B124" s="94"/>
      <c r="C124" s="47" t="s">
        <v>50</v>
      </c>
      <c r="D124" s="48">
        <v>2</v>
      </c>
      <c r="E124" s="49">
        <v>1.5503875968992248E-3</v>
      </c>
    </row>
    <row r="125" spans="2:5" ht="15" customHeight="1" x14ac:dyDescent="0.25">
      <c r="B125" s="95"/>
      <c r="C125" s="50" t="s">
        <v>63</v>
      </c>
      <c r="D125" s="51">
        <v>170</v>
      </c>
      <c r="E125" s="52">
        <v>0.13178294573643412</v>
      </c>
    </row>
    <row r="126" spans="2:5" ht="15" customHeight="1" x14ac:dyDescent="0.25">
      <c r="B126" s="93" t="s">
        <v>81</v>
      </c>
      <c r="C126" s="47" t="s">
        <v>54</v>
      </c>
      <c r="D126" s="48">
        <v>1</v>
      </c>
      <c r="E126" s="49">
        <v>7.7519379844961239E-4</v>
      </c>
    </row>
    <row r="127" spans="2:5" ht="15" customHeight="1" x14ac:dyDescent="0.25">
      <c r="B127" s="94"/>
      <c r="C127" s="47" t="s">
        <v>36</v>
      </c>
      <c r="D127" s="48">
        <v>1</v>
      </c>
      <c r="E127" s="49">
        <v>7.7519379844961239E-4</v>
      </c>
    </row>
    <row r="128" spans="2:5" ht="15" customHeight="1" x14ac:dyDescent="0.25">
      <c r="B128" s="94"/>
      <c r="C128" s="47" t="s">
        <v>25</v>
      </c>
      <c r="D128" s="48">
        <v>3</v>
      </c>
      <c r="E128" s="49">
        <v>2.3255813953488372E-3</v>
      </c>
    </row>
    <row r="129" spans="2:5" ht="15" customHeight="1" x14ac:dyDescent="0.25">
      <c r="B129" s="94"/>
      <c r="C129" s="47" t="s">
        <v>30</v>
      </c>
      <c r="D129" s="48">
        <v>2</v>
      </c>
      <c r="E129" s="49">
        <v>1.5503875968992248E-3</v>
      </c>
    </row>
    <row r="130" spans="2:5" ht="15" customHeight="1" x14ac:dyDescent="0.25">
      <c r="B130" s="94"/>
      <c r="C130" s="47" t="s">
        <v>48</v>
      </c>
      <c r="D130" s="48">
        <v>1</v>
      </c>
      <c r="E130" s="49">
        <v>7.7519379844961239E-4</v>
      </c>
    </row>
    <row r="131" spans="2:5" ht="15" customHeight="1" x14ac:dyDescent="0.25">
      <c r="B131" s="94"/>
      <c r="C131" s="47" t="s">
        <v>49</v>
      </c>
      <c r="D131" s="48">
        <v>1</v>
      </c>
      <c r="E131" s="49">
        <v>7.7519379844961239E-4</v>
      </c>
    </row>
    <row r="132" spans="2:5" ht="15" customHeight="1" x14ac:dyDescent="0.25">
      <c r="B132" s="94"/>
      <c r="C132" s="47" t="s">
        <v>35</v>
      </c>
      <c r="D132" s="48">
        <v>1</v>
      </c>
      <c r="E132" s="49">
        <v>7.7519379844961239E-4</v>
      </c>
    </row>
    <row r="133" spans="2:5" ht="15" customHeight="1" x14ac:dyDescent="0.25">
      <c r="B133" s="94"/>
      <c r="C133" s="47" t="s">
        <v>26</v>
      </c>
      <c r="D133" s="48">
        <v>3</v>
      </c>
      <c r="E133" s="49">
        <v>2.3255813953488372E-3</v>
      </c>
    </row>
    <row r="134" spans="2:5" ht="15" customHeight="1" x14ac:dyDescent="0.25">
      <c r="B134" s="94"/>
      <c r="C134" s="47" t="s">
        <v>37</v>
      </c>
      <c r="D134" s="48">
        <v>1</v>
      </c>
      <c r="E134" s="49">
        <v>7.7519379844961239E-4</v>
      </c>
    </row>
    <row r="135" spans="2:5" ht="15" customHeight="1" x14ac:dyDescent="0.25">
      <c r="B135" s="94"/>
      <c r="C135" s="47" t="s">
        <v>27</v>
      </c>
      <c r="D135" s="48">
        <v>2</v>
      </c>
      <c r="E135" s="49">
        <v>1.5503875968992248E-3</v>
      </c>
    </row>
    <row r="136" spans="2:5" ht="15" customHeight="1" x14ac:dyDescent="0.25">
      <c r="B136" s="94"/>
      <c r="C136" s="47" t="s">
        <v>23</v>
      </c>
      <c r="D136" s="48">
        <v>4</v>
      </c>
      <c r="E136" s="49">
        <v>3.1007751937984496E-3</v>
      </c>
    </row>
    <row r="137" spans="2:5" ht="15" customHeight="1" x14ac:dyDescent="0.25">
      <c r="B137" s="95"/>
      <c r="C137" s="50" t="s">
        <v>63</v>
      </c>
      <c r="D137" s="51">
        <v>20</v>
      </c>
      <c r="E137" s="52">
        <v>1.5503875968992248E-2</v>
      </c>
    </row>
    <row r="138" spans="2:5" ht="15" customHeight="1" x14ac:dyDescent="0.25">
      <c r="B138" s="93" t="s">
        <v>82</v>
      </c>
      <c r="C138" s="47" t="s">
        <v>29</v>
      </c>
      <c r="D138" s="48">
        <v>3</v>
      </c>
      <c r="E138" s="49">
        <v>2.3255813953488372E-3</v>
      </c>
    </row>
    <row r="139" spans="2:5" ht="15" customHeight="1" x14ac:dyDescent="0.25">
      <c r="B139" s="94"/>
      <c r="C139" s="47" t="s">
        <v>24</v>
      </c>
      <c r="D139" s="48">
        <v>5</v>
      </c>
      <c r="E139" s="49">
        <v>3.875968992248062E-3</v>
      </c>
    </row>
    <row r="140" spans="2:5" ht="15" customHeight="1" x14ac:dyDescent="0.25">
      <c r="B140" s="94"/>
      <c r="C140" s="47" t="s">
        <v>28</v>
      </c>
      <c r="D140" s="48">
        <v>2</v>
      </c>
      <c r="E140" s="49">
        <v>1.5503875968992248E-3</v>
      </c>
    </row>
    <row r="141" spans="2:5" ht="15" customHeight="1" x14ac:dyDescent="0.25">
      <c r="B141" s="94"/>
      <c r="C141" s="47" t="s">
        <v>25</v>
      </c>
      <c r="D141" s="48">
        <v>5</v>
      </c>
      <c r="E141" s="49">
        <v>3.875968992248062E-3</v>
      </c>
    </row>
    <row r="142" spans="2:5" ht="15" customHeight="1" x14ac:dyDescent="0.25">
      <c r="B142" s="94"/>
      <c r="C142" s="47" t="s">
        <v>30</v>
      </c>
      <c r="D142" s="48">
        <v>1</v>
      </c>
      <c r="E142" s="49">
        <v>7.7519379844961239E-4</v>
      </c>
    </row>
    <row r="143" spans="2:5" ht="15" customHeight="1" x14ac:dyDescent="0.25">
      <c r="B143" s="94"/>
      <c r="C143" s="47" t="s">
        <v>31</v>
      </c>
      <c r="D143" s="48">
        <v>1</v>
      </c>
      <c r="E143" s="49">
        <v>7.7519379844961239E-4</v>
      </c>
    </row>
    <row r="144" spans="2:5" ht="15" customHeight="1" x14ac:dyDescent="0.25">
      <c r="B144" s="94"/>
      <c r="C144" s="47" t="s">
        <v>39</v>
      </c>
      <c r="D144" s="48">
        <v>1</v>
      </c>
      <c r="E144" s="49">
        <v>7.7519379844961239E-4</v>
      </c>
    </row>
    <row r="145" spans="2:5" ht="15" customHeight="1" x14ac:dyDescent="0.25">
      <c r="B145" s="94"/>
      <c r="C145" s="47" t="s">
        <v>42</v>
      </c>
      <c r="D145" s="48">
        <v>2</v>
      </c>
      <c r="E145" s="49">
        <v>1.5503875968992248E-3</v>
      </c>
    </row>
    <row r="146" spans="2:5" ht="15" customHeight="1" x14ac:dyDescent="0.25">
      <c r="B146" s="94"/>
      <c r="C146" s="47" t="s">
        <v>26</v>
      </c>
      <c r="D146" s="48">
        <v>5</v>
      </c>
      <c r="E146" s="49">
        <v>3.875968992248062E-3</v>
      </c>
    </row>
    <row r="147" spans="2:5" ht="15" customHeight="1" x14ac:dyDescent="0.25">
      <c r="B147" s="94"/>
      <c r="C147" s="47" t="s">
        <v>37</v>
      </c>
      <c r="D147" s="48">
        <v>1</v>
      </c>
      <c r="E147" s="49">
        <v>7.7519379844961239E-4</v>
      </c>
    </row>
    <row r="148" spans="2:5" ht="15" customHeight="1" x14ac:dyDescent="0.25">
      <c r="B148" s="94"/>
      <c r="C148" s="47" t="s">
        <v>38</v>
      </c>
      <c r="D148" s="48">
        <v>2</v>
      </c>
      <c r="E148" s="49">
        <v>1.5503875968992248E-3</v>
      </c>
    </row>
    <row r="149" spans="2:5" ht="15" customHeight="1" x14ac:dyDescent="0.25">
      <c r="B149" s="94"/>
      <c r="C149" s="47" t="s">
        <v>33</v>
      </c>
      <c r="D149" s="48">
        <v>1</v>
      </c>
      <c r="E149" s="49">
        <v>7.7519379844961239E-4</v>
      </c>
    </row>
    <row r="150" spans="2:5" ht="15" customHeight="1" x14ac:dyDescent="0.25">
      <c r="B150" s="94"/>
      <c r="C150" s="47" t="s">
        <v>23</v>
      </c>
      <c r="D150" s="48">
        <v>7</v>
      </c>
      <c r="E150" s="49">
        <v>5.4263565891472867E-3</v>
      </c>
    </row>
    <row r="151" spans="2:5" ht="15" customHeight="1" x14ac:dyDescent="0.25">
      <c r="B151" s="94"/>
      <c r="C151" s="47" t="s">
        <v>40</v>
      </c>
      <c r="D151" s="48">
        <v>1</v>
      </c>
      <c r="E151" s="49">
        <v>7.7519379844961239E-4</v>
      </c>
    </row>
    <row r="152" spans="2:5" ht="15" customHeight="1" x14ac:dyDescent="0.25">
      <c r="B152" s="95"/>
      <c r="C152" s="50" t="s">
        <v>63</v>
      </c>
      <c r="D152" s="51">
        <v>37</v>
      </c>
      <c r="E152" s="52">
        <v>2.8682170542635659E-2</v>
      </c>
    </row>
    <row r="153" spans="2:5" ht="15" customHeight="1" x14ac:dyDescent="0.25">
      <c r="B153" s="93" t="s">
        <v>83</v>
      </c>
      <c r="C153" s="47" t="s">
        <v>29</v>
      </c>
      <c r="D153" s="48">
        <v>1</v>
      </c>
      <c r="E153" s="49">
        <v>7.7519379844961239E-4</v>
      </c>
    </row>
    <row r="154" spans="2:5" ht="15" customHeight="1" x14ac:dyDescent="0.25">
      <c r="B154" s="94"/>
      <c r="C154" s="47" t="s">
        <v>24</v>
      </c>
      <c r="D154" s="48">
        <v>5</v>
      </c>
      <c r="E154" s="49">
        <v>3.875968992248062E-3</v>
      </c>
    </row>
    <row r="155" spans="2:5" ht="15" customHeight="1" x14ac:dyDescent="0.25">
      <c r="B155" s="94"/>
      <c r="C155" s="47" t="s">
        <v>28</v>
      </c>
      <c r="D155" s="48">
        <v>3</v>
      </c>
      <c r="E155" s="49">
        <v>2.3255813953488372E-3</v>
      </c>
    </row>
    <row r="156" spans="2:5" ht="15" customHeight="1" x14ac:dyDescent="0.25">
      <c r="B156" s="94"/>
      <c r="C156" s="47" t="s">
        <v>25</v>
      </c>
      <c r="D156" s="48">
        <v>4</v>
      </c>
      <c r="E156" s="49">
        <v>3.1007751937984496E-3</v>
      </c>
    </row>
    <row r="157" spans="2:5" ht="15" customHeight="1" x14ac:dyDescent="0.25">
      <c r="B157" s="94"/>
      <c r="C157" s="47" t="s">
        <v>47</v>
      </c>
      <c r="D157" s="48">
        <v>1</v>
      </c>
      <c r="E157" s="49">
        <v>7.7519379844961239E-4</v>
      </c>
    </row>
    <row r="158" spans="2:5" ht="15" customHeight="1" x14ac:dyDescent="0.25">
      <c r="B158" s="94"/>
      <c r="C158" s="47" t="s">
        <v>32</v>
      </c>
      <c r="D158" s="48">
        <v>2</v>
      </c>
      <c r="E158" s="49">
        <v>1.5503875968992248E-3</v>
      </c>
    </row>
    <row r="159" spans="2:5" ht="15" customHeight="1" x14ac:dyDescent="0.25">
      <c r="B159" s="94"/>
      <c r="C159" s="47" t="s">
        <v>39</v>
      </c>
      <c r="D159" s="48">
        <v>4</v>
      </c>
      <c r="E159" s="49">
        <v>3.1007751937984496E-3</v>
      </c>
    </row>
    <row r="160" spans="2:5" ht="15" customHeight="1" x14ac:dyDescent="0.25">
      <c r="B160" s="94"/>
      <c r="C160" s="47" t="s">
        <v>42</v>
      </c>
      <c r="D160" s="48">
        <v>1</v>
      </c>
      <c r="E160" s="49">
        <v>7.7519379844961239E-4</v>
      </c>
    </row>
    <row r="161" spans="2:5" ht="15" customHeight="1" x14ac:dyDescent="0.25">
      <c r="B161" s="94"/>
      <c r="C161" s="47" t="s">
        <v>48</v>
      </c>
      <c r="D161" s="48">
        <v>2</v>
      </c>
      <c r="E161" s="49">
        <v>1.5503875968992248E-3</v>
      </c>
    </row>
    <row r="162" spans="2:5" ht="15" customHeight="1" x14ac:dyDescent="0.25">
      <c r="B162" s="94"/>
      <c r="C162" s="47" t="s">
        <v>35</v>
      </c>
      <c r="D162" s="48">
        <v>1</v>
      </c>
      <c r="E162" s="49">
        <v>7.7519379844961239E-4</v>
      </c>
    </row>
    <row r="163" spans="2:5" ht="15" customHeight="1" x14ac:dyDescent="0.25">
      <c r="B163" s="94"/>
      <c r="C163" s="47" t="s">
        <v>26</v>
      </c>
      <c r="D163" s="48">
        <v>5</v>
      </c>
      <c r="E163" s="49">
        <v>3.875968992248062E-3</v>
      </c>
    </row>
    <row r="164" spans="2:5" ht="15" customHeight="1" x14ac:dyDescent="0.25">
      <c r="B164" s="94"/>
      <c r="C164" s="47" t="s">
        <v>53</v>
      </c>
      <c r="D164" s="48">
        <v>1</v>
      </c>
      <c r="E164" s="49">
        <v>7.7519379844961239E-4</v>
      </c>
    </row>
    <row r="165" spans="2:5" ht="15" customHeight="1" x14ac:dyDescent="0.25">
      <c r="B165" s="94"/>
      <c r="C165" s="47" t="s">
        <v>27</v>
      </c>
      <c r="D165" s="48">
        <v>2</v>
      </c>
      <c r="E165" s="49">
        <v>1.5503875968992248E-3</v>
      </c>
    </row>
    <row r="166" spans="2:5" ht="15" customHeight="1" x14ac:dyDescent="0.25">
      <c r="B166" s="94"/>
      <c r="C166" s="47" t="s">
        <v>23</v>
      </c>
      <c r="D166" s="48">
        <v>17</v>
      </c>
      <c r="E166" s="49">
        <v>1.3178294573643411E-2</v>
      </c>
    </row>
    <row r="167" spans="2:5" ht="15" customHeight="1" x14ac:dyDescent="0.25">
      <c r="B167" s="94"/>
      <c r="C167" s="47" t="s">
        <v>56</v>
      </c>
      <c r="D167" s="48">
        <v>1</v>
      </c>
      <c r="E167" s="49">
        <v>7.7519379844961239E-4</v>
      </c>
    </row>
    <row r="168" spans="2:5" ht="15" customHeight="1" x14ac:dyDescent="0.25">
      <c r="B168" s="94"/>
      <c r="C168" s="47" t="s">
        <v>40</v>
      </c>
      <c r="D168" s="48">
        <v>1</v>
      </c>
      <c r="E168" s="49">
        <v>7.7519379844961239E-4</v>
      </c>
    </row>
    <row r="169" spans="2:5" ht="15" customHeight="1" x14ac:dyDescent="0.25">
      <c r="B169" s="94"/>
      <c r="C169" s="47" t="s">
        <v>41</v>
      </c>
      <c r="D169" s="48">
        <v>2</v>
      </c>
      <c r="E169" s="49">
        <v>1.5503875968992248E-3</v>
      </c>
    </row>
    <row r="170" spans="2:5" ht="15" customHeight="1" x14ac:dyDescent="0.25">
      <c r="B170" s="94"/>
      <c r="C170" s="47" t="s">
        <v>50</v>
      </c>
      <c r="D170" s="48">
        <v>2</v>
      </c>
      <c r="E170" s="49">
        <v>1.5503875968992248E-3</v>
      </c>
    </row>
    <row r="171" spans="2:5" ht="15" customHeight="1" x14ac:dyDescent="0.25">
      <c r="B171" s="95"/>
      <c r="C171" s="50" t="s">
        <v>63</v>
      </c>
      <c r="D171" s="51">
        <v>55</v>
      </c>
      <c r="E171" s="52">
        <v>4.2635658914728682E-2</v>
      </c>
    </row>
    <row r="172" spans="2:5" ht="15" customHeight="1" x14ac:dyDescent="0.25">
      <c r="B172" s="93" t="s">
        <v>84</v>
      </c>
      <c r="C172" s="47" t="s">
        <v>29</v>
      </c>
      <c r="D172" s="48">
        <v>17</v>
      </c>
      <c r="E172" s="49">
        <v>1.3178294573643411E-2</v>
      </c>
    </row>
    <row r="173" spans="2:5" ht="15" customHeight="1" x14ac:dyDescent="0.25">
      <c r="B173" s="94"/>
      <c r="C173" s="47" t="s">
        <v>54</v>
      </c>
      <c r="D173" s="48">
        <v>1</v>
      </c>
      <c r="E173" s="49">
        <v>7.7519379844961239E-4</v>
      </c>
    </row>
    <row r="174" spans="2:5" ht="15" customHeight="1" x14ac:dyDescent="0.25">
      <c r="B174" s="94"/>
      <c r="C174" s="47" t="s">
        <v>36</v>
      </c>
      <c r="D174" s="48">
        <v>5</v>
      </c>
      <c r="E174" s="49">
        <v>3.875968992248062E-3</v>
      </c>
    </row>
    <row r="175" spans="2:5" ht="15" customHeight="1" x14ac:dyDescent="0.25">
      <c r="B175" s="94"/>
      <c r="C175" s="47" t="s">
        <v>24</v>
      </c>
      <c r="D175" s="48">
        <v>93</v>
      </c>
      <c r="E175" s="49">
        <v>7.2093023255813959E-2</v>
      </c>
    </row>
    <row r="176" spans="2:5" ht="15" customHeight="1" x14ac:dyDescent="0.25">
      <c r="B176" s="94"/>
      <c r="C176" s="47" t="s">
        <v>28</v>
      </c>
      <c r="D176" s="48">
        <v>12</v>
      </c>
      <c r="E176" s="49">
        <v>9.3023255813953487E-3</v>
      </c>
    </row>
    <row r="177" spans="2:5" ht="15" customHeight="1" x14ac:dyDescent="0.25">
      <c r="B177" s="94"/>
      <c r="C177" s="47" t="s">
        <v>59</v>
      </c>
      <c r="D177" s="48">
        <v>2</v>
      </c>
      <c r="E177" s="49">
        <v>1.5503875968992248E-3</v>
      </c>
    </row>
    <row r="178" spans="2:5" ht="15" customHeight="1" x14ac:dyDescent="0.25">
      <c r="B178" s="94"/>
      <c r="C178" s="47" t="s">
        <v>57</v>
      </c>
      <c r="D178" s="48">
        <v>1</v>
      </c>
      <c r="E178" s="49">
        <v>7.7519379844961239E-4</v>
      </c>
    </row>
    <row r="179" spans="2:5" ht="15" customHeight="1" x14ac:dyDescent="0.25">
      <c r="B179" s="94"/>
      <c r="C179" s="47" t="s">
        <v>25</v>
      </c>
      <c r="D179" s="48">
        <v>33</v>
      </c>
      <c r="E179" s="49">
        <v>2.5581395348837209E-2</v>
      </c>
    </row>
    <row r="180" spans="2:5" ht="15" customHeight="1" x14ac:dyDescent="0.25">
      <c r="B180" s="94"/>
      <c r="C180" s="47" t="s">
        <v>30</v>
      </c>
      <c r="D180" s="48">
        <v>11</v>
      </c>
      <c r="E180" s="49">
        <v>8.5271317829457363E-3</v>
      </c>
    </row>
    <row r="181" spans="2:5" ht="15" customHeight="1" x14ac:dyDescent="0.25">
      <c r="B181" s="94"/>
      <c r="C181" s="47" t="s">
        <v>47</v>
      </c>
      <c r="D181" s="48">
        <v>4</v>
      </c>
      <c r="E181" s="49">
        <v>3.1007751937984496E-3</v>
      </c>
    </row>
    <row r="182" spans="2:5" ht="15" customHeight="1" x14ac:dyDescent="0.25">
      <c r="B182" s="94"/>
      <c r="C182" s="47" t="s">
        <v>31</v>
      </c>
      <c r="D182" s="48">
        <v>13</v>
      </c>
      <c r="E182" s="49">
        <v>1.0077519379844961E-2</v>
      </c>
    </row>
    <row r="183" spans="2:5" ht="15" customHeight="1" x14ac:dyDescent="0.25">
      <c r="B183" s="94"/>
      <c r="C183" s="47" t="s">
        <v>32</v>
      </c>
      <c r="D183" s="48">
        <v>8</v>
      </c>
      <c r="E183" s="49">
        <v>6.2015503875968991E-3</v>
      </c>
    </row>
    <row r="184" spans="2:5" ht="15" customHeight="1" x14ac:dyDescent="0.25">
      <c r="B184" s="94"/>
      <c r="C184" s="47" t="s">
        <v>34</v>
      </c>
      <c r="D184" s="48">
        <v>11</v>
      </c>
      <c r="E184" s="49">
        <v>8.5271317829457363E-3</v>
      </c>
    </row>
    <row r="185" spans="2:5" ht="15" customHeight="1" x14ac:dyDescent="0.25">
      <c r="B185" s="94"/>
      <c r="C185" s="47" t="s">
        <v>39</v>
      </c>
      <c r="D185" s="48">
        <v>7</v>
      </c>
      <c r="E185" s="49">
        <v>5.4263565891472867E-3</v>
      </c>
    </row>
    <row r="186" spans="2:5" ht="15" customHeight="1" x14ac:dyDescent="0.25">
      <c r="B186" s="94"/>
      <c r="C186" s="47" t="s">
        <v>45</v>
      </c>
      <c r="D186" s="48">
        <v>7</v>
      </c>
      <c r="E186" s="49">
        <v>5.4263565891472867E-3</v>
      </c>
    </row>
    <row r="187" spans="2:5" ht="15" customHeight="1" x14ac:dyDescent="0.25">
      <c r="B187" s="94"/>
      <c r="C187" s="47" t="s">
        <v>42</v>
      </c>
      <c r="D187" s="48">
        <v>1</v>
      </c>
      <c r="E187" s="49">
        <v>7.7519379844961239E-4</v>
      </c>
    </row>
    <row r="188" spans="2:5" ht="15" customHeight="1" x14ac:dyDescent="0.25">
      <c r="B188" s="94"/>
      <c r="C188" s="47" t="s">
        <v>58</v>
      </c>
      <c r="D188" s="48">
        <v>2</v>
      </c>
      <c r="E188" s="49">
        <v>1.5503875968992248E-3</v>
      </c>
    </row>
    <row r="189" spans="2:5" ht="15" customHeight="1" x14ac:dyDescent="0.25">
      <c r="B189" s="94"/>
      <c r="C189" s="47" t="s">
        <v>48</v>
      </c>
      <c r="D189" s="48">
        <v>2</v>
      </c>
      <c r="E189" s="49">
        <v>1.5503875968992248E-3</v>
      </c>
    </row>
    <row r="190" spans="2:5" ht="15" customHeight="1" x14ac:dyDescent="0.25">
      <c r="B190" s="94"/>
      <c r="C190" s="47" t="s">
        <v>46</v>
      </c>
      <c r="D190" s="48">
        <v>3</v>
      </c>
      <c r="E190" s="49">
        <v>2.3255813953488372E-3</v>
      </c>
    </row>
    <row r="191" spans="2:5" ht="15" customHeight="1" x14ac:dyDescent="0.25">
      <c r="B191" s="94"/>
      <c r="C191" s="47" t="s">
        <v>49</v>
      </c>
      <c r="D191" s="48">
        <v>4</v>
      </c>
      <c r="E191" s="49">
        <v>3.1007751937984496E-3</v>
      </c>
    </row>
    <row r="192" spans="2:5" ht="15" customHeight="1" x14ac:dyDescent="0.25">
      <c r="B192" s="94"/>
      <c r="C192" s="47" t="s">
        <v>35</v>
      </c>
      <c r="D192" s="48">
        <v>7</v>
      </c>
      <c r="E192" s="49">
        <v>5.4263565891472867E-3</v>
      </c>
    </row>
    <row r="193" spans="2:5" ht="15" customHeight="1" x14ac:dyDescent="0.25">
      <c r="B193" s="94"/>
      <c r="C193" s="47" t="s">
        <v>26</v>
      </c>
      <c r="D193" s="48">
        <v>27</v>
      </c>
      <c r="E193" s="49">
        <v>2.0930232558139535E-2</v>
      </c>
    </row>
    <row r="194" spans="2:5" ht="15" customHeight="1" x14ac:dyDescent="0.25">
      <c r="B194" s="94"/>
      <c r="C194" s="47" t="s">
        <v>37</v>
      </c>
      <c r="D194" s="48">
        <v>12</v>
      </c>
      <c r="E194" s="49">
        <v>9.3023255813953487E-3</v>
      </c>
    </row>
    <row r="195" spans="2:5" ht="15" customHeight="1" x14ac:dyDescent="0.25">
      <c r="B195" s="94"/>
      <c r="C195" s="47" t="s">
        <v>51</v>
      </c>
      <c r="D195" s="48">
        <v>2</v>
      </c>
      <c r="E195" s="49">
        <v>1.5503875968992248E-3</v>
      </c>
    </row>
    <row r="196" spans="2:5" ht="15" customHeight="1" x14ac:dyDescent="0.25">
      <c r="B196" s="94"/>
      <c r="C196" s="47" t="s">
        <v>53</v>
      </c>
      <c r="D196" s="48">
        <v>2</v>
      </c>
      <c r="E196" s="49">
        <v>1.5503875968992248E-3</v>
      </c>
    </row>
    <row r="197" spans="2:5" ht="15" customHeight="1" x14ac:dyDescent="0.25">
      <c r="B197" s="94"/>
      <c r="C197" s="47" t="s">
        <v>52</v>
      </c>
      <c r="D197" s="48">
        <v>2</v>
      </c>
      <c r="E197" s="49">
        <v>1.5503875968992248E-3</v>
      </c>
    </row>
    <row r="198" spans="2:5" ht="15" customHeight="1" x14ac:dyDescent="0.25">
      <c r="B198" s="94"/>
      <c r="C198" s="47" t="s">
        <v>27</v>
      </c>
      <c r="D198" s="48">
        <v>22</v>
      </c>
      <c r="E198" s="49">
        <v>1.7054263565891473E-2</v>
      </c>
    </row>
    <row r="199" spans="2:5" ht="15" customHeight="1" x14ac:dyDescent="0.25">
      <c r="B199" s="94"/>
      <c r="C199" s="47" t="s">
        <v>44</v>
      </c>
      <c r="D199" s="48">
        <v>5</v>
      </c>
      <c r="E199" s="49">
        <v>3.875968992248062E-3</v>
      </c>
    </row>
    <row r="200" spans="2:5" ht="15" customHeight="1" x14ac:dyDescent="0.25">
      <c r="B200" s="94"/>
      <c r="C200" s="47" t="s">
        <v>38</v>
      </c>
      <c r="D200" s="48">
        <v>8</v>
      </c>
      <c r="E200" s="49">
        <v>6.2015503875968991E-3</v>
      </c>
    </row>
    <row r="201" spans="2:5" ht="15" customHeight="1" x14ac:dyDescent="0.25">
      <c r="B201" s="94"/>
      <c r="C201" s="47" t="s">
        <v>55</v>
      </c>
      <c r="D201" s="48">
        <v>1</v>
      </c>
      <c r="E201" s="49">
        <v>7.7519379844961239E-4</v>
      </c>
    </row>
    <row r="202" spans="2:5" ht="15" customHeight="1" x14ac:dyDescent="0.25">
      <c r="B202" s="94"/>
      <c r="C202" s="47" t="s">
        <v>43</v>
      </c>
      <c r="D202" s="48">
        <v>6</v>
      </c>
      <c r="E202" s="49">
        <v>4.6511627906976744E-3</v>
      </c>
    </row>
    <row r="203" spans="2:5" ht="15" customHeight="1" x14ac:dyDescent="0.25">
      <c r="B203" s="94"/>
      <c r="C203" s="47" t="s">
        <v>33</v>
      </c>
      <c r="D203" s="48">
        <v>11</v>
      </c>
      <c r="E203" s="49">
        <v>8.5271317829457363E-3</v>
      </c>
    </row>
    <row r="204" spans="2:5" ht="15" customHeight="1" x14ac:dyDescent="0.25">
      <c r="B204" s="94"/>
      <c r="C204" s="47" t="s">
        <v>23</v>
      </c>
      <c r="D204" s="48">
        <v>81</v>
      </c>
      <c r="E204" s="49">
        <v>6.2790697674418611E-2</v>
      </c>
    </row>
    <row r="205" spans="2:5" ht="15" customHeight="1" x14ac:dyDescent="0.25">
      <c r="B205" s="94"/>
      <c r="C205" s="47" t="s">
        <v>62</v>
      </c>
      <c r="D205" s="48">
        <v>1</v>
      </c>
      <c r="E205" s="49">
        <v>7.7519379844961239E-4</v>
      </c>
    </row>
    <row r="206" spans="2:5" ht="15" customHeight="1" x14ac:dyDescent="0.25">
      <c r="B206" s="94"/>
      <c r="C206" s="47" t="s">
        <v>40</v>
      </c>
      <c r="D206" s="48">
        <v>3</v>
      </c>
      <c r="E206" s="49">
        <v>2.3255813953488372E-3</v>
      </c>
    </row>
    <row r="207" spans="2:5" ht="15" customHeight="1" x14ac:dyDescent="0.25">
      <c r="B207" s="94"/>
      <c r="C207" s="47" t="s">
        <v>41</v>
      </c>
      <c r="D207" s="48">
        <v>3</v>
      </c>
      <c r="E207" s="49">
        <v>2.3255813953488372E-3</v>
      </c>
    </row>
    <row r="208" spans="2:5" ht="15" customHeight="1" x14ac:dyDescent="0.25">
      <c r="B208" s="94"/>
      <c r="C208" s="47" t="s">
        <v>50</v>
      </c>
      <c r="D208" s="48">
        <v>1</v>
      </c>
      <c r="E208" s="49">
        <v>7.7519379844961239E-4</v>
      </c>
    </row>
    <row r="209" spans="2:5" ht="15" customHeight="1" x14ac:dyDescent="0.25">
      <c r="B209" s="95"/>
      <c r="C209" s="50" t="s">
        <v>63</v>
      </c>
      <c r="D209" s="51">
        <v>431</v>
      </c>
      <c r="E209" s="52">
        <v>0.33410852713178296</v>
      </c>
    </row>
    <row r="210" spans="2:5" ht="15" customHeight="1" x14ac:dyDescent="0.25">
      <c r="B210" s="93" t="s">
        <v>85</v>
      </c>
      <c r="C210" s="47" t="s">
        <v>29</v>
      </c>
      <c r="D210" s="48">
        <v>1</v>
      </c>
      <c r="E210" s="49">
        <v>7.7519379844961239E-4</v>
      </c>
    </row>
    <row r="211" spans="2:5" ht="15" customHeight="1" x14ac:dyDescent="0.25">
      <c r="B211" s="94"/>
      <c r="C211" s="47" t="s">
        <v>24</v>
      </c>
      <c r="D211" s="48">
        <v>5</v>
      </c>
      <c r="E211" s="49">
        <v>3.875968992248062E-3</v>
      </c>
    </row>
    <row r="212" spans="2:5" ht="15" customHeight="1" x14ac:dyDescent="0.25">
      <c r="B212" s="94"/>
      <c r="C212" s="47" t="s">
        <v>25</v>
      </c>
      <c r="D212" s="48">
        <v>2</v>
      </c>
      <c r="E212" s="49">
        <v>1.5503875968992248E-3</v>
      </c>
    </row>
    <row r="213" spans="2:5" ht="15" customHeight="1" x14ac:dyDescent="0.25">
      <c r="B213" s="94"/>
      <c r="C213" s="47" t="s">
        <v>31</v>
      </c>
      <c r="D213" s="48">
        <v>3</v>
      </c>
      <c r="E213" s="49">
        <v>2.3255813953488372E-3</v>
      </c>
    </row>
    <row r="214" spans="2:5" ht="15" customHeight="1" x14ac:dyDescent="0.25">
      <c r="B214" s="94"/>
      <c r="C214" s="47" t="s">
        <v>32</v>
      </c>
      <c r="D214" s="48">
        <v>2</v>
      </c>
      <c r="E214" s="49">
        <v>1.5503875968992248E-3</v>
      </c>
    </row>
    <row r="215" spans="2:5" ht="15" customHeight="1" x14ac:dyDescent="0.25">
      <c r="B215" s="94"/>
      <c r="C215" s="47" t="s">
        <v>42</v>
      </c>
      <c r="D215" s="48">
        <v>1</v>
      </c>
      <c r="E215" s="49">
        <v>7.7519379844961239E-4</v>
      </c>
    </row>
    <row r="216" spans="2:5" ht="15" customHeight="1" x14ac:dyDescent="0.25">
      <c r="B216" s="94"/>
      <c r="C216" s="47" t="s">
        <v>35</v>
      </c>
      <c r="D216" s="48">
        <v>1</v>
      </c>
      <c r="E216" s="49">
        <v>7.7519379844961239E-4</v>
      </c>
    </row>
    <row r="217" spans="2:5" ht="15" customHeight="1" x14ac:dyDescent="0.25">
      <c r="B217" s="94"/>
      <c r="C217" s="47" t="s">
        <v>52</v>
      </c>
      <c r="D217" s="48">
        <v>1</v>
      </c>
      <c r="E217" s="49">
        <v>7.7519379844961239E-4</v>
      </c>
    </row>
    <row r="218" spans="2:5" ht="15" customHeight="1" x14ac:dyDescent="0.25">
      <c r="B218" s="94"/>
      <c r="C218" s="47" t="s">
        <v>27</v>
      </c>
      <c r="D218" s="48">
        <v>1</v>
      </c>
      <c r="E218" s="49">
        <v>7.7519379844961239E-4</v>
      </c>
    </row>
    <row r="219" spans="2:5" ht="15" customHeight="1" x14ac:dyDescent="0.25">
      <c r="B219" s="94"/>
      <c r="C219" s="47" t="s">
        <v>44</v>
      </c>
      <c r="D219" s="48">
        <v>1</v>
      </c>
      <c r="E219" s="49">
        <v>7.7519379844961239E-4</v>
      </c>
    </row>
    <row r="220" spans="2:5" ht="15" customHeight="1" x14ac:dyDescent="0.25">
      <c r="B220" s="94"/>
      <c r="C220" s="47" t="s">
        <v>33</v>
      </c>
      <c r="D220" s="48">
        <v>1</v>
      </c>
      <c r="E220" s="49">
        <v>7.7519379844961239E-4</v>
      </c>
    </row>
    <row r="221" spans="2:5" ht="15" customHeight="1" x14ac:dyDescent="0.25">
      <c r="B221" s="94"/>
      <c r="C221" s="47" t="s">
        <v>23</v>
      </c>
      <c r="D221" s="48">
        <v>4</v>
      </c>
      <c r="E221" s="49">
        <v>3.1007751937984496E-3</v>
      </c>
    </row>
    <row r="222" spans="2:5" ht="15" customHeight="1" x14ac:dyDescent="0.25">
      <c r="B222" s="95"/>
      <c r="C222" s="50" t="s">
        <v>63</v>
      </c>
      <c r="D222" s="51">
        <v>23</v>
      </c>
      <c r="E222" s="52">
        <v>1.7829457364341085E-2</v>
      </c>
    </row>
    <row r="223" spans="2:5" ht="15" customHeight="1" x14ac:dyDescent="0.25">
      <c r="B223" s="93" t="s">
        <v>86</v>
      </c>
      <c r="C223" s="47" t="s">
        <v>29</v>
      </c>
      <c r="D223" s="48">
        <v>1</v>
      </c>
      <c r="E223" s="49">
        <v>7.7519379844961239E-4</v>
      </c>
    </row>
    <row r="224" spans="2:5" ht="15" customHeight="1" x14ac:dyDescent="0.25">
      <c r="B224" s="94"/>
      <c r="C224" s="47" t="s">
        <v>36</v>
      </c>
      <c r="D224" s="48">
        <v>4</v>
      </c>
      <c r="E224" s="49">
        <v>3.1007751937984496E-3</v>
      </c>
    </row>
    <row r="225" spans="2:5" ht="15" customHeight="1" x14ac:dyDescent="0.25">
      <c r="B225" s="94"/>
      <c r="C225" s="47" t="s">
        <v>24</v>
      </c>
      <c r="D225" s="48">
        <v>13</v>
      </c>
      <c r="E225" s="49">
        <v>1.0077519379844961E-2</v>
      </c>
    </row>
    <row r="226" spans="2:5" ht="15" customHeight="1" x14ac:dyDescent="0.25">
      <c r="B226" s="94"/>
      <c r="C226" s="47" t="s">
        <v>28</v>
      </c>
      <c r="D226" s="48">
        <v>2</v>
      </c>
      <c r="E226" s="49">
        <v>1.5503875968992248E-3</v>
      </c>
    </row>
    <row r="227" spans="2:5" ht="15" customHeight="1" x14ac:dyDescent="0.25">
      <c r="B227" s="94"/>
      <c r="C227" s="47" t="s">
        <v>25</v>
      </c>
      <c r="D227" s="48">
        <v>9</v>
      </c>
      <c r="E227" s="49">
        <v>6.9767441860465115E-3</v>
      </c>
    </row>
    <row r="228" spans="2:5" ht="15" customHeight="1" x14ac:dyDescent="0.25">
      <c r="B228" s="94"/>
      <c r="C228" s="47" t="s">
        <v>30</v>
      </c>
      <c r="D228" s="48">
        <v>2</v>
      </c>
      <c r="E228" s="49">
        <v>1.5503875968992248E-3</v>
      </c>
    </row>
    <row r="229" spans="2:5" ht="15" customHeight="1" x14ac:dyDescent="0.25">
      <c r="B229" s="94"/>
      <c r="C229" s="47" t="s">
        <v>47</v>
      </c>
      <c r="D229" s="48">
        <v>1</v>
      </c>
      <c r="E229" s="49">
        <v>7.7519379844961239E-4</v>
      </c>
    </row>
    <row r="230" spans="2:5" ht="15" customHeight="1" x14ac:dyDescent="0.25">
      <c r="B230" s="94"/>
      <c r="C230" s="47" t="s">
        <v>31</v>
      </c>
      <c r="D230" s="48">
        <v>1</v>
      </c>
      <c r="E230" s="49">
        <v>7.7519379844961239E-4</v>
      </c>
    </row>
    <row r="231" spans="2:5" ht="15" customHeight="1" x14ac:dyDescent="0.25">
      <c r="B231" s="94"/>
      <c r="C231" s="47" t="s">
        <v>32</v>
      </c>
      <c r="D231" s="48">
        <v>4</v>
      </c>
      <c r="E231" s="49">
        <v>3.1007751937984496E-3</v>
      </c>
    </row>
    <row r="232" spans="2:5" ht="15" customHeight="1" x14ac:dyDescent="0.25">
      <c r="B232" s="94"/>
      <c r="C232" s="47" t="s">
        <v>34</v>
      </c>
      <c r="D232" s="48">
        <v>2</v>
      </c>
      <c r="E232" s="49">
        <v>1.5503875968992248E-3</v>
      </c>
    </row>
    <row r="233" spans="2:5" ht="15" customHeight="1" x14ac:dyDescent="0.25">
      <c r="B233" s="94"/>
      <c r="C233" s="47" t="s">
        <v>42</v>
      </c>
      <c r="D233" s="48">
        <v>2</v>
      </c>
      <c r="E233" s="49">
        <v>1.5503875968992248E-3</v>
      </c>
    </row>
    <row r="234" spans="2:5" ht="15" customHeight="1" x14ac:dyDescent="0.25">
      <c r="B234" s="94"/>
      <c r="C234" s="47" t="s">
        <v>35</v>
      </c>
      <c r="D234" s="48">
        <v>1</v>
      </c>
      <c r="E234" s="49">
        <v>7.7519379844961239E-4</v>
      </c>
    </row>
    <row r="235" spans="2:5" ht="15" customHeight="1" x14ac:dyDescent="0.25">
      <c r="B235" s="94"/>
      <c r="C235" s="47" t="s">
        <v>26</v>
      </c>
      <c r="D235" s="48">
        <v>3</v>
      </c>
      <c r="E235" s="49">
        <v>2.3255813953488372E-3</v>
      </c>
    </row>
    <row r="236" spans="2:5" ht="15" customHeight="1" x14ac:dyDescent="0.25">
      <c r="B236" s="94"/>
      <c r="C236" s="47" t="s">
        <v>51</v>
      </c>
      <c r="D236" s="48">
        <v>1</v>
      </c>
      <c r="E236" s="49">
        <v>7.7519379844961239E-4</v>
      </c>
    </row>
    <row r="237" spans="2:5" ht="15" customHeight="1" x14ac:dyDescent="0.25">
      <c r="B237" s="94"/>
      <c r="C237" s="47" t="s">
        <v>53</v>
      </c>
      <c r="D237" s="48">
        <v>1</v>
      </c>
      <c r="E237" s="49">
        <v>7.7519379844961239E-4</v>
      </c>
    </row>
    <row r="238" spans="2:5" ht="15" customHeight="1" x14ac:dyDescent="0.25">
      <c r="B238" s="94"/>
      <c r="C238" s="47" t="s">
        <v>52</v>
      </c>
      <c r="D238" s="48">
        <v>1</v>
      </c>
      <c r="E238" s="49">
        <v>7.7519379844961239E-4</v>
      </c>
    </row>
    <row r="239" spans="2:5" ht="15" customHeight="1" x14ac:dyDescent="0.25">
      <c r="B239" s="94"/>
      <c r="C239" s="47" t="s">
        <v>27</v>
      </c>
      <c r="D239" s="48">
        <v>4</v>
      </c>
      <c r="E239" s="49">
        <v>3.1007751937984496E-3</v>
      </c>
    </row>
    <row r="240" spans="2:5" ht="15" customHeight="1" x14ac:dyDescent="0.25">
      <c r="B240" s="94"/>
      <c r="C240" s="47" t="s">
        <v>44</v>
      </c>
      <c r="D240" s="48">
        <v>2</v>
      </c>
      <c r="E240" s="49">
        <v>1.5503875968992248E-3</v>
      </c>
    </row>
    <row r="241" spans="2:5" ht="15" customHeight="1" x14ac:dyDescent="0.25">
      <c r="B241" s="94"/>
      <c r="C241" s="47" t="s">
        <v>33</v>
      </c>
      <c r="D241" s="48">
        <v>2</v>
      </c>
      <c r="E241" s="49">
        <v>1.5503875968992248E-3</v>
      </c>
    </row>
    <row r="242" spans="2:5" ht="15" customHeight="1" x14ac:dyDescent="0.25">
      <c r="B242" s="94"/>
      <c r="C242" s="47" t="s">
        <v>23</v>
      </c>
      <c r="D242" s="48">
        <v>20</v>
      </c>
      <c r="E242" s="49">
        <v>1.5503875968992248E-2</v>
      </c>
    </row>
    <row r="243" spans="2:5" ht="15" customHeight="1" x14ac:dyDescent="0.25">
      <c r="B243" s="94"/>
      <c r="C243" s="47" t="s">
        <v>40</v>
      </c>
      <c r="D243" s="48">
        <v>1</v>
      </c>
      <c r="E243" s="49">
        <v>7.7519379844961239E-4</v>
      </c>
    </row>
    <row r="244" spans="2:5" ht="15" customHeight="1" x14ac:dyDescent="0.25">
      <c r="B244" s="94"/>
      <c r="C244" s="47" t="s">
        <v>41</v>
      </c>
      <c r="D244" s="48">
        <v>1</v>
      </c>
      <c r="E244" s="49">
        <v>7.7519379844961239E-4</v>
      </c>
    </row>
    <row r="245" spans="2:5" ht="15" customHeight="1" x14ac:dyDescent="0.25">
      <c r="B245" s="95"/>
      <c r="C245" s="50" t="s">
        <v>63</v>
      </c>
      <c r="D245" s="51">
        <v>78</v>
      </c>
      <c r="E245" s="52">
        <v>6.0465116279069767E-2</v>
      </c>
    </row>
    <row r="246" spans="2:5" ht="15" customHeight="1" x14ac:dyDescent="0.25">
      <c r="B246" s="93" t="s">
        <v>87</v>
      </c>
      <c r="C246" s="47" t="s">
        <v>29</v>
      </c>
      <c r="D246" s="48">
        <v>11</v>
      </c>
      <c r="E246" s="49">
        <v>8.5271317829457363E-3</v>
      </c>
    </row>
    <row r="247" spans="2:5" ht="15" customHeight="1" x14ac:dyDescent="0.25">
      <c r="B247" s="94"/>
      <c r="C247" s="47" t="s">
        <v>54</v>
      </c>
      <c r="D247" s="48">
        <v>1</v>
      </c>
      <c r="E247" s="49">
        <v>7.7519379844961239E-4</v>
      </c>
    </row>
    <row r="248" spans="2:5" ht="15" customHeight="1" x14ac:dyDescent="0.25">
      <c r="B248" s="94"/>
      <c r="C248" s="47" t="s">
        <v>36</v>
      </c>
      <c r="D248" s="48">
        <v>4</v>
      </c>
      <c r="E248" s="49">
        <v>3.1007751937984496E-3</v>
      </c>
    </row>
    <row r="249" spans="2:5" ht="15" customHeight="1" x14ac:dyDescent="0.25">
      <c r="B249" s="94"/>
      <c r="C249" s="47" t="s">
        <v>24</v>
      </c>
      <c r="D249" s="48">
        <v>39</v>
      </c>
      <c r="E249" s="49">
        <v>3.0232558139534883E-2</v>
      </c>
    </row>
    <row r="250" spans="2:5" ht="15" customHeight="1" x14ac:dyDescent="0.25">
      <c r="B250" s="94"/>
      <c r="C250" s="47" t="s">
        <v>28</v>
      </c>
      <c r="D250" s="48">
        <v>10</v>
      </c>
      <c r="E250" s="49">
        <v>7.7519379844961239E-3</v>
      </c>
    </row>
    <row r="251" spans="2:5" ht="15" customHeight="1" x14ac:dyDescent="0.25">
      <c r="B251" s="94"/>
      <c r="C251" s="47" t="s">
        <v>25</v>
      </c>
      <c r="D251" s="48">
        <v>6</v>
      </c>
      <c r="E251" s="49">
        <v>4.6511627906976744E-3</v>
      </c>
    </row>
    <row r="252" spans="2:5" ht="15" customHeight="1" x14ac:dyDescent="0.25">
      <c r="B252" s="94"/>
      <c r="C252" s="47" t="s">
        <v>30</v>
      </c>
      <c r="D252" s="48">
        <v>8</v>
      </c>
      <c r="E252" s="49">
        <v>6.2015503875968991E-3</v>
      </c>
    </row>
    <row r="253" spans="2:5" ht="15" customHeight="1" x14ac:dyDescent="0.25">
      <c r="B253" s="94"/>
      <c r="C253" s="47" t="s">
        <v>31</v>
      </c>
      <c r="D253" s="48">
        <v>5</v>
      </c>
      <c r="E253" s="49">
        <v>3.875968992248062E-3</v>
      </c>
    </row>
    <row r="254" spans="2:5" ht="15" customHeight="1" x14ac:dyDescent="0.25">
      <c r="B254" s="94"/>
      <c r="C254" s="47" t="s">
        <v>32</v>
      </c>
      <c r="D254" s="48">
        <v>8</v>
      </c>
      <c r="E254" s="49">
        <v>6.2015503875968991E-3</v>
      </c>
    </row>
    <row r="255" spans="2:5" ht="15" customHeight="1" x14ac:dyDescent="0.25">
      <c r="B255" s="94"/>
      <c r="C255" s="47" t="s">
        <v>34</v>
      </c>
      <c r="D255" s="48">
        <v>4</v>
      </c>
      <c r="E255" s="49">
        <v>3.1007751937984496E-3</v>
      </c>
    </row>
    <row r="256" spans="2:5" ht="15" customHeight="1" x14ac:dyDescent="0.25">
      <c r="B256" s="94"/>
      <c r="C256" s="47" t="s">
        <v>39</v>
      </c>
      <c r="D256" s="48">
        <v>2</v>
      </c>
      <c r="E256" s="49">
        <v>1.5503875968992248E-3</v>
      </c>
    </row>
    <row r="257" spans="2:5" ht="15" customHeight="1" x14ac:dyDescent="0.25">
      <c r="B257" s="94"/>
      <c r="C257" s="47" t="s">
        <v>45</v>
      </c>
      <c r="D257" s="48">
        <v>3</v>
      </c>
      <c r="E257" s="49">
        <v>2.3255813953488372E-3</v>
      </c>
    </row>
    <row r="258" spans="2:5" ht="15" customHeight="1" x14ac:dyDescent="0.25">
      <c r="B258" s="94"/>
      <c r="C258" s="47" t="s">
        <v>42</v>
      </c>
      <c r="D258" s="48">
        <v>2</v>
      </c>
      <c r="E258" s="49">
        <v>1.5503875968992248E-3</v>
      </c>
    </row>
    <row r="259" spans="2:5" ht="15" customHeight="1" x14ac:dyDescent="0.25">
      <c r="B259" s="94"/>
      <c r="C259" s="47" t="s">
        <v>48</v>
      </c>
      <c r="D259" s="48">
        <v>4</v>
      </c>
      <c r="E259" s="49">
        <v>3.1007751937984496E-3</v>
      </c>
    </row>
    <row r="260" spans="2:5" ht="15" customHeight="1" x14ac:dyDescent="0.25">
      <c r="B260" s="94"/>
      <c r="C260" s="47" t="s">
        <v>46</v>
      </c>
      <c r="D260" s="48">
        <v>6</v>
      </c>
      <c r="E260" s="49">
        <v>4.6511627906976744E-3</v>
      </c>
    </row>
    <row r="261" spans="2:5" ht="15" customHeight="1" x14ac:dyDescent="0.25">
      <c r="B261" s="94"/>
      <c r="C261" s="47" t="s">
        <v>49</v>
      </c>
      <c r="D261" s="48">
        <v>1</v>
      </c>
      <c r="E261" s="49">
        <v>7.7519379844961239E-4</v>
      </c>
    </row>
    <row r="262" spans="2:5" ht="15" customHeight="1" x14ac:dyDescent="0.25">
      <c r="B262" s="94"/>
      <c r="C262" s="47" t="s">
        <v>35</v>
      </c>
      <c r="D262" s="48">
        <v>3</v>
      </c>
      <c r="E262" s="49">
        <v>2.3255813953488372E-3</v>
      </c>
    </row>
    <row r="263" spans="2:5" ht="15" customHeight="1" x14ac:dyDescent="0.25">
      <c r="B263" s="94"/>
      <c r="C263" s="47" t="s">
        <v>26</v>
      </c>
      <c r="D263" s="48">
        <v>9</v>
      </c>
      <c r="E263" s="49">
        <v>6.9767441860465115E-3</v>
      </c>
    </row>
    <row r="264" spans="2:5" ht="15" customHeight="1" x14ac:dyDescent="0.25">
      <c r="B264" s="94"/>
      <c r="C264" s="47" t="s">
        <v>37</v>
      </c>
      <c r="D264" s="48">
        <v>1</v>
      </c>
      <c r="E264" s="49">
        <v>7.7519379844961239E-4</v>
      </c>
    </row>
    <row r="265" spans="2:5" ht="15" customHeight="1" x14ac:dyDescent="0.25">
      <c r="B265" s="94"/>
      <c r="C265" s="47" t="s">
        <v>51</v>
      </c>
      <c r="D265" s="48">
        <v>1</v>
      </c>
      <c r="E265" s="49">
        <v>7.7519379844961239E-4</v>
      </c>
    </row>
    <row r="266" spans="2:5" ht="15" customHeight="1" x14ac:dyDescent="0.25">
      <c r="B266" s="94"/>
      <c r="C266" s="47" t="s">
        <v>53</v>
      </c>
      <c r="D266" s="48">
        <v>1</v>
      </c>
      <c r="E266" s="49">
        <v>7.7519379844961239E-4</v>
      </c>
    </row>
    <row r="267" spans="2:5" ht="15" customHeight="1" x14ac:dyDescent="0.25">
      <c r="B267" s="94"/>
      <c r="C267" s="47" t="s">
        <v>52</v>
      </c>
      <c r="D267" s="48">
        <v>1</v>
      </c>
      <c r="E267" s="49">
        <v>7.7519379844961239E-4</v>
      </c>
    </row>
    <row r="268" spans="2:5" ht="15" customHeight="1" x14ac:dyDescent="0.25">
      <c r="B268" s="94"/>
      <c r="C268" s="47" t="s">
        <v>27</v>
      </c>
      <c r="D268" s="48">
        <v>8</v>
      </c>
      <c r="E268" s="49">
        <v>6.2015503875968991E-3</v>
      </c>
    </row>
    <row r="269" spans="2:5" ht="15" customHeight="1" x14ac:dyDescent="0.25">
      <c r="B269" s="94"/>
      <c r="C269" s="47" t="s">
        <v>44</v>
      </c>
      <c r="D269" s="48">
        <v>3</v>
      </c>
      <c r="E269" s="49">
        <v>2.3255813953488372E-3</v>
      </c>
    </row>
    <row r="270" spans="2:5" ht="15" customHeight="1" x14ac:dyDescent="0.25">
      <c r="B270" s="94"/>
      <c r="C270" s="47" t="s">
        <v>38</v>
      </c>
      <c r="D270" s="48">
        <v>5</v>
      </c>
      <c r="E270" s="49">
        <v>3.875968992248062E-3</v>
      </c>
    </row>
    <row r="271" spans="2:5" ht="15" customHeight="1" x14ac:dyDescent="0.25">
      <c r="B271" s="94"/>
      <c r="C271" s="47" t="s">
        <v>55</v>
      </c>
      <c r="D271" s="48">
        <v>1</v>
      </c>
      <c r="E271" s="49">
        <v>7.7519379844961239E-4</v>
      </c>
    </row>
    <row r="272" spans="2:5" ht="15" customHeight="1" x14ac:dyDescent="0.25">
      <c r="B272" s="94"/>
      <c r="C272" s="47" t="s">
        <v>43</v>
      </c>
      <c r="D272" s="48">
        <v>1</v>
      </c>
      <c r="E272" s="49">
        <v>7.7519379844961239E-4</v>
      </c>
    </row>
    <row r="273" spans="2:5" ht="15" customHeight="1" x14ac:dyDescent="0.25">
      <c r="B273" s="94"/>
      <c r="C273" s="47" t="s">
        <v>60</v>
      </c>
      <c r="D273" s="48">
        <v>1</v>
      </c>
      <c r="E273" s="49">
        <v>7.7519379844961239E-4</v>
      </c>
    </row>
    <row r="274" spans="2:5" ht="15" customHeight="1" x14ac:dyDescent="0.25">
      <c r="B274" s="94"/>
      <c r="C274" s="47" t="s">
        <v>33</v>
      </c>
      <c r="D274" s="48">
        <v>2</v>
      </c>
      <c r="E274" s="49">
        <v>1.5503875968992248E-3</v>
      </c>
    </row>
    <row r="275" spans="2:5" ht="15" customHeight="1" x14ac:dyDescent="0.25">
      <c r="B275" s="94"/>
      <c r="C275" s="47" t="s">
        <v>23</v>
      </c>
      <c r="D275" s="48">
        <v>60</v>
      </c>
      <c r="E275" s="49">
        <v>4.6511627906976744E-2</v>
      </c>
    </row>
    <row r="276" spans="2:5" ht="15" customHeight="1" x14ac:dyDescent="0.25">
      <c r="B276" s="94"/>
      <c r="C276" s="47" t="s">
        <v>40</v>
      </c>
      <c r="D276" s="48">
        <v>4</v>
      </c>
      <c r="E276" s="49">
        <v>3.1007751937984496E-3</v>
      </c>
    </row>
    <row r="277" spans="2:5" ht="15" customHeight="1" x14ac:dyDescent="0.25">
      <c r="B277" s="94"/>
      <c r="C277" s="47" t="s">
        <v>41</v>
      </c>
      <c r="D277" s="48">
        <v>2</v>
      </c>
      <c r="E277" s="49">
        <v>1.5503875968992248E-3</v>
      </c>
    </row>
    <row r="278" spans="2:5" ht="15" customHeight="1" x14ac:dyDescent="0.25">
      <c r="B278" s="94"/>
      <c r="C278" s="47" t="s">
        <v>50</v>
      </c>
      <c r="D278" s="48">
        <v>3</v>
      </c>
      <c r="E278" s="49">
        <v>2.3255813953488372E-3</v>
      </c>
    </row>
    <row r="279" spans="2:5" ht="15" customHeight="1" x14ac:dyDescent="0.25">
      <c r="B279" s="95"/>
      <c r="C279" s="50" t="s">
        <v>63</v>
      </c>
      <c r="D279" s="51">
        <v>220</v>
      </c>
      <c r="E279" s="52">
        <v>0.17054263565891473</v>
      </c>
    </row>
    <row r="280" spans="2:5" ht="15" customHeight="1" x14ac:dyDescent="0.25">
      <c r="B280" s="93" t="s">
        <v>88</v>
      </c>
      <c r="C280" s="47" t="s">
        <v>24</v>
      </c>
      <c r="D280" s="48">
        <v>2</v>
      </c>
      <c r="E280" s="49">
        <v>1.5503875968992248E-3</v>
      </c>
    </row>
    <row r="281" spans="2:5" ht="15" customHeight="1" x14ac:dyDescent="0.25">
      <c r="B281" s="94"/>
      <c r="C281" s="47" t="s">
        <v>39</v>
      </c>
      <c r="D281" s="48">
        <v>1</v>
      </c>
      <c r="E281" s="49">
        <v>7.7519379844961239E-4</v>
      </c>
    </row>
    <row r="282" spans="2:5" ht="15" customHeight="1" x14ac:dyDescent="0.25">
      <c r="B282" s="94"/>
      <c r="C282" s="47" t="s">
        <v>26</v>
      </c>
      <c r="D282" s="48">
        <v>1</v>
      </c>
      <c r="E282" s="49">
        <v>7.7519379844961239E-4</v>
      </c>
    </row>
    <row r="283" spans="2:5" ht="15" customHeight="1" x14ac:dyDescent="0.25">
      <c r="B283" s="95"/>
      <c r="C283" s="50" t="s">
        <v>63</v>
      </c>
      <c r="D283" s="51">
        <v>4</v>
      </c>
      <c r="E283" s="52">
        <v>3.1007751937984496E-3</v>
      </c>
    </row>
    <row r="284" spans="2:5" ht="15" customHeight="1" x14ac:dyDescent="0.25">
      <c r="B284" s="93" t="s">
        <v>89</v>
      </c>
      <c r="C284" s="47" t="s">
        <v>29</v>
      </c>
      <c r="D284" s="48">
        <v>1</v>
      </c>
      <c r="E284" s="49">
        <v>7.7519379844961239E-4</v>
      </c>
    </row>
    <row r="285" spans="2:5" ht="15" customHeight="1" x14ac:dyDescent="0.25">
      <c r="B285" s="94"/>
      <c r="C285" s="47" t="s">
        <v>32</v>
      </c>
      <c r="D285" s="48">
        <v>1</v>
      </c>
      <c r="E285" s="49">
        <v>7.7519379844961239E-4</v>
      </c>
    </row>
    <row r="286" spans="2:5" ht="15" customHeight="1" x14ac:dyDescent="0.25">
      <c r="B286" s="94"/>
      <c r="C286" s="47" t="s">
        <v>23</v>
      </c>
      <c r="D286" s="48">
        <v>1</v>
      </c>
      <c r="E286" s="49">
        <v>7.7519379844961239E-4</v>
      </c>
    </row>
    <row r="287" spans="2:5" ht="15" customHeight="1" x14ac:dyDescent="0.25">
      <c r="B287" s="95"/>
      <c r="C287" s="50" t="s">
        <v>63</v>
      </c>
      <c r="D287" s="51">
        <v>3</v>
      </c>
      <c r="E287" s="52">
        <v>2.3255813953488372E-3</v>
      </c>
    </row>
    <row r="288" spans="2:5" ht="15" customHeight="1" x14ac:dyDescent="0.25">
      <c r="B288" s="93" t="s">
        <v>90</v>
      </c>
      <c r="C288" s="47" t="s">
        <v>33</v>
      </c>
      <c r="D288" s="48">
        <v>1</v>
      </c>
      <c r="E288" s="49">
        <v>7.7519379844961239E-4</v>
      </c>
    </row>
    <row r="289" spans="2:5" ht="15" customHeight="1" x14ac:dyDescent="0.25">
      <c r="B289" s="95"/>
      <c r="C289" s="50" t="s">
        <v>63</v>
      </c>
      <c r="D289" s="51">
        <v>1</v>
      </c>
      <c r="E289" s="52">
        <v>7.7519379844961239E-4</v>
      </c>
    </row>
    <row r="290" spans="2:5" ht="15" customHeight="1" x14ac:dyDescent="0.25">
      <c r="B290" s="93" t="s">
        <v>92</v>
      </c>
      <c r="C290" s="47" t="s">
        <v>24</v>
      </c>
      <c r="D290" s="48">
        <v>2</v>
      </c>
      <c r="E290" s="49">
        <v>1.5503875968992248E-3</v>
      </c>
    </row>
    <row r="291" spans="2:5" ht="15" customHeight="1" x14ac:dyDescent="0.25">
      <c r="B291" s="94"/>
      <c r="C291" s="47" t="s">
        <v>31</v>
      </c>
      <c r="D291" s="48">
        <v>2</v>
      </c>
      <c r="E291" s="49">
        <v>1.5503875968992248E-3</v>
      </c>
    </row>
    <row r="292" spans="2:5" ht="15" customHeight="1" x14ac:dyDescent="0.25">
      <c r="B292" s="94"/>
      <c r="C292" s="47" t="s">
        <v>39</v>
      </c>
      <c r="D292" s="48">
        <v>1</v>
      </c>
      <c r="E292" s="49">
        <v>7.7519379844961239E-4</v>
      </c>
    </row>
    <row r="293" spans="2:5" ht="15" customHeight="1" x14ac:dyDescent="0.25">
      <c r="B293" s="94"/>
      <c r="C293" s="47" t="s">
        <v>46</v>
      </c>
      <c r="D293" s="48">
        <v>1</v>
      </c>
      <c r="E293" s="49">
        <v>7.7519379844961239E-4</v>
      </c>
    </row>
    <row r="294" spans="2:5" ht="15" customHeight="1" x14ac:dyDescent="0.25">
      <c r="B294" s="94"/>
      <c r="C294" s="47" t="s">
        <v>26</v>
      </c>
      <c r="D294" s="48">
        <v>2</v>
      </c>
      <c r="E294" s="49">
        <v>1.5503875968992248E-3</v>
      </c>
    </row>
    <row r="295" spans="2:5" ht="15" customHeight="1" x14ac:dyDescent="0.25">
      <c r="B295" s="94"/>
      <c r="C295" s="47" t="s">
        <v>33</v>
      </c>
      <c r="D295" s="48">
        <v>1</v>
      </c>
      <c r="E295" s="49">
        <v>7.7519379844961239E-4</v>
      </c>
    </row>
    <row r="296" spans="2:5" ht="15" customHeight="1" x14ac:dyDescent="0.25">
      <c r="B296" s="94"/>
      <c r="C296" s="47" t="s">
        <v>23</v>
      </c>
      <c r="D296" s="48">
        <v>7</v>
      </c>
      <c r="E296" s="49">
        <v>5.4263565891472867E-3</v>
      </c>
    </row>
    <row r="297" spans="2:5" ht="15" customHeight="1" x14ac:dyDescent="0.25">
      <c r="B297" s="94"/>
      <c r="C297" s="47" t="s">
        <v>40</v>
      </c>
      <c r="D297" s="48">
        <v>1</v>
      </c>
      <c r="E297" s="49">
        <v>7.7519379844961239E-4</v>
      </c>
    </row>
    <row r="298" spans="2:5" ht="15" customHeight="1" x14ac:dyDescent="0.25">
      <c r="B298" s="95"/>
      <c r="C298" s="50" t="s">
        <v>63</v>
      </c>
      <c r="D298" s="51">
        <v>17</v>
      </c>
      <c r="E298" s="52">
        <v>1.3178294573643411E-2</v>
      </c>
    </row>
    <row r="299" spans="2:5" ht="15" customHeight="1" x14ac:dyDescent="0.25">
      <c r="B299" s="93" t="s">
        <v>93</v>
      </c>
      <c r="C299" s="47" t="s">
        <v>36</v>
      </c>
      <c r="D299" s="48">
        <v>2</v>
      </c>
      <c r="E299" s="49">
        <v>1.5503875968992248E-3</v>
      </c>
    </row>
    <row r="300" spans="2:5" ht="15" customHeight="1" x14ac:dyDescent="0.25">
      <c r="B300" s="94"/>
      <c r="C300" s="47" t="s">
        <v>24</v>
      </c>
      <c r="D300" s="48">
        <v>4</v>
      </c>
      <c r="E300" s="49">
        <v>3.1007751937984496E-3</v>
      </c>
    </row>
    <row r="301" spans="2:5" ht="15" customHeight="1" x14ac:dyDescent="0.25">
      <c r="B301" s="94"/>
      <c r="C301" s="47" t="s">
        <v>57</v>
      </c>
      <c r="D301" s="48">
        <v>1</v>
      </c>
      <c r="E301" s="49">
        <v>7.7519379844961239E-4</v>
      </c>
    </row>
    <row r="302" spans="2:5" ht="15" customHeight="1" x14ac:dyDescent="0.25">
      <c r="B302" s="94"/>
      <c r="C302" s="47" t="s">
        <v>61</v>
      </c>
      <c r="D302" s="48">
        <v>1</v>
      </c>
      <c r="E302" s="49">
        <v>7.7519379844961239E-4</v>
      </c>
    </row>
    <row r="303" spans="2:5" ht="15" customHeight="1" x14ac:dyDescent="0.25">
      <c r="B303" s="94"/>
      <c r="C303" s="47" t="s">
        <v>31</v>
      </c>
      <c r="D303" s="48">
        <v>2</v>
      </c>
      <c r="E303" s="49">
        <v>1.5503875968992248E-3</v>
      </c>
    </row>
    <row r="304" spans="2:5" ht="15" customHeight="1" x14ac:dyDescent="0.25">
      <c r="B304" s="94"/>
      <c r="C304" s="47" t="s">
        <v>32</v>
      </c>
      <c r="D304" s="48">
        <v>1</v>
      </c>
      <c r="E304" s="49">
        <v>7.7519379844961239E-4</v>
      </c>
    </row>
    <row r="305" spans="2:5" ht="15" customHeight="1" x14ac:dyDescent="0.25">
      <c r="B305" s="94"/>
      <c r="C305" s="47" t="s">
        <v>26</v>
      </c>
      <c r="D305" s="48">
        <v>2</v>
      </c>
      <c r="E305" s="49">
        <v>1.5503875968992248E-3</v>
      </c>
    </row>
    <row r="306" spans="2:5" ht="15" customHeight="1" x14ac:dyDescent="0.25">
      <c r="B306" s="94"/>
      <c r="C306" s="47" t="s">
        <v>52</v>
      </c>
      <c r="D306" s="48">
        <v>1</v>
      </c>
      <c r="E306" s="49">
        <v>7.7519379844961239E-4</v>
      </c>
    </row>
    <row r="307" spans="2:5" ht="15" customHeight="1" x14ac:dyDescent="0.25">
      <c r="B307" s="94"/>
      <c r="C307" s="47" t="s">
        <v>27</v>
      </c>
      <c r="D307" s="48">
        <v>1</v>
      </c>
      <c r="E307" s="49">
        <v>7.7519379844961239E-4</v>
      </c>
    </row>
    <row r="308" spans="2:5" ht="15" customHeight="1" x14ac:dyDescent="0.25">
      <c r="B308" s="94"/>
      <c r="C308" s="47" t="s">
        <v>44</v>
      </c>
      <c r="D308" s="48">
        <v>1</v>
      </c>
      <c r="E308" s="49">
        <v>7.7519379844961239E-4</v>
      </c>
    </row>
    <row r="309" spans="2:5" ht="15" customHeight="1" x14ac:dyDescent="0.25">
      <c r="B309" s="94"/>
      <c r="C309" s="47" t="s">
        <v>38</v>
      </c>
      <c r="D309" s="48">
        <v>1</v>
      </c>
      <c r="E309" s="49">
        <v>7.7519379844961239E-4</v>
      </c>
    </row>
    <row r="310" spans="2:5" ht="15" customHeight="1" x14ac:dyDescent="0.25">
      <c r="B310" s="94"/>
      <c r="C310" s="47" t="s">
        <v>33</v>
      </c>
      <c r="D310" s="48">
        <v>1</v>
      </c>
      <c r="E310" s="49">
        <v>7.7519379844961239E-4</v>
      </c>
    </row>
    <row r="311" spans="2:5" ht="15" customHeight="1" x14ac:dyDescent="0.25">
      <c r="B311" s="94"/>
      <c r="C311" s="47" t="s">
        <v>23</v>
      </c>
      <c r="D311" s="48">
        <v>13</v>
      </c>
      <c r="E311" s="49">
        <v>1.0077519379844961E-2</v>
      </c>
    </row>
    <row r="312" spans="2:5" ht="15" customHeight="1" x14ac:dyDescent="0.25">
      <c r="B312" s="94"/>
      <c r="C312" s="47" t="s">
        <v>56</v>
      </c>
      <c r="D312" s="48">
        <v>2</v>
      </c>
      <c r="E312" s="49">
        <v>1.5503875968992248E-3</v>
      </c>
    </row>
    <row r="313" spans="2:5" ht="15" customHeight="1" x14ac:dyDescent="0.25">
      <c r="B313" s="94"/>
      <c r="C313" s="47" t="s">
        <v>41</v>
      </c>
      <c r="D313" s="48">
        <v>1</v>
      </c>
      <c r="E313" s="49">
        <v>7.7519379844961239E-4</v>
      </c>
    </row>
    <row r="314" spans="2:5" ht="15" customHeight="1" x14ac:dyDescent="0.25">
      <c r="B314" s="95"/>
      <c r="C314" s="50" t="s">
        <v>63</v>
      </c>
      <c r="D314" s="51">
        <v>34</v>
      </c>
      <c r="E314" s="52">
        <v>2.6356589147286821E-2</v>
      </c>
    </row>
    <row r="315" spans="2:5" ht="15" customHeight="1" x14ac:dyDescent="0.25">
      <c r="B315" s="93" t="s">
        <v>94</v>
      </c>
      <c r="C315" s="47" t="s">
        <v>38</v>
      </c>
      <c r="D315" s="48">
        <v>1</v>
      </c>
      <c r="E315" s="49">
        <v>7.7519379844961239E-4</v>
      </c>
    </row>
    <row r="316" spans="2:5" ht="15" customHeight="1" x14ac:dyDescent="0.25">
      <c r="B316" s="94"/>
      <c r="C316" s="47" t="s">
        <v>41</v>
      </c>
      <c r="D316" s="48">
        <v>1</v>
      </c>
      <c r="E316" s="49">
        <v>7.7519379844961239E-4</v>
      </c>
    </row>
    <row r="317" spans="2:5" ht="15" customHeight="1" x14ac:dyDescent="0.25">
      <c r="B317" s="95"/>
      <c r="C317" s="50" t="s">
        <v>63</v>
      </c>
      <c r="D317" s="51">
        <v>2</v>
      </c>
      <c r="E317" s="52">
        <v>1.5503875968992248E-3</v>
      </c>
    </row>
    <row r="318" spans="2:5" ht="15" customHeight="1" x14ac:dyDescent="0.25">
      <c r="B318" s="93" t="s">
        <v>95</v>
      </c>
      <c r="C318" s="47" t="s">
        <v>42</v>
      </c>
      <c r="D318" s="48">
        <v>1</v>
      </c>
      <c r="E318" s="49">
        <v>7.7519379844961239E-4</v>
      </c>
    </row>
    <row r="319" spans="2:5" ht="15" customHeight="1" x14ac:dyDescent="0.25">
      <c r="B319" s="95"/>
      <c r="C319" s="50" t="s">
        <v>63</v>
      </c>
      <c r="D319" s="51">
        <v>1</v>
      </c>
      <c r="E319" s="52">
        <v>7.7519379844961239E-4</v>
      </c>
    </row>
    <row r="320" spans="2:5" ht="15" customHeight="1" x14ac:dyDescent="0.25">
      <c r="B320" s="96" t="s">
        <v>63</v>
      </c>
      <c r="C320" s="97"/>
      <c r="D320" s="53">
        <v>1290</v>
      </c>
      <c r="E320" s="54">
        <v>1</v>
      </c>
    </row>
    <row r="322" spans="2:2" ht="15" customHeight="1" x14ac:dyDescent="0.25">
      <c r="B322" s="30" t="s">
        <v>64</v>
      </c>
    </row>
    <row r="323" spans="2:2" ht="15" customHeight="1" x14ac:dyDescent="0.25">
      <c r="B323" s="31" t="s">
        <v>65</v>
      </c>
    </row>
    <row r="324" spans="2:2" ht="15" customHeight="1" x14ac:dyDescent="0.25">
      <c r="B324" s="32" t="s">
        <v>66</v>
      </c>
    </row>
    <row r="325" spans="2:2" ht="15" customHeight="1" x14ac:dyDescent="0.25">
      <c r="B325" s="30" t="s">
        <v>67</v>
      </c>
    </row>
    <row r="326" spans="2:2" ht="15" customHeight="1" x14ac:dyDescent="0.25">
      <c r="B326" s="30" t="s">
        <v>68</v>
      </c>
    </row>
  </sheetData>
  <mergeCells count="24">
    <mergeCell ref="B153:B171"/>
    <mergeCell ref="B7:E8"/>
    <mergeCell ref="B10:B19"/>
    <mergeCell ref="B20:B27"/>
    <mergeCell ref="B28:B36"/>
    <mergeCell ref="B37:B48"/>
    <mergeCell ref="B49:B62"/>
    <mergeCell ref="B63:B72"/>
    <mergeCell ref="B73:B95"/>
    <mergeCell ref="B96:B125"/>
    <mergeCell ref="B126:B137"/>
    <mergeCell ref="B138:B152"/>
    <mergeCell ref="B320:C320"/>
    <mergeCell ref="B172:B209"/>
    <mergeCell ref="B210:B222"/>
    <mergeCell ref="B223:B245"/>
    <mergeCell ref="B246:B279"/>
    <mergeCell ref="B280:B283"/>
    <mergeCell ref="B284:B287"/>
    <mergeCell ref="B288:B289"/>
    <mergeCell ref="B290:B298"/>
    <mergeCell ref="B299:B314"/>
    <mergeCell ref="B315:B317"/>
    <mergeCell ref="B318:B3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8" max="4" man="1"/>
    <brk id="72" max="4" man="1"/>
    <brk id="95" max="4" man="1"/>
    <brk id="137" max="4" man="1"/>
    <brk id="171" max="4" man="1"/>
    <brk id="209" max="4" man="1"/>
    <brk id="245" max="4" man="1"/>
    <brk id="28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415"/>
  <sheetViews>
    <sheetView view="pageBreakPreview" zoomScale="85" zoomScaleNormal="145" zoomScaleSheetLayoutView="85" workbookViewId="0">
      <selection activeCell="G8" sqref="G8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32.140625" style="55" customWidth="1"/>
    <col min="6" max="6" width="16.85546875" style="55" customWidth="1"/>
    <col min="7" max="16384" width="35" style="46"/>
  </cols>
  <sheetData>
    <row r="1" spans="1:6" s="34" customFormat="1" ht="12" customHeight="1" x14ac:dyDescent="0.2">
      <c r="B1" s="35"/>
      <c r="C1" s="36"/>
      <c r="D1" s="36"/>
      <c r="E1" s="36"/>
      <c r="F1" s="36"/>
    </row>
    <row r="2" spans="1:6" s="34" customFormat="1" ht="15" customHeight="1" x14ac:dyDescent="0.2">
      <c r="C2" s="37"/>
    </row>
    <row r="3" spans="1:6" s="34" customFormat="1" ht="15" customHeight="1" x14ac:dyDescent="0.2">
      <c r="C3" s="37"/>
    </row>
    <row r="4" spans="1:6" s="34" customFormat="1" ht="30" customHeight="1" x14ac:dyDescent="0.2">
      <c r="C4" s="37"/>
      <c r="D4" s="38"/>
    </row>
    <row r="5" spans="1:6" s="34" customFormat="1" ht="15" customHeight="1" x14ac:dyDescent="0.2">
      <c r="C5" s="37"/>
      <c r="D5" s="38"/>
    </row>
    <row r="6" spans="1:6" s="39" customFormat="1" ht="24" customHeight="1" x14ac:dyDescent="0.2">
      <c r="B6" s="40"/>
      <c r="C6" s="41"/>
      <c r="D6" s="41"/>
      <c r="E6" s="41"/>
      <c r="F6" s="41"/>
    </row>
    <row r="7" spans="1:6" s="39" customFormat="1" ht="26.25" customHeight="1" x14ac:dyDescent="0.3">
      <c r="A7" s="42"/>
      <c r="B7" s="98"/>
      <c r="C7" s="98"/>
      <c r="D7" s="98"/>
      <c r="E7" s="98"/>
      <c r="F7" s="78"/>
    </row>
    <row r="8" spans="1:6" s="39" customFormat="1" ht="33" customHeight="1" x14ac:dyDescent="0.3">
      <c r="A8" s="42"/>
      <c r="B8" s="98"/>
      <c r="C8" s="98"/>
      <c r="D8" s="98"/>
      <c r="E8" s="98"/>
      <c r="F8" s="78"/>
    </row>
    <row r="9" spans="1:6" s="14" customFormat="1" ht="40.5" customHeight="1" x14ac:dyDescent="0.2">
      <c r="B9" s="43" t="s">
        <v>97</v>
      </c>
      <c r="C9" s="44" t="s">
        <v>70</v>
      </c>
      <c r="D9" s="45" t="s">
        <v>21</v>
      </c>
      <c r="E9" s="43" t="s">
        <v>22</v>
      </c>
      <c r="F9" s="79"/>
    </row>
    <row r="10" spans="1:6" ht="15" customHeight="1" x14ac:dyDescent="0.25">
      <c r="B10" s="93" t="s">
        <v>98</v>
      </c>
      <c r="C10" s="47" t="s">
        <v>84</v>
      </c>
      <c r="D10" s="48">
        <v>1</v>
      </c>
      <c r="E10" s="49">
        <v>7.7639751552795026E-4</v>
      </c>
      <c r="F10" s="80"/>
    </row>
    <row r="11" spans="1:6" ht="15" customHeight="1" x14ac:dyDescent="0.25">
      <c r="B11" s="94"/>
      <c r="C11" s="47" t="s">
        <v>86</v>
      </c>
      <c r="D11" s="48">
        <v>1</v>
      </c>
      <c r="E11" s="49">
        <v>7.7639751552795026E-4</v>
      </c>
      <c r="F11" s="80"/>
    </row>
    <row r="12" spans="1:6" ht="15" customHeight="1" x14ac:dyDescent="0.25">
      <c r="B12" s="95"/>
      <c r="C12" s="50" t="s">
        <v>63</v>
      </c>
      <c r="D12" s="51">
        <v>2</v>
      </c>
      <c r="E12" s="52">
        <v>1.5527950310559005E-3</v>
      </c>
      <c r="F12" s="81"/>
    </row>
    <row r="13" spans="1:6" ht="15" customHeight="1" x14ac:dyDescent="0.25">
      <c r="B13" s="93" t="s">
        <v>99</v>
      </c>
      <c r="C13" s="47" t="s">
        <v>75</v>
      </c>
      <c r="D13" s="48">
        <v>1</v>
      </c>
      <c r="E13" s="49">
        <v>7.7639751552795026E-4</v>
      </c>
      <c r="F13" s="80"/>
    </row>
    <row r="14" spans="1:6" ht="15" customHeight="1" x14ac:dyDescent="0.25">
      <c r="B14" s="94"/>
      <c r="C14" s="47" t="s">
        <v>76</v>
      </c>
      <c r="D14" s="48">
        <v>2</v>
      </c>
      <c r="E14" s="49">
        <v>1.5527950310559005E-3</v>
      </c>
      <c r="F14" s="80"/>
    </row>
    <row r="15" spans="1:6" ht="15" customHeight="1" x14ac:dyDescent="0.25">
      <c r="B15" s="94"/>
      <c r="C15" s="47" t="s">
        <v>77</v>
      </c>
      <c r="D15" s="48">
        <v>1</v>
      </c>
      <c r="E15" s="49">
        <v>7.7639751552795026E-4</v>
      </c>
      <c r="F15" s="80"/>
    </row>
    <row r="16" spans="1:6" ht="15" customHeight="1" x14ac:dyDescent="0.25">
      <c r="B16" s="94"/>
      <c r="C16" s="47" t="s">
        <v>78</v>
      </c>
      <c r="D16" s="48">
        <v>1</v>
      </c>
      <c r="E16" s="49">
        <v>7.7639751552795026E-4</v>
      </c>
      <c r="F16" s="80"/>
    </row>
    <row r="17" spans="2:6" ht="15" customHeight="1" x14ac:dyDescent="0.25">
      <c r="B17" s="94"/>
      <c r="C17" s="47" t="s">
        <v>79</v>
      </c>
      <c r="D17" s="48">
        <v>5</v>
      </c>
      <c r="E17" s="49">
        <v>3.8819875776397515E-3</v>
      </c>
      <c r="F17" s="80"/>
    </row>
    <row r="18" spans="2:6" ht="15" customHeight="1" x14ac:dyDescent="0.25">
      <c r="B18" s="94"/>
      <c r="C18" s="47" t="s">
        <v>80</v>
      </c>
      <c r="D18" s="48">
        <v>14</v>
      </c>
      <c r="E18" s="49">
        <v>1.0869565217391304E-2</v>
      </c>
      <c r="F18" s="80"/>
    </row>
    <row r="19" spans="2:6" ht="15" customHeight="1" x14ac:dyDescent="0.25">
      <c r="B19" s="94"/>
      <c r="C19" s="47" t="s">
        <v>81</v>
      </c>
      <c r="D19" s="48">
        <v>2</v>
      </c>
      <c r="E19" s="49">
        <v>1.5527950310559005E-3</v>
      </c>
      <c r="F19" s="80"/>
    </row>
    <row r="20" spans="2:6" ht="15" customHeight="1" x14ac:dyDescent="0.25">
      <c r="B20" s="94"/>
      <c r="C20" s="47" t="s">
        <v>82</v>
      </c>
      <c r="D20" s="48">
        <v>5</v>
      </c>
      <c r="E20" s="49">
        <v>3.8819875776397515E-3</v>
      </c>
      <c r="F20" s="80"/>
    </row>
    <row r="21" spans="2:6" ht="15" customHeight="1" x14ac:dyDescent="0.25">
      <c r="B21" s="94"/>
      <c r="C21" s="47" t="s">
        <v>83</v>
      </c>
      <c r="D21" s="48">
        <v>1</v>
      </c>
      <c r="E21" s="49">
        <v>7.7639751552795026E-4</v>
      </c>
      <c r="F21" s="80"/>
    </row>
    <row r="22" spans="2:6" ht="15" customHeight="1" x14ac:dyDescent="0.25">
      <c r="B22" s="94"/>
      <c r="C22" s="47" t="s">
        <v>84</v>
      </c>
      <c r="D22" s="48">
        <v>35</v>
      </c>
      <c r="E22" s="49">
        <v>2.717391304347826E-2</v>
      </c>
      <c r="F22" s="80"/>
    </row>
    <row r="23" spans="2:6" ht="15" customHeight="1" x14ac:dyDescent="0.25">
      <c r="B23" s="94"/>
      <c r="C23" s="47" t="s">
        <v>85</v>
      </c>
      <c r="D23" s="48">
        <v>1</v>
      </c>
      <c r="E23" s="49">
        <v>7.7639751552795026E-4</v>
      </c>
      <c r="F23" s="80"/>
    </row>
    <row r="24" spans="2:6" ht="15" customHeight="1" x14ac:dyDescent="0.25">
      <c r="B24" s="94"/>
      <c r="C24" s="47" t="s">
        <v>86</v>
      </c>
      <c r="D24" s="48">
        <v>5</v>
      </c>
      <c r="E24" s="49">
        <v>3.8819875776397515E-3</v>
      </c>
      <c r="F24" s="80"/>
    </row>
    <row r="25" spans="2:6" ht="15" customHeight="1" x14ac:dyDescent="0.25">
      <c r="B25" s="94"/>
      <c r="C25" s="47" t="s">
        <v>87</v>
      </c>
      <c r="D25" s="48">
        <v>21</v>
      </c>
      <c r="E25" s="49">
        <v>1.6304347826086956E-2</v>
      </c>
      <c r="F25" s="80"/>
    </row>
    <row r="26" spans="2:6" ht="15" customHeight="1" x14ac:dyDescent="0.25">
      <c r="B26" s="94"/>
      <c r="C26" s="47" t="s">
        <v>89</v>
      </c>
      <c r="D26" s="48">
        <v>1</v>
      </c>
      <c r="E26" s="49">
        <v>7.7639751552795026E-4</v>
      </c>
      <c r="F26" s="80"/>
    </row>
    <row r="27" spans="2:6" ht="15" customHeight="1" x14ac:dyDescent="0.25">
      <c r="B27" s="94"/>
      <c r="C27" s="47" t="s">
        <v>90</v>
      </c>
      <c r="D27" s="48">
        <v>1</v>
      </c>
      <c r="E27" s="49">
        <v>7.7639751552795026E-4</v>
      </c>
      <c r="F27" s="80"/>
    </row>
    <row r="28" spans="2:6" ht="15" customHeight="1" x14ac:dyDescent="0.25">
      <c r="B28" s="94"/>
      <c r="C28" s="47" t="s">
        <v>93</v>
      </c>
      <c r="D28" s="48">
        <v>1</v>
      </c>
      <c r="E28" s="49">
        <v>7.7639751552795026E-4</v>
      </c>
      <c r="F28" s="80"/>
    </row>
    <row r="29" spans="2:6" ht="15" customHeight="1" x14ac:dyDescent="0.25">
      <c r="B29" s="95"/>
      <c r="C29" s="50" t="s">
        <v>63</v>
      </c>
      <c r="D29" s="51">
        <v>97</v>
      </c>
      <c r="E29" s="52">
        <v>7.5310559006211183E-2</v>
      </c>
      <c r="F29" s="81"/>
    </row>
    <row r="30" spans="2:6" ht="15" customHeight="1" x14ac:dyDescent="0.25">
      <c r="B30" s="93" t="s">
        <v>100</v>
      </c>
      <c r="C30" s="47" t="s">
        <v>74</v>
      </c>
      <c r="D30" s="48">
        <v>1</v>
      </c>
      <c r="E30" s="49">
        <v>7.7639751552795026E-4</v>
      </c>
      <c r="F30" s="80"/>
    </row>
    <row r="31" spans="2:6" ht="15" customHeight="1" x14ac:dyDescent="0.25">
      <c r="B31" s="94"/>
      <c r="C31" s="47" t="s">
        <v>75</v>
      </c>
      <c r="D31" s="48">
        <v>1</v>
      </c>
      <c r="E31" s="49">
        <v>7.7639751552795026E-4</v>
      </c>
      <c r="F31" s="80"/>
    </row>
    <row r="32" spans="2:6" ht="15" customHeight="1" x14ac:dyDescent="0.25">
      <c r="B32" s="94"/>
      <c r="C32" s="47" t="s">
        <v>79</v>
      </c>
      <c r="D32" s="48">
        <v>3</v>
      </c>
      <c r="E32" s="49">
        <v>2.329192546583851E-3</v>
      </c>
      <c r="F32" s="80"/>
    </row>
    <row r="33" spans="2:6" ht="15" customHeight="1" x14ac:dyDescent="0.25">
      <c r="B33" s="94"/>
      <c r="C33" s="47" t="s">
        <v>80</v>
      </c>
      <c r="D33" s="48">
        <v>6</v>
      </c>
      <c r="E33" s="49">
        <v>4.658385093167702E-3</v>
      </c>
      <c r="F33" s="80"/>
    </row>
    <row r="34" spans="2:6" ht="15" customHeight="1" x14ac:dyDescent="0.25">
      <c r="B34" s="94"/>
      <c r="C34" s="47" t="s">
        <v>81</v>
      </c>
      <c r="D34" s="48">
        <v>1</v>
      </c>
      <c r="E34" s="49">
        <v>7.7639751552795026E-4</v>
      </c>
      <c r="F34" s="80"/>
    </row>
    <row r="35" spans="2:6" ht="15" customHeight="1" x14ac:dyDescent="0.25">
      <c r="B35" s="94"/>
      <c r="C35" s="47" t="s">
        <v>82</v>
      </c>
      <c r="D35" s="48">
        <v>2</v>
      </c>
      <c r="E35" s="49">
        <v>1.5527950310559005E-3</v>
      </c>
      <c r="F35" s="80"/>
    </row>
    <row r="36" spans="2:6" ht="15" customHeight="1" x14ac:dyDescent="0.25">
      <c r="B36" s="94"/>
      <c r="C36" s="47" t="s">
        <v>83</v>
      </c>
      <c r="D36" s="48">
        <v>2</v>
      </c>
      <c r="E36" s="49">
        <v>1.5527950310559005E-3</v>
      </c>
      <c r="F36" s="80"/>
    </row>
    <row r="37" spans="2:6" ht="15" customHeight="1" x14ac:dyDescent="0.25">
      <c r="B37" s="94"/>
      <c r="C37" s="47" t="s">
        <v>84</v>
      </c>
      <c r="D37" s="48">
        <v>14</v>
      </c>
      <c r="E37" s="49">
        <v>1.0869565217391304E-2</v>
      </c>
      <c r="F37" s="80"/>
    </row>
    <row r="38" spans="2:6" ht="15" customHeight="1" x14ac:dyDescent="0.25">
      <c r="B38" s="94"/>
      <c r="C38" s="47" t="s">
        <v>86</v>
      </c>
      <c r="D38" s="48">
        <v>6</v>
      </c>
      <c r="E38" s="49">
        <v>4.658385093167702E-3</v>
      </c>
      <c r="F38" s="80"/>
    </row>
    <row r="39" spans="2:6" ht="15" customHeight="1" x14ac:dyDescent="0.25">
      <c r="B39" s="94"/>
      <c r="C39" s="47" t="s">
        <v>87</v>
      </c>
      <c r="D39" s="48">
        <v>6</v>
      </c>
      <c r="E39" s="49">
        <v>4.658385093167702E-3</v>
      </c>
      <c r="F39" s="80"/>
    </row>
    <row r="40" spans="2:6" ht="15" customHeight="1" x14ac:dyDescent="0.25">
      <c r="B40" s="94"/>
      <c r="C40" s="47" t="s">
        <v>92</v>
      </c>
      <c r="D40" s="48">
        <v>2</v>
      </c>
      <c r="E40" s="49">
        <v>1.5527950310559005E-3</v>
      </c>
      <c r="F40" s="80"/>
    </row>
    <row r="41" spans="2:6" ht="15" customHeight="1" x14ac:dyDescent="0.25">
      <c r="B41" s="94"/>
      <c r="C41" s="47" t="s">
        <v>93</v>
      </c>
      <c r="D41" s="48">
        <v>1</v>
      </c>
      <c r="E41" s="49">
        <v>7.7639751552795026E-4</v>
      </c>
      <c r="F41" s="80"/>
    </row>
    <row r="42" spans="2:6" ht="15" customHeight="1" x14ac:dyDescent="0.25">
      <c r="B42" s="95"/>
      <c r="C42" s="50" t="s">
        <v>63</v>
      </c>
      <c r="D42" s="51">
        <v>45</v>
      </c>
      <c r="E42" s="52">
        <v>3.4937888198757761E-2</v>
      </c>
      <c r="F42" s="81"/>
    </row>
    <row r="43" spans="2:6" ht="15" customHeight="1" x14ac:dyDescent="0.25">
      <c r="B43" s="93" t="s">
        <v>101</v>
      </c>
      <c r="C43" s="47" t="s">
        <v>74</v>
      </c>
      <c r="D43" s="48">
        <v>1</v>
      </c>
      <c r="E43" s="49">
        <v>7.7639751552795026E-4</v>
      </c>
      <c r="F43" s="80"/>
    </row>
    <row r="44" spans="2:6" ht="15" customHeight="1" x14ac:dyDescent="0.25">
      <c r="B44" s="94"/>
      <c r="C44" s="47" t="s">
        <v>76</v>
      </c>
      <c r="D44" s="48">
        <v>1</v>
      </c>
      <c r="E44" s="49">
        <v>7.7639751552795026E-4</v>
      </c>
      <c r="F44" s="80"/>
    </row>
    <row r="45" spans="2:6" ht="15" customHeight="1" x14ac:dyDescent="0.25">
      <c r="B45" s="94"/>
      <c r="C45" s="47" t="s">
        <v>80</v>
      </c>
      <c r="D45" s="48">
        <v>2</v>
      </c>
      <c r="E45" s="49">
        <v>1.5527950310559005E-3</v>
      </c>
      <c r="F45" s="80"/>
    </row>
    <row r="46" spans="2:6" ht="15" customHeight="1" x14ac:dyDescent="0.25">
      <c r="B46" s="94"/>
      <c r="C46" s="47" t="s">
        <v>83</v>
      </c>
      <c r="D46" s="48">
        <v>1</v>
      </c>
      <c r="E46" s="49">
        <v>7.7639751552795026E-4</v>
      </c>
      <c r="F46" s="80"/>
    </row>
    <row r="47" spans="2:6" ht="15" customHeight="1" x14ac:dyDescent="0.25">
      <c r="B47" s="94"/>
      <c r="C47" s="47" t="s">
        <v>84</v>
      </c>
      <c r="D47" s="48">
        <v>4</v>
      </c>
      <c r="E47" s="49">
        <v>3.105590062111801E-3</v>
      </c>
      <c r="F47" s="80"/>
    </row>
    <row r="48" spans="2:6" ht="15" customHeight="1" x14ac:dyDescent="0.25">
      <c r="B48" s="94"/>
      <c r="C48" s="47" t="s">
        <v>86</v>
      </c>
      <c r="D48" s="48">
        <v>1</v>
      </c>
      <c r="E48" s="49">
        <v>7.7639751552795026E-4</v>
      </c>
      <c r="F48" s="80"/>
    </row>
    <row r="49" spans="2:6" ht="15" customHeight="1" x14ac:dyDescent="0.25">
      <c r="B49" s="95"/>
      <c r="C49" s="50" t="s">
        <v>63</v>
      </c>
      <c r="D49" s="51">
        <v>10</v>
      </c>
      <c r="E49" s="52">
        <v>7.763975155279503E-3</v>
      </c>
      <c r="F49" s="81"/>
    </row>
    <row r="50" spans="2:6" ht="15" customHeight="1" x14ac:dyDescent="0.25">
      <c r="B50" s="93" t="s">
        <v>102</v>
      </c>
      <c r="C50" s="47" t="s">
        <v>84</v>
      </c>
      <c r="D50" s="48">
        <v>1</v>
      </c>
      <c r="E50" s="49">
        <v>7.7639751552795026E-4</v>
      </c>
      <c r="F50" s="80"/>
    </row>
    <row r="51" spans="2:6" ht="15" customHeight="1" x14ac:dyDescent="0.25">
      <c r="B51" s="95"/>
      <c r="C51" s="50" t="s">
        <v>63</v>
      </c>
      <c r="D51" s="51">
        <v>1</v>
      </c>
      <c r="E51" s="52">
        <v>7.7639751552795026E-4</v>
      </c>
      <c r="F51" s="81"/>
    </row>
    <row r="52" spans="2:6" ht="15" customHeight="1" x14ac:dyDescent="0.25">
      <c r="B52" s="93" t="s">
        <v>103</v>
      </c>
      <c r="C52" s="47" t="s">
        <v>79</v>
      </c>
      <c r="D52" s="48">
        <v>5</v>
      </c>
      <c r="E52" s="49">
        <v>3.8819875776397515E-3</v>
      </c>
      <c r="F52" s="80"/>
    </row>
    <row r="53" spans="2:6" ht="15" customHeight="1" x14ac:dyDescent="0.25">
      <c r="B53" s="94"/>
      <c r="C53" s="47" t="s">
        <v>81</v>
      </c>
      <c r="D53" s="48">
        <v>1</v>
      </c>
      <c r="E53" s="49">
        <v>7.7639751552795026E-4</v>
      </c>
      <c r="F53" s="80"/>
    </row>
    <row r="54" spans="2:6" ht="15" customHeight="1" x14ac:dyDescent="0.25">
      <c r="B54" s="94"/>
      <c r="C54" s="47" t="s">
        <v>83</v>
      </c>
      <c r="D54" s="48">
        <v>1</v>
      </c>
      <c r="E54" s="49">
        <v>7.7639751552795026E-4</v>
      </c>
      <c r="F54" s="80"/>
    </row>
    <row r="55" spans="2:6" ht="15" customHeight="1" x14ac:dyDescent="0.25">
      <c r="B55" s="94"/>
      <c r="C55" s="47" t="s">
        <v>84</v>
      </c>
      <c r="D55" s="48">
        <v>1</v>
      </c>
      <c r="E55" s="49">
        <v>7.7639751552795026E-4</v>
      </c>
      <c r="F55" s="80"/>
    </row>
    <row r="56" spans="2:6" ht="15" customHeight="1" x14ac:dyDescent="0.25">
      <c r="B56" s="94"/>
      <c r="C56" s="47" t="s">
        <v>86</v>
      </c>
      <c r="D56" s="48">
        <v>1</v>
      </c>
      <c r="E56" s="49">
        <v>7.7639751552795026E-4</v>
      </c>
      <c r="F56" s="80"/>
    </row>
    <row r="57" spans="2:6" ht="15" customHeight="1" x14ac:dyDescent="0.25">
      <c r="B57" s="94"/>
      <c r="C57" s="47" t="s">
        <v>87</v>
      </c>
      <c r="D57" s="48">
        <v>3</v>
      </c>
      <c r="E57" s="49">
        <v>2.329192546583851E-3</v>
      </c>
      <c r="F57" s="80"/>
    </row>
    <row r="58" spans="2:6" ht="15" customHeight="1" x14ac:dyDescent="0.25">
      <c r="B58" s="94"/>
      <c r="C58" s="47" t="s">
        <v>93</v>
      </c>
      <c r="D58" s="48">
        <v>1</v>
      </c>
      <c r="E58" s="49">
        <v>7.7639751552795026E-4</v>
      </c>
      <c r="F58" s="80"/>
    </row>
    <row r="59" spans="2:6" ht="15" customHeight="1" x14ac:dyDescent="0.25">
      <c r="B59" s="95"/>
      <c r="C59" s="50" t="s">
        <v>63</v>
      </c>
      <c r="D59" s="51">
        <v>13</v>
      </c>
      <c r="E59" s="52">
        <v>1.0093167701863354E-2</v>
      </c>
      <c r="F59" s="81"/>
    </row>
    <row r="60" spans="2:6" ht="15" customHeight="1" x14ac:dyDescent="0.25">
      <c r="B60" s="93" t="s">
        <v>104</v>
      </c>
      <c r="C60" s="47" t="s">
        <v>79</v>
      </c>
      <c r="D60" s="48">
        <v>2</v>
      </c>
      <c r="E60" s="49">
        <v>1.5527950310559005E-3</v>
      </c>
      <c r="F60" s="80"/>
    </row>
    <row r="61" spans="2:6" ht="15" customHeight="1" x14ac:dyDescent="0.25">
      <c r="B61" s="94"/>
      <c r="C61" s="47" t="s">
        <v>80</v>
      </c>
      <c r="D61" s="48">
        <v>4</v>
      </c>
      <c r="E61" s="49">
        <v>3.105590062111801E-3</v>
      </c>
      <c r="F61" s="80"/>
    </row>
    <row r="62" spans="2:6" ht="15" customHeight="1" x14ac:dyDescent="0.25">
      <c r="B62" s="94"/>
      <c r="C62" s="47" t="s">
        <v>82</v>
      </c>
      <c r="D62" s="48">
        <v>1</v>
      </c>
      <c r="E62" s="49">
        <v>7.7639751552795026E-4</v>
      </c>
      <c r="F62" s="80"/>
    </row>
    <row r="63" spans="2:6" ht="15" customHeight="1" x14ac:dyDescent="0.25">
      <c r="B63" s="94"/>
      <c r="C63" s="47" t="s">
        <v>84</v>
      </c>
      <c r="D63" s="48">
        <v>14</v>
      </c>
      <c r="E63" s="49">
        <v>1.0869565217391304E-2</v>
      </c>
      <c r="F63" s="80"/>
    </row>
    <row r="64" spans="2:6" ht="15" customHeight="1" x14ac:dyDescent="0.25">
      <c r="B64" s="94"/>
      <c r="C64" s="47" t="s">
        <v>85</v>
      </c>
      <c r="D64" s="48">
        <v>3</v>
      </c>
      <c r="E64" s="49">
        <v>2.329192546583851E-3</v>
      </c>
      <c r="F64" s="80"/>
    </row>
    <row r="65" spans="2:6" ht="15" customHeight="1" x14ac:dyDescent="0.25">
      <c r="B65" s="94"/>
      <c r="C65" s="47" t="s">
        <v>86</v>
      </c>
      <c r="D65" s="48">
        <v>3</v>
      </c>
      <c r="E65" s="49">
        <v>2.329192546583851E-3</v>
      </c>
      <c r="F65" s="80"/>
    </row>
    <row r="66" spans="2:6" ht="15" customHeight="1" x14ac:dyDescent="0.25">
      <c r="B66" s="94"/>
      <c r="C66" s="47" t="s">
        <v>87</v>
      </c>
      <c r="D66" s="48">
        <v>8</v>
      </c>
      <c r="E66" s="49">
        <v>6.2111801242236021E-3</v>
      </c>
      <c r="F66" s="80"/>
    </row>
    <row r="67" spans="2:6" ht="15" customHeight="1" x14ac:dyDescent="0.25">
      <c r="B67" s="94"/>
      <c r="C67" s="47" t="s">
        <v>92</v>
      </c>
      <c r="D67" s="48">
        <v>2</v>
      </c>
      <c r="E67" s="49">
        <v>1.5527950310559005E-3</v>
      </c>
      <c r="F67" s="80"/>
    </row>
    <row r="68" spans="2:6" ht="15" customHeight="1" x14ac:dyDescent="0.25">
      <c r="B68" s="94"/>
      <c r="C68" s="47" t="s">
        <v>93</v>
      </c>
      <c r="D68" s="48">
        <v>2</v>
      </c>
      <c r="E68" s="49">
        <v>1.5527950310559005E-3</v>
      </c>
      <c r="F68" s="80"/>
    </row>
    <row r="69" spans="2:6" ht="15" customHeight="1" x14ac:dyDescent="0.25">
      <c r="B69" s="95"/>
      <c r="C69" s="50" t="s">
        <v>63</v>
      </c>
      <c r="D69" s="51">
        <v>39</v>
      </c>
      <c r="E69" s="52">
        <v>3.0279503105590064E-2</v>
      </c>
      <c r="F69" s="81"/>
    </row>
    <row r="70" spans="2:6" ht="15" customHeight="1" x14ac:dyDescent="0.25">
      <c r="B70" s="93" t="s">
        <v>105</v>
      </c>
      <c r="C70" s="47" t="s">
        <v>75</v>
      </c>
      <c r="D70" s="48">
        <v>1</v>
      </c>
      <c r="E70" s="49">
        <v>7.7639751552795026E-4</v>
      </c>
      <c r="F70" s="80"/>
    </row>
    <row r="71" spans="2:6" ht="15" customHeight="1" x14ac:dyDescent="0.25">
      <c r="B71" s="94"/>
      <c r="C71" s="47" t="s">
        <v>76</v>
      </c>
      <c r="D71" s="48">
        <v>1</v>
      </c>
      <c r="E71" s="49">
        <v>7.7639751552795026E-4</v>
      </c>
      <c r="F71" s="80"/>
    </row>
    <row r="72" spans="2:6" ht="15" customHeight="1" x14ac:dyDescent="0.25">
      <c r="B72" s="94"/>
      <c r="C72" s="47" t="s">
        <v>79</v>
      </c>
      <c r="D72" s="48">
        <v>3</v>
      </c>
      <c r="E72" s="49">
        <v>2.329192546583851E-3</v>
      </c>
      <c r="F72" s="80"/>
    </row>
    <row r="73" spans="2:6" ht="15" customHeight="1" x14ac:dyDescent="0.25">
      <c r="B73" s="94"/>
      <c r="C73" s="47" t="s">
        <v>80</v>
      </c>
      <c r="D73" s="48">
        <v>8</v>
      </c>
      <c r="E73" s="49">
        <v>6.2111801242236021E-3</v>
      </c>
      <c r="F73" s="80"/>
    </row>
    <row r="74" spans="2:6" ht="15" customHeight="1" x14ac:dyDescent="0.25">
      <c r="B74" s="94"/>
      <c r="C74" s="47" t="s">
        <v>82</v>
      </c>
      <c r="D74" s="48">
        <v>2</v>
      </c>
      <c r="E74" s="49">
        <v>1.5527950310559005E-3</v>
      </c>
      <c r="F74" s="80"/>
    </row>
    <row r="75" spans="2:6" ht="15" customHeight="1" x14ac:dyDescent="0.25">
      <c r="B75" s="94"/>
      <c r="C75" s="47" t="s">
        <v>83</v>
      </c>
      <c r="D75" s="48">
        <v>1</v>
      </c>
      <c r="E75" s="49">
        <v>7.7639751552795026E-4</v>
      </c>
      <c r="F75" s="80"/>
    </row>
    <row r="76" spans="2:6" ht="15" customHeight="1" x14ac:dyDescent="0.25">
      <c r="B76" s="94"/>
      <c r="C76" s="47" t="s">
        <v>84</v>
      </c>
      <c r="D76" s="48">
        <v>17</v>
      </c>
      <c r="E76" s="49">
        <v>1.3198757763975156E-2</v>
      </c>
      <c r="F76" s="80"/>
    </row>
    <row r="77" spans="2:6" ht="15" customHeight="1" x14ac:dyDescent="0.25">
      <c r="B77" s="94"/>
      <c r="C77" s="47" t="s">
        <v>85</v>
      </c>
      <c r="D77" s="48">
        <v>1</v>
      </c>
      <c r="E77" s="49">
        <v>7.7639751552795026E-4</v>
      </c>
      <c r="F77" s="80"/>
    </row>
    <row r="78" spans="2:6" ht="15" customHeight="1" x14ac:dyDescent="0.25">
      <c r="B78" s="94"/>
      <c r="C78" s="47" t="s">
        <v>86</v>
      </c>
      <c r="D78" s="48">
        <v>5</v>
      </c>
      <c r="E78" s="49">
        <v>3.8819875776397515E-3</v>
      </c>
      <c r="F78" s="80"/>
    </row>
    <row r="79" spans="2:6" ht="15" customHeight="1" x14ac:dyDescent="0.25">
      <c r="B79" s="94"/>
      <c r="C79" s="47" t="s">
        <v>87</v>
      </c>
      <c r="D79" s="48">
        <v>18</v>
      </c>
      <c r="E79" s="49">
        <v>1.3975155279503106E-2</v>
      </c>
      <c r="F79" s="80"/>
    </row>
    <row r="80" spans="2:6" ht="15" customHeight="1" x14ac:dyDescent="0.25">
      <c r="B80" s="94"/>
      <c r="C80" s="47" t="s">
        <v>92</v>
      </c>
      <c r="D80" s="48">
        <v>3</v>
      </c>
      <c r="E80" s="49">
        <v>2.329192546583851E-3</v>
      </c>
      <c r="F80" s="80"/>
    </row>
    <row r="81" spans="2:6" ht="15" customHeight="1" x14ac:dyDescent="0.25">
      <c r="B81" s="94"/>
      <c r="C81" s="47" t="s">
        <v>93</v>
      </c>
      <c r="D81" s="48">
        <v>5</v>
      </c>
      <c r="E81" s="49">
        <v>3.8819875776397515E-3</v>
      </c>
      <c r="F81" s="80"/>
    </row>
    <row r="82" spans="2:6" ht="15" customHeight="1" x14ac:dyDescent="0.25">
      <c r="B82" s="95"/>
      <c r="C82" s="50" t="s">
        <v>63</v>
      </c>
      <c r="D82" s="51">
        <v>65</v>
      </c>
      <c r="E82" s="52">
        <v>5.0465838509316768E-2</v>
      </c>
      <c r="F82" s="81"/>
    </row>
    <row r="83" spans="2:6" ht="15" customHeight="1" x14ac:dyDescent="0.25">
      <c r="B83" s="93" t="s">
        <v>106</v>
      </c>
      <c r="C83" s="47" t="s">
        <v>77</v>
      </c>
      <c r="D83" s="48">
        <v>1</v>
      </c>
      <c r="E83" s="49">
        <v>7.7639751552795026E-4</v>
      </c>
      <c r="F83" s="80"/>
    </row>
    <row r="84" spans="2:6" ht="15" customHeight="1" x14ac:dyDescent="0.25">
      <c r="B84" s="94"/>
      <c r="C84" s="47" t="s">
        <v>78</v>
      </c>
      <c r="D84" s="48">
        <v>1</v>
      </c>
      <c r="E84" s="49">
        <v>7.7639751552795026E-4</v>
      </c>
      <c r="F84" s="80"/>
    </row>
    <row r="85" spans="2:6" ht="15" customHeight="1" x14ac:dyDescent="0.25">
      <c r="B85" s="94"/>
      <c r="C85" s="47" t="s">
        <v>79</v>
      </c>
      <c r="D85" s="48">
        <v>5</v>
      </c>
      <c r="E85" s="49">
        <v>3.8819875776397515E-3</v>
      </c>
      <c r="F85" s="80"/>
    </row>
    <row r="86" spans="2:6" ht="15" customHeight="1" x14ac:dyDescent="0.25">
      <c r="B86" s="94"/>
      <c r="C86" s="47" t="s">
        <v>80</v>
      </c>
      <c r="D86" s="48">
        <v>10</v>
      </c>
      <c r="E86" s="49">
        <v>7.763975155279503E-3</v>
      </c>
      <c r="F86" s="80"/>
    </row>
    <row r="87" spans="2:6" ht="15" customHeight="1" x14ac:dyDescent="0.25">
      <c r="B87" s="94"/>
      <c r="C87" s="47" t="s">
        <v>82</v>
      </c>
      <c r="D87" s="48">
        <v>2</v>
      </c>
      <c r="E87" s="49">
        <v>1.5527950310559005E-3</v>
      </c>
      <c r="F87" s="80"/>
    </row>
    <row r="88" spans="2:6" ht="15" customHeight="1" x14ac:dyDescent="0.25">
      <c r="B88" s="94"/>
      <c r="C88" s="47" t="s">
        <v>83</v>
      </c>
      <c r="D88" s="48">
        <v>3</v>
      </c>
      <c r="E88" s="49">
        <v>2.329192546583851E-3</v>
      </c>
      <c r="F88" s="80"/>
    </row>
    <row r="89" spans="2:6" ht="15" customHeight="1" x14ac:dyDescent="0.25">
      <c r="B89" s="94"/>
      <c r="C89" s="47" t="s">
        <v>84</v>
      </c>
      <c r="D89" s="48">
        <v>12</v>
      </c>
      <c r="E89" s="49">
        <v>9.316770186335404E-3</v>
      </c>
      <c r="F89" s="80"/>
    </row>
    <row r="90" spans="2:6" ht="15" customHeight="1" x14ac:dyDescent="0.25">
      <c r="B90" s="94"/>
      <c r="C90" s="47" t="s">
        <v>86</v>
      </c>
      <c r="D90" s="48">
        <v>2</v>
      </c>
      <c r="E90" s="49">
        <v>1.5527950310559005E-3</v>
      </c>
      <c r="F90" s="80"/>
    </row>
    <row r="91" spans="2:6" ht="15" customHeight="1" x14ac:dyDescent="0.25">
      <c r="B91" s="94"/>
      <c r="C91" s="47" t="s">
        <v>87</v>
      </c>
      <c r="D91" s="48">
        <v>10</v>
      </c>
      <c r="E91" s="49">
        <v>7.763975155279503E-3</v>
      </c>
      <c r="F91" s="80"/>
    </row>
    <row r="92" spans="2:6" ht="15" customHeight="1" x14ac:dyDescent="0.25">
      <c r="B92" s="95"/>
      <c r="C92" s="50" t="s">
        <v>63</v>
      </c>
      <c r="D92" s="51">
        <v>46</v>
      </c>
      <c r="E92" s="52">
        <v>3.5714285714285712E-2</v>
      </c>
      <c r="F92" s="81"/>
    </row>
    <row r="93" spans="2:6" ht="15" customHeight="1" x14ac:dyDescent="0.25">
      <c r="B93" s="93" t="s">
        <v>107</v>
      </c>
      <c r="C93" s="47" t="s">
        <v>73</v>
      </c>
      <c r="D93" s="48">
        <v>1</v>
      </c>
      <c r="E93" s="49">
        <v>7.7639751552795026E-4</v>
      </c>
      <c r="F93" s="80"/>
    </row>
    <row r="94" spans="2:6" ht="15" customHeight="1" x14ac:dyDescent="0.25">
      <c r="B94" s="94"/>
      <c r="C94" s="47" t="s">
        <v>74</v>
      </c>
      <c r="D94" s="48">
        <v>1</v>
      </c>
      <c r="E94" s="49">
        <v>7.7639751552795026E-4</v>
      </c>
      <c r="F94" s="80"/>
    </row>
    <row r="95" spans="2:6" ht="15" customHeight="1" x14ac:dyDescent="0.25">
      <c r="B95" s="94"/>
      <c r="C95" s="47" t="s">
        <v>81</v>
      </c>
      <c r="D95" s="48">
        <v>1</v>
      </c>
      <c r="E95" s="49">
        <v>7.7639751552795026E-4</v>
      </c>
      <c r="F95" s="80"/>
    </row>
    <row r="96" spans="2:6" ht="15" customHeight="1" x14ac:dyDescent="0.25">
      <c r="B96" s="94"/>
      <c r="C96" s="47" t="s">
        <v>83</v>
      </c>
      <c r="D96" s="48">
        <v>2</v>
      </c>
      <c r="E96" s="49">
        <v>1.5527950310559005E-3</v>
      </c>
      <c r="F96" s="80"/>
    </row>
    <row r="97" spans="2:6" ht="15" customHeight="1" x14ac:dyDescent="0.25">
      <c r="B97" s="94"/>
      <c r="C97" s="47" t="s">
        <v>84</v>
      </c>
      <c r="D97" s="48">
        <v>4</v>
      </c>
      <c r="E97" s="49">
        <v>3.105590062111801E-3</v>
      </c>
      <c r="F97" s="80"/>
    </row>
    <row r="98" spans="2:6" ht="15" customHeight="1" x14ac:dyDescent="0.25">
      <c r="B98" s="94"/>
      <c r="C98" s="47" t="s">
        <v>86</v>
      </c>
      <c r="D98" s="48">
        <v>1</v>
      </c>
      <c r="E98" s="49">
        <v>7.7639751552795026E-4</v>
      </c>
      <c r="F98" s="80"/>
    </row>
    <row r="99" spans="2:6" ht="15" customHeight="1" x14ac:dyDescent="0.25">
      <c r="B99" s="94"/>
      <c r="C99" s="47" t="s">
        <v>87</v>
      </c>
      <c r="D99" s="48">
        <v>4</v>
      </c>
      <c r="E99" s="49">
        <v>3.105590062111801E-3</v>
      </c>
      <c r="F99" s="80"/>
    </row>
    <row r="100" spans="2:6" ht="15" customHeight="1" x14ac:dyDescent="0.25">
      <c r="B100" s="95"/>
      <c r="C100" s="50" t="s">
        <v>63</v>
      </c>
      <c r="D100" s="51">
        <v>14</v>
      </c>
      <c r="E100" s="52">
        <v>1.0869565217391304E-2</v>
      </c>
      <c r="F100" s="81"/>
    </row>
    <row r="101" spans="2:6" ht="15" customHeight="1" x14ac:dyDescent="0.25">
      <c r="B101" s="93" t="s">
        <v>108</v>
      </c>
      <c r="C101" s="47" t="s">
        <v>79</v>
      </c>
      <c r="D101" s="48">
        <v>4</v>
      </c>
      <c r="E101" s="49">
        <v>3.105590062111801E-3</v>
      </c>
      <c r="F101" s="80"/>
    </row>
    <row r="102" spans="2:6" ht="15" customHeight="1" x14ac:dyDescent="0.25">
      <c r="B102" s="94"/>
      <c r="C102" s="47" t="s">
        <v>80</v>
      </c>
      <c r="D102" s="48">
        <v>1</v>
      </c>
      <c r="E102" s="49">
        <v>7.7639751552795026E-4</v>
      </c>
      <c r="F102" s="80"/>
    </row>
    <row r="103" spans="2:6" ht="15" customHeight="1" x14ac:dyDescent="0.25">
      <c r="B103" s="94"/>
      <c r="C103" s="47" t="s">
        <v>83</v>
      </c>
      <c r="D103" s="48">
        <v>1</v>
      </c>
      <c r="E103" s="49">
        <v>7.7639751552795026E-4</v>
      </c>
      <c r="F103" s="80"/>
    </row>
    <row r="104" spans="2:6" ht="15" customHeight="1" x14ac:dyDescent="0.25">
      <c r="B104" s="94"/>
      <c r="C104" s="47" t="s">
        <v>84</v>
      </c>
      <c r="D104" s="48">
        <v>2</v>
      </c>
      <c r="E104" s="49">
        <v>1.5527950310559005E-3</v>
      </c>
      <c r="F104" s="80"/>
    </row>
    <row r="105" spans="2:6" ht="15" customHeight="1" x14ac:dyDescent="0.25">
      <c r="B105" s="94"/>
      <c r="C105" s="47" t="s">
        <v>87</v>
      </c>
      <c r="D105" s="48">
        <v>1</v>
      </c>
      <c r="E105" s="49">
        <v>7.7639751552795026E-4</v>
      </c>
      <c r="F105" s="80"/>
    </row>
    <row r="106" spans="2:6" ht="15" customHeight="1" x14ac:dyDescent="0.25">
      <c r="B106" s="95"/>
      <c r="C106" s="50" t="s">
        <v>63</v>
      </c>
      <c r="D106" s="51">
        <v>9</v>
      </c>
      <c r="E106" s="52">
        <v>6.987577639751553E-3</v>
      </c>
      <c r="F106" s="81"/>
    </row>
    <row r="107" spans="2:6" ht="15" customHeight="1" x14ac:dyDescent="0.25">
      <c r="B107" s="93" t="s">
        <v>109</v>
      </c>
      <c r="C107" s="47" t="s">
        <v>80</v>
      </c>
      <c r="D107" s="48">
        <v>1</v>
      </c>
      <c r="E107" s="49">
        <v>7.7639751552795026E-4</v>
      </c>
      <c r="F107" s="80"/>
    </row>
    <row r="108" spans="2:6" ht="15" customHeight="1" x14ac:dyDescent="0.25">
      <c r="B108" s="94"/>
      <c r="C108" s="47" t="s">
        <v>84</v>
      </c>
      <c r="D108" s="48">
        <v>1</v>
      </c>
      <c r="E108" s="49">
        <v>7.7639751552795026E-4</v>
      </c>
      <c r="F108" s="80"/>
    </row>
    <row r="109" spans="2:6" ht="15" customHeight="1" x14ac:dyDescent="0.25">
      <c r="B109" s="94"/>
      <c r="C109" s="47" t="s">
        <v>93</v>
      </c>
      <c r="D109" s="48">
        <v>1</v>
      </c>
      <c r="E109" s="49">
        <v>7.7639751552795026E-4</v>
      </c>
      <c r="F109" s="80"/>
    </row>
    <row r="110" spans="2:6" ht="15" customHeight="1" x14ac:dyDescent="0.25">
      <c r="B110" s="95"/>
      <c r="C110" s="50" t="s">
        <v>63</v>
      </c>
      <c r="D110" s="51">
        <v>3</v>
      </c>
      <c r="E110" s="52">
        <v>2.329192546583851E-3</v>
      </c>
      <c r="F110" s="81"/>
    </row>
    <row r="111" spans="2:6" ht="15" customHeight="1" x14ac:dyDescent="0.25">
      <c r="B111" s="93" t="s">
        <v>110</v>
      </c>
      <c r="C111" s="47" t="s">
        <v>77</v>
      </c>
      <c r="D111" s="48">
        <v>2</v>
      </c>
      <c r="E111" s="49">
        <v>1.5527950310559005E-3</v>
      </c>
      <c r="F111" s="80"/>
    </row>
    <row r="112" spans="2:6" ht="15" customHeight="1" x14ac:dyDescent="0.25">
      <c r="B112" s="94"/>
      <c r="C112" s="47" t="s">
        <v>79</v>
      </c>
      <c r="D112" s="48">
        <v>3</v>
      </c>
      <c r="E112" s="49">
        <v>2.329192546583851E-3</v>
      </c>
      <c r="F112" s="80"/>
    </row>
    <row r="113" spans="2:6" ht="15" customHeight="1" x14ac:dyDescent="0.25">
      <c r="B113" s="94"/>
      <c r="C113" s="47" t="s">
        <v>80</v>
      </c>
      <c r="D113" s="48">
        <v>3</v>
      </c>
      <c r="E113" s="49">
        <v>2.329192546583851E-3</v>
      </c>
      <c r="F113" s="80"/>
    </row>
    <row r="114" spans="2:6" ht="15" customHeight="1" x14ac:dyDescent="0.25">
      <c r="B114" s="94"/>
      <c r="C114" s="47" t="s">
        <v>84</v>
      </c>
      <c r="D114" s="48">
        <v>7</v>
      </c>
      <c r="E114" s="49">
        <v>5.434782608695652E-3</v>
      </c>
      <c r="F114" s="80"/>
    </row>
    <row r="115" spans="2:6" ht="15" customHeight="1" x14ac:dyDescent="0.25">
      <c r="B115" s="94"/>
      <c r="C115" s="47" t="s">
        <v>86</v>
      </c>
      <c r="D115" s="48">
        <v>2</v>
      </c>
      <c r="E115" s="49">
        <v>1.5527950310559005E-3</v>
      </c>
      <c r="F115" s="80"/>
    </row>
    <row r="116" spans="2:6" ht="15" customHeight="1" x14ac:dyDescent="0.25">
      <c r="B116" s="94"/>
      <c r="C116" s="47" t="s">
        <v>87</v>
      </c>
      <c r="D116" s="48">
        <v>2</v>
      </c>
      <c r="E116" s="49">
        <v>1.5527950310559005E-3</v>
      </c>
      <c r="F116" s="80"/>
    </row>
    <row r="117" spans="2:6" ht="15" customHeight="1" x14ac:dyDescent="0.25">
      <c r="B117" s="95"/>
      <c r="C117" s="50" t="s">
        <v>63</v>
      </c>
      <c r="D117" s="51">
        <v>19</v>
      </c>
      <c r="E117" s="52">
        <v>1.4751552795031056E-2</v>
      </c>
      <c r="F117" s="81"/>
    </row>
    <row r="118" spans="2:6" ht="15" customHeight="1" x14ac:dyDescent="0.25">
      <c r="B118" s="93" t="s">
        <v>111</v>
      </c>
      <c r="C118" s="47" t="s">
        <v>73</v>
      </c>
      <c r="D118" s="48">
        <v>1</v>
      </c>
      <c r="E118" s="49">
        <v>7.7639751552795026E-4</v>
      </c>
      <c r="F118" s="80"/>
    </row>
    <row r="119" spans="2:6" ht="15" customHeight="1" x14ac:dyDescent="0.25">
      <c r="B119" s="94"/>
      <c r="C119" s="47" t="s">
        <v>77</v>
      </c>
      <c r="D119" s="48">
        <v>1</v>
      </c>
      <c r="E119" s="49">
        <v>7.7639751552795026E-4</v>
      </c>
      <c r="F119" s="80"/>
    </row>
    <row r="120" spans="2:6" ht="15" customHeight="1" x14ac:dyDescent="0.25">
      <c r="B120" s="94"/>
      <c r="C120" s="47" t="s">
        <v>79</v>
      </c>
      <c r="D120" s="48">
        <v>7</v>
      </c>
      <c r="E120" s="49">
        <v>5.434782608695652E-3</v>
      </c>
      <c r="F120" s="80"/>
    </row>
    <row r="121" spans="2:6" ht="15" customHeight="1" x14ac:dyDescent="0.25">
      <c r="B121" s="94"/>
      <c r="C121" s="47" t="s">
        <v>80</v>
      </c>
      <c r="D121" s="48">
        <v>8</v>
      </c>
      <c r="E121" s="49">
        <v>6.2111801242236021E-3</v>
      </c>
      <c r="F121" s="80"/>
    </row>
    <row r="122" spans="2:6" ht="15" customHeight="1" x14ac:dyDescent="0.25">
      <c r="B122" s="94"/>
      <c r="C122" s="47" t="s">
        <v>81</v>
      </c>
      <c r="D122" s="48">
        <v>1</v>
      </c>
      <c r="E122" s="49">
        <v>7.7639751552795026E-4</v>
      </c>
      <c r="F122" s="80"/>
    </row>
    <row r="123" spans="2:6" ht="15" customHeight="1" x14ac:dyDescent="0.25">
      <c r="B123" s="94"/>
      <c r="C123" s="47" t="s">
        <v>82</v>
      </c>
      <c r="D123" s="48">
        <v>1</v>
      </c>
      <c r="E123" s="49">
        <v>7.7639751552795026E-4</v>
      </c>
      <c r="F123" s="80"/>
    </row>
    <row r="124" spans="2:6" ht="15" customHeight="1" x14ac:dyDescent="0.25">
      <c r="B124" s="94"/>
      <c r="C124" s="47" t="s">
        <v>83</v>
      </c>
      <c r="D124" s="48">
        <v>4</v>
      </c>
      <c r="E124" s="49">
        <v>3.105590062111801E-3</v>
      </c>
      <c r="F124" s="80"/>
    </row>
    <row r="125" spans="2:6" ht="15" customHeight="1" x14ac:dyDescent="0.25">
      <c r="B125" s="94"/>
      <c r="C125" s="47" t="s">
        <v>84</v>
      </c>
      <c r="D125" s="48">
        <v>15</v>
      </c>
      <c r="E125" s="49">
        <v>1.1645962732919254E-2</v>
      </c>
      <c r="F125" s="80"/>
    </row>
    <row r="126" spans="2:6" ht="15" customHeight="1" x14ac:dyDescent="0.25">
      <c r="B126" s="94"/>
      <c r="C126" s="47" t="s">
        <v>86</v>
      </c>
      <c r="D126" s="48">
        <v>6</v>
      </c>
      <c r="E126" s="49">
        <v>4.658385093167702E-3</v>
      </c>
      <c r="F126" s="80"/>
    </row>
    <row r="127" spans="2:6" ht="15" customHeight="1" x14ac:dyDescent="0.25">
      <c r="B127" s="94"/>
      <c r="C127" s="47" t="s">
        <v>87</v>
      </c>
      <c r="D127" s="48">
        <v>13</v>
      </c>
      <c r="E127" s="49">
        <v>1.0093167701863354E-2</v>
      </c>
      <c r="F127" s="80"/>
    </row>
    <row r="128" spans="2:6" ht="15" customHeight="1" x14ac:dyDescent="0.25">
      <c r="B128" s="94"/>
      <c r="C128" s="47" t="s">
        <v>92</v>
      </c>
      <c r="D128" s="48">
        <v>1</v>
      </c>
      <c r="E128" s="49">
        <v>7.7639751552795026E-4</v>
      </c>
      <c r="F128" s="80"/>
    </row>
    <row r="129" spans="2:6" ht="15" customHeight="1" x14ac:dyDescent="0.25">
      <c r="B129" s="94"/>
      <c r="C129" s="47" t="s">
        <v>93</v>
      </c>
      <c r="D129" s="48">
        <v>3</v>
      </c>
      <c r="E129" s="49">
        <v>2.329192546583851E-3</v>
      </c>
      <c r="F129" s="80"/>
    </row>
    <row r="130" spans="2:6" ht="15" customHeight="1" x14ac:dyDescent="0.25">
      <c r="B130" s="95"/>
      <c r="C130" s="50" t="s">
        <v>63</v>
      </c>
      <c r="D130" s="51">
        <v>61</v>
      </c>
      <c r="E130" s="52">
        <v>4.7360248447204968E-2</v>
      </c>
      <c r="F130" s="81"/>
    </row>
    <row r="131" spans="2:6" ht="15" customHeight="1" x14ac:dyDescent="0.25">
      <c r="B131" s="93" t="s">
        <v>112</v>
      </c>
      <c r="C131" s="47" t="s">
        <v>73</v>
      </c>
      <c r="D131" s="48">
        <v>1</v>
      </c>
      <c r="E131" s="49">
        <v>7.7639751552795026E-4</v>
      </c>
      <c r="F131" s="80"/>
    </row>
    <row r="132" spans="2:6" ht="15" customHeight="1" x14ac:dyDescent="0.25">
      <c r="B132" s="94"/>
      <c r="C132" s="47" t="s">
        <v>78</v>
      </c>
      <c r="D132" s="48">
        <v>2</v>
      </c>
      <c r="E132" s="49">
        <v>1.5527950310559005E-3</v>
      </c>
      <c r="F132" s="80"/>
    </row>
    <row r="133" spans="2:6" ht="15" customHeight="1" x14ac:dyDescent="0.25">
      <c r="B133" s="94"/>
      <c r="C133" s="47" t="s">
        <v>79</v>
      </c>
      <c r="D133" s="48">
        <v>1</v>
      </c>
      <c r="E133" s="49">
        <v>7.7639751552795026E-4</v>
      </c>
      <c r="F133" s="80"/>
    </row>
    <row r="134" spans="2:6" ht="15" customHeight="1" x14ac:dyDescent="0.25">
      <c r="B134" s="94"/>
      <c r="C134" s="47" t="s">
        <v>80</v>
      </c>
      <c r="D134" s="48">
        <v>6</v>
      </c>
      <c r="E134" s="49">
        <v>4.658385093167702E-3</v>
      </c>
      <c r="F134" s="80"/>
    </row>
    <row r="135" spans="2:6" ht="15" customHeight="1" x14ac:dyDescent="0.25">
      <c r="B135" s="94"/>
      <c r="C135" s="47" t="s">
        <v>83</v>
      </c>
      <c r="D135" s="48">
        <v>2</v>
      </c>
      <c r="E135" s="49">
        <v>1.5527950310559005E-3</v>
      </c>
      <c r="F135" s="80"/>
    </row>
    <row r="136" spans="2:6" ht="15" customHeight="1" x14ac:dyDescent="0.25">
      <c r="B136" s="94"/>
      <c r="C136" s="47" t="s">
        <v>84</v>
      </c>
      <c r="D136" s="48">
        <v>17</v>
      </c>
      <c r="E136" s="49">
        <v>1.3198757763975156E-2</v>
      </c>
      <c r="F136" s="80"/>
    </row>
    <row r="137" spans="2:6" ht="15" customHeight="1" x14ac:dyDescent="0.25">
      <c r="B137" s="94"/>
      <c r="C137" s="47" t="s">
        <v>85</v>
      </c>
      <c r="D137" s="48">
        <v>3</v>
      </c>
      <c r="E137" s="49">
        <v>2.329192546583851E-3</v>
      </c>
      <c r="F137" s="80"/>
    </row>
    <row r="138" spans="2:6" ht="15" customHeight="1" x14ac:dyDescent="0.25">
      <c r="B138" s="94"/>
      <c r="C138" s="47" t="s">
        <v>86</v>
      </c>
      <c r="D138" s="48">
        <v>2</v>
      </c>
      <c r="E138" s="49">
        <v>1.5527950310559005E-3</v>
      </c>
      <c r="F138" s="80"/>
    </row>
    <row r="139" spans="2:6" ht="15" customHeight="1" x14ac:dyDescent="0.25">
      <c r="B139" s="94"/>
      <c r="C139" s="47" t="s">
        <v>87</v>
      </c>
      <c r="D139" s="48">
        <v>11</v>
      </c>
      <c r="E139" s="49">
        <v>8.5403726708074539E-3</v>
      </c>
      <c r="F139" s="80"/>
    </row>
    <row r="140" spans="2:6" ht="15" customHeight="1" x14ac:dyDescent="0.25">
      <c r="B140" s="94"/>
      <c r="C140" s="47" t="s">
        <v>89</v>
      </c>
      <c r="D140" s="48">
        <v>1</v>
      </c>
      <c r="E140" s="49">
        <v>7.7639751552795026E-4</v>
      </c>
      <c r="F140" s="80"/>
    </row>
    <row r="141" spans="2:6" ht="15" customHeight="1" x14ac:dyDescent="0.25">
      <c r="B141" s="94"/>
      <c r="C141" s="47" t="s">
        <v>93</v>
      </c>
      <c r="D141" s="48">
        <v>2</v>
      </c>
      <c r="E141" s="49">
        <v>1.5527950310559005E-3</v>
      </c>
      <c r="F141" s="80"/>
    </row>
    <row r="142" spans="2:6" ht="15" customHeight="1" x14ac:dyDescent="0.25">
      <c r="B142" s="95"/>
      <c r="C142" s="50" t="s">
        <v>63</v>
      </c>
      <c r="D142" s="51">
        <v>48</v>
      </c>
      <c r="E142" s="52">
        <v>3.7267080745341616E-2</v>
      </c>
      <c r="F142" s="81"/>
    </row>
    <row r="143" spans="2:6" ht="15" customHeight="1" x14ac:dyDescent="0.25">
      <c r="B143" s="93" t="s">
        <v>113</v>
      </c>
      <c r="C143" s="47" t="s">
        <v>73</v>
      </c>
      <c r="D143" s="48">
        <v>2</v>
      </c>
      <c r="E143" s="49">
        <v>1.5527950310559005E-3</v>
      </c>
      <c r="F143" s="80"/>
    </row>
    <row r="144" spans="2:6" ht="15" customHeight="1" x14ac:dyDescent="0.25">
      <c r="B144" s="94"/>
      <c r="C144" s="47" t="s">
        <v>74</v>
      </c>
      <c r="D144" s="48">
        <v>1</v>
      </c>
      <c r="E144" s="49">
        <v>7.7639751552795026E-4</v>
      </c>
      <c r="F144" s="80"/>
    </row>
    <row r="145" spans="2:6" ht="15" customHeight="1" x14ac:dyDescent="0.25">
      <c r="B145" s="94"/>
      <c r="C145" s="47" t="s">
        <v>79</v>
      </c>
      <c r="D145" s="48">
        <v>5</v>
      </c>
      <c r="E145" s="49">
        <v>3.8819875776397515E-3</v>
      </c>
      <c r="F145" s="80"/>
    </row>
    <row r="146" spans="2:6" ht="15" customHeight="1" x14ac:dyDescent="0.25">
      <c r="B146" s="94"/>
      <c r="C146" s="47" t="s">
        <v>80</v>
      </c>
      <c r="D146" s="48">
        <v>6</v>
      </c>
      <c r="E146" s="49">
        <v>4.658385093167702E-3</v>
      </c>
      <c r="F146" s="80"/>
    </row>
    <row r="147" spans="2:6" ht="15" customHeight="1" x14ac:dyDescent="0.25">
      <c r="B147" s="94"/>
      <c r="C147" s="47" t="s">
        <v>81</v>
      </c>
      <c r="D147" s="48">
        <v>1</v>
      </c>
      <c r="E147" s="49">
        <v>7.7639751552795026E-4</v>
      </c>
      <c r="F147" s="80"/>
    </row>
    <row r="148" spans="2:6" ht="15" customHeight="1" x14ac:dyDescent="0.25">
      <c r="B148" s="94"/>
      <c r="C148" s="47" t="s">
        <v>82</v>
      </c>
      <c r="D148" s="48">
        <v>1</v>
      </c>
      <c r="E148" s="49">
        <v>7.7639751552795026E-4</v>
      </c>
      <c r="F148" s="80"/>
    </row>
    <row r="149" spans="2:6" ht="15" customHeight="1" x14ac:dyDescent="0.25">
      <c r="B149" s="94"/>
      <c r="C149" s="47" t="s">
        <v>83</v>
      </c>
      <c r="D149" s="48">
        <v>5</v>
      </c>
      <c r="E149" s="49">
        <v>3.8819875776397515E-3</v>
      </c>
      <c r="F149" s="80"/>
    </row>
    <row r="150" spans="2:6" ht="15" customHeight="1" x14ac:dyDescent="0.25">
      <c r="B150" s="94"/>
      <c r="C150" s="47" t="s">
        <v>84</v>
      </c>
      <c r="D150" s="48">
        <v>14</v>
      </c>
      <c r="E150" s="49">
        <v>1.0869565217391304E-2</v>
      </c>
      <c r="F150" s="80"/>
    </row>
    <row r="151" spans="2:6" ht="15" customHeight="1" x14ac:dyDescent="0.25">
      <c r="B151" s="94"/>
      <c r="C151" s="47" t="s">
        <v>85</v>
      </c>
      <c r="D151" s="48">
        <v>1</v>
      </c>
      <c r="E151" s="49">
        <v>7.7639751552795026E-4</v>
      </c>
      <c r="F151" s="80"/>
    </row>
    <row r="152" spans="2:6" ht="15" customHeight="1" x14ac:dyDescent="0.25">
      <c r="B152" s="94"/>
      <c r="C152" s="47" t="s">
        <v>86</v>
      </c>
      <c r="D152" s="48">
        <v>1</v>
      </c>
      <c r="E152" s="49">
        <v>7.7639751552795026E-4</v>
      </c>
      <c r="F152" s="80"/>
    </row>
    <row r="153" spans="2:6" ht="15" customHeight="1" x14ac:dyDescent="0.25">
      <c r="B153" s="94"/>
      <c r="C153" s="47" t="s">
        <v>87</v>
      </c>
      <c r="D153" s="48">
        <v>5</v>
      </c>
      <c r="E153" s="49">
        <v>3.8819875776397515E-3</v>
      </c>
      <c r="F153" s="80"/>
    </row>
    <row r="154" spans="2:6" ht="15" customHeight="1" x14ac:dyDescent="0.25">
      <c r="B154" s="94"/>
      <c r="C154" s="47" t="s">
        <v>88</v>
      </c>
      <c r="D154" s="48">
        <v>1</v>
      </c>
      <c r="E154" s="49">
        <v>7.7639751552795026E-4</v>
      </c>
      <c r="F154" s="80"/>
    </row>
    <row r="155" spans="2:6" ht="15" customHeight="1" x14ac:dyDescent="0.25">
      <c r="B155" s="94"/>
      <c r="C155" s="47" t="s">
        <v>92</v>
      </c>
      <c r="D155" s="48">
        <v>1</v>
      </c>
      <c r="E155" s="49">
        <v>7.7639751552795026E-4</v>
      </c>
      <c r="F155" s="80"/>
    </row>
    <row r="156" spans="2:6" ht="15" customHeight="1" x14ac:dyDescent="0.25">
      <c r="B156" s="95"/>
      <c r="C156" s="50" t="s">
        <v>63</v>
      </c>
      <c r="D156" s="51">
        <v>44</v>
      </c>
      <c r="E156" s="52">
        <v>3.4161490683229816E-2</v>
      </c>
      <c r="F156" s="81"/>
    </row>
    <row r="157" spans="2:6" ht="15" customHeight="1" x14ac:dyDescent="0.25">
      <c r="B157" s="93" t="s">
        <v>114</v>
      </c>
      <c r="C157" s="47" t="s">
        <v>83</v>
      </c>
      <c r="D157" s="48">
        <v>1</v>
      </c>
      <c r="E157" s="49">
        <v>7.7639751552795026E-4</v>
      </c>
      <c r="F157" s="80"/>
    </row>
    <row r="158" spans="2:6" ht="15" customHeight="1" x14ac:dyDescent="0.25">
      <c r="B158" s="94"/>
      <c r="C158" s="47" t="s">
        <v>84</v>
      </c>
      <c r="D158" s="48">
        <v>3</v>
      </c>
      <c r="E158" s="49">
        <v>2.329192546583851E-3</v>
      </c>
      <c r="F158" s="80"/>
    </row>
    <row r="159" spans="2:6" ht="15" customHeight="1" x14ac:dyDescent="0.25">
      <c r="B159" s="94"/>
      <c r="C159" s="47" t="s">
        <v>85</v>
      </c>
      <c r="D159" s="48">
        <v>1</v>
      </c>
      <c r="E159" s="49">
        <v>7.7639751552795026E-4</v>
      </c>
      <c r="F159" s="80"/>
    </row>
    <row r="160" spans="2:6" ht="15" customHeight="1" x14ac:dyDescent="0.25">
      <c r="B160" s="94"/>
      <c r="C160" s="47" t="s">
        <v>87</v>
      </c>
      <c r="D160" s="48">
        <v>1</v>
      </c>
      <c r="E160" s="49">
        <v>7.7639751552795026E-4</v>
      </c>
      <c r="F160" s="80"/>
    </row>
    <row r="161" spans="2:6" ht="15" customHeight="1" x14ac:dyDescent="0.25">
      <c r="B161" s="94"/>
      <c r="C161" s="47" t="s">
        <v>93</v>
      </c>
      <c r="D161" s="48">
        <v>1</v>
      </c>
      <c r="E161" s="49">
        <v>7.7639751552795026E-4</v>
      </c>
      <c r="F161" s="80"/>
    </row>
    <row r="162" spans="2:6" ht="15" customHeight="1" x14ac:dyDescent="0.25">
      <c r="B162" s="95"/>
      <c r="C162" s="50" t="s">
        <v>63</v>
      </c>
      <c r="D162" s="51">
        <v>7</v>
      </c>
      <c r="E162" s="52">
        <v>5.434782608695652E-3</v>
      </c>
      <c r="F162" s="81"/>
    </row>
    <row r="163" spans="2:6" ht="15" customHeight="1" x14ac:dyDescent="0.25">
      <c r="B163" s="93" t="s">
        <v>115</v>
      </c>
      <c r="C163" s="47" t="s">
        <v>77</v>
      </c>
      <c r="D163" s="48">
        <v>1</v>
      </c>
      <c r="E163" s="49">
        <v>7.7639751552795026E-4</v>
      </c>
      <c r="F163" s="80"/>
    </row>
    <row r="164" spans="2:6" ht="15" customHeight="1" x14ac:dyDescent="0.25">
      <c r="B164" s="94"/>
      <c r="C164" s="47" t="s">
        <v>78</v>
      </c>
      <c r="D164" s="48">
        <v>1</v>
      </c>
      <c r="E164" s="49">
        <v>7.7639751552795026E-4</v>
      </c>
      <c r="F164" s="80"/>
    </row>
    <row r="165" spans="2:6" ht="15" customHeight="1" x14ac:dyDescent="0.25">
      <c r="B165" s="94"/>
      <c r="C165" s="47" t="s">
        <v>80</v>
      </c>
      <c r="D165" s="48">
        <v>4</v>
      </c>
      <c r="E165" s="49">
        <v>3.105590062111801E-3</v>
      </c>
      <c r="F165" s="80"/>
    </row>
    <row r="166" spans="2:6" ht="15" customHeight="1" x14ac:dyDescent="0.25">
      <c r="B166" s="94"/>
      <c r="C166" s="47" t="s">
        <v>81</v>
      </c>
      <c r="D166" s="48">
        <v>1</v>
      </c>
      <c r="E166" s="49">
        <v>7.7639751552795026E-4</v>
      </c>
      <c r="F166" s="80"/>
    </row>
    <row r="167" spans="2:6" ht="15" customHeight="1" x14ac:dyDescent="0.25">
      <c r="B167" s="94"/>
      <c r="C167" s="47" t="s">
        <v>82</v>
      </c>
      <c r="D167" s="48">
        <v>1</v>
      </c>
      <c r="E167" s="49">
        <v>7.7639751552795026E-4</v>
      </c>
      <c r="F167" s="80"/>
    </row>
    <row r="168" spans="2:6" ht="15" customHeight="1" x14ac:dyDescent="0.25">
      <c r="B168" s="94"/>
      <c r="C168" s="47" t="s">
        <v>84</v>
      </c>
      <c r="D168" s="48">
        <v>12</v>
      </c>
      <c r="E168" s="49">
        <v>9.316770186335404E-3</v>
      </c>
      <c r="F168" s="80"/>
    </row>
    <row r="169" spans="2:6" ht="15" customHeight="1" x14ac:dyDescent="0.25">
      <c r="B169" s="94"/>
      <c r="C169" s="47" t="s">
        <v>87</v>
      </c>
      <c r="D169" s="48">
        <v>1</v>
      </c>
      <c r="E169" s="49">
        <v>7.7639751552795026E-4</v>
      </c>
      <c r="F169" s="80"/>
    </row>
    <row r="170" spans="2:6" ht="15" customHeight="1" x14ac:dyDescent="0.25">
      <c r="B170" s="95"/>
      <c r="C170" s="50" t="s">
        <v>63</v>
      </c>
      <c r="D170" s="51">
        <v>21</v>
      </c>
      <c r="E170" s="52">
        <v>1.6304347826086956E-2</v>
      </c>
      <c r="F170" s="81"/>
    </row>
    <row r="171" spans="2:6" ht="15" customHeight="1" x14ac:dyDescent="0.25">
      <c r="B171" s="93" t="s">
        <v>116</v>
      </c>
      <c r="C171" s="47" t="s">
        <v>77</v>
      </c>
      <c r="D171" s="48">
        <v>2</v>
      </c>
      <c r="E171" s="49">
        <v>1.5527950310559005E-3</v>
      </c>
      <c r="F171" s="80"/>
    </row>
    <row r="172" spans="2:6" ht="15" customHeight="1" x14ac:dyDescent="0.25">
      <c r="B172" s="94"/>
      <c r="C172" s="47" t="s">
        <v>79</v>
      </c>
      <c r="D172" s="48">
        <v>1</v>
      </c>
      <c r="E172" s="49">
        <v>7.7639751552795026E-4</v>
      </c>
      <c r="F172" s="80"/>
    </row>
    <row r="173" spans="2:6" ht="15" customHeight="1" x14ac:dyDescent="0.25">
      <c r="B173" s="94"/>
      <c r="C173" s="47" t="s">
        <v>80</v>
      </c>
      <c r="D173" s="48">
        <v>6</v>
      </c>
      <c r="E173" s="49">
        <v>4.658385093167702E-3</v>
      </c>
      <c r="F173" s="80"/>
    </row>
    <row r="174" spans="2:6" ht="15" customHeight="1" x14ac:dyDescent="0.25">
      <c r="B174" s="94"/>
      <c r="C174" s="47" t="s">
        <v>81</v>
      </c>
      <c r="D174" s="48">
        <v>1</v>
      </c>
      <c r="E174" s="49">
        <v>7.7639751552795026E-4</v>
      </c>
      <c r="F174" s="80"/>
    </row>
    <row r="175" spans="2:6" ht="15" customHeight="1" x14ac:dyDescent="0.25">
      <c r="B175" s="94"/>
      <c r="C175" s="47" t="s">
        <v>82</v>
      </c>
      <c r="D175" s="48">
        <v>2</v>
      </c>
      <c r="E175" s="49">
        <v>1.5527950310559005E-3</v>
      </c>
      <c r="F175" s="80"/>
    </row>
    <row r="176" spans="2:6" ht="15" customHeight="1" x14ac:dyDescent="0.25">
      <c r="B176" s="94"/>
      <c r="C176" s="47" t="s">
        <v>84</v>
      </c>
      <c r="D176" s="48">
        <v>17</v>
      </c>
      <c r="E176" s="49">
        <v>1.3198757763975156E-2</v>
      </c>
      <c r="F176" s="80"/>
    </row>
    <row r="177" spans="2:6" ht="15" customHeight="1" x14ac:dyDescent="0.25">
      <c r="B177" s="94"/>
      <c r="C177" s="47" t="s">
        <v>85</v>
      </c>
      <c r="D177" s="48">
        <v>1</v>
      </c>
      <c r="E177" s="49">
        <v>7.7639751552795026E-4</v>
      </c>
      <c r="F177" s="80"/>
    </row>
    <row r="178" spans="2:6" ht="15" customHeight="1" x14ac:dyDescent="0.25">
      <c r="B178" s="94"/>
      <c r="C178" s="47" t="s">
        <v>86</v>
      </c>
      <c r="D178" s="48">
        <v>4</v>
      </c>
      <c r="E178" s="49">
        <v>3.105590062111801E-3</v>
      </c>
      <c r="F178" s="80"/>
    </row>
    <row r="179" spans="2:6" ht="15" customHeight="1" x14ac:dyDescent="0.25">
      <c r="B179" s="94"/>
      <c r="C179" s="47" t="s">
        <v>87</v>
      </c>
      <c r="D179" s="48">
        <v>9</v>
      </c>
      <c r="E179" s="49">
        <v>6.987577639751553E-3</v>
      </c>
      <c r="F179" s="80"/>
    </row>
    <row r="180" spans="2:6" ht="15" customHeight="1" x14ac:dyDescent="0.25">
      <c r="B180" s="94"/>
      <c r="C180" s="47" t="s">
        <v>92</v>
      </c>
      <c r="D180" s="48">
        <v>1</v>
      </c>
      <c r="E180" s="49">
        <v>7.7639751552795026E-4</v>
      </c>
      <c r="F180" s="80"/>
    </row>
    <row r="181" spans="2:6" ht="15" customHeight="1" x14ac:dyDescent="0.25">
      <c r="B181" s="94"/>
      <c r="C181" s="47" t="s">
        <v>93</v>
      </c>
      <c r="D181" s="48">
        <v>3</v>
      </c>
      <c r="E181" s="49">
        <v>2.329192546583851E-3</v>
      </c>
      <c r="F181" s="80"/>
    </row>
    <row r="182" spans="2:6" ht="15" customHeight="1" x14ac:dyDescent="0.25">
      <c r="B182" s="94"/>
      <c r="C182" s="47" t="s">
        <v>94</v>
      </c>
      <c r="D182" s="48">
        <v>1</v>
      </c>
      <c r="E182" s="49">
        <v>7.7639751552795026E-4</v>
      </c>
      <c r="F182" s="80"/>
    </row>
    <row r="183" spans="2:6" ht="15" customHeight="1" x14ac:dyDescent="0.25">
      <c r="B183" s="95"/>
      <c r="C183" s="50" t="s">
        <v>63</v>
      </c>
      <c r="D183" s="51">
        <v>48</v>
      </c>
      <c r="E183" s="52">
        <v>3.7267080745341616E-2</v>
      </c>
      <c r="F183" s="81"/>
    </row>
    <row r="184" spans="2:6" ht="15" customHeight="1" x14ac:dyDescent="0.25">
      <c r="B184" s="93" t="s">
        <v>117</v>
      </c>
      <c r="C184" s="47" t="s">
        <v>73</v>
      </c>
      <c r="D184" s="48">
        <v>1</v>
      </c>
      <c r="E184" s="49">
        <v>7.7639751552795026E-4</v>
      </c>
      <c r="F184" s="80"/>
    </row>
    <row r="185" spans="2:6" ht="15" customHeight="1" x14ac:dyDescent="0.25">
      <c r="B185" s="94"/>
      <c r="C185" s="47" t="s">
        <v>78</v>
      </c>
      <c r="D185" s="48">
        <v>1</v>
      </c>
      <c r="E185" s="49">
        <v>7.7639751552795026E-4</v>
      </c>
      <c r="F185" s="80"/>
    </row>
    <row r="186" spans="2:6" ht="15" customHeight="1" x14ac:dyDescent="0.25">
      <c r="B186" s="94"/>
      <c r="C186" s="47" t="s">
        <v>79</v>
      </c>
      <c r="D186" s="48">
        <v>4</v>
      </c>
      <c r="E186" s="49">
        <v>3.105590062111801E-3</v>
      </c>
      <c r="F186" s="80"/>
    </row>
    <row r="187" spans="2:6" ht="15" customHeight="1" x14ac:dyDescent="0.25">
      <c r="B187" s="94"/>
      <c r="C187" s="47" t="s">
        <v>80</v>
      </c>
      <c r="D187" s="48">
        <v>9</v>
      </c>
      <c r="E187" s="49">
        <v>6.987577639751553E-3</v>
      </c>
      <c r="F187" s="80"/>
    </row>
    <row r="188" spans="2:6" ht="15" customHeight="1" x14ac:dyDescent="0.25">
      <c r="B188" s="94"/>
      <c r="C188" s="47" t="s">
        <v>82</v>
      </c>
      <c r="D188" s="48">
        <v>1</v>
      </c>
      <c r="E188" s="49">
        <v>7.7639751552795026E-4</v>
      </c>
      <c r="F188" s="80"/>
    </row>
    <row r="189" spans="2:6" ht="15" customHeight="1" x14ac:dyDescent="0.25">
      <c r="B189" s="94"/>
      <c r="C189" s="47" t="s">
        <v>83</v>
      </c>
      <c r="D189" s="48">
        <v>1</v>
      </c>
      <c r="E189" s="49">
        <v>7.7639751552795026E-4</v>
      </c>
      <c r="F189" s="80"/>
    </row>
    <row r="190" spans="2:6" ht="15" customHeight="1" x14ac:dyDescent="0.25">
      <c r="B190" s="94"/>
      <c r="C190" s="47" t="s">
        <v>84</v>
      </c>
      <c r="D190" s="48">
        <v>19</v>
      </c>
      <c r="E190" s="49">
        <v>1.4751552795031056E-2</v>
      </c>
      <c r="F190" s="80"/>
    </row>
    <row r="191" spans="2:6" ht="15" customHeight="1" x14ac:dyDescent="0.25">
      <c r="B191" s="94"/>
      <c r="C191" s="47" t="s">
        <v>86</v>
      </c>
      <c r="D191" s="48">
        <v>1</v>
      </c>
      <c r="E191" s="49">
        <v>7.7639751552795026E-4</v>
      </c>
      <c r="F191" s="80"/>
    </row>
    <row r="192" spans="2:6" ht="15" customHeight="1" x14ac:dyDescent="0.25">
      <c r="B192" s="94"/>
      <c r="C192" s="47" t="s">
        <v>87</v>
      </c>
      <c r="D192" s="48">
        <v>11</v>
      </c>
      <c r="E192" s="49">
        <v>8.5403726708074539E-3</v>
      </c>
      <c r="F192" s="80"/>
    </row>
    <row r="193" spans="2:6" ht="15" customHeight="1" x14ac:dyDescent="0.25">
      <c r="B193" s="94"/>
      <c r="C193" s="47" t="s">
        <v>93</v>
      </c>
      <c r="D193" s="48">
        <v>1</v>
      </c>
      <c r="E193" s="49">
        <v>7.7639751552795026E-4</v>
      </c>
      <c r="F193" s="80"/>
    </row>
    <row r="194" spans="2:6" ht="15" customHeight="1" x14ac:dyDescent="0.25">
      <c r="B194" s="95"/>
      <c r="C194" s="50" t="s">
        <v>63</v>
      </c>
      <c r="D194" s="51">
        <v>49</v>
      </c>
      <c r="E194" s="52">
        <v>3.8043478260869568E-2</v>
      </c>
      <c r="F194" s="81"/>
    </row>
    <row r="195" spans="2:6" ht="15" customHeight="1" x14ac:dyDescent="0.25">
      <c r="B195" s="93" t="s">
        <v>118</v>
      </c>
      <c r="C195" s="47" t="s">
        <v>73</v>
      </c>
      <c r="D195" s="48">
        <v>1</v>
      </c>
      <c r="E195" s="49">
        <v>7.7639751552795026E-4</v>
      </c>
      <c r="F195" s="80"/>
    </row>
    <row r="196" spans="2:6" ht="15" customHeight="1" x14ac:dyDescent="0.25">
      <c r="B196" s="94"/>
      <c r="C196" s="47" t="s">
        <v>74</v>
      </c>
      <c r="D196" s="48">
        <v>2</v>
      </c>
      <c r="E196" s="49">
        <v>1.5527950310559005E-3</v>
      </c>
      <c r="F196" s="80"/>
    </row>
    <row r="197" spans="2:6" ht="15" customHeight="1" x14ac:dyDescent="0.25">
      <c r="B197" s="94"/>
      <c r="C197" s="47" t="s">
        <v>77</v>
      </c>
      <c r="D197" s="48">
        <v>1</v>
      </c>
      <c r="E197" s="49">
        <v>7.7639751552795026E-4</v>
      </c>
      <c r="F197" s="80"/>
    </row>
    <row r="198" spans="2:6" ht="15" customHeight="1" x14ac:dyDescent="0.25">
      <c r="B198" s="94"/>
      <c r="C198" s="47" t="s">
        <v>78</v>
      </c>
      <c r="D198" s="48">
        <v>1</v>
      </c>
      <c r="E198" s="49">
        <v>7.7639751552795026E-4</v>
      </c>
      <c r="F198" s="80"/>
    </row>
    <row r="199" spans="2:6" ht="15" customHeight="1" x14ac:dyDescent="0.25">
      <c r="B199" s="94"/>
      <c r="C199" s="47" t="s">
        <v>79</v>
      </c>
      <c r="D199" s="48">
        <v>4</v>
      </c>
      <c r="E199" s="49">
        <v>3.105590062111801E-3</v>
      </c>
      <c r="F199" s="80"/>
    </row>
    <row r="200" spans="2:6" ht="15" customHeight="1" x14ac:dyDescent="0.25">
      <c r="B200" s="94"/>
      <c r="C200" s="47" t="s">
        <v>81</v>
      </c>
      <c r="D200" s="48">
        <v>1</v>
      </c>
      <c r="E200" s="49">
        <v>7.7639751552795026E-4</v>
      </c>
      <c r="F200" s="80"/>
    </row>
    <row r="201" spans="2:6" ht="15" customHeight="1" x14ac:dyDescent="0.25">
      <c r="B201" s="94"/>
      <c r="C201" s="47" t="s">
        <v>82</v>
      </c>
      <c r="D201" s="48">
        <v>2</v>
      </c>
      <c r="E201" s="49">
        <v>1.5527950310559005E-3</v>
      </c>
      <c r="F201" s="80"/>
    </row>
    <row r="202" spans="2:6" ht="15" customHeight="1" x14ac:dyDescent="0.25">
      <c r="B202" s="94"/>
      <c r="C202" s="47" t="s">
        <v>83</v>
      </c>
      <c r="D202" s="48">
        <v>5</v>
      </c>
      <c r="E202" s="49">
        <v>3.8819875776397515E-3</v>
      </c>
      <c r="F202" s="80"/>
    </row>
    <row r="203" spans="2:6" ht="15" customHeight="1" x14ac:dyDescent="0.25">
      <c r="B203" s="94"/>
      <c r="C203" s="47" t="s">
        <v>84</v>
      </c>
      <c r="D203" s="48">
        <v>7</v>
      </c>
      <c r="E203" s="49">
        <v>5.434782608695652E-3</v>
      </c>
      <c r="F203" s="80"/>
    </row>
    <row r="204" spans="2:6" ht="15" customHeight="1" x14ac:dyDescent="0.25">
      <c r="B204" s="94"/>
      <c r="C204" s="47" t="s">
        <v>85</v>
      </c>
      <c r="D204" s="48">
        <v>1</v>
      </c>
      <c r="E204" s="49">
        <v>7.7639751552795026E-4</v>
      </c>
      <c r="F204" s="80"/>
    </row>
    <row r="205" spans="2:6" ht="15" customHeight="1" x14ac:dyDescent="0.25">
      <c r="B205" s="94"/>
      <c r="C205" s="47" t="s">
        <v>87</v>
      </c>
      <c r="D205" s="48">
        <v>7</v>
      </c>
      <c r="E205" s="49">
        <v>5.434782608695652E-3</v>
      </c>
      <c r="F205" s="80"/>
    </row>
    <row r="206" spans="2:6" ht="15" customHeight="1" x14ac:dyDescent="0.25">
      <c r="B206" s="95"/>
      <c r="C206" s="50" t="s">
        <v>63</v>
      </c>
      <c r="D206" s="51">
        <v>32</v>
      </c>
      <c r="E206" s="52">
        <v>2.4844720496894408E-2</v>
      </c>
      <c r="F206" s="81"/>
    </row>
    <row r="207" spans="2:6" ht="15" customHeight="1" x14ac:dyDescent="0.25">
      <c r="B207" s="93" t="s">
        <v>119</v>
      </c>
      <c r="C207" s="47" t="s">
        <v>74</v>
      </c>
      <c r="D207" s="48">
        <v>1</v>
      </c>
      <c r="E207" s="49">
        <v>7.7639751552795026E-4</v>
      </c>
      <c r="F207" s="80"/>
    </row>
    <row r="208" spans="2:6" ht="15" customHeight="1" x14ac:dyDescent="0.25">
      <c r="B208" s="94"/>
      <c r="C208" s="47" t="s">
        <v>75</v>
      </c>
      <c r="D208" s="48">
        <v>1</v>
      </c>
      <c r="E208" s="49">
        <v>7.7639751552795026E-4</v>
      </c>
      <c r="F208" s="80"/>
    </row>
    <row r="209" spans="2:6" ht="15" customHeight="1" x14ac:dyDescent="0.25">
      <c r="B209" s="94"/>
      <c r="C209" s="47" t="s">
        <v>76</v>
      </c>
      <c r="D209" s="48">
        <v>1</v>
      </c>
      <c r="E209" s="49">
        <v>7.7639751552795026E-4</v>
      </c>
      <c r="F209" s="80"/>
    </row>
    <row r="210" spans="2:6" ht="15" customHeight="1" x14ac:dyDescent="0.25">
      <c r="B210" s="94"/>
      <c r="C210" s="47" t="s">
        <v>77</v>
      </c>
      <c r="D210" s="48">
        <v>2</v>
      </c>
      <c r="E210" s="49">
        <v>1.5527950310559005E-3</v>
      </c>
      <c r="F210" s="80"/>
    </row>
    <row r="211" spans="2:6" ht="15" customHeight="1" x14ac:dyDescent="0.25">
      <c r="B211" s="94"/>
      <c r="C211" s="47" t="s">
        <v>79</v>
      </c>
      <c r="D211" s="48">
        <v>3</v>
      </c>
      <c r="E211" s="49">
        <v>2.329192546583851E-3</v>
      </c>
      <c r="F211" s="80"/>
    </row>
    <row r="212" spans="2:6" ht="15" customHeight="1" x14ac:dyDescent="0.25">
      <c r="B212" s="94"/>
      <c r="C212" s="47" t="s">
        <v>80</v>
      </c>
      <c r="D212" s="48">
        <v>6</v>
      </c>
      <c r="E212" s="49">
        <v>4.658385093167702E-3</v>
      </c>
      <c r="F212" s="80"/>
    </row>
    <row r="213" spans="2:6" ht="15" customHeight="1" x14ac:dyDescent="0.25">
      <c r="B213" s="94"/>
      <c r="C213" s="47" t="s">
        <v>81</v>
      </c>
      <c r="D213" s="48">
        <v>1</v>
      </c>
      <c r="E213" s="49">
        <v>7.7639751552795026E-4</v>
      </c>
      <c r="F213" s="80"/>
    </row>
    <row r="214" spans="2:6" ht="15" customHeight="1" x14ac:dyDescent="0.25">
      <c r="B214" s="94"/>
      <c r="C214" s="47" t="s">
        <v>82</v>
      </c>
      <c r="D214" s="48">
        <v>4</v>
      </c>
      <c r="E214" s="49">
        <v>3.105590062111801E-3</v>
      </c>
      <c r="F214" s="80"/>
    </row>
    <row r="215" spans="2:6" ht="15" customHeight="1" x14ac:dyDescent="0.25">
      <c r="B215" s="94"/>
      <c r="C215" s="47" t="s">
        <v>84</v>
      </c>
      <c r="D215" s="48">
        <v>12</v>
      </c>
      <c r="E215" s="49">
        <v>9.316770186335404E-3</v>
      </c>
      <c r="F215" s="80"/>
    </row>
    <row r="216" spans="2:6" ht="15" customHeight="1" x14ac:dyDescent="0.25">
      <c r="B216" s="94"/>
      <c r="C216" s="47" t="s">
        <v>86</v>
      </c>
      <c r="D216" s="48">
        <v>2</v>
      </c>
      <c r="E216" s="49">
        <v>1.5527950310559005E-3</v>
      </c>
      <c r="F216" s="80"/>
    </row>
    <row r="217" spans="2:6" ht="15" customHeight="1" x14ac:dyDescent="0.25">
      <c r="B217" s="94"/>
      <c r="C217" s="47" t="s">
        <v>87</v>
      </c>
      <c r="D217" s="48">
        <v>2</v>
      </c>
      <c r="E217" s="49">
        <v>1.5527950310559005E-3</v>
      </c>
      <c r="F217" s="80"/>
    </row>
    <row r="218" spans="2:6" ht="15" customHeight="1" x14ac:dyDescent="0.25">
      <c r="B218" s="95"/>
      <c r="C218" s="50" t="s">
        <v>63</v>
      </c>
      <c r="D218" s="51">
        <v>35</v>
      </c>
      <c r="E218" s="52">
        <v>2.717391304347826E-2</v>
      </c>
      <c r="F218" s="81"/>
    </row>
    <row r="219" spans="2:6" ht="15" customHeight="1" x14ac:dyDescent="0.25">
      <c r="B219" s="93" t="s">
        <v>120</v>
      </c>
      <c r="C219" s="47" t="s">
        <v>80</v>
      </c>
      <c r="D219" s="48">
        <v>2</v>
      </c>
      <c r="E219" s="49">
        <v>1.5527950310559005E-3</v>
      </c>
      <c r="F219" s="80"/>
    </row>
    <row r="220" spans="2:6" ht="15" customHeight="1" x14ac:dyDescent="0.25">
      <c r="B220" s="94"/>
      <c r="C220" s="47" t="s">
        <v>83</v>
      </c>
      <c r="D220" s="48">
        <v>2</v>
      </c>
      <c r="E220" s="49">
        <v>1.5527950310559005E-3</v>
      </c>
      <c r="F220" s="80"/>
    </row>
    <row r="221" spans="2:6" ht="15" customHeight="1" x14ac:dyDescent="0.25">
      <c r="B221" s="94"/>
      <c r="C221" s="47" t="s">
        <v>84</v>
      </c>
      <c r="D221" s="48">
        <v>1</v>
      </c>
      <c r="E221" s="49">
        <v>7.7639751552795026E-4</v>
      </c>
      <c r="F221" s="80"/>
    </row>
    <row r="222" spans="2:6" ht="15" customHeight="1" x14ac:dyDescent="0.25">
      <c r="B222" s="94"/>
      <c r="C222" s="47" t="s">
        <v>87</v>
      </c>
      <c r="D222" s="48">
        <v>2</v>
      </c>
      <c r="E222" s="49">
        <v>1.5527950310559005E-3</v>
      </c>
      <c r="F222" s="80"/>
    </row>
    <row r="223" spans="2:6" ht="15" customHeight="1" x14ac:dyDescent="0.25">
      <c r="B223" s="95"/>
      <c r="C223" s="50" t="s">
        <v>63</v>
      </c>
      <c r="D223" s="51">
        <v>7</v>
      </c>
      <c r="E223" s="52">
        <v>5.434782608695652E-3</v>
      </c>
      <c r="F223" s="81"/>
    </row>
    <row r="224" spans="2:6" ht="15" customHeight="1" x14ac:dyDescent="0.25">
      <c r="B224" s="93" t="s">
        <v>121</v>
      </c>
      <c r="C224" s="47" t="s">
        <v>73</v>
      </c>
      <c r="D224" s="48">
        <v>1</v>
      </c>
      <c r="E224" s="49">
        <v>7.7639751552795026E-4</v>
      </c>
      <c r="F224" s="80"/>
    </row>
    <row r="225" spans="2:6" ht="15" customHeight="1" x14ac:dyDescent="0.25">
      <c r="B225" s="94"/>
      <c r="C225" s="47" t="s">
        <v>76</v>
      </c>
      <c r="D225" s="48">
        <v>2</v>
      </c>
      <c r="E225" s="49">
        <v>1.5527950310559005E-3</v>
      </c>
      <c r="F225" s="80"/>
    </row>
    <row r="226" spans="2:6" ht="15" customHeight="1" x14ac:dyDescent="0.25">
      <c r="B226" s="94"/>
      <c r="C226" s="47" t="s">
        <v>77</v>
      </c>
      <c r="D226" s="48">
        <v>1</v>
      </c>
      <c r="E226" s="49">
        <v>7.7639751552795026E-4</v>
      </c>
      <c r="F226" s="80"/>
    </row>
    <row r="227" spans="2:6" ht="15" customHeight="1" x14ac:dyDescent="0.25">
      <c r="B227" s="94"/>
      <c r="C227" s="47" t="s">
        <v>79</v>
      </c>
      <c r="D227" s="48">
        <v>1</v>
      </c>
      <c r="E227" s="49">
        <v>7.7639751552795026E-4</v>
      </c>
      <c r="F227" s="80"/>
    </row>
    <row r="228" spans="2:6" ht="15" customHeight="1" x14ac:dyDescent="0.25">
      <c r="B228" s="94"/>
      <c r="C228" s="47" t="s">
        <v>80</v>
      </c>
      <c r="D228" s="48">
        <v>4</v>
      </c>
      <c r="E228" s="49">
        <v>3.105590062111801E-3</v>
      </c>
      <c r="F228" s="80"/>
    </row>
    <row r="229" spans="2:6" ht="15" customHeight="1" x14ac:dyDescent="0.25">
      <c r="B229" s="94"/>
      <c r="C229" s="47" t="s">
        <v>81</v>
      </c>
      <c r="D229" s="48">
        <v>1</v>
      </c>
      <c r="E229" s="49">
        <v>7.7639751552795026E-4</v>
      </c>
      <c r="F229" s="80"/>
    </row>
    <row r="230" spans="2:6" ht="15" customHeight="1" x14ac:dyDescent="0.25">
      <c r="B230" s="94"/>
      <c r="C230" s="47" t="s">
        <v>82</v>
      </c>
      <c r="D230" s="48">
        <v>2</v>
      </c>
      <c r="E230" s="49">
        <v>1.5527950310559005E-3</v>
      </c>
      <c r="F230" s="80"/>
    </row>
    <row r="231" spans="2:6" ht="15" customHeight="1" x14ac:dyDescent="0.25">
      <c r="B231" s="94"/>
      <c r="C231" s="47" t="s">
        <v>83</v>
      </c>
      <c r="D231" s="48">
        <v>1</v>
      </c>
      <c r="E231" s="49">
        <v>7.7639751552795026E-4</v>
      </c>
      <c r="F231" s="80"/>
    </row>
    <row r="232" spans="2:6" ht="15" customHeight="1" x14ac:dyDescent="0.25">
      <c r="B232" s="94"/>
      <c r="C232" s="47" t="s">
        <v>84</v>
      </c>
      <c r="D232" s="48">
        <v>5</v>
      </c>
      <c r="E232" s="49">
        <v>3.8819875776397515E-3</v>
      </c>
      <c r="F232" s="80"/>
    </row>
    <row r="233" spans="2:6" ht="15" customHeight="1" x14ac:dyDescent="0.25">
      <c r="B233" s="94"/>
      <c r="C233" s="47" t="s">
        <v>85</v>
      </c>
      <c r="D233" s="48">
        <v>1</v>
      </c>
      <c r="E233" s="49">
        <v>7.7639751552795026E-4</v>
      </c>
      <c r="F233" s="80"/>
    </row>
    <row r="234" spans="2:6" ht="15" customHeight="1" x14ac:dyDescent="0.25">
      <c r="B234" s="94"/>
      <c r="C234" s="47" t="s">
        <v>86</v>
      </c>
      <c r="D234" s="48">
        <v>2</v>
      </c>
      <c r="E234" s="49">
        <v>1.5527950310559005E-3</v>
      </c>
      <c r="F234" s="80"/>
    </row>
    <row r="235" spans="2:6" ht="15" customHeight="1" x14ac:dyDescent="0.25">
      <c r="B235" s="94"/>
      <c r="C235" s="47" t="s">
        <v>87</v>
      </c>
      <c r="D235" s="48">
        <v>3</v>
      </c>
      <c r="E235" s="49">
        <v>2.329192546583851E-3</v>
      </c>
      <c r="F235" s="80"/>
    </row>
    <row r="236" spans="2:6" ht="15" customHeight="1" x14ac:dyDescent="0.25">
      <c r="B236" s="94"/>
      <c r="C236" s="47" t="s">
        <v>95</v>
      </c>
      <c r="D236" s="48">
        <v>1</v>
      </c>
      <c r="E236" s="49">
        <v>7.7639751552795026E-4</v>
      </c>
      <c r="F236" s="80"/>
    </row>
    <row r="237" spans="2:6" ht="15" customHeight="1" x14ac:dyDescent="0.25">
      <c r="B237" s="95"/>
      <c r="C237" s="50" t="s">
        <v>63</v>
      </c>
      <c r="D237" s="51">
        <v>25</v>
      </c>
      <c r="E237" s="52">
        <v>1.9409937888198756E-2</v>
      </c>
      <c r="F237" s="81"/>
    </row>
    <row r="238" spans="2:6" ht="15" customHeight="1" x14ac:dyDescent="0.25">
      <c r="B238" s="93" t="s">
        <v>122</v>
      </c>
      <c r="C238" s="47" t="s">
        <v>77</v>
      </c>
      <c r="D238" s="48">
        <v>1</v>
      </c>
      <c r="E238" s="49">
        <v>7.7639751552795026E-4</v>
      </c>
      <c r="F238" s="80"/>
    </row>
    <row r="239" spans="2:6" ht="15" customHeight="1" x14ac:dyDescent="0.25">
      <c r="B239" s="94"/>
      <c r="C239" s="47" t="s">
        <v>79</v>
      </c>
      <c r="D239" s="48">
        <v>1</v>
      </c>
      <c r="E239" s="49">
        <v>7.7639751552795026E-4</v>
      </c>
      <c r="F239" s="80"/>
    </row>
    <row r="240" spans="2:6" ht="15" customHeight="1" x14ac:dyDescent="0.25">
      <c r="B240" s="94"/>
      <c r="C240" s="47" t="s">
        <v>80</v>
      </c>
      <c r="D240" s="48">
        <v>1</v>
      </c>
      <c r="E240" s="49">
        <v>7.7639751552795026E-4</v>
      </c>
      <c r="F240" s="80"/>
    </row>
    <row r="241" spans="2:6" ht="15" customHeight="1" x14ac:dyDescent="0.25">
      <c r="B241" s="94"/>
      <c r="C241" s="47" t="s">
        <v>84</v>
      </c>
      <c r="D241" s="48">
        <v>6</v>
      </c>
      <c r="E241" s="49">
        <v>4.658385093167702E-3</v>
      </c>
      <c r="F241" s="80"/>
    </row>
    <row r="242" spans="2:6" ht="15" customHeight="1" x14ac:dyDescent="0.25">
      <c r="B242" s="94"/>
      <c r="C242" s="47" t="s">
        <v>85</v>
      </c>
      <c r="D242" s="48">
        <v>1</v>
      </c>
      <c r="E242" s="49">
        <v>7.7639751552795026E-4</v>
      </c>
      <c r="F242" s="80"/>
    </row>
    <row r="243" spans="2:6" ht="15" customHeight="1" x14ac:dyDescent="0.25">
      <c r="B243" s="94"/>
      <c r="C243" s="47" t="s">
        <v>86</v>
      </c>
      <c r="D243" s="48">
        <v>2</v>
      </c>
      <c r="E243" s="49">
        <v>1.5527950310559005E-3</v>
      </c>
      <c r="F243" s="80"/>
    </row>
    <row r="244" spans="2:6" ht="15" customHeight="1" x14ac:dyDescent="0.25">
      <c r="B244" s="94"/>
      <c r="C244" s="47" t="s">
        <v>87</v>
      </c>
      <c r="D244" s="48">
        <v>2</v>
      </c>
      <c r="E244" s="49">
        <v>1.5527950310559005E-3</v>
      </c>
      <c r="F244" s="80"/>
    </row>
    <row r="245" spans="2:6" ht="15" customHeight="1" x14ac:dyDescent="0.25">
      <c r="B245" s="94"/>
      <c r="C245" s="47" t="s">
        <v>93</v>
      </c>
      <c r="D245" s="48">
        <v>1</v>
      </c>
      <c r="E245" s="49">
        <v>7.7639751552795026E-4</v>
      </c>
      <c r="F245" s="80"/>
    </row>
    <row r="246" spans="2:6" ht="15" customHeight="1" x14ac:dyDescent="0.25">
      <c r="B246" s="95"/>
      <c r="C246" s="50" t="s">
        <v>63</v>
      </c>
      <c r="D246" s="51">
        <v>15</v>
      </c>
      <c r="E246" s="52">
        <v>1.1645962732919254E-2</v>
      </c>
      <c r="F246" s="81"/>
    </row>
    <row r="247" spans="2:6" ht="15" customHeight="1" x14ac:dyDescent="0.25">
      <c r="B247" s="93" t="s">
        <v>123</v>
      </c>
      <c r="C247" s="47" t="s">
        <v>73</v>
      </c>
      <c r="D247" s="48">
        <v>1</v>
      </c>
      <c r="E247" s="49">
        <v>7.7639751552795026E-4</v>
      </c>
      <c r="F247" s="80"/>
    </row>
    <row r="248" spans="2:6" ht="15" customHeight="1" x14ac:dyDescent="0.25">
      <c r="B248" s="94"/>
      <c r="C248" s="47" t="s">
        <v>76</v>
      </c>
      <c r="D248" s="48">
        <v>3</v>
      </c>
      <c r="E248" s="49">
        <v>2.329192546583851E-3</v>
      </c>
      <c r="F248" s="80"/>
    </row>
    <row r="249" spans="2:6" ht="15" customHeight="1" x14ac:dyDescent="0.25">
      <c r="B249" s="94"/>
      <c r="C249" s="47" t="s">
        <v>77</v>
      </c>
      <c r="D249" s="48">
        <v>5</v>
      </c>
      <c r="E249" s="49">
        <v>3.8819875776397515E-3</v>
      </c>
      <c r="F249" s="80"/>
    </row>
    <row r="250" spans="2:6" ht="15" customHeight="1" x14ac:dyDescent="0.25">
      <c r="B250" s="94"/>
      <c r="C250" s="47" t="s">
        <v>78</v>
      </c>
      <c r="D250" s="48">
        <v>1</v>
      </c>
      <c r="E250" s="49">
        <v>7.7639751552795026E-4</v>
      </c>
      <c r="F250" s="80"/>
    </row>
    <row r="251" spans="2:6" ht="15" customHeight="1" x14ac:dyDescent="0.25">
      <c r="B251" s="94"/>
      <c r="C251" s="47" t="s">
        <v>79</v>
      </c>
      <c r="D251" s="48">
        <v>13</v>
      </c>
      <c r="E251" s="49">
        <v>1.0093167701863354E-2</v>
      </c>
      <c r="F251" s="80"/>
    </row>
    <row r="252" spans="2:6" ht="15" customHeight="1" x14ac:dyDescent="0.25">
      <c r="B252" s="94"/>
      <c r="C252" s="47" t="s">
        <v>80</v>
      </c>
      <c r="D252" s="48">
        <v>8</v>
      </c>
      <c r="E252" s="49">
        <v>6.2111801242236021E-3</v>
      </c>
      <c r="F252" s="80"/>
    </row>
    <row r="253" spans="2:6" ht="15" customHeight="1" x14ac:dyDescent="0.25">
      <c r="B253" s="94"/>
      <c r="C253" s="47" t="s">
        <v>81</v>
      </c>
      <c r="D253" s="48">
        <v>3</v>
      </c>
      <c r="E253" s="49">
        <v>2.329192546583851E-3</v>
      </c>
      <c r="F253" s="80"/>
    </row>
    <row r="254" spans="2:6" ht="15" customHeight="1" x14ac:dyDescent="0.25">
      <c r="B254" s="94"/>
      <c r="C254" s="47" t="s">
        <v>82</v>
      </c>
      <c r="D254" s="48">
        <v>5</v>
      </c>
      <c r="E254" s="49">
        <v>3.8819875776397515E-3</v>
      </c>
      <c r="F254" s="80"/>
    </row>
    <row r="255" spans="2:6" ht="15" customHeight="1" x14ac:dyDescent="0.25">
      <c r="B255" s="94"/>
      <c r="C255" s="47" t="s">
        <v>83</v>
      </c>
      <c r="D255" s="48">
        <v>5</v>
      </c>
      <c r="E255" s="49">
        <v>3.8819875776397515E-3</v>
      </c>
      <c r="F255" s="80"/>
    </row>
    <row r="256" spans="2:6" ht="15" customHeight="1" x14ac:dyDescent="0.25">
      <c r="B256" s="94"/>
      <c r="C256" s="47" t="s">
        <v>84</v>
      </c>
      <c r="D256" s="48">
        <v>38</v>
      </c>
      <c r="E256" s="49">
        <v>2.9503105590062112E-2</v>
      </c>
      <c r="F256" s="80"/>
    </row>
    <row r="257" spans="2:6" ht="15" customHeight="1" x14ac:dyDescent="0.25">
      <c r="B257" s="94"/>
      <c r="C257" s="47" t="s">
        <v>86</v>
      </c>
      <c r="D257" s="48">
        <v>5</v>
      </c>
      <c r="E257" s="49">
        <v>3.8819875776397515E-3</v>
      </c>
      <c r="F257" s="80"/>
    </row>
    <row r="258" spans="2:6" ht="15" customHeight="1" x14ac:dyDescent="0.25">
      <c r="B258" s="94"/>
      <c r="C258" s="47" t="s">
        <v>87</v>
      </c>
      <c r="D258" s="48">
        <v>12</v>
      </c>
      <c r="E258" s="49">
        <v>9.316770186335404E-3</v>
      </c>
      <c r="F258" s="80"/>
    </row>
    <row r="259" spans="2:6" ht="15" customHeight="1" x14ac:dyDescent="0.25">
      <c r="B259" s="94"/>
      <c r="C259" s="47" t="s">
        <v>88</v>
      </c>
      <c r="D259" s="48">
        <v>1</v>
      </c>
      <c r="E259" s="49">
        <v>7.7639751552795026E-4</v>
      </c>
      <c r="F259" s="80"/>
    </row>
    <row r="260" spans="2:6" ht="15" customHeight="1" x14ac:dyDescent="0.25">
      <c r="B260" s="94"/>
      <c r="C260" s="47" t="s">
        <v>92</v>
      </c>
      <c r="D260" s="48">
        <v>2</v>
      </c>
      <c r="E260" s="49">
        <v>1.5527950310559005E-3</v>
      </c>
      <c r="F260" s="80"/>
    </row>
    <row r="261" spans="2:6" ht="15" customHeight="1" x14ac:dyDescent="0.25">
      <c r="B261" s="94"/>
      <c r="C261" s="47" t="s">
        <v>93</v>
      </c>
      <c r="D261" s="48">
        <v>2</v>
      </c>
      <c r="E261" s="49">
        <v>1.5527950310559005E-3</v>
      </c>
      <c r="F261" s="80"/>
    </row>
    <row r="262" spans="2:6" ht="15" customHeight="1" x14ac:dyDescent="0.25">
      <c r="B262" s="95"/>
      <c r="C262" s="50" t="s">
        <v>63</v>
      </c>
      <c r="D262" s="51">
        <v>104</v>
      </c>
      <c r="E262" s="52">
        <v>8.0745341614906832E-2</v>
      </c>
      <c r="F262" s="81"/>
    </row>
    <row r="263" spans="2:6" ht="15" customHeight="1" x14ac:dyDescent="0.25">
      <c r="B263" s="93" t="s">
        <v>124</v>
      </c>
      <c r="C263" s="47" t="s">
        <v>74</v>
      </c>
      <c r="D263" s="48">
        <v>2</v>
      </c>
      <c r="E263" s="49">
        <v>1.5527950310559005E-3</v>
      </c>
      <c r="F263" s="80"/>
    </row>
    <row r="264" spans="2:6" ht="15" customHeight="1" x14ac:dyDescent="0.25">
      <c r="B264" s="94"/>
      <c r="C264" s="47" t="s">
        <v>79</v>
      </c>
      <c r="D264" s="48">
        <v>6</v>
      </c>
      <c r="E264" s="49">
        <v>4.658385093167702E-3</v>
      </c>
      <c r="F264" s="80"/>
    </row>
    <row r="265" spans="2:6" ht="15" customHeight="1" x14ac:dyDescent="0.25">
      <c r="B265" s="94"/>
      <c r="C265" s="47" t="s">
        <v>80</v>
      </c>
      <c r="D265" s="48">
        <v>18</v>
      </c>
      <c r="E265" s="49">
        <v>1.3975155279503106E-2</v>
      </c>
      <c r="F265" s="80"/>
    </row>
    <row r="266" spans="2:6" ht="15" customHeight="1" x14ac:dyDescent="0.25">
      <c r="B266" s="94"/>
      <c r="C266" s="47" t="s">
        <v>81</v>
      </c>
      <c r="D266" s="48">
        <v>2</v>
      </c>
      <c r="E266" s="49">
        <v>1.5527950310559005E-3</v>
      </c>
      <c r="F266" s="80"/>
    </row>
    <row r="267" spans="2:6" ht="15" customHeight="1" x14ac:dyDescent="0.25">
      <c r="B267" s="94"/>
      <c r="C267" s="47" t="s">
        <v>82</v>
      </c>
      <c r="D267" s="48">
        <v>1</v>
      </c>
      <c r="E267" s="49">
        <v>7.7639751552795026E-4</v>
      </c>
      <c r="F267" s="80"/>
    </row>
    <row r="268" spans="2:6" ht="15" customHeight="1" x14ac:dyDescent="0.25">
      <c r="B268" s="94"/>
      <c r="C268" s="47" t="s">
        <v>83</v>
      </c>
      <c r="D268" s="48">
        <v>4</v>
      </c>
      <c r="E268" s="49">
        <v>3.105590062111801E-3</v>
      </c>
      <c r="F268" s="80"/>
    </row>
    <row r="269" spans="2:6" ht="15" customHeight="1" x14ac:dyDescent="0.25">
      <c r="B269" s="94"/>
      <c r="C269" s="47" t="s">
        <v>84</v>
      </c>
      <c r="D269" s="48">
        <v>21</v>
      </c>
      <c r="E269" s="49">
        <v>1.6304347826086956E-2</v>
      </c>
      <c r="F269" s="80"/>
    </row>
    <row r="270" spans="2:6" ht="15" customHeight="1" x14ac:dyDescent="0.25">
      <c r="B270" s="94"/>
      <c r="C270" s="47" t="s">
        <v>85</v>
      </c>
      <c r="D270" s="48">
        <v>2</v>
      </c>
      <c r="E270" s="49">
        <v>1.5527950310559005E-3</v>
      </c>
      <c r="F270" s="80"/>
    </row>
    <row r="271" spans="2:6" ht="15" customHeight="1" x14ac:dyDescent="0.25">
      <c r="B271" s="94"/>
      <c r="C271" s="47" t="s">
        <v>86</v>
      </c>
      <c r="D271" s="48">
        <v>7</v>
      </c>
      <c r="E271" s="49">
        <v>5.434782608695652E-3</v>
      </c>
      <c r="F271" s="80"/>
    </row>
    <row r="272" spans="2:6" ht="15" customHeight="1" x14ac:dyDescent="0.25">
      <c r="B272" s="94"/>
      <c r="C272" s="47" t="s">
        <v>87</v>
      </c>
      <c r="D272" s="48">
        <v>4</v>
      </c>
      <c r="E272" s="49">
        <v>3.105590062111801E-3</v>
      </c>
      <c r="F272" s="80"/>
    </row>
    <row r="273" spans="2:6" ht="15" customHeight="1" x14ac:dyDescent="0.25">
      <c r="B273" s="95"/>
      <c r="C273" s="50" t="s">
        <v>63</v>
      </c>
      <c r="D273" s="51">
        <v>67</v>
      </c>
      <c r="E273" s="52">
        <v>5.2018633540372672E-2</v>
      </c>
      <c r="F273" s="81"/>
    </row>
    <row r="274" spans="2:6" ht="15" customHeight="1" x14ac:dyDescent="0.25">
      <c r="B274" s="93" t="s">
        <v>125</v>
      </c>
      <c r="C274" s="47" t="s">
        <v>76</v>
      </c>
      <c r="D274" s="48">
        <v>1</v>
      </c>
      <c r="E274" s="49">
        <v>7.7639751552795026E-4</v>
      </c>
      <c r="F274" s="80"/>
    </row>
    <row r="275" spans="2:6" ht="15" customHeight="1" x14ac:dyDescent="0.25">
      <c r="B275" s="94"/>
      <c r="C275" s="47" t="s">
        <v>77</v>
      </c>
      <c r="D275" s="48">
        <v>1</v>
      </c>
      <c r="E275" s="49">
        <v>7.7639751552795026E-4</v>
      </c>
      <c r="F275" s="80"/>
    </row>
    <row r="276" spans="2:6" ht="15" customHeight="1" x14ac:dyDescent="0.25">
      <c r="B276" s="94"/>
      <c r="C276" s="47" t="s">
        <v>78</v>
      </c>
      <c r="D276" s="48">
        <v>1</v>
      </c>
      <c r="E276" s="49">
        <v>7.7639751552795026E-4</v>
      </c>
      <c r="F276" s="80"/>
    </row>
    <row r="277" spans="2:6" ht="15" customHeight="1" x14ac:dyDescent="0.25">
      <c r="B277" s="94"/>
      <c r="C277" s="47" t="s">
        <v>79</v>
      </c>
      <c r="D277" s="48">
        <v>2</v>
      </c>
      <c r="E277" s="49">
        <v>1.5527950310559005E-3</v>
      </c>
      <c r="F277" s="80"/>
    </row>
    <row r="278" spans="2:6" ht="15" customHeight="1" x14ac:dyDescent="0.25">
      <c r="B278" s="94"/>
      <c r="C278" s="47" t="s">
        <v>80</v>
      </c>
      <c r="D278" s="48">
        <v>4</v>
      </c>
      <c r="E278" s="49">
        <v>3.105590062111801E-3</v>
      </c>
      <c r="F278" s="80"/>
    </row>
    <row r="279" spans="2:6" ht="15" customHeight="1" x14ac:dyDescent="0.25">
      <c r="B279" s="94"/>
      <c r="C279" s="47" t="s">
        <v>82</v>
      </c>
      <c r="D279" s="48">
        <v>2</v>
      </c>
      <c r="E279" s="49">
        <v>1.5527950310559005E-3</v>
      </c>
      <c r="F279" s="80"/>
    </row>
    <row r="280" spans="2:6" ht="15" customHeight="1" x14ac:dyDescent="0.25">
      <c r="B280" s="94"/>
      <c r="C280" s="47" t="s">
        <v>84</v>
      </c>
      <c r="D280" s="48">
        <v>4</v>
      </c>
      <c r="E280" s="49">
        <v>3.105590062111801E-3</v>
      </c>
      <c r="F280" s="80"/>
    </row>
    <row r="281" spans="2:6" ht="15" customHeight="1" x14ac:dyDescent="0.25">
      <c r="B281" s="94"/>
      <c r="C281" s="47" t="s">
        <v>87</v>
      </c>
      <c r="D281" s="48">
        <v>1</v>
      </c>
      <c r="E281" s="49">
        <v>7.7639751552795026E-4</v>
      </c>
      <c r="F281" s="80"/>
    </row>
    <row r="282" spans="2:6" ht="15" customHeight="1" x14ac:dyDescent="0.25">
      <c r="B282" s="94"/>
      <c r="C282" s="47" t="s">
        <v>88</v>
      </c>
      <c r="D282" s="48">
        <v>1</v>
      </c>
      <c r="E282" s="49">
        <v>7.7639751552795026E-4</v>
      </c>
      <c r="F282" s="80"/>
    </row>
    <row r="283" spans="2:6" ht="15" customHeight="1" x14ac:dyDescent="0.25">
      <c r="B283" s="95"/>
      <c r="C283" s="50" t="s">
        <v>63</v>
      </c>
      <c r="D283" s="51">
        <v>17</v>
      </c>
      <c r="E283" s="52">
        <v>1.3198757763975156E-2</v>
      </c>
      <c r="F283" s="81"/>
    </row>
    <row r="284" spans="2:6" ht="15" customHeight="1" x14ac:dyDescent="0.25">
      <c r="B284" s="93" t="s">
        <v>126</v>
      </c>
      <c r="C284" s="47" t="s">
        <v>80</v>
      </c>
      <c r="D284" s="48">
        <v>1</v>
      </c>
      <c r="E284" s="49">
        <v>7.7639751552795026E-4</v>
      </c>
      <c r="F284" s="80"/>
    </row>
    <row r="285" spans="2:6" ht="15" customHeight="1" x14ac:dyDescent="0.25">
      <c r="B285" s="94"/>
      <c r="C285" s="47" t="s">
        <v>81</v>
      </c>
      <c r="D285" s="48">
        <v>1</v>
      </c>
      <c r="E285" s="49">
        <v>7.7639751552795026E-4</v>
      </c>
      <c r="F285" s="80"/>
    </row>
    <row r="286" spans="2:6" ht="15" customHeight="1" x14ac:dyDescent="0.25">
      <c r="B286" s="94"/>
      <c r="C286" s="47" t="s">
        <v>84</v>
      </c>
      <c r="D286" s="48">
        <v>1</v>
      </c>
      <c r="E286" s="49">
        <v>7.7639751552795026E-4</v>
      </c>
      <c r="F286" s="80"/>
    </row>
    <row r="287" spans="2:6" ht="15" customHeight="1" x14ac:dyDescent="0.25">
      <c r="B287" s="94"/>
      <c r="C287" s="47" t="s">
        <v>87</v>
      </c>
      <c r="D287" s="48">
        <v>1</v>
      </c>
      <c r="E287" s="49">
        <v>7.7639751552795026E-4</v>
      </c>
      <c r="F287" s="80"/>
    </row>
    <row r="288" spans="2:6" ht="15" customHeight="1" x14ac:dyDescent="0.25">
      <c r="B288" s="95"/>
      <c r="C288" s="50" t="s">
        <v>63</v>
      </c>
      <c r="D288" s="51">
        <v>4</v>
      </c>
      <c r="E288" s="52">
        <v>3.105590062111801E-3</v>
      </c>
      <c r="F288" s="81"/>
    </row>
    <row r="289" spans="2:6" ht="15" customHeight="1" x14ac:dyDescent="0.25">
      <c r="B289" s="93" t="s">
        <v>127</v>
      </c>
      <c r="C289" s="47" t="s">
        <v>74</v>
      </c>
      <c r="D289" s="48">
        <v>1</v>
      </c>
      <c r="E289" s="49">
        <v>7.7639751552795026E-4</v>
      </c>
      <c r="F289" s="80"/>
    </row>
    <row r="290" spans="2:6" ht="15" customHeight="1" x14ac:dyDescent="0.25">
      <c r="B290" s="94"/>
      <c r="C290" s="47" t="s">
        <v>76</v>
      </c>
      <c r="D290" s="48">
        <v>1</v>
      </c>
      <c r="E290" s="49">
        <v>7.7639751552795026E-4</v>
      </c>
      <c r="F290" s="80"/>
    </row>
    <row r="291" spans="2:6" ht="15" customHeight="1" x14ac:dyDescent="0.25">
      <c r="B291" s="94"/>
      <c r="C291" s="47" t="s">
        <v>77</v>
      </c>
      <c r="D291" s="48">
        <v>1</v>
      </c>
      <c r="E291" s="49">
        <v>7.7639751552795026E-4</v>
      </c>
      <c r="F291" s="80"/>
    </row>
    <row r="292" spans="2:6" ht="15" customHeight="1" x14ac:dyDescent="0.25">
      <c r="B292" s="94"/>
      <c r="C292" s="47" t="s">
        <v>79</v>
      </c>
      <c r="D292" s="48">
        <v>2</v>
      </c>
      <c r="E292" s="49">
        <v>1.5527950310559005E-3</v>
      </c>
      <c r="F292" s="80"/>
    </row>
    <row r="293" spans="2:6" ht="15" customHeight="1" x14ac:dyDescent="0.25">
      <c r="B293" s="94"/>
      <c r="C293" s="47" t="s">
        <v>83</v>
      </c>
      <c r="D293" s="48">
        <v>2</v>
      </c>
      <c r="E293" s="49">
        <v>1.5527950310559005E-3</v>
      </c>
      <c r="F293" s="80"/>
    </row>
    <row r="294" spans="2:6" ht="15" customHeight="1" x14ac:dyDescent="0.25">
      <c r="B294" s="94"/>
      <c r="C294" s="47" t="s">
        <v>84</v>
      </c>
      <c r="D294" s="48">
        <v>1</v>
      </c>
      <c r="E294" s="49">
        <v>7.7639751552795026E-4</v>
      </c>
      <c r="F294" s="80"/>
    </row>
    <row r="295" spans="2:6" ht="15" customHeight="1" x14ac:dyDescent="0.25">
      <c r="B295" s="94"/>
      <c r="C295" s="47" t="s">
        <v>87</v>
      </c>
      <c r="D295" s="48">
        <v>3</v>
      </c>
      <c r="E295" s="49">
        <v>2.329192546583851E-3</v>
      </c>
      <c r="F295" s="80"/>
    </row>
    <row r="296" spans="2:6" ht="15" customHeight="1" x14ac:dyDescent="0.25">
      <c r="B296" s="94"/>
      <c r="C296" s="47" t="s">
        <v>94</v>
      </c>
      <c r="D296" s="48">
        <v>1</v>
      </c>
      <c r="E296" s="49">
        <v>7.7639751552795026E-4</v>
      </c>
      <c r="F296" s="80"/>
    </row>
    <row r="297" spans="2:6" ht="15" customHeight="1" x14ac:dyDescent="0.25">
      <c r="B297" s="95"/>
      <c r="C297" s="50" t="s">
        <v>63</v>
      </c>
      <c r="D297" s="51">
        <v>12</v>
      </c>
      <c r="E297" s="52">
        <v>9.316770186335404E-3</v>
      </c>
      <c r="F297" s="81"/>
    </row>
    <row r="298" spans="2:6" ht="15" customHeight="1" x14ac:dyDescent="0.25">
      <c r="B298" s="93" t="s">
        <v>128</v>
      </c>
      <c r="C298" s="47" t="s">
        <v>87</v>
      </c>
      <c r="D298" s="48">
        <v>1</v>
      </c>
      <c r="E298" s="49">
        <v>7.7639751552795026E-4</v>
      </c>
      <c r="F298" s="80"/>
    </row>
    <row r="299" spans="2:6" ht="15" customHeight="1" x14ac:dyDescent="0.25">
      <c r="B299" s="95"/>
      <c r="C299" s="50" t="s">
        <v>63</v>
      </c>
      <c r="D299" s="51">
        <v>1</v>
      </c>
      <c r="E299" s="52">
        <v>7.7639751552795026E-4</v>
      </c>
      <c r="F299" s="81"/>
    </row>
    <row r="300" spans="2:6" ht="15" customHeight="1" x14ac:dyDescent="0.25">
      <c r="B300" s="93" t="s">
        <v>129</v>
      </c>
      <c r="C300" s="47" t="s">
        <v>73</v>
      </c>
      <c r="D300" s="48">
        <v>2</v>
      </c>
      <c r="E300" s="49">
        <v>1.5527950310559005E-3</v>
      </c>
      <c r="F300" s="80"/>
    </row>
    <row r="301" spans="2:6" ht="15" customHeight="1" x14ac:dyDescent="0.25">
      <c r="B301" s="94"/>
      <c r="C301" s="47" t="s">
        <v>75</v>
      </c>
      <c r="D301" s="48">
        <v>2</v>
      </c>
      <c r="E301" s="49">
        <v>1.5527950310559005E-3</v>
      </c>
      <c r="F301" s="80"/>
    </row>
    <row r="302" spans="2:6" ht="15" customHeight="1" x14ac:dyDescent="0.25">
      <c r="B302" s="94"/>
      <c r="C302" s="47" t="s">
        <v>76</v>
      </c>
      <c r="D302" s="48">
        <v>1</v>
      </c>
      <c r="E302" s="49">
        <v>7.7639751552795026E-4</v>
      </c>
      <c r="F302" s="80"/>
    </row>
    <row r="303" spans="2:6" ht="15" customHeight="1" x14ac:dyDescent="0.25">
      <c r="B303" s="94"/>
      <c r="C303" s="47" t="s">
        <v>77</v>
      </c>
      <c r="D303" s="48">
        <v>1</v>
      </c>
      <c r="E303" s="49">
        <v>7.7639751552795026E-4</v>
      </c>
      <c r="F303" s="80"/>
    </row>
    <row r="304" spans="2:6" ht="15" customHeight="1" x14ac:dyDescent="0.25">
      <c r="B304" s="94"/>
      <c r="C304" s="47" t="s">
        <v>78</v>
      </c>
      <c r="D304" s="48">
        <v>1</v>
      </c>
      <c r="E304" s="49">
        <v>7.7639751552795026E-4</v>
      </c>
      <c r="F304" s="80"/>
    </row>
    <row r="305" spans="2:6" ht="15" customHeight="1" x14ac:dyDescent="0.25">
      <c r="B305" s="94"/>
      <c r="C305" s="47" t="s">
        <v>79</v>
      </c>
      <c r="D305" s="48">
        <v>4</v>
      </c>
      <c r="E305" s="49">
        <v>3.105590062111801E-3</v>
      </c>
      <c r="F305" s="80"/>
    </row>
    <row r="306" spans="2:6" ht="15" customHeight="1" x14ac:dyDescent="0.25">
      <c r="B306" s="94"/>
      <c r="C306" s="47" t="s">
        <v>80</v>
      </c>
      <c r="D306" s="48">
        <v>12</v>
      </c>
      <c r="E306" s="49">
        <v>9.316770186335404E-3</v>
      </c>
      <c r="F306" s="80"/>
    </row>
    <row r="307" spans="2:6" ht="15" customHeight="1" x14ac:dyDescent="0.25">
      <c r="B307" s="94"/>
      <c r="C307" s="47" t="s">
        <v>81</v>
      </c>
      <c r="D307" s="48">
        <v>2</v>
      </c>
      <c r="E307" s="49">
        <v>1.5527950310559005E-3</v>
      </c>
      <c r="F307" s="80"/>
    </row>
    <row r="308" spans="2:6" ht="15" customHeight="1" x14ac:dyDescent="0.25">
      <c r="B308" s="94"/>
      <c r="C308" s="47" t="s">
        <v>83</v>
      </c>
      <c r="D308" s="48">
        <v>2</v>
      </c>
      <c r="E308" s="49">
        <v>1.5527950310559005E-3</v>
      </c>
      <c r="F308" s="80"/>
    </row>
    <row r="309" spans="2:6" ht="15" customHeight="1" x14ac:dyDescent="0.25">
      <c r="B309" s="94"/>
      <c r="C309" s="47" t="s">
        <v>84</v>
      </c>
      <c r="D309" s="48">
        <v>28</v>
      </c>
      <c r="E309" s="49">
        <v>2.1739130434782608E-2</v>
      </c>
      <c r="F309" s="80"/>
    </row>
    <row r="310" spans="2:6" ht="15" customHeight="1" x14ac:dyDescent="0.25">
      <c r="B310" s="94"/>
      <c r="C310" s="47" t="s">
        <v>85</v>
      </c>
      <c r="D310" s="48">
        <v>1</v>
      </c>
      <c r="E310" s="49">
        <v>7.7639751552795026E-4</v>
      </c>
      <c r="F310" s="80"/>
    </row>
    <row r="311" spans="2:6" ht="15" customHeight="1" x14ac:dyDescent="0.25">
      <c r="B311" s="94"/>
      <c r="C311" s="47" t="s">
        <v>86</v>
      </c>
      <c r="D311" s="48">
        <v>5</v>
      </c>
      <c r="E311" s="49">
        <v>3.8819875776397515E-3</v>
      </c>
      <c r="F311" s="80"/>
    </row>
    <row r="312" spans="2:6" ht="15" customHeight="1" x14ac:dyDescent="0.25">
      <c r="B312" s="94"/>
      <c r="C312" s="47" t="s">
        <v>87</v>
      </c>
      <c r="D312" s="48">
        <v>9</v>
      </c>
      <c r="E312" s="49">
        <v>6.987577639751553E-3</v>
      </c>
      <c r="F312" s="80"/>
    </row>
    <row r="313" spans="2:6" ht="15" customHeight="1" x14ac:dyDescent="0.25">
      <c r="B313" s="94"/>
      <c r="C313" s="47" t="s">
        <v>93</v>
      </c>
      <c r="D313" s="48">
        <v>1</v>
      </c>
      <c r="E313" s="49">
        <v>7.7639751552795026E-4</v>
      </c>
      <c r="F313" s="80"/>
    </row>
    <row r="314" spans="2:6" ht="15" customHeight="1" x14ac:dyDescent="0.25">
      <c r="B314" s="95"/>
      <c r="C314" s="50" t="s">
        <v>63</v>
      </c>
      <c r="D314" s="51">
        <v>71</v>
      </c>
      <c r="E314" s="52">
        <v>5.5124223602484472E-2</v>
      </c>
      <c r="F314" s="81"/>
    </row>
    <row r="315" spans="2:6" ht="15" customHeight="1" x14ac:dyDescent="0.25">
      <c r="B315" s="93" t="s">
        <v>130</v>
      </c>
      <c r="C315" s="47" t="s">
        <v>80</v>
      </c>
      <c r="D315" s="48">
        <v>3</v>
      </c>
      <c r="E315" s="49">
        <v>2.329192546583851E-3</v>
      </c>
      <c r="F315" s="80"/>
    </row>
    <row r="316" spans="2:6" ht="15" customHeight="1" x14ac:dyDescent="0.25">
      <c r="B316" s="94"/>
      <c r="C316" s="47" t="s">
        <v>83</v>
      </c>
      <c r="D316" s="48">
        <v>1</v>
      </c>
      <c r="E316" s="49">
        <v>7.7639751552795026E-4</v>
      </c>
      <c r="F316" s="80"/>
    </row>
    <row r="317" spans="2:6" ht="15" customHeight="1" x14ac:dyDescent="0.25">
      <c r="B317" s="94"/>
      <c r="C317" s="47" t="s">
        <v>84</v>
      </c>
      <c r="D317" s="48">
        <v>8</v>
      </c>
      <c r="E317" s="49">
        <v>6.2111801242236021E-3</v>
      </c>
      <c r="F317" s="80"/>
    </row>
    <row r="318" spans="2:6" ht="15" customHeight="1" x14ac:dyDescent="0.25">
      <c r="B318" s="94"/>
      <c r="C318" s="47" t="s">
        <v>86</v>
      </c>
      <c r="D318" s="48">
        <v>1</v>
      </c>
      <c r="E318" s="49">
        <v>7.7639751552795026E-4</v>
      </c>
      <c r="F318" s="80"/>
    </row>
    <row r="319" spans="2:6" ht="15" customHeight="1" x14ac:dyDescent="0.25">
      <c r="B319" s="94"/>
      <c r="C319" s="47" t="s">
        <v>87</v>
      </c>
      <c r="D319" s="48">
        <v>4</v>
      </c>
      <c r="E319" s="49">
        <v>3.105590062111801E-3</v>
      </c>
      <c r="F319" s="80"/>
    </row>
    <row r="320" spans="2:6" ht="15" customHeight="1" x14ac:dyDescent="0.25">
      <c r="B320" s="95"/>
      <c r="C320" s="50" t="s">
        <v>63</v>
      </c>
      <c r="D320" s="51">
        <v>17</v>
      </c>
      <c r="E320" s="52">
        <v>1.3198757763975156E-2</v>
      </c>
      <c r="F320" s="81"/>
    </row>
    <row r="321" spans="2:6" ht="15" customHeight="1" x14ac:dyDescent="0.25">
      <c r="B321" s="93" t="s">
        <v>131</v>
      </c>
      <c r="C321" s="47" t="s">
        <v>75</v>
      </c>
      <c r="D321" s="48">
        <v>1</v>
      </c>
      <c r="E321" s="49">
        <v>7.7639751552795026E-4</v>
      </c>
      <c r="F321" s="80"/>
    </row>
    <row r="322" spans="2:6" ht="15" customHeight="1" x14ac:dyDescent="0.25">
      <c r="B322" s="94"/>
      <c r="C322" s="47" t="s">
        <v>80</v>
      </c>
      <c r="D322" s="48">
        <v>3</v>
      </c>
      <c r="E322" s="49">
        <v>2.329192546583851E-3</v>
      </c>
      <c r="F322" s="80"/>
    </row>
    <row r="323" spans="2:6" ht="15" customHeight="1" x14ac:dyDescent="0.25">
      <c r="B323" s="94"/>
      <c r="C323" s="47" t="s">
        <v>84</v>
      </c>
      <c r="D323" s="48">
        <v>3</v>
      </c>
      <c r="E323" s="49">
        <v>2.329192546583851E-3</v>
      </c>
      <c r="F323" s="80"/>
    </row>
    <row r="324" spans="2:6" ht="15" customHeight="1" x14ac:dyDescent="0.25">
      <c r="B324" s="94"/>
      <c r="C324" s="47" t="s">
        <v>87</v>
      </c>
      <c r="D324" s="48">
        <v>8</v>
      </c>
      <c r="E324" s="49">
        <v>6.2111801242236021E-3</v>
      </c>
      <c r="F324" s="80"/>
    </row>
    <row r="325" spans="2:6" ht="15" customHeight="1" x14ac:dyDescent="0.25">
      <c r="B325" s="94"/>
      <c r="C325" s="47" t="s">
        <v>92</v>
      </c>
      <c r="D325" s="48">
        <v>1</v>
      </c>
      <c r="E325" s="49">
        <v>7.7639751552795026E-4</v>
      </c>
      <c r="F325" s="80"/>
    </row>
    <row r="326" spans="2:6" ht="15" customHeight="1" x14ac:dyDescent="0.25">
      <c r="B326" s="95"/>
      <c r="C326" s="50" t="s">
        <v>63</v>
      </c>
      <c r="D326" s="51">
        <v>16</v>
      </c>
      <c r="E326" s="52">
        <v>1.2422360248447204E-2</v>
      </c>
      <c r="F326" s="81"/>
    </row>
    <row r="327" spans="2:6" ht="15" customHeight="1" x14ac:dyDescent="0.25">
      <c r="B327" s="93" t="s">
        <v>132</v>
      </c>
      <c r="C327" s="47" t="s">
        <v>79</v>
      </c>
      <c r="D327" s="48">
        <v>1</v>
      </c>
      <c r="E327" s="49">
        <v>7.7639751552795026E-4</v>
      </c>
      <c r="F327" s="80"/>
    </row>
    <row r="328" spans="2:6" ht="15" customHeight="1" x14ac:dyDescent="0.25">
      <c r="B328" s="94"/>
      <c r="C328" s="47" t="s">
        <v>83</v>
      </c>
      <c r="D328" s="48">
        <v>1</v>
      </c>
      <c r="E328" s="49">
        <v>7.7639751552795026E-4</v>
      </c>
      <c r="F328" s="80"/>
    </row>
    <row r="329" spans="2:6" ht="15" customHeight="1" x14ac:dyDescent="0.25">
      <c r="B329" s="94"/>
      <c r="C329" s="47" t="s">
        <v>93</v>
      </c>
      <c r="D329" s="48">
        <v>2</v>
      </c>
      <c r="E329" s="49">
        <v>1.5527950310559005E-3</v>
      </c>
      <c r="F329" s="80"/>
    </row>
    <row r="330" spans="2:6" ht="15" customHeight="1" x14ac:dyDescent="0.25">
      <c r="B330" s="95"/>
      <c r="C330" s="50" t="s">
        <v>63</v>
      </c>
      <c r="D330" s="51">
        <v>4</v>
      </c>
      <c r="E330" s="52">
        <v>3.105590062111801E-3</v>
      </c>
      <c r="F330" s="81"/>
    </row>
    <row r="331" spans="2:6" ht="15" customHeight="1" x14ac:dyDescent="0.25">
      <c r="B331" s="93" t="s">
        <v>133</v>
      </c>
      <c r="C331" s="47" t="s">
        <v>76</v>
      </c>
      <c r="D331" s="48">
        <v>1</v>
      </c>
      <c r="E331" s="49">
        <v>7.7639751552795026E-4</v>
      </c>
      <c r="F331" s="80"/>
    </row>
    <row r="332" spans="2:6" ht="15" customHeight="1" x14ac:dyDescent="0.25">
      <c r="B332" s="94"/>
      <c r="C332" s="47" t="s">
        <v>79</v>
      </c>
      <c r="D332" s="48">
        <v>2</v>
      </c>
      <c r="E332" s="49">
        <v>1.5527950310559005E-3</v>
      </c>
      <c r="F332" s="80"/>
    </row>
    <row r="333" spans="2:6" ht="15" customHeight="1" x14ac:dyDescent="0.25">
      <c r="B333" s="94"/>
      <c r="C333" s="47" t="s">
        <v>80</v>
      </c>
      <c r="D333" s="48">
        <v>1</v>
      </c>
      <c r="E333" s="49">
        <v>7.7639751552795026E-4</v>
      </c>
      <c r="F333" s="80"/>
    </row>
    <row r="334" spans="2:6" ht="15" customHeight="1" x14ac:dyDescent="0.25">
      <c r="B334" s="94"/>
      <c r="C334" s="47" t="s">
        <v>83</v>
      </c>
      <c r="D334" s="48">
        <v>2</v>
      </c>
      <c r="E334" s="49">
        <v>1.5527950310559005E-3</v>
      </c>
      <c r="F334" s="80"/>
    </row>
    <row r="335" spans="2:6" ht="15" customHeight="1" x14ac:dyDescent="0.25">
      <c r="B335" s="94"/>
      <c r="C335" s="47" t="s">
        <v>84</v>
      </c>
      <c r="D335" s="48">
        <v>24</v>
      </c>
      <c r="E335" s="49">
        <v>1.8633540372670808E-2</v>
      </c>
      <c r="F335" s="80"/>
    </row>
    <row r="336" spans="2:6" ht="15" customHeight="1" x14ac:dyDescent="0.25">
      <c r="B336" s="94"/>
      <c r="C336" s="47" t="s">
        <v>85</v>
      </c>
      <c r="D336" s="48">
        <v>1</v>
      </c>
      <c r="E336" s="49">
        <v>7.7639751552795026E-4</v>
      </c>
      <c r="F336" s="80"/>
    </row>
    <row r="337" spans="2:6" ht="15" customHeight="1" x14ac:dyDescent="0.25">
      <c r="B337" s="94"/>
      <c r="C337" s="47" t="s">
        <v>86</v>
      </c>
      <c r="D337" s="48">
        <v>2</v>
      </c>
      <c r="E337" s="49">
        <v>1.5527950310559005E-3</v>
      </c>
      <c r="F337" s="80"/>
    </row>
    <row r="338" spans="2:6" ht="15" customHeight="1" x14ac:dyDescent="0.25">
      <c r="B338" s="94"/>
      <c r="C338" s="47" t="s">
        <v>87</v>
      </c>
      <c r="D338" s="48">
        <v>12</v>
      </c>
      <c r="E338" s="49">
        <v>9.316770186335404E-3</v>
      </c>
      <c r="F338" s="80"/>
    </row>
    <row r="339" spans="2:6" ht="15" customHeight="1" x14ac:dyDescent="0.25">
      <c r="B339" s="94"/>
      <c r="C339" s="47" t="s">
        <v>89</v>
      </c>
      <c r="D339" s="48">
        <v>1</v>
      </c>
      <c r="E339" s="49">
        <v>7.7639751552795026E-4</v>
      </c>
      <c r="F339" s="80"/>
    </row>
    <row r="340" spans="2:6" ht="15" customHeight="1" x14ac:dyDescent="0.25">
      <c r="B340" s="94"/>
      <c r="C340" s="47" t="s">
        <v>92</v>
      </c>
      <c r="D340" s="48">
        <v>1</v>
      </c>
      <c r="E340" s="49">
        <v>7.7639751552795026E-4</v>
      </c>
      <c r="F340" s="80"/>
    </row>
    <row r="341" spans="2:6" ht="15" customHeight="1" x14ac:dyDescent="0.25">
      <c r="B341" s="94"/>
      <c r="C341" s="47" t="s">
        <v>93</v>
      </c>
      <c r="D341" s="48">
        <v>2</v>
      </c>
      <c r="E341" s="49">
        <v>1.5527950310559005E-3</v>
      </c>
      <c r="F341" s="80"/>
    </row>
    <row r="342" spans="2:6" ht="15" customHeight="1" x14ac:dyDescent="0.25">
      <c r="B342" s="95"/>
      <c r="C342" s="50" t="s">
        <v>63</v>
      </c>
      <c r="D342" s="51">
        <v>49</v>
      </c>
      <c r="E342" s="52">
        <v>3.8043478260869568E-2</v>
      </c>
      <c r="F342" s="81"/>
    </row>
    <row r="343" spans="2:6" ht="15" customHeight="1" x14ac:dyDescent="0.25">
      <c r="B343" s="93" t="s">
        <v>134</v>
      </c>
      <c r="C343" s="47" t="s">
        <v>79</v>
      </c>
      <c r="D343" s="48">
        <v>2</v>
      </c>
      <c r="E343" s="49">
        <v>1.5527950310559005E-3</v>
      </c>
      <c r="F343" s="80"/>
    </row>
    <row r="344" spans="2:6" ht="15" customHeight="1" x14ac:dyDescent="0.25">
      <c r="B344" s="94"/>
      <c r="C344" s="47" t="s">
        <v>83</v>
      </c>
      <c r="D344" s="48">
        <v>1</v>
      </c>
      <c r="E344" s="49">
        <v>7.7639751552795026E-4</v>
      </c>
      <c r="F344" s="80"/>
    </row>
    <row r="345" spans="2:6" ht="15" customHeight="1" x14ac:dyDescent="0.25">
      <c r="B345" s="94"/>
      <c r="C345" s="47" t="s">
        <v>84</v>
      </c>
      <c r="D345" s="48">
        <v>3</v>
      </c>
      <c r="E345" s="49">
        <v>2.329192546583851E-3</v>
      </c>
      <c r="F345" s="80"/>
    </row>
    <row r="346" spans="2:6" ht="15" customHeight="1" x14ac:dyDescent="0.25">
      <c r="B346" s="94"/>
      <c r="C346" s="47" t="s">
        <v>86</v>
      </c>
      <c r="D346" s="48">
        <v>1</v>
      </c>
      <c r="E346" s="49">
        <v>7.7639751552795026E-4</v>
      </c>
      <c r="F346" s="80"/>
    </row>
    <row r="347" spans="2:6" ht="15" customHeight="1" x14ac:dyDescent="0.25">
      <c r="B347" s="94"/>
      <c r="C347" s="47" t="s">
        <v>87</v>
      </c>
      <c r="D347" s="48">
        <v>1</v>
      </c>
      <c r="E347" s="49">
        <v>7.7639751552795026E-4</v>
      </c>
      <c r="F347" s="80"/>
    </row>
    <row r="348" spans="2:6" ht="15" customHeight="1" x14ac:dyDescent="0.25">
      <c r="B348" s="94"/>
      <c r="C348" s="47" t="s">
        <v>88</v>
      </c>
      <c r="D348" s="48">
        <v>1</v>
      </c>
      <c r="E348" s="49">
        <v>7.7639751552795026E-4</v>
      </c>
      <c r="F348" s="80"/>
    </row>
    <row r="349" spans="2:6" ht="15" customHeight="1" x14ac:dyDescent="0.25">
      <c r="B349" s="94"/>
      <c r="C349" s="47" t="s">
        <v>93</v>
      </c>
      <c r="D349" s="48">
        <v>1</v>
      </c>
      <c r="E349" s="49">
        <v>7.7639751552795026E-4</v>
      </c>
      <c r="F349" s="80"/>
    </row>
    <row r="350" spans="2:6" ht="15" customHeight="1" x14ac:dyDescent="0.25">
      <c r="B350" s="95"/>
      <c r="C350" s="50" t="s">
        <v>63</v>
      </c>
      <c r="D350" s="51">
        <v>10</v>
      </c>
      <c r="E350" s="52">
        <v>7.763975155279503E-3</v>
      </c>
      <c r="F350" s="81"/>
    </row>
    <row r="351" spans="2:6" ht="15" customHeight="1" x14ac:dyDescent="0.25">
      <c r="B351" s="93" t="s">
        <v>135</v>
      </c>
      <c r="C351" s="47" t="s">
        <v>87</v>
      </c>
      <c r="D351" s="48">
        <v>2</v>
      </c>
      <c r="E351" s="49">
        <v>1.5527950310559005E-3</v>
      </c>
      <c r="F351" s="80"/>
    </row>
    <row r="352" spans="2:6" ht="15" customHeight="1" x14ac:dyDescent="0.25">
      <c r="B352" s="95"/>
      <c r="C352" s="50" t="s">
        <v>63</v>
      </c>
      <c r="D352" s="51">
        <v>2</v>
      </c>
      <c r="E352" s="52">
        <v>1.5527950310559005E-3</v>
      </c>
      <c r="F352" s="81"/>
    </row>
    <row r="353" spans="2:6" ht="15" customHeight="1" x14ac:dyDescent="0.25">
      <c r="B353" s="93" t="s">
        <v>136</v>
      </c>
      <c r="C353" s="47" t="s">
        <v>73</v>
      </c>
      <c r="D353" s="48">
        <v>2</v>
      </c>
      <c r="E353" s="49">
        <v>1.5527950310559005E-3</v>
      </c>
      <c r="F353" s="80"/>
    </row>
    <row r="354" spans="2:6" ht="15" customHeight="1" x14ac:dyDescent="0.25">
      <c r="B354" s="94"/>
      <c r="C354" s="47" t="s">
        <v>75</v>
      </c>
      <c r="D354" s="48">
        <v>1</v>
      </c>
      <c r="E354" s="49">
        <v>7.7639751552795026E-4</v>
      </c>
      <c r="F354" s="80"/>
    </row>
    <row r="355" spans="2:6" ht="15" customHeight="1" x14ac:dyDescent="0.25">
      <c r="B355" s="94"/>
      <c r="C355" s="47" t="s">
        <v>76</v>
      </c>
      <c r="D355" s="48">
        <v>1</v>
      </c>
      <c r="E355" s="49">
        <v>7.7639751552795026E-4</v>
      </c>
      <c r="F355" s="80"/>
    </row>
    <row r="356" spans="2:6" ht="15" customHeight="1" x14ac:dyDescent="0.25">
      <c r="B356" s="94"/>
      <c r="C356" s="47" t="s">
        <v>78</v>
      </c>
      <c r="D356" s="48">
        <v>1</v>
      </c>
      <c r="E356" s="49">
        <v>7.7639751552795026E-4</v>
      </c>
      <c r="F356" s="80"/>
    </row>
    <row r="357" spans="2:6" ht="15" customHeight="1" x14ac:dyDescent="0.25">
      <c r="B357" s="94"/>
      <c r="C357" s="47" t="s">
        <v>79</v>
      </c>
      <c r="D357" s="48">
        <v>2</v>
      </c>
      <c r="E357" s="49">
        <v>1.5527950310559005E-3</v>
      </c>
      <c r="F357" s="80"/>
    </row>
    <row r="358" spans="2:6" ht="15" customHeight="1" x14ac:dyDescent="0.25">
      <c r="B358" s="94"/>
      <c r="C358" s="47" t="s">
        <v>80</v>
      </c>
      <c r="D358" s="48">
        <v>6</v>
      </c>
      <c r="E358" s="49">
        <v>4.658385093167702E-3</v>
      </c>
      <c r="F358" s="80"/>
    </row>
    <row r="359" spans="2:6" ht="15" customHeight="1" x14ac:dyDescent="0.25">
      <c r="B359" s="94"/>
      <c r="C359" s="47" t="s">
        <v>82</v>
      </c>
      <c r="D359" s="48">
        <v>1</v>
      </c>
      <c r="E359" s="49">
        <v>7.7639751552795026E-4</v>
      </c>
      <c r="F359" s="80"/>
    </row>
    <row r="360" spans="2:6" ht="15" customHeight="1" x14ac:dyDescent="0.25">
      <c r="B360" s="94"/>
      <c r="C360" s="47" t="s">
        <v>84</v>
      </c>
      <c r="D360" s="48">
        <v>17</v>
      </c>
      <c r="E360" s="49">
        <v>1.3198757763975156E-2</v>
      </c>
      <c r="F360" s="80"/>
    </row>
    <row r="361" spans="2:6" ht="15" customHeight="1" x14ac:dyDescent="0.25">
      <c r="B361" s="94"/>
      <c r="C361" s="47" t="s">
        <v>85</v>
      </c>
      <c r="D361" s="48">
        <v>3</v>
      </c>
      <c r="E361" s="49">
        <v>2.329192546583851E-3</v>
      </c>
      <c r="F361" s="80"/>
    </row>
    <row r="362" spans="2:6" ht="15" customHeight="1" x14ac:dyDescent="0.25">
      <c r="B362" s="94"/>
      <c r="C362" s="47" t="s">
        <v>86</v>
      </c>
      <c r="D362" s="48">
        <v>3</v>
      </c>
      <c r="E362" s="49">
        <v>2.329192546583851E-3</v>
      </c>
      <c r="F362" s="80"/>
    </row>
    <row r="363" spans="2:6" ht="15" customHeight="1" x14ac:dyDescent="0.25">
      <c r="B363" s="94"/>
      <c r="C363" s="47" t="s">
        <v>87</v>
      </c>
      <c r="D363" s="48">
        <v>8</v>
      </c>
      <c r="E363" s="49">
        <v>6.2111801242236021E-3</v>
      </c>
      <c r="F363" s="80"/>
    </row>
    <row r="364" spans="2:6" ht="15" customHeight="1" x14ac:dyDescent="0.25">
      <c r="B364" s="94"/>
      <c r="C364" s="47" t="s">
        <v>92</v>
      </c>
      <c r="D364" s="48">
        <v>1</v>
      </c>
      <c r="E364" s="49">
        <v>7.7639751552795026E-4</v>
      </c>
      <c r="F364" s="80"/>
    </row>
    <row r="365" spans="2:6" ht="15" customHeight="1" x14ac:dyDescent="0.25">
      <c r="B365" s="94"/>
      <c r="C365" s="47" t="s">
        <v>93</v>
      </c>
      <c r="D365" s="48">
        <v>1</v>
      </c>
      <c r="E365" s="49">
        <v>7.7639751552795026E-4</v>
      </c>
      <c r="F365" s="80"/>
    </row>
    <row r="366" spans="2:6" ht="15" customHeight="1" x14ac:dyDescent="0.25">
      <c r="B366" s="95"/>
      <c r="C366" s="50" t="s">
        <v>63</v>
      </c>
      <c r="D366" s="51">
        <v>47</v>
      </c>
      <c r="E366" s="52">
        <v>3.6490683229813664E-2</v>
      </c>
      <c r="F366" s="81"/>
    </row>
    <row r="367" spans="2:6" ht="15" customHeight="1" x14ac:dyDescent="0.25">
      <c r="B367" s="93" t="s">
        <v>137</v>
      </c>
      <c r="C367" s="47" t="s">
        <v>73</v>
      </c>
      <c r="D367" s="48">
        <v>3</v>
      </c>
      <c r="E367" s="49">
        <v>2.329192546583851E-3</v>
      </c>
      <c r="F367" s="80"/>
    </row>
    <row r="368" spans="2:6" ht="15" customHeight="1" x14ac:dyDescent="0.25">
      <c r="B368" s="94"/>
      <c r="C368" s="47" t="s">
        <v>75</v>
      </c>
      <c r="D368" s="48">
        <v>1</v>
      </c>
      <c r="E368" s="49">
        <v>7.7639751552795026E-4</v>
      </c>
      <c r="F368" s="80"/>
    </row>
    <row r="369" spans="2:6" ht="15" customHeight="1" x14ac:dyDescent="0.25">
      <c r="B369" s="94"/>
      <c r="C369" s="47" t="s">
        <v>77</v>
      </c>
      <c r="D369" s="48">
        <v>1</v>
      </c>
      <c r="E369" s="49">
        <v>7.7639751552795026E-4</v>
      </c>
      <c r="F369" s="80"/>
    </row>
    <row r="370" spans="2:6" ht="15" customHeight="1" x14ac:dyDescent="0.25">
      <c r="B370" s="94"/>
      <c r="C370" s="47" t="s">
        <v>78</v>
      </c>
      <c r="D370" s="48">
        <v>2</v>
      </c>
      <c r="E370" s="49">
        <v>1.5527950310559005E-3</v>
      </c>
      <c r="F370" s="80"/>
    </row>
    <row r="371" spans="2:6" ht="15" customHeight="1" x14ac:dyDescent="0.25">
      <c r="B371" s="94"/>
      <c r="C371" s="47" t="s">
        <v>79</v>
      </c>
      <c r="D371" s="48">
        <v>9</v>
      </c>
      <c r="E371" s="49">
        <v>6.987577639751553E-3</v>
      </c>
      <c r="F371" s="80"/>
    </row>
    <row r="372" spans="2:6" ht="15" customHeight="1" x14ac:dyDescent="0.25">
      <c r="B372" s="94"/>
      <c r="C372" s="47" t="s">
        <v>80</v>
      </c>
      <c r="D372" s="48">
        <v>4</v>
      </c>
      <c r="E372" s="49">
        <v>3.105590062111801E-3</v>
      </c>
      <c r="F372" s="80"/>
    </row>
    <row r="373" spans="2:6" ht="15" customHeight="1" x14ac:dyDescent="0.25">
      <c r="B373" s="94"/>
      <c r="C373" s="47" t="s">
        <v>82</v>
      </c>
      <c r="D373" s="48">
        <v>1</v>
      </c>
      <c r="E373" s="49">
        <v>7.7639751552795026E-4</v>
      </c>
      <c r="F373" s="80"/>
    </row>
    <row r="374" spans="2:6" ht="15" customHeight="1" x14ac:dyDescent="0.25">
      <c r="B374" s="94"/>
      <c r="C374" s="47" t="s">
        <v>83</v>
      </c>
      <c r="D374" s="48">
        <v>2</v>
      </c>
      <c r="E374" s="49">
        <v>1.5527950310559005E-3</v>
      </c>
      <c r="F374" s="80"/>
    </row>
    <row r="375" spans="2:6" ht="15" customHeight="1" x14ac:dyDescent="0.25">
      <c r="B375" s="94"/>
      <c r="C375" s="47" t="s">
        <v>84</v>
      </c>
      <c r="D375" s="48">
        <v>27</v>
      </c>
      <c r="E375" s="49">
        <v>2.096273291925466E-2</v>
      </c>
      <c r="F375" s="80"/>
    </row>
    <row r="376" spans="2:6" ht="15" customHeight="1" x14ac:dyDescent="0.25">
      <c r="B376" s="94"/>
      <c r="C376" s="47" t="s">
        <v>85</v>
      </c>
      <c r="D376" s="48">
        <v>2</v>
      </c>
      <c r="E376" s="49">
        <v>1.5527950310559005E-3</v>
      </c>
      <c r="F376" s="80"/>
    </row>
    <row r="377" spans="2:6" ht="15" customHeight="1" x14ac:dyDescent="0.25">
      <c r="B377" s="94"/>
      <c r="C377" s="47" t="s">
        <v>86</v>
      </c>
      <c r="D377" s="48">
        <v>2</v>
      </c>
      <c r="E377" s="49">
        <v>1.5527950310559005E-3</v>
      </c>
      <c r="F377" s="80"/>
    </row>
    <row r="378" spans="2:6" ht="15" customHeight="1" x14ac:dyDescent="0.25">
      <c r="B378" s="94"/>
      <c r="C378" s="47" t="s">
        <v>87</v>
      </c>
      <c r="D378" s="48">
        <v>9</v>
      </c>
      <c r="E378" s="49">
        <v>6.987577639751553E-3</v>
      </c>
      <c r="F378" s="80"/>
    </row>
    <row r="379" spans="2:6" ht="15" customHeight="1" x14ac:dyDescent="0.25">
      <c r="B379" s="94"/>
      <c r="C379" s="47" t="s">
        <v>92</v>
      </c>
      <c r="D379" s="48">
        <v>1</v>
      </c>
      <c r="E379" s="49">
        <v>7.7639751552795026E-4</v>
      </c>
      <c r="F379" s="80"/>
    </row>
    <row r="380" spans="2:6" ht="15" customHeight="1" x14ac:dyDescent="0.25">
      <c r="B380" s="94"/>
      <c r="C380" s="47" t="s">
        <v>93</v>
      </c>
      <c r="D380" s="48">
        <v>2</v>
      </c>
      <c r="E380" s="49">
        <v>1.5527950310559005E-3</v>
      </c>
      <c r="F380" s="80"/>
    </row>
    <row r="381" spans="2:6" ht="15" customHeight="1" x14ac:dyDescent="0.25">
      <c r="B381" s="95"/>
      <c r="C381" s="50" t="s">
        <v>63</v>
      </c>
      <c r="D381" s="51">
        <v>66</v>
      </c>
      <c r="E381" s="52">
        <v>5.124223602484472E-2</v>
      </c>
      <c r="F381" s="81"/>
    </row>
    <row r="382" spans="2:6" ht="15" customHeight="1" x14ac:dyDescent="0.25">
      <c r="B382" s="93" t="s">
        <v>138</v>
      </c>
      <c r="C382" s="47" t="s">
        <v>73</v>
      </c>
      <c r="D382" s="48">
        <v>1</v>
      </c>
      <c r="E382" s="49">
        <v>7.7639751552795026E-4</v>
      </c>
      <c r="F382" s="80"/>
    </row>
    <row r="383" spans="2:6" ht="15" customHeight="1" x14ac:dyDescent="0.25">
      <c r="B383" s="94"/>
      <c r="C383" s="47" t="s">
        <v>75</v>
      </c>
      <c r="D383" s="48">
        <v>1</v>
      </c>
      <c r="E383" s="49">
        <v>7.7639751552795026E-4</v>
      </c>
      <c r="F383" s="80"/>
    </row>
    <row r="384" spans="2:6" ht="15" customHeight="1" x14ac:dyDescent="0.25">
      <c r="B384" s="94"/>
      <c r="C384" s="47" t="s">
        <v>76</v>
      </c>
      <c r="D384" s="48">
        <v>1</v>
      </c>
      <c r="E384" s="49">
        <v>7.7639751552795026E-4</v>
      </c>
      <c r="F384" s="80"/>
    </row>
    <row r="385" spans="2:6" ht="15" customHeight="1" x14ac:dyDescent="0.25">
      <c r="B385" s="94"/>
      <c r="C385" s="47" t="s">
        <v>77</v>
      </c>
      <c r="D385" s="48">
        <v>1</v>
      </c>
      <c r="E385" s="49">
        <v>7.7639751552795026E-4</v>
      </c>
      <c r="F385" s="80"/>
    </row>
    <row r="386" spans="2:6" ht="15" customHeight="1" x14ac:dyDescent="0.25">
      <c r="B386" s="94"/>
      <c r="C386" s="47" t="s">
        <v>80</v>
      </c>
      <c r="D386" s="48">
        <v>2</v>
      </c>
      <c r="E386" s="49">
        <v>1.5527950310559005E-3</v>
      </c>
      <c r="F386" s="80"/>
    </row>
    <row r="387" spans="2:6" ht="15" customHeight="1" x14ac:dyDescent="0.25">
      <c r="B387" s="94"/>
      <c r="C387" s="47" t="s">
        <v>83</v>
      </c>
      <c r="D387" s="48">
        <v>1</v>
      </c>
      <c r="E387" s="49">
        <v>7.7639751552795026E-4</v>
      </c>
      <c r="F387" s="80"/>
    </row>
    <row r="388" spans="2:6" ht="15" customHeight="1" x14ac:dyDescent="0.25">
      <c r="B388" s="94"/>
      <c r="C388" s="47" t="s">
        <v>84</v>
      </c>
      <c r="D388" s="48">
        <v>8</v>
      </c>
      <c r="E388" s="49">
        <v>6.2111801242236021E-3</v>
      </c>
      <c r="F388" s="80"/>
    </row>
    <row r="389" spans="2:6" ht="15" customHeight="1" x14ac:dyDescent="0.25">
      <c r="B389" s="94"/>
      <c r="C389" s="47" t="s">
        <v>86</v>
      </c>
      <c r="D389" s="48">
        <v>3</v>
      </c>
      <c r="E389" s="49">
        <v>2.329192546583851E-3</v>
      </c>
      <c r="F389" s="80"/>
    </row>
    <row r="390" spans="2:6" ht="15" customHeight="1" x14ac:dyDescent="0.25">
      <c r="B390" s="94"/>
      <c r="C390" s="47" t="s">
        <v>87</v>
      </c>
      <c r="D390" s="48">
        <v>1</v>
      </c>
      <c r="E390" s="49">
        <v>7.7639751552795026E-4</v>
      </c>
      <c r="F390" s="80"/>
    </row>
    <row r="391" spans="2:6" ht="15" customHeight="1" x14ac:dyDescent="0.25">
      <c r="B391" s="95"/>
      <c r="C391" s="50" t="s">
        <v>63</v>
      </c>
      <c r="D391" s="51">
        <v>19</v>
      </c>
      <c r="E391" s="52">
        <v>1.4751552795031056E-2</v>
      </c>
      <c r="F391" s="81"/>
    </row>
    <row r="392" spans="2:6" ht="15" customHeight="1" x14ac:dyDescent="0.25">
      <c r="B392" s="93" t="s">
        <v>139</v>
      </c>
      <c r="C392" s="47" t="s">
        <v>79</v>
      </c>
      <c r="D392" s="48">
        <v>1</v>
      </c>
      <c r="E392" s="49">
        <v>7.7639751552795026E-4</v>
      </c>
      <c r="F392" s="80"/>
    </row>
    <row r="393" spans="2:6" ht="15" customHeight="1" x14ac:dyDescent="0.25">
      <c r="B393" s="94"/>
      <c r="C393" s="47" t="s">
        <v>80</v>
      </c>
      <c r="D393" s="48">
        <v>3</v>
      </c>
      <c r="E393" s="49">
        <v>2.329192546583851E-3</v>
      </c>
      <c r="F393" s="80"/>
    </row>
    <row r="394" spans="2:6" ht="15" customHeight="1" x14ac:dyDescent="0.25">
      <c r="B394" s="94"/>
      <c r="C394" s="47" t="s">
        <v>84</v>
      </c>
      <c r="D394" s="48">
        <v>3</v>
      </c>
      <c r="E394" s="49">
        <v>2.329192546583851E-3</v>
      </c>
      <c r="F394" s="80"/>
    </row>
    <row r="395" spans="2:6" ht="15" customHeight="1" x14ac:dyDescent="0.25">
      <c r="B395" s="94"/>
      <c r="C395" s="47" t="s">
        <v>86</v>
      </c>
      <c r="D395" s="48">
        <v>1</v>
      </c>
      <c r="E395" s="49">
        <v>7.7639751552795026E-4</v>
      </c>
      <c r="F395" s="80"/>
    </row>
    <row r="396" spans="2:6" ht="15" customHeight="1" x14ac:dyDescent="0.25">
      <c r="B396" s="94"/>
      <c r="C396" s="47" t="s">
        <v>93</v>
      </c>
      <c r="D396" s="48">
        <v>1</v>
      </c>
      <c r="E396" s="49">
        <v>7.7639751552795026E-4</v>
      </c>
      <c r="F396" s="80"/>
    </row>
    <row r="397" spans="2:6" ht="15" customHeight="1" x14ac:dyDescent="0.25">
      <c r="B397" s="95"/>
      <c r="C397" s="50" t="s">
        <v>63</v>
      </c>
      <c r="D397" s="51">
        <v>9</v>
      </c>
      <c r="E397" s="52">
        <v>6.987577639751553E-3</v>
      </c>
      <c r="F397" s="81"/>
    </row>
    <row r="398" spans="2:6" ht="15" customHeight="1" x14ac:dyDescent="0.25">
      <c r="B398" s="93" t="s">
        <v>41</v>
      </c>
      <c r="C398" s="47" t="s">
        <v>74</v>
      </c>
      <c r="D398" s="48">
        <v>1</v>
      </c>
      <c r="E398" s="49">
        <v>7.7639751552795026E-4</v>
      </c>
      <c r="F398" s="80"/>
    </row>
    <row r="399" spans="2:6" ht="15" customHeight="1" x14ac:dyDescent="0.25">
      <c r="B399" s="94"/>
      <c r="C399" s="47" t="s">
        <v>75</v>
      </c>
      <c r="D399" s="48">
        <v>2</v>
      </c>
      <c r="E399" s="49">
        <v>1.5527950310559005E-3</v>
      </c>
      <c r="F399" s="80"/>
    </row>
    <row r="400" spans="2:6" ht="15" customHeight="1" x14ac:dyDescent="0.25">
      <c r="B400" s="94"/>
      <c r="C400" s="47" t="s">
        <v>76</v>
      </c>
      <c r="D400" s="48">
        <v>1</v>
      </c>
      <c r="E400" s="49">
        <v>7.7639751552795026E-4</v>
      </c>
      <c r="F400" s="80"/>
    </row>
    <row r="401" spans="2:6" ht="15" customHeight="1" x14ac:dyDescent="0.25">
      <c r="B401" s="94"/>
      <c r="C401" s="47" t="s">
        <v>80</v>
      </c>
      <c r="D401" s="48">
        <v>4</v>
      </c>
      <c r="E401" s="49">
        <v>3.105590062111801E-3</v>
      </c>
      <c r="F401" s="80"/>
    </row>
    <row r="402" spans="2:6" ht="15" customHeight="1" x14ac:dyDescent="0.25">
      <c r="B402" s="94"/>
      <c r="C402" s="47" t="s">
        <v>82</v>
      </c>
      <c r="D402" s="48">
        <v>1</v>
      </c>
      <c r="E402" s="49">
        <v>7.7639751552795026E-4</v>
      </c>
      <c r="F402" s="80"/>
    </row>
    <row r="403" spans="2:6" ht="15" customHeight="1" x14ac:dyDescent="0.25">
      <c r="B403" s="94"/>
      <c r="C403" s="47" t="s">
        <v>83</v>
      </c>
      <c r="D403" s="48">
        <v>1</v>
      </c>
      <c r="E403" s="49">
        <v>7.7639751552795026E-4</v>
      </c>
      <c r="F403" s="80"/>
    </row>
    <row r="404" spans="2:6" ht="15" customHeight="1" x14ac:dyDescent="0.25">
      <c r="B404" s="94"/>
      <c r="C404" s="47" t="s">
        <v>84</v>
      </c>
      <c r="D404" s="48">
        <v>4</v>
      </c>
      <c r="E404" s="49">
        <v>3.105590062111801E-3</v>
      </c>
      <c r="F404" s="80"/>
    </row>
    <row r="405" spans="2:6" ht="15" customHeight="1" x14ac:dyDescent="0.25">
      <c r="B405" s="94"/>
      <c r="C405" s="47" t="s">
        <v>86</v>
      </c>
      <c r="D405" s="48">
        <v>1</v>
      </c>
      <c r="E405" s="49">
        <v>7.7639751552795026E-4</v>
      </c>
      <c r="F405" s="80"/>
    </row>
    <row r="406" spans="2:6" ht="15" customHeight="1" x14ac:dyDescent="0.25">
      <c r="B406" s="94"/>
      <c r="C406" s="47" t="s">
        <v>87</v>
      </c>
      <c r="D406" s="48">
        <v>4</v>
      </c>
      <c r="E406" s="49">
        <v>3.105590062111801E-3</v>
      </c>
      <c r="F406" s="80"/>
    </row>
    <row r="407" spans="2:6" ht="15" customHeight="1" x14ac:dyDescent="0.25">
      <c r="B407" s="94"/>
      <c r="C407" s="47" t="s">
        <v>92</v>
      </c>
      <c r="D407" s="48">
        <v>1</v>
      </c>
      <c r="E407" s="49">
        <v>7.7639751552795026E-4</v>
      </c>
      <c r="F407" s="80"/>
    </row>
    <row r="408" spans="2:6" ht="15" customHeight="1" x14ac:dyDescent="0.25">
      <c r="B408" s="95"/>
      <c r="C408" s="50" t="s">
        <v>63</v>
      </c>
      <c r="D408" s="51">
        <v>20</v>
      </c>
      <c r="E408" s="52">
        <v>1.5527950310559006E-2</v>
      </c>
      <c r="F408" s="81"/>
    </row>
    <row r="409" spans="2:6" ht="15" customHeight="1" x14ac:dyDescent="0.25">
      <c r="B409" s="96" t="s">
        <v>63</v>
      </c>
      <c r="C409" s="97"/>
      <c r="D409" s="53">
        <v>1288</v>
      </c>
      <c r="E409" s="54">
        <v>1</v>
      </c>
      <c r="F409" s="82"/>
    </row>
    <row r="411" spans="2:6" ht="15" customHeight="1" x14ac:dyDescent="0.25">
      <c r="B411" s="30" t="s">
        <v>64</v>
      </c>
    </row>
    <row r="412" spans="2:6" ht="15" customHeight="1" x14ac:dyDescent="0.25">
      <c r="B412" s="31" t="s">
        <v>65</v>
      </c>
    </row>
    <row r="413" spans="2:6" ht="15" customHeight="1" x14ac:dyDescent="0.25">
      <c r="B413" s="32" t="s">
        <v>66</v>
      </c>
    </row>
    <row r="414" spans="2:6" ht="15" customHeight="1" x14ac:dyDescent="0.25">
      <c r="B414" s="30" t="s">
        <v>67</v>
      </c>
    </row>
    <row r="415" spans="2:6" ht="15" customHeight="1" x14ac:dyDescent="0.25">
      <c r="B415" s="30" t="s">
        <v>68</v>
      </c>
    </row>
  </sheetData>
  <mergeCells count="45">
    <mergeCell ref="B101:B106"/>
    <mergeCell ref="B7:E8"/>
    <mergeCell ref="B10:B12"/>
    <mergeCell ref="B13:B29"/>
    <mergeCell ref="B30:B42"/>
    <mergeCell ref="B43:B49"/>
    <mergeCell ref="B50:B51"/>
    <mergeCell ref="B52:B59"/>
    <mergeCell ref="B60:B69"/>
    <mergeCell ref="B70:B82"/>
    <mergeCell ref="B83:B92"/>
    <mergeCell ref="B93:B100"/>
    <mergeCell ref="B219:B223"/>
    <mergeCell ref="B107:B110"/>
    <mergeCell ref="B111:B117"/>
    <mergeCell ref="B118:B130"/>
    <mergeCell ref="B131:B142"/>
    <mergeCell ref="B143:B156"/>
    <mergeCell ref="B157:B162"/>
    <mergeCell ref="B163:B170"/>
    <mergeCell ref="B171:B183"/>
    <mergeCell ref="B184:B194"/>
    <mergeCell ref="B195:B206"/>
    <mergeCell ref="B207:B218"/>
    <mergeCell ref="B327:B330"/>
    <mergeCell ref="B224:B237"/>
    <mergeCell ref="B238:B246"/>
    <mergeCell ref="B247:B262"/>
    <mergeCell ref="B263:B273"/>
    <mergeCell ref="B274:B283"/>
    <mergeCell ref="B284:B288"/>
    <mergeCell ref="B289:B297"/>
    <mergeCell ref="B298:B299"/>
    <mergeCell ref="B300:B314"/>
    <mergeCell ref="B315:B320"/>
    <mergeCell ref="B321:B326"/>
    <mergeCell ref="B392:B397"/>
    <mergeCell ref="B398:B408"/>
    <mergeCell ref="B409:C409"/>
    <mergeCell ref="B331:B342"/>
    <mergeCell ref="B343:B350"/>
    <mergeCell ref="B351:B352"/>
    <mergeCell ref="B353:B366"/>
    <mergeCell ref="B367:B381"/>
    <mergeCell ref="B382:B3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9" manualBreakCount="9">
    <brk id="51" max="4" man="1"/>
    <brk id="92" max="4" man="1"/>
    <brk id="130" max="4" man="1"/>
    <brk id="170" max="4" man="1"/>
    <brk id="206" max="4" man="1"/>
    <brk id="246" max="4" man="1"/>
    <brk id="288" max="4" man="1"/>
    <brk id="330" max="4" man="1"/>
    <brk id="366" max="4" man="1"/>
  </rowBreaks>
  <colBreaks count="1" manualBreakCount="1">
    <brk id="6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J11" sqref="J11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9" t="s">
        <v>155</v>
      </c>
      <c r="C7" s="99"/>
      <c r="D7" s="99"/>
    </row>
    <row r="8" spans="1:4" s="14" customFormat="1" ht="15" customHeight="1" x14ac:dyDescent="0.2">
      <c r="B8" s="99"/>
      <c r="C8" s="99"/>
      <c r="D8" s="99"/>
    </row>
    <row r="9" spans="1:4" s="14" customFormat="1" ht="33" customHeight="1" x14ac:dyDescent="0.2">
      <c r="B9" s="99"/>
      <c r="C9" s="99"/>
      <c r="D9" s="99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143</v>
      </c>
      <c r="C11" s="19" t="s">
        <v>21</v>
      </c>
      <c r="D11" s="20" t="s">
        <v>22</v>
      </c>
    </row>
    <row r="12" spans="1:4" ht="15" customHeight="1" x14ac:dyDescent="0.25">
      <c r="B12" s="22" t="s">
        <v>156</v>
      </c>
      <c r="C12" s="23">
        <v>852</v>
      </c>
      <c r="D12" s="24">
        <v>0.66046511627906979</v>
      </c>
    </row>
    <row r="13" spans="1:4" ht="15" customHeight="1" x14ac:dyDescent="0.25">
      <c r="B13" s="22" t="s">
        <v>157</v>
      </c>
      <c r="C13" s="23">
        <v>438</v>
      </c>
      <c r="D13" s="24">
        <v>0.33953488372093021</v>
      </c>
    </row>
    <row r="14" spans="1:4" x14ac:dyDescent="0.25">
      <c r="B14" s="26" t="s">
        <v>158</v>
      </c>
      <c r="C14" s="27">
        <v>1290</v>
      </c>
      <c r="D14" s="28">
        <v>1</v>
      </c>
    </row>
    <row r="15" spans="1:4" s="25" customFormat="1" ht="15.75" x14ac:dyDescent="0.25">
      <c r="A15" s="21"/>
      <c r="C15" s="69"/>
      <c r="D15" s="69"/>
    </row>
    <row r="16" spans="1:4" s="25" customFormat="1" ht="15.75" x14ac:dyDescent="0.25">
      <c r="A16" s="21"/>
      <c r="B16" s="30" t="s">
        <v>64</v>
      </c>
      <c r="C16" s="69"/>
      <c r="D16" s="69"/>
    </row>
    <row r="17" spans="2:4" x14ac:dyDescent="0.25">
      <c r="B17" s="31" t="s">
        <v>65</v>
      </c>
      <c r="C17" s="70"/>
      <c r="D17" s="70"/>
    </row>
    <row r="18" spans="2:4" x14ac:dyDescent="0.25">
      <c r="B18" s="32" t="s">
        <v>66</v>
      </c>
      <c r="C18" s="71"/>
      <c r="D18" s="71"/>
    </row>
    <row r="19" spans="2:4" x14ac:dyDescent="0.25">
      <c r="B19" s="30" t="s">
        <v>67</v>
      </c>
    </row>
    <row r="20" spans="2:4" x14ac:dyDescent="0.25">
      <c r="B20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3"/>
  <sheetViews>
    <sheetView showGridLines="0" view="pageBreakPreview" zoomScaleNormal="175" zoomScaleSheetLayoutView="100" workbookViewId="0">
      <selection activeCell="F4" sqref="F4"/>
    </sheetView>
  </sheetViews>
  <sheetFormatPr baseColWidth="10" defaultRowHeight="11.25" x14ac:dyDescent="0.2"/>
  <cols>
    <col min="1" max="1" width="5.7109375" style="14" customWidth="1"/>
    <col min="2" max="2" width="19" style="39" customWidth="1"/>
    <col min="3" max="3" width="14.7109375" style="39" customWidth="1"/>
    <col min="4" max="4" width="23.5703125" style="68" customWidth="1"/>
    <col min="5" max="5" width="15.140625" style="39" bestFit="1" customWidth="1"/>
    <col min="6" max="6" width="5.7109375" style="14" customWidth="1"/>
    <col min="7" max="16384" width="11.42578125" style="14"/>
  </cols>
  <sheetData>
    <row r="1" spans="1:6" s="56" customFormat="1" ht="15" x14ac:dyDescent="0.25">
      <c r="B1" s="34"/>
      <c r="C1" s="39"/>
    </row>
    <row r="2" spans="1:6" s="39" customFormat="1" x14ac:dyDescent="0.2">
      <c r="B2" s="57"/>
    </row>
    <row r="3" spans="1:6" ht="15" customHeight="1" x14ac:dyDescent="0.2">
      <c r="B3" s="58"/>
      <c r="C3" s="15"/>
      <c r="D3" s="14"/>
      <c r="F3" s="39"/>
    </row>
    <row r="4" spans="1:6" ht="30" customHeight="1" x14ac:dyDescent="0.2">
      <c r="B4" s="58"/>
      <c r="C4" s="15"/>
      <c r="D4" s="14"/>
      <c r="F4" s="39"/>
    </row>
    <row r="5" spans="1:6" ht="15" customHeight="1" x14ac:dyDescent="0.2">
      <c r="B5" s="58"/>
      <c r="C5" s="15"/>
      <c r="D5" s="14"/>
      <c r="F5" s="39"/>
    </row>
    <row r="6" spans="1:6" s="39" customFormat="1" x14ac:dyDescent="0.2">
      <c r="B6" s="35"/>
      <c r="C6" s="41"/>
    </row>
    <row r="7" spans="1:6" s="39" customFormat="1" x14ac:dyDescent="0.2">
      <c r="A7" s="34"/>
      <c r="B7" s="57"/>
      <c r="C7" s="34"/>
    </row>
    <row r="8" spans="1:6" s="56" customFormat="1" ht="15" customHeight="1" x14ac:dyDescent="0.25">
      <c r="B8" s="103" t="s">
        <v>171</v>
      </c>
      <c r="C8" s="103"/>
      <c r="D8" s="103"/>
      <c r="E8" s="103"/>
    </row>
    <row r="9" spans="1:6" s="56" customFormat="1" ht="15" customHeight="1" x14ac:dyDescent="0.25">
      <c r="A9" s="59"/>
      <c r="B9" s="103"/>
      <c r="C9" s="103"/>
      <c r="D9" s="103"/>
      <c r="E9" s="103"/>
      <c r="F9" s="60"/>
    </row>
    <row r="10" spans="1:6" s="56" customFormat="1" ht="15" customHeight="1" x14ac:dyDescent="0.25">
      <c r="A10" s="59"/>
      <c r="B10" s="104"/>
      <c r="C10" s="104"/>
      <c r="D10" s="104"/>
      <c r="E10" s="104"/>
      <c r="F10" s="59"/>
    </row>
    <row r="11" spans="1:6" s="56" customFormat="1" ht="36.950000000000003" customHeight="1" x14ac:dyDescent="0.25">
      <c r="B11" s="61" t="s">
        <v>97</v>
      </c>
      <c r="C11" s="61" t="s">
        <v>143</v>
      </c>
      <c r="D11" s="61" t="s">
        <v>21</v>
      </c>
      <c r="E11" s="61" t="s">
        <v>22</v>
      </c>
    </row>
    <row r="12" spans="1:6" ht="15" customHeight="1" x14ac:dyDescent="0.2">
      <c r="B12" s="100" t="s">
        <v>98</v>
      </c>
      <c r="C12" s="62" t="s">
        <v>147</v>
      </c>
      <c r="D12" s="23">
        <v>2</v>
      </c>
      <c r="E12" s="24">
        <v>1.5503875968992248E-3</v>
      </c>
    </row>
    <row r="13" spans="1:6" ht="15" customHeight="1" x14ac:dyDescent="0.2">
      <c r="B13" s="102"/>
      <c r="C13" s="72" t="s">
        <v>63</v>
      </c>
      <c r="D13" s="73">
        <v>2</v>
      </c>
      <c r="E13" s="74">
        <v>1.5503875968992248E-3</v>
      </c>
    </row>
    <row r="14" spans="1:6" ht="15" customHeight="1" x14ac:dyDescent="0.2">
      <c r="B14" s="100" t="s">
        <v>99</v>
      </c>
      <c r="C14" s="62" t="s">
        <v>147</v>
      </c>
      <c r="D14" s="23">
        <v>62</v>
      </c>
      <c r="E14" s="24">
        <v>4.8062015503875968E-2</v>
      </c>
    </row>
    <row r="15" spans="1:6" ht="15" customHeight="1" x14ac:dyDescent="0.2">
      <c r="B15" s="101"/>
      <c r="C15" s="62" t="s">
        <v>154</v>
      </c>
      <c r="D15" s="23">
        <v>35</v>
      </c>
      <c r="E15" s="24">
        <v>2.7131782945736434E-2</v>
      </c>
    </row>
    <row r="16" spans="1:6" s="39" customFormat="1" ht="15" customHeight="1" x14ac:dyDescent="0.2">
      <c r="A16" s="14"/>
      <c r="B16" s="102"/>
      <c r="C16" s="72" t="s">
        <v>63</v>
      </c>
      <c r="D16" s="73">
        <v>97</v>
      </c>
      <c r="E16" s="74">
        <v>7.5193798449612409E-2</v>
      </c>
      <c r="F16" s="14"/>
    </row>
    <row r="17" spans="1:6" s="39" customFormat="1" ht="15" customHeight="1" x14ac:dyDescent="0.2">
      <c r="A17" s="14"/>
      <c r="B17" s="100" t="s">
        <v>100</v>
      </c>
      <c r="C17" s="62" t="s">
        <v>147</v>
      </c>
      <c r="D17" s="23">
        <v>28</v>
      </c>
      <c r="E17" s="24">
        <v>2.1705426356589147E-2</v>
      </c>
      <c r="F17" s="14"/>
    </row>
    <row r="18" spans="1:6" s="39" customFormat="1" ht="15" customHeight="1" x14ac:dyDescent="0.2">
      <c r="A18" s="14"/>
      <c r="B18" s="101"/>
      <c r="C18" s="62" t="s">
        <v>154</v>
      </c>
      <c r="D18" s="23">
        <v>17</v>
      </c>
      <c r="E18" s="24">
        <v>1.3178294573643411E-2</v>
      </c>
      <c r="F18" s="14"/>
    </row>
    <row r="19" spans="1:6" s="39" customFormat="1" ht="15" customHeight="1" x14ac:dyDescent="0.2">
      <c r="A19" s="14"/>
      <c r="B19" s="102"/>
      <c r="C19" s="72" t="s">
        <v>63</v>
      </c>
      <c r="D19" s="73">
        <v>45</v>
      </c>
      <c r="E19" s="74">
        <v>3.4883720930232558E-2</v>
      </c>
      <c r="F19" s="14"/>
    </row>
    <row r="20" spans="1:6" s="39" customFormat="1" ht="15" customHeight="1" x14ac:dyDescent="0.2">
      <c r="A20" s="14"/>
      <c r="B20" s="100" t="s">
        <v>101</v>
      </c>
      <c r="C20" s="62" t="s">
        <v>147</v>
      </c>
      <c r="D20" s="23">
        <v>5</v>
      </c>
      <c r="E20" s="24">
        <v>3.875968992248062E-3</v>
      </c>
      <c r="F20" s="14"/>
    </row>
    <row r="21" spans="1:6" ht="13.5" x14ac:dyDescent="0.2">
      <c r="B21" s="101"/>
      <c r="C21" s="62" t="s">
        <v>154</v>
      </c>
      <c r="D21" s="23">
        <v>5</v>
      </c>
      <c r="E21" s="24">
        <v>3.875968992248062E-3</v>
      </c>
    </row>
    <row r="22" spans="1:6" ht="13.5" x14ac:dyDescent="0.2">
      <c r="B22" s="102"/>
      <c r="C22" s="72" t="s">
        <v>63</v>
      </c>
      <c r="D22" s="73">
        <v>10</v>
      </c>
      <c r="E22" s="74">
        <v>7.7519379844961239E-3</v>
      </c>
    </row>
    <row r="23" spans="1:6" ht="13.5" x14ac:dyDescent="0.2">
      <c r="B23" s="100" t="s">
        <v>102</v>
      </c>
      <c r="C23" s="62" t="s">
        <v>147</v>
      </c>
      <c r="D23" s="23">
        <v>1</v>
      </c>
      <c r="E23" s="24">
        <v>7.7519379844961239E-4</v>
      </c>
    </row>
    <row r="24" spans="1:6" ht="13.5" x14ac:dyDescent="0.2">
      <c r="B24" s="102"/>
      <c r="C24" s="72" t="s">
        <v>63</v>
      </c>
      <c r="D24" s="73">
        <v>1</v>
      </c>
      <c r="E24" s="74">
        <v>7.7519379844961239E-4</v>
      </c>
    </row>
    <row r="25" spans="1:6" ht="13.5" x14ac:dyDescent="0.2">
      <c r="B25" s="100" t="s">
        <v>103</v>
      </c>
      <c r="C25" s="62" t="s">
        <v>147</v>
      </c>
      <c r="D25" s="23">
        <v>7</v>
      </c>
      <c r="E25" s="24">
        <v>5.4263565891472867E-3</v>
      </c>
    </row>
    <row r="26" spans="1:6" ht="13.5" x14ac:dyDescent="0.2">
      <c r="B26" s="101"/>
      <c r="C26" s="62" t="s">
        <v>154</v>
      </c>
      <c r="D26" s="23">
        <v>6</v>
      </c>
      <c r="E26" s="24">
        <v>4.6511627906976744E-3</v>
      </c>
    </row>
    <row r="27" spans="1:6" ht="13.5" x14ac:dyDescent="0.2">
      <c r="B27" s="102"/>
      <c r="C27" s="72" t="s">
        <v>63</v>
      </c>
      <c r="D27" s="73">
        <v>13</v>
      </c>
      <c r="E27" s="74">
        <v>1.0077519379844961E-2</v>
      </c>
    </row>
    <row r="28" spans="1:6" ht="13.5" x14ac:dyDescent="0.2">
      <c r="B28" s="100" t="s">
        <v>104</v>
      </c>
      <c r="C28" s="62" t="s">
        <v>147</v>
      </c>
      <c r="D28" s="23">
        <v>20</v>
      </c>
      <c r="E28" s="24">
        <v>1.5503875968992248E-2</v>
      </c>
    </row>
    <row r="29" spans="1:6" ht="13.5" x14ac:dyDescent="0.2">
      <c r="B29" s="101"/>
      <c r="C29" s="62" t="s">
        <v>154</v>
      </c>
      <c r="D29" s="23">
        <v>19</v>
      </c>
      <c r="E29" s="24">
        <v>1.4728682170542635E-2</v>
      </c>
    </row>
    <row r="30" spans="1:6" ht="13.5" x14ac:dyDescent="0.2">
      <c r="B30" s="102"/>
      <c r="C30" s="72" t="s">
        <v>63</v>
      </c>
      <c r="D30" s="73">
        <v>39</v>
      </c>
      <c r="E30" s="74">
        <v>3.0232558139534883E-2</v>
      </c>
    </row>
    <row r="31" spans="1:6" ht="13.5" x14ac:dyDescent="0.2">
      <c r="B31" s="100" t="s">
        <v>105</v>
      </c>
      <c r="C31" s="62" t="s">
        <v>147</v>
      </c>
      <c r="D31" s="23">
        <v>37</v>
      </c>
      <c r="E31" s="24">
        <v>2.8682170542635659E-2</v>
      </c>
    </row>
    <row r="32" spans="1:6" ht="13.5" x14ac:dyDescent="0.2">
      <c r="B32" s="101"/>
      <c r="C32" s="62" t="s">
        <v>154</v>
      </c>
      <c r="D32" s="23">
        <v>28</v>
      </c>
      <c r="E32" s="24">
        <v>2.1705426356589147E-2</v>
      </c>
    </row>
    <row r="33" spans="2:5" ht="13.5" x14ac:dyDescent="0.2">
      <c r="B33" s="102"/>
      <c r="C33" s="72" t="s">
        <v>63</v>
      </c>
      <c r="D33" s="73">
        <v>65</v>
      </c>
      <c r="E33" s="74">
        <v>5.0387596899224806E-2</v>
      </c>
    </row>
    <row r="34" spans="2:5" ht="13.5" x14ac:dyDescent="0.2">
      <c r="B34" s="100" t="s">
        <v>106</v>
      </c>
      <c r="C34" s="62" t="s">
        <v>147</v>
      </c>
      <c r="D34" s="23">
        <v>32</v>
      </c>
      <c r="E34" s="24">
        <v>2.4806201550387597E-2</v>
      </c>
    </row>
    <row r="35" spans="2:5" ht="13.5" x14ac:dyDescent="0.2">
      <c r="B35" s="101"/>
      <c r="C35" s="62" t="s">
        <v>154</v>
      </c>
      <c r="D35" s="23">
        <v>14</v>
      </c>
      <c r="E35" s="24">
        <v>1.0852713178294573E-2</v>
      </c>
    </row>
    <row r="36" spans="2:5" ht="13.5" x14ac:dyDescent="0.2">
      <c r="B36" s="102"/>
      <c r="C36" s="72" t="s">
        <v>63</v>
      </c>
      <c r="D36" s="73">
        <v>46</v>
      </c>
      <c r="E36" s="74">
        <v>3.565891472868217E-2</v>
      </c>
    </row>
    <row r="37" spans="2:5" ht="13.5" x14ac:dyDescent="0.2">
      <c r="B37" s="100" t="s">
        <v>107</v>
      </c>
      <c r="C37" s="62" t="s">
        <v>147</v>
      </c>
      <c r="D37" s="23">
        <v>9</v>
      </c>
      <c r="E37" s="24">
        <v>6.9767441860465115E-3</v>
      </c>
    </row>
    <row r="38" spans="2:5" ht="13.5" x14ac:dyDescent="0.2">
      <c r="B38" s="101"/>
      <c r="C38" s="62" t="s">
        <v>154</v>
      </c>
      <c r="D38" s="23">
        <v>5</v>
      </c>
      <c r="E38" s="24">
        <v>3.875968992248062E-3</v>
      </c>
    </row>
    <row r="39" spans="2:5" ht="13.5" x14ac:dyDescent="0.2">
      <c r="B39" s="102"/>
      <c r="C39" s="72" t="s">
        <v>63</v>
      </c>
      <c r="D39" s="73">
        <v>14</v>
      </c>
      <c r="E39" s="74">
        <v>1.0852713178294573E-2</v>
      </c>
    </row>
    <row r="40" spans="2:5" ht="13.5" x14ac:dyDescent="0.2">
      <c r="B40" s="100" t="s">
        <v>108</v>
      </c>
      <c r="C40" s="62" t="s">
        <v>147</v>
      </c>
      <c r="D40" s="23">
        <v>7</v>
      </c>
      <c r="E40" s="24">
        <v>5.4263565891472867E-3</v>
      </c>
    </row>
    <row r="41" spans="2:5" ht="13.5" x14ac:dyDescent="0.2">
      <c r="B41" s="101"/>
      <c r="C41" s="62" t="s">
        <v>154</v>
      </c>
      <c r="D41" s="23">
        <v>2</v>
      </c>
      <c r="E41" s="24">
        <v>1.5503875968992248E-3</v>
      </c>
    </row>
    <row r="42" spans="2:5" ht="13.5" x14ac:dyDescent="0.2">
      <c r="B42" s="102"/>
      <c r="C42" s="72" t="s">
        <v>63</v>
      </c>
      <c r="D42" s="73">
        <v>9</v>
      </c>
      <c r="E42" s="74">
        <v>6.9767441860465115E-3</v>
      </c>
    </row>
    <row r="43" spans="2:5" ht="13.5" x14ac:dyDescent="0.2">
      <c r="B43" s="100" t="s">
        <v>109</v>
      </c>
      <c r="C43" s="62" t="s">
        <v>147</v>
      </c>
      <c r="D43" s="23">
        <v>2</v>
      </c>
      <c r="E43" s="24">
        <v>1.5503875968992248E-3</v>
      </c>
    </row>
    <row r="44" spans="2:5" ht="13.5" x14ac:dyDescent="0.2">
      <c r="B44" s="101"/>
      <c r="C44" s="62" t="s">
        <v>154</v>
      </c>
      <c r="D44" s="23">
        <v>1</v>
      </c>
      <c r="E44" s="24">
        <v>7.7519379844961239E-4</v>
      </c>
    </row>
    <row r="45" spans="2:5" ht="13.5" x14ac:dyDescent="0.2">
      <c r="B45" s="102"/>
      <c r="C45" s="72" t="s">
        <v>63</v>
      </c>
      <c r="D45" s="73">
        <v>3</v>
      </c>
      <c r="E45" s="74">
        <v>2.3255813953488372E-3</v>
      </c>
    </row>
    <row r="46" spans="2:5" ht="13.5" x14ac:dyDescent="0.2">
      <c r="B46" s="100" t="s">
        <v>110</v>
      </c>
      <c r="C46" s="62" t="s">
        <v>147</v>
      </c>
      <c r="D46" s="23">
        <v>13</v>
      </c>
      <c r="E46" s="24">
        <v>1.0077519379844961E-2</v>
      </c>
    </row>
    <row r="47" spans="2:5" ht="13.5" x14ac:dyDescent="0.2">
      <c r="B47" s="101"/>
      <c r="C47" s="62" t="s">
        <v>154</v>
      </c>
      <c r="D47" s="23">
        <v>6</v>
      </c>
      <c r="E47" s="24">
        <v>4.6511627906976744E-3</v>
      </c>
    </row>
    <row r="48" spans="2:5" ht="13.5" x14ac:dyDescent="0.2">
      <c r="B48" s="102"/>
      <c r="C48" s="72" t="s">
        <v>63</v>
      </c>
      <c r="D48" s="73">
        <v>19</v>
      </c>
      <c r="E48" s="74">
        <v>1.4728682170542635E-2</v>
      </c>
    </row>
    <row r="49" spans="2:5" ht="13.5" x14ac:dyDescent="0.2">
      <c r="B49" s="100" t="s">
        <v>111</v>
      </c>
      <c r="C49" s="62" t="s">
        <v>147</v>
      </c>
      <c r="D49" s="23">
        <v>38</v>
      </c>
      <c r="E49" s="24">
        <v>2.9457364341085271E-2</v>
      </c>
    </row>
    <row r="50" spans="2:5" ht="13.5" x14ac:dyDescent="0.2">
      <c r="B50" s="101"/>
      <c r="C50" s="62" t="s">
        <v>154</v>
      </c>
      <c r="D50" s="23">
        <v>23</v>
      </c>
      <c r="E50" s="24">
        <v>1.7829457364341085E-2</v>
      </c>
    </row>
    <row r="51" spans="2:5" ht="13.5" x14ac:dyDescent="0.2">
      <c r="B51" s="102"/>
      <c r="C51" s="72" t="s">
        <v>63</v>
      </c>
      <c r="D51" s="73">
        <v>61</v>
      </c>
      <c r="E51" s="74">
        <v>4.7286821705426356E-2</v>
      </c>
    </row>
    <row r="52" spans="2:5" ht="13.5" x14ac:dyDescent="0.2">
      <c r="B52" s="100" t="s">
        <v>112</v>
      </c>
      <c r="C52" s="62" t="s">
        <v>147</v>
      </c>
      <c r="D52" s="23">
        <v>34</v>
      </c>
      <c r="E52" s="24">
        <v>2.6356589147286821E-2</v>
      </c>
    </row>
    <row r="53" spans="2:5" ht="13.5" x14ac:dyDescent="0.2">
      <c r="B53" s="101"/>
      <c r="C53" s="62" t="s">
        <v>154</v>
      </c>
      <c r="D53" s="23">
        <v>14</v>
      </c>
      <c r="E53" s="24">
        <v>1.0852713178294573E-2</v>
      </c>
    </row>
    <row r="54" spans="2:5" ht="13.5" x14ac:dyDescent="0.2">
      <c r="B54" s="102"/>
      <c r="C54" s="72" t="s">
        <v>63</v>
      </c>
      <c r="D54" s="73">
        <v>48</v>
      </c>
      <c r="E54" s="74">
        <v>3.7209302325581395E-2</v>
      </c>
    </row>
    <row r="55" spans="2:5" ht="13.5" x14ac:dyDescent="0.2">
      <c r="B55" s="100" t="s">
        <v>113</v>
      </c>
      <c r="C55" s="62" t="s">
        <v>147</v>
      </c>
      <c r="D55" s="23">
        <v>33</v>
      </c>
      <c r="E55" s="24">
        <v>2.5581395348837209E-2</v>
      </c>
    </row>
    <row r="56" spans="2:5" ht="13.5" x14ac:dyDescent="0.2">
      <c r="B56" s="101"/>
      <c r="C56" s="62" t="s">
        <v>154</v>
      </c>
      <c r="D56" s="23">
        <v>11</v>
      </c>
      <c r="E56" s="24">
        <v>8.5271317829457363E-3</v>
      </c>
    </row>
    <row r="57" spans="2:5" ht="13.5" x14ac:dyDescent="0.2">
      <c r="B57" s="102"/>
      <c r="C57" s="72" t="s">
        <v>63</v>
      </c>
      <c r="D57" s="73">
        <v>44</v>
      </c>
      <c r="E57" s="74">
        <v>3.4108527131782945E-2</v>
      </c>
    </row>
    <row r="58" spans="2:5" ht="13.5" x14ac:dyDescent="0.2">
      <c r="B58" s="100" t="s">
        <v>114</v>
      </c>
      <c r="C58" s="62" t="s">
        <v>147</v>
      </c>
      <c r="D58" s="23">
        <v>2</v>
      </c>
      <c r="E58" s="24">
        <v>1.5503875968992248E-3</v>
      </c>
    </row>
    <row r="59" spans="2:5" ht="13.5" x14ac:dyDescent="0.2">
      <c r="B59" s="101"/>
      <c r="C59" s="62" t="s">
        <v>154</v>
      </c>
      <c r="D59" s="23">
        <v>5</v>
      </c>
      <c r="E59" s="24">
        <v>3.875968992248062E-3</v>
      </c>
    </row>
    <row r="60" spans="2:5" ht="13.5" x14ac:dyDescent="0.2">
      <c r="B60" s="102"/>
      <c r="C60" s="72" t="s">
        <v>63</v>
      </c>
      <c r="D60" s="73">
        <v>7</v>
      </c>
      <c r="E60" s="74">
        <v>5.4263565891472867E-3</v>
      </c>
    </row>
    <row r="61" spans="2:5" ht="13.5" x14ac:dyDescent="0.2">
      <c r="B61" s="100" t="s">
        <v>115</v>
      </c>
      <c r="C61" s="62" t="s">
        <v>147</v>
      </c>
      <c r="D61" s="23">
        <v>13</v>
      </c>
      <c r="E61" s="24">
        <v>1.0077519379844961E-2</v>
      </c>
    </row>
    <row r="62" spans="2:5" ht="13.5" x14ac:dyDescent="0.2">
      <c r="B62" s="101"/>
      <c r="C62" s="62" t="s">
        <v>154</v>
      </c>
      <c r="D62" s="23">
        <v>8</v>
      </c>
      <c r="E62" s="24">
        <v>6.2015503875968991E-3</v>
      </c>
    </row>
    <row r="63" spans="2:5" ht="13.5" x14ac:dyDescent="0.2">
      <c r="B63" s="102"/>
      <c r="C63" s="72" t="s">
        <v>63</v>
      </c>
      <c r="D63" s="73">
        <v>21</v>
      </c>
      <c r="E63" s="74">
        <v>1.627906976744186E-2</v>
      </c>
    </row>
    <row r="64" spans="2:5" ht="13.5" x14ac:dyDescent="0.2">
      <c r="B64" s="100" t="s">
        <v>116</v>
      </c>
      <c r="C64" s="62" t="s">
        <v>147</v>
      </c>
      <c r="D64" s="23">
        <v>27</v>
      </c>
      <c r="E64" s="24">
        <v>2.0930232558139535E-2</v>
      </c>
    </row>
    <row r="65" spans="2:5" ht="13.5" x14ac:dyDescent="0.2">
      <c r="B65" s="101"/>
      <c r="C65" s="62" t="s">
        <v>154</v>
      </c>
      <c r="D65" s="23">
        <v>21</v>
      </c>
      <c r="E65" s="24">
        <v>1.627906976744186E-2</v>
      </c>
    </row>
    <row r="66" spans="2:5" ht="13.5" x14ac:dyDescent="0.2">
      <c r="B66" s="102"/>
      <c r="C66" s="72" t="s">
        <v>63</v>
      </c>
      <c r="D66" s="73">
        <v>48</v>
      </c>
      <c r="E66" s="74">
        <v>3.7209302325581395E-2</v>
      </c>
    </row>
    <row r="67" spans="2:5" ht="13.5" x14ac:dyDescent="0.2">
      <c r="B67" s="100" t="s">
        <v>117</v>
      </c>
      <c r="C67" s="62" t="s">
        <v>147</v>
      </c>
      <c r="D67" s="23">
        <v>30</v>
      </c>
      <c r="E67" s="24">
        <v>2.3255813953488372E-2</v>
      </c>
    </row>
    <row r="68" spans="2:5" ht="13.5" x14ac:dyDescent="0.2">
      <c r="B68" s="101"/>
      <c r="C68" s="62" t="s">
        <v>154</v>
      </c>
      <c r="D68" s="23">
        <v>19</v>
      </c>
      <c r="E68" s="24">
        <v>1.4728682170542635E-2</v>
      </c>
    </row>
    <row r="69" spans="2:5" ht="13.5" x14ac:dyDescent="0.2">
      <c r="B69" s="102"/>
      <c r="C69" s="72" t="s">
        <v>63</v>
      </c>
      <c r="D69" s="73">
        <v>49</v>
      </c>
      <c r="E69" s="74">
        <v>3.7984496124031007E-2</v>
      </c>
    </row>
    <row r="70" spans="2:5" ht="13.5" x14ac:dyDescent="0.2">
      <c r="B70" s="100" t="s">
        <v>118</v>
      </c>
      <c r="C70" s="62" t="s">
        <v>147</v>
      </c>
      <c r="D70" s="23">
        <v>13</v>
      </c>
      <c r="E70" s="24">
        <v>1.0077519379844961E-2</v>
      </c>
    </row>
    <row r="71" spans="2:5" ht="13.5" x14ac:dyDescent="0.2">
      <c r="B71" s="101"/>
      <c r="C71" s="62" t="s">
        <v>154</v>
      </c>
      <c r="D71" s="23">
        <v>19</v>
      </c>
      <c r="E71" s="24">
        <v>1.4728682170542635E-2</v>
      </c>
    </row>
    <row r="72" spans="2:5" ht="13.5" x14ac:dyDescent="0.2">
      <c r="B72" s="102"/>
      <c r="C72" s="72" t="s">
        <v>63</v>
      </c>
      <c r="D72" s="73">
        <v>32</v>
      </c>
      <c r="E72" s="74">
        <v>2.4806201550387597E-2</v>
      </c>
    </row>
    <row r="73" spans="2:5" ht="13.5" x14ac:dyDescent="0.2">
      <c r="B73" s="100" t="s">
        <v>119</v>
      </c>
      <c r="C73" s="62" t="s">
        <v>147</v>
      </c>
      <c r="D73" s="23">
        <v>28</v>
      </c>
      <c r="E73" s="24">
        <v>2.1705426356589147E-2</v>
      </c>
    </row>
    <row r="74" spans="2:5" ht="13.5" x14ac:dyDescent="0.2">
      <c r="B74" s="101"/>
      <c r="C74" s="62" t="s">
        <v>154</v>
      </c>
      <c r="D74" s="23">
        <v>7</v>
      </c>
      <c r="E74" s="24">
        <v>5.4263565891472867E-3</v>
      </c>
    </row>
    <row r="75" spans="2:5" ht="13.5" x14ac:dyDescent="0.2">
      <c r="B75" s="102"/>
      <c r="C75" s="72" t="s">
        <v>63</v>
      </c>
      <c r="D75" s="73">
        <v>35</v>
      </c>
      <c r="E75" s="74">
        <v>2.7131782945736434E-2</v>
      </c>
    </row>
    <row r="76" spans="2:5" ht="13.5" x14ac:dyDescent="0.2">
      <c r="B76" s="100" t="s">
        <v>120</v>
      </c>
      <c r="C76" s="62" t="s">
        <v>147</v>
      </c>
      <c r="D76" s="23">
        <v>5</v>
      </c>
      <c r="E76" s="24">
        <v>3.875968992248062E-3</v>
      </c>
    </row>
    <row r="77" spans="2:5" ht="13.5" x14ac:dyDescent="0.2">
      <c r="B77" s="101"/>
      <c r="C77" s="62" t="s">
        <v>154</v>
      </c>
      <c r="D77" s="23">
        <v>2</v>
      </c>
      <c r="E77" s="24">
        <v>1.5503875968992248E-3</v>
      </c>
    </row>
    <row r="78" spans="2:5" ht="13.5" x14ac:dyDescent="0.2">
      <c r="B78" s="102"/>
      <c r="C78" s="72" t="s">
        <v>63</v>
      </c>
      <c r="D78" s="73">
        <v>7</v>
      </c>
      <c r="E78" s="74">
        <v>5.4263565891472867E-3</v>
      </c>
    </row>
    <row r="79" spans="2:5" ht="13.5" x14ac:dyDescent="0.2">
      <c r="B79" s="100" t="s">
        <v>121</v>
      </c>
      <c r="C79" s="62" t="s">
        <v>147</v>
      </c>
      <c r="D79" s="23">
        <v>19</v>
      </c>
      <c r="E79" s="24">
        <v>1.4728682170542635E-2</v>
      </c>
    </row>
    <row r="80" spans="2:5" ht="13.5" x14ac:dyDescent="0.2">
      <c r="B80" s="101"/>
      <c r="C80" s="62" t="s">
        <v>154</v>
      </c>
      <c r="D80" s="23">
        <v>6</v>
      </c>
      <c r="E80" s="24">
        <v>4.6511627906976744E-3</v>
      </c>
    </row>
    <row r="81" spans="2:5" ht="13.5" x14ac:dyDescent="0.2">
      <c r="B81" s="102"/>
      <c r="C81" s="72" t="s">
        <v>63</v>
      </c>
      <c r="D81" s="73">
        <v>25</v>
      </c>
      <c r="E81" s="74">
        <v>1.937984496124031E-2</v>
      </c>
    </row>
    <row r="82" spans="2:5" ht="13.5" x14ac:dyDescent="0.2">
      <c r="B82" s="100" t="s">
        <v>122</v>
      </c>
      <c r="C82" s="62" t="s">
        <v>147</v>
      </c>
      <c r="D82" s="23">
        <v>11</v>
      </c>
      <c r="E82" s="24">
        <v>8.5271317829457363E-3</v>
      </c>
    </row>
    <row r="83" spans="2:5" ht="13.5" x14ac:dyDescent="0.2">
      <c r="B83" s="101"/>
      <c r="C83" s="62" t="s">
        <v>154</v>
      </c>
      <c r="D83" s="23">
        <v>4</v>
      </c>
      <c r="E83" s="24">
        <v>3.1007751937984496E-3</v>
      </c>
    </row>
    <row r="84" spans="2:5" ht="13.5" x14ac:dyDescent="0.2">
      <c r="B84" s="102"/>
      <c r="C84" s="72" t="s">
        <v>63</v>
      </c>
      <c r="D84" s="73">
        <v>15</v>
      </c>
      <c r="E84" s="74">
        <v>1.1627906976744186E-2</v>
      </c>
    </row>
    <row r="85" spans="2:5" ht="13.5" x14ac:dyDescent="0.2">
      <c r="B85" s="100" t="s">
        <v>123</v>
      </c>
      <c r="C85" s="62" t="s">
        <v>147</v>
      </c>
      <c r="D85" s="23">
        <v>66</v>
      </c>
      <c r="E85" s="24">
        <v>5.1162790697674418E-2</v>
      </c>
    </row>
    <row r="86" spans="2:5" ht="13.5" x14ac:dyDescent="0.2">
      <c r="B86" s="101"/>
      <c r="C86" s="62" t="s">
        <v>154</v>
      </c>
      <c r="D86" s="23">
        <v>38</v>
      </c>
      <c r="E86" s="24">
        <v>2.9457364341085271E-2</v>
      </c>
    </row>
    <row r="87" spans="2:5" ht="13.5" x14ac:dyDescent="0.2">
      <c r="B87" s="102"/>
      <c r="C87" s="72" t="s">
        <v>63</v>
      </c>
      <c r="D87" s="73">
        <v>104</v>
      </c>
      <c r="E87" s="74">
        <v>8.0620155038759689E-2</v>
      </c>
    </row>
    <row r="88" spans="2:5" ht="13.5" x14ac:dyDescent="0.2">
      <c r="B88" s="100" t="s">
        <v>124</v>
      </c>
      <c r="C88" s="62" t="s">
        <v>147</v>
      </c>
      <c r="D88" s="23">
        <v>52</v>
      </c>
      <c r="E88" s="24">
        <v>4.0310077519379844E-2</v>
      </c>
    </row>
    <row r="89" spans="2:5" ht="13.5" x14ac:dyDescent="0.2">
      <c r="B89" s="101"/>
      <c r="C89" s="62" t="s">
        <v>154</v>
      </c>
      <c r="D89" s="23">
        <v>15</v>
      </c>
      <c r="E89" s="24">
        <v>1.1627906976744186E-2</v>
      </c>
    </row>
    <row r="90" spans="2:5" ht="13.5" x14ac:dyDescent="0.2">
      <c r="B90" s="102"/>
      <c r="C90" s="72" t="s">
        <v>63</v>
      </c>
      <c r="D90" s="73">
        <v>67</v>
      </c>
      <c r="E90" s="74">
        <v>5.193798449612403E-2</v>
      </c>
    </row>
    <row r="91" spans="2:5" ht="13.5" x14ac:dyDescent="0.2">
      <c r="B91" s="100" t="s">
        <v>125</v>
      </c>
      <c r="C91" s="62" t="s">
        <v>147</v>
      </c>
      <c r="D91" s="23">
        <v>8</v>
      </c>
      <c r="E91" s="24">
        <v>6.2015503875968991E-3</v>
      </c>
    </row>
    <row r="92" spans="2:5" ht="13.5" x14ac:dyDescent="0.2">
      <c r="B92" s="101"/>
      <c r="C92" s="62" t="s">
        <v>154</v>
      </c>
      <c r="D92" s="23">
        <v>9</v>
      </c>
      <c r="E92" s="24">
        <v>6.9767441860465115E-3</v>
      </c>
    </row>
    <row r="93" spans="2:5" ht="13.5" x14ac:dyDescent="0.2">
      <c r="B93" s="102"/>
      <c r="C93" s="72" t="s">
        <v>63</v>
      </c>
      <c r="D93" s="73">
        <v>17</v>
      </c>
      <c r="E93" s="74">
        <v>1.3178294573643411E-2</v>
      </c>
    </row>
    <row r="94" spans="2:5" ht="13.5" x14ac:dyDescent="0.2">
      <c r="B94" s="100" t="s">
        <v>126</v>
      </c>
      <c r="C94" s="62" t="s">
        <v>147</v>
      </c>
      <c r="D94" s="23">
        <v>3</v>
      </c>
      <c r="E94" s="24">
        <v>2.3255813953488372E-3</v>
      </c>
    </row>
    <row r="95" spans="2:5" ht="13.5" x14ac:dyDescent="0.2">
      <c r="B95" s="101"/>
      <c r="C95" s="62" t="s">
        <v>154</v>
      </c>
      <c r="D95" s="23">
        <v>1</v>
      </c>
      <c r="E95" s="24">
        <v>7.7519379844961239E-4</v>
      </c>
    </row>
    <row r="96" spans="2:5" ht="13.5" x14ac:dyDescent="0.2">
      <c r="B96" s="102"/>
      <c r="C96" s="72" t="s">
        <v>63</v>
      </c>
      <c r="D96" s="73">
        <v>4</v>
      </c>
      <c r="E96" s="74">
        <v>3.1007751937984496E-3</v>
      </c>
    </row>
    <row r="97" spans="2:5" ht="13.5" x14ac:dyDescent="0.2">
      <c r="B97" s="100" t="s">
        <v>127</v>
      </c>
      <c r="C97" s="62" t="s">
        <v>147</v>
      </c>
      <c r="D97" s="23">
        <v>10</v>
      </c>
      <c r="E97" s="24">
        <v>7.7519379844961239E-3</v>
      </c>
    </row>
    <row r="98" spans="2:5" ht="13.5" x14ac:dyDescent="0.2">
      <c r="B98" s="101"/>
      <c r="C98" s="62" t="s">
        <v>154</v>
      </c>
      <c r="D98" s="23">
        <v>2</v>
      </c>
      <c r="E98" s="24">
        <v>1.5503875968992248E-3</v>
      </c>
    </row>
    <row r="99" spans="2:5" ht="13.5" x14ac:dyDescent="0.2">
      <c r="B99" s="102"/>
      <c r="C99" s="72" t="s">
        <v>63</v>
      </c>
      <c r="D99" s="73">
        <v>12</v>
      </c>
      <c r="E99" s="74">
        <v>9.3023255813953487E-3</v>
      </c>
    </row>
    <row r="100" spans="2:5" ht="13.5" x14ac:dyDescent="0.2">
      <c r="B100" s="100" t="s">
        <v>128</v>
      </c>
      <c r="C100" s="62" t="s">
        <v>147</v>
      </c>
      <c r="D100" s="23">
        <v>1</v>
      </c>
      <c r="E100" s="24">
        <v>7.7519379844961239E-4</v>
      </c>
    </row>
    <row r="101" spans="2:5" ht="13.5" x14ac:dyDescent="0.2">
      <c r="B101" s="102"/>
      <c r="C101" s="72" t="s">
        <v>63</v>
      </c>
      <c r="D101" s="73">
        <v>1</v>
      </c>
      <c r="E101" s="74">
        <v>7.7519379844961239E-4</v>
      </c>
    </row>
    <row r="102" spans="2:5" ht="13.5" x14ac:dyDescent="0.2">
      <c r="B102" s="100" t="s">
        <v>129</v>
      </c>
      <c r="C102" s="62" t="s">
        <v>147</v>
      </c>
      <c r="D102" s="23">
        <v>50</v>
      </c>
      <c r="E102" s="24">
        <v>3.875968992248062E-2</v>
      </c>
    </row>
    <row r="103" spans="2:5" ht="13.5" x14ac:dyDescent="0.2">
      <c r="B103" s="101"/>
      <c r="C103" s="62" t="s">
        <v>154</v>
      </c>
      <c r="D103" s="23">
        <v>21</v>
      </c>
      <c r="E103" s="24">
        <v>1.627906976744186E-2</v>
      </c>
    </row>
    <row r="104" spans="2:5" ht="13.5" x14ac:dyDescent="0.2">
      <c r="B104" s="102"/>
      <c r="C104" s="72" t="s">
        <v>63</v>
      </c>
      <c r="D104" s="73">
        <v>71</v>
      </c>
      <c r="E104" s="74">
        <v>5.503875968992248E-2</v>
      </c>
    </row>
    <row r="105" spans="2:5" ht="13.5" x14ac:dyDescent="0.2">
      <c r="B105" s="100" t="s">
        <v>130</v>
      </c>
      <c r="C105" s="62" t="s">
        <v>147</v>
      </c>
      <c r="D105" s="23">
        <v>12</v>
      </c>
      <c r="E105" s="24">
        <v>9.3023255813953487E-3</v>
      </c>
    </row>
    <row r="106" spans="2:5" ht="13.5" x14ac:dyDescent="0.2">
      <c r="B106" s="101"/>
      <c r="C106" s="62" t="s">
        <v>154</v>
      </c>
      <c r="D106" s="23">
        <v>5</v>
      </c>
      <c r="E106" s="24">
        <v>3.875968992248062E-3</v>
      </c>
    </row>
    <row r="107" spans="2:5" ht="13.5" x14ac:dyDescent="0.2">
      <c r="B107" s="102"/>
      <c r="C107" s="72" t="s">
        <v>63</v>
      </c>
      <c r="D107" s="73">
        <v>17</v>
      </c>
      <c r="E107" s="74">
        <v>1.3178294573643411E-2</v>
      </c>
    </row>
    <row r="108" spans="2:5" ht="13.5" x14ac:dyDescent="0.2">
      <c r="B108" s="100" t="s">
        <v>131</v>
      </c>
      <c r="C108" s="62" t="s">
        <v>147</v>
      </c>
      <c r="D108" s="23">
        <v>11</v>
      </c>
      <c r="E108" s="24">
        <v>8.5271317829457363E-3</v>
      </c>
    </row>
    <row r="109" spans="2:5" ht="13.5" x14ac:dyDescent="0.2">
      <c r="B109" s="101"/>
      <c r="C109" s="62" t="s">
        <v>154</v>
      </c>
      <c r="D109" s="23">
        <v>5</v>
      </c>
      <c r="E109" s="24">
        <v>3.875968992248062E-3</v>
      </c>
    </row>
    <row r="110" spans="2:5" ht="13.5" x14ac:dyDescent="0.2">
      <c r="B110" s="102"/>
      <c r="C110" s="72" t="s">
        <v>63</v>
      </c>
      <c r="D110" s="73">
        <v>16</v>
      </c>
      <c r="E110" s="74">
        <v>1.2403100775193798E-2</v>
      </c>
    </row>
    <row r="111" spans="2:5" ht="13.5" x14ac:dyDescent="0.2">
      <c r="B111" s="100" t="s">
        <v>132</v>
      </c>
      <c r="C111" s="62" t="s">
        <v>147</v>
      </c>
      <c r="D111" s="23">
        <v>4</v>
      </c>
      <c r="E111" s="24">
        <v>3.1007751937984496E-3</v>
      </c>
    </row>
    <row r="112" spans="2:5" ht="13.5" x14ac:dyDescent="0.2">
      <c r="B112" s="102"/>
      <c r="C112" s="72" t="s">
        <v>63</v>
      </c>
      <c r="D112" s="73">
        <v>4</v>
      </c>
      <c r="E112" s="74">
        <v>3.1007751937984496E-3</v>
      </c>
    </row>
    <row r="113" spans="2:5" ht="13.5" x14ac:dyDescent="0.2">
      <c r="B113" s="100" t="s">
        <v>133</v>
      </c>
      <c r="C113" s="62" t="s">
        <v>147</v>
      </c>
      <c r="D113" s="23">
        <v>32</v>
      </c>
      <c r="E113" s="24">
        <v>2.4806201550387597E-2</v>
      </c>
    </row>
    <row r="114" spans="2:5" ht="13.5" x14ac:dyDescent="0.2">
      <c r="B114" s="101"/>
      <c r="C114" s="62" t="s">
        <v>154</v>
      </c>
      <c r="D114" s="23">
        <v>17</v>
      </c>
      <c r="E114" s="24">
        <v>1.3178294573643411E-2</v>
      </c>
    </row>
    <row r="115" spans="2:5" ht="13.5" x14ac:dyDescent="0.2">
      <c r="B115" s="102"/>
      <c r="C115" s="72" t="s">
        <v>63</v>
      </c>
      <c r="D115" s="73">
        <v>49</v>
      </c>
      <c r="E115" s="74">
        <v>3.7984496124031007E-2</v>
      </c>
    </row>
    <row r="116" spans="2:5" ht="13.5" x14ac:dyDescent="0.2">
      <c r="B116" s="100" t="s">
        <v>134</v>
      </c>
      <c r="C116" s="62" t="s">
        <v>147</v>
      </c>
      <c r="D116" s="23">
        <v>7</v>
      </c>
      <c r="E116" s="24">
        <v>5.4263565891472867E-3</v>
      </c>
    </row>
    <row r="117" spans="2:5" ht="13.5" x14ac:dyDescent="0.2">
      <c r="B117" s="101"/>
      <c r="C117" s="62" t="s">
        <v>154</v>
      </c>
      <c r="D117" s="23">
        <v>3</v>
      </c>
      <c r="E117" s="24">
        <v>2.3255813953488372E-3</v>
      </c>
    </row>
    <row r="118" spans="2:5" ht="13.5" x14ac:dyDescent="0.2">
      <c r="B118" s="102"/>
      <c r="C118" s="72" t="s">
        <v>63</v>
      </c>
      <c r="D118" s="73">
        <v>10</v>
      </c>
      <c r="E118" s="74">
        <v>7.7519379844961239E-3</v>
      </c>
    </row>
    <row r="119" spans="2:5" ht="13.5" x14ac:dyDescent="0.2">
      <c r="B119" s="100" t="s">
        <v>135</v>
      </c>
      <c r="C119" s="62" t="s">
        <v>147</v>
      </c>
      <c r="D119" s="23">
        <v>1</v>
      </c>
      <c r="E119" s="24">
        <v>7.7519379844961239E-4</v>
      </c>
    </row>
    <row r="120" spans="2:5" ht="13.5" x14ac:dyDescent="0.2">
      <c r="B120" s="101"/>
      <c r="C120" s="62" t="s">
        <v>154</v>
      </c>
      <c r="D120" s="23">
        <v>1</v>
      </c>
      <c r="E120" s="24">
        <v>7.7519379844961239E-4</v>
      </c>
    </row>
    <row r="121" spans="2:5" ht="13.5" x14ac:dyDescent="0.2">
      <c r="B121" s="102"/>
      <c r="C121" s="72" t="s">
        <v>63</v>
      </c>
      <c r="D121" s="73">
        <v>2</v>
      </c>
      <c r="E121" s="74">
        <v>1.5503875968992248E-3</v>
      </c>
    </row>
    <row r="122" spans="2:5" ht="13.5" x14ac:dyDescent="0.2">
      <c r="B122" s="100" t="s">
        <v>136</v>
      </c>
      <c r="C122" s="62" t="s">
        <v>147</v>
      </c>
      <c r="D122" s="23">
        <v>39</v>
      </c>
      <c r="E122" s="24">
        <v>3.0232558139534883E-2</v>
      </c>
    </row>
    <row r="123" spans="2:5" ht="13.5" x14ac:dyDescent="0.2">
      <c r="B123" s="101"/>
      <c r="C123" s="62" t="s">
        <v>154</v>
      </c>
      <c r="D123" s="23">
        <v>8</v>
      </c>
      <c r="E123" s="24">
        <v>6.2015503875968991E-3</v>
      </c>
    </row>
    <row r="124" spans="2:5" ht="13.5" x14ac:dyDescent="0.2">
      <c r="B124" s="102"/>
      <c r="C124" s="72" t="s">
        <v>63</v>
      </c>
      <c r="D124" s="73">
        <v>47</v>
      </c>
      <c r="E124" s="74">
        <v>3.6434108527131782E-2</v>
      </c>
    </row>
    <row r="125" spans="2:5" ht="13.5" x14ac:dyDescent="0.2">
      <c r="B125" s="100" t="s">
        <v>137</v>
      </c>
      <c r="C125" s="62" t="s">
        <v>147</v>
      </c>
      <c r="D125" s="23">
        <v>45</v>
      </c>
      <c r="E125" s="24">
        <v>3.4883720930232558E-2</v>
      </c>
    </row>
    <row r="126" spans="2:5" ht="13.5" x14ac:dyDescent="0.2">
      <c r="B126" s="101"/>
      <c r="C126" s="62" t="s">
        <v>154</v>
      </c>
      <c r="D126" s="23">
        <v>21</v>
      </c>
      <c r="E126" s="24">
        <v>1.627906976744186E-2</v>
      </c>
    </row>
    <row r="127" spans="2:5" ht="13.5" x14ac:dyDescent="0.2">
      <c r="B127" s="102"/>
      <c r="C127" s="72" t="s">
        <v>63</v>
      </c>
      <c r="D127" s="73">
        <v>66</v>
      </c>
      <c r="E127" s="74">
        <v>5.1162790697674418E-2</v>
      </c>
    </row>
    <row r="128" spans="2:5" ht="13.5" x14ac:dyDescent="0.2">
      <c r="B128" s="100" t="s">
        <v>138</v>
      </c>
      <c r="C128" s="62" t="s">
        <v>147</v>
      </c>
      <c r="D128" s="23">
        <v>12</v>
      </c>
      <c r="E128" s="24">
        <v>9.3023255813953487E-3</v>
      </c>
    </row>
    <row r="129" spans="2:5" ht="13.5" x14ac:dyDescent="0.2">
      <c r="B129" s="101"/>
      <c r="C129" s="62" t="s">
        <v>154</v>
      </c>
      <c r="D129" s="23">
        <v>7</v>
      </c>
      <c r="E129" s="24">
        <v>5.4263565891472867E-3</v>
      </c>
    </row>
    <row r="130" spans="2:5" ht="13.5" x14ac:dyDescent="0.2">
      <c r="B130" s="102"/>
      <c r="C130" s="72" t="s">
        <v>63</v>
      </c>
      <c r="D130" s="73">
        <v>19</v>
      </c>
      <c r="E130" s="74">
        <v>1.4728682170542635E-2</v>
      </c>
    </row>
    <row r="131" spans="2:5" ht="13.5" x14ac:dyDescent="0.2">
      <c r="B131" s="100" t="s">
        <v>139</v>
      </c>
      <c r="C131" s="62" t="s">
        <v>147</v>
      </c>
      <c r="D131" s="23">
        <v>7</v>
      </c>
      <c r="E131" s="24">
        <v>5.4263565891472867E-3</v>
      </c>
    </row>
    <row r="132" spans="2:5" ht="13.5" x14ac:dyDescent="0.2">
      <c r="B132" s="101"/>
      <c r="C132" s="62" t="s">
        <v>154</v>
      </c>
      <c r="D132" s="23">
        <v>2</v>
      </c>
      <c r="E132" s="24">
        <v>1.5503875968992248E-3</v>
      </c>
    </row>
    <row r="133" spans="2:5" ht="13.5" x14ac:dyDescent="0.2">
      <c r="B133" s="102"/>
      <c r="C133" s="72" t="s">
        <v>63</v>
      </c>
      <c r="D133" s="73">
        <v>9</v>
      </c>
      <c r="E133" s="74">
        <v>6.9767441860465115E-3</v>
      </c>
    </row>
    <row r="134" spans="2:5" ht="13.5" x14ac:dyDescent="0.2">
      <c r="B134" s="100" t="s">
        <v>41</v>
      </c>
      <c r="C134" s="62" t="s">
        <v>147</v>
      </c>
      <c r="D134" s="23">
        <v>14</v>
      </c>
      <c r="E134" s="24">
        <v>1.0852713178294573E-2</v>
      </c>
    </row>
    <row r="135" spans="2:5" ht="13.5" x14ac:dyDescent="0.2">
      <c r="B135" s="101"/>
      <c r="C135" s="62" t="s">
        <v>154</v>
      </c>
      <c r="D135" s="23">
        <v>6</v>
      </c>
      <c r="E135" s="24">
        <v>4.6511627906976744E-3</v>
      </c>
    </row>
    <row r="136" spans="2:5" ht="13.5" x14ac:dyDescent="0.2">
      <c r="B136" s="102"/>
      <c r="C136" s="72" t="s">
        <v>63</v>
      </c>
      <c r="D136" s="73">
        <v>20</v>
      </c>
      <c r="E136" s="74">
        <v>1.5503875968992248E-2</v>
      </c>
    </row>
    <row r="137" spans="2:5" ht="13.5" x14ac:dyDescent="0.2">
      <c r="B137" s="96" t="s">
        <v>158</v>
      </c>
      <c r="C137" s="97"/>
      <c r="D137" s="66">
        <v>1290</v>
      </c>
      <c r="E137" s="67">
        <v>1</v>
      </c>
    </row>
    <row r="139" spans="2:5" x14ac:dyDescent="0.2">
      <c r="B139" s="30" t="s">
        <v>64</v>
      </c>
    </row>
    <row r="140" spans="2:5" x14ac:dyDescent="0.2">
      <c r="B140" s="31" t="s">
        <v>65</v>
      </c>
    </row>
    <row r="141" spans="2:5" x14ac:dyDescent="0.2">
      <c r="B141" s="32" t="s">
        <v>66</v>
      </c>
    </row>
    <row r="142" spans="2:5" x14ac:dyDescent="0.2">
      <c r="B142" s="30" t="s">
        <v>67</v>
      </c>
    </row>
    <row r="143" spans="2:5" x14ac:dyDescent="0.2">
      <c r="B143" s="30" t="s">
        <v>68</v>
      </c>
    </row>
  </sheetData>
  <mergeCells count="45">
    <mergeCell ref="B40:B42"/>
    <mergeCell ref="B8:E10"/>
    <mergeCell ref="B12:B13"/>
    <mergeCell ref="B14:B16"/>
    <mergeCell ref="B17:B19"/>
    <mergeCell ref="B20:B22"/>
    <mergeCell ref="B23:B24"/>
    <mergeCell ref="B25:B27"/>
    <mergeCell ref="B28:B30"/>
    <mergeCell ref="B31:B33"/>
    <mergeCell ref="B34:B36"/>
    <mergeCell ref="B37:B39"/>
    <mergeCell ref="B76:B78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111:B112"/>
    <mergeCell ref="B79:B81"/>
    <mergeCell ref="B82:B84"/>
    <mergeCell ref="B85:B87"/>
    <mergeCell ref="B88:B90"/>
    <mergeCell ref="B91:B93"/>
    <mergeCell ref="B94:B96"/>
    <mergeCell ref="B97:B99"/>
    <mergeCell ref="B100:B101"/>
    <mergeCell ref="B102:B104"/>
    <mergeCell ref="B105:B107"/>
    <mergeCell ref="B108:B110"/>
    <mergeCell ref="B131:B133"/>
    <mergeCell ref="B134:B136"/>
    <mergeCell ref="B137:C137"/>
    <mergeCell ref="B113:B115"/>
    <mergeCell ref="B116:B118"/>
    <mergeCell ref="B119:B121"/>
    <mergeCell ref="B122:B124"/>
    <mergeCell ref="B125:B127"/>
    <mergeCell ref="B128:B130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0"/>
  <sheetViews>
    <sheetView showGridLines="0" view="pageBreakPreview" zoomScaleNormal="175" zoomScaleSheetLayoutView="100" workbookViewId="0">
      <selection activeCell="K10" sqref="K10"/>
    </sheetView>
  </sheetViews>
  <sheetFormatPr baseColWidth="10" defaultRowHeight="11.25" x14ac:dyDescent="0.2"/>
  <cols>
    <col min="1" max="1" width="5.7109375" style="14" customWidth="1"/>
    <col min="2" max="2" width="19" style="39" customWidth="1"/>
    <col min="3" max="3" width="17.28515625" style="39" customWidth="1"/>
    <col min="4" max="4" width="17.28515625" style="68" customWidth="1"/>
    <col min="5" max="5" width="16.7109375" style="68" customWidth="1"/>
    <col min="6" max="6" width="16.7109375" style="39" customWidth="1"/>
    <col min="7" max="7" width="5.7109375" style="14" customWidth="1"/>
    <col min="8" max="16384" width="11.42578125" style="14"/>
  </cols>
  <sheetData>
    <row r="1" spans="1:7" s="56" customFormat="1" ht="15" x14ac:dyDescent="0.25">
      <c r="B1" s="34"/>
      <c r="C1" s="39"/>
    </row>
    <row r="2" spans="1:7" s="39" customFormat="1" x14ac:dyDescent="0.2">
      <c r="B2" s="57"/>
    </row>
    <row r="3" spans="1:7" ht="15" customHeight="1" x14ac:dyDescent="0.2">
      <c r="B3" s="58"/>
      <c r="C3" s="15"/>
      <c r="D3" s="14"/>
      <c r="E3" s="14"/>
      <c r="G3" s="39"/>
    </row>
    <row r="4" spans="1:7" ht="30" customHeight="1" x14ac:dyDescent="0.2">
      <c r="B4" s="58"/>
      <c r="C4" s="15"/>
      <c r="D4" s="14"/>
      <c r="E4" s="14"/>
      <c r="G4" s="39"/>
    </row>
    <row r="5" spans="1:7" ht="15" customHeight="1" x14ac:dyDescent="0.2">
      <c r="B5" s="58"/>
      <c r="C5" s="15"/>
      <c r="D5" s="14"/>
      <c r="E5" s="14"/>
      <c r="G5" s="39"/>
    </row>
    <row r="6" spans="1:7" s="39" customFormat="1" x14ac:dyDescent="0.2">
      <c r="B6" s="35"/>
      <c r="C6" s="41"/>
    </row>
    <row r="7" spans="1:7" s="39" customFormat="1" x14ac:dyDescent="0.2">
      <c r="A7" s="34"/>
      <c r="B7" s="57"/>
      <c r="C7" s="34"/>
    </row>
    <row r="8" spans="1:7" s="56" customFormat="1" ht="15" customHeight="1" x14ac:dyDescent="0.25">
      <c r="B8" s="103" t="s">
        <v>142</v>
      </c>
      <c r="C8" s="103"/>
      <c r="D8" s="103"/>
      <c r="E8" s="103"/>
      <c r="F8" s="103"/>
    </row>
    <row r="9" spans="1:7" s="56" customFormat="1" ht="15" customHeight="1" x14ac:dyDescent="0.25">
      <c r="A9" s="59"/>
      <c r="B9" s="103"/>
      <c r="C9" s="103"/>
      <c r="D9" s="103"/>
      <c r="E9" s="103"/>
      <c r="F9" s="103"/>
      <c r="G9" s="60"/>
    </row>
    <row r="10" spans="1:7" s="56" customFormat="1" ht="15" customHeight="1" x14ac:dyDescent="0.25">
      <c r="A10" s="59"/>
      <c r="B10" s="104"/>
      <c r="C10" s="104"/>
      <c r="D10" s="104"/>
      <c r="E10" s="104"/>
      <c r="F10" s="104"/>
      <c r="G10" s="59"/>
    </row>
    <row r="11" spans="1:7" s="56" customFormat="1" ht="36.950000000000003" customHeight="1" x14ac:dyDescent="0.25">
      <c r="B11" s="61" t="s">
        <v>143</v>
      </c>
      <c r="C11" s="61" t="s">
        <v>144</v>
      </c>
      <c r="D11" s="61" t="s">
        <v>21</v>
      </c>
      <c r="E11" s="61" t="s">
        <v>145</v>
      </c>
      <c r="F11" s="61" t="s">
        <v>146</v>
      </c>
    </row>
    <row r="12" spans="1:7" ht="15" customHeight="1" x14ac:dyDescent="0.2">
      <c r="B12" s="100" t="s">
        <v>147</v>
      </c>
      <c r="C12" s="62" t="s">
        <v>148</v>
      </c>
      <c r="D12" s="23">
        <v>6</v>
      </c>
      <c r="E12" s="63">
        <v>7.0422535211267607E-3</v>
      </c>
      <c r="F12" s="24">
        <f t="shared" ref="F12:F24" si="0">D12/$D$24</f>
        <v>4.6511627906976744E-3</v>
      </c>
    </row>
    <row r="13" spans="1:7" ht="15" customHeight="1" x14ac:dyDescent="0.2">
      <c r="B13" s="101"/>
      <c r="C13" s="62" t="s">
        <v>149</v>
      </c>
      <c r="D13" s="23">
        <v>226</v>
      </c>
      <c r="E13" s="63">
        <v>0.26525821596244131</v>
      </c>
      <c r="F13" s="24">
        <f t="shared" si="0"/>
        <v>0.17519379844961241</v>
      </c>
    </row>
    <row r="14" spans="1:7" ht="15" customHeight="1" x14ac:dyDescent="0.2">
      <c r="B14" s="101"/>
      <c r="C14" s="62" t="s">
        <v>150</v>
      </c>
      <c r="D14" s="23">
        <v>401</v>
      </c>
      <c r="E14" s="63">
        <v>0.47065727699530518</v>
      </c>
      <c r="F14" s="24">
        <f t="shared" si="0"/>
        <v>0.31085271317829455</v>
      </c>
    </row>
    <row r="15" spans="1:7" ht="15" customHeight="1" x14ac:dyDescent="0.2">
      <c r="B15" s="101"/>
      <c r="C15" s="62" t="s">
        <v>151</v>
      </c>
      <c r="D15" s="23">
        <v>167</v>
      </c>
      <c r="E15" s="63">
        <v>0.1960093896713615</v>
      </c>
      <c r="F15" s="24">
        <f t="shared" si="0"/>
        <v>0.12945736434108526</v>
      </c>
    </row>
    <row r="16" spans="1:7" ht="15" customHeight="1" x14ac:dyDescent="0.2">
      <c r="B16" s="101"/>
      <c r="C16" s="62" t="s">
        <v>152</v>
      </c>
      <c r="D16" s="23">
        <v>51</v>
      </c>
      <c r="E16" s="63">
        <v>5.9859154929577461E-2</v>
      </c>
      <c r="F16" s="24">
        <f t="shared" si="0"/>
        <v>3.9534883720930232E-2</v>
      </c>
    </row>
    <row r="17" spans="1:7" s="39" customFormat="1" ht="15" customHeight="1" x14ac:dyDescent="0.2">
      <c r="A17" s="14"/>
      <c r="B17" s="102"/>
      <c r="C17" s="62" t="s">
        <v>153</v>
      </c>
      <c r="D17" s="23">
        <v>1</v>
      </c>
      <c r="E17" s="63">
        <v>1.1737089201877935E-3</v>
      </c>
      <c r="F17" s="24">
        <f t="shared" si="0"/>
        <v>7.7519379844961239E-4</v>
      </c>
      <c r="G17" s="14"/>
    </row>
    <row r="18" spans="1:7" s="39" customFormat="1" ht="15" customHeight="1" x14ac:dyDescent="0.2">
      <c r="A18" s="14"/>
      <c r="B18" s="100" t="s">
        <v>154</v>
      </c>
      <c r="C18" s="62" t="s">
        <v>148</v>
      </c>
      <c r="D18" s="23">
        <v>5</v>
      </c>
      <c r="E18" s="64">
        <v>1.1415525114155251E-2</v>
      </c>
      <c r="F18" s="24">
        <f t="shared" si="0"/>
        <v>3.875968992248062E-3</v>
      </c>
      <c r="G18" s="14"/>
    </row>
    <row r="19" spans="1:7" s="39" customFormat="1" ht="15" customHeight="1" x14ac:dyDescent="0.2">
      <c r="A19" s="14"/>
      <c r="B19" s="101"/>
      <c r="C19" s="62" t="s">
        <v>149</v>
      </c>
      <c r="D19" s="23">
        <v>95</v>
      </c>
      <c r="E19" s="64">
        <v>0.21689497716894976</v>
      </c>
      <c r="F19" s="24">
        <f t="shared" si="0"/>
        <v>7.3643410852713184E-2</v>
      </c>
      <c r="G19" s="14"/>
    </row>
    <row r="20" spans="1:7" s="39" customFormat="1" ht="15" customHeight="1" x14ac:dyDescent="0.2">
      <c r="A20" s="14"/>
      <c r="B20" s="101"/>
      <c r="C20" s="62" t="s">
        <v>150</v>
      </c>
      <c r="D20" s="23">
        <v>195</v>
      </c>
      <c r="E20" s="64">
        <v>0.4452054794520548</v>
      </c>
      <c r="F20" s="24">
        <f t="shared" si="0"/>
        <v>0.15116279069767441</v>
      </c>
      <c r="G20" s="14"/>
    </row>
    <row r="21" spans="1:7" s="39" customFormat="1" ht="15" customHeight="1" x14ac:dyDescent="0.2">
      <c r="A21" s="14"/>
      <c r="B21" s="101"/>
      <c r="C21" s="62" t="s">
        <v>151</v>
      </c>
      <c r="D21" s="23">
        <v>109</v>
      </c>
      <c r="E21" s="64">
        <v>0.24885844748858446</v>
      </c>
      <c r="F21" s="24">
        <f t="shared" si="0"/>
        <v>8.4496124031007758E-2</v>
      </c>
      <c r="G21" s="14"/>
    </row>
    <row r="22" spans="1:7" ht="13.5" x14ac:dyDescent="0.2">
      <c r="B22" s="101"/>
      <c r="C22" s="62" t="s">
        <v>152</v>
      </c>
      <c r="D22" s="23">
        <v>28</v>
      </c>
      <c r="E22" s="64">
        <v>6.3926940639269403E-2</v>
      </c>
      <c r="F22" s="24">
        <f t="shared" si="0"/>
        <v>2.1705426356589147E-2</v>
      </c>
    </row>
    <row r="23" spans="1:7" ht="13.5" x14ac:dyDescent="0.2">
      <c r="B23" s="102"/>
      <c r="C23" s="62" t="s">
        <v>153</v>
      </c>
      <c r="D23" s="23">
        <v>6</v>
      </c>
      <c r="E23" s="64">
        <v>1.3698630136986301E-2</v>
      </c>
      <c r="F23" s="24">
        <f t="shared" si="0"/>
        <v>4.6511627906976744E-3</v>
      </c>
    </row>
    <row r="24" spans="1:7" ht="13.5" x14ac:dyDescent="0.2">
      <c r="B24" s="65" t="s">
        <v>63</v>
      </c>
      <c r="C24" s="65"/>
      <c r="D24" s="66">
        <v>1290</v>
      </c>
      <c r="E24" s="67"/>
      <c r="F24" s="67">
        <f t="shared" si="0"/>
        <v>1</v>
      </c>
    </row>
    <row r="26" spans="1:7" x14ac:dyDescent="0.2">
      <c r="B26" s="30" t="s">
        <v>64</v>
      </c>
    </row>
    <row r="27" spans="1:7" x14ac:dyDescent="0.2">
      <c r="B27" s="31" t="s">
        <v>65</v>
      </c>
    </row>
    <row r="28" spans="1:7" x14ac:dyDescent="0.2">
      <c r="B28" s="32" t="s">
        <v>66</v>
      </c>
    </row>
    <row r="29" spans="1:7" x14ac:dyDescent="0.2">
      <c r="B29" s="30" t="s">
        <v>67</v>
      </c>
    </row>
    <row r="30" spans="1:7" x14ac:dyDescent="0.2">
      <c r="B30" s="30" t="s">
        <v>68</v>
      </c>
    </row>
  </sheetData>
  <mergeCells count="3">
    <mergeCell ref="B8:F10"/>
    <mergeCell ref="B12:B17"/>
    <mergeCell ref="B18:B2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38"/>
  <sheetViews>
    <sheetView showGridLines="0" zoomScaleNormal="100" zoomScaleSheetLayoutView="115" workbookViewId="0">
      <selection activeCell="P22" sqref="P22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18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2" t="s">
        <v>184</v>
      </c>
      <c r="C7" s="92"/>
      <c r="D7" s="92"/>
    </row>
    <row r="8" spans="1:4" s="14" customFormat="1" ht="15" customHeight="1" x14ac:dyDescent="0.2">
      <c r="B8" s="92"/>
      <c r="C8" s="92"/>
      <c r="D8" s="92"/>
    </row>
    <row r="9" spans="1:4" s="14" customFormat="1" ht="33" customHeight="1" x14ac:dyDescent="0.2">
      <c r="B9" s="92"/>
      <c r="C9" s="92"/>
      <c r="D9" s="92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185</v>
      </c>
      <c r="C11" s="19" t="s">
        <v>21</v>
      </c>
      <c r="D11" s="20" t="s">
        <v>22</v>
      </c>
    </row>
    <row r="12" spans="1:4" ht="15" customHeight="1" x14ac:dyDescent="0.25">
      <c r="B12" s="22" t="s">
        <v>186</v>
      </c>
      <c r="C12" s="23">
        <v>747</v>
      </c>
      <c r="D12" s="24">
        <f t="shared" ref="D12:D30" si="0">C12/$C$30</f>
        <v>0.57906976744186045</v>
      </c>
    </row>
    <row r="13" spans="1:4" x14ac:dyDescent="0.25">
      <c r="B13" s="22" t="s">
        <v>187</v>
      </c>
      <c r="C13" s="23">
        <v>239</v>
      </c>
      <c r="D13" s="24">
        <f t="shared" si="0"/>
        <v>0.18527131782945735</v>
      </c>
    </row>
    <row r="14" spans="1:4" s="25" customFormat="1" ht="15.75" x14ac:dyDescent="0.25">
      <c r="A14" s="21"/>
      <c r="B14" s="22" t="s">
        <v>188</v>
      </c>
      <c r="C14" s="23">
        <v>72</v>
      </c>
      <c r="D14" s="24">
        <f t="shared" si="0"/>
        <v>5.5813953488372092E-2</v>
      </c>
    </row>
    <row r="15" spans="1:4" s="25" customFormat="1" ht="15.75" x14ac:dyDescent="0.25">
      <c r="A15" s="21"/>
      <c r="B15" s="22" t="s">
        <v>189</v>
      </c>
      <c r="C15" s="23">
        <v>46</v>
      </c>
      <c r="D15" s="24">
        <f t="shared" si="0"/>
        <v>3.565891472868217E-2</v>
      </c>
    </row>
    <row r="16" spans="1:4" x14ac:dyDescent="0.25">
      <c r="B16" s="22" t="s">
        <v>190</v>
      </c>
      <c r="C16" s="23">
        <v>46</v>
      </c>
      <c r="D16" s="24">
        <f t="shared" si="0"/>
        <v>3.565891472868217E-2</v>
      </c>
    </row>
    <row r="17" spans="1:4" x14ac:dyDescent="0.25">
      <c r="B17" s="22" t="s">
        <v>191</v>
      </c>
      <c r="C17" s="23">
        <v>27</v>
      </c>
      <c r="D17" s="24">
        <f t="shared" si="0"/>
        <v>2.0930232558139535E-2</v>
      </c>
    </row>
    <row r="18" spans="1:4" x14ac:dyDescent="0.25">
      <c r="B18" s="22" t="s">
        <v>192</v>
      </c>
      <c r="C18" s="23">
        <v>26</v>
      </c>
      <c r="D18" s="24">
        <f t="shared" si="0"/>
        <v>2.0155038759689922E-2</v>
      </c>
    </row>
    <row r="19" spans="1:4" x14ac:dyDescent="0.25">
      <c r="B19" s="22" t="s">
        <v>193</v>
      </c>
      <c r="C19" s="23">
        <v>22</v>
      </c>
      <c r="D19" s="24">
        <f t="shared" si="0"/>
        <v>1.7054263565891473E-2</v>
      </c>
    </row>
    <row r="20" spans="1:4" x14ac:dyDescent="0.25">
      <c r="B20" s="22" t="s">
        <v>194</v>
      </c>
      <c r="C20" s="23">
        <v>20</v>
      </c>
      <c r="D20" s="24">
        <f t="shared" si="0"/>
        <v>1.5503875968992248E-2</v>
      </c>
    </row>
    <row r="21" spans="1:4" x14ac:dyDescent="0.25">
      <c r="B21" s="22" t="s">
        <v>195</v>
      </c>
      <c r="C21" s="23">
        <v>20</v>
      </c>
      <c r="D21" s="24">
        <f t="shared" si="0"/>
        <v>1.5503875968992248E-2</v>
      </c>
    </row>
    <row r="22" spans="1:4" x14ac:dyDescent="0.25">
      <c r="B22" s="22" t="s">
        <v>196</v>
      </c>
      <c r="C22" s="23">
        <v>6</v>
      </c>
      <c r="D22" s="24">
        <f t="shared" si="0"/>
        <v>4.6511627906976744E-3</v>
      </c>
    </row>
    <row r="23" spans="1:4" x14ac:dyDescent="0.25">
      <c r="B23" s="22" t="s">
        <v>197</v>
      </c>
      <c r="C23" s="23">
        <v>5</v>
      </c>
      <c r="D23" s="24">
        <f t="shared" si="0"/>
        <v>3.875968992248062E-3</v>
      </c>
    </row>
    <row r="24" spans="1:4" x14ac:dyDescent="0.25">
      <c r="B24" s="22" t="s">
        <v>198</v>
      </c>
      <c r="C24" s="23">
        <v>4</v>
      </c>
      <c r="D24" s="24">
        <f t="shared" si="0"/>
        <v>3.1007751937984496E-3</v>
      </c>
    </row>
    <row r="25" spans="1:4" x14ac:dyDescent="0.25">
      <c r="B25" s="22" t="s">
        <v>199</v>
      </c>
      <c r="C25" s="23">
        <v>3</v>
      </c>
      <c r="D25" s="24">
        <f t="shared" si="0"/>
        <v>2.3255813953488372E-3</v>
      </c>
    </row>
    <row r="26" spans="1:4" x14ac:dyDescent="0.25">
      <c r="B26" s="22" t="s">
        <v>200</v>
      </c>
      <c r="C26" s="23">
        <v>3</v>
      </c>
      <c r="D26" s="24">
        <f t="shared" si="0"/>
        <v>2.3255813953488372E-3</v>
      </c>
    </row>
    <row r="27" spans="1:4" x14ac:dyDescent="0.25">
      <c r="B27" s="22" t="s">
        <v>201</v>
      </c>
      <c r="C27" s="23">
        <v>2</v>
      </c>
      <c r="D27" s="24">
        <f t="shared" si="0"/>
        <v>1.5503875968992248E-3</v>
      </c>
    </row>
    <row r="28" spans="1:4" x14ac:dyDescent="0.25">
      <c r="B28" s="22" t="s">
        <v>202</v>
      </c>
      <c r="C28" s="23">
        <v>1</v>
      </c>
      <c r="D28" s="24">
        <f t="shared" si="0"/>
        <v>7.7519379844961239E-4</v>
      </c>
    </row>
    <row r="29" spans="1:4" x14ac:dyDescent="0.25">
      <c r="B29" s="22" t="s">
        <v>203</v>
      </c>
      <c r="C29" s="23">
        <v>1</v>
      </c>
      <c r="D29" s="24">
        <f t="shared" si="0"/>
        <v>7.7519379844961239E-4</v>
      </c>
    </row>
    <row r="30" spans="1:4" x14ac:dyDescent="0.25">
      <c r="B30" s="26" t="s">
        <v>63</v>
      </c>
      <c r="C30" s="27">
        <v>1290</v>
      </c>
      <c r="D30" s="28">
        <f t="shared" si="0"/>
        <v>1</v>
      </c>
    </row>
    <row r="32" spans="1:4" x14ac:dyDescent="0.25">
      <c r="A32" s="33" t="s">
        <v>204</v>
      </c>
    </row>
    <row r="33" spans="1:1" x14ac:dyDescent="0.25">
      <c r="A33" s="33" t="s">
        <v>65</v>
      </c>
    </row>
    <row r="34" spans="1:1" x14ac:dyDescent="0.25">
      <c r="A34" s="33" t="s">
        <v>66</v>
      </c>
    </row>
    <row r="35" spans="1:1" x14ac:dyDescent="0.25">
      <c r="A35" s="33" t="s">
        <v>67</v>
      </c>
    </row>
    <row r="36" spans="1:1" x14ac:dyDescent="0.25">
      <c r="A36" s="33" t="s">
        <v>68</v>
      </c>
    </row>
    <row r="37" spans="1:1" x14ac:dyDescent="0.25">
      <c r="A37" s="33"/>
    </row>
    <row r="38" spans="1:1" x14ac:dyDescent="0.25">
      <c r="A38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Campeche_EdoUsa</vt:lpstr>
      <vt:lpstr>Campeche_Cons_2018</vt:lpstr>
      <vt:lpstr>CampecheXCons2018</vt:lpstr>
      <vt:lpstr>Campeche_EdoMun</vt:lpstr>
      <vt:lpstr>Campeche_USAMuni2018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Campeche_Gen_Edad</vt:lpstr>
      <vt:lpstr>Campeche_ocup_gral</vt:lpstr>
      <vt:lpstr>Campeche_EducCons!Área_de_impresión</vt:lpstr>
      <vt:lpstr>Campeche_MUNICIPIO!Área_de_impresión</vt:lpstr>
      <vt:lpstr>Campeche_NivelE_Cons!Área_de_impresión</vt:lpstr>
      <vt:lpstr>Campeche_USAMuni2018!Área_de_impresión</vt:lpstr>
      <vt:lpstr>Campeche_Cons_2018!Títulos_a_imprimir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Campeche_USAMuni2018!Títulos_a_imprimir</vt:lpstr>
      <vt:lpstr>CampecheXCons2018!Títulos_a_imprimir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2019-12-19T18:01:28Z</dcterms:modified>
</cp:coreProperties>
</file>