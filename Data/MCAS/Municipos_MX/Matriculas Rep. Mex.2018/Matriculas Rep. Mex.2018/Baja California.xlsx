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Baja California_EdoUsa" sheetId="3" r:id="rId2"/>
    <sheet name="Baja California_Cons_2018" sheetId="9" r:id="rId3"/>
    <sheet name="Baja CaliforniaXCons2018" sheetId="11" r:id="rId4"/>
    <sheet name="Baja California_EdoMun" sheetId="12" r:id="rId5"/>
    <sheet name="Baja California_USAMuni2018" sheetId="2" r:id="rId6"/>
    <sheet name="Baja California_MUNICIPIO" sheetId="14" r:id="rId7"/>
    <sheet name="Baja California_educ_gral" sheetId="4" r:id="rId8"/>
    <sheet name="Baja California_NivelE_Cons" sheetId="6" r:id="rId9"/>
    <sheet name="Baja California_EducCons" sheetId="5" r:id="rId10"/>
    <sheet name="Baja California_GenGral" sheetId="8" r:id="rId11"/>
    <sheet name="Baja California_GENERO" sheetId="10" r:id="rId12"/>
    <sheet name="Baja California_Gen_Edad" sheetId="7" r:id="rId13"/>
    <sheet name="Baja California_ocup_gral" sheetId="13" r:id="rId14"/>
  </sheets>
  <definedNames>
    <definedName name="_xlnm._FilterDatabase" localSheetId="2" hidden="1">'Baja California_Cons_2018'!$B$11:$D$12</definedName>
    <definedName name="_xlnm._FilterDatabase" localSheetId="4" hidden="1">'Baja California_EdoMun'!$B$11:$D$12</definedName>
    <definedName name="_xlnm._FilterDatabase" localSheetId="1" hidden="1">'Baja California_EdoUsa'!$B$11:$D$61</definedName>
    <definedName name="_xlnm._FilterDatabase" localSheetId="7" hidden="1">'Baja California_educ_gral'!$B$11:$D$12</definedName>
    <definedName name="_xlnm._FilterDatabase" localSheetId="9" hidden="1">'Baja California_EducCons'!$B$9:$E$9</definedName>
    <definedName name="_xlnm._FilterDatabase" localSheetId="10" hidden="1">'Baja California_GenGral'!$B$11:$D$12</definedName>
    <definedName name="_xlnm._FilterDatabase" localSheetId="6" hidden="1">'Baja California_MUNICIPIO'!$B$9:$E$13</definedName>
    <definedName name="_xlnm._FilterDatabase" localSheetId="8" hidden="1">'Baja California_NivelE_Cons'!$B$9:$E$9</definedName>
    <definedName name="_xlnm._FilterDatabase" localSheetId="13" hidden="1">'Baja California_ocup_gral'!$B$11:$D$12</definedName>
    <definedName name="_xlnm._FilterDatabase" localSheetId="5" hidden="1">'Baja California_USAMuni2018'!$B$9:$E$11</definedName>
    <definedName name="_xlnm._FilterDatabase" localSheetId="3" hidden="1">'Baja CaliforniaXCons2018'!$B$11:$D$12</definedName>
    <definedName name="_xlnm.Print_Area" localSheetId="9">'Baja California_EducCons'!$A$1:$E$679</definedName>
    <definedName name="_xlnm.Print_Area" localSheetId="6">'Baja California_MUNICIPIO'!$A$1:$E$246</definedName>
    <definedName name="_xlnm.Print_Area" localSheetId="8">'Baja California_NivelE_Cons'!$A$1:$E$459</definedName>
    <definedName name="_xlnm.Print_Area" localSheetId="5">'Baja California_USAMuni2018'!$A$1:$E$219</definedName>
    <definedName name="_xlnm.Print_Titles" localSheetId="2">'Baja California_Cons_2018'!$1:$11</definedName>
    <definedName name="_xlnm.Print_Titles" localSheetId="4">'Baja California_EdoMun'!$1:$11</definedName>
    <definedName name="_xlnm.Print_Titles" localSheetId="1">'Baja California_EdoUsa'!$1:$11</definedName>
    <definedName name="_xlnm.Print_Titles" localSheetId="7">'Baja California_educ_gral'!$1:$11</definedName>
    <definedName name="_xlnm.Print_Titles" localSheetId="9">'Baja California_EducCons'!$1:$9</definedName>
    <definedName name="_xlnm.Print_Titles" localSheetId="12">'Baja California_Gen_Edad'!$1:$11</definedName>
    <definedName name="_xlnm.Print_Titles" localSheetId="11">'Baja California_GENERO'!$1:$11</definedName>
    <definedName name="_xlnm.Print_Titles" localSheetId="10">'Baja California_GenGral'!$1:$11</definedName>
    <definedName name="_xlnm.Print_Titles" localSheetId="6">'Baja California_MUNICIPIO'!$1:$9</definedName>
    <definedName name="_xlnm.Print_Titles" localSheetId="8">'Baja California_NivelE_Cons'!$1:$9</definedName>
    <definedName name="_xlnm.Print_Titles" localSheetId="13">'Baja California_ocup_gral'!$1:$11</definedName>
    <definedName name="_xlnm.Print_Titles" localSheetId="5">'Baja California_USAMuni2018'!$1:$9</definedName>
    <definedName name="_xlnm.Print_Titles" localSheetId="3">'Baja CaliforniaXCons2018'!$1:$11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3" i="13" l="1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C22" i="11"/>
  <c r="D21" i="11" s="1"/>
  <c r="D18" i="11"/>
  <c r="D14" i="11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5" i="11" l="1"/>
  <c r="D19" i="11"/>
  <c r="D22" i="11"/>
  <c r="D12" i="11"/>
  <c r="D16" i="11"/>
  <c r="D20" i="11"/>
  <c r="D13" i="11"/>
  <c r="D17" i="11"/>
</calcChain>
</file>

<file path=xl/sharedStrings.xml><?xml version="1.0" encoding="utf-8"?>
<sst xmlns="http://schemas.openxmlformats.org/spreadsheetml/2006/main" count="2234" uniqueCount="219">
  <si>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</si>
  <si>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</si>
  <si>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</si>
  <si>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</si>
  <si>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</si>
  <si>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</si>
  <si>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</si>
  <si>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</si>
  <si>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</si>
  <si>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</si>
  <si>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</si>
  <si>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</si>
  <si>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</si>
  <si>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</si>
  <si>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</si>
  <si>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</si>
  <si>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</si>
  <si>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Baja California en el 2018.</t>
  </si>
  <si>
    <t>Estado</t>
  </si>
  <si>
    <t>Municipio de Origen</t>
  </si>
  <si>
    <t>Número de Matrículas</t>
  </si>
  <si>
    <t>Porcentaje de Matrículas</t>
  </si>
  <si>
    <t>Alabama</t>
  </si>
  <si>
    <t>Ensenada</t>
  </si>
  <si>
    <t>Mexicali</t>
  </si>
  <si>
    <t>Tijuana</t>
  </si>
  <si>
    <t>Total</t>
  </si>
  <si>
    <t>Alaska</t>
  </si>
  <si>
    <t>Arizona</t>
  </si>
  <si>
    <t>Tecate</t>
  </si>
  <si>
    <t>Arkansas</t>
  </si>
  <si>
    <t>California</t>
  </si>
  <si>
    <t>Playas de Rosarito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</si>
  <si>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</si>
  <si>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</si>
  <si>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</si>
  <si>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</si>
  <si>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</si>
  <si>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</si>
  <si>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</si>
  <si>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</si>
  <si>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</si>
  <si>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</si>
  <si>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</si>
  <si>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</si>
  <si>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</si>
  <si>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</si>
  <si>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</si>
  <si>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</si>
  <si>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</si>
  <si>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</si>
  <si>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</si>
  <si>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</si>
  <si>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</si>
  <si>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</si>
  <si>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</si>
  <si>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</si>
  <si>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</si>
  <si>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</si>
  <si>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</si>
  <si>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</si>
  <si>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</si>
  <si>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</si>
  <si>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</si>
  <si>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</si>
  <si>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</si>
  <si>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</si>
  <si>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</si>
  <si>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</si>
  <si>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</si>
  <si>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</si>
  <si>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</si>
  <si>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</si>
  <si>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</si>
  <si>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</si>
  <si>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</si>
  <si>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</si>
  <si>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</si>
  <si>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</si>
  <si>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</si>
  <si>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</si>
  <si>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Aguascalientes</t>
  </si>
  <si>
    <t>MATRÍCULAS CONSULARES DE ALTA SEGURIDAD EXPEDIDAS A ORIGINARIOS DE BAJA CALIFORNIA POR ESTADO DE LA UNIÓN AMERICANA. DURANTE EL 2018</t>
  </si>
  <si>
    <t xml:space="preserve">Estado </t>
  </si>
  <si>
    <t>New Hampshire</t>
  </si>
  <si>
    <t>Rhode Island</t>
  </si>
  <si>
    <t>Vermont</t>
  </si>
  <si>
    <t>MATRÍCULAS CONSULARES EXPEDIDAS EN EE.UU. A ORIGINARIOS DE BAJA CALIFORNIA POR NIVEL DE EDUCACIÓN, 2016.</t>
  </si>
  <si>
    <t>Nivel de Estudios</t>
  </si>
  <si>
    <t>Número de matrículas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</si>
  <si>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</si>
  <si>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</si>
  <si>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</si>
  <si>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</si>
  <si>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</si>
  <si>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</si>
  <si>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</si>
  <si>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</si>
  <si>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</si>
  <si>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</si>
  <si>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</si>
  <si>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</si>
  <si>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</si>
  <si>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</si>
  <si>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</si>
  <si>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</si>
  <si>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</si>
  <si>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</si>
  <si>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</si>
  <si>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</si>
  <si>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</si>
  <si>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</si>
  <si>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</si>
  <si>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</si>
  <si>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Tamaño de la muestra: 814,748</t>
  </si>
  <si>
    <t>Consulado</t>
  </si>
  <si>
    <t>Albuquerque</t>
  </si>
  <si>
    <t>Atlanta</t>
  </si>
  <si>
    <t>Menores de edad</t>
  </si>
  <si>
    <t>Austin</t>
  </si>
  <si>
    <t>Boise</t>
  </si>
  <si>
    <t>Boston</t>
  </si>
  <si>
    <t>Brownsville</t>
  </si>
  <si>
    <t>Calexico</t>
  </si>
  <si>
    <t>Chicago</t>
  </si>
  <si>
    <t>Dallas</t>
  </si>
  <si>
    <t>Denver</t>
  </si>
  <si>
    <t>Detroit</t>
  </si>
  <si>
    <t>Douglas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</si>
  <si>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</si>
  <si>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</si>
  <si>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</si>
  <si>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</si>
  <si>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</si>
  <si>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</si>
  <si>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</si>
  <si>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</si>
  <si>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</si>
  <si>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</si>
  <si>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 Allen</t>
  </si>
  <si>
    <t>Miami</t>
  </si>
  <si>
    <t>Milwaukee</t>
  </si>
  <si>
    <t>Nogales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</si>
  <si>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</si>
  <si>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</si>
  <si>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</si>
  <si>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</si>
  <si>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</si>
  <si>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</si>
  <si>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</si>
  <si>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</si>
  <si>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</si>
  <si>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</si>
  <si>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</si>
  <si>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</si>
  <si>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</si>
  <si>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</si>
  <si>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</si>
  <si>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</si>
  <si>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</si>
  <si>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</si>
  <si>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</si>
  <si>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</si>
  <si>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Yuma</t>
  </si>
  <si>
    <t>Nivel</t>
  </si>
  <si>
    <t>MATRÍCULAS CONSULARES EXPEDIDAS A ORIGINARIOS DE BAJA CALIFORNIA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</si>
  <si>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</si>
  <si>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</si>
  <si>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</si>
  <si>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</si>
  <si>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</si>
  <si>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</si>
  <si>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</si>
  <si>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</si>
  <si>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</si>
  <si>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</si>
  <si>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</si>
  <si>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</si>
  <si>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</si>
  <si>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Mujer</t>
  </si>
  <si>
    <t>MATRÍCULAS CONSULARES EXPEDIDAS A ORIGINARIOS DE BAJA CALIFORNIA POR GÉNERO EN EE.UU DURANTE EL 2016.</t>
  </si>
  <si>
    <t>HOMBRE</t>
  </si>
  <si>
    <t>MUJER</t>
  </si>
  <si>
    <t>TOTAL</t>
  </si>
  <si>
    <t>MATRÍCULAS CONSULARES DE ALTA SEGURIDAD EXPEDIDAS DURANTE EL 2018 A ORIGINARIOS DE BAJA CALIFORNIA EN LOS CONSULADOS DE MÉXICO EN EE.UU.</t>
  </si>
  <si>
    <t>Los Ángeles</t>
  </si>
  <si>
    <t>Caléxico</t>
  </si>
  <si>
    <t>San José</t>
  </si>
  <si>
    <t>Indianápolis</t>
  </si>
  <si>
    <t>Mcallen</t>
  </si>
  <si>
    <t>Del Río</t>
  </si>
  <si>
    <t>Eagle Pass</t>
  </si>
  <si>
    <t>MATRÍCULAS CONSULARES EXPEDIDAS A ORIGINARIOS DE BAJA CALIFORNIA POR GÉNERO Y CONSULADO DE MÉXICO 2018.</t>
  </si>
  <si>
    <t>MATRÍCULAS CONSULARES DE ALTA SEGURIDAD EXPEDIDAS POR MUNICIPIO A ORIGINARIOS DEL ESTADO DE BAJA CALIFORNIA EN LOS CONSULADOS DE MÉXICO EN EE.UU. 2018</t>
  </si>
  <si>
    <t>Municipio de origen</t>
  </si>
  <si>
    <t>MATRÍCULAS CONSULARES EXPEDIDAS EN EE.UU. A ORIGINARIOS DE BAJA CALIFORNIA POR PERFIL OCUPACIONAL, 2018.</t>
  </si>
  <si>
    <t>Ocupación</t>
  </si>
  <si>
    <t>Empleado(a)</t>
  </si>
  <si>
    <t>Hogar</t>
  </si>
  <si>
    <t>Estudiante</t>
  </si>
  <si>
    <t>Otro</t>
  </si>
  <si>
    <t>Campesino(a)</t>
  </si>
  <si>
    <t>Obrero(a)</t>
  </si>
  <si>
    <t>Cocinero(a)</t>
  </si>
  <si>
    <t>Profesionista</t>
  </si>
  <si>
    <t>Jubilado(a)</t>
  </si>
  <si>
    <t>Comerciante</t>
  </si>
  <si>
    <t>Jardinero(a)</t>
  </si>
  <si>
    <t>Chofer</t>
  </si>
  <si>
    <t>Albañil</t>
  </si>
  <si>
    <t>Pintor(a)</t>
  </si>
  <si>
    <t>Mesero(a)</t>
  </si>
  <si>
    <t>Cajero(a)</t>
  </si>
  <si>
    <t>Operario(a)</t>
  </si>
  <si>
    <t>Carnicero</t>
  </si>
  <si>
    <t>Panadero(a)</t>
  </si>
  <si>
    <t>Ministro(a)</t>
  </si>
  <si>
    <t>Planchador(a)</t>
  </si>
  <si>
    <t>Tamaño de la muestra: 826,856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</si>
</sst>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#"/>
    <numFmt numFmtId="165" formatCode="#.0%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11"/>
      <color theme="1"/>
      <name val="Soberana Sans"/>
      <family val="3"/>
    </font>
    <font>
      <b/>
      <sz val="9"/>
      <color indexed="9"/>
      <name val="Montserrat"/>
    </font>
    <font>
      <b/>
      <sz val="9"/>
      <color theme="0"/>
      <name val="Montserrat"/>
    </font>
    <font>
      <sz val="11"/>
      <name val="Calibri"/>
      <family val="2"/>
      <scheme val="minor"/>
    </font>
    <font>
      <sz val="9"/>
      <name val="Montserrat"/>
    </font>
    <font>
      <sz val="7"/>
      <color indexed="8"/>
      <name val="Montserrat"/>
    </font>
    <font>
      <sz val="11"/>
      <name val="Soberana Sans"/>
      <family val="3"/>
    </font>
    <font>
      <sz val="10"/>
      <color theme="1"/>
      <name val="Montserrat"/>
    </font>
    <font>
      <sz val="11"/>
      <color theme="1"/>
      <name val="Arial Narrow"/>
      <family val="2"/>
    </font>
    <font>
      <sz val="9"/>
      <color theme="1"/>
      <name val="Montserrat"/>
    </font>
    <font>
      <sz val="9"/>
      <color rgb="FF000000"/>
      <name val="Montserrat"/>
    </font>
    <font>
      <sz val="8"/>
      <color theme="1"/>
      <name val="Calibri"/>
      <family val="2"/>
      <scheme val="minor"/>
    </font>
    <font>
      <sz val="10"/>
      <name val="Montserrat"/>
    </font>
    <font>
      <sz val="10.5"/>
      <color theme="1"/>
      <name val="Montserrat"/>
    </font>
    <font>
      <sz val="8"/>
      <color indexed="8"/>
      <name val="Soberana Sans"/>
      <family val="3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 applyBorder="1"/>
    <xf numFmtId="0" fontId="8" fillId="3" borderId="0" xfId="0" applyFont="1" applyFill="1" applyBorder="1" applyAlignment="1">
      <alignment vertical="center"/>
    </xf>
    <xf numFmtId="0" fontId="8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8" fillId="3" borderId="0" xfId="0" applyFont="1" applyFill="1" applyAlignment="1">
      <alignment vertical="center"/>
    </xf>
    <xf numFmtId="0" fontId="8" fillId="3" borderId="0" xfId="0" applyFont="1" applyFill="1"/>
    <xf numFmtId="0" fontId="9" fillId="3" borderId="0" xfId="0" applyFont="1" applyFill="1" applyAlignment="1"/>
    <xf numFmtId="0" fontId="7" fillId="0" borderId="0" xfId="0" applyFont="1"/>
    <xf numFmtId="0" fontId="11" fillId="2" borderId="9" xfId="3" applyFont="1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1" fontId="11" fillId="2" borderId="9" xfId="3" applyNumberFormat="1" applyFont="1" applyFill="1" applyBorder="1" applyAlignment="1">
      <alignment horizontal="center" vertical="center" wrapText="1"/>
    </xf>
    <xf numFmtId="0" fontId="13" fillId="3" borderId="0" xfId="0" applyFont="1" applyFill="1"/>
    <xf numFmtId="49" fontId="14" fillId="3" borderId="10" xfId="1" applyNumberFormat="1" applyFont="1" applyFill="1" applyBorder="1" applyAlignment="1">
      <alignment vertical="top" wrapText="1"/>
    </xf>
    <xf numFmtId="164" fontId="14" fillId="3" borderId="10" xfId="1" applyNumberFormat="1" applyFont="1" applyFill="1" applyBorder="1" applyAlignment="1">
      <alignment horizontal="right" vertical="top" wrapText="1"/>
    </xf>
    <xf numFmtId="165" fontId="14" fillId="3" borderId="10" xfId="1" applyNumberFormat="1" applyFont="1" applyFill="1" applyBorder="1" applyAlignment="1">
      <alignment horizontal="right" vertical="top" wrapText="1"/>
    </xf>
    <xf numFmtId="49" fontId="12" fillId="4" borderId="10" xfId="1" applyNumberFormat="1" applyFont="1" applyFill="1" applyBorder="1" applyAlignment="1">
      <alignment vertical="top" wrapText="1"/>
    </xf>
    <xf numFmtId="164" fontId="12" fillId="4" borderId="10" xfId="1" applyNumberFormat="1" applyFont="1" applyFill="1" applyBorder="1" applyAlignment="1">
      <alignment horizontal="right" vertical="top" wrapText="1"/>
    </xf>
    <xf numFmtId="165" fontId="12" fillId="4" borderId="10" xfId="1" applyNumberFormat="1" applyFont="1" applyFill="1" applyBorder="1" applyAlignment="1">
      <alignment horizontal="right" vertical="top" wrapText="1"/>
    </xf>
    <xf numFmtId="3" fontId="12" fillId="5" borderId="10" xfId="0" applyNumberFormat="1" applyFont="1" applyFill="1" applyBorder="1" applyAlignment="1">
      <alignment horizontal="right" wrapText="1"/>
    </xf>
    <xf numFmtId="165" fontId="12" fillId="5" borderId="10" xfId="0" applyNumberFormat="1" applyFont="1" applyFill="1" applyBorder="1" applyAlignment="1">
      <alignment horizontal="right" wrapText="1"/>
    </xf>
    <xf numFmtId="0" fontId="15" fillId="3" borderId="0" xfId="0" applyFont="1" applyFill="1"/>
    <xf numFmtId="0" fontId="16" fillId="3" borderId="0" xfId="0" applyFont="1" applyFill="1"/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vertical="top"/>
    </xf>
    <xf numFmtId="1" fontId="7" fillId="0" borderId="0" xfId="0" applyNumberFormat="1" applyFont="1"/>
    <xf numFmtId="3" fontId="7" fillId="0" borderId="0" xfId="0" applyNumberFormat="1" applyFont="1"/>
    <xf numFmtId="0" fontId="18" fillId="0" borderId="0" xfId="0" applyFont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1" fontId="12" fillId="2" borderId="9" xfId="0" applyNumberFormat="1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9" fillId="3" borderId="10" xfId="0" applyNumberFormat="1" applyFont="1" applyFill="1" applyBorder="1" applyAlignment="1">
      <alignment vertical="center" wrapText="1"/>
    </xf>
    <xf numFmtId="3" fontId="20" fillId="3" borderId="10" xfId="0" applyNumberFormat="1" applyFont="1" applyFill="1" applyBorder="1" applyAlignment="1">
      <alignment horizontal="right" vertical="center" wrapText="1"/>
    </xf>
    <xf numFmtId="165" fontId="20" fillId="3" borderId="10" xfId="0" applyNumberFormat="1" applyFont="1" applyFill="1" applyBorder="1" applyAlignment="1">
      <alignment horizontal="right" vertical="center" wrapText="1"/>
    </xf>
    <xf numFmtId="0" fontId="10" fillId="3" borderId="0" xfId="0" applyFont="1" applyFill="1"/>
    <xf numFmtId="49" fontId="12" fillId="6" borderId="10" xfId="0" applyNumberFormat="1" applyFont="1" applyFill="1" applyBorder="1" applyAlignment="1">
      <alignment vertical="center" wrapText="1"/>
    </xf>
    <xf numFmtId="3" fontId="12" fillId="6" borderId="10" xfId="0" applyNumberFormat="1" applyFont="1" applyFill="1" applyBorder="1" applyAlignment="1">
      <alignment horizontal="right" vertical="center" wrapText="1"/>
    </xf>
    <xf numFmtId="165" fontId="12" fillId="6" borderId="10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21" fillId="3" borderId="0" xfId="0" applyFont="1" applyFill="1"/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1" fillId="2" borderId="10" xfId="3" applyFont="1" applyFill="1" applyBorder="1" applyAlignment="1">
      <alignment horizontal="center" vertical="center" wrapText="1"/>
    </xf>
    <xf numFmtId="49" fontId="19" fillId="3" borderId="10" xfId="0" applyNumberFormat="1" applyFont="1" applyFill="1" applyBorder="1" applyAlignment="1">
      <alignment horizontal="left" vertical="center" wrapText="1"/>
    </xf>
    <xf numFmtId="165" fontId="20" fillId="7" borderId="10" xfId="0" applyNumberFormat="1" applyFont="1" applyFill="1" applyBorder="1" applyAlignment="1">
      <alignment horizontal="right" vertical="center" wrapText="1"/>
    </xf>
    <xf numFmtId="165" fontId="20" fillId="8" borderId="10" xfId="0" applyNumberFormat="1" applyFont="1" applyFill="1" applyBorder="1" applyAlignment="1">
      <alignment horizontal="right" vertical="center" wrapText="1"/>
    </xf>
    <xf numFmtId="49" fontId="12" fillId="5" borderId="10" xfId="0" applyNumberFormat="1" applyFont="1" applyFill="1" applyBorder="1" applyAlignment="1">
      <alignment vertical="center" wrapText="1"/>
    </xf>
    <xf numFmtId="3" fontId="12" fillId="5" borderId="10" xfId="0" applyNumberFormat="1" applyFont="1" applyFill="1" applyBorder="1" applyAlignment="1">
      <alignment horizontal="right" vertical="center" wrapText="1"/>
    </xf>
    <xf numFmtId="165" fontId="12" fillId="5" borderId="10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10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49" fontId="12" fillId="9" borderId="14" xfId="0" applyNumberFormat="1" applyFont="1" applyFill="1" applyBorder="1" applyAlignment="1">
      <alignment vertical="center" wrapText="1"/>
    </xf>
    <xf numFmtId="3" fontId="12" fillId="9" borderId="10" xfId="0" applyNumberFormat="1" applyFont="1" applyFill="1" applyBorder="1" applyAlignment="1">
      <alignment horizontal="right" vertical="center" wrapText="1"/>
    </xf>
    <xf numFmtId="165" fontId="12" fillId="9" borderId="10" xfId="0" applyNumberFormat="1" applyFont="1" applyFill="1" applyBorder="1" applyAlignment="1">
      <alignment horizontal="right" vertic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0" borderId="1" xfId="2" applyFont="1" applyBorder="1" applyAlignment="1">
      <alignment horizontal="left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17" fillId="0" borderId="0" xfId="0" applyFont="1" applyBorder="1" applyAlignment="1">
      <alignment horizontal="center" vertical="center" wrapText="1"/>
    </xf>
    <xf numFmtId="49" fontId="14" fillId="3" borderId="9" xfId="1" applyNumberFormat="1" applyFont="1" applyFill="1" applyBorder="1" applyAlignment="1">
      <alignment horizontal="center" vertical="center" wrapText="1"/>
    </xf>
    <xf numFmtId="49" fontId="14" fillId="3" borderId="12" xfId="1" applyNumberFormat="1" applyFont="1" applyFill="1" applyBorder="1" applyAlignment="1">
      <alignment horizontal="center" vertical="center" wrapText="1"/>
    </xf>
    <xf numFmtId="49" fontId="12" fillId="5" borderId="13" xfId="0" applyNumberFormat="1" applyFont="1" applyFill="1" applyBorder="1" applyAlignment="1">
      <alignment horizontal="center" vertical="center" wrapText="1"/>
    </xf>
    <xf numFmtId="49" fontId="12" fillId="5" borderId="14" xfId="0" applyNumberFormat="1" applyFont="1" applyFill="1" applyBorder="1" applyAlignment="1">
      <alignment horizontal="center" vertical="center" wrapText="1"/>
    </xf>
    <xf numFmtId="49" fontId="14" fillId="3" borderId="11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9" fillId="3" borderId="9" xfId="0" applyNumberFormat="1" applyFont="1" applyFill="1" applyBorder="1" applyAlignment="1">
      <alignment horizontal="center" vertical="center" wrapText="1"/>
    </xf>
    <xf numFmtId="49" fontId="19" fillId="3" borderId="11" xfId="0" applyNumberFormat="1" applyFont="1" applyFill="1" applyBorder="1" applyAlignment="1">
      <alignment horizontal="center" vertical="center" wrapText="1"/>
    </xf>
    <xf numFmtId="49" fontId="19" fillId="3" borderId="12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19050</xdr:colOff>
      <xdr:row>3</xdr:row>
      <xdr:rowOff>28575</xdr:rowOff>
    </xdr:from>
    <xdr:to>
      <xdr:col>7</xdr:col>
      <xdr:colOff>19050</xdr:colOff>
      <xdr:row>4</xdr:row>
      <xdr:rowOff>66675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48300" y="6000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114300</xdr:rowOff>
    </xdr:from>
    <xdr:to>
      <xdr:col>7</xdr:col>
      <xdr:colOff>85725</xdr:colOff>
      <xdr:row>3</xdr:row>
      <xdr:rowOff>342900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4953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3</xdr:row>
      <xdr:rowOff>0</xdr:rowOff>
    </xdr:from>
    <xdr:to>
      <xdr:col>7</xdr:col>
      <xdr:colOff>57150</xdr:colOff>
      <xdr:row>4</xdr:row>
      <xdr:rowOff>38100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5715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152400</xdr:colOff>
      <xdr:row>2</xdr:row>
      <xdr:rowOff>171450</xdr:rowOff>
    </xdr:from>
    <xdr:to>
      <xdr:col>7</xdr:col>
      <xdr:colOff>152400</xdr:colOff>
      <xdr:row>4</xdr:row>
      <xdr:rowOff>19050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81650" y="5524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203637</xdr:colOff>
      <xdr:row>2</xdr:row>
      <xdr:rowOff>131380</xdr:rowOff>
    </xdr:from>
    <xdr:to>
      <xdr:col>5</xdr:col>
      <xdr:colOff>965637</xdr:colOff>
      <xdr:row>3</xdr:row>
      <xdr:rowOff>359980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64620" y="472966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157656</xdr:colOff>
      <xdr:row>2</xdr:row>
      <xdr:rowOff>105104</xdr:rowOff>
    </xdr:from>
    <xdr:to>
      <xdr:col>5</xdr:col>
      <xdr:colOff>919656</xdr:colOff>
      <xdr:row>3</xdr:row>
      <xdr:rowOff>333704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18639" y="44669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3</xdr:row>
      <xdr:rowOff>0</xdr:rowOff>
    </xdr:from>
    <xdr:to>
      <xdr:col>7</xdr:col>
      <xdr:colOff>76200</xdr:colOff>
      <xdr:row>4</xdr:row>
      <xdr:rowOff>38100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715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137948</xdr:colOff>
      <xdr:row>2</xdr:row>
      <xdr:rowOff>111673</xdr:rowOff>
    </xdr:from>
    <xdr:to>
      <xdr:col>5</xdr:col>
      <xdr:colOff>899948</xdr:colOff>
      <xdr:row>3</xdr:row>
      <xdr:rowOff>340273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98931" y="453259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1131794</xdr:colOff>
      <xdr:row>2</xdr:row>
      <xdr:rowOff>168089</xdr:rowOff>
    </xdr:from>
    <xdr:to>
      <xdr:col>4</xdr:col>
      <xdr:colOff>1893794</xdr:colOff>
      <xdr:row>4</xdr:row>
      <xdr:rowOff>15689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71029" y="515471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104775</xdr:colOff>
      <xdr:row>2</xdr:row>
      <xdr:rowOff>133350</xdr:rowOff>
    </xdr:from>
    <xdr:to>
      <xdr:col>7</xdr:col>
      <xdr:colOff>104775</xdr:colOff>
      <xdr:row>3</xdr:row>
      <xdr:rowOff>361950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34025" y="5143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180975</xdr:colOff>
      <xdr:row>2</xdr:row>
      <xdr:rowOff>180975</xdr:rowOff>
    </xdr:from>
    <xdr:to>
      <xdr:col>6</xdr:col>
      <xdr:colOff>561975</xdr:colOff>
      <xdr:row>4</xdr:row>
      <xdr:rowOff>28575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91150" y="5143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209550</xdr:colOff>
      <xdr:row>3</xdr:row>
      <xdr:rowOff>0</xdr:rowOff>
    </xdr:from>
    <xdr:to>
      <xdr:col>7</xdr:col>
      <xdr:colOff>590550</xdr:colOff>
      <xdr:row>4</xdr:row>
      <xdr:rowOff>38100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91275" y="5238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180975</xdr:rowOff>
    </xdr:from>
    <xdr:to>
      <xdr:col>7</xdr:col>
      <xdr:colOff>85725</xdr:colOff>
      <xdr:row>4</xdr:row>
      <xdr:rowOff>28575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619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8" t="s">
        <v>17</v>
      </c>
      <c r="B1" s="79"/>
      <c r="C1" s="79"/>
      <c r="D1" s="80"/>
    </row>
    <row r="2" spans="1:4" x14ac:dyDescent="0.35">
      <c r="A2" s="2"/>
      <c r="B2" s="3"/>
      <c r="C2" s="3"/>
      <c r="D2" s="4"/>
    </row>
    <row r="3" spans="1:4" x14ac:dyDescent="0.35">
      <c r="A3" s="81" t="s">
        <v>16</v>
      </c>
      <c r="B3" s="82"/>
      <c r="C3" s="82"/>
      <c r="D3" s="83"/>
    </row>
    <row r="4" spans="1:4" x14ac:dyDescent="0.35">
      <c r="A4" s="81"/>
      <c r="B4" s="82"/>
      <c r="C4" s="82"/>
      <c r="D4" s="83"/>
    </row>
    <row r="5" spans="1:4" x14ac:dyDescent="0.35">
      <c r="A5" s="14"/>
      <c r="B5" s="15"/>
      <c r="C5" s="15"/>
      <c r="D5" s="16"/>
    </row>
    <row r="6" spans="1:4" x14ac:dyDescent="0.35">
      <c r="A6" s="84" t="s">
        <v>0</v>
      </c>
      <c r="B6" s="85"/>
      <c r="C6" s="85"/>
      <c r="D6" s="86"/>
    </row>
    <row r="7" spans="1:4" x14ac:dyDescent="0.35">
      <c r="A7" s="5"/>
      <c r="B7" s="6"/>
      <c r="C7" s="6"/>
      <c r="D7" s="7"/>
    </row>
    <row r="8" spans="1:4" x14ac:dyDescent="0.35">
      <c r="A8" s="84" t="s">
        <v>1</v>
      </c>
      <c r="B8" s="85"/>
      <c r="C8" s="85"/>
      <c r="D8" s="86"/>
    </row>
    <row r="9" spans="1:4" x14ac:dyDescent="0.35">
      <c r="A9" s="8"/>
      <c r="B9" s="85" t="s">
        <v>10</v>
      </c>
      <c r="C9" s="85"/>
      <c r="D9" s="86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85" t="s">
        <v>2</v>
      </c>
      <c r="C12" s="85"/>
      <c r="D12" s="86"/>
    </row>
    <row r="13" spans="1:4" x14ac:dyDescent="0.35">
      <c r="A13" s="8"/>
      <c r="B13" s="85" t="s">
        <v>3</v>
      </c>
      <c r="C13" s="85"/>
      <c r="D13" s="86"/>
    </row>
    <row r="14" spans="1:4" x14ac:dyDescent="0.35">
      <c r="A14" s="8"/>
      <c r="B14" s="85" t="s">
        <v>4</v>
      </c>
      <c r="C14" s="85"/>
      <c r="D14" s="86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85" t="s">
        <v>11</v>
      </c>
      <c r="C17" s="85"/>
      <c r="D17" s="86"/>
    </row>
    <row r="18" spans="1:4" x14ac:dyDescent="0.35">
      <c r="A18" s="8"/>
      <c r="B18" s="85" t="s">
        <v>12</v>
      </c>
      <c r="C18" s="85"/>
      <c r="D18" s="86"/>
    </row>
    <row r="19" spans="1:4" x14ac:dyDescent="0.35">
      <c r="A19" s="8"/>
      <c r="B19" s="85" t="s">
        <v>13</v>
      </c>
      <c r="C19" s="85"/>
      <c r="D19" s="86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85" t="s">
        <v>14</v>
      </c>
      <c r="C22" s="85"/>
      <c r="D22" s="86"/>
    </row>
    <row r="23" spans="1:4" x14ac:dyDescent="0.35">
      <c r="A23" s="8"/>
      <c r="B23" s="85" t="s">
        <v>15</v>
      </c>
      <c r="C23" s="85"/>
      <c r="D23" s="86"/>
    </row>
    <row r="24" spans="1:4" x14ac:dyDescent="0.35">
      <c r="A24" s="8"/>
      <c r="B24" s="9"/>
      <c r="C24" s="9"/>
      <c r="D24" s="10"/>
    </row>
    <row r="25" spans="1:4" x14ac:dyDescent="0.35">
      <c r="A25" s="84" t="s">
        <v>6</v>
      </c>
      <c r="B25" s="85"/>
      <c r="C25" s="85"/>
      <c r="D25" s="86"/>
    </row>
    <row r="26" spans="1:4" x14ac:dyDescent="0.35">
      <c r="A26" s="8"/>
      <c r="B26" s="9"/>
      <c r="C26" s="9"/>
      <c r="D26" s="10"/>
    </row>
    <row r="27" spans="1:4" x14ac:dyDescent="0.35">
      <c r="A27" s="84" t="s">
        <v>7</v>
      </c>
      <c r="B27" s="85"/>
      <c r="C27" s="85"/>
      <c r="D27" s="86"/>
    </row>
    <row r="28" spans="1:4" ht="18.75" thickBot="1" x14ac:dyDescent="0.4">
      <c r="A28" s="11"/>
      <c r="B28" s="12"/>
      <c r="C28" s="12"/>
      <c r="D28" s="13"/>
    </row>
  </sheetData>
  <mergeCells count="15">
    <mergeCell ref="B19:D19"/>
    <mergeCell ref="B22:D22"/>
    <mergeCell ref="B23:D23"/>
    <mergeCell ref="A25:D25"/>
    <mergeCell ref="A27:D27"/>
    <mergeCell ref="B12:D12"/>
    <mergeCell ref="B13:D13"/>
    <mergeCell ref="B14:D14"/>
    <mergeCell ref="B17:D17"/>
    <mergeCell ref="B18:D18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'Baja California_EdoUsa'!A1" display="1. Por Estados de USA"/>
    <hyperlink ref="A8:D8" location="'Baja California_Cons_2018'!A1" display="2. Por Circunscripción Consular"/>
    <hyperlink ref="B9:D9" location="'Baja CaliforniaXCons2018'!A1" display="2.1 Top ten por circunscripción consular"/>
    <hyperlink ref="B12:D12" location="'Baja California_EdoMun'!A1" display="3.1 Municipio general"/>
    <hyperlink ref="B13:D13" location="'Baja California_USAMuni2018'!A1" display="3.2 Por Estado de USA"/>
    <hyperlink ref="B14:D14" location="'Baja California_MUNICIPIO'!A1" display="3.3 Por Circunscripción Consular"/>
    <hyperlink ref="B17:D17" location="'Baja California_educ_gral'!A1" display="4.1 Educación general"/>
    <hyperlink ref="B18:D18" location="'Baja California_NivelE_Cons'!Títulos_a_imprimir" display="4.2 Por Estado de USA"/>
    <hyperlink ref="B19:D19" location="'Baja California_EducCons'!A1" display="4.3 Por Circunscripción Consular"/>
    <hyperlink ref="B22:D22" location="'Baja California_GenGral'!A1" display="5.1 Género General"/>
    <hyperlink ref="B23:D23" location="'Baja California_GENERO'!A1" display="5.2 Por Circunscripción Consular"/>
    <hyperlink ref="A25:D25" location="'Baja California_Gen_Edad'!A1" display="6. Por estructura de Edad"/>
    <hyperlink ref="A27:D27" location="'Baja California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topLeftCell="A10" zoomScaleNormal="100" zoomScaleSheetLayoutView="115" workbookViewId="0">
      <selection activeCell="H4" sqref="H4"/>
    </sheetView>
  </sheetViews>
  <sheetFormatPr baseColWidth="10" defaultRowHeight="15" x14ac:dyDescent="0.25"/>
  <cols>
    <col min="1" max="1" width="9.28515625" style="49" customWidth="1"/>
    <col min="2" max="2" width="21.7109375" style="49" customWidth="1"/>
    <col min="3" max="3" width="17.7109375" style="57" customWidth="1"/>
    <col min="4" max="4" width="17.7109375" style="49" customWidth="1"/>
    <col min="5" max="5" width="9.28515625" style="49" customWidth="1"/>
    <col min="6" max="6" width="5.7109375" style="49" customWidth="1"/>
    <col min="7" max="16384" width="11.42578125" style="49"/>
  </cols>
  <sheetData>
    <row r="1" spans="1:4" s="26" customFormat="1" ht="15" customHeight="1" x14ac:dyDescent="0.2">
      <c r="C1" s="43"/>
    </row>
    <row r="2" spans="1:4" s="26" customFormat="1" ht="15" customHeight="1" x14ac:dyDescent="0.2">
      <c r="C2" s="43"/>
    </row>
    <row r="3" spans="1:4" s="26" customFormat="1" ht="15" customHeight="1" x14ac:dyDescent="0.2">
      <c r="A3" s="26" t="s">
        <v>81</v>
      </c>
      <c r="C3" s="43"/>
    </row>
    <row r="4" spans="1:4" s="26" customFormat="1" ht="30" customHeight="1" x14ac:dyDescent="0.2">
      <c r="C4" s="43"/>
      <c r="D4" s="44"/>
    </row>
    <row r="5" spans="1:4" s="26" customFormat="1" ht="15" customHeight="1" x14ac:dyDescent="0.2">
      <c r="C5" s="43"/>
      <c r="D5" s="44"/>
    </row>
    <row r="6" spans="1:4" s="26" customFormat="1" ht="15" customHeight="1" x14ac:dyDescent="0.2">
      <c r="C6" s="43"/>
      <c r="D6" s="44"/>
    </row>
    <row r="7" spans="1:4" s="26" customFormat="1" ht="15" customHeight="1" x14ac:dyDescent="0.2">
      <c r="B7" s="87" t="s">
        <v>82</v>
      </c>
      <c r="C7" s="87"/>
      <c r="D7" s="87"/>
    </row>
    <row r="8" spans="1:4" s="26" customFormat="1" ht="15" customHeight="1" x14ac:dyDescent="0.2">
      <c r="B8" s="87"/>
      <c r="C8" s="87"/>
      <c r="D8" s="87"/>
    </row>
    <row r="9" spans="1:4" s="26" customFormat="1" ht="33" customHeight="1" x14ac:dyDescent="0.2">
      <c r="B9" s="87"/>
      <c r="C9" s="87"/>
      <c r="D9" s="87"/>
    </row>
    <row r="10" spans="1:4" s="26" customFormat="1" ht="4.5" customHeight="1" x14ac:dyDescent="0.2">
      <c r="B10" s="45"/>
      <c r="C10" s="45"/>
      <c r="D10" s="45"/>
    </row>
    <row r="11" spans="1:4" s="26" customFormat="1" ht="33" customHeight="1" x14ac:dyDescent="0.2">
      <c r="B11" s="46" t="s">
        <v>83</v>
      </c>
      <c r="C11" s="47" t="s">
        <v>20</v>
      </c>
      <c r="D11" s="48" t="s">
        <v>21</v>
      </c>
    </row>
    <row r="12" spans="1:4" x14ac:dyDescent="0.25">
      <c r="B12" s="50" t="s">
        <v>31</v>
      </c>
      <c r="C12" s="51">
        <v>6232</v>
      </c>
      <c r="D12" s="52">
        <v>0.71019943019943022</v>
      </c>
    </row>
    <row r="13" spans="1:4" s="53" customFormat="1" ht="15.75" x14ac:dyDescent="0.25">
      <c r="A13" s="49"/>
      <c r="B13" s="50" t="s">
        <v>56</v>
      </c>
      <c r="C13" s="51">
        <v>424</v>
      </c>
      <c r="D13" s="52">
        <v>4.8319088319088321E-2</v>
      </c>
    </row>
    <row r="14" spans="1:4" s="53" customFormat="1" ht="15.75" x14ac:dyDescent="0.25">
      <c r="A14" s="49"/>
      <c r="B14" s="50" t="s">
        <v>69</v>
      </c>
      <c r="C14" s="51">
        <v>339</v>
      </c>
      <c r="D14" s="52">
        <v>3.863247863247863E-2</v>
      </c>
    </row>
    <row r="15" spans="1:4" x14ac:dyDescent="0.25">
      <c r="B15" s="50" t="s">
        <v>28</v>
      </c>
      <c r="C15" s="51">
        <v>305</v>
      </c>
      <c r="D15" s="52">
        <v>3.4757834757834755E-2</v>
      </c>
    </row>
    <row r="16" spans="1:4" x14ac:dyDescent="0.25">
      <c r="B16" s="50" t="s">
        <v>41</v>
      </c>
      <c r="C16" s="51">
        <v>185</v>
      </c>
      <c r="D16" s="52">
        <v>2.1082621082621083E-2</v>
      </c>
    </row>
    <row r="17" spans="2:4" x14ac:dyDescent="0.25">
      <c r="B17" s="50" t="s">
        <v>70</v>
      </c>
      <c r="C17" s="51">
        <v>168</v>
      </c>
      <c r="D17" s="52">
        <v>1.9145299145299145E-2</v>
      </c>
    </row>
    <row r="18" spans="2:4" x14ac:dyDescent="0.25">
      <c r="B18" s="50" t="s">
        <v>72</v>
      </c>
      <c r="C18" s="51">
        <v>128</v>
      </c>
      <c r="D18" s="52">
        <v>1.4586894586894586E-2</v>
      </c>
    </row>
    <row r="19" spans="2:4" x14ac:dyDescent="0.25">
      <c r="B19" s="50" t="s">
        <v>64</v>
      </c>
      <c r="C19" s="51">
        <v>126</v>
      </c>
      <c r="D19" s="52">
        <v>1.4358974358974359E-2</v>
      </c>
    </row>
    <row r="20" spans="2:4" x14ac:dyDescent="0.25">
      <c r="B20" s="50" t="s">
        <v>33</v>
      </c>
      <c r="C20" s="51">
        <v>99</v>
      </c>
      <c r="D20" s="52">
        <v>1.1282051282051283E-2</v>
      </c>
    </row>
    <row r="21" spans="2:4" x14ac:dyDescent="0.25">
      <c r="B21" s="50" t="s">
        <v>38</v>
      </c>
      <c r="C21" s="51">
        <v>63</v>
      </c>
      <c r="D21" s="52">
        <v>7.1794871794871795E-3</v>
      </c>
    </row>
    <row r="22" spans="2:4" x14ac:dyDescent="0.25">
      <c r="B22" s="50" t="s">
        <v>37</v>
      </c>
      <c r="C22" s="51">
        <v>57</v>
      </c>
      <c r="D22" s="52">
        <v>6.4957264957264957E-3</v>
      </c>
    </row>
    <row r="23" spans="2:4" x14ac:dyDescent="0.25">
      <c r="B23" s="50" t="s">
        <v>60</v>
      </c>
      <c r="C23" s="51">
        <v>47</v>
      </c>
      <c r="D23" s="52">
        <v>5.3561253561253564E-3</v>
      </c>
    </row>
    <row r="24" spans="2:4" x14ac:dyDescent="0.25">
      <c r="B24" s="50" t="s">
        <v>68</v>
      </c>
      <c r="C24" s="51">
        <v>46</v>
      </c>
      <c r="D24" s="52">
        <v>5.2421652421652419E-3</v>
      </c>
    </row>
    <row r="25" spans="2:4" x14ac:dyDescent="0.25">
      <c r="B25" s="50" t="s">
        <v>44</v>
      </c>
      <c r="C25" s="51">
        <v>45</v>
      </c>
      <c r="D25" s="52">
        <v>5.1282051282051282E-3</v>
      </c>
    </row>
    <row r="26" spans="2:4" x14ac:dyDescent="0.25">
      <c r="B26" s="50" t="s">
        <v>42</v>
      </c>
      <c r="C26" s="51">
        <v>41</v>
      </c>
      <c r="D26" s="52">
        <v>4.6723646723646726E-3</v>
      </c>
    </row>
    <row r="27" spans="2:4" x14ac:dyDescent="0.25">
      <c r="B27" s="50" t="s">
        <v>74</v>
      </c>
      <c r="C27" s="51">
        <v>37</v>
      </c>
      <c r="D27" s="52">
        <v>4.2165242165242162E-3</v>
      </c>
    </row>
    <row r="28" spans="2:4" x14ac:dyDescent="0.25">
      <c r="B28" s="50" t="s">
        <v>63</v>
      </c>
      <c r="C28" s="51">
        <v>32</v>
      </c>
      <c r="D28" s="52">
        <v>3.6467236467236466E-3</v>
      </c>
    </row>
    <row r="29" spans="2:4" x14ac:dyDescent="0.25">
      <c r="B29" s="50" t="s">
        <v>40</v>
      </c>
      <c r="C29" s="51">
        <v>31</v>
      </c>
      <c r="D29" s="52">
        <v>3.5327635327635329E-3</v>
      </c>
    </row>
    <row r="30" spans="2:4" x14ac:dyDescent="0.25">
      <c r="B30" s="50" t="s">
        <v>58</v>
      </c>
      <c r="C30" s="51">
        <v>31</v>
      </c>
      <c r="D30" s="52">
        <v>3.5327635327635329E-3</v>
      </c>
    </row>
    <row r="31" spans="2:4" x14ac:dyDescent="0.25">
      <c r="B31" s="50" t="s">
        <v>30</v>
      </c>
      <c r="C31" s="51">
        <v>29</v>
      </c>
      <c r="D31" s="52">
        <v>3.3048433048433047E-3</v>
      </c>
    </row>
    <row r="32" spans="2:4" x14ac:dyDescent="0.25">
      <c r="B32" s="50" t="s">
        <v>53</v>
      </c>
      <c r="C32" s="51">
        <v>29</v>
      </c>
      <c r="D32" s="52">
        <v>3.3048433048433047E-3</v>
      </c>
    </row>
    <row r="33" spans="2:4" x14ac:dyDescent="0.25">
      <c r="B33" s="50" t="s">
        <v>59</v>
      </c>
      <c r="C33" s="51">
        <v>27</v>
      </c>
      <c r="D33" s="52">
        <v>3.0769230769230769E-3</v>
      </c>
    </row>
    <row r="34" spans="2:4" x14ac:dyDescent="0.25">
      <c r="B34" s="50" t="s">
        <v>55</v>
      </c>
      <c r="C34" s="51">
        <v>26</v>
      </c>
      <c r="D34" s="52">
        <v>2.9629629629629628E-3</v>
      </c>
    </row>
    <row r="35" spans="2:4" x14ac:dyDescent="0.25">
      <c r="B35" s="50" t="s">
        <v>66</v>
      </c>
      <c r="C35" s="51">
        <v>22</v>
      </c>
      <c r="D35" s="52">
        <v>2.5071225071225073E-3</v>
      </c>
    </row>
    <row r="36" spans="2:4" x14ac:dyDescent="0.25">
      <c r="B36" s="50" t="s">
        <v>22</v>
      </c>
      <c r="C36" s="51">
        <v>21</v>
      </c>
      <c r="D36" s="52">
        <v>2.3931623931623932E-3</v>
      </c>
    </row>
    <row r="37" spans="2:4" x14ac:dyDescent="0.25">
      <c r="B37" s="50" t="s">
        <v>71</v>
      </c>
      <c r="C37" s="51">
        <v>21</v>
      </c>
      <c r="D37" s="52">
        <v>2.3931623931623932E-3</v>
      </c>
    </row>
    <row r="38" spans="2:4" x14ac:dyDescent="0.25">
      <c r="B38" s="50" t="s">
        <v>50</v>
      </c>
      <c r="C38" s="51">
        <v>20</v>
      </c>
      <c r="D38" s="52">
        <v>2.2792022792022791E-3</v>
      </c>
    </row>
    <row r="39" spans="2:4" x14ac:dyDescent="0.25">
      <c r="B39" s="50" t="s">
        <v>43</v>
      </c>
      <c r="C39" s="51">
        <v>19</v>
      </c>
      <c r="D39" s="52">
        <v>2.1652421652421654E-3</v>
      </c>
    </row>
    <row r="40" spans="2:4" x14ac:dyDescent="0.25">
      <c r="B40" s="50" t="s">
        <v>51</v>
      </c>
      <c r="C40" s="51">
        <v>18</v>
      </c>
      <c r="D40" s="52">
        <v>2.0512820512820513E-3</v>
      </c>
    </row>
    <row r="41" spans="2:4" x14ac:dyDescent="0.25">
      <c r="B41" s="50" t="s">
        <v>65</v>
      </c>
      <c r="C41" s="51">
        <v>17</v>
      </c>
      <c r="D41" s="52">
        <v>1.9373219373219374E-3</v>
      </c>
    </row>
    <row r="42" spans="2:4" x14ac:dyDescent="0.25">
      <c r="B42" s="50" t="s">
        <v>45</v>
      </c>
      <c r="C42" s="51">
        <v>15</v>
      </c>
      <c r="D42" s="52">
        <v>1.7094017094017094E-3</v>
      </c>
    </row>
    <row r="43" spans="2:4" x14ac:dyDescent="0.25">
      <c r="B43" s="50" t="s">
        <v>57</v>
      </c>
      <c r="C43" s="51">
        <v>13</v>
      </c>
      <c r="D43" s="52">
        <v>1.4814814814814814E-3</v>
      </c>
    </row>
    <row r="44" spans="2:4" x14ac:dyDescent="0.25">
      <c r="B44" s="50" t="s">
        <v>75</v>
      </c>
      <c r="C44" s="51">
        <v>9</v>
      </c>
      <c r="D44" s="52">
        <v>1.0256410256410256E-3</v>
      </c>
    </row>
    <row r="45" spans="2:4" x14ac:dyDescent="0.25">
      <c r="B45" s="50" t="s">
        <v>48</v>
      </c>
      <c r="C45" s="51">
        <v>8</v>
      </c>
      <c r="D45" s="52">
        <v>9.1168091168091164E-4</v>
      </c>
    </row>
    <row r="46" spans="2:4" x14ac:dyDescent="0.25">
      <c r="B46" s="50" t="s">
        <v>62</v>
      </c>
      <c r="C46" s="51">
        <v>8</v>
      </c>
      <c r="D46" s="52">
        <v>9.1168091168091164E-4</v>
      </c>
    </row>
    <row r="47" spans="2:4" x14ac:dyDescent="0.25">
      <c r="B47" s="50" t="s">
        <v>34</v>
      </c>
      <c r="C47" s="51">
        <v>7</v>
      </c>
      <c r="D47" s="52">
        <v>7.9772079772079776E-4</v>
      </c>
    </row>
    <row r="48" spans="2:4" x14ac:dyDescent="0.25">
      <c r="B48" s="50" t="s">
        <v>46</v>
      </c>
      <c r="C48" s="51">
        <v>6</v>
      </c>
      <c r="D48" s="52">
        <v>6.8376068376068376E-4</v>
      </c>
    </row>
    <row r="49" spans="2:4" x14ac:dyDescent="0.25">
      <c r="B49" s="50" t="s">
        <v>52</v>
      </c>
      <c r="C49" s="51">
        <v>6</v>
      </c>
      <c r="D49" s="52">
        <v>6.8376068376068376E-4</v>
      </c>
    </row>
    <row r="50" spans="2:4" x14ac:dyDescent="0.25">
      <c r="B50" s="50" t="s">
        <v>39</v>
      </c>
      <c r="C50" s="51">
        <v>3</v>
      </c>
      <c r="D50" s="52">
        <v>3.4188034188034188E-4</v>
      </c>
    </row>
    <row r="51" spans="2:4" x14ac:dyDescent="0.25">
      <c r="B51" s="50" t="s">
        <v>84</v>
      </c>
      <c r="C51" s="51">
        <v>3</v>
      </c>
      <c r="D51" s="52">
        <v>3.4188034188034188E-4</v>
      </c>
    </row>
    <row r="52" spans="2:4" x14ac:dyDescent="0.25">
      <c r="B52" s="50" t="s">
        <v>67</v>
      </c>
      <c r="C52" s="51">
        <v>3</v>
      </c>
      <c r="D52" s="52">
        <v>3.4188034188034188E-4</v>
      </c>
    </row>
    <row r="53" spans="2:4" x14ac:dyDescent="0.25">
      <c r="B53" s="50" t="s">
        <v>35</v>
      </c>
      <c r="C53" s="51">
        <v>2</v>
      </c>
      <c r="D53" s="52">
        <v>2.2792022792022791E-4</v>
      </c>
    </row>
    <row r="54" spans="2:4" x14ac:dyDescent="0.25">
      <c r="B54" s="50" t="s">
        <v>36</v>
      </c>
      <c r="C54" s="51">
        <v>1</v>
      </c>
      <c r="D54" s="52">
        <v>1.1396011396011396E-4</v>
      </c>
    </row>
    <row r="55" spans="2:4" x14ac:dyDescent="0.25">
      <c r="B55" s="50" t="s">
        <v>49</v>
      </c>
      <c r="C55" s="51">
        <v>1</v>
      </c>
      <c r="D55" s="52">
        <v>1.1396011396011396E-4</v>
      </c>
    </row>
    <row r="56" spans="2:4" x14ac:dyDescent="0.25">
      <c r="B56" s="50" t="s">
        <v>54</v>
      </c>
      <c r="C56" s="51">
        <v>1</v>
      </c>
      <c r="D56" s="52">
        <v>1.1396011396011396E-4</v>
      </c>
    </row>
    <row r="57" spans="2:4" x14ac:dyDescent="0.25">
      <c r="B57" s="50" t="s">
        <v>61</v>
      </c>
      <c r="C57" s="51">
        <v>1</v>
      </c>
      <c r="D57" s="52">
        <v>1.1396011396011396E-4</v>
      </c>
    </row>
    <row r="58" spans="2:4" x14ac:dyDescent="0.25">
      <c r="B58" s="50" t="s">
        <v>85</v>
      </c>
      <c r="C58" s="51">
        <v>1</v>
      </c>
      <c r="D58" s="52">
        <v>1.1396011396011396E-4</v>
      </c>
    </row>
    <row r="59" spans="2:4" x14ac:dyDescent="0.25">
      <c r="B59" s="50" t="s">
        <v>86</v>
      </c>
      <c r="C59" s="51">
        <v>1</v>
      </c>
      <c r="D59" s="52">
        <v>1.1396011396011396E-4</v>
      </c>
    </row>
    <row r="60" spans="2:4" x14ac:dyDescent="0.25">
      <c r="B60" s="50" t="s">
        <v>73</v>
      </c>
      <c r="C60" s="51">
        <v>1</v>
      </c>
      <c r="D60" s="52">
        <v>1.1396011396011396E-4</v>
      </c>
    </row>
    <row r="61" spans="2:4" ht="15" customHeight="1" x14ac:dyDescent="0.25">
      <c r="B61" s="54" t="s">
        <v>26</v>
      </c>
      <c r="C61" s="55">
        <v>8775</v>
      </c>
      <c r="D61" s="56">
        <v>1</v>
      </c>
    </row>
    <row r="65" spans="2:2" x14ac:dyDescent="0.25">
      <c r="B65" s="39" t="s">
        <v>76</v>
      </c>
    </row>
    <row r="66" spans="2:2" x14ac:dyDescent="0.25">
      <c r="B66" s="41" t="s">
        <v>77</v>
      </c>
    </row>
    <row r="67" spans="2:2" x14ac:dyDescent="0.25">
      <c r="B67" s="42" t="s">
        <v>78</v>
      </c>
    </row>
    <row r="68" spans="2:2" x14ac:dyDescent="0.25">
      <c r="B68" s="39" t="s">
        <v>79</v>
      </c>
    </row>
    <row r="69" spans="2:2" x14ac:dyDescent="0.25">
      <c r="B69" s="39" t="s">
        <v>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6" sqref="G16"/>
    </sheetView>
  </sheetViews>
  <sheetFormatPr baseColWidth="10" defaultRowHeight="15" x14ac:dyDescent="0.25"/>
  <cols>
    <col min="1" max="1" width="9.28515625" style="49" customWidth="1"/>
    <col min="2" max="2" width="21.7109375" style="49" customWidth="1"/>
    <col min="3" max="3" width="17.7109375" style="57" customWidth="1"/>
    <col min="4" max="4" width="17.7109375" style="49" customWidth="1"/>
    <col min="5" max="5" width="9.28515625" style="49" customWidth="1"/>
    <col min="6" max="6" width="5.7109375" style="49" customWidth="1"/>
    <col min="7" max="16384" width="11.42578125" style="49"/>
  </cols>
  <sheetData>
    <row r="1" spans="1:4" s="26" customFormat="1" ht="15" customHeight="1" x14ac:dyDescent="0.2">
      <c r="C1" s="43"/>
    </row>
    <row r="2" spans="1:4" s="26" customFormat="1" ht="15" customHeight="1" x14ac:dyDescent="0.2">
      <c r="C2" s="43"/>
    </row>
    <row r="3" spans="1:4" s="26" customFormat="1" ht="15" customHeight="1" x14ac:dyDescent="0.2">
      <c r="A3" s="26" t="s">
        <v>81</v>
      </c>
      <c r="C3" s="43"/>
    </row>
    <row r="4" spans="1:4" s="26" customFormat="1" ht="30" customHeight="1" x14ac:dyDescent="0.2">
      <c r="C4" s="43"/>
      <c r="D4" s="44"/>
    </row>
    <row r="5" spans="1:4" s="26" customFormat="1" ht="15" customHeight="1" x14ac:dyDescent="0.2">
      <c r="C5" s="43"/>
      <c r="D5" s="44"/>
    </row>
    <row r="6" spans="1:4" s="26" customFormat="1" ht="15" customHeight="1" x14ac:dyDescent="0.2">
      <c r="C6" s="43"/>
      <c r="D6" s="44"/>
    </row>
    <row r="7" spans="1:4" s="26" customFormat="1" ht="15" customHeight="1" x14ac:dyDescent="0.2">
      <c r="B7" s="87" t="s">
        <v>184</v>
      </c>
      <c r="C7" s="87"/>
      <c r="D7" s="87"/>
    </row>
    <row r="8" spans="1:4" s="26" customFormat="1" ht="15" customHeight="1" x14ac:dyDescent="0.2">
      <c r="B8" s="87"/>
      <c r="C8" s="87"/>
      <c r="D8" s="87"/>
    </row>
    <row r="9" spans="1:4" s="26" customFormat="1" ht="33" customHeight="1" x14ac:dyDescent="0.2">
      <c r="B9" s="87"/>
      <c r="C9" s="87"/>
      <c r="D9" s="87"/>
    </row>
    <row r="10" spans="1:4" s="26" customFormat="1" ht="4.5" customHeight="1" x14ac:dyDescent="0.2">
      <c r="B10" s="45"/>
      <c r="C10" s="45"/>
      <c r="D10" s="45"/>
    </row>
    <row r="11" spans="1:4" s="26" customFormat="1" ht="33" customHeight="1" x14ac:dyDescent="0.2">
      <c r="B11" s="46" t="s">
        <v>115</v>
      </c>
      <c r="C11" s="47" t="s">
        <v>20</v>
      </c>
      <c r="D11" s="48" t="s">
        <v>21</v>
      </c>
    </row>
    <row r="12" spans="1:4" ht="15" customHeight="1" x14ac:dyDescent="0.25">
      <c r="B12" s="50" t="s">
        <v>185</v>
      </c>
      <c r="C12" s="51">
        <v>1718</v>
      </c>
      <c r="D12" s="52">
        <f t="shared" ref="D12:D62" si="0">C12/$C$62</f>
        <v>0.1957834757834758</v>
      </c>
    </row>
    <row r="13" spans="1:4" x14ac:dyDescent="0.25">
      <c r="B13" s="50" t="s">
        <v>156</v>
      </c>
      <c r="C13" s="51">
        <v>1220</v>
      </c>
      <c r="D13" s="52">
        <f t="shared" si="0"/>
        <v>0.13903133903133902</v>
      </c>
    </row>
    <row r="14" spans="1:4" s="53" customFormat="1" ht="15.75" x14ac:dyDescent="0.25">
      <c r="A14" s="49"/>
      <c r="B14" s="50" t="s">
        <v>157</v>
      </c>
      <c r="C14" s="51">
        <v>727</v>
      </c>
      <c r="D14" s="52">
        <f t="shared" si="0"/>
        <v>8.2849002849002845E-2</v>
      </c>
    </row>
    <row r="15" spans="1:4" s="53" customFormat="1" ht="15.75" x14ac:dyDescent="0.25">
      <c r="A15" s="49"/>
      <c r="B15" s="50" t="s">
        <v>131</v>
      </c>
      <c r="C15" s="51">
        <v>589</v>
      </c>
      <c r="D15" s="52">
        <f t="shared" si="0"/>
        <v>6.7122507122507127E-2</v>
      </c>
    </row>
    <row r="16" spans="1:4" x14ac:dyDescent="0.25">
      <c r="B16" s="50" t="s">
        <v>186</v>
      </c>
      <c r="C16" s="51">
        <v>542</v>
      </c>
      <c r="D16" s="52">
        <f t="shared" si="0"/>
        <v>6.1766381766381766E-2</v>
      </c>
    </row>
    <row r="17" spans="2:4" x14ac:dyDescent="0.25">
      <c r="B17" s="50" t="s">
        <v>136</v>
      </c>
      <c r="C17" s="51">
        <v>418</v>
      </c>
      <c r="D17" s="52">
        <f t="shared" si="0"/>
        <v>4.7635327635327636E-2</v>
      </c>
    </row>
    <row r="18" spans="2:4" x14ac:dyDescent="0.25">
      <c r="B18" s="50" t="s">
        <v>152</v>
      </c>
      <c r="C18" s="51">
        <v>364</v>
      </c>
      <c r="D18" s="52">
        <f t="shared" si="0"/>
        <v>4.148148148148148E-2</v>
      </c>
    </row>
    <row r="19" spans="2:4" x14ac:dyDescent="0.25">
      <c r="B19" s="50" t="s">
        <v>160</v>
      </c>
      <c r="C19" s="51">
        <v>342</v>
      </c>
      <c r="D19" s="52">
        <f t="shared" si="0"/>
        <v>3.8974358974358976E-2</v>
      </c>
    </row>
    <row r="20" spans="2:4" x14ac:dyDescent="0.25">
      <c r="B20" s="50" t="s">
        <v>187</v>
      </c>
      <c r="C20" s="51">
        <v>275</v>
      </c>
      <c r="D20" s="52">
        <f t="shared" si="0"/>
        <v>3.1339031339031341E-2</v>
      </c>
    </row>
    <row r="21" spans="2:4" x14ac:dyDescent="0.25">
      <c r="B21" s="50" t="s">
        <v>147</v>
      </c>
      <c r="C21" s="51">
        <v>253</v>
      </c>
      <c r="D21" s="52">
        <f t="shared" si="0"/>
        <v>2.8831908831908833E-2</v>
      </c>
    </row>
    <row r="22" spans="2:4" x14ac:dyDescent="0.25">
      <c r="B22" s="50" t="s">
        <v>158</v>
      </c>
      <c r="C22" s="51">
        <v>212</v>
      </c>
      <c r="D22" s="52">
        <f t="shared" si="0"/>
        <v>2.4159544159544161E-2</v>
      </c>
    </row>
    <row r="23" spans="2:4" x14ac:dyDescent="0.25">
      <c r="B23" s="50" t="s">
        <v>124</v>
      </c>
      <c r="C23" s="51">
        <v>196</v>
      </c>
      <c r="D23" s="52">
        <f t="shared" si="0"/>
        <v>2.2336182336182335E-2</v>
      </c>
    </row>
    <row r="24" spans="2:4" x14ac:dyDescent="0.25">
      <c r="B24" s="50" t="s">
        <v>154</v>
      </c>
      <c r="C24" s="51">
        <v>174</v>
      </c>
      <c r="D24" s="52">
        <f t="shared" si="0"/>
        <v>1.9829059829059831E-2</v>
      </c>
    </row>
    <row r="25" spans="2:4" x14ac:dyDescent="0.25">
      <c r="B25" s="50" t="s">
        <v>163</v>
      </c>
      <c r="C25" s="51">
        <v>137</v>
      </c>
      <c r="D25" s="52">
        <f t="shared" si="0"/>
        <v>1.5612535612535613E-2</v>
      </c>
    </row>
    <row r="26" spans="2:4" x14ac:dyDescent="0.25">
      <c r="B26" s="50" t="s">
        <v>148</v>
      </c>
      <c r="C26" s="51">
        <v>136</v>
      </c>
      <c r="D26" s="52">
        <f t="shared" si="0"/>
        <v>1.5498575498575499E-2</v>
      </c>
    </row>
    <row r="27" spans="2:4" x14ac:dyDescent="0.25">
      <c r="B27" s="50" t="s">
        <v>125</v>
      </c>
      <c r="C27" s="51">
        <v>134</v>
      </c>
      <c r="D27" s="52">
        <f t="shared" si="0"/>
        <v>1.527065527065527E-2</v>
      </c>
    </row>
    <row r="28" spans="2:4" x14ac:dyDescent="0.25">
      <c r="B28" s="50" t="s">
        <v>149</v>
      </c>
      <c r="C28" s="51">
        <v>134</v>
      </c>
      <c r="D28" s="52">
        <f t="shared" si="0"/>
        <v>1.527065527065527E-2</v>
      </c>
    </row>
    <row r="29" spans="2:4" x14ac:dyDescent="0.25">
      <c r="B29" s="50" t="s">
        <v>117</v>
      </c>
      <c r="C29" s="51">
        <v>118</v>
      </c>
      <c r="D29" s="52">
        <f t="shared" si="0"/>
        <v>1.3447293447293448E-2</v>
      </c>
    </row>
    <row r="30" spans="2:4" x14ac:dyDescent="0.25">
      <c r="B30" s="50" t="s">
        <v>161</v>
      </c>
      <c r="C30" s="51">
        <v>117</v>
      </c>
      <c r="D30" s="52">
        <f t="shared" si="0"/>
        <v>1.3333333333333334E-2</v>
      </c>
    </row>
    <row r="31" spans="2:4" x14ac:dyDescent="0.25">
      <c r="B31" s="50" t="s">
        <v>132</v>
      </c>
      <c r="C31" s="51">
        <v>109</v>
      </c>
      <c r="D31" s="52">
        <f t="shared" si="0"/>
        <v>1.2421652421652421E-2</v>
      </c>
    </row>
    <row r="32" spans="2:4" x14ac:dyDescent="0.25">
      <c r="B32" s="50" t="s">
        <v>126</v>
      </c>
      <c r="C32" s="51">
        <v>101</v>
      </c>
      <c r="D32" s="52">
        <f t="shared" si="0"/>
        <v>1.150997150997151E-2</v>
      </c>
    </row>
    <row r="33" spans="2:4" x14ac:dyDescent="0.25">
      <c r="B33" s="50" t="s">
        <v>134</v>
      </c>
      <c r="C33" s="51">
        <v>75</v>
      </c>
      <c r="D33" s="52">
        <f t="shared" si="0"/>
        <v>8.5470085470085479E-3</v>
      </c>
    </row>
    <row r="34" spans="2:4" x14ac:dyDescent="0.25">
      <c r="B34" s="50" t="s">
        <v>137</v>
      </c>
      <c r="C34" s="51">
        <v>71</v>
      </c>
      <c r="D34" s="52">
        <f t="shared" si="0"/>
        <v>8.0911680911680915E-3</v>
      </c>
    </row>
    <row r="35" spans="2:4" x14ac:dyDescent="0.25">
      <c r="B35" s="50" t="s">
        <v>151</v>
      </c>
      <c r="C35" s="51">
        <v>69</v>
      </c>
      <c r="D35" s="52">
        <f t="shared" si="0"/>
        <v>7.8632478632478641E-3</v>
      </c>
    </row>
    <row r="36" spans="2:4" x14ac:dyDescent="0.25">
      <c r="B36" s="50" t="s">
        <v>188</v>
      </c>
      <c r="C36" s="51">
        <v>50</v>
      </c>
      <c r="D36" s="52">
        <f t="shared" si="0"/>
        <v>5.6980056980056983E-3</v>
      </c>
    </row>
    <row r="37" spans="2:4" x14ac:dyDescent="0.25">
      <c r="B37" s="50" t="s">
        <v>144</v>
      </c>
      <c r="C37" s="51">
        <v>46</v>
      </c>
      <c r="D37" s="52">
        <f t="shared" si="0"/>
        <v>5.2421652421652419E-3</v>
      </c>
    </row>
    <row r="38" spans="2:4" x14ac:dyDescent="0.25">
      <c r="B38" s="50" t="s">
        <v>145</v>
      </c>
      <c r="C38" s="51">
        <v>45</v>
      </c>
      <c r="D38" s="52">
        <f t="shared" si="0"/>
        <v>5.1282051282051282E-3</v>
      </c>
    </row>
    <row r="39" spans="2:4" x14ac:dyDescent="0.25">
      <c r="B39" s="50" t="s">
        <v>120</v>
      </c>
      <c r="C39" s="51">
        <v>38</v>
      </c>
      <c r="D39" s="52">
        <f t="shared" si="0"/>
        <v>4.3304843304843308E-3</v>
      </c>
    </row>
    <row r="40" spans="2:4" x14ac:dyDescent="0.25">
      <c r="B40" s="50" t="s">
        <v>141</v>
      </c>
      <c r="C40" s="51">
        <v>37</v>
      </c>
      <c r="D40" s="52">
        <f t="shared" si="0"/>
        <v>4.2165242165242162E-3</v>
      </c>
    </row>
    <row r="41" spans="2:4" x14ac:dyDescent="0.25">
      <c r="B41" s="50" t="s">
        <v>146</v>
      </c>
      <c r="C41" s="51">
        <v>35</v>
      </c>
      <c r="D41" s="52">
        <f t="shared" si="0"/>
        <v>3.9886039886039889E-3</v>
      </c>
    </row>
    <row r="42" spans="2:4" x14ac:dyDescent="0.25">
      <c r="B42" s="50" t="s">
        <v>155</v>
      </c>
      <c r="C42" s="51">
        <v>31</v>
      </c>
      <c r="D42" s="52">
        <f t="shared" si="0"/>
        <v>3.5327635327635329E-3</v>
      </c>
    </row>
    <row r="43" spans="2:4" x14ac:dyDescent="0.25">
      <c r="B43" s="50" t="s">
        <v>72</v>
      </c>
      <c r="C43" s="51">
        <v>30</v>
      </c>
      <c r="D43" s="52">
        <f t="shared" si="0"/>
        <v>3.4188034188034188E-3</v>
      </c>
    </row>
    <row r="44" spans="2:4" x14ac:dyDescent="0.25">
      <c r="B44" s="50" t="s">
        <v>162</v>
      </c>
      <c r="C44" s="51">
        <v>28</v>
      </c>
      <c r="D44" s="52">
        <f t="shared" si="0"/>
        <v>3.190883190883191E-3</v>
      </c>
    </row>
    <row r="45" spans="2:4" x14ac:dyDescent="0.25">
      <c r="B45" s="50" t="s">
        <v>116</v>
      </c>
      <c r="C45" s="51">
        <v>26</v>
      </c>
      <c r="D45" s="52">
        <f t="shared" si="0"/>
        <v>2.9629629629629628E-3</v>
      </c>
    </row>
    <row r="46" spans="2:4" x14ac:dyDescent="0.25">
      <c r="B46" s="50" t="s">
        <v>127</v>
      </c>
      <c r="C46" s="51">
        <v>23</v>
      </c>
      <c r="D46" s="52">
        <f t="shared" si="0"/>
        <v>2.6210826210826209E-3</v>
      </c>
    </row>
    <row r="47" spans="2:4" x14ac:dyDescent="0.25">
      <c r="B47" s="50" t="s">
        <v>140</v>
      </c>
      <c r="C47" s="51">
        <v>22</v>
      </c>
      <c r="D47" s="52">
        <f t="shared" si="0"/>
        <v>2.5071225071225073E-3</v>
      </c>
    </row>
    <row r="48" spans="2:4" x14ac:dyDescent="0.25">
      <c r="B48" s="50" t="s">
        <v>153</v>
      </c>
      <c r="C48" s="51">
        <v>22</v>
      </c>
      <c r="D48" s="52">
        <f t="shared" si="0"/>
        <v>2.5071225071225073E-3</v>
      </c>
    </row>
    <row r="49" spans="2:4" x14ac:dyDescent="0.25">
      <c r="B49" s="50" t="s">
        <v>119</v>
      </c>
      <c r="C49" s="51">
        <v>21</v>
      </c>
      <c r="D49" s="52">
        <f t="shared" si="0"/>
        <v>2.3931623931623932E-3</v>
      </c>
    </row>
    <row r="50" spans="2:4" x14ac:dyDescent="0.25">
      <c r="B50" s="50" t="s">
        <v>130</v>
      </c>
      <c r="C50" s="51">
        <v>21</v>
      </c>
      <c r="D50" s="52">
        <f t="shared" si="0"/>
        <v>2.3931623931623932E-3</v>
      </c>
    </row>
    <row r="51" spans="2:4" x14ac:dyDescent="0.25">
      <c r="B51" s="50" t="s">
        <v>189</v>
      </c>
      <c r="C51" s="51">
        <v>18</v>
      </c>
      <c r="D51" s="52">
        <f t="shared" si="0"/>
        <v>2.0512820512820513E-3</v>
      </c>
    </row>
    <row r="52" spans="2:4" x14ac:dyDescent="0.25">
      <c r="B52" s="50" t="s">
        <v>129</v>
      </c>
      <c r="C52" s="51">
        <v>17</v>
      </c>
      <c r="D52" s="52">
        <f t="shared" si="0"/>
        <v>1.9373219373219374E-3</v>
      </c>
    </row>
    <row r="53" spans="2:4" x14ac:dyDescent="0.25">
      <c r="B53" s="50" t="s">
        <v>143</v>
      </c>
      <c r="C53" s="51">
        <v>12</v>
      </c>
      <c r="D53" s="52">
        <f t="shared" si="0"/>
        <v>1.3675213675213675E-3</v>
      </c>
    </row>
    <row r="54" spans="2:4" x14ac:dyDescent="0.25">
      <c r="B54" s="50" t="s">
        <v>150</v>
      </c>
      <c r="C54" s="51">
        <v>8</v>
      </c>
      <c r="D54" s="52">
        <f t="shared" si="0"/>
        <v>9.1168091168091164E-4</v>
      </c>
    </row>
    <row r="55" spans="2:4" x14ac:dyDescent="0.25">
      <c r="B55" s="50" t="s">
        <v>121</v>
      </c>
      <c r="C55" s="51">
        <v>5</v>
      </c>
      <c r="D55" s="52">
        <f t="shared" si="0"/>
        <v>5.6980056980056976E-4</v>
      </c>
    </row>
    <row r="56" spans="2:4" x14ac:dyDescent="0.25">
      <c r="B56" s="50" t="s">
        <v>135</v>
      </c>
      <c r="C56" s="51">
        <v>5</v>
      </c>
      <c r="D56" s="52">
        <f t="shared" si="0"/>
        <v>5.6980056980056976E-4</v>
      </c>
    </row>
    <row r="57" spans="2:4" x14ac:dyDescent="0.25">
      <c r="B57" s="50" t="s">
        <v>142</v>
      </c>
      <c r="C57" s="51">
        <v>2</v>
      </c>
      <c r="D57" s="52">
        <f t="shared" si="0"/>
        <v>2.2792022792022791E-4</v>
      </c>
    </row>
    <row r="58" spans="2:4" x14ac:dyDescent="0.25">
      <c r="B58" s="50" t="s">
        <v>122</v>
      </c>
      <c r="C58" s="51">
        <v>1</v>
      </c>
      <c r="D58" s="52">
        <f t="shared" si="0"/>
        <v>1.1396011396011396E-4</v>
      </c>
    </row>
    <row r="59" spans="2:4" x14ac:dyDescent="0.25">
      <c r="B59" s="50" t="s">
        <v>128</v>
      </c>
      <c r="C59" s="51">
        <v>1</v>
      </c>
      <c r="D59" s="52">
        <f t="shared" si="0"/>
        <v>1.1396011396011396E-4</v>
      </c>
    </row>
    <row r="60" spans="2:4" x14ac:dyDescent="0.25">
      <c r="B60" s="50" t="s">
        <v>190</v>
      </c>
      <c r="C60" s="51">
        <v>0</v>
      </c>
      <c r="D60" s="52">
        <f t="shared" si="0"/>
        <v>0</v>
      </c>
    </row>
    <row r="61" spans="2:4" x14ac:dyDescent="0.25">
      <c r="B61" s="50" t="s">
        <v>191</v>
      </c>
      <c r="C61" s="51">
        <v>0</v>
      </c>
      <c r="D61" s="52">
        <f t="shared" si="0"/>
        <v>0</v>
      </c>
    </row>
    <row r="62" spans="2:4" x14ac:dyDescent="0.25">
      <c r="B62" s="54" t="s">
        <v>26</v>
      </c>
      <c r="C62" s="55">
        <v>8775</v>
      </c>
      <c r="D62" s="56">
        <f t="shared" si="0"/>
        <v>1</v>
      </c>
    </row>
    <row r="64" spans="2:4" x14ac:dyDescent="0.25">
      <c r="B64" s="39" t="s">
        <v>76</v>
      </c>
    </row>
    <row r="65" spans="2:2" x14ac:dyDescent="0.25">
      <c r="B65" s="41" t="s">
        <v>77</v>
      </c>
    </row>
    <row r="66" spans="2:2" x14ac:dyDescent="0.25">
      <c r="B66" s="42" t="s">
        <v>78</v>
      </c>
    </row>
    <row r="67" spans="2:2" x14ac:dyDescent="0.25">
      <c r="B67" s="39" t="s">
        <v>79</v>
      </c>
    </row>
    <row r="68" spans="2:2" x14ac:dyDescent="0.25">
      <c r="B68" s="39" t="s">
        <v>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I5" sqref="I5"/>
    </sheetView>
  </sheetViews>
  <sheetFormatPr baseColWidth="10" defaultRowHeight="15" x14ac:dyDescent="0.25"/>
  <cols>
    <col min="1" max="1" width="9.28515625" style="49" customWidth="1"/>
    <col min="2" max="2" width="21.7109375" style="49" customWidth="1"/>
    <col min="3" max="3" width="17.7109375" style="57" customWidth="1"/>
    <col min="4" max="4" width="17.7109375" style="49" customWidth="1"/>
    <col min="5" max="5" width="9.28515625" style="49" customWidth="1"/>
    <col min="6" max="6" width="5.7109375" style="49" customWidth="1"/>
    <col min="7" max="16384" width="11.42578125" style="49"/>
  </cols>
  <sheetData>
    <row r="1" spans="1:4" s="26" customFormat="1" ht="15" customHeight="1" x14ac:dyDescent="0.2">
      <c r="C1" s="43"/>
    </row>
    <row r="2" spans="1:4" s="26" customFormat="1" ht="15" customHeight="1" x14ac:dyDescent="0.2">
      <c r="C2" s="43"/>
    </row>
    <row r="3" spans="1:4" s="26" customFormat="1" ht="15" customHeight="1" x14ac:dyDescent="0.2">
      <c r="A3" s="26" t="s">
        <v>81</v>
      </c>
      <c r="C3" s="43"/>
    </row>
    <row r="4" spans="1:4" s="26" customFormat="1" ht="30" customHeight="1" x14ac:dyDescent="0.2">
      <c r="C4" s="43"/>
      <c r="D4" s="44"/>
    </row>
    <row r="5" spans="1:4" s="26" customFormat="1" ht="15" customHeight="1" x14ac:dyDescent="0.2">
      <c r="C5" s="43"/>
      <c r="D5" s="44"/>
    </row>
    <row r="6" spans="1:4" s="26" customFormat="1" ht="15" customHeight="1" x14ac:dyDescent="0.2">
      <c r="C6" s="43"/>
      <c r="D6" s="44"/>
    </row>
    <row r="7" spans="1:4" s="26" customFormat="1" ht="15" customHeight="1" x14ac:dyDescent="0.2">
      <c r="B7" s="87" t="s">
        <v>184</v>
      </c>
      <c r="C7" s="87"/>
      <c r="D7" s="87"/>
    </row>
    <row r="8" spans="1:4" s="26" customFormat="1" ht="15" customHeight="1" x14ac:dyDescent="0.2">
      <c r="B8" s="87"/>
      <c r="C8" s="87"/>
      <c r="D8" s="87"/>
    </row>
    <row r="9" spans="1:4" s="26" customFormat="1" ht="33" customHeight="1" x14ac:dyDescent="0.2">
      <c r="B9" s="87"/>
      <c r="C9" s="87"/>
      <c r="D9" s="87"/>
    </row>
    <row r="10" spans="1:4" s="26" customFormat="1" ht="4.5" customHeight="1" x14ac:dyDescent="0.2">
      <c r="B10" s="45"/>
      <c r="C10" s="45"/>
      <c r="D10" s="45"/>
    </row>
    <row r="11" spans="1:4" s="26" customFormat="1" ht="33" customHeight="1" x14ac:dyDescent="0.2">
      <c r="B11" s="46" t="s">
        <v>115</v>
      </c>
      <c r="C11" s="47" t="s">
        <v>20</v>
      </c>
      <c r="D11" s="48" t="s">
        <v>21</v>
      </c>
    </row>
    <row r="12" spans="1:4" ht="15" customHeight="1" x14ac:dyDescent="0.25">
      <c r="B12" s="50" t="s">
        <v>185</v>
      </c>
      <c r="C12" s="51">
        <v>1718</v>
      </c>
      <c r="D12" s="52">
        <f t="shared" ref="D12:D22" si="0">C12/$C$22</f>
        <v>0.26643920595533499</v>
      </c>
    </row>
    <row r="13" spans="1:4" x14ac:dyDescent="0.25">
      <c r="B13" s="50" t="s">
        <v>156</v>
      </c>
      <c r="C13" s="51">
        <v>1220</v>
      </c>
      <c r="D13" s="52">
        <f t="shared" si="0"/>
        <v>0.1892059553349876</v>
      </c>
    </row>
    <row r="14" spans="1:4" s="53" customFormat="1" ht="15.75" x14ac:dyDescent="0.25">
      <c r="A14" s="49"/>
      <c r="B14" s="50" t="s">
        <v>157</v>
      </c>
      <c r="C14" s="51">
        <v>727</v>
      </c>
      <c r="D14" s="52">
        <f t="shared" si="0"/>
        <v>0.11274813895781638</v>
      </c>
    </row>
    <row r="15" spans="1:4" s="53" customFormat="1" ht="15.75" x14ac:dyDescent="0.25">
      <c r="A15" s="49"/>
      <c r="B15" s="50" t="s">
        <v>131</v>
      </c>
      <c r="C15" s="51">
        <v>589</v>
      </c>
      <c r="D15" s="52">
        <f t="shared" si="0"/>
        <v>9.1346153846153841E-2</v>
      </c>
    </row>
    <row r="16" spans="1:4" x14ac:dyDescent="0.25">
      <c r="B16" s="50" t="s">
        <v>186</v>
      </c>
      <c r="C16" s="51">
        <v>542</v>
      </c>
      <c r="D16" s="52">
        <f t="shared" si="0"/>
        <v>8.4057071960297769E-2</v>
      </c>
    </row>
    <row r="17" spans="2:4" x14ac:dyDescent="0.25">
      <c r="B17" s="50" t="s">
        <v>136</v>
      </c>
      <c r="C17" s="51">
        <v>418</v>
      </c>
      <c r="D17" s="52">
        <f t="shared" si="0"/>
        <v>6.4826302729528537E-2</v>
      </c>
    </row>
    <row r="18" spans="2:4" x14ac:dyDescent="0.25">
      <c r="B18" s="50" t="s">
        <v>152</v>
      </c>
      <c r="C18" s="51">
        <v>364</v>
      </c>
      <c r="D18" s="52">
        <f t="shared" si="0"/>
        <v>5.6451612903225805E-2</v>
      </c>
    </row>
    <row r="19" spans="2:4" x14ac:dyDescent="0.25">
      <c r="B19" s="50" t="s">
        <v>160</v>
      </c>
      <c r="C19" s="51">
        <v>342</v>
      </c>
      <c r="D19" s="52">
        <f t="shared" si="0"/>
        <v>5.3039702233250621E-2</v>
      </c>
    </row>
    <row r="20" spans="2:4" x14ac:dyDescent="0.25">
      <c r="B20" s="50" t="s">
        <v>187</v>
      </c>
      <c r="C20" s="51">
        <v>275</v>
      </c>
      <c r="D20" s="52">
        <f t="shared" si="0"/>
        <v>4.2648883374689826E-2</v>
      </c>
    </row>
    <row r="21" spans="2:4" x14ac:dyDescent="0.25">
      <c r="B21" s="50" t="s">
        <v>147</v>
      </c>
      <c r="C21" s="51">
        <v>253</v>
      </c>
      <c r="D21" s="52">
        <f t="shared" si="0"/>
        <v>3.9236972704714643E-2</v>
      </c>
    </row>
    <row r="22" spans="2:4" x14ac:dyDescent="0.25">
      <c r="B22" s="54" t="s">
        <v>26</v>
      </c>
      <c r="C22" s="55">
        <f>SUM(C12:C21)</f>
        <v>6448</v>
      </c>
      <c r="D22" s="56">
        <f t="shared" si="0"/>
        <v>1</v>
      </c>
    </row>
    <row r="24" spans="2:4" x14ac:dyDescent="0.25">
      <c r="B24" s="39" t="s">
        <v>76</v>
      </c>
    </row>
    <row r="25" spans="2:4" x14ac:dyDescent="0.25">
      <c r="B25" s="41" t="s">
        <v>77</v>
      </c>
    </row>
    <row r="26" spans="2:4" x14ac:dyDescent="0.25">
      <c r="B26" s="42" t="s">
        <v>78</v>
      </c>
    </row>
    <row r="27" spans="2:4" x14ac:dyDescent="0.25">
      <c r="B27" s="39" t="s">
        <v>79</v>
      </c>
    </row>
    <row r="28" spans="2:4" x14ac:dyDescent="0.25">
      <c r="B28" s="39" t="s">
        <v>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"/>
  <sheetViews>
    <sheetView showGridLines="0" zoomScaleNormal="100" zoomScaleSheetLayoutView="115" workbookViewId="0">
      <selection activeCell="H8" sqref="H8"/>
    </sheetView>
  </sheetViews>
  <sheetFormatPr baseColWidth="10" defaultRowHeight="15" x14ac:dyDescent="0.25"/>
  <cols>
    <col min="1" max="1" width="9.28515625" style="49" customWidth="1"/>
    <col min="2" max="2" width="21.7109375" style="49" customWidth="1"/>
    <col min="3" max="3" width="17.7109375" style="57" customWidth="1"/>
    <col min="4" max="4" width="17.7109375" style="49" customWidth="1"/>
    <col min="5" max="5" width="9.28515625" style="49" customWidth="1"/>
    <col min="6" max="6" width="5.7109375" style="49" customWidth="1"/>
    <col min="7" max="16384" width="11.42578125" style="49"/>
  </cols>
  <sheetData>
    <row r="1" spans="1:4" s="26" customFormat="1" ht="15" customHeight="1" x14ac:dyDescent="0.2">
      <c r="C1" s="43"/>
    </row>
    <row r="2" spans="1:4" s="26" customFormat="1" ht="15" customHeight="1" x14ac:dyDescent="0.2">
      <c r="C2" s="43"/>
    </row>
    <row r="3" spans="1:4" s="26" customFormat="1" ht="15" customHeight="1" x14ac:dyDescent="0.2">
      <c r="A3" s="26" t="s">
        <v>81</v>
      </c>
      <c r="C3" s="43"/>
    </row>
    <row r="4" spans="1:4" s="26" customFormat="1" ht="30" customHeight="1" x14ac:dyDescent="0.2">
      <c r="C4" s="43"/>
      <c r="D4" s="44"/>
    </row>
    <row r="5" spans="1:4" s="26" customFormat="1" ht="15" customHeight="1" x14ac:dyDescent="0.2">
      <c r="C5" s="43"/>
      <c r="D5" s="44"/>
    </row>
    <row r="6" spans="1:4" s="26" customFormat="1" ht="15" customHeight="1" x14ac:dyDescent="0.2">
      <c r="C6" s="43"/>
      <c r="D6" s="44"/>
    </row>
    <row r="7" spans="1:4" s="26" customFormat="1" ht="15" customHeight="1" x14ac:dyDescent="0.2">
      <c r="B7" s="87" t="s">
        <v>193</v>
      </c>
      <c r="C7" s="87"/>
      <c r="D7" s="87"/>
    </row>
    <row r="8" spans="1:4" s="26" customFormat="1" ht="15" customHeight="1" x14ac:dyDescent="0.2">
      <c r="B8" s="87"/>
      <c r="C8" s="87"/>
      <c r="D8" s="87"/>
    </row>
    <row r="9" spans="1:4" s="26" customFormat="1" ht="33" customHeight="1" x14ac:dyDescent="0.2">
      <c r="B9" s="87"/>
      <c r="C9" s="87"/>
      <c r="D9" s="87"/>
    </row>
    <row r="10" spans="1:4" s="26" customFormat="1" ht="4.5" customHeight="1" x14ac:dyDescent="0.2">
      <c r="B10" s="45"/>
      <c r="C10" s="45"/>
      <c r="D10" s="45"/>
    </row>
    <row r="11" spans="1:4" s="26" customFormat="1" ht="33" customHeight="1" x14ac:dyDescent="0.2">
      <c r="B11" s="46" t="s">
        <v>194</v>
      </c>
      <c r="C11" s="47" t="s">
        <v>20</v>
      </c>
      <c r="D11" s="48" t="s">
        <v>21</v>
      </c>
    </row>
    <row r="12" spans="1:4" ht="15" customHeight="1" x14ac:dyDescent="0.25">
      <c r="B12" s="50" t="s">
        <v>25</v>
      </c>
      <c r="C12" s="51">
        <v>4056</v>
      </c>
      <c r="D12" s="52">
        <v>0.4622222222222222</v>
      </c>
    </row>
    <row r="13" spans="1:4" x14ac:dyDescent="0.25">
      <c r="B13" s="50" t="s">
        <v>24</v>
      </c>
      <c r="C13" s="51">
        <v>3261</v>
      </c>
      <c r="D13" s="52">
        <v>0.37162393162393165</v>
      </c>
    </row>
    <row r="14" spans="1:4" s="53" customFormat="1" ht="15.75" x14ac:dyDescent="0.25">
      <c r="A14" s="49"/>
      <c r="B14" s="50" t="s">
        <v>23</v>
      </c>
      <c r="C14" s="51">
        <v>1228</v>
      </c>
      <c r="D14" s="52">
        <v>0.13994301994301994</v>
      </c>
    </row>
    <row r="15" spans="1:4" s="53" customFormat="1" ht="15.75" x14ac:dyDescent="0.25">
      <c r="A15" s="49"/>
      <c r="B15" s="50" t="s">
        <v>29</v>
      </c>
      <c r="C15" s="51">
        <v>189</v>
      </c>
      <c r="D15" s="52">
        <v>2.1538461538461538E-2</v>
      </c>
    </row>
    <row r="16" spans="1:4" x14ac:dyDescent="0.25">
      <c r="B16" s="50" t="s">
        <v>32</v>
      </c>
      <c r="C16" s="51">
        <v>41</v>
      </c>
      <c r="D16" s="52">
        <v>4.6723646723646726E-3</v>
      </c>
    </row>
    <row r="17" spans="2:4" x14ac:dyDescent="0.25">
      <c r="B17" s="54" t="s">
        <v>26</v>
      </c>
      <c r="C17" s="55">
        <v>8775</v>
      </c>
      <c r="D17" s="56">
        <v>1</v>
      </c>
    </row>
    <row r="18" spans="2:4" x14ac:dyDescent="0.25">
      <c r="B18" s="39"/>
    </row>
    <row r="19" spans="2:4" x14ac:dyDescent="0.25">
      <c r="B19" s="39" t="s">
        <v>76</v>
      </c>
    </row>
    <row r="20" spans="2:4" x14ac:dyDescent="0.25">
      <c r="B20" s="41" t="s">
        <v>77</v>
      </c>
    </row>
    <row r="21" spans="2:4" x14ac:dyDescent="0.25">
      <c r="B21" s="42" t="s">
        <v>78</v>
      </c>
    </row>
    <row r="22" spans="2:4" x14ac:dyDescent="0.25">
      <c r="B22" s="39" t="s">
        <v>79</v>
      </c>
    </row>
    <row r="23" spans="2:4" x14ac:dyDescent="0.25">
      <c r="B23" s="39" t="s">
        <v>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16.85546875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3"/>
      <c r="C7" s="93"/>
      <c r="D7" s="93"/>
      <c r="E7" s="93"/>
    </row>
    <row r="8" spans="1:5" s="22" customFormat="1" ht="33" customHeight="1" x14ac:dyDescent="0.3">
      <c r="A8" s="25"/>
      <c r="B8" s="93"/>
      <c r="C8" s="93"/>
      <c r="D8" s="93"/>
      <c r="E8" s="93"/>
    </row>
    <row r="9" spans="1:5" s="26" customFormat="1" ht="40.5" customHeight="1" x14ac:dyDescent="0.2">
      <c r="B9" s="27" t="s">
        <v>18</v>
      </c>
      <c r="C9" s="28" t="s">
        <v>19</v>
      </c>
      <c r="D9" s="29" t="s">
        <v>20</v>
      </c>
      <c r="E9" s="27" t="s">
        <v>21</v>
      </c>
    </row>
    <row r="10" spans="1:5" ht="15" customHeight="1" x14ac:dyDescent="0.25">
      <c r="B10" s="88" t="s">
        <v>22</v>
      </c>
      <c r="C10" s="31" t="s">
        <v>23</v>
      </c>
      <c r="D10" s="32">
        <v>3</v>
      </c>
      <c r="E10" s="33">
        <v>3.6253776435045317E-4</v>
      </c>
    </row>
    <row r="11" spans="1:5" ht="15" customHeight="1" x14ac:dyDescent="0.25">
      <c r="B11" s="92"/>
      <c r="C11" s="31" t="s">
        <v>24</v>
      </c>
      <c r="D11" s="32">
        <v>3</v>
      </c>
      <c r="E11" s="33">
        <v>3.6253776435045317E-4</v>
      </c>
    </row>
    <row r="12" spans="1:5" ht="15" customHeight="1" x14ac:dyDescent="0.25">
      <c r="B12" s="92"/>
      <c r="C12" s="31" t="s">
        <v>25</v>
      </c>
      <c r="D12" s="32">
        <v>7</v>
      </c>
      <c r="E12" s="33">
        <v>8.459214501510574E-4</v>
      </c>
    </row>
    <row r="13" spans="1:5" s="24" customFormat="1" ht="15" customHeight="1" x14ac:dyDescent="0.25">
      <c r="A13" s="30"/>
      <c r="B13" s="89"/>
      <c r="C13" s="34" t="s">
        <v>26</v>
      </c>
      <c r="D13" s="35">
        <v>13</v>
      </c>
      <c r="E13" s="36">
        <v>1.5709969788519637E-3</v>
      </c>
    </row>
    <row r="14" spans="1:5" s="24" customFormat="1" ht="15" customHeight="1" x14ac:dyDescent="0.25">
      <c r="A14" s="30"/>
      <c r="B14" s="88" t="s">
        <v>27</v>
      </c>
      <c r="C14" s="31" t="s">
        <v>24</v>
      </c>
      <c r="D14" s="32">
        <v>2</v>
      </c>
      <c r="E14" s="33">
        <v>2.4169184290030211E-4</v>
      </c>
    </row>
    <row r="15" spans="1:5" ht="15" customHeight="1" x14ac:dyDescent="0.25">
      <c r="B15" s="92"/>
      <c r="C15" s="31" t="s">
        <v>25</v>
      </c>
      <c r="D15" s="32">
        <v>1</v>
      </c>
      <c r="E15" s="33">
        <v>1.2084592145015106E-4</v>
      </c>
    </row>
    <row r="16" spans="1:5" ht="15" customHeight="1" x14ac:dyDescent="0.25">
      <c r="B16" s="89"/>
      <c r="C16" s="34" t="s">
        <v>26</v>
      </c>
      <c r="D16" s="35">
        <v>3</v>
      </c>
      <c r="E16" s="36">
        <v>3.6253776435045317E-4</v>
      </c>
    </row>
    <row r="17" spans="2:5" ht="15" customHeight="1" x14ac:dyDescent="0.25">
      <c r="B17" s="88" t="s">
        <v>28</v>
      </c>
      <c r="C17" s="31" t="s">
        <v>23</v>
      </c>
      <c r="D17" s="32">
        <v>21</v>
      </c>
      <c r="E17" s="33">
        <v>2.5377643504531722E-3</v>
      </c>
    </row>
    <row r="18" spans="2:5" ht="15" customHeight="1" x14ac:dyDescent="0.25">
      <c r="B18" s="92"/>
      <c r="C18" s="31" t="s">
        <v>24</v>
      </c>
      <c r="D18" s="32">
        <v>202</v>
      </c>
      <c r="E18" s="33">
        <v>2.4410876132930515E-2</v>
      </c>
    </row>
    <row r="19" spans="2:5" ht="15" customHeight="1" x14ac:dyDescent="0.25">
      <c r="B19" s="92"/>
      <c r="C19" s="31" t="s">
        <v>29</v>
      </c>
      <c r="D19" s="32">
        <v>3</v>
      </c>
      <c r="E19" s="33">
        <v>3.6253776435045317E-4</v>
      </c>
    </row>
    <row r="20" spans="2:5" ht="15" customHeight="1" x14ac:dyDescent="0.25">
      <c r="B20" s="92"/>
      <c r="C20" s="31" t="s">
        <v>25</v>
      </c>
      <c r="D20" s="32">
        <v>58</v>
      </c>
      <c r="E20" s="33">
        <v>7.0090634441087613E-3</v>
      </c>
    </row>
    <row r="21" spans="2:5" ht="15" customHeight="1" x14ac:dyDescent="0.25">
      <c r="B21" s="89"/>
      <c r="C21" s="34" t="s">
        <v>26</v>
      </c>
      <c r="D21" s="35">
        <v>284</v>
      </c>
      <c r="E21" s="36">
        <v>3.4320241691842904E-2</v>
      </c>
    </row>
    <row r="22" spans="2:5" ht="15" customHeight="1" x14ac:dyDescent="0.25">
      <c r="B22" s="88" t="s">
        <v>30</v>
      </c>
      <c r="C22" s="31" t="s">
        <v>23</v>
      </c>
      <c r="D22" s="32">
        <v>5</v>
      </c>
      <c r="E22" s="33">
        <v>6.0422960725075529E-4</v>
      </c>
    </row>
    <row r="23" spans="2:5" ht="15" customHeight="1" x14ac:dyDescent="0.25">
      <c r="B23" s="92"/>
      <c r="C23" s="31" t="s">
        <v>29</v>
      </c>
      <c r="D23" s="32">
        <v>3</v>
      </c>
      <c r="E23" s="33">
        <v>3.6253776435045317E-4</v>
      </c>
    </row>
    <row r="24" spans="2:5" ht="15" customHeight="1" x14ac:dyDescent="0.25">
      <c r="B24" s="92"/>
      <c r="C24" s="31" t="s">
        <v>25</v>
      </c>
      <c r="D24" s="32">
        <v>13</v>
      </c>
      <c r="E24" s="33">
        <v>1.5709969788519637E-3</v>
      </c>
    </row>
    <row r="25" spans="2:5" ht="15" customHeight="1" x14ac:dyDescent="0.25">
      <c r="B25" s="89"/>
      <c r="C25" s="34" t="s">
        <v>26</v>
      </c>
      <c r="D25" s="35">
        <v>21</v>
      </c>
      <c r="E25" s="36">
        <v>2.5377643504531722E-3</v>
      </c>
    </row>
    <row r="26" spans="2:5" ht="15" customHeight="1" x14ac:dyDescent="0.25">
      <c r="B26" s="88" t="s">
        <v>31</v>
      </c>
      <c r="C26" s="31" t="s">
        <v>23</v>
      </c>
      <c r="D26" s="32">
        <v>810</v>
      </c>
      <c r="E26" s="33">
        <v>9.7885196374622355E-2</v>
      </c>
    </row>
    <row r="27" spans="2:5" ht="15" customHeight="1" x14ac:dyDescent="0.25">
      <c r="B27" s="92"/>
      <c r="C27" s="31" t="s">
        <v>24</v>
      </c>
      <c r="D27" s="32">
        <v>2159</v>
      </c>
      <c r="E27" s="33">
        <v>0.26090634441087612</v>
      </c>
    </row>
    <row r="28" spans="2:5" ht="15" customHeight="1" x14ac:dyDescent="0.25">
      <c r="B28" s="92"/>
      <c r="C28" s="31" t="s">
        <v>32</v>
      </c>
      <c r="D28" s="32">
        <v>25</v>
      </c>
      <c r="E28" s="33">
        <v>3.0211480362537764E-3</v>
      </c>
    </row>
    <row r="29" spans="2:5" ht="15" customHeight="1" x14ac:dyDescent="0.25">
      <c r="B29" s="92"/>
      <c r="C29" s="31" t="s">
        <v>29</v>
      </c>
      <c r="D29" s="32">
        <v>112</v>
      </c>
      <c r="E29" s="33">
        <v>1.3534743202416918E-2</v>
      </c>
    </row>
    <row r="30" spans="2:5" ht="15" customHeight="1" x14ac:dyDescent="0.25">
      <c r="B30" s="92"/>
      <c r="C30" s="31" t="s">
        <v>25</v>
      </c>
      <c r="D30" s="32">
        <v>2572</v>
      </c>
      <c r="E30" s="33">
        <v>0.31081570996978852</v>
      </c>
    </row>
    <row r="31" spans="2:5" ht="15" customHeight="1" x14ac:dyDescent="0.25">
      <c r="B31" s="89"/>
      <c r="C31" s="34" t="s">
        <v>26</v>
      </c>
      <c r="D31" s="35">
        <v>5678</v>
      </c>
      <c r="E31" s="36">
        <v>0.68616314199395767</v>
      </c>
    </row>
    <row r="32" spans="2:5" ht="15" customHeight="1" x14ac:dyDescent="0.25">
      <c r="B32" s="88" t="s">
        <v>33</v>
      </c>
      <c r="C32" s="31" t="s">
        <v>23</v>
      </c>
      <c r="D32" s="32">
        <v>12</v>
      </c>
      <c r="E32" s="33">
        <v>1.4501510574018127E-3</v>
      </c>
    </row>
    <row r="33" spans="2:5" ht="15" customHeight="1" x14ac:dyDescent="0.25">
      <c r="B33" s="92"/>
      <c r="C33" s="31" t="s">
        <v>24</v>
      </c>
      <c r="D33" s="32">
        <v>30</v>
      </c>
      <c r="E33" s="33">
        <v>3.6253776435045317E-3</v>
      </c>
    </row>
    <row r="34" spans="2:5" ht="15" customHeight="1" x14ac:dyDescent="0.25">
      <c r="B34" s="92"/>
      <c r="C34" s="31" t="s">
        <v>29</v>
      </c>
      <c r="D34" s="32">
        <v>5</v>
      </c>
      <c r="E34" s="33">
        <v>6.0422960725075529E-4</v>
      </c>
    </row>
    <row r="35" spans="2:5" ht="15" customHeight="1" x14ac:dyDescent="0.25">
      <c r="B35" s="92"/>
      <c r="C35" s="31" t="s">
        <v>25</v>
      </c>
      <c r="D35" s="32">
        <v>49</v>
      </c>
      <c r="E35" s="33">
        <v>5.9214501510574018E-3</v>
      </c>
    </row>
    <row r="36" spans="2:5" ht="15" customHeight="1" x14ac:dyDescent="0.25">
      <c r="B36" s="89"/>
      <c r="C36" s="34" t="s">
        <v>26</v>
      </c>
      <c r="D36" s="35">
        <v>96</v>
      </c>
      <c r="E36" s="36">
        <v>1.1601208459214502E-2</v>
      </c>
    </row>
    <row r="37" spans="2:5" ht="15" customHeight="1" x14ac:dyDescent="0.25">
      <c r="B37" s="88" t="s">
        <v>34</v>
      </c>
      <c r="C37" s="31" t="s">
        <v>24</v>
      </c>
      <c r="D37" s="32">
        <v>1</v>
      </c>
      <c r="E37" s="33">
        <v>1.2084592145015106E-4</v>
      </c>
    </row>
    <row r="38" spans="2:5" ht="15" customHeight="1" x14ac:dyDescent="0.25">
      <c r="B38" s="92"/>
      <c r="C38" s="31" t="s">
        <v>25</v>
      </c>
      <c r="D38" s="32">
        <v>6</v>
      </c>
      <c r="E38" s="33">
        <v>7.2507552870090634E-4</v>
      </c>
    </row>
    <row r="39" spans="2:5" ht="15" customHeight="1" x14ac:dyDescent="0.25">
      <c r="B39" s="89"/>
      <c r="C39" s="34" t="s">
        <v>26</v>
      </c>
      <c r="D39" s="35">
        <v>7</v>
      </c>
      <c r="E39" s="36">
        <v>8.459214501510574E-4</v>
      </c>
    </row>
    <row r="40" spans="2:5" ht="15" customHeight="1" x14ac:dyDescent="0.25">
      <c r="B40" s="88" t="s">
        <v>35</v>
      </c>
      <c r="C40" s="31" t="s">
        <v>23</v>
      </c>
      <c r="D40" s="32">
        <v>1</v>
      </c>
      <c r="E40" s="33">
        <v>1.2084592145015106E-4</v>
      </c>
    </row>
    <row r="41" spans="2:5" ht="15" customHeight="1" x14ac:dyDescent="0.25">
      <c r="B41" s="92"/>
      <c r="C41" s="31" t="s">
        <v>24</v>
      </c>
      <c r="D41" s="32">
        <v>2</v>
      </c>
      <c r="E41" s="33">
        <v>2.4169184290030211E-4</v>
      </c>
    </row>
    <row r="42" spans="2:5" ht="15" customHeight="1" x14ac:dyDescent="0.25">
      <c r="B42" s="92"/>
      <c r="C42" s="31" t="s">
        <v>25</v>
      </c>
      <c r="D42" s="32">
        <v>2</v>
      </c>
      <c r="E42" s="33">
        <v>2.4169184290030211E-4</v>
      </c>
    </row>
    <row r="43" spans="2:5" ht="15" customHeight="1" x14ac:dyDescent="0.25">
      <c r="B43" s="89"/>
      <c r="C43" s="34" t="s">
        <v>26</v>
      </c>
      <c r="D43" s="35">
        <v>5</v>
      </c>
      <c r="E43" s="36">
        <v>6.0422960725075529E-4</v>
      </c>
    </row>
    <row r="44" spans="2:5" ht="15" customHeight="1" x14ac:dyDescent="0.25">
      <c r="B44" s="88" t="s">
        <v>36</v>
      </c>
      <c r="C44" s="31" t="s">
        <v>25</v>
      </c>
      <c r="D44" s="32">
        <v>1</v>
      </c>
      <c r="E44" s="33">
        <v>1.2084592145015106E-4</v>
      </c>
    </row>
    <row r="45" spans="2:5" ht="15" customHeight="1" x14ac:dyDescent="0.25">
      <c r="B45" s="89"/>
      <c r="C45" s="34" t="s">
        <v>26</v>
      </c>
      <c r="D45" s="35">
        <v>1</v>
      </c>
      <c r="E45" s="36">
        <v>1.2084592145015106E-4</v>
      </c>
    </row>
    <row r="46" spans="2:5" ht="15" customHeight="1" x14ac:dyDescent="0.25">
      <c r="B46" s="88" t="s">
        <v>37</v>
      </c>
      <c r="C46" s="31" t="s">
        <v>23</v>
      </c>
      <c r="D46" s="32">
        <v>38</v>
      </c>
      <c r="E46" s="33">
        <v>4.5921450151057402E-3</v>
      </c>
    </row>
    <row r="47" spans="2:5" ht="15" customHeight="1" x14ac:dyDescent="0.25">
      <c r="B47" s="92"/>
      <c r="C47" s="31" t="s">
        <v>24</v>
      </c>
      <c r="D47" s="32">
        <v>22</v>
      </c>
      <c r="E47" s="33">
        <v>2.6586102719033233E-3</v>
      </c>
    </row>
    <row r="48" spans="2:5" ht="15" customHeight="1" x14ac:dyDescent="0.25">
      <c r="B48" s="92"/>
      <c r="C48" s="31" t="s">
        <v>29</v>
      </c>
      <c r="D48" s="32">
        <v>1</v>
      </c>
      <c r="E48" s="33">
        <v>1.2084592145015106E-4</v>
      </c>
    </row>
    <row r="49" spans="2:5" ht="15" customHeight="1" x14ac:dyDescent="0.25">
      <c r="B49" s="92"/>
      <c r="C49" s="31" t="s">
        <v>25</v>
      </c>
      <c r="D49" s="32">
        <v>27</v>
      </c>
      <c r="E49" s="33">
        <v>3.2628398791540785E-3</v>
      </c>
    </row>
    <row r="50" spans="2:5" ht="15" customHeight="1" x14ac:dyDescent="0.25">
      <c r="B50" s="89"/>
      <c r="C50" s="34" t="s">
        <v>26</v>
      </c>
      <c r="D50" s="35">
        <v>88</v>
      </c>
      <c r="E50" s="36">
        <v>1.0634441087613293E-2</v>
      </c>
    </row>
    <row r="51" spans="2:5" ht="15" customHeight="1" x14ac:dyDescent="0.25">
      <c r="B51" s="88" t="s">
        <v>38</v>
      </c>
      <c r="C51" s="31" t="s">
        <v>23</v>
      </c>
      <c r="D51" s="32">
        <v>13</v>
      </c>
      <c r="E51" s="33">
        <v>1.5709969788519637E-3</v>
      </c>
    </row>
    <row r="52" spans="2:5" ht="15" customHeight="1" x14ac:dyDescent="0.25">
      <c r="B52" s="92"/>
      <c r="C52" s="31" t="s">
        <v>24</v>
      </c>
      <c r="D52" s="32">
        <v>12</v>
      </c>
      <c r="E52" s="33">
        <v>1.4501510574018127E-3</v>
      </c>
    </row>
    <row r="53" spans="2:5" ht="15" customHeight="1" x14ac:dyDescent="0.25">
      <c r="B53" s="92"/>
      <c r="C53" s="31" t="s">
        <v>32</v>
      </c>
      <c r="D53" s="32">
        <v>1</v>
      </c>
      <c r="E53" s="33">
        <v>1.2084592145015106E-4</v>
      </c>
    </row>
    <row r="54" spans="2:5" ht="15" customHeight="1" x14ac:dyDescent="0.25">
      <c r="B54" s="92"/>
      <c r="C54" s="31" t="s">
        <v>29</v>
      </c>
      <c r="D54" s="32">
        <v>1</v>
      </c>
      <c r="E54" s="33">
        <v>1.2084592145015106E-4</v>
      </c>
    </row>
    <row r="55" spans="2:5" ht="15" customHeight="1" x14ac:dyDescent="0.25">
      <c r="B55" s="92"/>
      <c r="C55" s="31" t="s">
        <v>25</v>
      </c>
      <c r="D55" s="32">
        <v>36</v>
      </c>
      <c r="E55" s="33">
        <v>4.3504531722054381E-3</v>
      </c>
    </row>
    <row r="56" spans="2:5" ht="15" customHeight="1" x14ac:dyDescent="0.25">
      <c r="B56" s="89"/>
      <c r="C56" s="34" t="s">
        <v>26</v>
      </c>
      <c r="D56" s="35">
        <v>63</v>
      </c>
      <c r="E56" s="36">
        <v>7.6132930513595166E-3</v>
      </c>
    </row>
    <row r="57" spans="2:5" ht="15" customHeight="1" x14ac:dyDescent="0.25">
      <c r="B57" s="88" t="s">
        <v>39</v>
      </c>
      <c r="C57" s="31" t="s">
        <v>24</v>
      </c>
      <c r="D57" s="32">
        <v>1</v>
      </c>
      <c r="E57" s="33">
        <v>1.2084592145015106E-4</v>
      </c>
    </row>
    <row r="58" spans="2:5" ht="15" customHeight="1" x14ac:dyDescent="0.25">
      <c r="B58" s="89"/>
      <c r="C58" s="34" t="s">
        <v>26</v>
      </c>
      <c r="D58" s="35">
        <v>1</v>
      </c>
      <c r="E58" s="36">
        <v>1.2084592145015106E-4</v>
      </c>
    </row>
    <row r="59" spans="2:5" ht="15" customHeight="1" x14ac:dyDescent="0.25">
      <c r="B59" s="88" t="s">
        <v>40</v>
      </c>
      <c r="C59" s="31" t="s">
        <v>24</v>
      </c>
      <c r="D59" s="32">
        <v>12</v>
      </c>
      <c r="E59" s="33">
        <v>1.4501510574018127E-3</v>
      </c>
    </row>
    <row r="60" spans="2:5" ht="15" customHeight="1" x14ac:dyDescent="0.25">
      <c r="B60" s="92"/>
      <c r="C60" s="31" t="s">
        <v>29</v>
      </c>
      <c r="D60" s="32">
        <v>1</v>
      </c>
      <c r="E60" s="33">
        <v>1.2084592145015106E-4</v>
      </c>
    </row>
    <row r="61" spans="2:5" ht="15" customHeight="1" x14ac:dyDescent="0.25">
      <c r="B61" s="92"/>
      <c r="C61" s="31" t="s">
        <v>25</v>
      </c>
      <c r="D61" s="32">
        <v>22</v>
      </c>
      <c r="E61" s="33">
        <v>2.6586102719033233E-3</v>
      </c>
    </row>
    <row r="62" spans="2:5" ht="15" customHeight="1" x14ac:dyDescent="0.25">
      <c r="B62" s="89"/>
      <c r="C62" s="34" t="s">
        <v>26</v>
      </c>
      <c r="D62" s="35">
        <v>35</v>
      </c>
      <c r="E62" s="36">
        <v>4.229607250755287E-3</v>
      </c>
    </row>
    <row r="63" spans="2:5" ht="15" customHeight="1" x14ac:dyDescent="0.25">
      <c r="B63" s="88" t="s">
        <v>41</v>
      </c>
      <c r="C63" s="31" t="s">
        <v>23</v>
      </c>
      <c r="D63" s="32">
        <v>25</v>
      </c>
      <c r="E63" s="33">
        <v>3.0211480362537764E-3</v>
      </c>
    </row>
    <row r="64" spans="2:5" ht="15" customHeight="1" x14ac:dyDescent="0.25">
      <c r="B64" s="92"/>
      <c r="C64" s="31" t="s">
        <v>24</v>
      </c>
      <c r="D64" s="32">
        <v>54</v>
      </c>
      <c r="E64" s="33">
        <v>6.5256797583081571E-3</v>
      </c>
    </row>
    <row r="65" spans="2:5" ht="15" customHeight="1" x14ac:dyDescent="0.25">
      <c r="B65" s="92"/>
      <c r="C65" s="31" t="s">
        <v>32</v>
      </c>
      <c r="D65" s="32">
        <v>1</v>
      </c>
      <c r="E65" s="33">
        <v>1.2084592145015106E-4</v>
      </c>
    </row>
    <row r="66" spans="2:5" ht="15" customHeight="1" x14ac:dyDescent="0.25">
      <c r="B66" s="92"/>
      <c r="C66" s="31" t="s">
        <v>29</v>
      </c>
      <c r="D66" s="32">
        <v>8</v>
      </c>
      <c r="E66" s="33">
        <v>9.6676737160120846E-4</v>
      </c>
    </row>
    <row r="67" spans="2:5" ht="15" customHeight="1" x14ac:dyDescent="0.25">
      <c r="B67" s="92"/>
      <c r="C67" s="31" t="s">
        <v>25</v>
      </c>
      <c r="D67" s="32">
        <v>121</v>
      </c>
      <c r="E67" s="33">
        <v>1.4622356495468279E-2</v>
      </c>
    </row>
    <row r="68" spans="2:5" ht="15" customHeight="1" x14ac:dyDescent="0.25">
      <c r="B68" s="89"/>
      <c r="C68" s="34" t="s">
        <v>26</v>
      </c>
      <c r="D68" s="35">
        <v>209</v>
      </c>
      <c r="E68" s="36">
        <v>2.525679758308157E-2</v>
      </c>
    </row>
    <row r="69" spans="2:5" ht="15" customHeight="1" x14ac:dyDescent="0.25">
      <c r="B69" s="88" t="s">
        <v>42</v>
      </c>
      <c r="C69" s="31" t="s">
        <v>23</v>
      </c>
      <c r="D69" s="32">
        <v>5</v>
      </c>
      <c r="E69" s="33">
        <v>6.0422960725075529E-4</v>
      </c>
    </row>
    <row r="70" spans="2:5" ht="15" customHeight="1" x14ac:dyDescent="0.25">
      <c r="B70" s="92"/>
      <c r="C70" s="31" t="s">
        <v>24</v>
      </c>
      <c r="D70" s="32">
        <v>9</v>
      </c>
      <c r="E70" s="33">
        <v>1.0876132930513595E-3</v>
      </c>
    </row>
    <row r="71" spans="2:5" ht="15" customHeight="1" x14ac:dyDescent="0.25">
      <c r="B71" s="92"/>
      <c r="C71" s="31" t="s">
        <v>29</v>
      </c>
      <c r="D71" s="32">
        <v>2</v>
      </c>
      <c r="E71" s="33">
        <v>2.4169184290030211E-4</v>
      </c>
    </row>
    <row r="72" spans="2:5" ht="15" customHeight="1" x14ac:dyDescent="0.25">
      <c r="B72" s="92"/>
      <c r="C72" s="31" t="s">
        <v>25</v>
      </c>
      <c r="D72" s="32">
        <v>22</v>
      </c>
      <c r="E72" s="33">
        <v>2.6586102719033233E-3</v>
      </c>
    </row>
    <row r="73" spans="2:5" ht="15" customHeight="1" x14ac:dyDescent="0.25">
      <c r="B73" s="89"/>
      <c r="C73" s="34" t="s">
        <v>26</v>
      </c>
      <c r="D73" s="35">
        <v>38</v>
      </c>
      <c r="E73" s="36">
        <v>4.5921450151057402E-3</v>
      </c>
    </row>
    <row r="74" spans="2:5" ht="15" customHeight="1" x14ac:dyDescent="0.25">
      <c r="B74" s="88" t="s">
        <v>43</v>
      </c>
      <c r="C74" s="31" t="s">
        <v>23</v>
      </c>
      <c r="D74" s="32">
        <v>2</v>
      </c>
      <c r="E74" s="33">
        <v>2.4169184290030211E-4</v>
      </c>
    </row>
    <row r="75" spans="2:5" ht="15" customHeight="1" x14ac:dyDescent="0.25">
      <c r="B75" s="92"/>
      <c r="C75" s="31" t="s">
        <v>24</v>
      </c>
      <c r="D75" s="32">
        <v>16</v>
      </c>
      <c r="E75" s="33">
        <v>1.9335347432024169E-3</v>
      </c>
    </row>
    <row r="76" spans="2:5" ht="15" customHeight="1" x14ac:dyDescent="0.25">
      <c r="B76" s="92"/>
      <c r="C76" s="31" t="s">
        <v>25</v>
      </c>
      <c r="D76" s="32">
        <v>9</v>
      </c>
      <c r="E76" s="33">
        <v>1.0876132930513595E-3</v>
      </c>
    </row>
    <row r="77" spans="2:5" ht="15" customHeight="1" x14ac:dyDescent="0.25">
      <c r="B77" s="89"/>
      <c r="C77" s="34" t="s">
        <v>26</v>
      </c>
      <c r="D77" s="35">
        <v>27</v>
      </c>
      <c r="E77" s="36">
        <v>3.2628398791540785E-3</v>
      </c>
    </row>
    <row r="78" spans="2:5" ht="15" customHeight="1" x14ac:dyDescent="0.25">
      <c r="B78" s="88" t="s">
        <v>44</v>
      </c>
      <c r="C78" s="31" t="s">
        <v>23</v>
      </c>
      <c r="D78" s="32">
        <v>8</v>
      </c>
      <c r="E78" s="33">
        <v>9.6676737160120846E-4</v>
      </c>
    </row>
    <row r="79" spans="2:5" ht="15" customHeight="1" x14ac:dyDescent="0.25">
      <c r="B79" s="92"/>
      <c r="C79" s="31" t="s">
        <v>24</v>
      </c>
      <c r="D79" s="32">
        <v>12</v>
      </c>
      <c r="E79" s="33">
        <v>1.4501510574018127E-3</v>
      </c>
    </row>
    <row r="80" spans="2:5" ht="15" customHeight="1" x14ac:dyDescent="0.25">
      <c r="B80" s="92"/>
      <c r="C80" s="31" t="s">
        <v>25</v>
      </c>
      <c r="D80" s="32">
        <v>28</v>
      </c>
      <c r="E80" s="33">
        <v>3.3836858006042296E-3</v>
      </c>
    </row>
    <row r="81" spans="2:5" ht="15" customHeight="1" x14ac:dyDescent="0.25">
      <c r="B81" s="89"/>
      <c r="C81" s="34" t="s">
        <v>26</v>
      </c>
      <c r="D81" s="35">
        <v>48</v>
      </c>
      <c r="E81" s="36">
        <v>5.8006042296072508E-3</v>
      </c>
    </row>
    <row r="82" spans="2:5" ht="15" customHeight="1" x14ac:dyDescent="0.25">
      <c r="B82" s="88" t="s">
        <v>45</v>
      </c>
      <c r="C82" s="31" t="s">
        <v>23</v>
      </c>
      <c r="D82" s="32">
        <v>1</v>
      </c>
      <c r="E82" s="33">
        <v>1.2084592145015106E-4</v>
      </c>
    </row>
    <row r="83" spans="2:5" ht="15" customHeight="1" x14ac:dyDescent="0.25">
      <c r="B83" s="92"/>
      <c r="C83" s="31" t="s">
        <v>24</v>
      </c>
      <c r="D83" s="32">
        <v>2</v>
      </c>
      <c r="E83" s="33">
        <v>2.4169184290030211E-4</v>
      </c>
    </row>
    <row r="84" spans="2:5" ht="15" customHeight="1" x14ac:dyDescent="0.25">
      <c r="B84" s="92"/>
      <c r="C84" s="31" t="s">
        <v>25</v>
      </c>
      <c r="D84" s="32">
        <v>3</v>
      </c>
      <c r="E84" s="33">
        <v>3.6253776435045317E-4</v>
      </c>
    </row>
    <row r="85" spans="2:5" ht="15" customHeight="1" x14ac:dyDescent="0.25">
      <c r="B85" s="89"/>
      <c r="C85" s="34" t="s">
        <v>26</v>
      </c>
      <c r="D85" s="35">
        <v>6</v>
      </c>
      <c r="E85" s="36">
        <v>7.2507552870090634E-4</v>
      </c>
    </row>
    <row r="86" spans="2:5" ht="15" customHeight="1" x14ac:dyDescent="0.25">
      <c r="B86" s="88" t="s">
        <v>46</v>
      </c>
      <c r="C86" s="31" t="s">
        <v>23</v>
      </c>
      <c r="D86" s="32">
        <v>3</v>
      </c>
      <c r="E86" s="33">
        <v>3.6253776435045317E-4</v>
      </c>
    </row>
    <row r="87" spans="2:5" ht="15" customHeight="1" x14ac:dyDescent="0.25">
      <c r="B87" s="92"/>
      <c r="C87" s="31" t="s">
        <v>24</v>
      </c>
      <c r="D87" s="32">
        <v>1</v>
      </c>
      <c r="E87" s="33">
        <v>1.2084592145015106E-4</v>
      </c>
    </row>
    <row r="88" spans="2:5" ht="15" customHeight="1" x14ac:dyDescent="0.25">
      <c r="B88" s="92"/>
      <c r="C88" s="31" t="s">
        <v>25</v>
      </c>
      <c r="D88" s="32">
        <v>3</v>
      </c>
      <c r="E88" s="33">
        <v>3.6253776435045317E-4</v>
      </c>
    </row>
    <row r="89" spans="2:5" ht="15" customHeight="1" x14ac:dyDescent="0.25">
      <c r="B89" s="89"/>
      <c r="C89" s="34" t="s">
        <v>26</v>
      </c>
      <c r="D89" s="35">
        <v>7</v>
      </c>
      <c r="E89" s="36">
        <v>8.459214501510574E-4</v>
      </c>
    </row>
    <row r="90" spans="2:5" ht="15" customHeight="1" x14ac:dyDescent="0.25">
      <c r="B90" s="88" t="s">
        <v>47</v>
      </c>
      <c r="C90" s="31" t="s">
        <v>25</v>
      </c>
      <c r="D90" s="32">
        <v>1</v>
      </c>
      <c r="E90" s="33">
        <v>1.2084592145015106E-4</v>
      </c>
    </row>
    <row r="91" spans="2:5" ht="15" customHeight="1" x14ac:dyDescent="0.25">
      <c r="B91" s="89"/>
      <c r="C91" s="34" t="s">
        <v>26</v>
      </c>
      <c r="D91" s="35">
        <v>1</v>
      </c>
      <c r="E91" s="36">
        <v>1.2084592145015106E-4</v>
      </c>
    </row>
    <row r="92" spans="2:5" ht="15" customHeight="1" x14ac:dyDescent="0.25">
      <c r="B92" s="88" t="s">
        <v>48</v>
      </c>
      <c r="C92" s="31" t="s">
        <v>23</v>
      </c>
      <c r="D92" s="32">
        <v>2</v>
      </c>
      <c r="E92" s="33">
        <v>2.4169184290030211E-4</v>
      </c>
    </row>
    <row r="93" spans="2:5" ht="15" customHeight="1" x14ac:dyDescent="0.25">
      <c r="B93" s="92"/>
      <c r="C93" s="31" t="s">
        <v>24</v>
      </c>
      <c r="D93" s="32">
        <v>1</v>
      </c>
      <c r="E93" s="33">
        <v>1.2084592145015106E-4</v>
      </c>
    </row>
    <row r="94" spans="2:5" ht="15" customHeight="1" x14ac:dyDescent="0.25">
      <c r="B94" s="92"/>
      <c r="C94" s="31" t="s">
        <v>29</v>
      </c>
      <c r="D94" s="32">
        <v>1</v>
      </c>
      <c r="E94" s="33">
        <v>1.2084592145015106E-4</v>
      </c>
    </row>
    <row r="95" spans="2:5" ht="15" customHeight="1" x14ac:dyDescent="0.25">
      <c r="B95" s="92"/>
      <c r="C95" s="31" t="s">
        <v>25</v>
      </c>
      <c r="D95" s="32">
        <v>1</v>
      </c>
      <c r="E95" s="33">
        <v>1.2084592145015106E-4</v>
      </c>
    </row>
    <row r="96" spans="2:5" ht="15" customHeight="1" x14ac:dyDescent="0.25">
      <c r="B96" s="89"/>
      <c r="C96" s="34" t="s">
        <v>26</v>
      </c>
      <c r="D96" s="35">
        <v>5</v>
      </c>
      <c r="E96" s="36">
        <v>6.0422960725075529E-4</v>
      </c>
    </row>
    <row r="97" spans="2:5" ht="15" customHeight="1" x14ac:dyDescent="0.25">
      <c r="B97" s="88" t="s">
        <v>49</v>
      </c>
      <c r="C97" s="31" t="s">
        <v>23</v>
      </c>
      <c r="D97" s="32">
        <v>1</v>
      </c>
      <c r="E97" s="33">
        <v>1.2084592145015106E-4</v>
      </c>
    </row>
    <row r="98" spans="2:5" ht="15" customHeight="1" x14ac:dyDescent="0.25">
      <c r="B98" s="92"/>
      <c r="C98" s="31" t="s">
        <v>24</v>
      </c>
      <c r="D98" s="32">
        <v>1</v>
      </c>
      <c r="E98" s="33">
        <v>1.2084592145015106E-4</v>
      </c>
    </row>
    <row r="99" spans="2:5" ht="15" customHeight="1" x14ac:dyDescent="0.25">
      <c r="B99" s="92"/>
      <c r="C99" s="31" t="s">
        <v>25</v>
      </c>
      <c r="D99" s="32">
        <v>2</v>
      </c>
      <c r="E99" s="33">
        <v>2.4169184290030211E-4</v>
      </c>
    </row>
    <row r="100" spans="2:5" ht="15" customHeight="1" x14ac:dyDescent="0.25">
      <c r="B100" s="89"/>
      <c r="C100" s="34" t="s">
        <v>26</v>
      </c>
      <c r="D100" s="35">
        <v>4</v>
      </c>
      <c r="E100" s="36">
        <v>4.8338368580060423E-4</v>
      </c>
    </row>
    <row r="101" spans="2:5" ht="15" customHeight="1" x14ac:dyDescent="0.25">
      <c r="B101" s="88" t="s">
        <v>50</v>
      </c>
      <c r="C101" s="31" t="s">
        <v>23</v>
      </c>
      <c r="D101" s="32">
        <v>2</v>
      </c>
      <c r="E101" s="33">
        <v>2.4169184290030211E-4</v>
      </c>
    </row>
    <row r="102" spans="2:5" ht="15" customHeight="1" x14ac:dyDescent="0.25">
      <c r="B102" s="92"/>
      <c r="C102" s="31" t="s">
        <v>24</v>
      </c>
      <c r="D102" s="32">
        <v>5</v>
      </c>
      <c r="E102" s="33">
        <v>6.0422960725075529E-4</v>
      </c>
    </row>
    <row r="103" spans="2:5" ht="15" customHeight="1" x14ac:dyDescent="0.25">
      <c r="B103" s="92"/>
      <c r="C103" s="31" t="s">
        <v>29</v>
      </c>
      <c r="D103" s="32">
        <v>2</v>
      </c>
      <c r="E103" s="33">
        <v>2.4169184290030211E-4</v>
      </c>
    </row>
    <row r="104" spans="2:5" ht="15" customHeight="1" x14ac:dyDescent="0.25">
      <c r="B104" s="92"/>
      <c r="C104" s="31" t="s">
        <v>25</v>
      </c>
      <c r="D104" s="32">
        <v>13</v>
      </c>
      <c r="E104" s="33">
        <v>1.5709969788519637E-3</v>
      </c>
    </row>
    <row r="105" spans="2:5" ht="15" customHeight="1" x14ac:dyDescent="0.25">
      <c r="B105" s="89"/>
      <c r="C105" s="34" t="s">
        <v>26</v>
      </c>
      <c r="D105" s="35">
        <v>22</v>
      </c>
      <c r="E105" s="36">
        <v>2.6586102719033233E-3</v>
      </c>
    </row>
    <row r="106" spans="2:5" ht="15" customHeight="1" x14ac:dyDescent="0.25">
      <c r="B106" s="88" t="s">
        <v>51</v>
      </c>
      <c r="C106" s="31" t="s">
        <v>23</v>
      </c>
      <c r="D106" s="32">
        <v>3</v>
      </c>
      <c r="E106" s="33">
        <v>3.6253776435045317E-4</v>
      </c>
    </row>
    <row r="107" spans="2:5" ht="15" customHeight="1" x14ac:dyDescent="0.25">
      <c r="B107" s="92"/>
      <c r="C107" s="31" t="s">
        <v>24</v>
      </c>
      <c r="D107" s="32">
        <v>4</v>
      </c>
      <c r="E107" s="33">
        <v>4.8338368580060423E-4</v>
      </c>
    </row>
    <row r="108" spans="2:5" ht="15" customHeight="1" x14ac:dyDescent="0.25">
      <c r="B108" s="92"/>
      <c r="C108" s="31" t="s">
        <v>25</v>
      </c>
      <c r="D108" s="32">
        <v>16</v>
      </c>
      <c r="E108" s="33">
        <v>1.9335347432024169E-3</v>
      </c>
    </row>
    <row r="109" spans="2:5" ht="15" customHeight="1" x14ac:dyDescent="0.25">
      <c r="B109" s="89"/>
      <c r="C109" s="34" t="s">
        <v>26</v>
      </c>
      <c r="D109" s="35">
        <v>23</v>
      </c>
      <c r="E109" s="36">
        <v>2.7794561933534743E-3</v>
      </c>
    </row>
    <row r="110" spans="2:5" ht="15" customHeight="1" x14ac:dyDescent="0.25">
      <c r="B110" s="88" t="s">
        <v>52</v>
      </c>
      <c r="C110" s="31" t="s">
        <v>23</v>
      </c>
      <c r="D110" s="32">
        <v>1</v>
      </c>
      <c r="E110" s="33">
        <v>1.2084592145015106E-4</v>
      </c>
    </row>
    <row r="111" spans="2:5" ht="15" customHeight="1" x14ac:dyDescent="0.25">
      <c r="B111" s="92"/>
      <c r="C111" s="31" t="s">
        <v>24</v>
      </c>
      <c r="D111" s="32">
        <v>1</v>
      </c>
      <c r="E111" s="33">
        <v>1.2084592145015106E-4</v>
      </c>
    </row>
    <row r="112" spans="2:5" ht="15" customHeight="1" x14ac:dyDescent="0.25">
      <c r="B112" s="92"/>
      <c r="C112" s="31" t="s">
        <v>25</v>
      </c>
      <c r="D112" s="32">
        <v>2</v>
      </c>
      <c r="E112" s="33">
        <v>2.4169184290030211E-4</v>
      </c>
    </row>
    <row r="113" spans="2:5" ht="15" customHeight="1" x14ac:dyDescent="0.25">
      <c r="B113" s="89"/>
      <c r="C113" s="34" t="s">
        <v>26</v>
      </c>
      <c r="D113" s="35">
        <v>4</v>
      </c>
      <c r="E113" s="36">
        <v>4.8338368580060423E-4</v>
      </c>
    </row>
    <row r="114" spans="2:5" ht="15" customHeight="1" x14ac:dyDescent="0.25">
      <c r="B114" s="88" t="s">
        <v>53</v>
      </c>
      <c r="C114" s="31" t="s">
        <v>23</v>
      </c>
      <c r="D114" s="32">
        <v>4</v>
      </c>
      <c r="E114" s="33">
        <v>4.8338368580060423E-4</v>
      </c>
    </row>
    <row r="115" spans="2:5" ht="15" customHeight="1" x14ac:dyDescent="0.25">
      <c r="B115" s="92"/>
      <c r="C115" s="31" t="s">
        <v>24</v>
      </c>
      <c r="D115" s="32">
        <v>5</v>
      </c>
      <c r="E115" s="33">
        <v>6.0422960725075529E-4</v>
      </c>
    </row>
    <row r="116" spans="2:5" ht="15" customHeight="1" x14ac:dyDescent="0.25">
      <c r="B116" s="92"/>
      <c r="C116" s="31" t="s">
        <v>32</v>
      </c>
      <c r="D116" s="32">
        <v>1</v>
      </c>
      <c r="E116" s="33">
        <v>1.2084592145015106E-4</v>
      </c>
    </row>
    <row r="117" spans="2:5" ht="15" customHeight="1" x14ac:dyDescent="0.25">
      <c r="B117" s="92"/>
      <c r="C117" s="31" t="s">
        <v>25</v>
      </c>
      <c r="D117" s="32">
        <v>24</v>
      </c>
      <c r="E117" s="33">
        <v>2.9003021148036254E-3</v>
      </c>
    </row>
    <row r="118" spans="2:5" ht="15" customHeight="1" x14ac:dyDescent="0.25">
      <c r="B118" s="89"/>
      <c r="C118" s="34" t="s">
        <v>26</v>
      </c>
      <c r="D118" s="35">
        <v>34</v>
      </c>
      <c r="E118" s="36">
        <v>4.1087613293051359E-3</v>
      </c>
    </row>
    <row r="119" spans="2:5" ht="15" customHeight="1" x14ac:dyDescent="0.25">
      <c r="B119" s="88" t="s">
        <v>54</v>
      </c>
      <c r="C119" s="31" t="s">
        <v>25</v>
      </c>
      <c r="D119" s="32">
        <v>1</v>
      </c>
      <c r="E119" s="33">
        <v>1.2084592145015106E-4</v>
      </c>
    </row>
    <row r="120" spans="2:5" ht="15" customHeight="1" x14ac:dyDescent="0.25">
      <c r="B120" s="89"/>
      <c r="C120" s="34" t="s">
        <v>26</v>
      </c>
      <c r="D120" s="35">
        <v>1</v>
      </c>
      <c r="E120" s="36">
        <v>1.2084592145015106E-4</v>
      </c>
    </row>
    <row r="121" spans="2:5" ht="15" customHeight="1" x14ac:dyDescent="0.25">
      <c r="B121" s="88" t="s">
        <v>55</v>
      </c>
      <c r="C121" s="31" t="s">
        <v>23</v>
      </c>
      <c r="D121" s="32">
        <v>2</v>
      </c>
      <c r="E121" s="33">
        <v>2.4169184290030211E-4</v>
      </c>
    </row>
    <row r="122" spans="2:5" ht="15" customHeight="1" x14ac:dyDescent="0.25">
      <c r="B122" s="92"/>
      <c r="C122" s="31" t="s">
        <v>24</v>
      </c>
      <c r="D122" s="32">
        <v>10</v>
      </c>
      <c r="E122" s="33">
        <v>1.2084592145015106E-3</v>
      </c>
    </row>
    <row r="123" spans="2:5" ht="15" customHeight="1" x14ac:dyDescent="0.25">
      <c r="B123" s="92"/>
      <c r="C123" s="31" t="s">
        <v>29</v>
      </c>
      <c r="D123" s="32">
        <v>1</v>
      </c>
      <c r="E123" s="33">
        <v>1.2084592145015106E-4</v>
      </c>
    </row>
    <row r="124" spans="2:5" ht="15" customHeight="1" x14ac:dyDescent="0.25">
      <c r="B124" s="92"/>
      <c r="C124" s="31" t="s">
        <v>25</v>
      </c>
      <c r="D124" s="32">
        <v>18</v>
      </c>
      <c r="E124" s="33">
        <v>2.175226586102719E-3</v>
      </c>
    </row>
    <row r="125" spans="2:5" ht="15" customHeight="1" x14ac:dyDescent="0.25">
      <c r="B125" s="89"/>
      <c r="C125" s="34" t="s">
        <v>26</v>
      </c>
      <c r="D125" s="35">
        <v>31</v>
      </c>
      <c r="E125" s="36">
        <v>3.7462235649546828E-3</v>
      </c>
    </row>
    <row r="126" spans="2:5" ht="15" customHeight="1" x14ac:dyDescent="0.25">
      <c r="B126" s="88" t="s">
        <v>56</v>
      </c>
      <c r="C126" s="31" t="s">
        <v>23</v>
      </c>
      <c r="D126" s="32">
        <v>47</v>
      </c>
      <c r="E126" s="33">
        <v>5.6797583081570997E-3</v>
      </c>
    </row>
    <row r="127" spans="2:5" ht="15" customHeight="1" x14ac:dyDescent="0.25">
      <c r="B127" s="92"/>
      <c r="C127" s="31" t="s">
        <v>24</v>
      </c>
      <c r="D127" s="32">
        <v>178</v>
      </c>
      <c r="E127" s="33">
        <v>2.151057401812689E-2</v>
      </c>
    </row>
    <row r="128" spans="2:5" ht="15" customHeight="1" x14ac:dyDescent="0.25">
      <c r="B128" s="92"/>
      <c r="C128" s="31" t="s">
        <v>32</v>
      </c>
      <c r="D128" s="32">
        <v>3</v>
      </c>
      <c r="E128" s="33">
        <v>3.6253776435045317E-4</v>
      </c>
    </row>
    <row r="129" spans="2:5" ht="15" customHeight="1" x14ac:dyDescent="0.25">
      <c r="B129" s="92"/>
      <c r="C129" s="31" t="s">
        <v>29</v>
      </c>
      <c r="D129" s="32">
        <v>5</v>
      </c>
      <c r="E129" s="33">
        <v>6.0422960725075529E-4</v>
      </c>
    </row>
    <row r="130" spans="2:5" ht="15" customHeight="1" x14ac:dyDescent="0.25">
      <c r="B130" s="92"/>
      <c r="C130" s="31" t="s">
        <v>25</v>
      </c>
      <c r="D130" s="32">
        <v>226</v>
      </c>
      <c r="E130" s="33">
        <v>2.7311178247734141E-2</v>
      </c>
    </row>
    <row r="131" spans="2:5" ht="15" customHeight="1" x14ac:dyDescent="0.25">
      <c r="B131" s="89"/>
      <c r="C131" s="34" t="s">
        <v>26</v>
      </c>
      <c r="D131" s="35">
        <v>459</v>
      </c>
      <c r="E131" s="36">
        <v>5.5468277945619336E-2</v>
      </c>
    </row>
    <row r="132" spans="2:5" ht="15" customHeight="1" x14ac:dyDescent="0.25">
      <c r="B132" s="88" t="s">
        <v>57</v>
      </c>
      <c r="C132" s="31" t="s">
        <v>23</v>
      </c>
      <c r="D132" s="32">
        <v>5</v>
      </c>
      <c r="E132" s="33">
        <v>6.0422960725075529E-4</v>
      </c>
    </row>
    <row r="133" spans="2:5" ht="15" customHeight="1" x14ac:dyDescent="0.25">
      <c r="B133" s="92"/>
      <c r="C133" s="31" t="s">
        <v>24</v>
      </c>
      <c r="D133" s="32">
        <v>3</v>
      </c>
      <c r="E133" s="33">
        <v>3.6253776435045317E-4</v>
      </c>
    </row>
    <row r="134" spans="2:5" ht="15" customHeight="1" x14ac:dyDescent="0.25">
      <c r="B134" s="92"/>
      <c r="C134" s="31" t="s">
        <v>25</v>
      </c>
      <c r="D134" s="32">
        <v>15</v>
      </c>
      <c r="E134" s="33">
        <v>1.8126888217522659E-3</v>
      </c>
    </row>
    <row r="135" spans="2:5" ht="15" customHeight="1" x14ac:dyDescent="0.25">
      <c r="B135" s="89"/>
      <c r="C135" s="34" t="s">
        <v>26</v>
      </c>
      <c r="D135" s="35">
        <v>23</v>
      </c>
      <c r="E135" s="36">
        <v>2.7794561933534743E-3</v>
      </c>
    </row>
    <row r="136" spans="2:5" ht="15" customHeight="1" x14ac:dyDescent="0.25">
      <c r="B136" s="88" t="s">
        <v>58</v>
      </c>
      <c r="C136" s="31" t="s">
        <v>23</v>
      </c>
      <c r="D136" s="32">
        <v>5</v>
      </c>
      <c r="E136" s="33">
        <v>6.0422960725075529E-4</v>
      </c>
    </row>
    <row r="137" spans="2:5" ht="15" customHeight="1" x14ac:dyDescent="0.25">
      <c r="B137" s="92"/>
      <c r="C137" s="31" t="s">
        <v>24</v>
      </c>
      <c r="D137" s="32">
        <v>13</v>
      </c>
      <c r="E137" s="33">
        <v>1.5709969788519637E-3</v>
      </c>
    </row>
    <row r="138" spans="2:5" ht="15" customHeight="1" x14ac:dyDescent="0.25">
      <c r="B138" s="92"/>
      <c r="C138" s="31" t="s">
        <v>32</v>
      </c>
      <c r="D138" s="32">
        <v>2</v>
      </c>
      <c r="E138" s="33">
        <v>2.4169184290030211E-4</v>
      </c>
    </row>
    <row r="139" spans="2:5" ht="15" customHeight="1" x14ac:dyDescent="0.25">
      <c r="B139" s="92"/>
      <c r="C139" s="31" t="s">
        <v>29</v>
      </c>
      <c r="D139" s="32">
        <v>3</v>
      </c>
      <c r="E139" s="33">
        <v>3.6253776435045317E-4</v>
      </c>
    </row>
    <row r="140" spans="2:5" ht="15" customHeight="1" x14ac:dyDescent="0.25">
      <c r="B140" s="92"/>
      <c r="C140" s="31" t="s">
        <v>25</v>
      </c>
      <c r="D140" s="32">
        <v>18</v>
      </c>
      <c r="E140" s="33">
        <v>2.175226586102719E-3</v>
      </c>
    </row>
    <row r="141" spans="2:5" ht="15" customHeight="1" x14ac:dyDescent="0.25">
      <c r="B141" s="89"/>
      <c r="C141" s="34" t="s">
        <v>26</v>
      </c>
      <c r="D141" s="35">
        <v>41</v>
      </c>
      <c r="E141" s="36">
        <v>4.9546827794561933E-3</v>
      </c>
    </row>
    <row r="142" spans="2:5" ht="15" customHeight="1" x14ac:dyDescent="0.25">
      <c r="B142" s="88" t="s">
        <v>59</v>
      </c>
      <c r="C142" s="31" t="s">
        <v>23</v>
      </c>
      <c r="D142" s="32">
        <v>6</v>
      </c>
      <c r="E142" s="33">
        <v>7.2507552870090634E-4</v>
      </c>
    </row>
    <row r="143" spans="2:5" ht="15" customHeight="1" x14ac:dyDescent="0.25">
      <c r="B143" s="92"/>
      <c r="C143" s="31" t="s">
        <v>24</v>
      </c>
      <c r="D143" s="32">
        <v>11</v>
      </c>
      <c r="E143" s="33">
        <v>1.3293051359516616E-3</v>
      </c>
    </row>
    <row r="144" spans="2:5" ht="15" customHeight="1" x14ac:dyDescent="0.25">
      <c r="B144" s="92"/>
      <c r="C144" s="31" t="s">
        <v>25</v>
      </c>
      <c r="D144" s="32">
        <v>21</v>
      </c>
      <c r="E144" s="33">
        <v>2.5377643504531722E-3</v>
      </c>
    </row>
    <row r="145" spans="2:5" ht="15" customHeight="1" x14ac:dyDescent="0.25">
      <c r="B145" s="89"/>
      <c r="C145" s="34" t="s">
        <v>26</v>
      </c>
      <c r="D145" s="35">
        <v>38</v>
      </c>
      <c r="E145" s="36">
        <v>4.5921450151057402E-3</v>
      </c>
    </row>
    <row r="146" spans="2:5" ht="15" customHeight="1" x14ac:dyDescent="0.25">
      <c r="B146" s="88" t="s">
        <v>60</v>
      </c>
      <c r="C146" s="31" t="s">
        <v>23</v>
      </c>
      <c r="D146" s="32">
        <v>9</v>
      </c>
      <c r="E146" s="33">
        <v>1.0876132930513595E-3</v>
      </c>
    </row>
    <row r="147" spans="2:5" ht="15" customHeight="1" x14ac:dyDescent="0.25">
      <c r="B147" s="92"/>
      <c r="C147" s="31" t="s">
        <v>24</v>
      </c>
      <c r="D147" s="32">
        <v>11</v>
      </c>
      <c r="E147" s="33">
        <v>1.3293051359516616E-3</v>
      </c>
    </row>
    <row r="148" spans="2:5" ht="15" customHeight="1" x14ac:dyDescent="0.25">
      <c r="B148" s="92"/>
      <c r="C148" s="31" t="s">
        <v>29</v>
      </c>
      <c r="D148" s="32">
        <v>2</v>
      </c>
      <c r="E148" s="33">
        <v>2.4169184290030211E-4</v>
      </c>
    </row>
    <row r="149" spans="2:5" ht="15" customHeight="1" x14ac:dyDescent="0.25">
      <c r="B149" s="92"/>
      <c r="C149" s="31" t="s">
        <v>25</v>
      </c>
      <c r="D149" s="32">
        <v>28</v>
      </c>
      <c r="E149" s="33">
        <v>3.3836858006042296E-3</v>
      </c>
    </row>
    <row r="150" spans="2:5" ht="15" customHeight="1" x14ac:dyDescent="0.25">
      <c r="B150" s="89"/>
      <c r="C150" s="34" t="s">
        <v>26</v>
      </c>
      <c r="D150" s="35">
        <v>50</v>
      </c>
      <c r="E150" s="36">
        <v>6.0422960725075529E-3</v>
      </c>
    </row>
    <row r="151" spans="2:5" ht="15" customHeight="1" x14ac:dyDescent="0.25">
      <c r="B151" s="88" t="s">
        <v>61</v>
      </c>
      <c r="C151" s="31" t="s">
        <v>24</v>
      </c>
      <c r="D151" s="32">
        <v>1</v>
      </c>
      <c r="E151" s="33">
        <v>1.2084592145015106E-4</v>
      </c>
    </row>
    <row r="152" spans="2:5" ht="15" customHeight="1" x14ac:dyDescent="0.25">
      <c r="B152" s="89"/>
      <c r="C152" s="34" t="s">
        <v>26</v>
      </c>
      <c r="D152" s="35">
        <v>1</v>
      </c>
      <c r="E152" s="36">
        <v>1.2084592145015106E-4</v>
      </c>
    </row>
    <row r="153" spans="2:5" ht="15" customHeight="1" x14ac:dyDescent="0.25">
      <c r="B153" s="88" t="s">
        <v>62</v>
      </c>
      <c r="C153" s="31" t="s">
        <v>23</v>
      </c>
      <c r="D153" s="32">
        <v>2</v>
      </c>
      <c r="E153" s="33">
        <v>2.4169184290030211E-4</v>
      </c>
    </row>
    <row r="154" spans="2:5" ht="15" customHeight="1" x14ac:dyDescent="0.25">
      <c r="B154" s="92"/>
      <c r="C154" s="31" t="s">
        <v>24</v>
      </c>
      <c r="D154" s="32">
        <v>7</v>
      </c>
      <c r="E154" s="33">
        <v>8.459214501510574E-4</v>
      </c>
    </row>
    <row r="155" spans="2:5" ht="15" customHeight="1" x14ac:dyDescent="0.25">
      <c r="B155" s="92"/>
      <c r="C155" s="31" t="s">
        <v>25</v>
      </c>
      <c r="D155" s="32">
        <v>5</v>
      </c>
      <c r="E155" s="33">
        <v>6.0422960725075529E-4</v>
      </c>
    </row>
    <row r="156" spans="2:5" ht="15" customHeight="1" x14ac:dyDescent="0.25">
      <c r="B156" s="89"/>
      <c r="C156" s="34" t="s">
        <v>26</v>
      </c>
      <c r="D156" s="35">
        <v>14</v>
      </c>
      <c r="E156" s="36">
        <v>1.6918429003021148E-3</v>
      </c>
    </row>
    <row r="157" spans="2:5" ht="15" customHeight="1" x14ac:dyDescent="0.25">
      <c r="B157" s="88" t="s">
        <v>63</v>
      </c>
      <c r="C157" s="31" t="s">
        <v>23</v>
      </c>
      <c r="D157" s="32">
        <v>3</v>
      </c>
      <c r="E157" s="33">
        <v>3.6253776435045317E-4</v>
      </c>
    </row>
    <row r="158" spans="2:5" ht="15" customHeight="1" x14ac:dyDescent="0.25">
      <c r="B158" s="92"/>
      <c r="C158" s="31" t="s">
        <v>24</v>
      </c>
      <c r="D158" s="32">
        <v>12</v>
      </c>
      <c r="E158" s="33">
        <v>1.4501510574018127E-3</v>
      </c>
    </row>
    <row r="159" spans="2:5" ht="15" customHeight="1" x14ac:dyDescent="0.25">
      <c r="B159" s="92"/>
      <c r="C159" s="31" t="s">
        <v>25</v>
      </c>
      <c r="D159" s="32">
        <v>14</v>
      </c>
      <c r="E159" s="33">
        <v>1.6918429003021148E-3</v>
      </c>
    </row>
    <row r="160" spans="2:5" ht="15" customHeight="1" x14ac:dyDescent="0.25">
      <c r="B160" s="89"/>
      <c r="C160" s="34" t="s">
        <v>26</v>
      </c>
      <c r="D160" s="35">
        <v>29</v>
      </c>
      <c r="E160" s="36">
        <v>3.5045317220543807E-3</v>
      </c>
    </row>
    <row r="161" spans="2:5" ht="15" customHeight="1" x14ac:dyDescent="0.25">
      <c r="B161" s="88" t="s">
        <v>64</v>
      </c>
      <c r="C161" s="31" t="s">
        <v>23</v>
      </c>
      <c r="D161" s="32">
        <v>32</v>
      </c>
      <c r="E161" s="33">
        <v>3.8670694864048338E-3</v>
      </c>
    </row>
    <row r="162" spans="2:5" ht="15" customHeight="1" x14ac:dyDescent="0.25">
      <c r="B162" s="92"/>
      <c r="C162" s="31" t="s">
        <v>24</v>
      </c>
      <c r="D162" s="32">
        <v>21</v>
      </c>
      <c r="E162" s="33">
        <v>2.5377643504531722E-3</v>
      </c>
    </row>
    <row r="163" spans="2:5" ht="15" customHeight="1" x14ac:dyDescent="0.25">
      <c r="B163" s="92"/>
      <c r="C163" s="31" t="s">
        <v>29</v>
      </c>
      <c r="D163" s="32">
        <v>1</v>
      </c>
      <c r="E163" s="33">
        <v>1.2084592145015106E-4</v>
      </c>
    </row>
    <row r="164" spans="2:5" ht="15" customHeight="1" x14ac:dyDescent="0.25">
      <c r="B164" s="92"/>
      <c r="C164" s="31" t="s">
        <v>25</v>
      </c>
      <c r="D164" s="32">
        <v>48</v>
      </c>
      <c r="E164" s="33">
        <v>5.8006042296072508E-3</v>
      </c>
    </row>
    <row r="165" spans="2:5" ht="15" customHeight="1" x14ac:dyDescent="0.25">
      <c r="B165" s="89"/>
      <c r="C165" s="34" t="s">
        <v>26</v>
      </c>
      <c r="D165" s="35">
        <v>102</v>
      </c>
      <c r="E165" s="36">
        <v>1.2326283987915408E-2</v>
      </c>
    </row>
    <row r="166" spans="2:5" ht="15" customHeight="1" x14ac:dyDescent="0.25">
      <c r="B166" s="88" t="s">
        <v>65</v>
      </c>
      <c r="C166" s="31" t="s">
        <v>23</v>
      </c>
      <c r="D166" s="32">
        <v>7</v>
      </c>
      <c r="E166" s="33">
        <v>8.459214501510574E-4</v>
      </c>
    </row>
    <row r="167" spans="2:5" ht="15" customHeight="1" x14ac:dyDescent="0.25">
      <c r="B167" s="92"/>
      <c r="C167" s="31" t="s">
        <v>24</v>
      </c>
      <c r="D167" s="32">
        <v>5</v>
      </c>
      <c r="E167" s="33">
        <v>6.0422960725075529E-4</v>
      </c>
    </row>
    <row r="168" spans="2:5" ht="15" customHeight="1" x14ac:dyDescent="0.25">
      <c r="B168" s="92"/>
      <c r="C168" s="31" t="s">
        <v>29</v>
      </c>
      <c r="D168" s="32">
        <v>1</v>
      </c>
      <c r="E168" s="33">
        <v>1.2084592145015106E-4</v>
      </c>
    </row>
    <row r="169" spans="2:5" ht="15" customHeight="1" x14ac:dyDescent="0.25">
      <c r="B169" s="92"/>
      <c r="C169" s="31" t="s">
        <v>25</v>
      </c>
      <c r="D169" s="32">
        <v>8</v>
      </c>
      <c r="E169" s="33">
        <v>9.6676737160120846E-4</v>
      </c>
    </row>
    <row r="170" spans="2:5" ht="15" customHeight="1" x14ac:dyDescent="0.25">
      <c r="B170" s="89"/>
      <c r="C170" s="34" t="s">
        <v>26</v>
      </c>
      <c r="D170" s="35">
        <v>21</v>
      </c>
      <c r="E170" s="36">
        <v>2.5377643504531722E-3</v>
      </c>
    </row>
    <row r="171" spans="2:5" ht="15" customHeight="1" x14ac:dyDescent="0.25">
      <c r="B171" s="88" t="s">
        <v>66</v>
      </c>
      <c r="C171" s="31" t="s">
        <v>23</v>
      </c>
      <c r="D171" s="32">
        <v>5</v>
      </c>
      <c r="E171" s="33">
        <v>6.0422960725075529E-4</v>
      </c>
    </row>
    <row r="172" spans="2:5" ht="15" customHeight="1" x14ac:dyDescent="0.25">
      <c r="B172" s="92"/>
      <c r="C172" s="31" t="s">
        <v>24</v>
      </c>
      <c r="D172" s="32">
        <v>8</v>
      </c>
      <c r="E172" s="33">
        <v>9.6676737160120846E-4</v>
      </c>
    </row>
    <row r="173" spans="2:5" ht="15" customHeight="1" x14ac:dyDescent="0.25">
      <c r="B173" s="92"/>
      <c r="C173" s="31" t="s">
        <v>32</v>
      </c>
      <c r="D173" s="32">
        <v>1</v>
      </c>
      <c r="E173" s="33">
        <v>1.2084592145015106E-4</v>
      </c>
    </row>
    <row r="174" spans="2:5" ht="15" customHeight="1" x14ac:dyDescent="0.25">
      <c r="B174" s="92"/>
      <c r="C174" s="31" t="s">
        <v>25</v>
      </c>
      <c r="D174" s="32">
        <v>4</v>
      </c>
      <c r="E174" s="33">
        <v>4.8338368580060423E-4</v>
      </c>
    </row>
    <row r="175" spans="2:5" ht="15" customHeight="1" x14ac:dyDescent="0.25">
      <c r="B175" s="89"/>
      <c r="C175" s="34" t="s">
        <v>26</v>
      </c>
      <c r="D175" s="35">
        <v>18</v>
      </c>
      <c r="E175" s="36">
        <v>2.175226586102719E-3</v>
      </c>
    </row>
    <row r="176" spans="2:5" ht="15" customHeight="1" x14ac:dyDescent="0.25">
      <c r="B176" s="88" t="s">
        <v>67</v>
      </c>
      <c r="C176" s="31" t="s">
        <v>23</v>
      </c>
      <c r="D176" s="32">
        <v>1</v>
      </c>
      <c r="E176" s="33">
        <v>1.2084592145015106E-4</v>
      </c>
    </row>
    <row r="177" spans="2:5" ht="15" customHeight="1" x14ac:dyDescent="0.25">
      <c r="B177" s="92"/>
      <c r="C177" s="31" t="s">
        <v>25</v>
      </c>
      <c r="D177" s="32">
        <v>1</v>
      </c>
      <c r="E177" s="33">
        <v>1.2084592145015106E-4</v>
      </c>
    </row>
    <row r="178" spans="2:5" ht="15" customHeight="1" x14ac:dyDescent="0.25">
      <c r="B178" s="89"/>
      <c r="C178" s="34" t="s">
        <v>26</v>
      </c>
      <c r="D178" s="35">
        <v>2</v>
      </c>
      <c r="E178" s="36">
        <v>2.4169184290030211E-4</v>
      </c>
    </row>
    <row r="179" spans="2:5" ht="15" customHeight="1" x14ac:dyDescent="0.25">
      <c r="B179" s="88" t="s">
        <v>68</v>
      </c>
      <c r="C179" s="31" t="s">
        <v>23</v>
      </c>
      <c r="D179" s="32">
        <v>5</v>
      </c>
      <c r="E179" s="33">
        <v>6.0422960725075529E-4</v>
      </c>
    </row>
    <row r="180" spans="2:5" ht="15" customHeight="1" x14ac:dyDescent="0.25">
      <c r="B180" s="92"/>
      <c r="C180" s="31" t="s">
        <v>24</v>
      </c>
      <c r="D180" s="32">
        <v>3</v>
      </c>
      <c r="E180" s="33">
        <v>3.6253776435045317E-4</v>
      </c>
    </row>
    <row r="181" spans="2:5" ht="15" customHeight="1" x14ac:dyDescent="0.25">
      <c r="B181" s="92"/>
      <c r="C181" s="31" t="s">
        <v>32</v>
      </c>
      <c r="D181" s="32">
        <v>1</v>
      </c>
      <c r="E181" s="33">
        <v>1.2084592145015106E-4</v>
      </c>
    </row>
    <row r="182" spans="2:5" ht="15" customHeight="1" x14ac:dyDescent="0.25">
      <c r="B182" s="92"/>
      <c r="C182" s="31" t="s">
        <v>25</v>
      </c>
      <c r="D182" s="32">
        <v>20</v>
      </c>
      <c r="E182" s="33">
        <v>2.4169184290030211E-3</v>
      </c>
    </row>
    <row r="183" spans="2:5" ht="15" customHeight="1" x14ac:dyDescent="0.25">
      <c r="B183" s="89"/>
      <c r="C183" s="34" t="s">
        <v>26</v>
      </c>
      <c r="D183" s="35">
        <v>29</v>
      </c>
      <c r="E183" s="36">
        <v>3.5045317220543807E-3</v>
      </c>
    </row>
    <row r="184" spans="2:5" ht="15" customHeight="1" x14ac:dyDescent="0.25">
      <c r="B184" s="88" t="s">
        <v>69</v>
      </c>
      <c r="C184" s="31" t="s">
        <v>23</v>
      </c>
      <c r="D184" s="32">
        <v>57</v>
      </c>
      <c r="E184" s="33">
        <v>6.8882175226586103E-3</v>
      </c>
    </row>
    <row r="185" spans="2:5" ht="15" customHeight="1" x14ac:dyDescent="0.25">
      <c r="B185" s="92"/>
      <c r="C185" s="31" t="s">
        <v>24</v>
      </c>
      <c r="D185" s="32">
        <v>95</v>
      </c>
      <c r="E185" s="33">
        <v>1.1480362537764351E-2</v>
      </c>
    </row>
    <row r="186" spans="2:5" ht="15" customHeight="1" x14ac:dyDescent="0.25">
      <c r="B186" s="92"/>
      <c r="C186" s="31" t="s">
        <v>29</v>
      </c>
      <c r="D186" s="32">
        <v>4</v>
      </c>
      <c r="E186" s="33">
        <v>4.8338368580060423E-4</v>
      </c>
    </row>
    <row r="187" spans="2:5" ht="15" customHeight="1" x14ac:dyDescent="0.25">
      <c r="B187" s="92"/>
      <c r="C187" s="31" t="s">
        <v>25</v>
      </c>
      <c r="D187" s="32">
        <v>189</v>
      </c>
      <c r="E187" s="33">
        <v>2.2839879154078549E-2</v>
      </c>
    </row>
    <row r="188" spans="2:5" ht="15" customHeight="1" x14ac:dyDescent="0.25">
      <c r="B188" s="89"/>
      <c r="C188" s="34" t="s">
        <v>26</v>
      </c>
      <c r="D188" s="35">
        <v>345</v>
      </c>
      <c r="E188" s="36">
        <v>4.1691842900302117E-2</v>
      </c>
    </row>
    <row r="189" spans="2:5" ht="15" customHeight="1" x14ac:dyDescent="0.25">
      <c r="B189" s="88" t="s">
        <v>70</v>
      </c>
      <c r="C189" s="31" t="s">
        <v>23</v>
      </c>
      <c r="D189" s="32">
        <v>24</v>
      </c>
      <c r="E189" s="33">
        <v>2.9003021148036254E-3</v>
      </c>
    </row>
    <row r="190" spans="2:5" ht="15" customHeight="1" x14ac:dyDescent="0.25">
      <c r="B190" s="92"/>
      <c r="C190" s="31" t="s">
        <v>24</v>
      </c>
      <c r="D190" s="32">
        <v>46</v>
      </c>
      <c r="E190" s="33">
        <v>5.5589123867069486E-3</v>
      </c>
    </row>
    <row r="191" spans="2:5" ht="15" customHeight="1" x14ac:dyDescent="0.25">
      <c r="B191" s="92"/>
      <c r="C191" s="31" t="s">
        <v>32</v>
      </c>
      <c r="D191" s="32">
        <v>1</v>
      </c>
      <c r="E191" s="33">
        <v>1.2084592145015106E-4</v>
      </c>
    </row>
    <row r="192" spans="2:5" ht="15" customHeight="1" x14ac:dyDescent="0.25">
      <c r="B192" s="92"/>
      <c r="C192" s="31" t="s">
        <v>29</v>
      </c>
      <c r="D192" s="32">
        <v>4</v>
      </c>
      <c r="E192" s="33">
        <v>4.8338368580060423E-4</v>
      </c>
    </row>
    <row r="193" spans="2:5" ht="15" customHeight="1" x14ac:dyDescent="0.25">
      <c r="B193" s="92"/>
      <c r="C193" s="31" t="s">
        <v>25</v>
      </c>
      <c r="D193" s="32">
        <v>85</v>
      </c>
      <c r="E193" s="33">
        <v>1.0271903323262841E-2</v>
      </c>
    </row>
    <row r="194" spans="2:5" ht="15" customHeight="1" x14ac:dyDescent="0.25">
      <c r="B194" s="89"/>
      <c r="C194" s="34" t="s">
        <v>26</v>
      </c>
      <c r="D194" s="35">
        <v>160</v>
      </c>
      <c r="E194" s="36">
        <v>1.9335347432024169E-2</v>
      </c>
    </row>
    <row r="195" spans="2:5" ht="15" customHeight="1" x14ac:dyDescent="0.25">
      <c r="B195" s="88" t="s">
        <v>71</v>
      </c>
      <c r="C195" s="31" t="s">
        <v>23</v>
      </c>
      <c r="D195" s="32">
        <v>4</v>
      </c>
      <c r="E195" s="33">
        <v>4.8338368580060423E-4</v>
      </c>
    </row>
    <row r="196" spans="2:5" ht="15" customHeight="1" x14ac:dyDescent="0.25">
      <c r="B196" s="92"/>
      <c r="C196" s="31" t="s">
        <v>24</v>
      </c>
      <c r="D196" s="32">
        <v>4</v>
      </c>
      <c r="E196" s="33">
        <v>4.8338368580060423E-4</v>
      </c>
    </row>
    <row r="197" spans="2:5" ht="15" customHeight="1" x14ac:dyDescent="0.25">
      <c r="B197" s="92"/>
      <c r="C197" s="31" t="s">
        <v>29</v>
      </c>
      <c r="D197" s="32">
        <v>1</v>
      </c>
      <c r="E197" s="33">
        <v>1.2084592145015106E-4</v>
      </c>
    </row>
    <row r="198" spans="2:5" ht="15" customHeight="1" x14ac:dyDescent="0.25">
      <c r="B198" s="92"/>
      <c r="C198" s="31" t="s">
        <v>25</v>
      </c>
      <c r="D198" s="32">
        <v>12</v>
      </c>
      <c r="E198" s="33">
        <v>1.4501510574018127E-3</v>
      </c>
    </row>
    <row r="199" spans="2:5" ht="15" customHeight="1" x14ac:dyDescent="0.25">
      <c r="B199" s="89"/>
      <c r="C199" s="34" t="s">
        <v>26</v>
      </c>
      <c r="D199" s="35">
        <v>21</v>
      </c>
      <c r="E199" s="36">
        <v>2.5377643504531722E-3</v>
      </c>
    </row>
    <row r="200" spans="2:5" ht="15" customHeight="1" x14ac:dyDescent="0.25">
      <c r="B200" s="88" t="s">
        <v>72</v>
      </c>
      <c r="C200" s="31" t="s">
        <v>23</v>
      </c>
      <c r="D200" s="32">
        <v>28</v>
      </c>
      <c r="E200" s="33">
        <v>3.3836858006042296E-3</v>
      </c>
    </row>
    <row r="201" spans="2:5" ht="15" customHeight="1" x14ac:dyDescent="0.25">
      <c r="B201" s="92"/>
      <c r="C201" s="31" t="s">
        <v>24</v>
      </c>
      <c r="D201" s="32">
        <v>33</v>
      </c>
      <c r="E201" s="33">
        <v>3.9879154078549849E-3</v>
      </c>
    </row>
    <row r="202" spans="2:5" ht="15" customHeight="1" x14ac:dyDescent="0.25">
      <c r="B202" s="92"/>
      <c r="C202" s="31" t="s">
        <v>25</v>
      </c>
      <c r="D202" s="32">
        <v>60</v>
      </c>
      <c r="E202" s="33">
        <v>7.2507552870090634E-3</v>
      </c>
    </row>
    <row r="203" spans="2:5" ht="15" customHeight="1" x14ac:dyDescent="0.25">
      <c r="B203" s="89"/>
      <c r="C203" s="34" t="s">
        <v>26</v>
      </c>
      <c r="D203" s="35">
        <v>121</v>
      </c>
      <c r="E203" s="36">
        <v>1.4622356495468279E-2</v>
      </c>
    </row>
    <row r="204" spans="2:5" ht="15" customHeight="1" x14ac:dyDescent="0.25">
      <c r="B204" s="88" t="s">
        <v>73</v>
      </c>
      <c r="C204" s="31" t="s">
        <v>25</v>
      </c>
      <c r="D204" s="32">
        <v>1</v>
      </c>
      <c r="E204" s="33">
        <v>1.2084592145015106E-4</v>
      </c>
    </row>
    <row r="205" spans="2:5" ht="15" customHeight="1" x14ac:dyDescent="0.25">
      <c r="B205" s="89"/>
      <c r="C205" s="34" t="s">
        <v>26</v>
      </c>
      <c r="D205" s="35">
        <v>1</v>
      </c>
      <c r="E205" s="36">
        <v>1.2084592145015106E-4</v>
      </c>
    </row>
    <row r="206" spans="2:5" ht="15" customHeight="1" x14ac:dyDescent="0.25">
      <c r="B206" s="88" t="s">
        <v>74</v>
      </c>
      <c r="C206" s="31" t="s">
        <v>23</v>
      </c>
      <c r="D206" s="32">
        <v>4</v>
      </c>
      <c r="E206" s="33">
        <v>4.8338368580060423E-4</v>
      </c>
    </row>
    <row r="207" spans="2:5" ht="15" customHeight="1" x14ac:dyDescent="0.25">
      <c r="B207" s="92"/>
      <c r="C207" s="31" t="s">
        <v>24</v>
      </c>
      <c r="D207" s="32">
        <v>7</v>
      </c>
      <c r="E207" s="33">
        <v>8.459214501510574E-4</v>
      </c>
    </row>
    <row r="208" spans="2:5" ht="15" customHeight="1" x14ac:dyDescent="0.25">
      <c r="B208" s="92"/>
      <c r="C208" s="31" t="s">
        <v>29</v>
      </c>
      <c r="D208" s="32">
        <v>1</v>
      </c>
      <c r="E208" s="33">
        <v>1.2084592145015106E-4</v>
      </c>
    </row>
    <row r="209" spans="2:5" ht="15" customHeight="1" x14ac:dyDescent="0.25">
      <c r="B209" s="92"/>
      <c r="C209" s="31" t="s">
        <v>25</v>
      </c>
      <c r="D209" s="32">
        <v>30</v>
      </c>
      <c r="E209" s="33">
        <v>3.6253776435045317E-3</v>
      </c>
    </row>
    <row r="210" spans="2:5" ht="15" customHeight="1" x14ac:dyDescent="0.25">
      <c r="B210" s="89"/>
      <c r="C210" s="34" t="s">
        <v>26</v>
      </c>
      <c r="D210" s="35">
        <v>42</v>
      </c>
      <c r="E210" s="36">
        <v>5.0755287009063444E-3</v>
      </c>
    </row>
    <row r="211" spans="2:5" ht="15" customHeight="1" x14ac:dyDescent="0.25">
      <c r="B211" s="88" t="s">
        <v>75</v>
      </c>
      <c r="C211" s="31" t="s">
        <v>24</v>
      </c>
      <c r="D211" s="32">
        <v>3</v>
      </c>
      <c r="E211" s="33">
        <v>3.6253776435045317E-4</v>
      </c>
    </row>
    <row r="212" spans="2:5" ht="15" customHeight="1" x14ac:dyDescent="0.25">
      <c r="B212" s="89"/>
      <c r="C212" s="34" t="s">
        <v>26</v>
      </c>
      <c r="D212" s="35">
        <v>3</v>
      </c>
      <c r="E212" s="36">
        <v>3.6253776435045317E-4</v>
      </c>
    </row>
    <row r="213" spans="2:5" ht="15" customHeight="1" x14ac:dyDescent="0.25">
      <c r="B213" s="90" t="s">
        <v>26</v>
      </c>
      <c r="C213" s="91"/>
      <c r="D213" s="37">
        <v>8275</v>
      </c>
      <c r="E213" s="38">
        <v>1</v>
      </c>
    </row>
    <row r="215" spans="2:5" ht="15" customHeight="1" x14ac:dyDescent="0.25">
      <c r="B215" s="39" t="s">
        <v>76</v>
      </c>
    </row>
    <row r="216" spans="2:5" ht="15" customHeight="1" x14ac:dyDescent="0.25">
      <c r="B216" s="41" t="s">
        <v>77</v>
      </c>
    </row>
    <row r="217" spans="2:5" ht="15" customHeight="1" x14ac:dyDescent="0.25">
      <c r="B217" s="42" t="s">
        <v>78</v>
      </c>
    </row>
    <row r="218" spans="2:5" ht="15" customHeight="1" x14ac:dyDescent="0.25">
      <c r="B218" s="39" t="s">
        <v>79</v>
      </c>
    </row>
    <row r="219" spans="2:5" ht="15" customHeight="1" x14ac:dyDescent="0.25">
      <c r="B219" s="39" t="s">
        <v>80</v>
      </c>
    </row>
  </sheetData>
  <mergeCells count="50">
    <mergeCell ref="B26:B31"/>
    <mergeCell ref="B7:E8"/>
    <mergeCell ref="B10:B13"/>
    <mergeCell ref="B14:B16"/>
    <mergeCell ref="B17:B21"/>
    <mergeCell ref="B22:B25"/>
    <mergeCell ref="B78:B81"/>
    <mergeCell ref="B32:B36"/>
    <mergeCell ref="B37:B39"/>
    <mergeCell ref="B40:B43"/>
    <mergeCell ref="B44:B45"/>
    <mergeCell ref="B46:B50"/>
    <mergeCell ref="B51:B56"/>
    <mergeCell ref="B57:B58"/>
    <mergeCell ref="B59:B62"/>
    <mergeCell ref="B63:B68"/>
    <mergeCell ref="B69:B73"/>
    <mergeCell ref="B74:B77"/>
    <mergeCell ref="B126:B131"/>
    <mergeCell ref="B82:B85"/>
    <mergeCell ref="B86:B89"/>
    <mergeCell ref="B90:B91"/>
    <mergeCell ref="B92:B96"/>
    <mergeCell ref="B97:B100"/>
    <mergeCell ref="B101:B105"/>
    <mergeCell ref="B106:B109"/>
    <mergeCell ref="B110:B113"/>
    <mergeCell ref="B114:B118"/>
    <mergeCell ref="B119:B120"/>
    <mergeCell ref="B121:B125"/>
    <mergeCell ref="B179:B183"/>
    <mergeCell ref="B132:B135"/>
    <mergeCell ref="B136:B141"/>
    <mergeCell ref="B142:B145"/>
    <mergeCell ref="B146:B150"/>
    <mergeCell ref="B151:B152"/>
    <mergeCell ref="B153:B156"/>
    <mergeCell ref="B157:B160"/>
    <mergeCell ref="B161:B165"/>
    <mergeCell ref="B166:B170"/>
    <mergeCell ref="B171:B175"/>
    <mergeCell ref="B176:B178"/>
    <mergeCell ref="B211:B212"/>
    <mergeCell ref="B213:C213"/>
    <mergeCell ref="B184:B188"/>
    <mergeCell ref="B189:B194"/>
    <mergeCell ref="B195:B199"/>
    <mergeCell ref="B200:B203"/>
    <mergeCell ref="B204:B205"/>
    <mergeCell ref="B206:B21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" manualBreakCount="4">
    <brk id="50" max="4" man="1"/>
    <brk id="91" max="4" man="1"/>
    <brk id="135" max="4" man="1"/>
    <brk id="178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46"/>
  <sheetViews>
    <sheetView topLeftCell="D1"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16.85546875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3"/>
      <c r="C7" s="93"/>
      <c r="D7" s="93"/>
      <c r="E7" s="93"/>
    </row>
    <row r="8" spans="1:5" s="22" customFormat="1" ht="33" customHeight="1" x14ac:dyDescent="0.3">
      <c r="A8" s="25"/>
      <c r="B8" s="93"/>
      <c r="C8" s="93"/>
      <c r="D8" s="93"/>
      <c r="E8" s="93"/>
    </row>
    <row r="9" spans="1:5" s="26" customFormat="1" ht="40.5" customHeight="1" x14ac:dyDescent="0.2">
      <c r="B9" s="27" t="s">
        <v>115</v>
      </c>
      <c r="C9" s="28" t="s">
        <v>19</v>
      </c>
      <c r="D9" s="29" t="s">
        <v>20</v>
      </c>
      <c r="E9" s="27" t="s">
        <v>21</v>
      </c>
    </row>
    <row r="10" spans="1:5" ht="15" customHeight="1" x14ac:dyDescent="0.25">
      <c r="B10" s="88" t="s">
        <v>116</v>
      </c>
      <c r="C10" s="31" t="s">
        <v>23</v>
      </c>
      <c r="D10" s="32">
        <v>5</v>
      </c>
      <c r="E10" s="33">
        <v>5.6980056980056976E-4</v>
      </c>
    </row>
    <row r="11" spans="1:5" ht="15" customHeight="1" x14ac:dyDescent="0.25">
      <c r="B11" s="92"/>
      <c r="C11" s="31" t="s">
        <v>24</v>
      </c>
      <c r="D11" s="32">
        <v>10</v>
      </c>
      <c r="E11" s="33">
        <v>1.1396011396011395E-3</v>
      </c>
    </row>
    <row r="12" spans="1:5" ht="15" customHeight="1" x14ac:dyDescent="0.25">
      <c r="B12" s="92"/>
      <c r="C12" s="31" t="s">
        <v>32</v>
      </c>
      <c r="D12" s="32">
        <v>1</v>
      </c>
      <c r="E12" s="33">
        <v>1.1396011396011396E-4</v>
      </c>
    </row>
    <row r="13" spans="1:5" ht="15" customHeight="1" x14ac:dyDescent="0.25">
      <c r="B13" s="92"/>
      <c r="C13" s="31" t="s">
        <v>29</v>
      </c>
      <c r="D13" s="32">
        <v>1</v>
      </c>
      <c r="E13" s="33">
        <v>1.1396011396011396E-4</v>
      </c>
    </row>
    <row r="14" spans="1:5" ht="15" customHeight="1" x14ac:dyDescent="0.25">
      <c r="B14" s="92"/>
      <c r="C14" s="31" t="s">
        <v>25</v>
      </c>
      <c r="D14" s="32">
        <v>9</v>
      </c>
      <c r="E14" s="33">
        <v>1.0256410256410256E-3</v>
      </c>
    </row>
    <row r="15" spans="1:5" s="24" customFormat="1" ht="15" customHeight="1" x14ac:dyDescent="0.25">
      <c r="A15" s="30"/>
      <c r="B15" s="89"/>
      <c r="C15" s="34" t="s">
        <v>26</v>
      </c>
      <c r="D15" s="35">
        <v>26</v>
      </c>
      <c r="E15" s="36">
        <v>2.9629629629629628E-3</v>
      </c>
    </row>
    <row r="16" spans="1:5" s="24" customFormat="1" ht="15" customHeight="1" x14ac:dyDescent="0.25">
      <c r="A16" s="30"/>
      <c r="B16" s="88" t="s">
        <v>117</v>
      </c>
      <c r="C16" s="31" t="s">
        <v>23</v>
      </c>
      <c r="D16" s="32">
        <v>10</v>
      </c>
      <c r="E16" s="33">
        <v>1.1396011396011395E-3</v>
      </c>
    </row>
    <row r="17" spans="1:5" s="24" customFormat="1" ht="15" customHeight="1" x14ac:dyDescent="0.25">
      <c r="A17" s="30"/>
      <c r="B17" s="92"/>
      <c r="C17" s="31" t="s">
        <v>24</v>
      </c>
      <c r="D17" s="32">
        <v>25</v>
      </c>
      <c r="E17" s="33">
        <v>2.8490028490028491E-3</v>
      </c>
    </row>
    <row r="18" spans="1:5" ht="15" customHeight="1" x14ac:dyDescent="0.25">
      <c r="B18" s="92"/>
      <c r="C18" s="31" t="s">
        <v>25</v>
      </c>
      <c r="D18" s="32">
        <v>83</v>
      </c>
      <c r="E18" s="33">
        <v>9.458689458689459E-3</v>
      </c>
    </row>
    <row r="19" spans="1:5" ht="15" customHeight="1" x14ac:dyDescent="0.25">
      <c r="B19" s="89"/>
      <c r="C19" s="34" t="s">
        <v>26</v>
      </c>
      <c r="D19" s="35">
        <v>118</v>
      </c>
      <c r="E19" s="36">
        <v>1.3447293447293448E-2</v>
      </c>
    </row>
    <row r="20" spans="1:5" ht="15" customHeight="1" x14ac:dyDescent="0.25">
      <c r="B20" s="88" t="s">
        <v>119</v>
      </c>
      <c r="C20" s="31" t="s">
        <v>23</v>
      </c>
      <c r="D20" s="32">
        <v>5</v>
      </c>
      <c r="E20" s="33">
        <v>5.6980056980056976E-4</v>
      </c>
    </row>
    <row r="21" spans="1:5" ht="15" customHeight="1" x14ac:dyDescent="0.25">
      <c r="B21" s="92"/>
      <c r="C21" s="31" t="s">
        <v>24</v>
      </c>
      <c r="D21" s="32">
        <v>5</v>
      </c>
      <c r="E21" s="33">
        <v>5.6980056980056976E-4</v>
      </c>
    </row>
    <row r="22" spans="1:5" ht="15" customHeight="1" x14ac:dyDescent="0.25">
      <c r="B22" s="92"/>
      <c r="C22" s="31" t="s">
        <v>25</v>
      </c>
      <c r="D22" s="32">
        <v>11</v>
      </c>
      <c r="E22" s="33">
        <v>1.2535612535612536E-3</v>
      </c>
    </row>
    <row r="23" spans="1:5" ht="15" customHeight="1" x14ac:dyDescent="0.25">
      <c r="B23" s="89"/>
      <c r="C23" s="34" t="s">
        <v>26</v>
      </c>
      <c r="D23" s="35">
        <v>21</v>
      </c>
      <c r="E23" s="36">
        <v>2.3931623931623932E-3</v>
      </c>
    </row>
    <row r="24" spans="1:5" ht="15" customHeight="1" x14ac:dyDescent="0.25">
      <c r="B24" s="88" t="s">
        <v>120</v>
      </c>
      <c r="C24" s="31" t="s">
        <v>23</v>
      </c>
      <c r="D24" s="32">
        <v>7</v>
      </c>
      <c r="E24" s="33">
        <v>7.9772079772079776E-4</v>
      </c>
    </row>
    <row r="25" spans="1:5" ht="15" customHeight="1" x14ac:dyDescent="0.25">
      <c r="B25" s="92"/>
      <c r="C25" s="31" t="s">
        <v>24</v>
      </c>
      <c r="D25" s="32">
        <v>7</v>
      </c>
      <c r="E25" s="33">
        <v>7.9772079772079776E-4</v>
      </c>
    </row>
    <row r="26" spans="1:5" ht="15" customHeight="1" x14ac:dyDescent="0.25">
      <c r="B26" s="92"/>
      <c r="C26" s="31" t="s">
        <v>32</v>
      </c>
      <c r="D26" s="32">
        <v>1</v>
      </c>
      <c r="E26" s="33">
        <v>1.1396011396011396E-4</v>
      </c>
    </row>
    <row r="27" spans="1:5" ht="15" customHeight="1" x14ac:dyDescent="0.25">
      <c r="B27" s="92"/>
      <c r="C27" s="31" t="s">
        <v>25</v>
      </c>
      <c r="D27" s="32">
        <v>23</v>
      </c>
      <c r="E27" s="33">
        <v>2.6210826210826209E-3</v>
      </c>
    </row>
    <row r="28" spans="1:5" ht="15" customHeight="1" x14ac:dyDescent="0.25">
      <c r="B28" s="89"/>
      <c r="C28" s="34" t="s">
        <v>26</v>
      </c>
      <c r="D28" s="35">
        <v>38</v>
      </c>
      <c r="E28" s="36">
        <v>4.3304843304843308E-3</v>
      </c>
    </row>
    <row r="29" spans="1:5" ht="15" customHeight="1" x14ac:dyDescent="0.25">
      <c r="B29" s="88" t="s">
        <v>121</v>
      </c>
      <c r="C29" s="31" t="s">
        <v>23</v>
      </c>
      <c r="D29" s="32">
        <v>2</v>
      </c>
      <c r="E29" s="33">
        <v>2.2792022792022791E-4</v>
      </c>
    </row>
    <row r="30" spans="1:5" ht="15" customHeight="1" x14ac:dyDescent="0.25">
      <c r="B30" s="92"/>
      <c r="C30" s="31" t="s">
        <v>24</v>
      </c>
      <c r="D30" s="32">
        <v>2</v>
      </c>
      <c r="E30" s="33">
        <v>2.2792022792022791E-4</v>
      </c>
    </row>
    <row r="31" spans="1:5" ht="15" customHeight="1" x14ac:dyDescent="0.25">
      <c r="B31" s="92"/>
      <c r="C31" s="31" t="s">
        <v>25</v>
      </c>
      <c r="D31" s="32">
        <v>1</v>
      </c>
      <c r="E31" s="33">
        <v>1.1396011396011396E-4</v>
      </c>
    </row>
    <row r="32" spans="1:5" ht="15" customHeight="1" x14ac:dyDescent="0.25">
      <c r="B32" s="89"/>
      <c r="C32" s="34" t="s">
        <v>26</v>
      </c>
      <c r="D32" s="35">
        <v>5</v>
      </c>
      <c r="E32" s="36">
        <v>5.6980056980056976E-4</v>
      </c>
    </row>
    <row r="33" spans="2:5" ht="15" customHeight="1" x14ac:dyDescent="0.25">
      <c r="B33" s="88" t="s">
        <v>122</v>
      </c>
      <c r="C33" s="31" t="s">
        <v>25</v>
      </c>
      <c r="D33" s="32">
        <v>1</v>
      </c>
      <c r="E33" s="33">
        <v>1.1396011396011396E-4</v>
      </c>
    </row>
    <row r="34" spans="2:5" ht="15" customHeight="1" x14ac:dyDescent="0.25">
      <c r="B34" s="89"/>
      <c r="C34" s="34" t="s">
        <v>26</v>
      </c>
      <c r="D34" s="35">
        <v>1</v>
      </c>
      <c r="E34" s="36">
        <v>1.1396011396011396E-4</v>
      </c>
    </row>
    <row r="35" spans="2:5" ht="15" customHeight="1" x14ac:dyDescent="0.25">
      <c r="B35" s="88" t="s">
        <v>186</v>
      </c>
      <c r="C35" s="31" t="s">
        <v>23</v>
      </c>
      <c r="D35" s="32">
        <v>6</v>
      </c>
      <c r="E35" s="33">
        <v>6.8376068376068376E-4</v>
      </c>
    </row>
    <row r="36" spans="2:5" ht="15" customHeight="1" x14ac:dyDescent="0.25">
      <c r="B36" s="92"/>
      <c r="C36" s="31" t="s">
        <v>24</v>
      </c>
      <c r="D36" s="32">
        <v>524</v>
      </c>
      <c r="E36" s="33">
        <v>5.9715099715099716E-2</v>
      </c>
    </row>
    <row r="37" spans="2:5" ht="15" customHeight="1" x14ac:dyDescent="0.25">
      <c r="B37" s="92"/>
      <c r="C37" s="31" t="s">
        <v>29</v>
      </c>
      <c r="D37" s="32">
        <v>2</v>
      </c>
      <c r="E37" s="33">
        <v>2.2792022792022791E-4</v>
      </c>
    </row>
    <row r="38" spans="2:5" ht="15" customHeight="1" x14ac:dyDescent="0.25">
      <c r="B38" s="92"/>
      <c r="C38" s="31" t="s">
        <v>25</v>
      </c>
      <c r="D38" s="32">
        <v>10</v>
      </c>
      <c r="E38" s="33">
        <v>1.1396011396011395E-3</v>
      </c>
    </row>
    <row r="39" spans="2:5" ht="15" customHeight="1" x14ac:dyDescent="0.25">
      <c r="B39" s="89"/>
      <c r="C39" s="34" t="s">
        <v>26</v>
      </c>
      <c r="D39" s="35">
        <v>542</v>
      </c>
      <c r="E39" s="36">
        <v>6.1766381766381766E-2</v>
      </c>
    </row>
    <row r="40" spans="2:5" ht="15" customHeight="1" x14ac:dyDescent="0.25">
      <c r="B40" s="88" t="s">
        <v>124</v>
      </c>
      <c r="C40" s="31" t="s">
        <v>23</v>
      </c>
      <c r="D40" s="32">
        <v>27</v>
      </c>
      <c r="E40" s="33">
        <v>3.0769230769230769E-3</v>
      </c>
    </row>
    <row r="41" spans="2:5" ht="15" customHeight="1" x14ac:dyDescent="0.25">
      <c r="B41" s="92"/>
      <c r="C41" s="31" t="s">
        <v>24</v>
      </c>
      <c r="D41" s="32">
        <v>44</v>
      </c>
      <c r="E41" s="33">
        <v>5.0142450142450145E-3</v>
      </c>
    </row>
    <row r="42" spans="2:5" ht="15" customHeight="1" x14ac:dyDescent="0.25">
      <c r="B42" s="92"/>
      <c r="C42" s="31" t="s">
        <v>29</v>
      </c>
      <c r="D42" s="32">
        <v>4</v>
      </c>
      <c r="E42" s="33">
        <v>4.5584045584045582E-4</v>
      </c>
    </row>
    <row r="43" spans="2:5" ht="15" customHeight="1" x14ac:dyDescent="0.25">
      <c r="B43" s="92"/>
      <c r="C43" s="31" t="s">
        <v>25</v>
      </c>
      <c r="D43" s="32">
        <v>121</v>
      </c>
      <c r="E43" s="33">
        <v>1.3789173789173789E-2</v>
      </c>
    </row>
    <row r="44" spans="2:5" ht="15" customHeight="1" x14ac:dyDescent="0.25">
      <c r="B44" s="89"/>
      <c r="C44" s="34" t="s">
        <v>26</v>
      </c>
      <c r="D44" s="35">
        <v>196</v>
      </c>
      <c r="E44" s="36">
        <v>2.2336182336182335E-2</v>
      </c>
    </row>
    <row r="45" spans="2:5" ht="15" customHeight="1" x14ac:dyDescent="0.25">
      <c r="B45" s="88" t="s">
        <v>125</v>
      </c>
      <c r="C45" s="31" t="s">
        <v>23</v>
      </c>
      <c r="D45" s="32">
        <v>15</v>
      </c>
      <c r="E45" s="33">
        <v>1.7094017094017094E-3</v>
      </c>
    </row>
    <row r="46" spans="2:5" ht="15" customHeight="1" x14ac:dyDescent="0.25">
      <c r="B46" s="92"/>
      <c r="C46" s="31" t="s">
        <v>24</v>
      </c>
      <c r="D46" s="32">
        <v>40</v>
      </c>
      <c r="E46" s="33">
        <v>4.5584045584045581E-3</v>
      </c>
    </row>
    <row r="47" spans="2:5" ht="15" customHeight="1" x14ac:dyDescent="0.25">
      <c r="B47" s="92"/>
      <c r="C47" s="31" t="s">
        <v>29</v>
      </c>
      <c r="D47" s="32">
        <v>10</v>
      </c>
      <c r="E47" s="33">
        <v>1.1396011396011395E-3</v>
      </c>
    </row>
    <row r="48" spans="2:5" ht="15" customHeight="1" x14ac:dyDescent="0.25">
      <c r="B48" s="92"/>
      <c r="C48" s="31" t="s">
        <v>25</v>
      </c>
      <c r="D48" s="32">
        <v>69</v>
      </c>
      <c r="E48" s="33">
        <v>7.8632478632478641E-3</v>
      </c>
    </row>
    <row r="49" spans="2:5" ht="15" customHeight="1" x14ac:dyDescent="0.25">
      <c r="B49" s="89"/>
      <c r="C49" s="34" t="s">
        <v>26</v>
      </c>
      <c r="D49" s="35">
        <v>134</v>
      </c>
      <c r="E49" s="36">
        <v>1.527065527065527E-2</v>
      </c>
    </row>
    <row r="50" spans="2:5" ht="15" customHeight="1" x14ac:dyDescent="0.25">
      <c r="B50" s="88" t="s">
        <v>126</v>
      </c>
      <c r="C50" s="31" t="s">
        <v>23</v>
      </c>
      <c r="D50" s="32">
        <v>17</v>
      </c>
      <c r="E50" s="33">
        <v>1.9373219373219374E-3</v>
      </c>
    </row>
    <row r="51" spans="2:5" ht="15" customHeight="1" x14ac:dyDescent="0.25">
      <c r="B51" s="92"/>
      <c r="C51" s="31" t="s">
        <v>24</v>
      </c>
      <c r="D51" s="32">
        <v>30</v>
      </c>
      <c r="E51" s="33">
        <v>3.4188034188034188E-3</v>
      </c>
    </row>
    <row r="52" spans="2:5" ht="15" customHeight="1" x14ac:dyDescent="0.25">
      <c r="B52" s="92"/>
      <c r="C52" s="31" t="s">
        <v>29</v>
      </c>
      <c r="D52" s="32">
        <v>7</v>
      </c>
      <c r="E52" s="33">
        <v>7.9772079772079776E-4</v>
      </c>
    </row>
    <row r="53" spans="2:5" ht="15" customHeight="1" x14ac:dyDescent="0.25">
      <c r="B53" s="92"/>
      <c r="C53" s="31" t="s">
        <v>25</v>
      </c>
      <c r="D53" s="32">
        <v>47</v>
      </c>
      <c r="E53" s="33">
        <v>5.3561253561253564E-3</v>
      </c>
    </row>
    <row r="54" spans="2:5" ht="15" customHeight="1" x14ac:dyDescent="0.25">
      <c r="B54" s="89"/>
      <c r="C54" s="34" t="s">
        <v>26</v>
      </c>
      <c r="D54" s="35">
        <v>101</v>
      </c>
      <c r="E54" s="36">
        <v>1.150997150997151E-2</v>
      </c>
    </row>
    <row r="55" spans="2:5" ht="15" customHeight="1" x14ac:dyDescent="0.25">
      <c r="B55" s="88" t="s">
        <v>127</v>
      </c>
      <c r="C55" s="31" t="s">
        <v>23</v>
      </c>
      <c r="D55" s="32">
        <v>2</v>
      </c>
      <c r="E55" s="33">
        <v>2.2792022792022791E-4</v>
      </c>
    </row>
    <row r="56" spans="2:5" ht="15" customHeight="1" x14ac:dyDescent="0.25">
      <c r="B56" s="92"/>
      <c r="C56" s="31" t="s">
        <v>24</v>
      </c>
      <c r="D56" s="32">
        <v>5</v>
      </c>
      <c r="E56" s="33">
        <v>5.6980056980056976E-4</v>
      </c>
    </row>
    <row r="57" spans="2:5" ht="15" customHeight="1" x14ac:dyDescent="0.25">
      <c r="B57" s="92"/>
      <c r="C57" s="31" t="s">
        <v>25</v>
      </c>
      <c r="D57" s="32">
        <v>16</v>
      </c>
      <c r="E57" s="33">
        <v>1.8233618233618233E-3</v>
      </c>
    </row>
    <row r="58" spans="2:5" ht="15" customHeight="1" x14ac:dyDescent="0.25">
      <c r="B58" s="89"/>
      <c r="C58" s="34" t="s">
        <v>26</v>
      </c>
      <c r="D58" s="35">
        <v>23</v>
      </c>
      <c r="E58" s="36">
        <v>2.6210826210826209E-3</v>
      </c>
    </row>
    <row r="59" spans="2:5" ht="15" customHeight="1" x14ac:dyDescent="0.25">
      <c r="B59" s="88" t="s">
        <v>128</v>
      </c>
      <c r="C59" s="31" t="s">
        <v>24</v>
      </c>
      <c r="D59" s="32">
        <v>1</v>
      </c>
      <c r="E59" s="33">
        <v>1.1396011396011396E-4</v>
      </c>
    </row>
    <row r="60" spans="2:5" ht="15" customHeight="1" x14ac:dyDescent="0.25">
      <c r="B60" s="89"/>
      <c r="C60" s="34" t="s">
        <v>26</v>
      </c>
      <c r="D60" s="35">
        <v>1</v>
      </c>
      <c r="E60" s="36">
        <v>1.1396011396011396E-4</v>
      </c>
    </row>
    <row r="61" spans="2:5" ht="15" customHeight="1" x14ac:dyDescent="0.25">
      <c r="B61" s="88" t="s">
        <v>129</v>
      </c>
      <c r="C61" s="31" t="s">
        <v>24</v>
      </c>
      <c r="D61" s="32">
        <v>6</v>
      </c>
      <c r="E61" s="33">
        <v>6.8376068376068376E-4</v>
      </c>
    </row>
    <row r="62" spans="2:5" ht="15" customHeight="1" x14ac:dyDescent="0.25">
      <c r="B62" s="92"/>
      <c r="C62" s="31" t="s">
        <v>29</v>
      </c>
      <c r="D62" s="32">
        <v>1</v>
      </c>
      <c r="E62" s="33">
        <v>1.1396011396011396E-4</v>
      </c>
    </row>
    <row r="63" spans="2:5" ht="15" customHeight="1" x14ac:dyDescent="0.25">
      <c r="B63" s="92"/>
      <c r="C63" s="31" t="s">
        <v>25</v>
      </c>
      <c r="D63" s="32">
        <v>10</v>
      </c>
      <c r="E63" s="33">
        <v>1.1396011396011395E-3</v>
      </c>
    </row>
    <row r="64" spans="2:5" ht="15" customHeight="1" x14ac:dyDescent="0.25">
      <c r="B64" s="89"/>
      <c r="C64" s="34" t="s">
        <v>26</v>
      </c>
      <c r="D64" s="35">
        <v>17</v>
      </c>
      <c r="E64" s="36">
        <v>1.9373219373219374E-3</v>
      </c>
    </row>
    <row r="65" spans="2:5" ht="15" customHeight="1" x14ac:dyDescent="0.25">
      <c r="B65" s="88" t="s">
        <v>130</v>
      </c>
      <c r="C65" s="31" t="s">
        <v>23</v>
      </c>
      <c r="D65" s="32">
        <v>7</v>
      </c>
      <c r="E65" s="33">
        <v>7.9772079772079776E-4</v>
      </c>
    </row>
    <row r="66" spans="2:5" ht="15" customHeight="1" x14ac:dyDescent="0.25">
      <c r="B66" s="92"/>
      <c r="C66" s="31" t="s">
        <v>24</v>
      </c>
      <c r="D66" s="32">
        <v>3</v>
      </c>
      <c r="E66" s="33">
        <v>3.4188034188034188E-4</v>
      </c>
    </row>
    <row r="67" spans="2:5" ht="15" customHeight="1" x14ac:dyDescent="0.25">
      <c r="B67" s="92"/>
      <c r="C67" s="31" t="s">
        <v>29</v>
      </c>
      <c r="D67" s="32">
        <v>1</v>
      </c>
      <c r="E67" s="33">
        <v>1.1396011396011396E-4</v>
      </c>
    </row>
    <row r="68" spans="2:5" ht="15" customHeight="1" x14ac:dyDescent="0.25">
      <c r="B68" s="92"/>
      <c r="C68" s="31" t="s">
        <v>25</v>
      </c>
      <c r="D68" s="32">
        <v>10</v>
      </c>
      <c r="E68" s="33">
        <v>1.1396011396011395E-3</v>
      </c>
    </row>
    <row r="69" spans="2:5" ht="15" customHeight="1" x14ac:dyDescent="0.25">
      <c r="B69" s="89"/>
      <c r="C69" s="34" t="s">
        <v>26</v>
      </c>
      <c r="D69" s="35">
        <v>21</v>
      </c>
      <c r="E69" s="36">
        <v>2.3931623931623932E-3</v>
      </c>
    </row>
    <row r="70" spans="2:5" ht="15" customHeight="1" x14ac:dyDescent="0.25">
      <c r="B70" s="88" t="s">
        <v>131</v>
      </c>
      <c r="C70" s="31" t="s">
        <v>23</v>
      </c>
      <c r="D70" s="32">
        <v>88</v>
      </c>
      <c r="E70" s="33">
        <v>1.0028490028490029E-2</v>
      </c>
    </row>
    <row r="71" spans="2:5" ht="15" customHeight="1" x14ac:dyDescent="0.25">
      <c r="B71" s="92"/>
      <c r="C71" s="31" t="s">
        <v>24</v>
      </c>
      <c r="D71" s="32">
        <v>251</v>
      </c>
      <c r="E71" s="33">
        <v>2.8603988603988603E-2</v>
      </c>
    </row>
    <row r="72" spans="2:5" ht="15" customHeight="1" x14ac:dyDescent="0.25">
      <c r="B72" s="92"/>
      <c r="C72" s="31" t="s">
        <v>32</v>
      </c>
      <c r="D72" s="32">
        <v>3</v>
      </c>
      <c r="E72" s="33">
        <v>3.4188034188034188E-4</v>
      </c>
    </row>
    <row r="73" spans="2:5" ht="15" customHeight="1" x14ac:dyDescent="0.25">
      <c r="B73" s="92"/>
      <c r="C73" s="31" t="s">
        <v>29</v>
      </c>
      <c r="D73" s="32">
        <v>19</v>
      </c>
      <c r="E73" s="33">
        <v>2.1652421652421654E-3</v>
      </c>
    </row>
    <row r="74" spans="2:5" ht="15" customHeight="1" x14ac:dyDescent="0.25">
      <c r="B74" s="92"/>
      <c r="C74" s="31" t="s">
        <v>25</v>
      </c>
      <c r="D74" s="32">
        <v>228</v>
      </c>
      <c r="E74" s="33">
        <v>2.5982905982905983E-2</v>
      </c>
    </row>
    <row r="75" spans="2:5" ht="15" customHeight="1" x14ac:dyDescent="0.25">
      <c r="B75" s="89"/>
      <c r="C75" s="34" t="s">
        <v>26</v>
      </c>
      <c r="D75" s="35">
        <v>589</v>
      </c>
      <c r="E75" s="36">
        <v>6.7122507122507127E-2</v>
      </c>
    </row>
    <row r="76" spans="2:5" ht="15" customHeight="1" x14ac:dyDescent="0.25">
      <c r="B76" s="88" t="s">
        <v>132</v>
      </c>
      <c r="C76" s="31" t="s">
        <v>23</v>
      </c>
      <c r="D76" s="32">
        <v>15</v>
      </c>
      <c r="E76" s="33">
        <v>1.7094017094017094E-3</v>
      </c>
    </row>
    <row r="77" spans="2:5" ht="15" customHeight="1" x14ac:dyDescent="0.25">
      <c r="B77" s="92"/>
      <c r="C77" s="31" t="s">
        <v>24</v>
      </c>
      <c r="D77" s="32">
        <v>21</v>
      </c>
      <c r="E77" s="33">
        <v>2.3931623931623932E-3</v>
      </c>
    </row>
    <row r="78" spans="2:5" ht="15" customHeight="1" x14ac:dyDescent="0.25">
      <c r="B78" s="92"/>
      <c r="C78" s="31" t="s">
        <v>32</v>
      </c>
      <c r="D78" s="32">
        <v>2</v>
      </c>
      <c r="E78" s="33">
        <v>2.2792022792022791E-4</v>
      </c>
    </row>
    <row r="79" spans="2:5" ht="15" customHeight="1" x14ac:dyDescent="0.25">
      <c r="B79" s="92"/>
      <c r="C79" s="31" t="s">
        <v>29</v>
      </c>
      <c r="D79" s="32">
        <v>6</v>
      </c>
      <c r="E79" s="33">
        <v>6.8376068376068376E-4</v>
      </c>
    </row>
    <row r="80" spans="2:5" ht="15" customHeight="1" x14ac:dyDescent="0.25">
      <c r="B80" s="92"/>
      <c r="C80" s="31" t="s">
        <v>25</v>
      </c>
      <c r="D80" s="32">
        <v>65</v>
      </c>
      <c r="E80" s="33">
        <v>7.4074074074074077E-3</v>
      </c>
    </row>
    <row r="81" spans="2:5" ht="15" customHeight="1" x14ac:dyDescent="0.25">
      <c r="B81" s="89"/>
      <c r="C81" s="34" t="s">
        <v>26</v>
      </c>
      <c r="D81" s="35">
        <v>109</v>
      </c>
      <c r="E81" s="36">
        <v>1.2421652421652421E-2</v>
      </c>
    </row>
    <row r="82" spans="2:5" ht="15" customHeight="1" x14ac:dyDescent="0.25">
      <c r="B82" s="88" t="s">
        <v>188</v>
      </c>
      <c r="C82" s="31" t="s">
        <v>23</v>
      </c>
      <c r="D82" s="32">
        <v>12</v>
      </c>
      <c r="E82" s="33">
        <v>1.3675213675213675E-3</v>
      </c>
    </row>
    <row r="83" spans="2:5" ht="15" customHeight="1" x14ac:dyDescent="0.25">
      <c r="B83" s="92"/>
      <c r="C83" s="31" t="s">
        <v>24</v>
      </c>
      <c r="D83" s="32">
        <v>10</v>
      </c>
      <c r="E83" s="33">
        <v>1.1396011396011395E-3</v>
      </c>
    </row>
    <row r="84" spans="2:5" ht="15" customHeight="1" x14ac:dyDescent="0.25">
      <c r="B84" s="92"/>
      <c r="C84" s="31" t="s">
        <v>29</v>
      </c>
      <c r="D84" s="32">
        <v>1</v>
      </c>
      <c r="E84" s="33">
        <v>1.1396011396011396E-4</v>
      </c>
    </row>
    <row r="85" spans="2:5" ht="15" customHeight="1" x14ac:dyDescent="0.25">
      <c r="B85" s="92"/>
      <c r="C85" s="31" t="s">
        <v>25</v>
      </c>
      <c r="D85" s="32">
        <v>27</v>
      </c>
      <c r="E85" s="33">
        <v>3.0769230769230769E-3</v>
      </c>
    </row>
    <row r="86" spans="2:5" ht="15" customHeight="1" x14ac:dyDescent="0.25">
      <c r="B86" s="89"/>
      <c r="C86" s="34" t="s">
        <v>26</v>
      </c>
      <c r="D86" s="35">
        <v>50</v>
      </c>
      <c r="E86" s="36">
        <v>5.6980056980056983E-3</v>
      </c>
    </row>
    <row r="87" spans="2:5" ht="15" customHeight="1" x14ac:dyDescent="0.25">
      <c r="B87" s="88" t="s">
        <v>134</v>
      </c>
      <c r="C87" s="31" t="s">
        <v>23</v>
      </c>
      <c r="D87" s="32">
        <v>18</v>
      </c>
      <c r="E87" s="33">
        <v>2.0512820512820513E-3</v>
      </c>
    </row>
    <row r="88" spans="2:5" ht="15" customHeight="1" x14ac:dyDescent="0.25">
      <c r="B88" s="92"/>
      <c r="C88" s="31" t="s">
        <v>24</v>
      </c>
      <c r="D88" s="32">
        <v>24</v>
      </c>
      <c r="E88" s="33">
        <v>2.735042735042735E-3</v>
      </c>
    </row>
    <row r="89" spans="2:5" ht="15" customHeight="1" x14ac:dyDescent="0.25">
      <c r="B89" s="92"/>
      <c r="C89" s="31" t="s">
        <v>32</v>
      </c>
      <c r="D89" s="32">
        <v>1</v>
      </c>
      <c r="E89" s="33">
        <v>1.1396011396011396E-4</v>
      </c>
    </row>
    <row r="90" spans="2:5" ht="15" customHeight="1" x14ac:dyDescent="0.25">
      <c r="B90" s="92"/>
      <c r="C90" s="31" t="s">
        <v>29</v>
      </c>
      <c r="D90" s="32">
        <v>1</v>
      </c>
      <c r="E90" s="33">
        <v>1.1396011396011396E-4</v>
      </c>
    </row>
    <row r="91" spans="2:5" ht="15" customHeight="1" x14ac:dyDescent="0.25">
      <c r="B91" s="92"/>
      <c r="C91" s="31" t="s">
        <v>25</v>
      </c>
      <c r="D91" s="32">
        <v>31</v>
      </c>
      <c r="E91" s="33">
        <v>3.5327635327635329E-3</v>
      </c>
    </row>
    <row r="92" spans="2:5" ht="15" customHeight="1" x14ac:dyDescent="0.25">
      <c r="B92" s="89"/>
      <c r="C92" s="34" t="s">
        <v>26</v>
      </c>
      <c r="D92" s="35">
        <v>75</v>
      </c>
      <c r="E92" s="36">
        <v>8.5470085470085479E-3</v>
      </c>
    </row>
    <row r="93" spans="2:5" ht="15" customHeight="1" x14ac:dyDescent="0.25">
      <c r="B93" s="88" t="s">
        <v>135</v>
      </c>
      <c r="C93" s="31" t="s">
        <v>25</v>
      </c>
      <c r="D93" s="32">
        <v>5</v>
      </c>
      <c r="E93" s="33">
        <v>5.6980056980056976E-4</v>
      </c>
    </row>
    <row r="94" spans="2:5" ht="15" customHeight="1" x14ac:dyDescent="0.25">
      <c r="B94" s="89"/>
      <c r="C94" s="34" t="s">
        <v>26</v>
      </c>
      <c r="D94" s="35">
        <v>5</v>
      </c>
      <c r="E94" s="36">
        <v>5.6980056980056976E-4</v>
      </c>
    </row>
    <row r="95" spans="2:5" ht="15" customHeight="1" x14ac:dyDescent="0.25">
      <c r="B95" s="88" t="s">
        <v>136</v>
      </c>
      <c r="C95" s="31" t="s">
        <v>23</v>
      </c>
      <c r="D95" s="32">
        <v>50</v>
      </c>
      <c r="E95" s="33">
        <v>5.6980056980056983E-3</v>
      </c>
    </row>
    <row r="96" spans="2:5" ht="15" customHeight="1" x14ac:dyDescent="0.25">
      <c r="B96" s="92"/>
      <c r="C96" s="31" t="s">
        <v>24</v>
      </c>
      <c r="D96" s="32">
        <v>180</v>
      </c>
      <c r="E96" s="33">
        <v>2.0512820512820513E-2</v>
      </c>
    </row>
    <row r="97" spans="2:5" ht="15" customHeight="1" x14ac:dyDescent="0.25">
      <c r="B97" s="92"/>
      <c r="C97" s="31" t="s">
        <v>29</v>
      </c>
      <c r="D97" s="32">
        <v>6</v>
      </c>
      <c r="E97" s="33">
        <v>6.8376068376068376E-4</v>
      </c>
    </row>
    <row r="98" spans="2:5" ht="15" customHeight="1" x14ac:dyDescent="0.25">
      <c r="B98" s="92"/>
      <c r="C98" s="31" t="s">
        <v>25</v>
      </c>
      <c r="D98" s="32">
        <v>182</v>
      </c>
      <c r="E98" s="33">
        <v>2.074074074074074E-2</v>
      </c>
    </row>
    <row r="99" spans="2:5" ht="15" customHeight="1" x14ac:dyDescent="0.25">
      <c r="B99" s="89"/>
      <c r="C99" s="34" t="s">
        <v>26</v>
      </c>
      <c r="D99" s="35">
        <v>418</v>
      </c>
      <c r="E99" s="36">
        <v>4.7635327635327636E-2</v>
      </c>
    </row>
    <row r="100" spans="2:5" ht="15" customHeight="1" x14ac:dyDescent="0.25">
      <c r="B100" s="88" t="s">
        <v>137</v>
      </c>
      <c r="C100" s="31" t="s">
        <v>23</v>
      </c>
      <c r="D100" s="32">
        <v>8</v>
      </c>
      <c r="E100" s="33">
        <v>9.1168091168091164E-4</v>
      </c>
    </row>
    <row r="101" spans="2:5" ht="15" customHeight="1" x14ac:dyDescent="0.25">
      <c r="B101" s="92"/>
      <c r="C101" s="31" t="s">
        <v>24</v>
      </c>
      <c r="D101" s="32">
        <v>17</v>
      </c>
      <c r="E101" s="33">
        <v>1.9373219373219374E-3</v>
      </c>
    </row>
    <row r="102" spans="2:5" ht="15" customHeight="1" x14ac:dyDescent="0.25">
      <c r="B102" s="92"/>
      <c r="C102" s="31" t="s">
        <v>25</v>
      </c>
      <c r="D102" s="32">
        <v>46</v>
      </c>
      <c r="E102" s="33">
        <v>5.2421652421652419E-3</v>
      </c>
    </row>
    <row r="103" spans="2:5" ht="15" customHeight="1" x14ac:dyDescent="0.25">
      <c r="B103" s="89"/>
      <c r="C103" s="34" t="s">
        <v>26</v>
      </c>
      <c r="D103" s="35">
        <v>71</v>
      </c>
      <c r="E103" s="36">
        <v>8.0911680911680915E-3</v>
      </c>
    </row>
    <row r="104" spans="2:5" ht="15" customHeight="1" x14ac:dyDescent="0.25">
      <c r="B104" s="88" t="s">
        <v>185</v>
      </c>
      <c r="C104" s="31" t="s">
        <v>23</v>
      </c>
      <c r="D104" s="32">
        <v>237</v>
      </c>
      <c r="E104" s="33">
        <v>2.7008547008547008E-2</v>
      </c>
    </row>
    <row r="105" spans="2:5" ht="15" customHeight="1" x14ac:dyDescent="0.25">
      <c r="B105" s="92"/>
      <c r="C105" s="31" t="s">
        <v>24</v>
      </c>
      <c r="D105" s="32">
        <v>474</v>
      </c>
      <c r="E105" s="33">
        <v>5.4017094017094015E-2</v>
      </c>
    </row>
    <row r="106" spans="2:5" ht="15" customHeight="1" x14ac:dyDescent="0.25">
      <c r="B106" s="92"/>
      <c r="C106" s="31" t="s">
        <v>32</v>
      </c>
      <c r="D106" s="32">
        <v>10</v>
      </c>
      <c r="E106" s="33">
        <v>1.1396011396011395E-3</v>
      </c>
    </row>
    <row r="107" spans="2:5" ht="15" customHeight="1" x14ac:dyDescent="0.25">
      <c r="B107" s="92"/>
      <c r="C107" s="31" t="s">
        <v>29</v>
      </c>
      <c r="D107" s="32">
        <v>43</v>
      </c>
      <c r="E107" s="33">
        <v>4.9002849002849E-3</v>
      </c>
    </row>
    <row r="108" spans="2:5" ht="15" customHeight="1" x14ac:dyDescent="0.25">
      <c r="B108" s="92"/>
      <c r="C108" s="31" t="s">
        <v>25</v>
      </c>
      <c r="D108" s="32">
        <v>954</v>
      </c>
      <c r="E108" s="33">
        <v>0.10871794871794872</v>
      </c>
    </row>
    <row r="109" spans="2:5" ht="15" customHeight="1" x14ac:dyDescent="0.25">
      <c r="B109" s="89"/>
      <c r="C109" s="34" t="s">
        <v>26</v>
      </c>
      <c r="D109" s="35">
        <v>1718</v>
      </c>
      <c r="E109" s="36">
        <v>0.1957834757834758</v>
      </c>
    </row>
    <row r="110" spans="2:5" ht="15" customHeight="1" x14ac:dyDescent="0.25">
      <c r="B110" s="88" t="s">
        <v>189</v>
      </c>
      <c r="C110" s="31" t="s">
        <v>23</v>
      </c>
      <c r="D110" s="32">
        <v>4</v>
      </c>
      <c r="E110" s="33">
        <v>4.5584045584045582E-4</v>
      </c>
    </row>
    <row r="111" spans="2:5" ht="15" customHeight="1" x14ac:dyDescent="0.25">
      <c r="B111" s="92"/>
      <c r="C111" s="31" t="s">
        <v>24</v>
      </c>
      <c r="D111" s="32">
        <v>5</v>
      </c>
      <c r="E111" s="33">
        <v>5.6980056980056976E-4</v>
      </c>
    </row>
    <row r="112" spans="2:5" ht="15" customHeight="1" x14ac:dyDescent="0.25">
      <c r="B112" s="92"/>
      <c r="C112" s="31" t="s">
        <v>32</v>
      </c>
      <c r="D112" s="32">
        <v>1</v>
      </c>
      <c r="E112" s="33">
        <v>1.1396011396011396E-4</v>
      </c>
    </row>
    <row r="113" spans="2:5" ht="15" customHeight="1" x14ac:dyDescent="0.25">
      <c r="B113" s="92"/>
      <c r="C113" s="31" t="s">
        <v>29</v>
      </c>
      <c r="D113" s="32">
        <v>1</v>
      </c>
      <c r="E113" s="33">
        <v>1.1396011396011396E-4</v>
      </c>
    </row>
    <row r="114" spans="2:5" ht="15" customHeight="1" x14ac:dyDescent="0.25">
      <c r="B114" s="92"/>
      <c r="C114" s="31" t="s">
        <v>25</v>
      </c>
      <c r="D114" s="32">
        <v>7</v>
      </c>
      <c r="E114" s="33">
        <v>7.9772079772079776E-4</v>
      </c>
    </row>
    <row r="115" spans="2:5" ht="15" customHeight="1" x14ac:dyDescent="0.25">
      <c r="B115" s="89"/>
      <c r="C115" s="34" t="s">
        <v>26</v>
      </c>
      <c r="D115" s="35">
        <v>18</v>
      </c>
      <c r="E115" s="36">
        <v>2.0512820512820513E-3</v>
      </c>
    </row>
    <row r="116" spans="2:5" ht="15" customHeight="1" x14ac:dyDescent="0.25">
      <c r="B116" s="88" t="s">
        <v>140</v>
      </c>
      <c r="C116" s="31" t="s">
        <v>23</v>
      </c>
      <c r="D116" s="32">
        <v>8</v>
      </c>
      <c r="E116" s="33">
        <v>9.1168091168091164E-4</v>
      </c>
    </row>
    <row r="117" spans="2:5" ht="15" customHeight="1" x14ac:dyDescent="0.25">
      <c r="B117" s="92"/>
      <c r="C117" s="31" t="s">
        <v>24</v>
      </c>
      <c r="D117" s="32">
        <v>3</v>
      </c>
      <c r="E117" s="33">
        <v>3.4188034188034188E-4</v>
      </c>
    </row>
    <row r="118" spans="2:5" ht="15" customHeight="1" x14ac:dyDescent="0.25">
      <c r="B118" s="92"/>
      <c r="C118" s="31" t="s">
        <v>29</v>
      </c>
      <c r="D118" s="32">
        <v>1</v>
      </c>
      <c r="E118" s="33">
        <v>1.1396011396011396E-4</v>
      </c>
    </row>
    <row r="119" spans="2:5" ht="15" customHeight="1" x14ac:dyDescent="0.25">
      <c r="B119" s="92"/>
      <c r="C119" s="31" t="s">
        <v>25</v>
      </c>
      <c r="D119" s="32">
        <v>10</v>
      </c>
      <c r="E119" s="33">
        <v>1.1396011396011395E-3</v>
      </c>
    </row>
    <row r="120" spans="2:5" ht="15" customHeight="1" x14ac:dyDescent="0.25">
      <c r="B120" s="89"/>
      <c r="C120" s="34" t="s">
        <v>26</v>
      </c>
      <c r="D120" s="35">
        <v>22</v>
      </c>
      <c r="E120" s="36">
        <v>2.5071225071225073E-3</v>
      </c>
    </row>
    <row r="121" spans="2:5" ht="15" customHeight="1" x14ac:dyDescent="0.25">
      <c r="B121" s="88" t="s">
        <v>141</v>
      </c>
      <c r="C121" s="31" t="s">
        <v>23</v>
      </c>
      <c r="D121" s="32">
        <v>4</v>
      </c>
      <c r="E121" s="33">
        <v>4.5584045584045582E-4</v>
      </c>
    </row>
    <row r="122" spans="2:5" ht="15" customHeight="1" x14ac:dyDescent="0.25">
      <c r="B122" s="92"/>
      <c r="C122" s="31" t="s">
        <v>24</v>
      </c>
      <c r="D122" s="32">
        <v>12</v>
      </c>
      <c r="E122" s="33">
        <v>1.3675213675213675E-3</v>
      </c>
    </row>
    <row r="123" spans="2:5" ht="15" customHeight="1" x14ac:dyDescent="0.25">
      <c r="B123" s="92"/>
      <c r="C123" s="31" t="s">
        <v>29</v>
      </c>
      <c r="D123" s="32">
        <v>2</v>
      </c>
      <c r="E123" s="33">
        <v>2.2792022792022791E-4</v>
      </c>
    </row>
    <row r="124" spans="2:5" ht="15" customHeight="1" x14ac:dyDescent="0.25">
      <c r="B124" s="92"/>
      <c r="C124" s="31" t="s">
        <v>25</v>
      </c>
      <c r="D124" s="32">
        <v>19</v>
      </c>
      <c r="E124" s="33">
        <v>2.1652421652421654E-3</v>
      </c>
    </row>
    <row r="125" spans="2:5" ht="15" customHeight="1" x14ac:dyDescent="0.25">
      <c r="B125" s="89"/>
      <c r="C125" s="34" t="s">
        <v>26</v>
      </c>
      <c r="D125" s="35">
        <v>37</v>
      </c>
      <c r="E125" s="36">
        <v>4.2165242165242162E-3</v>
      </c>
    </row>
    <row r="126" spans="2:5" ht="15" customHeight="1" x14ac:dyDescent="0.25">
      <c r="B126" s="88" t="s">
        <v>142</v>
      </c>
      <c r="C126" s="31" t="s">
        <v>24</v>
      </c>
      <c r="D126" s="32">
        <v>1</v>
      </c>
      <c r="E126" s="33">
        <v>1.1396011396011396E-4</v>
      </c>
    </row>
    <row r="127" spans="2:5" ht="15" customHeight="1" x14ac:dyDescent="0.25">
      <c r="B127" s="92"/>
      <c r="C127" s="31" t="s">
        <v>25</v>
      </c>
      <c r="D127" s="32">
        <v>1</v>
      </c>
      <c r="E127" s="33">
        <v>1.1396011396011396E-4</v>
      </c>
    </row>
    <row r="128" spans="2:5" ht="15" customHeight="1" x14ac:dyDescent="0.25">
      <c r="B128" s="89"/>
      <c r="C128" s="34" t="s">
        <v>26</v>
      </c>
      <c r="D128" s="35">
        <v>2</v>
      </c>
      <c r="E128" s="36">
        <v>2.2792022792022791E-4</v>
      </c>
    </row>
    <row r="129" spans="2:5" ht="15" customHeight="1" x14ac:dyDescent="0.25">
      <c r="B129" s="88" t="s">
        <v>143</v>
      </c>
      <c r="C129" s="31" t="s">
        <v>23</v>
      </c>
      <c r="D129" s="32">
        <v>2</v>
      </c>
      <c r="E129" s="33">
        <v>2.2792022792022791E-4</v>
      </c>
    </row>
    <row r="130" spans="2:5" ht="15" customHeight="1" x14ac:dyDescent="0.25">
      <c r="B130" s="92"/>
      <c r="C130" s="31" t="s">
        <v>24</v>
      </c>
      <c r="D130" s="32">
        <v>5</v>
      </c>
      <c r="E130" s="33">
        <v>5.6980056980056976E-4</v>
      </c>
    </row>
    <row r="131" spans="2:5" ht="15" customHeight="1" x14ac:dyDescent="0.25">
      <c r="B131" s="92"/>
      <c r="C131" s="31" t="s">
        <v>25</v>
      </c>
      <c r="D131" s="32">
        <v>5</v>
      </c>
      <c r="E131" s="33">
        <v>5.6980056980056976E-4</v>
      </c>
    </row>
    <row r="132" spans="2:5" ht="15" customHeight="1" x14ac:dyDescent="0.25">
      <c r="B132" s="89"/>
      <c r="C132" s="34" t="s">
        <v>26</v>
      </c>
      <c r="D132" s="35">
        <v>12</v>
      </c>
      <c r="E132" s="36">
        <v>1.3675213675213675E-3</v>
      </c>
    </row>
    <row r="133" spans="2:5" ht="15" customHeight="1" x14ac:dyDescent="0.25">
      <c r="B133" s="88" t="s">
        <v>144</v>
      </c>
      <c r="C133" s="31" t="s">
        <v>23</v>
      </c>
      <c r="D133" s="32">
        <v>10</v>
      </c>
      <c r="E133" s="33">
        <v>1.1396011396011395E-3</v>
      </c>
    </row>
    <row r="134" spans="2:5" ht="15" customHeight="1" x14ac:dyDescent="0.25">
      <c r="B134" s="92"/>
      <c r="C134" s="31" t="s">
        <v>24</v>
      </c>
      <c r="D134" s="32">
        <v>5</v>
      </c>
      <c r="E134" s="33">
        <v>5.6980056980056976E-4</v>
      </c>
    </row>
    <row r="135" spans="2:5" ht="15" customHeight="1" x14ac:dyDescent="0.25">
      <c r="B135" s="92"/>
      <c r="C135" s="31" t="s">
        <v>32</v>
      </c>
      <c r="D135" s="32">
        <v>1</v>
      </c>
      <c r="E135" s="33">
        <v>1.1396011396011396E-4</v>
      </c>
    </row>
    <row r="136" spans="2:5" ht="15" customHeight="1" x14ac:dyDescent="0.25">
      <c r="B136" s="92"/>
      <c r="C136" s="31" t="s">
        <v>25</v>
      </c>
      <c r="D136" s="32">
        <v>30</v>
      </c>
      <c r="E136" s="33">
        <v>3.4188034188034188E-3</v>
      </c>
    </row>
    <row r="137" spans="2:5" ht="15" customHeight="1" x14ac:dyDescent="0.25">
      <c r="B137" s="89"/>
      <c r="C137" s="34" t="s">
        <v>26</v>
      </c>
      <c r="D137" s="35">
        <v>46</v>
      </c>
      <c r="E137" s="36">
        <v>5.2421652421652419E-3</v>
      </c>
    </row>
    <row r="138" spans="2:5" ht="15" customHeight="1" x14ac:dyDescent="0.25">
      <c r="B138" s="88" t="s">
        <v>145</v>
      </c>
      <c r="C138" s="31" t="s">
        <v>23</v>
      </c>
      <c r="D138" s="32">
        <v>11</v>
      </c>
      <c r="E138" s="33">
        <v>1.2535612535612536E-3</v>
      </c>
    </row>
    <row r="139" spans="2:5" ht="15" customHeight="1" x14ac:dyDescent="0.25">
      <c r="B139" s="92"/>
      <c r="C139" s="31" t="s">
        <v>24</v>
      </c>
      <c r="D139" s="32">
        <v>15</v>
      </c>
      <c r="E139" s="33">
        <v>1.7094017094017094E-3</v>
      </c>
    </row>
    <row r="140" spans="2:5" ht="15" customHeight="1" x14ac:dyDescent="0.25">
      <c r="B140" s="92"/>
      <c r="C140" s="31" t="s">
        <v>29</v>
      </c>
      <c r="D140" s="32">
        <v>2</v>
      </c>
      <c r="E140" s="33">
        <v>2.2792022792022791E-4</v>
      </c>
    </row>
    <row r="141" spans="2:5" ht="15" customHeight="1" x14ac:dyDescent="0.25">
      <c r="B141" s="92"/>
      <c r="C141" s="31" t="s">
        <v>25</v>
      </c>
      <c r="D141" s="32">
        <v>17</v>
      </c>
      <c r="E141" s="33">
        <v>1.9373219373219374E-3</v>
      </c>
    </row>
    <row r="142" spans="2:5" ht="15" customHeight="1" x14ac:dyDescent="0.25">
      <c r="B142" s="89"/>
      <c r="C142" s="34" t="s">
        <v>26</v>
      </c>
      <c r="D142" s="35">
        <v>45</v>
      </c>
      <c r="E142" s="36">
        <v>5.1282051282051282E-3</v>
      </c>
    </row>
    <row r="143" spans="2:5" ht="15" customHeight="1" x14ac:dyDescent="0.25">
      <c r="B143" s="88" t="s">
        <v>146</v>
      </c>
      <c r="C143" s="31" t="s">
        <v>23</v>
      </c>
      <c r="D143" s="32">
        <v>13</v>
      </c>
      <c r="E143" s="33">
        <v>1.4814814814814814E-3</v>
      </c>
    </row>
    <row r="144" spans="2:5" ht="15" customHeight="1" x14ac:dyDescent="0.25">
      <c r="B144" s="92"/>
      <c r="C144" s="31" t="s">
        <v>24</v>
      </c>
      <c r="D144" s="32">
        <v>8</v>
      </c>
      <c r="E144" s="33">
        <v>9.1168091168091164E-4</v>
      </c>
    </row>
    <row r="145" spans="2:5" ht="15" customHeight="1" x14ac:dyDescent="0.25">
      <c r="B145" s="92"/>
      <c r="C145" s="31" t="s">
        <v>25</v>
      </c>
      <c r="D145" s="32">
        <v>14</v>
      </c>
      <c r="E145" s="33">
        <v>1.5954415954415955E-3</v>
      </c>
    </row>
    <row r="146" spans="2:5" ht="15" customHeight="1" x14ac:dyDescent="0.25">
      <c r="B146" s="89"/>
      <c r="C146" s="34" t="s">
        <v>26</v>
      </c>
      <c r="D146" s="35">
        <v>35</v>
      </c>
      <c r="E146" s="36">
        <v>3.9886039886039889E-3</v>
      </c>
    </row>
    <row r="147" spans="2:5" ht="15" customHeight="1" x14ac:dyDescent="0.25">
      <c r="B147" s="88" t="s">
        <v>147</v>
      </c>
      <c r="C147" s="31" t="s">
        <v>23</v>
      </c>
      <c r="D147" s="32">
        <v>112</v>
      </c>
      <c r="E147" s="33">
        <v>1.2763532763532764E-2</v>
      </c>
    </row>
    <row r="148" spans="2:5" ht="15" customHeight="1" x14ac:dyDescent="0.25">
      <c r="B148" s="92"/>
      <c r="C148" s="31" t="s">
        <v>24</v>
      </c>
      <c r="D148" s="32">
        <v>53</v>
      </c>
      <c r="E148" s="33">
        <v>6.0398860398860402E-3</v>
      </c>
    </row>
    <row r="149" spans="2:5" ht="15" customHeight="1" x14ac:dyDescent="0.25">
      <c r="B149" s="92"/>
      <c r="C149" s="31" t="s">
        <v>29</v>
      </c>
      <c r="D149" s="32">
        <v>4</v>
      </c>
      <c r="E149" s="33">
        <v>4.5584045584045582E-4</v>
      </c>
    </row>
    <row r="150" spans="2:5" ht="15" customHeight="1" x14ac:dyDescent="0.25">
      <c r="B150" s="92"/>
      <c r="C150" s="31" t="s">
        <v>25</v>
      </c>
      <c r="D150" s="32">
        <v>84</v>
      </c>
      <c r="E150" s="33">
        <v>9.5726495726495726E-3</v>
      </c>
    </row>
    <row r="151" spans="2:5" ht="15" customHeight="1" x14ac:dyDescent="0.25">
      <c r="B151" s="89"/>
      <c r="C151" s="34" t="s">
        <v>26</v>
      </c>
      <c r="D151" s="35">
        <v>253</v>
      </c>
      <c r="E151" s="36">
        <v>2.8831908831908833E-2</v>
      </c>
    </row>
    <row r="152" spans="2:5" ht="15" customHeight="1" x14ac:dyDescent="0.25">
      <c r="B152" s="88" t="s">
        <v>148</v>
      </c>
      <c r="C152" s="31" t="s">
        <v>23</v>
      </c>
      <c r="D152" s="32">
        <v>12</v>
      </c>
      <c r="E152" s="33">
        <v>1.3675213675213675E-3</v>
      </c>
    </row>
    <row r="153" spans="2:5" ht="15" customHeight="1" x14ac:dyDescent="0.25">
      <c r="B153" s="92"/>
      <c r="C153" s="31" t="s">
        <v>24</v>
      </c>
      <c r="D153" s="32">
        <v>73</v>
      </c>
      <c r="E153" s="33">
        <v>8.3190883190883188E-3</v>
      </c>
    </row>
    <row r="154" spans="2:5" ht="15" customHeight="1" x14ac:dyDescent="0.25">
      <c r="B154" s="92"/>
      <c r="C154" s="31" t="s">
        <v>29</v>
      </c>
      <c r="D154" s="32">
        <v>3</v>
      </c>
      <c r="E154" s="33">
        <v>3.4188034188034188E-4</v>
      </c>
    </row>
    <row r="155" spans="2:5" ht="15" customHeight="1" x14ac:dyDescent="0.25">
      <c r="B155" s="92"/>
      <c r="C155" s="31" t="s">
        <v>25</v>
      </c>
      <c r="D155" s="32">
        <v>48</v>
      </c>
      <c r="E155" s="33">
        <v>5.4700854700854701E-3</v>
      </c>
    </row>
    <row r="156" spans="2:5" ht="15" customHeight="1" x14ac:dyDescent="0.25">
      <c r="B156" s="89"/>
      <c r="C156" s="34" t="s">
        <v>26</v>
      </c>
      <c r="D156" s="35">
        <v>136</v>
      </c>
      <c r="E156" s="36">
        <v>1.5498575498575499E-2</v>
      </c>
    </row>
    <row r="157" spans="2:5" ht="15" customHeight="1" x14ac:dyDescent="0.25">
      <c r="B157" s="88" t="s">
        <v>149</v>
      </c>
      <c r="C157" s="31" t="s">
        <v>23</v>
      </c>
      <c r="D157" s="32">
        <v>44</v>
      </c>
      <c r="E157" s="33">
        <v>5.0142450142450145E-3</v>
      </c>
    </row>
    <row r="158" spans="2:5" ht="15" customHeight="1" x14ac:dyDescent="0.25">
      <c r="B158" s="92"/>
      <c r="C158" s="31" t="s">
        <v>24</v>
      </c>
      <c r="D158" s="32">
        <v>39</v>
      </c>
      <c r="E158" s="33">
        <v>4.4444444444444444E-3</v>
      </c>
    </row>
    <row r="159" spans="2:5" ht="15" customHeight="1" x14ac:dyDescent="0.25">
      <c r="B159" s="92"/>
      <c r="C159" s="31" t="s">
        <v>29</v>
      </c>
      <c r="D159" s="32">
        <v>2</v>
      </c>
      <c r="E159" s="33">
        <v>2.2792022792022791E-4</v>
      </c>
    </row>
    <row r="160" spans="2:5" ht="15" customHeight="1" x14ac:dyDescent="0.25">
      <c r="B160" s="92"/>
      <c r="C160" s="31" t="s">
        <v>25</v>
      </c>
      <c r="D160" s="32">
        <v>49</v>
      </c>
      <c r="E160" s="33">
        <v>5.5840455840455838E-3</v>
      </c>
    </row>
    <row r="161" spans="2:5" ht="15" customHeight="1" x14ac:dyDescent="0.25">
      <c r="B161" s="89"/>
      <c r="C161" s="34" t="s">
        <v>26</v>
      </c>
      <c r="D161" s="35">
        <v>134</v>
      </c>
      <c r="E161" s="36">
        <v>1.527065527065527E-2</v>
      </c>
    </row>
    <row r="162" spans="2:5" ht="15" customHeight="1" x14ac:dyDescent="0.25">
      <c r="B162" s="88" t="s">
        <v>150</v>
      </c>
      <c r="C162" s="31" t="s">
        <v>23</v>
      </c>
      <c r="D162" s="32">
        <v>2</v>
      </c>
      <c r="E162" s="33">
        <v>2.2792022792022791E-4</v>
      </c>
    </row>
    <row r="163" spans="2:5" ht="15" customHeight="1" x14ac:dyDescent="0.25">
      <c r="B163" s="92"/>
      <c r="C163" s="31" t="s">
        <v>24</v>
      </c>
      <c r="D163" s="32">
        <v>1</v>
      </c>
      <c r="E163" s="33">
        <v>1.1396011396011396E-4</v>
      </c>
    </row>
    <row r="164" spans="2:5" ht="15" customHeight="1" x14ac:dyDescent="0.25">
      <c r="B164" s="92"/>
      <c r="C164" s="31" t="s">
        <v>29</v>
      </c>
      <c r="D164" s="32">
        <v>1</v>
      </c>
      <c r="E164" s="33">
        <v>1.1396011396011396E-4</v>
      </c>
    </row>
    <row r="165" spans="2:5" ht="15" customHeight="1" x14ac:dyDescent="0.25">
      <c r="B165" s="92"/>
      <c r="C165" s="31" t="s">
        <v>25</v>
      </c>
      <c r="D165" s="32">
        <v>4</v>
      </c>
      <c r="E165" s="33">
        <v>4.5584045584045582E-4</v>
      </c>
    </row>
    <row r="166" spans="2:5" ht="15" customHeight="1" x14ac:dyDescent="0.25">
      <c r="B166" s="89"/>
      <c r="C166" s="34" t="s">
        <v>26</v>
      </c>
      <c r="D166" s="35">
        <v>8</v>
      </c>
      <c r="E166" s="36">
        <v>9.1168091168091164E-4</v>
      </c>
    </row>
    <row r="167" spans="2:5" ht="15" customHeight="1" x14ac:dyDescent="0.25">
      <c r="B167" s="88" t="s">
        <v>151</v>
      </c>
      <c r="C167" s="31" t="s">
        <v>23</v>
      </c>
      <c r="D167" s="32">
        <v>18</v>
      </c>
      <c r="E167" s="33">
        <v>2.0512820512820513E-3</v>
      </c>
    </row>
    <row r="168" spans="2:5" ht="15" customHeight="1" x14ac:dyDescent="0.25">
      <c r="B168" s="92"/>
      <c r="C168" s="31" t="s">
        <v>24</v>
      </c>
      <c r="D168" s="32">
        <v>16</v>
      </c>
      <c r="E168" s="33">
        <v>1.8233618233618233E-3</v>
      </c>
    </row>
    <row r="169" spans="2:5" ht="15" customHeight="1" x14ac:dyDescent="0.25">
      <c r="B169" s="92"/>
      <c r="C169" s="31" t="s">
        <v>29</v>
      </c>
      <c r="D169" s="32">
        <v>2</v>
      </c>
      <c r="E169" s="33">
        <v>2.2792022792022791E-4</v>
      </c>
    </row>
    <row r="170" spans="2:5" ht="15" customHeight="1" x14ac:dyDescent="0.25">
      <c r="B170" s="92"/>
      <c r="C170" s="31" t="s">
        <v>25</v>
      </c>
      <c r="D170" s="32">
        <v>33</v>
      </c>
      <c r="E170" s="33">
        <v>3.7606837606837607E-3</v>
      </c>
    </row>
    <row r="171" spans="2:5" ht="15" customHeight="1" x14ac:dyDescent="0.25">
      <c r="B171" s="89"/>
      <c r="C171" s="34" t="s">
        <v>26</v>
      </c>
      <c r="D171" s="35">
        <v>69</v>
      </c>
      <c r="E171" s="36">
        <v>7.8632478632478641E-3</v>
      </c>
    </row>
    <row r="172" spans="2:5" ht="15" customHeight="1" x14ac:dyDescent="0.25">
      <c r="B172" s="88" t="s">
        <v>152</v>
      </c>
      <c r="C172" s="31" t="s">
        <v>23</v>
      </c>
      <c r="D172" s="32">
        <v>46</v>
      </c>
      <c r="E172" s="33">
        <v>5.2421652421652419E-3</v>
      </c>
    </row>
    <row r="173" spans="2:5" ht="15" customHeight="1" x14ac:dyDescent="0.25">
      <c r="B173" s="92"/>
      <c r="C173" s="31" t="s">
        <v>24</v>
      </c>
      <c r="D173" s="32">
        <v>146</v>
      </c>
      <c r="E173" s="33">
        <v>1.6638176638176638E-2</v>
      </c>
    </row>
    <row r="174" spans="2:5" ht="15" customHeight="1" x14ac:dyDescent="0.25">
      <c r="B174" s="92"/>
      <c r="C174" s="31" t="s">
        <v>32</v>
      </c>
      <c r="D174" s="32">
        <v>5</v>
      </c>
      <c r="E174" s="33">
        <v>5.6980056980056976E-4</v>
      </c>
    </row>
    <row r="175" spans="2:5" ht="15" customHeight="1" x14ac:dyDescent="0.25">
      <c r="B175" s="92"/>
      <c r="C175" s="31" t="s">
        <v>29</v>
      </c>
      <c r="D175" s="32">
        <v>4</v>
      </c>
      <c r="E175" s="33">
        <v>4.5584045584045582E-4</v>
      </c>
    </row>
    <row r="176" spans="2:5" ht="15" customHeight="1" x14ac:dyDescent="0.25">
      <c r="B176" s="92"/>
      <c r="C176" s="31" t="s">
        <v>25</v>
      </c>
      <c r="D176" s="32">
        <v>163</v>
      </c>
      <c r="E176" s="33">
        <v>1.8575498575498575E-2</v>
      </c>
    </row>
    <row r="177" spans="2:5" ht="15" customHeight="1" x14ac:dyDescent="0.25">
      <c r="B177" s="89"/>
      <c r="C177" s="34" t="s">
        <v>26</v>
      </c>
      <c r="D177" s="35">
        <v>364</v>
      </c>
      <c r="E177" s="36">
        <v>4.148148148148148E-2</v>
      </c>
    </row>
    <row r="178" spans="2:5" ht="15" customHeight="1" x14ac:dyDescent="0.25">
      <c r="B178" s="88" t="s">
        <v>153</v>
      </c>
      <c r="C178" s="31" t="s">
        <v>23</v>
      </c>
      <c r="D178" s="32">
        <v>4</v>
      </c>
      <c r="E178" s="33">
        <v>4.5584045584045582E-4</v>
      </c>
    </row>
    <row r="179" spans="2:5" ht="15" customHeight="1" x14ac:dyDescent="0.25">
      <c r="B179" s="92"/>
      <c r="C179" s="31" t="s">
        <v>24</v>
      </c>
      <c r="D179" s="32">
        <v>6</v>
      </c>
      <c r="E179" s="33">
        <v>6.8376068376068376E-4</v>
      </c>
    </row>
    <row r="180" spans="2:5" ht="15" customHeight="1" x14ac:dyDescent="0.25">
      <c r="B180" s="92"/>
      <c r="C180" s="31" t="s">
        <v>25</v>
      </c>
      <c r="D180" s="32">
        <v>12</v>
      </c>
      <c r="E180" s="33">
        <v>1.3675213675213675E-3</v>
      </c>
    </row>
    <row r="181" spans="2:5" ht="15" customHeight="1" x14ac:dyDescent="0.25">
      <c r="B181" s="89"/>
      <c r="C181" s="34" t="s">
        <v>26</v>
      </c>
      <c r="D181" s="35">
        <v>22</v>
      </c>
      <c r="E181" s="36">
        <v>2.5071225071225073E-3</v>
      </c>
    </row>
    <row r="182" spans="2:5" ht="15" customHeight="1" x14ac:dyDescent="0.25">
      <c r="B182" s="88" t="s">
        <v>154</v>
      </c>
      <c r="C182" s="31" t="s">
        <v>23</v>
      </c>
      <c r="D182" s="32">
        <v>23</v>
      </c>
      <c r="E182" s="33">
        <v>2.6210826210826209E-3</v>
      </c>
    </row>
    <row r="183" spans="2:5" ht="15" customHeight="1" x14ac:dyDescent="0.25">
      <c r="B183" s="92"/>
      <c r="C183" s="31" t="s">
        <v>24</v>
      </c>
      <c r="D183" s="32">
        <v>56</v>
      </c>
      <c r="E183" s="33">
        <v>6.381766381766382E-3</v>
      </c>
    </row>
    <row r="184" spans="2:5" ht="15" customHeight="1" x14ac:dyDescent="0.25">
      <c r="B184" s="92"/>
      <c r="C184" s="31" t="s">
        <v>29</v>
      </c>
      <c r="D184" s="32">
        <v>2</v>
      </c>
      <c r="E184" s="33">
        <v>2.2792022792022791E-4</v>
      </c>
    </row>
    <row r="185" spans="2:5" ht="15" customHeight="1" x14ac:dyDescent="0.25">
      <c r="B185" s="92"/>
      <c r="C185" s="31" t="s">
        <v>25</v>
      </c>
      <c r="D185" s="32">
        <v>93</v>
      </c>
      <c r="E185" s="33">
        <v>1.0598290598290599E-2</v>
      </c>
    </row>
    <row r="186" spans="2:5" ht="15" customHeight="1" x14ac:dyDescent="0.25">
      <c r="B186" s="89"/>
      <c r="C186" s="34" t="s">
        <v>26</v>
      </c>
      <c r="D186" s="35">
        <v>174</v>
      </c>
      <c r="E186" s="36">
        <v>1.9829059829059831E-2</v>
      </c>
    </row>
    <row r="187" spans="2:5" ht="15" customHeight="1" x14ac:dyDescent="0.25">
      <c r="B187" s="88" t="s">
        <v>155</v>
      </c>
      <c r="C187" s="31" t="s">
        <v>23</v>
      </c>
      <c r="D187" s="32">
        <v>6</v>
      </c>
      <c r="E187" s="33">
        <v>6.8376068376068376E-4</v>
      </c>
    </row>
    <row r="188" spans="2:5" ht="15" customHeight="1" x14ac:dyDescent="0.25">
      <c r="B188" s="92"/>
      <c r="C188" s="31" t="s">
        <v>24</v>
      </c>
      <c r="D188" s="32">
        <v>12</v>
      </c>
      <c r="E188" s="33">
        <v>1.3675213675213675E-3</v>
      </c>
    </row>
    <row r="189" spans="2:5" ht="15" customHeight="1" x14ac:dyDescent="0.25">
      <c r="B189" s="92"/>
      <c r="C189" s="31" t="s">
        <v>25</v>
      </c>
      <c r="D189" s="32">
        <v>13</v>
      </c>
      <c r="E189" s="33">
        <v>1.4814814814814814E-3</v>
      </c>
    </row>
    <row r="190" spans="2:5" ht="15" customHeight="1" x14ac:dyDescent="0.25">
      <c r="B190" s="89"/>
      <c r="C190" s="34" t="s">
        <v>26</v>
      </c>
      <c r="D190" s="35">
        <v>31</v>
      </c>
      <c r="E190" s="36">
        <v>3.5327635327635329E-3</v>
      </c>
    </row>
    <row r="191" spans="2:5" ht="15" customHeight="1" x14ac:dyDescent="0.25">
      <c r="B191" s="88" t="s">
        <v>156</v>
      </c>
      <c r="C191" s="31" t="s">
        <v>23</v>
      </c>
      <c r="D191" s="32">
        <v>133</v>
      </c>
      <c r="E191" s="33">
        <v>1.5156695156695156E-2</v>
      </c>
    </row>
    <row r="192" spans="2:5" ht="15" customHeight="1" x14ac:dyDescent="0.25">
      <c r="B192" s="92"/>
      <c r="C192" s="31" t="s">
        <v>24</v>
      </c>
      <c r="D192" s="32">
        <v>621</v>
      </c>
      <c r="E192" s="33">
        <v>7.0769230769230765E-2</v>
      </c>
    </row>
    <row r="193" spans="2:5" ht="15" customHeight="1" x14ac:dyDescent="0.25">
      <c r="B193" s="92"/>
      <c r="C193" s="31" t="s">
        <v>32</v>
      </c>
      <c r="D193" s="32">
        <v>9</v>
      </c>
      <c r="E193" s="33">
        <v>1.0256410256410256E-3</v>
      </c>
    </row>
    <row r="194" spans="2:5" ht="15" customHeight="1" x14ac:dyDescent="0.25">
      <c r="B194" s="92"/>
      <c r="C194" s="31" t="s">
        <v>29</v>
      </c>
      <c r="D194" s="32">
        <v>15</v>
      </c>
      <c r="E194" s="33">
        <v>1.7094017094017094E-3</v>
      </c>
    </row>
    <row r="195" spans="2:5" ht="15" customHeight="1" x14ac:dyDescent="0.25">
      <c r="B195" s="92"/>
      <c r="C195" s="31" t="s">
        <v>25</v>
      </c>
      <c r="D195" s="32">
        <v>442</v>
      </c>
      <c r="E195" s="33">
        <v>5.0370370370370371E-2</v>
      </c>
    </row>
    <row r="196" spans="2:5" ht="15" customHeight="1" x14ac:dyDescent="0.25">
      <c r="B196" s="89"/>
      <c r="C196" s="34" t="s">
        <v>26</v>
      </c>
      <c r="D196" s="35">
        <v>1220</v>
      </c>
      <c r="E196" s="36">
        <v>0.13903133903133902</v>
      </c>
    </row>
    <row r="197" spans="2:5" ht="15" customHeight="1" x14ac:dyDescent="0.25">
      <c r="B197" s="88" t="s">
        <v>157</v>
      </c>
      <c r="C197" s="31" t="s">
        <v>23</v>
      </c>
      <c r="D197" s="32">
        <v>65</v>
      </c>
      <c r="E197" s="33">
        <v>7.4074074074074077E-3</v>
      </c>
    </row>
    <row r="198" spans="2:5" ht="15" customHeight="1" x14ac:dyDescent="0.25">
      <c r="B198" s="92"/>
      <c r="C198" s="31" t="s">
        <v>24</v>
      </c>
      <c r="D198" s="32">
        <v>73</v>
      </c>
      <c r="E198" s="33">
        <v>8.3190883190883188E-3</v>
      </c>
    </row>
    <row r="199" spans="2:5" ht="15" customHeight="1" x14ac:dyDescent="0.25">
      <c r="B199" s="92"/>
      <c r="C199" s="31" t="s">
        <v>29</v>
      </c>
      <c r="D199" s="32">
        <v>23</v>
      </c>
      <c r="E199" s="33">
        <v>2.6210826210826209E-3</v>
      </c>
    </row>
    <row r="200" spans="2:5" ht="15" customHeight="1" x14ac:dyDescent="0.25">
      <c r="B200" s="92"/>
      <c r="C200" s="31" t="s">
        <v>25</v>
      </c>
      <c r="D200" s="32">
        <v>566</v>
      </c>
      <c r="E200" s="33">
        <v>6.4501424501424501E-2</v>
      </c>
    </row>
    <row r="201" spans="2:5" ht="15" customHeight="1" x14ac:dyDescent="0.25">
      <c r="B201" s="89"/>
      <c r="C201" s="34" t="s">
        <v>26</v>
      </c>
      <c r="D201" s="35">
        <v>727</v>
      </c>
      <c r="E201" s="36">
        <v>8.2849002849002845E-2</v>
      </c>
    </row>
    <row r="202" spans="2:5" ht="15" customHeight="1" x14ac:dyDescent="0.25">
      <c r="B202" s="88" t="s">
        <v>158</v>
      </c>
      <c r="C202" s="31" t="s">
        <v>23</v>
      </c>
      <c r="D202" s="32">
        <v>32</v>
      </c>
      <c r="E202" s="33">
        <v>3.6467236467236466E-3</v>
      </c>
    </row>
    <row r="203" spans="2:5" ht="15" customHeight="1" x14ac:dyDescent="0.25">
      <c r="B203" s="92"/>
      <c r="C203" s="31" t="s">
        <v>24</v>
      </c>
      <c r="D203" s="32">
        <v>69</v>
      </c>
      <c r="E203" s="33">
        <v>7.8632478632478641E-3</v>
      </c>
    </row>
    <row r="204" spans="2:5" ht="15" customHeight="1" x14ac:dyDescent="0.25">
      <c r="B204" s="92"/>
      <c r="C204" s="31" t="s">
        <v>32</v>
      </c>
      <c r="D204" s="32">
        <v>2</v>
      </c>
      <c r="E204" s="33">
        <v>2.2792022792022791E-4</v>
      </c>
    </row>
    <row r="205" spans="2:5" ht="15" customHeight="1" x14ac:dyDescent="0.25">
      <c r="B205" s="92"/>
      <c r="C205" s="31" t="s">
        <v>29</v>
      </c>
      <c r="D205" s="32">
        <v>2</v>
      </c>
      <c r="E205" s="33">
        <v>2.2792022792022791E-4</v>
      </c>
    </row>
    <row r="206" spans="2:5" ht="15" customHeight="1" x14ac:dyDescent="0.25">
      <c r="B206" s="92"/>
      <c r="C206" s="31" t="s">
        <v>25</v>
      </c>
      <c r="D206" s="32">
        <v>107</v>
      </c>
      <c r="E206" s="33">
        <v>1.2193732193732194E-2</v>
      </c>
    </row>
    <row r="207" spans="2:5" ht="15" customHeight="1" x14ac:dyDescent="0.25">
      <c r="B207" s="89"/>
      <c r="C207" s="34" t="s">
        <v>26</v>
      </c>
      <c r="D207" s="35">
        <v>212</v>
      </c>
      <c r="E207" s="36">
        <v>2.4159544159544161E-2</v>
      </c>
    </row>
    <row r="208" spans="2:5" ht="15" customHeight="1" x14ac:dyDescent="0.25">
      <c r="B208" s="88" t="s">
        <v>187</v>
      </c>
      <c r="C208" s="31" t="s">
        <v>23</v>
      </c>
      <c r="D208" s="32">
        <v>61</v>
      </c>
      <c r="E208" s="33">
        <v>6.9515669515669513E-3</v>
      </c>
    </row>
    <row r="209" spans="2:5" ht="15" customHeight="1" x14ac:dyDescent="0.25">
      <c r="B209" s="92"/>
      <c r="C209" s="31" t="s">
        <v>24</v>
      </c>
      <c r="D209" s="32">
        <v>104</v>
      </c>
      <c r="E209" s="33">
        <v>1.1851851851851851E-2</v>
      </c>
    </row>
    <row r="210" spans="2:5" ht="15" customHeight="1" x14ac:dyDescent="0.25">
      <c r="B210" s="92"/>
      <c r="C210" s="31" t="s">
        <v>32</v>
      </c>
      <c r="D210" s="32">
        <v>2</v>
      </c>
      <c r="E210" s="33">
        <v>2.2792022792022791E-4</v>
      </c>
    </row>
    <row r="211" spans="2:5" ht="15" customHeight="1" x14ac:dyDescent="0.25">
      <c r="B211" s="92"/>
      <c r="C211" s="31" t="s">
        <v>29</v>
      </c>
      <c r="D211" s="32">
        <v>7</v>
      </c>
      <c r="E211" s="33">
        <v>7.9772079772079776E-4</v>
      </c>
    </row>
    <row r="212" spans="2:5" ht="15" customHeight="1" x14ac:dyDescent="0.25">
      <c r="B212" s="92"/>
      <c r="C212" s="31" t="s">
        <v>25</v>
      </c>
      <c r="D212" s="32">
        <v>101</v>
      </c>
      <c r="E212" s="33">
        <v>1.150997150997151E-2</v>
      </c>
    </row>
    <row r="213" spans="2:5" ht="15" customHeight="1" x14ac:dyDescent="0.25">
      <c r="B213" s="89"/>
      <c r="C213" s="34" t="s">
        <v>26</v>
      </c>
      <c r="D213" s="35">
        <v>275</v>
      </c>
      <c r="E213" s="36">
        <v>3.1339031339031341E-2</v>
      </c>
    </row>
    <row r="214" spans="2:5" ht="15" customHeight="1" x14ac:dyDescent="0.25">
      <c r="B214" s="88" t="s">
        <v>160</v>
      </c>
      <c r="C214" s="31" t="s">
        <v>23</v>
      </c>
      <c r="D214" s="32">
        <v>37</v>
      </c>
      <c r="E214" s="33">
        <v>4.2165242165242162E-3</v>
      </c>
    </row>
    <row r="215" spans="2:5" ht="15" customHeight="1" x14ac:dyDescent="0.25">
      <c r="B215" s="92"/>
      <c r="C215" s="31" t="s">
        <v>24</v>
      </c>
      <c r="D215" s="32">
        <v>80</v>
      </c>
      <c r="E215" s="33">
        <v>9.1168091168091162E-3</v>
      </c>
    </row>
    <row r="216" spans="2:5" ht="15" customHeight="1" x14ac:dyDescent="0.25">
      <c r="B216" s="92"/>
      <c r="C216" s="31" t="s">
        <v>32</v>
      </c>
      <c r="D216" s="32">
        <v>2</v>
      </c>
      <c r="E216" s="33">
        <v>2.2792022792022791E-4</v>
      </c>
    </row>
    <row r="217" spans="2:5" ht="15" customHeight="1" x14ac:dyDescent="0.25">
      <c r="B217" s="92"/>
      <c r="C217" s="31" t="s">
        <v>29</v>
      </c>
      <c r="D217" s="32">
        <v>10</v>
      </c>
      <c r="E217" s="33">
        <v>1.1396011396011395E-3</v>
      </c>
    </row>
    <row r="218" spans="2:5" ht="15" customHeight="1" x14ac:dyDescent="0.25">
      <c r="B218" s="92"/>
      <c r="C218" s="31" t="s">
        <v>25</v>
      </c>
      <c r="D218" s="32">
        <v>213</v>
      </c>
      <c r="E218" s="33">
        <v>2.4273504273504273E-2</v>
      </c>
    </row>
    <row r="219" spans="2:5" ht="15" customHeight="1" x14ac:dyDescent="0.25">
      <c r="B219" s="89"/>
      <c r="C219" s="34" t="s">
        <v>26</v>
      </c>
      <c r="D219" s="35">
        <v>342</v>
      </c>
      <c r="E219" s="36">
        <v>3.8974358974358976E-2</v>
      </c>
    </row>
    <row r="220" spans="2:5" ht="15" customHeight="1" x14ac:dyDescent="0.25">
      <c r="B220" s="88" t="s">
        <v>161</v>
      </c>
      <c r="C220" s="31" t="s">
        <v>23</v>
      </c>
      <c r="D220" s="32">
        <v>40</v>
      </c>
      <c r="E220" s="33">
        <v>4.5584045584045581E-3</v>
      </c>
    </row>
    <row r="221" spans="2:5" ht="15" customHeight="1" x14ac:dyDescent="0.25">
      <c r="B221" s="92"/>
      <c r="C221" s="31" t="s">
        <v>24</v>
      </c>
      <c r="D221" s="32">
        <v>29</v>
      </c>
      <c r="E221" s="33">
        <v>3.3048433048433047E-3</v>
      </c>
    </row>
    <row r="222" spans="2:5" ht="15" customHeight="1" x14ac:dyDescent="0.25">
      <c r="B222" s="92"/>
      <c r="C222" s="31" t="s">
        <v>29</v>
      </c>
      <c r="D222" s="32">
        <v>3</v>
      </c>
      <c r="E222" s="33">
        <v>3.4188034188034188E-4</v>
      </c>
    </row>
    <row r="223" spans="2:5" ht="15" customHeight="1" x14ac:dyDescent="0.25">
      <c r="B223" s="92"/>
      <c r="C223" s="31" t="s">
        <v>25</v>
      </c>
      <c r="D223" s="32">
        <v>45</v>
      </c>
      <c r="E223" s="33">
        <v>5.1282051282051282E-3</v>
      </c>
    </row>
    <row r="224" spans="2:5" ht="15" customHeight="1" x14ac:dyDescent="0.25">
      <c r="B224" s="89"/>
      <c r="C224" s="34" t="s">
        <v>26</v>
      </c>
      <c r="D224" s="35">
        <v>117</v>
      </c>
      <c r="E224" s="36">
        <v>1.3333333333333334E-2</v>
      </c>
    </row>
    <row r="225" spans="2:5" ht="15" customHeight="1" x14ac:dyDescent="0.25">
      <c r="B225" s="88" t="s">
        <v>162</v>
      </c>
      <c r="C225" s="31" t="s">
        <v>23</v>
      </c>
      <c r="D225" s="32">
        <v>1</v>
      </c>
      <c r="E225" s="33">
        <v>1.1396011396011396E-4</v>
      </c>
    </row>
    <row r="226" spans="2:5" ht="15" customHeight="1" x14ac:dyDescent="0.25">
      <c r="B226" s="92"/>
      <c r="C226" s="31" t="s">
        <v>24</v>
      </c>
      <c r="D226" s="32">
        <v>19</v>
      </c>
      <c r="E226" s="33">
        <v>2.1652421652421654E-3</v>
      </c>
    </row>
    <row r="227" spans="2:5" ht="15" customHeight="1" x14ac:dyDescent="0.25">
      <c r="B227" s="92"/>
      <c r="C227" s="31" t="s">
        <v>25</v>
      </c>
      <c r="D227" s="32">
        <v>8</v>
      </c>
      <c r="E227" s="33">
        <v>9.1168091168091164E-4</v>
      </c>
    </row>
    <row r="228" spans="2:5" ht="15" customHeight="1" x14ac:dyDescent="0.25">
      <c r="B228" s="89"/>
      <c r="C228" s="34" t="s">
        <v>26</v>
      </c>
      <c r="D228" s="35">
        <v>28</v>
      </c>
      <c r="E228" s="36">
        <v>3.190883190883191E-3</v>
      </c>
    </row>
    <row r="229" spans="2:5" ht="15" customHeight="1" x14ac:dyDescent="0.25">
      <c r="B229" s="88" t="s">
        <v>72</v>
      </c>
      <c r="C229" s="31" t="s">
        <v>23</v>
      </c>
      <c r="D229" s="32">
        <v>5</v>
      </c>
      <c r="E229" s="33">
        <v>5.6980056980056976E-4</v>
      </c>
    </row>
    <row r="230" spans="2:5" ht="15" customHeight="1" x14ac:dyDescent="0.25">
      <c r="B230" s="92"/>
      <c r="C230" s="31" t="s">
        <v>24</v>
      </c>
      <c r="D230" s="32">
        <v>7</v>
      </c>
      <c r="E230" s="33">
        <v>7.9772079772079776E-4</v>
      </c>
    </row>
    <row r="231" spans="2:5" ht="15" customHeight="1" x14ac:dyDescent="0.25">
      <c r="B231" s="92"/>
      <c r="C231" s="31" t="s">
        <v>32</v>
      </c>
      <c r="D231" s="32">
        <v>1</v>
      </c>
      <c r="E231" s="33">
        <v>1.1396011396011396E-4</v>
      </c>
    </row>
    <row r="232" spans="2:5" ht="15" customHeight="1" x14ac:dyDescent="0.25">
      <c r="B232" s="92"/>
      <c r="C232" s="31" t="s">
        <v>29</v>
      </c>
      <c r="D232" s="32">
        <v>2</v>
      </c>
      <c r="E232" s="33">
        <v>2.2792022792022791E-4</v>
      </c>
    </row>
    <row r="233" spans="2:5" ht="15" customHeight="1" x14ac:dyDescent="0.25">
      <c r="B233" s="92"/>
      <c r="C233" s="31" t="s">
        <v>25</v>
      </c>
      <c r="D233" s="32">
        <v>15</v>
      </c>
      <c r="E233" s="33">
        <v>1.7094017094017094E-3</v>
      </c>
    </row>
    <row r="234" spans="2:5" ht="15" customHeight="1" x14ac:dyDescent="0.25">
      <c r="B234" s="89"/>
      <c r="C234" s="34" t="s">
        <v>26</v>
      </c>
      <c r="D234" s="35">
        <v>30</v>
      </c>
      <c r="E234" s="36">
        <v>3.4188034188034188E-3</v>
      </c>
    </row>
    <row r="235" spans="2:5" ht="15" customHeight="1" x14ac:dyDescent="0.25">
      <c r="B235" s="88" t="s">
        <v>163</v>
      </c>
      <c r="C235" s="31" t="s">
        <v>23</v>
      </c>
      <c r="D235" s="32">
        <v>4</v>
      </c>
      <c r="E235" s="33">
        <v>4.5584045584045582E-4</v>
      </c>
    </row>
    <row r="236" spans="2:5" ht="15" customHeight="1" x14ac:dyDescent="0.25">
      <c r="B236" s="92"/>
      <c r="C236" s="31" t="s">
        <v>24</v>
      </c>
      <c r="D236" s="32">
        <v>124</v>
      </c>
      <c r="E236" s="33">
        <v>1.4131054131054132E-2</v>
      </c>
    </row>
    <row r="237" spans="2:5" ht="15" customHeight="1" x14ac:dyDescent="0.25">
      <c r="B237" s="92"/>
      <c r="C237" s="31" t="s">
        <v>29</v>
      </c>
      <c r="D237" s="32">
        <v>1</v>
      </c>
      <c r="E237" s="33">
        <v>1.1396011396011396E-4</v>
      </c>
    </row>
    <row r="238" spans="2:5" ht="15" customHeight="1" x14ac:dyDescent="0.25">
      <c r="B238" s="92"/>
      <c r="C238" s="31" t="s">
        <v>25</v>
      </c>
      <c r="D238" s="32">
        <v>8</v>
      </c>
      <c r="E238" s="33">
        <v>9.1168091168091164E-4</v>
      </c>
    </row>
    <row r="239" spans="2:5" ht="15" customHeight="1" x14ac:dyDescent="0.25">
      <c r="B239" s="89"/>
      <c r="C239" s="34" t="s">
        <v>26</v>
      </c>
      <c r="D239" s="35">
        <v>137</v>
      </c>
      <c r="E239" s="36">
        <v>1.5612535612535613E-2</v>
      </c>
    </row>
    <row r="240" spans="2:5" ht="15" customHeight="1" x14ac:dyDescent="0.25">
      <c r="B240" s="90" t="s">
        <v>26</v>
      </c>
      <c r="C240" s="91"/>
      <c r="D240" s="37">
        <v>8775</v>
      </c>
      <c r="E240" s="38">
        <v>1</v>
      </c>
    </row>
    <row r="242" spans="2:2" ht="15" customHeight="1" x14ac:dyDescent="0.25">
      <c r="B242" s="39" t="s">
        <v>76</v>
      </c>
    </row>
    <row r="243" spans="2:2" ht="15" customHeight="1" x14ac:dyDescent="0.25">
      <c r="B243" s="41" t="s">
        <v>77</v>
      </c>
    </row>
    <row r="244" spans="2:2" ht="15" customHeight="1" x14ac:dyDescent="0.25">
      <c r="B244" s="42" t="s">
        <v>78</v>
      </c>
    </row>
    <row r="245" spans="2:2" ht="15" customHeight="1" x14ac:dyDescent="0.25">
      <c r="B245" s="39" t="s">
        <v>79</v>
      </c>
    </row>
    <row r="246" spans="2:2" ht="15" customHeight="1" x14ac:dyDescent="0.25">
      <c r="B246" s="39" t="s">
        <v>80</v>
      </c>
    </row>
  </sheetData>
  <mergeCells count="50">
    <mergeCell ref="B29:B32"/>
    <mergeCell ref="B7:E8"/>
    <mergeCell ref="B10:B15"/>
    <mergeCell ref="B16:B19"/>
    <mergeCell ref="B20:B23"/>
    <mergeCell ref="B24:B28"/>
    <mergeCell ref="B82:B86"/>
    <mergeCell ref="B33:B34"/>
    <mergeCell ref="B35:B39"/>
    <mergeCell ref="B40:B44"/>
    <mergeCell ref="B45:B49"/>
    <mergeCell ref="B50:B54"/>
    <mergeCell ref="B55:B58"/>
    <mergeCell ref="B59:B60"/>
    <mergeCell ref="B61:B64"/>
    <mergeCell ref="B65:B69"/>
    <mergeCell ref="B70:B75"/>
    <mergeCell ref="B76:B81"/>
    <mergeCell ref="B138:B142"/>
    <mergeCell ref="B87:B92"/>
    <mergeCell ref="B93:B94"/>
    <mergeCell ref="B95:B99"/>
    <mergeCell ref="B100:B103"/>
    <mergeCell ref="B104:B109"/>
    <mergeCell ref="B110:B115"/>
    <mergeCell ref="B116:B120"/>
    <mergeCell ref="B121:B125"/>
    <mergeCell ref="B126:B128"/>
    <mergeCell ref="B129:B132"/>
    <mergeCell ref="B133:B137"/>
    <mergeCell ref="B197:B201"/>
    <mergeCell ref="B143:B146"/>
    <mergeCell ref="B147:B151"/>
    <mergeCell ref="B152:B156"/>
    <mergeCell ref="B157:B161"/>
    <mergeCell ref="B162:B166"/>
    <mergeCell ref="B167:B171"/>
    <mergeCell ref="B172:B177"/>
    <mergeCell ref="B178:B181"/>
    <mergeCell ref="B182:B186"/>
    <mergeCell ref="B187:B190"/>
    <mergeCell ref="B191:B196"/>
    <mergeCell ref="B235:B239"/>
    <mergeCell ref="B240:C240"/>
    <mergeCell ref="B202:B207"/>
    <mergeCell ref="B208:B213"/>
    <mergeCell ref="B214:B219"/>
    <mergeCell ref="B220:B224"/>
    <mergeCell ref="B225:B228"/>
    <mergeCell ref="B229:B2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5" manualBreakCount="5">
    <brk id="49" max="4" man="1"/>
    <brk id="92" max="4" man="1"/>
    <brk id="132" max="4" man="1"/>
    <brk id="171" max="4" man="1"/>
    <brk id="21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9" customWidth="1"/>
    <col min="2" max="2" width="21.7109375" style="49" customWidth="1"/>
    <col min="3" max="3" width="17.7109375" style="57" customWidth="1"/>
    <col min="4" max="4" width="17.7109375" style="49" customWidth="1"/>
    <col min="5" max="5" width="9.28515625" style="49" customWidth="1"/>
    <col min="6" max="6" width="5.7109375" style="49" customWidth="1"/>
    <col min="7" max="16384" width="11.42578125" style="49"/>
  </cols>
  <sheetData>
    <row r="1" spans="1:4" s="26" customFormat="1" ht="15" customHeight="1" x14ac:dyDescent="0.2">
      <c r="C1" s="43"/>
    </row>
    <row r="2" spans="1:4" s="26" customFormat="1" ht="15" customHeight="1" x14ac:dyDescent="0.2">
      <c r="C2" s="43"/>
    </row>
    <row r="3" spans="1:4" s="26" customFormat="1" ht="15" customHeight="1" x14ac:dyDescent="0.2">
      <c r="A3" s="26" t="s">
        <v>81</v>
      </c>
      <c r="C3" s="43"/>
    </row>
    <row r="4" spans="1:4" s="26" customFormat="1" ht="30" customHeight="1" x14ac:dyDescent="0.2">
      <c r="C4" s="43"/>
      <c r="D4" s="44"/>
    </row>
    <row r="5" spans="1:4" s="26" customFormat="1" ht="15" customHeight="1" x14ac:dyDescent="0.2">
      <c r="C5" s="43"/>
      <c r="D5" s="44"/>
    </row>
    <row r="6" spans="1:4" s="26" customFormat="1" ht="15" customHeight="1" x14ac:dyDescent="0.2">
      <c r="C6" s="43"/>
      <c r="D6" s="44"/>
    </row>
    <row r="7" spans="1:4" s="26" customFormat="1" ht="15" customHeight="1" x14ac:dyDescent="0.2">
      <c r="B7" s="87" t="s">
        <v>87</v>
      </c>
      <c r="C7" s="87"/>
      <c r="D7" s="87"/>
    </row>
    <row r="8" spans="1:4" s="26" customFormat="1" ht="15" customHeight="1" x14ac:dyDescent="0.2">
      <c r="B8" s="87"/>
      <c r="C8" s="87"/>
      <c r="D8" s="87"/>
    </row>
    <row r="9" spans="1:4" s="26" customFormat="1" ht="33" customHeight="1" x14ac:dyDescent="0.2">
      <c r="B9" s="87"/>
      <c r="C9" s="87"/>
      <c r="D9" s="87"/>
    </row>
    <row r="10" spans="1:4" s="26" customFormat="1" ht="4.5" customHeight="1" x14ac:dyDescent="0.2">
      <c r="B10" s="45"/>
      <c r="C10" s="45"/>
      <c r="D10" s="45"/>
    </row>
    <row r="11" spans="1:4" s="26" customFormat="1" ht="33" customHeight="1" x14ac:dyDescent="0.2">
      <c r="B11" s="46" t="s">
        <v>88</v>
      </c>
      <c r="C11" s="47" t="s">
        <v>89</v>
      </c>
      <c r="D11" s="48" t="s">
        <v>21</v>
      </c>
    </row>
    <row r="12" spans="1:4" ht="15" customHeight="1" x14ac:dyDescent="0.25">
      <c r="B12" s="50" t="s">
        <v>90</v>
      </c>
      <c r="C12" s="51">
        <v>17</v>
      </c>
      <c r="D12" s="52">
        <f t="shared" ref="D12:D36" si="0">C12/$C$36</f>
        <v>1.9373219373219374E-3</v>
      </c>
    </row>
    <row r="13" spans="1:4" x14ac:dyDescent="0.25">
      <c r="B13" s="50" t="s">
        <v>91</v>
      </c>
      <c r="C13" s="51">
        <v>51</v>
      </c>
      <c r="D13" s="52">
        <f t="shared" si="0"/>
        <v>5.811965811965812E-3</v>
      </c>
    </row>
    <row r="14" spans="1:4" s="53" customFormat="1" ht="15.75" x14ac:dyDescent="0.25">
      <c r="A14" s="49"/>
      <c r="B14" s="50" t="s">
        <v>92</v>
      </c>
      <c r="C14" s="51">
        <v>30</v>
      </c>
      <c r="D14" s="52">
        <f t="shared" si="0"/>
        <v>3.4188034188034188E-3</v>
      </c>
    </row>
    <row r="15" spans="1:4" s="53" customFormat="1" ht="15.75" x14ac:dyDescent="0.25">
      <c r="A15" s="49"/>
      <c r="B15" s="50" t="s">
        <v>93</v>
      </c>
      <c r="C15" s="51">
        <v>33</v>
      </c>
      <c r="D15" s="52">
        <f t="shared" si="0"/>
        <v>3.7606837606837607E-3</v>
      </c>
    </row>
    <row r="16" spans="1:4" x14ac:dyDescent="0.25">
      <c r="B16" s="50" t="s">
        <v>94</v>
      </c>
      <c r="C16" s="51">
        <v>75</v>
      </c>
      <c r="D16" s="52">
        <f t="shared" si="0"/>
        <v>8.5470085470085479E-3</v>
      </c>
    </row>
    <row r="17" spans="2:4" x14ac:dyDescent="0.25">
      <c r="B17" s="50" t="s">
        <v>95</v>
      </c>
      <c r="C17" s="51">
        <v>52</v>
      </c>
      <c r="D17" s="52">
        <f t="shared" si="0"/>
        <v>5.9259259259259256E-3</v>
      </c>
    </row>
    <row r="18" spans="2:4" x14ac:dyDescent="0.25">
      <c r="B18" s="50" t="s">
        <v>96</v>
      </c>
      <c r="C18" s="51">
        <v>110</v>
      </c>
      <c r="D18" s="52">
        <f t="shared" si="0"/>
        <v>1.2535612535612535E-2</v>
      </c>
    </row>
    <row r="19" spans="2:4" x14ac:dyDescent="0.25">
      <c r="B19" s="50" t="s">
        <v>97</v>
      </c>
      <c r="C19" s="51">
        <v>368</v>
      </c>
      <c r="D19" s="52">
        <f t="shared" si="0"/>
        <v>4.1937321937321935E-2</v>
      </c>
    </row>
    <row r="20" spans="2:4" ht="27" x14ac:dyDescent="0.25">
      <c r="B20" s="50" t="s">
        <v>98</v>
      </c>
      <c r="C20" s="51">
        <v>718</v>
      </c>
      <c r="D20" s="52">
        <f t="shared" si="0"/>
        <v>8.182336182336182E-2</v>
      </c>
    </row>
    <row r="21" spans="2:4" x14ac:dyDescent="0.25">
      <c r="B21" s="50" t="s">
        <v>99</v>
      </c>
      <c r="C21" s="51">
        <v>139</v>
      </c>
      <c r="D21" s="52">
        <f t="shared" si="0"/>
        <v>1.584045584045584E-2</v>
      </c>
    </row>
    <row r="22" spans="2:4" x14ac:dyDescent="0.25">
      <c r="B22" s="50" t="s">
        <v>100</v>
      </c>
      <c r="C22" s="51">
        <v>204</v>
      </c>
      <c r="D22" s="52">
        <f t="shared" si="0"/>
        <v>2.3247863247863248E-2</v>
      </c>
    </row>
    <row r="23" spans="2:4" x14ac:dyDescent="0.25">
      <c r="B23" s="50" t="s">
        <v>101</v>
      </c>
      <c r="C23" s="51">
        <v>260</v>
      </c>
      <c r="D23" s="52">
        <f t="shared" si="0"/>
        <v>2.9629629629629631E-2</v>
      </c>
    </row>
    <row r="24" spans="2:4" ht="27" x14ac:dyDescent="0.25">
      <c r="B24" s="50" t="s">
        <v>102</v>
      </c>
      <c r="C24" s="51">
        <v>2078</v>
      </c>
      <c r="D24" s="52">
        <f t="shared" si="0"/>
        <v>0.23680911680911682</v>
      </c>
    </row>
    <row r="25" spans="2:4" x14ac:dyDescent="0.25">
      <c r="B25" s="50" t="s">
        <v>103</v>
      </c>
      <c r="C25" s="51">
        <v>233</v>
      </c>
      <c r="D25" s="52">
        <f t="shared" si="0"/>
        <v>2.6552706552706553E-2</v>
      </c>
    </row>
    <row r="26" spans="2:4" ht="27" x14ac:dyDescent="0.25">
      <c r="B26" s="50" t="s">
        <v>104</v>
      </c>
      <c r="C26" s="51">
        <v>1009</v>
      </c>
      <c r="D26" s="52">
        <f t="shared" si="0"/>
        <v>0.11498575498575499</v>
      </c>
    </row>
    <row r="27" spans="2:4" ht="27" x14ac:dyDescent="0.25">
      <c r="B27" s="50" t="s">
        <v>105</v>
      </c>
      <c r="C27" s="51">
        <v>2563</v>
      </c>
      <c r="D27" s="52">
        <f t="shared" si="0"/>
        <v>0.29207977207977209</v>
      </c>
    </row>
    <row r="28" spans="2:4" x14ac:dyDescent="0.25">
      <c r="B28" s="50" t="s">
        <v>106</v>
      </c>
      <c r="C28" s="51">
        <v>64</v>
      </c>
      <c r="D28" s="52">
        <f t="shared" si="0"/>
        <v>7.2934472934472932E-3</v>
      </c>
    </row>
    <row r="29" spans="2:4" x14ac:dyDescent="0.25">
      <c r="B29" s="50" t="s">
        <v>107</v>
      </c>
      <c r="C29" s="51">
        <v>53</v>
      </c>
      <c r="D29" s="52">
        <f t="shared" si="0"/>
        <v>6.0398860398860402E-3</v>
      </c>
    </row>
    <row r="30" spans="2:4" x14ac:dyDescent="0.25">
      <c r="B30" s="50" t="s">
        <v>108</v>
      </c>
      <c r="C30" s="51">
        <v>34</v>
      </c>
      <c r="D30" s="52">
        <f t="shared" si="0"/>
        <v>3.8746438746438748E-3</v>
      </c>
    </row>
    <row r="31" spans="2:4" x14ac:dyDescent="0.25">
      <c r="B31" s="50" t="s">
        <v>109</v>
      </c>
      <c r="C31" s="51">
        <v>15</v>
      </c>
      <c r="D31" s="52">
        <f t="shared" si="0"/>
        <v>1.7094017094017094E-3</v>
      </c>
    </row>
    <row r="32" spans="2:4" x14ac:dyDescent="0.25">
      <c r="B32" s="50" t="s">
        <v>110</v>
      </c>
      <c r="C32" s="51">
        <v>210</v>
      </c>
      <c r="D32" s="52">
        <f t="shared" si="0"/>
        <v>2.3931623931623933E-2</v>
      </c>
    </row>
    <row r="33" spans="1:4" x14ac:dyDescent="0.25">
      <c r="B33" s="50" t="s">
        <v>111</v>
      </c>
      <c r="C33" s="51">
        <v>420</v>
      </c>
      <c r="D33" s="52">
        <f t="shared" si="0"/>
        <v>4.7863247863247867E-2</v>
      </c>
    </row>
    <row r="34" spans="1:4" x14ac:dyDescent="0.25">
      <c r="B34" s="50" t="s">
        <v>112</v>
      </c>
      <c r="C34" s="51">
        <v>34</v>
      </c>
      <c r="D34" s="52">
        <f t="shared" si="0"/>
        <v>3.8746438746438748E-3</v>
      </c>
    </row>
    <row r="35" spans="1:4" x14ac:dyDescent="0.25">
      <c r="B35" s="50" t="s">
        <v>113</v>
      </c>
      <c r="C35" s="51">
        <v>5</v>
      </c>
      <c r="D35" s="52">
        <f t="shared" si="0"/>
        <v>5.6980056980056976E-4</v>
      </c>
    </row>
    <row r="36" spans="1:4" x14ac:dyDescent="0.25">
      <c r="B36" s="54" t="s">
        <v>26</v>
      </c>
      <c r="C36" s="55">
        <v>8775</v>
      </c>
      <c r="D36" s="56">
        <f t="shared" si="0"/>
        <v>1</v>
      </c>
    </row>
    <row r="38" spans="1:4" x14ac:dyDescent="0.25">
      <c r="A38" s="58" t="s">
        <v>114</v>
      </c>
    </row>
    <row r="39" spans="1:4" x14ac:dyDescent="0.25">
      <c r="A39" s="58" t="s">
        <v>77</v>
      </c>
    </row>
    <row r="40" spans="1:4" x14ac:dyDescent="0.25">
      <c r="A40" s="58" t="s">
        <v>78</v>
      </c>
    </row>
    <row r="41" spans="1:4" x14ac:dyDescent="0.25">
      <c r="A41" s="58" t="s">
        <v>79</v>
      </c>
    </row>
    <row r="42" spans="1:4" x14ac:dyDescent="0.25">
      <c r="A42" s="58" t="s">
        <v>80</v>
      </c>
    </row>
    <row r="43" spans="1:4" x14ac:dyDescent="0.25">
      <c r="A43" s="58"/>
    </row>
    <row r="44" spans="1:4" x14ac:dyDescent="0.25">
      <c r="A44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5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16.85546875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3"/>
      <c r="C7" s="93"/>
      <c r="D7" s="93"/>
      <c r="E7" s="93"/>
    </row>
    <row r="8" spans="1:5" s="22" customFormat="1" ht="33" customHeight="1" x14ac:dyDescent="0.3">
      <c r="A8" s="25"/>
      <c r="B8" s="93"/>
      <c r="C8" s="93"/>
      <c r="D8" s="93"/>
      <c r="E8" s="93"/>
    </row>
    <row r="9" spans="1:5" s="26" customFormat="1" ht="40.5" customHeight="1" x14ac:dyDescent="0.2">
      <c r="B9" s="27" t="s">
        <v>164</v>
      </c>
      <c r="C9" s="28" t="s">
        <v>18</v>
      </c>
      <c r="D9" s="29" t="s">
        <v>20</v>
      </c>
      <c r="E9" s="27" t="s">
        <v>21</v>
      </c>
    </row>
    <row r="10" spans="1:5" ht="15" customHeight="1" x14ac:dyDescent="0.25">
      <c r="B10" s="88" t="s">
        <v>90</v>
      </c>
      <c r="C10" s="31" t="s">
        <v>31</v>
      </c>
      <c r="D10" s="32">
        <v>14</v>
      </c>
      <c r="E10" s="33">
        <v>1.5954415954415955E-3</v>
      </c>
    </row>
    <row r="11" spans="1:5" ht="15" customHeight="1" x14ac:dyDescent="0.25">
      <c r="B11" s="92"/>
      <c r="C11" s="31" t="s">
        <v>38</v>
      </c>
      <c r="D11" s="32">
        <v>1</v>
      </c>
      <c r="E11" s="33">
        <v>1.1396011396011396E-4</v>
      </c>
    </row>
    <row r="12" spans="1:5" ht="15" customHeight="1" x14ac:dyDescent="0.25">
      <c r="B12" s="92"/>
      <c r="C12" s="31" t="s">
        <v>41</v>
      </c>
      <c r="D12" s="32">
        <v>1</v>
      </c>
      <c r="E12" s="33">
        <v>1.1396011396011396E-4</v>
      </c>
    </row>
    <row r="13" spans="1:5" ht="15" customHeight="1" x14ac:dyDescent="0.25">
      <c r="B13" s="92"/>
      <c r="C13" s="31" t="s">
        <v>64</v>
      </c>
      <c r="D13" s="32">
        <v>1</v>
      </c>
      <c r="E13" s="33">
        <v>1.1396011396011396E-4</v>
      </c>
    </row>
    <row r="14" spans="1:5" ht="15" customHeight="1" x14ac:dyDescent="0.25">
      <c r="B14" s="89"/>
      <c r="C14" s="34" t="s">
        <v>26</v>
      </c>
      <c r="D14" s="35">
        <v>17</v>
      </c>
      <c r="E14" s="36">
        <v>1.9373219373219374E-3</v>
      </c>
    </row>
    <row r="15" spans="1:5" ht="15" customHeight="1" x14ac:dyDescent="0.25">
      <c r="B15" s="88" t="s">
        <v>91</v>
      </c>
      <c r="C15" s="31" t="s">
        <v>22</v>
      </c>
      <c r="D15" s="32">
        <v>1</v>
      </c>
      <c r="E15" s="33">
        <v>1.1396011396011396E-4</v>
      </c>
    </row>
    <row r="16" spans="1:5" ht="15" customHeight="1" x14ac:dyDescent="0.25">
      <c r="B16" s="92"/>
      <c r="C16" s="31" t="s">
        <v>31</v>
      </c>
      <c r="D16" s="32">
        <v>44</v>
      </c>
      <c r="E16" s="33">
        <v>5.0142450142450145E-3</v>
      </c>
    </row>
    <row r="17" spans="2:5" ht="15" customHeight="1" x14ac:dyDescent="0.25">
      <c r="B17" s="92"/>
      <c r="C17" s="31" t="s">
        <v>37</v>
      </c>
      <c r="D17" s="32">
        <v>1</v>
      </c>
      <c r="E17" s="33">
        <v>1.1396011396011396E-4</v>
      </c>
    </row>
    <row r="18" spans="2:5" ht="15" customHeight="1" x14ac:dyDescent="0.25">
      <c r="B18" s="92"/>
      <c r="C18" s="31" t="s">
        <v>56</v>
      </c>
      <c r="D18" s="32">
        <v>2</v>
      </c>
      <c r="E18" s="33">
        <v>2.2792022792022791E-4</v>
      </c>
    </row>
    <row r="19" spans="2:5" ht="15" customHeight="1" x14ac:dyDescent="0.25">
      <c r="B19" s="92"/>
      <c r="C19" s="31" t="s">
        <v>59</v>
      </c>
      <c r="D19" s="32">
        <v>1</v>
      </c>
      <c r="E19" s="33">
        <v>1.1396011396011396E-4</v>
      </c>
    </row>
    <row r="20" spans="2:5" ht="15" customHeight="1" x14ac:dyDescent="0.25">
      <c r="B20" s="92"/>
      <c r="C20" s="31" t="s">
        <v>64</v>
      </c>
      <c r="D20" s="32">
        <v>1</v>
      </c>
      <c r="E20" s="33">
        <v>1.1396011396011396E-4</v>
      </c>
    </row>
    <row r="21" spans="2:5" ht="15" customHeight="1" x14ac:dyDescent="0.25">
      <c r="B21" s="92"/>
      <c r="C21" s="31" t="s">
        <v>66</v>
      </c>
      <c r="D21" s="32">
        <v>1</v>
      </c>
      <c r="E21" s="33">
        <v>1.1396011396011396E-4</v>
      </c>
    </row>
    <row r="22" spans="2:5" ht="15" customHeight="1" x14ac:dyDescent="0.25">
      <c r="B22" s="89"/>
      <c r="C22" s="34" t="s">
        <v>26</v>
      </c>
      <c r="D22" s="35">
        <v>51</v>
      </c>
      <c r="E22" s="36">
        <v>5.811965811965812E-3</v>
      </c>
    </row>
    <row r="23" spans="2:5" ht="15" customHeight="1" x14ac:dyDescent="0.25">
      <c r="B23" s="88" t="s">
        <v>92</v>
      </c>
      <c r="C23" s="31" t="s">
        <v>28</v>
      </c>
      <c r="D23" s="32">
        <v>1</v>
      </c>
      <c r="E23" s="33">
        <v>1.1396011396011396E-4</v>
      </c>
    </row>
    <row r="24" spans="2:5" ht="15" customHeight="1" x14ac:dyDescent="0.25">
      <c r="B24" s="92"/>
      <c r="C24" s="31" t="s">
        <v>31</v>
      </c>
      <c r="D24" s="32">
        <v>25</v>
      </c>
      <c r="E24" s="33">
        <v>2.8490028490028491E-3</v>
      </c>
    </row>
    <row r="25" spans="2:5" ht="15" customHeight="1" x14ac:dyDescent="0.25">
      <c r="B25" s="92"/>
      <c r="C25" s="31" t="s">
        <v>41</v>
      </c>
      <c r="D25" s="32">
        <v>1</v>
      </c>
      <c r="E25" s="33">
        <v>1.1396011396011396E-4</v>
      </c>
    </row>
    <row r="26" spans="2:5" ht="15" customHeight="1" x14ac:dyDescent="0.25">
      <c r="B26" s="92"/>
      <c r="C26" s="31" t="s">
        <v>51</v>
      </c>
      <c r="D26" s="32">
        <v>1</v>
      </c>
      <c r="E26" s="33">
        <v>1.1396011396011396E-4</v>
      </c>
    </row>
    <row r="27" spans="2:5" ht="15" customHeight="1" x14ac:dyDescent="0.25">
      <c r="B27" s="92"/>
      <c r="C27" s="31" t="s">
        <v>72</v>
      </c>
      <c r="D27" s="32">
        <v>1</v>
      </c>
      <c r="E27" s="33">
        <v>1.1396011396011396E-4</v>
      </c>
    </row>
    <row r="28" spans="2:5" ht="15" customHeight="1" x14ac:dyDescent="0.25">
      <c r="B28" s="92"/>
      <c r="C28" s="31" t="s">
        <v>74</v>
      </c>
      <c r="D28" s="32">
        <v>1</v>
      </c>
      <c r="E28" s="33">
        <v>1.1396011396011396E-4</v>
      </c>
    </row>
    <row r="29" spans="2:5" ht="15" customHeight="1" x14ac:dyDescent="0.25">
      <c r="B29" s="89"/>
      <c r="C29" s="34" t="s">
        <v>26</v>
      </c>
      <c r="D29" s="35">
        <v>30</v>
      </c>
      <c r="E29" s="36">
        <v>3.4188034188034188E-3</v>
      </c>
    </row>
    <row r="30" spans="2:5" ht="15" customHeight="1" x14ac:dyDescent="0.25">
      <c r="B30" s="88" t="s">
        <v>93</v>
      </c>
      <c r="C30" s="31" t="s">
        <v>28</v>
      </c>
      <c r="D30" s="32">
        <v>1</v>
      </c>
      <c r="E30" s="33">
        <v>1.1396011396011396E-4</v>
      </c>
    </row>
    <row r="31" spans="2:5" ht="15" customHeight="1" x14ac:dyDescent="0.25">
      <c r="B31" s="92"/>
      <c r="C31" s="31" t="s">
        <v>31</v>
      </c>
      <c r="D31" s="32">
        <v>21</v>
      </c>
      <c r="E31" s="33">
        <v>2.3931623931623932E-3</v>
      </c>
    </row>
    <row r="32" spans="2:5" ht="15" customHeight="1" x14ac:dyDescent="0.25">
      <c r="B32" s="92"/>
      <c r="C32" s="31" t="s">
        <v>33</v>
      </c>
      <c r="D32" s="32">
        <v>1</v>
      </c>
      <c r="E32" s="33">
        <v>1.1396011396011396E-4</v>
      </c>
    </row>
    <row r="33" spans="2:5" ht="15" customHeight="1" x14ac:dyDescent="0.25">
      <c r="B33" s="92"/>
      <c r="C33" s="31" t="s">
        <v>37</v>
      </c>
      <c r="D33" s="32">
        <v>1</v>
      </c>
      <c r="E33" s="33">
        <v>1.1396011396011396E-4</v>
      </c>
    </row>
    <row r="34" spans="2:5" ht="15" customHeight="1" x14ac:dyDescent="0.25">
      <c r="B34" s="92"/>
      <c r="C34" s="31" t="s">
        <v>43</v>
      </c>
      <c r="D34" s="32">
        <v>1</v>
      </c>
      <c r="E34" s="33">
        <v>1.1396011396011396E-4</v>
      </c>
    </row>
    <row r="35" spans="2:5" ht="15" customHeight="1" x14ac:dyDescent="0.25">
      <c r="B35" s="92"/>
      <c r="C35" s="31" t="s">
        <v>51</v>
      </c>
      <c r="D35" s="32">
        <v>1</v>
      </c>
      <c r="E35" s="33">
        <v>1.1396011396011396E-4</v>
      </c>
    </row>
    <row r="36" spans="2:5" ht="15" customHeight="1" x14ac:dyDescent="0.25">
      <c r="B36" s="92"/>
      <c r="C36" s="31" t="s">
        <v>56</v>
      </c>
      <c r="D36" s="32">
        <v>2</v>
      </c>
      <c r="E36" s="33">
        <v>2.2792022792022791E-4</v>
      </c>
    </row>
    <row r="37" spans="2:5" ht="15" customHeight="1" x14ac:dyDescent="0.25">
      <c r="B37" s="92"/>
      <c r="C37" s="31" t="s">
        <v>64</v>
      </c>
      <c r="D37" s="32">
        <v>1</v>
      </c>
      <c r="E37" s="33">
        <v>1.1396011396011396E-4</v>
      </c>
    </row>
    <row r="38" spans="2:5" ht="15" customHeight="1" x14ac:dyDescent="0.25">
      <c r="B38" s="92"/>
      <c r="C38" s="31" t="s">
        <v>69</v>
      </c>
      <c r="D38" s="32">
        <v>2</v>
      </c>
      <c r="E38" s="33">
        <v>2.2792022792022791E-4</v>
      </c>
    </row>
    <row r="39" spans="2:5" ht="15" customHeight="1" x14ac:dyDescent="0.25">
      <c r="B39" s="92"/>
      <c r="C39" s="31" t="s">
        <v>72</v>
      </c>
      <c r="D39" s="32">
        <v>2</v>
      </c>
      <c r="E39" s="33">
        <v>2.2792022792022791E-4</v>
      </c>
    </row>
    <row r="40" spans="2:5" ht="15" customHeight="1" x14ac:dyDescent="0.25">
      <c r="B40" s="89"/>
      <c r="C40" s="34" t="s">
        <v>26</v>
      </c>
      <c r="D40" s="35">
        <v>33</v>
      </c>
      <c r="E40" s="36">
        <v>3.7606837606837607E-3</v>
      </c>
    </row>
    <row r="41" spans="2:5" ht="15" customHeight="1" x14ac:dyDescent="0.25">
      <c r="B41" s="88" t="s">
        <v>94</v>
      </c>
      <c r="C41" s="31" t="s">
        <v>28</v>
      </c>
      <c r="D41" s="32">
        <v>3</v>
      </c>
      <c r="E41" s="33">
        <v>3.4188034188034188E-4</v>
      </c>
    </row>
    <row r="42" spans="2:5" ht="15" customHeight="1" x14ac:dyDescent="0.25">
      <c r="B42" s="92"/>
      <c r="C42" s="31" t="s">
        <v>31</v>
      </c>
      <c r="D42" s="32">
        <v>57</v>
      </c>
      <c r="E42" s="33">
        <v>6.4957264957264957E-3</v>
      </c>
    </row>
    <row r="43" spans="2:5" ht="15" customHeight="1" x14ac:dyDescent="0.25">
      <c r="B43" s="92"/>
      <c r="C43" s="31" t="s">
        <v>33</v>
      </c>
      <c r="D43" s="32">
        <v>1</v>
      </c>
      <c r="E43" s="33">
        <v>1.1396011396011396E-4</v>
      </c>
    </row>
    <row r="44" spans="2:5" ht="15" customHeight="1" x14ac:dyDescent="0.25">
      <c r="B44" s="92"/>
      <c r="C44" s="31" t="s">
        <v>40</v>
      </c>
      <c r="D44" s="32">
        <v>1</v>
      </c>
      <c r="E44" s="33">
        <v>1.1396011396011396E-4</v>
      </c>
    </row>
    <row r="45" spans="2:5" ht="15" customHeight="1" x14ac:dyDescent="0.25">
      <c r="B45" s="92"/>
      <c r="C45" s="31" t="s">
        <v>41</v>
      </c>
      <c r="D45" s="32">
        <v>1</v>
      </c>
      <c r="E45" s="33">
        <v>1.1396011396011396E-4</v>
      </c>
    </row>
    <row r="46" spans="2:5" ht="15" customHeight="1" x14ac:dyDescent="0.25">
      <c r="B46" s="92"/>
      <c r="C46" s="31" t="s">
        <v>42</v>
      </c>
      <c r="D46" s="32">
        <v>1</v>
      </c>
      <c r="E46" s="33">
        <v>1.1396011396011396E-4</v>
      </c>
    </row>
    <row r="47" spans="2:5" ht="15" customHeight="1" x14ac:dyDescent="0.25">
      <c r="B47" s="92"/>
      <c r="C47" s="31" t="s">
        <v>56</v>
      </c>
      <c r="D47" s="32">
        <v>5</v>
      </c>
      <c r="E47" s="33">
        <v>5.6980056980056976E-4</v>
      </c>
    </row>
    <row r="48" spans="2:5" ht="15" customHeight="1" x14ac:dyDescent="0.25">
      <c r="B48" s="92"/>
      <c r="C48" s="31" t="s">
        <v>59</v>
      </c>
      <c r="D48" s="32">
        <v>1</v>
      </c>
      <c r="E48" s="33">
        <v>1.1396011396011396E-4</v>
      </c>
    </row>
    <row r="49" spans="2:5" ht="15" customHeight="1" x14ac:dyDescent="0.25">
      <c r="B49" s="92"/>
      <c r="C49" s="31" t="s">
        <v>65</v>
      </c>
      <c r="D49" s="32">
        <v>2</v>
      </c>
      <c r="E49" s="33">
        <v>2.2792022792022791E-4</v>
      </c>
    </row>
    <row r="50" spans="2:5" ht="15" customHeight="1" x14ac:dyDescent="0.25">
      <c r="B50" s="92"/>
      <c r="C50" s="31" t="s">
        <v>69</v>
      </c>
      <c r="D50" s="32">
        <v>1</v>
      </c>
      <c r="E50" s="33">
        <v>1.1396011396011396E-4</v>
      </c>
    </row>
    <row r="51" spans="2:5" ht="15" customHeight="1" x14ac:dyDescent="0.25">
      <c r="B51" s="92"/>
      <c r="C51" s="31" t="s">
        <v>70</v>
      </c>
      <c r="D51" s="32">
        <v>1</v>
      </c>
      <c r="E51" s="33">
        <v>1.1396011396011396E-4</v>
      </c>
    </row>
    <row r="52" spans="2:5" ht="15" customHeight="1" x14ac:dyDescent="0.25">
      <c r="B52" s="92"/>
      <c r="C52" s="31" t="s">
        <v>72</v>
      </c>
      <c r="D52" s="32">
        <v>1</v>
      </c>
      <c r="E52" s="33">
        <v>1.1396011396011396E-4</v>
      </c>
    </row>
    <row r="53" spans="2:5" ht="15" customHeight="1" x14ac:dyDescent="0.25">
      <c r="B53" s="89"/>
      <c r="C53" s="34" t="s">
        <v>26</v>
      </c>
      <c r="D53" s="35">
        <v>75</v>
      </c>
      <c r="E53" s="36">
        <v>8.5470085470085479E-3</v>
      </c>
    </row>
    <row r="54" spans="2:5" ht="15" customHeight="1" x14ac:dyDescent="0.25">
      <c r="B54" s="88" t="s">
        <v>95</v>
      </c>
      <c r="C54" s="31" t="s">
        <v>28</v>
      </c>
      <c r="D54" s="32">
        <v>1</v>
      </c>
      <c r="E54" s="33">
        <v>1.1396011396011396E-4</v>
      </c>
    </row>
    <row r="55" spans="2:5" ht="15" customHeight="1" x14ac:dyDescent="0.25">
      <c r="B55" s="92"/>
      <c r="C55" s="31" t="s">
        <v>31</v>
      </c>
      <c r="D55" s="32">
        <v>38</v>
      </c>
      <c r="E55" s="33">
        <v>4.3304843304843308E-3</v>
      </c>
    </row>
    <row r="56" spans="2:5" ht="15" customHeight="1" x14ac:dyDescent="0.25">
      <c r="B56" s="92"/>
      <c r="C56" s="31" t="s">
        <v>33</v>
      </c>
      <c r="D56" s="32">
        <v>1</v>
      </c>
      <c r="E56" s="33">
        <v>1.1396011396011396E-4</v>
      </c>
    </row>
    <row r="57" spans="2:5" ht="15" customHeight="1" x14ac:dyDescent="0.25">
      <c r="B57" s="92"/>
      <c r="C57" s="31" t="s">
        <v>34</v>
      </c>
      <c r="D57" s="32">
        <v>1</v>
      </c>
      <c r="E57" s="33">
        <v>1.1396011396011396E-4</v>
      </c>
    </row>
    <row r="58" spans="2:5" ht="15" customHeight="1" x14ac:dyDescent="0.25">
      <c r="B58" s="92"/>
      <c r="C58" s="31" t="s">
        <v>45</v>
      </c>
      <c r="D58" s="32">
        <v>1</v>
      </c>
      <c r="E58" s="33">
        <v>1.1396011396011396E-4</v>
      </c>
    </row>
    <row r="59" spans="2:5" ht="15" customHeight="1" x14ac:dyDescent="0.25">
      <c r="B59" s="92"/>
      <c r="C59" s="31" t="s">
        <v>55</v>
      </c>
      <c r="D59" s="32">
        <v>1</v>
      </c>
      <c r="E59" s="33">
        <v>1.1396011396011396E-4</v>
      </c>
    </row>
    <row r="60" spans="2:5" ht="15" customHeight="1" x14ac:dyDescent="0.25">
      <c r="B60" s="92"/>
      <c r="C60" s="31" t="s">
        <v>56</v>
      </c>
      <c r="D60" s="32">
        <v>2</v>
      </c>
      <c r="E60" s="33">
        <v>2.2792022792022791E-4</v>
      </c>
    </row>
    <row r="61" spans="2:5" ht="15" customHeight="1" x14ac:dyDescent="0.25">
      <c r="B61" s="92"/>
      <c r="C61" s="31" t="s">
        <v>65</v>
      </c>
      <c r="D61" s="32">
        <v>1</v>
      </c>
      <c r="E61" s="33">
        <v>1.1396011396011396E-4</v>
      </c>
    </row>
    <row r="62" spans="2:5" ht="15" customHeight="1" x14ac:dyDescent="0.25">
      <c r="B62" s="92"/>
      <c r="C62" s="31" t="s">
        <v>68</v>
      </c>
      <c r="D62" s="32">
        <v>1</v>
      </c>
      <c r="E62" s="33">
        <v>1.1396011396011396E-4</v>
      </c>
    </row>
    <row r="63" spans="2:5" ht="15" customHeight="1" x14ac:dyDescent="0.25">
      <c r="B63" s="92"/>
      <c r="C63" s="31" t="s">
        <v>69</v>
      </c>
      <c r="D63" s="32">
        <v>1</v>
      </c>
      <c r="E63" s="33">
        <v>1.1396011396011396E-4</v>
      </c>
    </row>
    <row r="64" spans="2:5" ht="15" customHeight="1" x14ac:dyDescent="0.25">
      <c r="B64" s="92"/>
      <c r="C64" s="31" t="s">
        <v>70</v>
      </c>
      <c r="D64" s="32">
        <v>1</v>
      </c>
      <c r="E64" s="33">
        <v>1.1396011396011396E-4</v>
      </c>
    </row>
    <row r="65" spans="2:5" ht="15" customHeight="1" x14ac:dyDescent="0.25">
      <c r="B65" s="92"/>
      <c r="C65" s="31" t="s">
        <v>72</v>
      </c>
      <c r="D65" s="32">
        <v>2</v>
      </c>
      <c r="E65" s="33">
        <v>2.2792022792022791E-4</v>
      </c>
    </row>
    <row r="66" spans="2:5" ht="15" customHeight="1" x14ac:dyDescent="0.25">
      <c r="B66" s="92"/>
      <c r="C66" s="31" t="s">
        <v>74</v>
      </c>
      <c r="D66" s="32">
        <v>1</v>
      </c>
      <c r="E66" s="33">
        <v>1.1396011396011396E-4</v>
      </c>
    </row>
    <row r="67" spans="2:5" ht="15" customHeight="1" x14ac:dyDescent="0.25">
      <c r="B67" s="89"/>
      <c r="C67" s="34" t="s">
        <v>26</v>
      </c>
      <c r="D67" s="35">
        <v>52</v>
      </c>
      <c r="E67" s="36">
        <v>5.9259259259259256E-3</v>
      </c>
    </row>
    <row r="68" spans="2:5" ht="15" customHeight="1" x14ac:dyDescent="0.25">
      <c r="B68" s="88" t="s">
        <v>96</v>
      </c>
      <c r="C68" s="31" t="s">
        <v>28</v>
      </c>
      <c r="D68" s="32">
        <v>4</v>
      </c>
      <c r="E68" s="33">
        <v>4.5584045584045582E-4</v>
      </c>
    </row>
    <row r="69" spans="2:5" ht="15" customHeight="1" x14ac:dyDescent="0.25">
      <c r="B69" s="92"/>
      <c r="C69" s="31" t="s">
        <v>30</v>
      </c>
      <c r="D69" s="32">
        <v>1</v>
      </c>
      <c r="E69" s="33">
        <v>1.1396011396011396E-4</v>
      </c>
    </row>
    <row r="70" spans="2:5" ht="15" customHeight="1" x14ac:dyDescent="0.25">
      <c r="B70" s="92"/>
      <c r="C70" s="31" t="s">
        <v>31</v>
      </c>
      <c r="D70" s="32">
        <v>79</v>
      </c>
      <c r="E70" s="33">
        <v>9.0028490028490026E-3</v>
      </c>
    </row>
    <row r="71" spans="2:5" ht="15" customHeight="1" x14ac:dyDescent="0.25">
      <c r="B71" s="92"/>
      <c r="C71" s="31" t="s">
        <v>37</v>
      </c>
      <c r="D71" s="32">
        <v>2</v>
      </c>
      <c r="E71" s="33">
        <v>2.2792022792022791E-4</v>
      </c>
    </row>
    <row r="72" spans="2:5" ht="15" customHeight="1" x14ac:dyDescent="0.25">
      <c r="B72" s="92"/>
      <c r="C72" s="31" t="s">
        <v>42</v>
      </c>
      <c r="D72" s="32">
        <v>2</v>
      </c>
      <c r="E72" s="33">
        <v>2.2792022792022791E-4</v>
      </c>
    </row>
    <row r="73" spans="2:5" ht="15" customHeight="1" x14ac:dyDescent="0.25">
      <c r="B73" s="92"/>
      <c r="C73" s="31" t="s">
        <v>44</v>
      </c>
      <c r="D73" s="32">
        <v>2</v>
      </c>
      <c r="E73" s="33">
        <v>2.2792022792022791E-4</v>
      </c>
    </row>
    <row r="74" spans="2:5" ht="15" customHeight="1" x14ac:dyDescent="0.25">
      <c r="B74" s="92"/>
      <c r="C74" s="31" t="s">
        <v>53</v>
      </c>
      <c r="D74" s="32">
        <v>1</v>
      </c>
      <c r="E74" s="33">
        <v>1.1396011396011396E-4</v>
      </c>
    </row>
    <row r="75" spans="2:5" ht="15" customHeight="1" x14ac:dyDescent="0.25">
      <c r="B75" s="92"/>
      <c r="C75" s="31" t="s">
        <v>55</v>
      </c>
      <c r="D75" s="32">
        <v>1</v>
      </c>
      <c r="E75" s="33">
        <v>1.1396011396011396E-4</v>
      </c>
    </row>
    <row r="76" spans="2:5" ht="15" customHeight="1" x14ac:dyDescent="0.25">
      <c r="B76" s="92"/>
      <c r="C76" s="31" t="s">
        <v>56</v>
      </c>
      <c r="D76" s="32">
        <v>4</v>
      </c>
      <c r="E76" s="33">
        <v>4.5584045584045582E-4</v>
      </c>
    </row>
    <row r="77" spans="2:5" ht="15" customHeight="1" x14ac:dyDescent="0.25">
      <c r="B77" s="92"/>
      <c r="C77" s="31" t="s">
        <v>60</v>
      </c>
      <c r="D77" s="32">
        <v>1</v>
      </c>
      <c r="E77" s="33">
        <v>1.1396011396011396E-4</v>
      </c>
    </row>
    <row r="78" spans="2:5" ht="15" customHeight="1" x14ac:dyDescent="0.25">
      <c r="B78" s="92"/>
      <c r="C78" s="31" t="s">
        <v>64</v>
      </c>
      <c r="D78" s="32">
        <v>3</v>
      </c>
      <c r="E78" s="33">
        <v>3.4188034188034188E-4</v>
      </c>
    </row>
    <row r="79" spans="2:5" ht="15" customHeight="1" x14ac:dyDescent="0.25">
      <c r="B79" s="92"/>
      <c r="C79" s="31" t="s">
        <v>65</v>
      </c>
      <c r="D79" s="32">
        <v>2</v>
      </c>
      <c r="E79" s="33">
        <v>2.2792022792022791E-4</v>
      </c>
    </row>
    <row r="80" spans="2:5" ht="15" customHeight="1" x14ac:dyDescent="0.25">
      <c r="B80" s="92"/>
      <c r="C80" s="31" t="s">
        <v>69</v>
      </c>
      <c r="D80" s="32">
        <v>3</v>
      </c>
      <c r="E80" s="33">
        <v>3.4188034188034188E-4</v>
      </c>
    </row>
    <row r="81" spans="2:5" ht="15" customHeight="1" x14ac:dyDescent="0.25">
      <c r="B81" s="92"/>
      <c r="C81" s="31" t="s">
        <v>71</v>
      </c>
      <c r="D81" s="32">
        <v>1</v>
      </c>
      <c r="E81" s="33">
        <v>1.1396011396011396E-4</v>
      </c>
    </row>
    <row r="82" spans="2:5" ht="15" customHeight="1" x14ac:dyDescent="0.25">
      <c r="B82" s="92"/>
      <c r="C82" s="31" t="s">
        <v>72</v>
      </c>
      <c r="D82" s="32">
        <v>4</v>
      </c>
      <c r="E82" s="33">
        <v>4.5584045584045582E-4</v>
      </c>
    </row>
    <row r="83" spans="2:5" ht="15" customHeight="1" x14ac:dyDescent="0.25">
      <c r="B83" s="89"/>
      <c r="C83" s="34" t="s">
        <v>26</v>
      </c>
      <c r="D83" s="35">
        <v>110</v>
      </c>
      <c r="E83" s="36">
        <v>1.2535612535612535E-2</v>
      </c>
    </row>
    <row r="84" spans="2:5" ht="15" customHeight="1" x14ac:dyDescent="0.25">
      <c r="B84" s="88" t="s">
        <v>97</v>
      </c>
      <c r="C84" s="31" t="s">
        <v>28</v>
      </c>
      <c r="D84" s="32">
        <v>21</v>
      </c>
      <c r="E84" s="33">
        <v>2.3931623931623932E-3</v>
      </c>
    </row>
    <row r="85" spans="2:5" ht="15" customHeight="1" x14ac:dyDescent="0.25">
      <c r="B85" s="92"/>
      <c r="C85" s="31" t="s">
        <v>31</v>
      </c>
      <c r="D85" s="32">
        <v>272</v>
      </c>
      <c r="E85" s="33">
        <v>3.0997150997150998E-2</v>
      </c>
    </row>
    <row r="86" spans="2:5" ht="15" customHeight="1" x14ac:dyDescent="0.25">
      <c r="B86" s="92"/>
      <c r="C86" s="31" t="s">
        <v>33</v>
      </c>
      <c r="D86" s="32">
        <v>2</v>
      </c>
      <c r="E86" s="33">
        <v>2.2792022792022791E-4</v>
      </c>
    </row>
    <row r="87" spans="2:5" ht="15" customHeight="1" x14ac:dyDescent="0.25">
      <c r="B87" s="92"/>
      <c r="C87" s="31" t="s">
        <v>41</v>
      </c>
      <c r="D87" s="32">
        <v>5</v>
      </c>
      <c r="E87" s="33">
        <v>5.6980056980056976E-4</v>
      </c>
    </row>
    <row r="88" spans="2:5" ht="15" customHeight="1" x14ac:dyDescent="0.25">
      <c r="B88" s="92"/>
      <c r="C88" s="31" t="s">
        <v>42</v>
      </c>
      <c r="D88" s="32">
        <v>1</v>
      </c>
      <c r="E88" s="33">
        <v>1.1396011396011396E-4</v>
      </c>
    </row>
    <row r="89" spans="2:5" ht="15" customHeight="1" x14ac:dyDescent="0.25">
      <c r="B89" s="92"/>
      <c r="C89" s="31" t="s">
        <v>44</v>
      </c>
      <c r="D89" s="32">
        <v>3</v>
      </c>
      <c r="E89" s="33">
        <v>3.4188034188034188E-4</v>
      </c>
    </row>
    <row r="90" spans="2:5" ht="15" customHeight="1" x14ac:dyDescent="0.25">
      <c r="B90" s="92"/>
      <c r="C90" s="31" t="s">
        <v>50</v>
      </c>
      <c r="D90" s="32">
        <v>2</v>
      </c>
      <c r="E90" s="33">
        <v>2.2792022792022791E-4</v>
      </c>
    </row>
    <row r="91" spans="2:5" ht="15" customHeight="1" x14ac:dyDescent="0.25">
      <c r="B91" s="92"/>
      <c r="C91" s="31" t="s">
        <v>53</v>
      </c>
      <c r="D91" s="32">
        <v>2</v>
      </c>
      <c r="E91" s="33">
        <v>2.2792022792022791E-4</v>
      </c>
    </row>
    <row r="92" spans="2:5" ht="15" customHeight="1" x14ac:dyDescent="0.25">
      <c r="B92" s="92"/>
      <c r="C92" s="31" t="s">
        <v>56</v>
      </c>
      <c r="D92" s="32">
        <v>11</v>
      </c>
      <c r="E92" s="33">
        <v>1.2535612535612536E-3</v>
      </c>
    </row>
    <row r="93" spans="2:5" ht="15" customHeight="1" x14ac:dyDescent="0.25">
      <c r="B93" s="92"/>
      <c r="C93" s="31" t="s">
        <v>84</v>
      </c>
      <c r="D93" s="32">
        <v>1</v>
      </c>
      <c r="E93" s="33">
        <v>1.1396011396011396E-4</v>
      </c>
    </row>
    <row r="94" spans="2:5" ht="15" customHeight="1" x14ac:dyDescent="0.25">
      <c r="B94" s="92"/>
      <c r="C94" s="31" t="s">
        <v>58</v>
      </c>
      <c r="D94" s="32">
        <v>1</v>
      </c>
      <c r="E94" s="33">
        <v>1.1396011396011396E-4</v>
      </c>
    </row>
    <row r="95" spans="2:5" ht="15" customHeight="1" x14ac:dyDescent="0.25">
      <c r="B95" s="92"/>
      <c r="C95" s="31" t="s">
        <v>59</v>
      </c>
      <c r="D95" s="32">
        <v>1</v>
      </c>
      <c r="E95" s="33">
        <v>1.1396011396011396E-4</v>
      </c>
    </row>
    <row r="96" spans="2:5" ht="15" customHeight="1" x14ac:dyDescent="0.25">
      <c r="B96" s="92"/>
      <c r="C96" s="31" t="s">
        <v>60</v>
      </c>
      <c r="D96" s="32">
        <v>1</v>
      </c>
      <c r="E96" s="33">
        <v>1.1396011396011396E-4</v>
      </c>
    </row>
    <row r="97" spans="2:5" ht="15" customHeight="1" x14ac:dyDescent="0.25">
      <c r="B97" s="92"/>
      <c r="C97" s="31" t="s">
        <v>63</v>
      </c>
      <c r="D97" s="32">
        <v>1</v>
      </c>
      <c r="E97" s="33">
        <v>1.1396011396011396E-4</v>
      </c>
    </row>
    <row r="98" spans="2:5" ht="15" customHeight="1" x14ac:dyDescent="0.25">
      <c r="B98" s="92"/>
      <c r="C98" s="31" t="s">
        <v>64</v>
      </c>
      <c r="D98" s="32">
        <v>2</v>
      </c>
      <c r="E98" s="33">
        <v>2.2792022792022791E-4</v>
      </c>
    </row>
    <row r="99" spans="2:5" ht="15" customHeight="1" x14ac:dyDescent="0.25">
      <c r="B99" s="92"/>
      <c r="C99" s="31" t="s">
        <v>65</v>
      </c>
      <c r="D99" s="32">
        <v>1</v>
      </c>
      <c r="E99" s="33">
        <v>1.1396011396011396E-4</v>
      </c>
    </row>
    <row r="100" spans="2:5" ht="15" customHeight="1" x14ac:dyDescent="0.25">
      <c r="B100" s="92"/>
      <c r="C100" s="31" t="s">
        <v>66</v>
      </c>
      <c r="D100" s="32">
        <v>4</v>
      </c>
      <c r="E100" s="33">
        <v>4.5584045584045582E-4</v>
      </c>
    </row>
    <row r="101" spans="2:5" ht="15" customHeight="1" x14ac:dyDescent="0.25">
      <c r="B101" s="92"/>
      <c r="C101" s="31" t="s">
        <v>68</v>
      </c>
      <c r="D101" s="32">
        <v>3</v>
      </c>
      <c r="E101" s="33">
        <v>3.4188034188034188E-4</v>
      </c>
    </row>
    <row r="102" spans="2:5" ht="15" customHeight="1" x14ac:dyDescent="0.25">
      <c r="B102" s="92"/>
      <c r="C102" s="31" t="s">
        <v>69</v>
      </c>
      <c r="D102" s="32">
        <v>15</v>
      </c>
      <c r="E102" s="33">
        <v>1.7094017094017094E-3</v>
      </c>
    </row>
    <row r="103" spans="2:5" ht="15" customHeight="1" x14ac:dyDescent="0.25">
      <c r="B103" s="92"/>
      <c r="C103" s="31" t="s">
        <v>70</v>
      </c>
      <c r="D103" s="32">
        <v>6</v>
      </c>
      <c r="E103" s="33">
        <v>6.8376068376068376E-4</v>
      </c>
    </row>
    <row r="104" spans="2:5" ht="15" customHeight="1" x14ac:dyDescent="0.25">
      <c r="B104" s="92"/>
      <c r="C104" s="31" t="s">
        <v>71</v>
      </c>
      <c r="D104" s="32">
        <v>1</v>
      </c>
      <c r="E104" s="33">
        <v>1.1396011396011396E-4</v>
      </c>
    </row>
    <row r="105" spans="2:5" ht="15" customHeight="1" x14ac:dyDescent="0.25">
      <c r="B105" s="92"/>
      <c r="C105" s="31" t="s">
        <v>72</v>
      </c>
      <c r="D105" s="32">
        <v>8</v>
      </c>
      <c r="E105" s="33">
        <v>9.1168091168091164E-4</v>
      </c>
    </row>
    <row r="106" spans="2:5" ht="15" customHeight="1" x14ac:dyDescent="0.25">
      <c r="B106" s="92"/>
      <c r="C106" s="31" t="s">
        <v>74</v>
      </c>
      <c r="D106" s="32">
        <v>1</v>
      </c>
      <c r="E106" s="33">
        <v>1.1396011396011396E-4</v>
      </c>
    </row>
    <row r="107" spans="2:5" ht="15" customHeight="1" x14ac:dyDescent="0.25">
      <c r="B107" s="92"/>
      <c r="C107" s="31" t="s">
        <v>75</v>
      </c>
      <c r="D107" s="32">
        <v>3</v>
      </c>
      <c r="E107" s="33">
        <v>3.4188034188034188E-4</v>
      </c>
    </row>
    <row r="108" spans="2:5" ht="15" customHeight="1" x14ac:dyDescent="0.25">
      <c r="B108" s="89"/>
      <c r="C108" s="34" t="s">
        <v>26</v>
      </c>
      <c r="D108" s="35">
        <v>368</v>
      </c>
      <c r="E108" s="36">
        <v>4.1937321937321935E-2</v>
      </c>
    </row>
    <row r="109" spans="2:5" ht="15" customHeight="1" x14ac:dyDescent="0.25">
      <c r="B109" s="88" t="s">
        <v>98</v>
      </c>
      <c r="C109" s="31" t="s">
        <v>28</v>
      </c>
      <c r="D109" s="32">
        <v>15</v>
      </c>
      <c r="E109" s="33">
        <v>1.7094017094017094E-3</v>
      </c>
    </row>
    <row r="110" spans="2:5" ht="15" customHeight="1" x14ac:dyDescent="0.25">
      <c r="B110" s="92"/>
      <c r="C110" s="31" t="s">
        <v>30</v>
      </c>
      <c r="D110" s="32">
        <v>2</v>
      </c>
      <c r="E110" s="33">
        <v>2.2792022792022791E-4</v>
      </c>
    </row>
    <row r="111" spans="2:5" ht="15" customHeight="1" x14ac:dyDescent="0.25">
      <c r="B111" s="92"/>
      <c r="C111" s="31" t="s">
        <v>31</v>
      </c>
      <c r="D111" s="32">
        <v>510</v>
      </c>
      <c r="E111" s="33">
        <v>5.8119658119658121E-2</v>
      </c>
    </row>
    <row r="112" spans="2:5" ht="15" customHeight="1" x14ac:dyDescent="0.25">
      <c r="B112" s="92"/>
      <c r="C112" s="31" t="s">
        <v>33</v>
      </c>
      <c r="D112" s="32">
        <v>6</v>
      </c>
      <c r="E112" s="33">
        <v>6.8376068376068376E-4</v>
      </c>
    </row>
    <row r="113" spans="2:5" ht="15" customHeight="1" x14ac:dyDescent="0.25">
      <c r="B113" s="92"/>
      <c r="C113" s="31" t="s">
        <v>34</v>
      </c>
      <c r="D113" s="32">
        <v>2</v>
      </c>
      <c r="E113" s="33">
        <v>2.2792022792022791E-4</v>
      </c>
    </row>
    <row r="114" spans="2:5" ht="15" customHeight="1" x14ac:dyDescent="0.25">
      <c r="B114" s="92"/>
      <c r="C114" s="31" t="s">
        <v>37</v>
      </c>
      <c r="D114" s="32">
        <v>5</v>
      </c>
      <c r="E114" s="33">
        <v>5.6980056980056976E-4</v>
      </c>
    </row>
    <row r="115" spans="2:5" ht="15" customHeight="1" x14ac:dyDescent="0.25">
      <c r="B115" s="92"/>
      <c r="C115" s="31" t="s">
        <v>38</v>
      </c>
      <c r="D115" s="32">
        <v>5</v>
      </c>
      <c r="E115" s="33">
        <v>5.6980056980056976E-4</v>
      </c>
    </row>
    <row r="116" spans="2:5" ht="15" customHeight="1" x14ac:dyDescent="0.25">
      <c r="B116" s="92"/>
      <c r="C116" s="31" t="s">
        <v>40</v>
      </c>
      <c r="D116" s="32">
        <v>4</v>
      </c>
      <c r="E116" s="33">
        <v>4.5584045584045582E-4</v>
      </c>
    </row>
    <row r="117" spans="2:5" ht="15" customHeight="1" x14ac:dyDescent="0.25">
      <c r="B117" s="92"/>
      <c r="C117" s="31" t="s">
        <v>41</v>
      </c>
      <c r="D117" s="32">
        <v>23</v>
      </c>
      <c r="E117" s="33">
        <v>2.6210826210826209E-3</v>
      </c>
    </row>
    <row r="118" spans="2:5" ht="15" customHeight="1" x14ac:dyDescent="0.25">
      <c r="B118" s="92"/>
      <c r="C118" s="31" t="s">
        <v>42</v>
      </c>
      <c r="D118" s="32">
        <v>6</v>
      </c>
      <c r="E118" s="33">
        <v>6.8376068376068376E-4</v>
      </c>
    </row>
    <row r="119" spans="2:5" ht="15" customHeight="1" x14ac:dyDescent="0.25">
      <c r="B119" s="92"/>
      <c r="C119" s="31" t="s">
        <v>43</v>
      </c>
      <c r="D119" s="32">
        <v>2</v>
      </c>
      <c r="E119" s="33">
        <v>2.2792022792022791E-4</v>
      </c>
    </row>
    <row r="120" spans="2:5" ht="15" customHeight="1" x14ac:dyDescent="0.25">
      <c r="B120" s="92"/>
      <c r="C120" s="31" t="s">
        <v>45</v>
      </c>
      <c r="D120" s="32">
        <v>2</v>
      </c>
      <c r="E120" s="33">
        <v>2.2792022792022791E-4</v>
      </c>
    </row>
    <row r="121" spans="2:5" ht="15" customHeight="1" x14ac:dyDescent="0.25">
      <c r="B121" s="92"/>
      <c r="C121" s="31" t="s">
        <v>46</v>
      </c>
      <c r="D121" s="32">
        <v>1</v>
      </c>
      <c r="E121" s="33">
        <v>1.1396011396011396E-4</v>
      </c>
    </row>
    <row r="122" spans="2:5" ht="15" customHeight="1" x14ac:dyDescent="0.25">
      <c r="B122" s="92"/>
      <c r="C122" s="31" t="s">
        <v>50</v>
      </c>
      <c r="D122" s="32">
        <v>1</v>
      </c>
      <c r="E122" s="33">
        <v>1.1396011396011396E-4</v>
      </c>
    </row>
    <row r="123" spans="2:5" ht="15" customHeight="1" x14ac:dyDescent="0.25">
      <c r="B123" s="92"/>
      <c r="C123" s="31" t="s">
        <v>51</v>
      </c>
      <c r="D123" s="32">
        <v>1</v>
      </c>
      <c r="E123" s="33">
        <v>1.1396011396011396E-4</v>
      </c>
    </row>
    <row r="124" spans="2:5" ht="15" customHeight="1" x14ac:dyDescent="0.25">
      <c r="B124" s="92"/>
      <c r="C124" s="31" t="s">
        <v>52</v>
      </c>
      <c r="D124" s="32">
        <v>1</v>
      </c>
      <c r="E124" s="33">
        <v>1.1396011396011396E-4</v>
      </c>
    </row>
    <row r="125" spans="2:5" ht="15" customHeight="1" x14ac:dyDescent="0.25">
      <c r="B125" s="92"/>
      <c r="C125" s="31" t="s">
        <v>53</v>
      </c>
      <c r="D125" s="32">
        <v>3</v>
      </c>
      <c r="E125" s="33">
        <v>3.4188034188034188E-4</v>
      </c>
    </row>
    <row r="126" spans="2:5" ht="15" customHeight="1" x14ac:dyDescent="0.25">
      <c r="B126" s="92"/>
      <c r="C126" s="31" t="s">
        <v>55</v>
      </c>
      <c r="D126" s="32">
        <v>2</v>
      </c>
      <c r="E126" s="33">
        <v>2.2792022792022791E-4</v>
      </c>
    </row>
    <row r="127" spans="2:5" ht="15" customHeight="1" x14ac:dyDescent="0.25">
      <c r="B127" s="92"/>
      <c r="C127" s="31" t="s">
        <v>56</v>
      </c>
      <c r="D127" s="32">
        <v>26</v>
      </c>
      <c r="E127" s="33">
        <v>2.9629629629629628E-3</v>
      </c>
    </row>
    <row r="128" spans="2:5" ht="15" customHeight="1" x14ac:dyDescent="0.25">
      <c r="B128" s="92"/>
      <c r="C128" s="31" t="s">
        <v>84</v>
      </c>
      <c r="D128" s="32">
        <v>1</v>
      </c>
      <c r="E128" s="33">
        <v>1.1396011396011396E-4</v>
      </c>
    </row>
    <row r="129" spans="2:5" ht="15" customHeight="1" x14ac:dyDescent="0.25">
      <c r="B129" s="92"/>
      <c r="C129" s="31" t="s">
        <v>58</v>
      </c>
      <c r="D129" s="32">
        <v>4</v>
      </c>
      <c r="E129" s="33">
        <v>4.5584045584045582E-4</v>
      </c>
    </row>
    <row r="130" spans="2:5" ht="15" customHeight="1" x14ac:dyDescent="0.25">
      <c r="B130" s="92"/>
      <c r="C130" s="31" t="s">
        <v>59</v>
      </c>
      <c r="D130" s="32">
        <v>3</v>
      </c>
      <c r="E130" s="33">
        <v>3.4188034188034188E-4</v>
      </c>
    </row>
    <row r="131" spans="2:5" ht="15" customHeight="1" x14ac:dyDescent="0.25">
      <c r="B131" s="92"/>
      <c r="C131" s="31" t="s">
        <v>60</v>
      </c>
      <c r="D131" s="32">
        <v>8</v>
      </c>
      <c r="E131" s="33">
        <v>9.1168091168091164E-4</v>
      </c>
    </row>
    <row r="132" spans="2:5" ht="15" customHeight="1" x14ac:dyDescent="0.25">
      <c r="B132" s="92"/>
      <c r="C132" s="31" t="s">
        <v>63</v>
      </c>
      <c r="D132" s="32">
        <v>2</v>
      </c>
      <c r="E132" s="33">
        <v>2.2792022792022791E-4</v>
      </c>
    </row>
    <row r="133" spans="2:5" ht="15" customHeight="1" x14ac:dyDescent="0.25">
      <c r="B133" s="92"/>
      <c r="C133" s="31" t="s">
        <v>64</v>
      </c>
      <c r="D133" s="32">
        <v>16</v>
      </c>
      <c r="E133" s="33">
        <v>1.8233618233618233E-3</v>
      </c>
    </row>
    <row r="134" spans="2:5" ht="15" customHeight="1" x14ac:dyDescent="0.25">
      <c r="B134" s="92"/>
      <c r="C134" s="31" t="s">
        <v>65</v>
      </c>
      <c r="D134" s="32">
        <v>3</v>
      </c>
      <c r="E134" s="33">
        <v>3.4188034188034188E-4</v>
      </c>
    </row>
    <row r="135" spans="2:5" ht="15" customHeight="1" x14ac:dyDescent="0.25">
      <c r="B135" s="92"/>
      <c r="C135" s="31" t="s">
        <v>66</v>
      </c>
      <c r="D135" s="32">
        <v>2</v>
      </c>
      <c r="E135" s="33">
        <v>2.2792022792022791E-4</v>
      </c>
    </row>
    <row r="136" spans="2:5" ht="15" customHeight="1" x14ac:dyDescent="0.25">
      <c r="B136" s="92"/>
      <c r="C136" s="31" t="s">
        <v>67</v>
      </c>
      <c r="D136" s="32">
        <v>1</v>
      </c>
      <c r="E136" s="33">
        <v>1.1396011396011396E-4</v>
      </c>
    </row>
    <row r="137" spans="2:5" ht="15" customHeight="1" x14ac:dyDescent="0.25">
      <c r="B137" s="92"/>
      <c r="C137" s="31" t="s">
        <v>68</v>
      </c>
      <c r="D137" s="32">
        <v>2</v>
      </c>
      <c r="E137" s="33">
        <v>2.2792022792022791E-4</v>
      </c>
    </row>
    <row r="138" spans="2:5" ht="15" customHeight="1" x14ac:dyDescent="0.25">
      <c r="B138" s="92"/>
      <c r="C138" s="31" t="s">
        <v>69</v>
      </c>
      <c r="D138" s="32">
        <v>26</v>
      </c>
      <c r="E138" s="33">
        <v>2.9629629629629628E-3</v>
      </c>
    </row>
    <row r="139" spans="2:5" ht="15" customHeight="1" x14ac:dyDescent="0.25">
      <c r="B139" s="92"/>
      <c r="C139" s="31" t="s">
        <v>70</v>
      </c>
      <c r="D139" s="32">
        <v>13</v>
      </c>
      <c r="E139" s="33">
        <v>1.4814814814814814E-3</v>
      </c>
    </row>
    <row r="140" spans="2:5" ht="15" customHeight="1" x14ac:dyDescent="0.25">
      <c r="B140" s="92"/>
      <c r="C140" s="31" t="s">
        <v>71</v>
      </c>
      <c r="D140" s="32">
        <v>2</v>
      </c>
      <c r="E140" s="33">
        <v>2.2792022792022791E-4</v>
      </c>
    </row>
    <row r="141" spans="2:5" ht="15" customHeight="1" x14ac:dyDescent="0.25">
      <c r="B141" s="92"/>
      <c r="C141" s="31" t="s">
        <v>72</v>
      </c>
      <c r="D141" s="32">
        <v>12</v>
      </c>
      <c r="E141" s="33">
        <v>1.3675213675213675E-3</v>
      </c>
    </row>
    <row r="142" spans="2:5" ht="15" customHeight="1" x14ac:dyDescent="0.25">
      <c r="B142" s="92"/>
      <c r="C142" s="31" t="s">
        <v>74</v>
      </c>
      <c r="D142" s="32">
        <v>5</v>
      </c>
      <c r="E142" s="33">
        <v>5.6980056980056976E-4</v>
      </c>
    </row>
    <row r="143" spans="2:5" ht="15" customHeight="1" x14ac:dyDescent="0.25">
      <c r="B143" s="92"/>
      <c r="C143" s="31" t="s">
        <v>75</v>
      </c>
      <c r="D143" s="32">
        <v>1</v>
      </c>
      <c r="E143" s="33">
        <v>1.1396011396011396E-4</v>
      </c>
    </row>
    <row r="144" spans="2:5" ht="15" customHeight="1" x14ac:dyDescent="0.25">
      <c r="B144" s="89"/>
      <c r="C144" s="34" t="s">
        <v>26</v>
      </c>
      <c r="D144" s="35">
        <v>718</v>
      </c>
      <c r="E144" s="36">
        <v>8.182336182336182E-2</v>
      </c>
    </row>
    <row r="145" spans="2:5" ht="15" customHeight="1" x14ac:dyDescent="0.25">
      <c r="B145" s="88" t="s">
        <v>99</v>
      </c>
      <c r="C145" s="31" t="s">
        <v>28</v>
      </c>
      <c r="D145" s="32">
        <v>5</v>
      </c>
      <c r="E145" s="33">
        <v>5.6980056980056976E-4</v>
      </c>
    </row>
    <row r="146" spans="2:5" ht="15" customHeight="1" x14ac:dyDescent="0.25">
      <c r="B146" s="92"/>
      <c r="C146" s="31" t="s">
        <v>30</v>
      </c>
      <c r="D146" s="32">
        <v>1</v>
      </c>
      <c r="E146" s="33">
        <v>1.1396011396011396E-4</v>
      </c>
    </row>
    <row r="147" spans="2:5" ht="15" customHeight="1" x14ac:dyDescent="0.25">
      <c r="B147" s="92"/>
      <c r="C147" s="31" t="s">
        <v>31</v>
      </c>
      <c r="D147" s="32">
        <v>96</v>
      </c>
      <c r="E147" s="33">
        <v>1.094017094017094E-2</v>
      </c>
    </row>
    <row r="148" spans="2:5" ht="15" customHeight="1" x14ac:dyDescent="0.25">
      <c r="B148" s="92"/>
      <c r="C148" s="31" t="s">
        <v>33</v>
      </c>
      <c r="D148" s="32">
        <v>2</v>
      </c>
      <c r="E148" s="33">
        <v>2.2792022792022791E-4</v>
      </c>
    </row>
    <row r="149" spans="2:5" ht="15" customHeight="1" x14ac:dyDescent="0.25">
      <c r="B149" s="92"/>
      <c r="C149" s="31" t="s">
        <v>38</v>
      </c>
      <c r="D149" s="32">
        <v>1</v>
      </c>
      <c r="E149" s="33">
        <v>1.1396011396011396E-4</v>
      </c>
    </row>
    <row r="150" spans="2:5" ht="15" customHeight="1" x14ac:dyDescent="0.25">
      <c r="B150" s="92"/>
      <c r="C150" s="31" t="s">
        <v>40</v>
      </c>
      <c r="D150" s="32">
        <v>2</v>
      </c>
      <c r="E150" s="33">
        <v>2.2792022792022791E-4</v>
      </c>
    </row>
    <row r="151" spans="2:5" ht="15" customHeight="1" x14ac:dyDescent="0.25">
      <c r="B151" s="92"/>
      <c r="C151" s="31" t="s">
        <v>41</v>
      </c>
      <c r="D151" s="32">
        <v>4</v>
      </c>
      <c r="E151" s="33">
        <v>4.5584045584045582E-4</v>
      </c>
    </row>
    <row r="152" spans="2:5" ht="15" customHeight="1" x14ac:dyDescent="0.25">
      <c r="B152" s="92"/>
      <c r="C152" s="31" t="s">
        <v>45</v>
      </c>
      <c r="D152" s="32">
        <v>1</v>
      </c>
      <c r="E152" s="33">
        <v>1.1396011396011396E-4</v>
      </c>
    </row>
    <row r="153" spans="2:5" ht="15" customHeight="1" x14ac:dyDescent="0.25">
      <c r="B153" s="92"/>
      <c r="C153" s="31" t="s">
        <v>50</v>
      </c>
      <c r="D153" s="32">
        <v>1</v>
      </c>
      <c r="E153" s="33">
        <v>1.1396011396011396E-4</v>
      </c>
    </row>
    <row r="154" spans="2:5" ht="15" customHeight="1" x14ac:dyDescent="0.25">
      <c r="B154" s="92"/>
      <c r="C154" s="31" t="s">
        <v>56</v>
      </c>
      <c r="D154" s="32">
        <v>6</v>
      </c>
      <c r="E154" s="33">
        <v>6.8376068376068376E-4</v>
      </c>
    </row>
    <row r="155" spans="2:5" ht="15" customHeight="1" x14ac:dyDescent="0.25">
      <c r="B155" s="92"/>
      <c r="C155" s="31" t="s">
        <v>59</v>
      </c>
      <c r="D155" s="32">
        <v>1</v>
      </c>
      <c r="E155" s="33">
        <v>1.1396011396011396E-4</v>
      </c>
    </row>
    <row r="156" spans="2:5" ht="15" customHeight="1" x14ac:dyDescent="0.25">
      <c r="B156" s="92"/>
      <c r="C156" s="31" t="s">
        <v>64</v>
      </c>
      <c r="D156" s="32">
        <v>3</v>
      </c>
      <c r="E156" s="33">
        <v>3.4188034188034188E-4</v>
      </c>
    </row>
    <row r="157" spans="2:5" ht="15" customHeight="1" x14ac:dyDescent="0.25">
      <c r="B157" s="92"/>
      <c r="C157" s="31" t="s">
        <v>68</v>
      </c>
      <c r="D157" s="32">
        <v>2</v>
      </c>
      <c r="E157" s="33">
        <v>2.2792022792022791E-4</v>
      </c>
    </row>
    <row r="158" spans="2:5" ht="15" customHeight="1" x14ac:dyDescent="0.25">
      <c r="B158" s="92"/>
      <c r="C158" s="31" t="s">
        <v>69</v>
      </c>
      <c r="D158" s="32">
        <v>4</v>
      </c>
      <c r="E158" s="33">
        <v>4.5584045584045582E-4</v>
      </c>
    </row>
    <row r="159" spans="2:5" ht="15" customHeight="1" x14ac:dyDescent="0.25">
      <c r="B159" s="92"/>
      <c r="C159" s="31" t="s">
        <v>70</v>
      </c>
      <c r="D159" s="32">
        <v>3</v>
      </c>
      <c r="E159" s="33">
        <v>3.4188034188034188E-4</v>
      </c>
    </row>
    <row r="160" spans="2:5" ht="15" customHeight="1" x14ac:dyDescent="0.25">
      <c r="B160" s="92"/>
      <c r="C160" s="31" t="s">
        <v>71</v>
      </c>
      <c r="D160" s="32">
        <v>1</v>
      </c>
      <c r="E160" s="33">
        <v>1.1396011396011396E-4</v>
      </c>
    </row>
    <row r="161" spans="2:5" ht="15" customHeight="1" x14ac:dyDescent="0.25">
      <c r="B161" s="92"/>
      <c r="C161" s="31" t="s">
        <v>72</v>
      </c>
      <c r="D161" s="32">
        <v>4</v>
      </c>
      <c r="E161" s="33">
        <v>4.5584045584045582E-4</v>
      </c>
    </row>
    <row r="162" spans="2:5" ht="15" customHeight="1" x14ac:dyDescent="0.25">
      <c r="B162" s="92"/>
      <c r="C162" s="31" t="s">
        <v>74</v>
      </c>
      <c r="D162" s="32">
        <v>2</v>
      </c>
      <c r="E162" s="33">
        <v>2.2792022792022791E-4</v>
      </c>
    </row>
    <row r="163" spans="2:5" ht="15" customHeight="1" x14ac:dyDescent="0.25">
      <c r="B163" s="89"/>
      <c r="C163" s="34" t="s">
        <v>26</v>
      </c>
      <c r="D163" s="35">
        <v>139</v>
      </c>
      <c r="E163" s="36">
        <v>1.584045584045584E-2</v>
      </c>
    </row>
    <row r="164" spans="2:5" ht="15" customHeight="1" x14ac:dyDescent="0.25">
      <c r="B164" s="88" t="s">
        <v>100</v>
      </c>
      <c r="C164" s="31" t="s">
        <v>22</v>
      </c>
      <c r="D164" s="32">
        <v>2</v>
      </c>
      <c r="E164" s="33">
        <v>2.2792022792022791E-4</v>
      </c>
    </row>
    <row r="165" spans="2:5" ht="15" customHeight="1" x14ac:dyDescent="0.25">
      <c r="B165" s="92"/>
      <c r="C165" s="31" t="s">
        <v>28</v>
      </c>
      <c r="D165" s="32">
        <v>3</v>
      </c>
      <c r="E165" s="33">
        <v>3.4188034188034188E-4</v>
      </c>
    </row>
    <row r="166" spans="2:5" ht="15" customHeight="1" x14ac:dyDescent="0.25">
      <c r="B166" s="92"/>
      <c r="C166" s="31" t="s">
        <v>31</v>
      </c>
      <c r="D166" s="32">
        <v>135</v>
      </c>
      <c r="E166" s="33">
        <v>1.5384615384615385E-2</v>
      </c>
    </row>
    <row r="167" spans="2:5" ht="15" customHeight="1" x14ac:dyDescent="0.25">
      <c r="B167" s="92"/>
      <c r="C167" s="31" t="s">
        <v>33</v>
      </c>
      <c r="D167" s="32">
        <v>7</v>
      </c>
      <c r="E167" s="33">
        <v>7.9772079772079776E-4</v>
      </c>
    </row>
    <row r="168" spans="2:5" ht="15" customHeight="1" x14ac:dyDescent="0.25">
      <c r="B168" s="92"/>
      <c r="C168" s="31" t="s">
        <v>37</v>
      </c>
      <c r="D168" s="32">
        <v>3</v>
      </c>
      <c r="E168" s="33">
        <v>3.4188034188034188E-4</v>
      </c>
    </row>
    <row r="169" spans="2:5" ht="15" customHeight="1" x14ac:dyDescent="0.25">
      <c r="B169" s="92"/>
      <c r="C169" s="31" t="s">
        <v>38</v>
      </c>
      <c r="D169" s="32">
        <v>4</v>
      </c>
      <c r="E169" s="33">
        <v>4.5584045584045582E-4</v>
      </c>
    </row>
    <row r="170" spans="2:5" ht="15" customHeight="1" x14ac:dyDescent="0.25">
      <c r="B170" s="92"/>
      <c r="C170" s="31" t="s">
        <v>41</v>
      </c>
      <c r="D170" s="32">
        <v>3</v>
      </c>
      <c r="E170" s="33">
        <v>3.4188034188034188E-4</v>
      </c>
    </row>
    <row r="171" spans="2:5" ht="15" customHeight="1" x14ac:dyDescent="0.25">
      <c r="B171" s="92"/>
      <c r="C171" s="31" t="s">
        <v>42</v>
      </c>
      <c r="D171" s="32">
        <v>4</v>
      </c>
      <c r="E171" s="33">
        <v>4.5584045584045582E-4</v>
      </c>
    </row>
    <row r="172" spans="2:5" ht="15" customHeight="1" x14ac:dyDescent="0.25">
      <c r="B172" s="92"/>
      <c r="C172" s="31" t="s">
        <v>44</v>
      </c>
      <c r="D172" s="32">
        <v>2</v>
      </c>
      <c r="E172" s="33">
        <v>2.2792022792022791E-4</v>
      </c>
    </row>
    <row r="173" spans="2:5" ht="15" customHeight="1" x14ac:dyDescent="0.25">
      <c r="B173" s="92"/>
      <c r="C173" s="31" t="s">
        <v>46</v>
      </c>
      <c r="D173" s="32">
        <v>1</v>
      </c>
      <c r="E173" s="33">
        <v>1.1396011396011396E-4</v>
      </c>
    </row>
    <row r="174" spans="2:5" ht="15" customHeight="1" x14ac:dyDescent="0.25">
      <c r="B174" s="92"/>
      <c r="C174" s="31" t="s">
        <v>50</v>
      </c>
      <c r="D174" s="32">
        <v>1</v>
      </c>
      <c r="E174" s="33">
        <v>1.1396011396011396E-4</v>
      </c>
    </row>
    <row r="175" spans="2:5" ht="15" customHeight="1" x14ac:dyDescent="0.25">
      <c r="B175" s="92"/>
      <c r="C175" s="31" t="s">
        <v>51</v>
      </c>
      <c r="D175" s="32">
        <v>1</v>
      </c>
      <c r="E175" s="33">
        <v>1.1396011396011396E-4</v>
      </c>
    </row>
    <row r="176" spans="2:5" ht="15" customHeight="1" x14ac:dyDescent="0.25">
      <c r="B176" s="92"/>
      <c r="C176" s="31" t="s">
        <v>53</v>
      </c>
      <c r="D176" s="32">
        <v>3</v>
      </c>
      <c r="E176" s="33">
        <v>3.4188034188034188E-4</v>
      </c>
    </row>
    <row r="177" spans="2:5" ht="15" customHeight="1" x14ac:dyDescent="0.25">
      <c r="B177" s="92"/>
      <c r="C177" s="31" t="s">
        <v>56</v>
      </c>
      <c r="D177" s="32">
        <v>11</v>
      </c>
      <c r="E177" s="33">
        <v>1.2535612535612536E-3</v>
      </c>
    </row>
    <row r="178" spans="2:5" ht="15" customHeight="1" x14ac:dyDescent="0.25">
      <c r="B178" s="92"/>
      <c r="C178" s="31" t="s">
        <v>58</v>
      </c>
      <c r="D178" s="32">
        <v>2</v>
      </c>
      <c r="E178" s="33">
        <v>2.2792022792022791E-4</v>
      </c>
    </row>
    <row r="179" spans="2:5" ht="15" customHeight="1" x14ac:dyDescent="0.25">
      <c r="B179" s="92"/>
      <c r="C179" s="31" t="s">
        <v>60</v>
      </c>
      <c r="D179" s="32">
        <v>1</v>
      </c>
      <c r="E179" s="33">
        <v>1.1396011396011396E-4</v>
      </c>
    </row>
    <row r="180" spans="2:5" ht="15" customHeight="1" x14ac:dyDescent="0.25">
      <c r="B180" s="92"/>
      <c r="C180" s="31" t="s">
        <v>63</v>
      </c>
      <c r="D180" s="32">
        <v>1</v>
      </c>
      <c r="E180" s="33">
        <v>1.1396011396011396E-4</v>
      </c>
    </row>
    <row r="181" spans="2:5" ht="15" customHeight="1" x14ac:dyDescent="0.25">
      <c r="B181" s="92"/>
      <c r="C181" s="31" t="s">
        <v>64</v>
      </c>
      <c r="D181" s="32">
        <v>3</v>
      </c>
      <c r="E181" s="33">
        <v>3.4188034188034188E-4</v>
      </c>
    </row>
    <row r="182" spans="2:5" ht="15" customHeight="1" x14ac:dyDescent="0.25">
      <c r="B182" s="92"/>
      <c r="C182" s="31" t="s">
        <v>68</v>
      </c>
      <c r="D182" s="32">
        <v>3</v>
      </c>
      <c r="E182" s="33">
        <v>3.4188034188034188E-4</v>
      </c>
    </row>
    <row r="183" spans="2:5" ht="15" customHeight="1" x14ac:dyDescent="0.25">
      <c r="B183" s="92"/>
      <c r="C183" s="31" t="s">
        <v>69</v>
      </c>
      <c r="D183" s="32">
        <v>7</v>
      </c>
      <c r="E183" s="33">
        <v>7.9772079772079776E-4</v>
      </c>
    </row>
    <row r="184" spans="2:5" ht="15" customHeight="1" x14ac:dyDescent="0.25">
      <c r="B184" s="92"/>
      <c r="C184" s="31" t="s">
        <v>70</v>
      </c>
      <c r="D184" s="32">
        <v>2</v>
      </c>
      <c r="E184" s="33">
        <v>2.2792022792022791E-4</v>
      </c>
    </row>
    <row r="185" spans="2:5" ht="15" customHeight="1" x14ac:dyDescent="0.25">
      <c r="B185" s="92"/>
      <c r="C185" s="31" t="s">
        <v>72</v>
      </c>
      <c r="D185" s="32">
        <v>4</v>
      </c>
      <c r="E185" s="33">
        <v>4.5584045584045582E-4</v>
      </c>
    </row>
    <row r="186" spans="2:5" ht="15" customHeight="1" x14ac:dyDescent="0.25">
      <c r="B186" s="92"/>
      <c r="C186" s="31" t="s">
        <v>74</v>
      </c>
      <c r="D186" s="32">
        <v>1</v>
      </c>
      <c r="E186" s="33">
        <v>1.1396011396011396E-4</v>
      </c>
    </row>
    <row r="187" spans="2:5" ht="15" customHeight="1" x14ac:dyDescent="0.25">
      <c r="B187" s="89"/>
      <c r="C187" s="34" t="s">
        <v>26</v>
      </c>
      <c r="D187" s="35">
        <v>204</v>
      </c>
      <c r="E187" s="36">
        <v>2.3247863247863248E-2</v>
      </c>
    </row>
    <row r="188" spans="2:5" ht="15" customHeight="1" x14ac:dyDescent="0.25">
      <c r="B188" s="88" t="s">
        <v>101</v>
      </c>
      <c r="C188" s="31" t="s">
        <v>22</v>
      </c>
      <c r="D188" s="32">
        <v>1</v>
      </c>
      <c r="E188" s="33">
        <v>1.1396011396011396E-4</v>
      </c>
    </row>
    <row r="189" spans="2:5" ht="15" customHeight="1" x14ac:dyDescent="0.25">
      <c r="B189" s="92"/>
      <c r="C189" s="31" t="s">
        <v>28</v>
      </c>
      <c r="D189" s="32">
        <v>9</v>
      </c>
      <c r="E189" s="33">
        <v>1.0256410256410256E-3</v>
      </c>
    </row>
    <row r="190" spans="2:5" ht="15" customHeight="1" x14ac:dyDescent="0.25">
      <c r="B190" s="92"/>
      <c r="C190" s="31" t="s">
        <v>30</v>
      </c>
      <c r="D190" s="32">
        <v>1</v>
      </c>
      <c r="E190" s="33">
        <v>1.1396011396011396E-4</v>
      </c>
    </row>
    <row r="191" spans="2:5" ht="15" customHeight="1" x14ac:dyDescent="0.25">
      <c r="B191" s="92"/>
      <c r="C191" s="31" t="s">
        <v>31</v>
      </c>
      <c r="D191" s="32">
        <v>175</v>
      </c>
      <c r="E191" s="33">
        <v>1.9943019943019943E-2</v>
      </c>
    </row>
    <row r="192" spans="2:5" ht="15" customHeight="1" x14ac:dyDescent="0.25">
      <c r="B192" s="92"/>
      <c r="C192" s="31" t="s">
        <v>33</v>
      </c>
      <c r="D192" s="32">
        <v>2</v>
      </c>
      <c r="E192" s="33">
        <v>2.2792022792022791E-4</v>
      </c>
    </row>
    <row r="193" spans="2:5" ht="15" customHeight="1" x14ac:dyDescent="0.25">
      <c r="B193" s="92"/>
      <c r="C193" s="31" t="s">
        <v>37</v>
      </c>
      <c r="D193" s="32">
        <v>1</v>
      </c>
      <c r="E193" s="33">
        <v>1.1396011396011396E-4</v>
      </c>
    </row>
    <row r="194" spans="2:5" ht="15" customHeight="1" x14ac:dyDescent="0.25">
      <c r="B194" s="92"/>
      <c r="C194" s="31" t="s">
        <v>38</v>
      </c>
      <c r="D194" s="32">
        <v>1</v>
      </c>
      <c r="E194" s="33">
        <v>1.1396011396011396E-4</v>
      </c>
    </row>
    <row r="195" spans="2:5" ht="15" customHeight="1" x14ac:dyDescent="0.25">
      <c r="B195" s="92"/>
      <c r="C195" s="31" t="s">
        <v>40</v>
      </c>
      <c r="D195" s="32">
        <v>3</v>
      </c>
      <c r="E195" s="33">
        <v>3.4188034188034188E-4</v>
      </c>
    </row>
    <row r="196" spans="2:5" ht="15" customHeight="1" x14ac:dyDescent="0.25">
      <c r="B196" s="92"/>
      <c r="C196" s="31" t="s">
        <v>41</v>
      </c>
      <c r="D196" s="32">
        <v>6</v>
      </c>
      <c r="E196" s="33">
        <v>6.8376068376068376E-4</v>
      </c>
    </row>
    <row r="197" spans="2:5" ht="15" customHeight="1" x14ac:dyDescent="0.25">
      <c r="B197" s="92"/>
      <c r="C197" s="31" t="s">
        <v>44</v>
      </c>
      <c r="D197" s="32">
        <v>2</v>
      </c>
      <c r="E197" s="33">
        <v>2.2792022792022791E-4</v>
      </c>
    </row>
    <row r="198" spans="2:5" ht="15" customHeight="1" x14ac:dyDescent="0.25">
      <c r="B198" s="92"/>
      <c r="C198" s="31" t="s">
        <v>46</v>
      </c>
      <c r="D198" s="32">
        <v>1</v>
      </c>
      <c r="E198" s="33">
        <v>1.1396011396011396E-4</v>
      </c>
    </row>
    <row r="199" spans="2:5" ht="15" customHeight="1" x14ac:dyDescent="0.25">
      <c r="B199" s="92"/>
      <c r="C199" s="31" t="s">
        <v>48</v>
      </c>
      <c r="D199" s="32">
        <v>1</v>
      </c>
      <c r="E199" s="33">
        <v>1.1396011396011396E-4</v>
      </c>
    </row>
    <row r="200" spans="2:5" ht="15" customHeight="1" x14ac:dyDescent="0.25">
      <c r="B200" s="92"/>
      <c r="C200" s="31" t="s">
        <v>50</v>
      </c>
      <c r="D200" s="32">
        <v>1</v>
      </c>
      <c r="E200" s="33">
        <v>1.1396011396011396E-4</v>
      </c>
    </row>
    <row r="201" spans="2:5" ht="15" customHeight="1" x14ac:dyDescent="0.25">
      <c r="B201" s="92"/>
      <c r="C201" s="31" t="s">
        <v>51</v>
      </c>
      <c r="D201" s="32">
        <v>1</v>
      </c>
      <c r="E201" s="33">
        <v>1.1396011396011396E-4</v>
      </c>
    </row>
    <row r="202" spans="2:5" ht="15" customHeight="1" x14ac:dyDescent="0.25">
      <c r="B202" s="92"/>
      <c r="C202" s="31" t="s">
        <v>56</v>
      </c>
      <c r="D202" s="32">
        <v>12</v>
      </c>
      <c r="E202" s="33">
        <v>1.3675213675213675E-3</v>
      </c>
    </row>
    <row r="203" spans="2:5" ht="15" customHeight="1" x14ac:dyDescent="0.25">
      <c r="B203" s="92"/>
      <c r="C203" s="31" t="s">
        <v>58</v>
      </c>
      <c r="D203" s="32">
        <v>1</v>
      </c>
      <c r="E203" s="33">
        <v>1.1396011396011396E-4</v>
      </c>
    </row>
    <row r="204" spans="2:5" ht="15" customHeight="1" x14ac:dyDescent="0.25">
      <c r="B204" s="92"/>
      <c r="C204" s="31" t="s">
        <v>62</v>
      </c>
      <c r="D204" s="32">
        <v>1</v>
      </c>
      <c r="E204" s="33">
        <v>1.1396011396011396E-4</v>
      </c>
    </row>
    <row r="205" spans="2:5" ht="15" customHeight="1" x14ac:dyDescent="0.25">
      <c r="B205" s="92"/>
      <c r="C205" s="31" t="s">
        <v>64</v>
      </c>
      <c r="D205" s="32">
        <v>6</v>
      </c>
      <c r="E205" s="33">
        <v>6.8376068376068376E-4</v>
      </c>
    </row>
    <row r="206" spans="2:5" ht="15" customHeight="1" x14ac:dyDescent="0.25">
      <c r="B206" s="92"/>
      <c r="C206" s="31" t="s">
        <v>66</v>
      </c>
      <c r="D206" s="32">
        <v>1</v>
      </c>
      <c r="E206" s="33">
        <v>1.1396011396011396E-4</v>
      </c>
    </row>
    <row r="207" spans="2:5" ht="15" customHeight="1" x14ac:dyDescent="0.25">
      <c r="B207" s="92"/>
      <c r="C207" s="31" t="s">
        <v>68</v>
      </c>
      <c r="D207" s="32">
        <v>2</v>
      </c>
      <c r="E207" s="33">
        <v>2.2792022792022791E-4</v>
      </c>
    </row>
    <row r="208" spans="2:5" ht="15" customHeight="1" x14ac:dyDescent="0.25">
      <c r="B208" s="92"/>
      <c r="C208" s="31" t="s">
        <v>69</v>
      </c>
      <c r="D208" s="32">
        <v>12</v>
      </c>
      <c r="E208" s="33">
        <v>1.3675213675213675E-3</v>
      </c>
    </row>
    <row r="209" spans="2:5" ht="15" customHeight="1" x14ac:dyDescent="0.25">
      <c r="B209" s="92"/>
      <c r="C209" s="31" t="s">
        <v>70</v>
      </c>
      <c r="D209" s="32">
        <v>11</v>
      </c>
      <c r="E209" s="33">
        <v>1.2535612535612536E-3</v>
      </c>
    </row>
    <row r="210" spans="2:5" ht="15" customHeight="1" x14ac:dyDescent="0.25">
      <c r="B210" s="92"/>
      <c r="C210" s="31" t="s">
        <v>71</v>
      </c>
      <c r="D210" s="32">
        <v>2</v>
      </c>
      <c r="E210" s="33">
        <v>2.2792022792022791E-4</v>
      </c>
    </row>
    <row r="211" spans="2:5" ht="15" customHeight="1" x14ac:dyDescent="0.25">
      <c r="B211" s="92"/>
      <c r="C211" s="31" t="s">
        <v>72</v>
      </c>
      <c r="D211" s="32">
        <v>5</v>
      </c>
      <c r="E211" s="33">
        <v>5.6980056980056976E-4</v>
      </c>
    </row>
    <row r="212" spans="2:5" ht="15" customHeight="1" x14ac:dyDescent="0.25">
      <c r="B212" s="92"/>
      <c r="C212" s="31" t="s">
        <v>74</v>
      </c>
      <c r="D212" s="32">
        <v>2</v>
      </c>
      <c r="E212" s="33">
        <v>2.2792022792022791E-4</v>
      </c>
    </row>
    <row r="213" spans="2:5" ht="15" customHeight="1" x14ac:dyDescent="0.25">
      <c r="B213" s="89"/>
      <c r="C213" s="34" t="s">
        <v>26</v>
      </c>
      <c r="D213" s="35">
        <v>260</v>
      </c>
      <c r="E213" s="36">
        <v>2.9629629629629631E-2</v>
      </c>
    </row>
    <row r="214" spans="2:5" ht="15" customHeight="1" x14ac:dyDescent="0.25">
      <c r="B214" s="88" t="s">
        <v>102</v>
      </c>
      <c r="C214" s="31" t="s">
        <v>22</v>
      </c>
      <c r="D214" s="32">
        <v>3</v>
      </c>
      <c r="E214" s="33">
        <v>3.4188034188034188E-4</v>
      </c>
    </row>
    <row r="215" spans="2:5" ht="15" customHeight="1" x14ac:dyDescent="0.25">
      <c r="B215" s="92"/>
      <c r="C215" s="31" t="s">
        <v>28</v>
      </c>
      <c r="D215" s="32">
        <v>79</v>
      </c>
      <c r="E215" s="33">
        <v>9.0028490028490026E-3</v>
      </c>
    </row>
    <row r="216" spans="2:5" ht="15" customHeight="1" x14ac:dyDescent="0.25">
      <c r="B216" s="92"/>
      <c r="C216" s="31" t="s">
        <v>30</v>
      </c>
      <c r="D216" s="32">
        <v>7</v>
      </c>
      <c r="E216" s="33">
        <v>7.9772079772079776E-4</v>
      </c>
    </row>
    <row r="217" spans="2:5" ht="15" customHeight="1" x14ac:dyDescent="0.25">
      <c r="B217" s="92"/>
      <c r="C217" s="31" t="s">
        <v>31</v>
      </c>
      <c r="D217" s="32">
        <v>1469</v>
      </c>
      <c r="E217" s="33">
        <v>0.16740740740740739</v>
      </c>
    </row>
    <row r="218" spans="2:5" ht="15" customHeight="1" x14ac:dyDescent="0.25">
      <c r="B218" s="92"/>
      <c r="C218" s="31" t="s">
        <v>33</v>
      </c>
      <c r="D218" s="32">
        <v>17</v>
      </c>
      <c r="E218" s="33">
        <v>1.9373219373219374E-3</v>
      </c>
    </row>
    <row r="219" spans="2:5" ht="15" customHeight="1" x14ac:dyDescent="0.25">
      <c r="B219" s="92"/>
      <c r="C219" s="31" t="s">
        <v>34</v>
      </c>
      <c r="D219" s="32">
        <v>1</v>
      </c>
      <c r="E219" s="33">
        <v>1.1396011396011396E-4</v>
      </c>
    </row>
    <row r="220" spans="2:5" ht="15" customHeight="1" x14ac:dyDescent="0.25">
      <c r="B220" s="92"/>
      <c r="C220" s="31" t="s">
        <v>35</v>
      </c>
      <c r="D220" s="32">
        <v>1</v>
      </c>
      <c r="E220" s="33">
        <v>1.1396011396011396E-4</v>
      </c>
    </row>
    <row r="221" spans="2:5" ht="15" customHeight="1" x14ac:dyDescent="0.25">
      <c r="B221" s="92"/>
      <c r="C221" s="31" t="s">
        <v>37</v>
      </c>
      <c r="D221" s="32">
        <v>17</v>
      </c>
      <c r="E221" s="33">
        <v>1.9373219373219374E-3</v>
      </c>
    </row>
    <row r="222" spans="2:5" ht="15" customHeight="1" x14ac:dyDescent="0.25">
      <c r="B222" s="92"/>
      <c r="C222" s="31" t="s">
        <v>38</v>
      </c>
      <c r="D222" s="32">
        <v>11</v>
      </c>
      <c r="E222" s="33">
        <v>1.2535612535612536E-3</v>
      </c>
    </row>
    <row r="223" spans="2:5" ht="15" customHeight="1" x14ac:dyDescent="0.25">
      <c r="B223" s="92"/>
      <c r="C223" s="31" t="s">
        <v>39</v>
      </c>
      <c r="D223" s="32">
        <v>2</v>
      </c>
      <c r="E223" s="33">
        <v>2.2792022792022791E-4</v>
      </c>
    </row>
    <row r="224" spans="2:5" ht="15" customHeight="1" x14ac:dyDescent="0.25">
      <c r="B224" s="92"/>
      <c r="C224" s="31" t="s">
        <v>40</v>
      </c>
      <c r="D224" s="32">
        <v>6</v>
      </c>
      <c r="E224" s="33">
        <v>6.8376068376068376E-4</v>
      </c>
    </row>
    <row r="225" spans="2:5" ht="15" customHeight="1" x14ac:dyDescent="0.25">
      <c r="B225" s="92"/>
      <c r="C225" s="31" t="s">
        <v>41</v>
      </c>
      <c r="D225" s="32">
        <v>59</v>
      </c>
      <c r="E225" s="33">
        <v>6.7236467236467239E-3</v>
      </c>
    </row>
    <row r="226" spans="2:5" ht="15" customHeight="1" x14ac:dyDescent="0.25">
      <c r="B226" s="92"/>
      <c r="C226" s="31" t="s">
        <v>42</v>
      </c>
      <c r="D226" s="32">
        <v>8</v>
      </c>
      <c r="E226" s="33">
        <v>9.1168091168091164E-4</v>
      </c>
    </row>
    <row r="227" spans="2:5" ht="15" customHeight="1" x14ac:dyDescent="0.25">
      <c r="B227" s="92"/>
      <c r="C227" s="31" t="s">
        <v>43</v>
      </c>
      <c r="D227" s="32">
        <v>2</v>
      </c>
      <c r="E227" s="33">
        <v>2.2792022792022791E-4</v>
      </c>
    </row>
    <row r="228" spans="2:5" ht="15" customHeight="1" x14ac:dyDescent="0.25">
      <c r="B228" s="92"/>
      <c r="C228" s="31" t="s">
        <v>44</v>
      </c>
      <c r="D228" s="32">
        <v>9</v>
      </c>
      <c r="E228" s="33">
        <v>1.0256410256410256E-3</v>
      </c>
    </row>
    <row r="229" spans="2:5" ht="15" customHeight="1" x14ac:dyDescent="0.25">
      <c r="B229" s="92"/>
      <c r="C229" s="31" t="s">
        <v>45</v>
      </c>
      <c r="D229" s="32">
        <v>5</v>
      </c>
      <c r="E229" s="33">
        <v>5.6980056980056976E-4</v>
      </c>
    </row>
    <row r="230" spans="2:5" ht="15" customHeight="1" x14ac:dyDescent="0.25">
      <c r="B230" s="92"/>
      <c r="C230" s="31" t="s">
        <v>46</v>
      </c>
      <c r="D230" s="32">
        <v>1</v>
      </c>
      <c r="E230" s="33">
        <v>1.1396011396011396E-4</v>
      </c>
    </row>
    <row r="231" spans="2:5" ht="15" customHeight="1" x14ac:dyDescent="0.25">
      <c r="B231" s="92"/>
      <c r="C231" s="31" t="s">
        <v>48</v>
      </c>
      <c r="D231" s="32">
        <v>2</v>
      </c>
      <c r="E231" s="33">
        <v>2.2792022792022791E-4</v>
      </c>
    </row>
    <row r="232" spans="2:5" ht="15" customHeight="1" x14ac:dyDescent="0.25">
      <c r="B232" s="92"/>
      <c r="C232" s="31" t="s">
        <v>50</v>
      </c>
      <c r="D232" s="32">
        <v>4</v>
      </c>
      <c r="E232" s="33">
        <v>4.5584045584045582E-4</v>
      </c>
    </row>
    <row r="233" spans="2:5" ht="15" customHeight="1" x14ac:dyDescent="0.25">
      <c r="B233" s="92"/>
      <c r="C233" s="31" t="s">
        <v>51</v>
      </c>
      <c r="D233" s="32">
        <v>4</v>
      </c>
      <c r="E233" s="33">
        <v>4.5584045584045582E-4</v>
      </c>
    </row>
    <row r="234" spans="2:5" ht="15" customHeight="1" x14ac:dyDescent="0.25">
      <c r="B234" s="92"/>
      <c r="C234" s="31" t="s">
        <v>52</v>
      </c>
      <c r="D234" s="32">
        <v>1</v>
      </c>
      <c r="E234" s="33">
        <v>1.1396011396011396E-4</v>
      </c>
    </row>
    <row r="235" spans="2:5" ht="15" customHeight="1" x14ac:dyDescent="0.25">
      <c r="B235" s="92"/>
      <c r="C235" s="31" t="s">
        <v>53</v>
      </c>
      <c r="D235" s="32">
        <v>4</v>
      </c>
      <c r="E235" s="33">
        <v>4.5584045584045582E-4</v>
      </c>
    </row>
    <row r="236" spans="2:5" ht="15" customHeight="1" x14ac:dyDescent="0.25">
      <c r="B236" s="92"/>
      <c r="C236" s="31" t="s">
        <v>55</v>
      </c>
      <c r="D236" s="32">
        <v>10</v>
      </c>
      <c r="E236" s="33">
        <v>1.1396011396011395E-3</v>
      </c>
    </row>
    <row r="237" spans="2:5" ht="15" customHeight="1" x14ac:dyDescent="0.25">
      <c r="B237" s="92"/>
      <c r="C237" s="31" t="s">
        <v>56</v>
      </c>
      <c r="D237" s="32">
        <v>111</v>
      </c>
      <c r="E237" s="33">
        <v>1.264957264957265E-2</v>
      </c>
    </row>
    <row r="238" spans="2:5" ht="15" customHeight="1" x14ac:dyDescent="0.25">
      <c r="B238" s="92"/>
      <c r="C238" s="31" t="s">
        <v>84</v>
      </c>
      <c r="D238" s="32">
        <v>1</v>
      </c>
      <c r="E238" s="33">
        <v>1.1396011396011396E-4</v>
      </c>
    </row>
    <row r="239" spans="2:5" ht="15" customHeight="1" x14ac:dyDescent="0.25">
      <c r="B239" s="92"/>
      <c r="C239" s="31" t="s">
        <v>57</v>
      </c>
      <c r="D239" s="32">
        <v>2</v>
      </c>
      <c r="E239" s="33">
        <v>2.2792022792022791E-4</v>
      </c>
    </row>
    <row r="240" spans="2:5" ht="15" customHeight="1" x14ac:dyDescent="0.25">
      <c r="B240" s="92"/>
      <c r="C240" s="31" t="s">
        <v>58</v>
      </c>
      <c r="D240" s="32">
        <v>10</v>
      </c>
      <c r="E240" s="33">
        <v>1.1396011396011395E-3</v>
      </c>
    </row>
    <row r="241" spans="2:5" ht="15" customHeight="1" x14ac:dyDescent="0.25">
      <c r="B241" s="92"/>
      <c r="C241" s="31" t="s">
        <v>59</v>
      </c>
      <c r="D241" s="32">
        <v>9</v>
      </c>
      <c r="E241" s="33">
        <v>1.0256410256410256E-3</v>
      </c>
    </row>
    <row r="242" spans="2:5" ht="15" customHeight="1" x14ac:dyDescent="0.25">
      <c r="B242" s="92"/>
      <c r="C242" s="31" t="s">
        <v>60</v>
      </c>
      <c r="D242" s="32">
        <v>10</v>
      </c>
      <c r="E242" s="33">
        <v>1.1396011396011395E-3</v>
      </c>
    </row>
    <row r="243" spans="2:5" ht="15" customHeight="1" x14ac:dyDescent="0.25">
      <c r="B243" s="92"/>
      <c r="C243" s="31" t="s">
        <v>61</v>
      </c>
      <c r="D243" s="32">
        <v>1</v>
      </c>
      <c r="E243" s="33">
        <v>1.1396011396011396E-4</v>
      </c>
    </row>
    <row r="244" spans="2:5" ht="15" customHeight="1" x14ac:dyDescent="0.25">
      <c r="B244" s="92"/>
      <c r="C244" s="31" t="s">
        <v>62</v>
      </c>
      <c r="D244" s="32">
        <v>3</v>
      </c>
      <c r="E244" s="33">
        <v>3.4188034188034188E-4</v>
      </c>
    </row>
    <row r="245" spans="2:5" ht="15" customHeight="1" x14ac:dyDescent="0.25">
      <c r="B245" s="92"/>
      <c r="C245" s="31" t="s">
        <v>63</v>
      </c>
      <c r="D245" s="32">
        <v>13</v>
      </c>
      <c r="E245" s="33">
        <v>1.4814814814814814E-3</v>
      </c>
    </row>
    <row r="246" spans="2:5" ht="15" customHeight="1" x14ac:dyDescent="0.25">
      <c r="B246" s="92"/>
      <c r="C246" s="31" t="s">
        <v>64</v>
      </c>
      <c r="D246" s="32">
        <v>25</v>
      </c>
      <c r="E246" s="33">
        <v>2.8490028490028491E-3</v>
      </c>
    </row>
    <row r="247" spans="2:5" ht="15" customHeight="1" x14ac:dyDescent="0.25">
      <c r="B247" s="92"/>
      <c r="C247" s="31" t="s">
        <v>65</v>
      </c>
      <c r="D247" s="32">
        <v>2</v>
      </c>
      <c r="E247" s="33">
        <v>2.2792022792022791E-4</v>
      </c>
    </row>
    <row r="248" spans="2:5" ht="15" customHeight="1" x14ac:dyDescent="0.25">
      <c r="B248" s="92"/>
      <c r="C248" s="31" t="s">
        <v>66</v>
      </c>
      <c r="D248" s="32">
        <v>4</v>
      </c>
      <c r="E248" s="33">
        <v>4.5584045584045582E-4</v>
      </c>
    </row>
    <row r="249" spans="2:5" ht="15" customHeight="1" x14ac:dyDescent="0.25">
      <c r="B249" s="92"/>
      <c r="C249" s="31" t="s">
        <v>67</v>
      </c>
      <c r="D249" s="32">
        <v>1</v>
      </c>
      <c r="E249" s="33">
        <v>1.1396011396011396E-4</v>
      </c>
    </row>
    <row r="250" spans="2:5" ht="15" customHeight="1" x14ac:dyDescent="0.25">
      <c r="B250" s="92"/>
      <c r="C250" s="31" t="s">
        <v>68</v>
      </c>
      <c r="D250" s="32">
        <v>9</v>
      </c>
      <c r="E250" s="33">
        <v>1.0256410256410256E-3</v>
      </c>
    </row>
    <row r="251" spans="2:5" ht="15" customHeight="1" x14ac:dyDescent="0.25">
      <c r="B251" s="92"/>
      <c r="C251" s="31" t="s">
        <v>69</v>
      </c>
      <c r="D251" s="32">
        <v>86</v>
      </c>
      <c r="E251" s="33">
        <v>9.8005698005698E-3</v>
      </c>
    </row>
    <row r="252" spans="2:5" ht="15" customHeight="1" x14ac:dyDescent="0.25">
      <c r="B252" s="92"/>
      <c r="C252" s="31" t="s">
        <v>70</v>
      </c>
      <c r="D252" s="32">
        <v>36</v>
      </c>
      <c r="E252" s="33">
        <v>4.1025641025641026E-3</v>
      </c>
    </row>
    <row r="253" spans="2:5" ht="15" customHeight="1" x14ac:dyDescent="0.25">
      <c r="B253" s="92"/>
      <c r="C253" s="31" t="s">
        <v>86</v>
      </c>
      <c r="D253" s="32">
        <v>1</v>
      </c>
      <c r="E253" s="33">
        <v>1.1396011396011396E-4</v>
      </c>
    </row>
    <row r="254" spans="2:5" ht="15" customHeight="1" x14ac:dyDescent="0.25">
      <c r="B254" s="92"/>
      <c r="C254" s="31" t="s">
        <v>71</v>
      </c>
      <c r="D254" s="32">
        <v>3</v>
      </c>
      <c r="E254" s="33">
        <v>3.4188034188034188E-4</v>
      </c>
    </row>
    <row r="255" spans="2:5" ht="15" customHeight="1" x14ac:dyDescent="0.25">
      <c r="B255" s="92"/>
      <c r="C255" s="31" t="s">
        <v>72</v>
      </c>
      <c r="D255" s="32">
        <v>21</v>
      </c>
      <c r="E255" s="33">
        <v>2.3931623931623932E-3</v>
      </c>
    </row>
    <row r="256" spans="2:5" ht="15" customHeight="1" x14ac:dyDescent="0.25">
      <c r="B256" s="92"/>
      <c r="C256" s="31" t="s">
        <v>74</v>
      </c>
      <c r="D256" s="32">
        <v>7</v>
      </c>
      <c r="E256" s="33">
        <v>7.9772079772079776E-4</v>
      </c>
    </row>
    <row r="257" spans="2:5" ht="15" customHeight="1" x14ac:dyDescent="0.25">
      <c r="B257" s="92"/>
      <c r="C257" s="31" t="s">
        <v>75</v>
      </c>
      <c r="D257" s="32">
        <v>1</v>
      </c>
      <c r="E257" s="33">
        <v>1.1396011396011396E-4</v>
      </c>
    </row>
    <row r="258" spans="2:5" ht="15" customHeight="1" x14ac:dyDescent="0.25">
      <c r="B258" s="89"/>
      <c r="C258" s="34" t="s">
        <v>26</v>
      </c>
      <c r="D258" s="35">
        <v>2078</v>
      </c>
      <c r="E258" s="36">
        <v>0.23680911680911682</v>
      </c>
    </row>
    <row r="259" spans="2:5" ht="15" customHeight="1" x14ac:dyDescent="0.25">
      <c r="B259" s="88" t="s">
        <v>103</v>
      </c>
      <c r="C259" s="31" t="s">
        <v>22</v>
      </c>
      <c r="D259" s="32">
        <v>1</v>
      </c>
      <c r="E259" s="33">
        <v>1.1396011396011396E-4</v>
      </c>
    </row>
    <row r="260" spans="2:5" ht="15" customHeight="1" x14ac:dyDescent="0.25">
      <c r="B260" s="92"/>
      <c r="C260" s="31" t="s">
        <v>28</v>
      </c>
      <c r="D260" s="32">
        <v>7</v>
      </c>
      <c r="E260" s="33">
        <v>7.9772079772079776E-4</v>
      </c>
    </row>
    <row r="261" spans="2:5" ht="15" customHeight="1" x14ac:dyDescent="0.25">
      <c r="B261" s="92"/>
      <c r="C261" s="31" t="s">
        <v>31</v>
      </c>
      <c r="D261" s="32">
        <v>191</v>
      </c>
      <c r="E261" s="33">
        <v>2.1766381766381765E-2</v>
      </c>
    </row>
    <row r="262" spans="2:5" ht="15" customHeight="1" x14ac:dyDescent="0.25">
      <c r="B262" s="92"/>
      <c r="C262" s="31" t="s">
        <v>33</v>
      </c>
      <c r="D262" s="32">
        <v>4</v>
      </c>
      <c r="E262" s="33">
        <v>4.5584045584045582E-4</v>
      </c>
    </row>
    <row r="263" spans="2:5" ht="15" customHeight="1" x14ac:dyDescent="0.25">
      <c r="B263" s="92"/>
      <c r="C263" s="31" t="s">
        <v>37</v>
      </c>
      <c r="D263" s="32">
        <v>1</v>
      </c>
      <c r="E263" s="33">
        <v>1.1396011396011396E-4</v>
      </c>
    </row>
    <row r="264" spans="2:5" ht="15" customHeight="1" x14ac:dyDescent="0.25">
      <c r="B264" s="92"/>
      <c r="C264" s="31" t="s">
        <v>38</v>
      </c>
      <c r="D264" s="32">
        <v>3</v>
      </c>
      <c r="E264" s="33">
        <v>3.4188034188034188E-4</v>
      </c>
    </row>
    <row r="265" spans="2:5" ht="15" customHeight="1" x14ac:dyDescent="0.25">
      <c r="B265" s="92"/>
      <c r="C265" s="31" t="s">
        <v>41</v>
      </c>
      <c r="D265" s="32">
        <v>3</v>
      </c>
      <c r="E265" s="33">
        <v>3.4188034188034188E-4</v>
      </c>
    </row>
    <row r="266" spans="2:5" ht="15" customHeight="1" x14ac:dyDescent="0.25">
      <c r="B266" s="92"/>
      <c r="C266" s="31" t="s">
        <v>44</v>
      </c>
      <c r="D266" s="32">
        <v>1</v>
      </c>
      <c r="E266" s="33">
        <v>1.1396011396011396E-4</v>
      </c>
    </row>
    <row r="267" spans="2:5" ht="15" customHeight="1" x14ac:dyDescent="0.25">
      <c r="B267" s="92"/>
      <c r="C267" s="31" t="s">
        <v>56</v>
      </c>
      <c r="D267" s="32">
        <v>10</v>
      </c>
      <c r="E267" s="33">
        <v>1.1396011396011395E-3</v>
      </c>
    </row>
    <row r="268" spans="2:5" ht="15" customHeight="1" x14ac:dyDescent="0.25">
      <c r="B268" s="92"/>
      <c r="C268" s="31" t="s">
        <v>57</v>
      </c>
      <c r="D268" s="32">
        <v>1</v>
      </c>
      <c r="E268" s="33">
        <v>1.1396011396011396E-4</v>
      </c>
    </row>
    <row r="269" spans="2:5" ht="15" customHeight="1" x14ac:dyDescent="0.25">
      <c r="B269" s="92"/>
      <c r="C269" s="31" t="s">
        <v>60</v>
      </c>
      <c r="D269" s="32">
        <v>1</v>
      </c>
      <c r="E269" s="33">
        <v>1.1396011396011396E-4</v>
      </c>
    </row>
    <row r="270" spans="2:5" ht="15" customHeight="1" x14ac:dyDescent="0.25">
      <c r="B270" s="92"/>
      <c r="C270" s="31" t="s">
        <v>62</v>
      </c>
      <c r="D270" s="32">
        <v>1</v>
      </c>
      <c r="E270" s="33">
        <v>1.1396011396011396E-4</v>
      </c>
    </row>
    <row r="271" spans="2:5" ht="15" customHeight="1" x14ac:dyDescent="0.25">
      <c r="B271" s="92"/>
      <c r="C271" s="31" t="s">
        <v>63</v>
      </c>
      <c r="D271" s="32">
        <v>1</v>
      </c>
      <c r="E271" s="33">
        <v>1.1396011396011396E-4</v>
      </c>
    </row>
    <row r="272" spans="2:5" ht="15" customHeight="1" x14ac:dyDescent="0.25">
      <c r="B272" s="92"/>
      <c r="C272" s="31" t="s">
        <v>64</v>
      </c>
      <c r="D272" s="32">
        <v>1</v>
      </c>
      <c r="E272" s="33">
        <v>1.1396011396011396E-4</v>
      </c>
    </row>
    <row r="273" spans="2:5" ht="15" customHeight="1" x14ac:dyDescent="0.25">
      <c r="B273" s="92"/>
      <c r="C273" s="31" t="s">
        <v>69</v>
      </c>
      <c r="D273" s="32">
        <v>5</v>
      </c>
      <c r="E273" s="33">
        <v>5.6980056980056976E-4</v>
      </c>
    </row>
    <row r="274" spans="2:5" ht="15" customHeight="1" x14ac:dyDescent="0.25">
      <c r="B274" s="92"/>
      <c r="C274" s="31" t="s">
        <v>72</v>
      </c>
      <c r="D274" s="32">
        <v>1</v>
      </c>
      <c r="E274" s="33">
        <v>1.1396011396011396E-4</v>
      </c>
    </row>
    <row r="275" spans="2:5" ht="15" customHeight="1" x14ac:dyDescent="0.25">
      <c r="B275" s="92"/>
      <c r="C275" s="31" t="s">
        <v>74</v>
      </c>
      <c r="D275" s="32">
        <v>1</v>
      </c>
      <c r="E275" s="33">
        <v>1.1396011396011396E-4</v>
      </c>
    </row>
    <row r="276" spans="2:5" ht="15" customHeight="1" x14ac:dyDescent="0.25">
      <c r="B276" s="89"/>
      <c r="C276" s="34" t="s">
        <v>26</v>
      </c>
      <c r="D276" s="35">
        <v>233</v>
      </c>
      <c r="E276" s="36">
        <v>2.6552706552706553E-2</v>
      </c>
    </row>
    <row r="277" spans="2:5" ht="15" customHeight="1" x14ac:dyDescent="0.25">
      <c r="B277" s="88" t="s">
        <v>104</v>
      </c>
      <c r="C277" s="31" t="s">
        <v>22</v>
      </c>
      <c r="D277" s="32">
        <v>5</v>
      </c>
      <c r="E277" s="33">
        <v>5.6980056980056976E-4</v>
      </c>
    </row>
    <row r="278" spans="2:5" ht="15" customHeight="1" x14ac:dyDescent="0.25">
      <c r="B278" s="92"/>
      <c r="C278" s="31" t="s">
        <v>28</v>
      </c>
      <c r="D278" s="32">
        <v>27</v>
      </c>
      <c r="E278" s="33">
        <v>3.0769230769230769E-3</v>
      </c>
    </row>
    <row r="279" spans="2:5" ht="15" customHeight="1" x14ac:dyDescent="0.25">
      <c r="B279" s="92"/>
      <c r="C279" s="31" t="s">
        <v>30</v>
      </c>
      <c r="D279" s="32">
        <v>3</v>
      </c>
      <c r="E279" s="33">
        <v>3.4188034188034188E-4</v>
      </c>
    </row>
    <row r="280" spans="2:5" ht="15" customHeight="1" x14ac:dyDescent="0.25">
      <c r="B280" s="92"/>
      <c r="C280" s="31" t="s">
        <v>31</v>
      </c>
      <c r="D280" s="32">
        <v>673</v>
      </c>
      <c r="E280" s="33">
        <v>7.6695156695156697E-2</v>
      </c>
    </row>
    <row r="281" spans="2:5" ht="15" customHeight="1" x14ac:dyDescent="0.25">
      <c r="B281" s="92"/>
      <c r="C281" s="31" t="s">
        <v>33</v>
      </c>
      <c r="D281" s="32">
        <v>14</v>
      </c>
      <c r="E281" s="33">
        <v>1.5954415954415955E-3</v>
      </c>
    </row>
    <row r="282" spans="2:5" ht="15" customHeight="1" x14ac:dyDescent="0.25">
      <c r="B282" s="92"/>
      <c r="C282" s="31" t="s">
        <v>34</v>
      </c>
      <c r="D282" s="32">
        <v>1</v>
      </c>
      <c r="E282" s="33">
        <v>1.1396011396011396E-4</v>
      </c>
    </row>
    <row r="283" spans="2:5" ht="15" customHeight="1" x14ac:dyDescent="0.25">
      <c r="B283" s="92"/>
      <c r="C283" s="31" t="s">
        <v>36</v>
      </c>
      <c r="D283" s="32">
        <v>1</v>
      </c>
      <c r="E283" s="33">
        <v>1.1396011396011396E-4</v>
      </c>
    </row>
    <row r="284" spans="2:5" ht="15" customHeight="1" x14ac:dyDescent="0.25">
      <c r="B284" s="92"/>
      <c r="C284" s="31" t="s">
        <v>37</v>
      </c>
      <c r="D284" s="32">
        <v>10</v>
      </c>
      <c r="E284" s="33">
        <v>1.1396011396011395E-3</v>
      </c>
    </row>
    <row r="285" spans="2:5" ht="15" customHeight="1" x14ac:dyDescent="0.25">
      <c r="B285" s="92"/>
      <c r="C285" s="31" t="s">
        <v>38</v>
      </c>
      <c r="D285" s="32">
        <v>17</v>
      </c>
      <c r="E285" s="33">
        <v>1.9373219373219374E-3</v>
      </c>
    </row>
    <row r="286" spans="2:5" ht="15" customHeight="1" x14ac:dyDescent="0.25">
      <c r="B286" s="92"/>
      <c r="C286" s="31" t="s">
        <v>40</v>
      </c>
      <c r="D286" s="32">
        <v>3</v>
      </c>
      <c r="E286" s="33">
        <v>3.4188034188034188E-4</v>
      </c>
    </row>
    <row r="287" spans="2:5" ht="15" customHeight="1" x14ac:dyDescent="0.25">
      <c r="B287" s="92"/>
      <c r="C287" s="31" t="s">
        <v>41</v>
      </c>
      <c r="D287" s="32">
        <v>24</v>
      </c>
      <c r="E287" s="33">
        <v>2.735042735042735E-3</v>
      </c>
    </row>
    <row r="288" spans="2:5" ht="15" customHeight="1" x14ac:dyDescent="0.25">
      <c r="B288" s="92"/>
      <c r="C288" s="31" t="s">
        <v>42</v>
      </c>
      <c r="D288" s="32">
        <v>5</v>
      </c>
      <c r="E288" s="33">
        <v>5.6980056980056976E-4</v>
      </c>
    </row>
    <row r="289" spans="2:5" ht="15" customHeight="1" x14ac:dyDescent="0.25">
      <c r="B289" s="92"/>
      <c r="C289" s="31" t="s">
        <v>43</v>
      </c>
      <c r="D289" s="32">
        <v>5</v>
      </c>
      <c r="E289" s="33">
        <v>5.6980056980056976E-4</v>
      </c>
    </row>
    <row r="290" spans="2:5" ht="15" customHeight="1" x14ac:dyDescent="0.25">
      <c r="B290" s="92"/>
      <c r="C290" s="31" t="s">
        <v>44</v>
      </c>
      <c r="D290" s="32">
        <v>9</v>
      </c>
      <c r="E290" s="33">
        <v>1.0256410256410256E-3</v>
      </c>
    </row>
    <row r="291" spans="2:5" ht="15" customHeight="1" x14ac:dyDescent="0.25">
      <c r="B291" s="92"/>
      <c r="C291" s="31" t="s">
        <v>45</v>
      </c>
      <c r="D291" s="32">
        <v>1</v>
      </c>
      <c r="E291" s="33">
        <v>1.1396011396011396E-4</v>
      </c>
    </row>
    <row r="292" spans="2:5" ht="15" customHeight="1" x14ac:dyDescent="0.25">
      <c r="B292" s="92"/>
      <c r="C292" s="31" t="s">
        <v>46</v>
      </c>
      <c r="D292" s="32">
        <v>1</v>
      </c>
      <c r="E292" s="33">
        <v>1.1396011396011396E-4</v>
      </c>
    </row>
    <row r="293" spans="2:5" ht="15" customHeight="1" x14ac:dyDescent="0.25">
      <c r="B293" s="92"/>
      <c r="C293" s="31" t="s">
        <v>50</v>
      </c>
      <c r="D293" s="32">
        <v>2</v>
      </c>
      <c r="E293" s="33">
        <v>2.2792022792022791E-4</v>
      </c>
    </row>
    <row r="294" spans="2:5" ht="15" customHeight="1" x14ac:dyDescent="0.25">
      <c r="B294" s="92"/>
      <c r="C294" s="31" t="s">
        <v>51</v>
      </c>
      <c r="D294" s="32">
        <v>2</v>
      </c>
      <c r="E294" s="33">
        <v>2.2792022792022791E-4</v>
      </c>
    </row>
    <row r="295" spans="2:5" ht="15" customHeight="1" x14ac:dyDescent="0.25">
      <c r="B295" s="92"/>
      <c r="C295" s="31" t="s">
        <v>52</v>
      </c>
      <c r="D295" s="32">
        <v>1</v>
      </c>
      <c r="E295" s="33">
        <v>1.1396011396011396E-4</v>
      </c>
    </row>
    <row r="296" spans="2:5" ht="15" customHeight="1" x14ac:dyDescent="0.25">
      <c r="B296" s="92"/>
      <c r="C296" s="31" t="s">
        <v>53</v>
      </c>
      <c r="D296" s="32">
        <v>8</v>
      </c>
      <c r="E296" s="33">
        <v>9.1168091168091164E-4</v>
      </c>
    </row>
    <row r="297" spans="2:5" ht="15" customHeight="1" x14ac:dyDescent="0.25">
      <c r="B297" s="92"/>
      <c r="C297" s="31" t="s">
        <v>55</v>
      </c>
      <c r="D297" s="32">
        <v>2</v>
      </c>
      <c r="E297" s="33">
        <v>2.2792022792022791E-4</v>
      </c>
    </row>
    <row r="298" spans="2:5" ht="15" customHeight="1" x14ac:dyDescent="0.25">
      <c r="B298" s="92"/>
      <c r="C298" s="31" t="s">
        <v>56</v>
      </c>
      <c r="D298" s="32">
        <v>64</v>
      </c>
      <c r="E298" s="33">
        <v>7.2934472934472932E-3</v>
      </c>
    </row>
    <row r="299" spans="2:5" ht="15" customHeight="1" x14ac:dyDescent="0.25">
      <c r="B299" s="92"/>
      <c r="C299" s="31" t="s">
        <v>57</v>
      </c>
      <c r="D299" s="32">
        <v>4</v>
      </c>
      <c r="E299" s="33">
        <v>4.5584045584045582E-4</v>
      </c>
    </row>
    <row r="300" spans="2:5" ht="15" customHeight="1" x14ac:dyDescent="0.25">
      <c r="B300" s="92"/>
      <c r="C300" s="31" t="s">
        <v>58</v>
      </c>
      <c r="D300" s="32">
        <v>3</v>
      </c>
      <c r="E300" s="33">
        <v>3.4188034188034188E-4</v>
      </c>
    </row>
    <row r="301" spans="2:5" ht="15" customHeight="1" x14ac:dyDescent="0.25">
      <c r="B301" s="92"/>
      <c r="C301" s="31" t="s">
        <v>59</v>
      </c>
      <c r="D301" s="32">
        <v>1</v>
      </c>
      <c r="E301" s="33">
        <v>1.1396011396011396E-4</v>
      </c>
    </row>
    <row r="302" spans="2:5" ht="15" customHeight="1" x14ac:dyDescent="0.25">
      <c r="B302" s="92"/>
      <c r="C302" s="31" t="s">
        <v>60</v>
      </c>
      <c r="D302" s="32">
        <v>11</v>
      </c>
      <c r="E302" s="33">
        <v>1.2535612535612536E-3</v>
      </c>
    </row>
    <row r="303" spans="2:5" ht="15" customHeight="1" x14ac:dyDescent="0.25">
      <c r="B303" s="92"/>
      <c r="C303" s="31" t="s">
        <v>62</v>
      </c>
      <c r="D303" s="32">
        <v>2</v>
      </c>
      <c r="E303" s="33">
        <v>2.2792022792022791E-4</v>
      </c>
    </row>
    <row r="304" spans="2:5" ht="15" customHeight="1" x14ac:dyDescent="0.25">
      <c r="B304" s="92"/>
      <c r="C304" s="31" t="s">
        <v>63</v>
      </c>
      <c r="D304" s="32">
        <v>6</v>
      </c>
      <c r="E304" s="33">
        <v>6.8376068376068376E-4</v>
      </c>
    </row>
    <row r="305" spans="2:5" ht="15" customHeight="1" x14ac:dyDescent="0.25">
      <c r="B305" s="92"/>
      <c r="C305" s="31" t="s">
        <v>64</v>
      </c>
      <c r="D305" s="32">
        <v>15</v>
      </c>
      <c r="E305" s="33">
        <v>1.7094017094017094E-3</v>
      </c>
    </row>
    <row r="306" spans="2:5" ht="15" customHeight="1" x14ac:dyDescent="0.25">
      <c r="B306" s="92"/>
      <c r="C306" s="31" t="s">
        <v>65</v>
      </c>
      <c r="D306" s="32">
        <v>1</v>
      </c>
      <c r="E306" s="33">
        <v>1.1396011396011396E-4</v>
      </c>
    </row>
    <row r="307" spans="2:5" ht="15" customHeight="1" x14ac:dyDescent="0.25">
      <c r="B307" s="92"/>
      <c r="C307" s="31" t="s">
        <v>66</v>
      </c>
      <c r="D307" s="32">
        <v>3</v>
      </c>
      <c r="E307" s="33">
        <v>3.4188034188034188E-4</v>
      </c>
    </row>
    <row r="308" spans="2:5" ht="15" customHeight="1" x14ac:dyDescent="0.25">
      <c r="B308" s="92"/>
      <c r="C308" s="31" t="s">
        <v>68</v>
      </c>
      <c r="D308" s="32">
        <v>7</v>
      </c>
      <c r="E308" s="33">
        <v>7.9772079772079776E-4</v>
      </c>
    </row>
    <row r="309" spans="2:5" ht="15" customHeight="1" x14ac:dyDescent="0.25">
      <c r="B309" s="92"/>
      <c r="C309" s="31" t="s">
        <v>69</v>
      </c>
      <c r="D309" s="32">
        <v>31</v>
      </c>
      <c r="E309" s="33">
        <v>3.5327635327635329E-3</v>
      </c>
    </row>
    <row r="310" spans="2:5" ht="15" customHeight="1" x14ac:dyDescent="0.25">
      <c r="B310" s="92"/>
      <c r="C310" s="31" t="s">
        <v>70</v>
      </c>
      <c r="D310" s="32">
        <v>25</v>
      </c>
      <c r="E310" s="33">
        <v>2.8490028490028491E-3</v>
      </c>
    </row>
    <row r="311" spans="2:5" ht="15" customHeight="1" x14ac:dyDescent="0.25">
      <c r="B311" s="92"/>
      <c r="C311" s="31" t="s">
        <v>71</v>
      </c>
      <c r="D311" s="32">
        <v>6</v>
      </c>
      <c r="E311" s="33">
        <v>6.8376068376068376E-4</v>
      </c>
    </row>
    <row r="312" spans="2:5" ht="15" customHeight="1" x14ac:dyDescent="0.25">
      <c r="B312" s="92"/>
      <c r="C312" s="31" t="s">
        <v>72</v>
      </c>
      <c r="D312" s="32">
        <v>11</v>
      </c>
      <c r="E312" s="33">
        <v>1.2535612535612536E-3</v>
      </c>
    </row>
    <row r="313" spans="2:5" ht="15" customHeight="1" x14ac:dyDescent="0.25">
      <c r="B313" s="92"/>
      <c r="C313" s="31" t="s">
        <v>74</v>
      </c>
      <c r="D313" s="32">
        <v>5</v>
      </c>
      <c r="E313" s="33">
        <v>5.6980056980056976E-4</v>
      </c>
    </row>
    <row r="314" spans="2:5" ht="15" customHeight="1" x14ac:dyDescent="0.25">
      <c r="B314" s="89"/>
      <c r="C314" s="34" t="s">
        <v>26</v>
      </c>
      <c r="D314" s="35">
        <v>1009</v>
      </c>
      <c r="E314" s="36">
        <v>0.11498575498575499</v>
      </c>
    </row>
    <row r="315" spans="2:5" ht="15" customHeight="1" x14ac:dyDescent="0.25">
      <c r="B315" s="88" t="s">
        <v>105</v>
      </c>
      <c r="C315" s="31" t="s">
        <v>22</v>
      </c>
      <c r="D315" s="32">
        <v>8</v>
      </c>
      <c r="E315" s="33">
        <v>9.1168091168091164E-4</v>
      </c>
    </row>
    <row r="316" spans="2:5" ht="15" customHeight="1" x14ac:dyDescent="0.25">
      <c r="B316" s="92"/>
      <c r="C316" s="31" t="s">
        <v>28</v>
      </c>
      <c r="D316" s="32">
        <v>82</v>
      </c>
      <c r="E316" s="33">
        <v>9.3447293447293453E-3</v>
      </c>
    </row>
    <row r="317" spans="2:5" ht="15" customHeight="1" x14ac:dyDescent="0.25">
      <c r="B317" s="92"/>
      <c r="C317" s="31" t="s">
        <v>30</v>
      </c>
      <c r="D317" s="32">
        <v>14</v>
      </c>
      <c r="E317" s="33">
        <v>1.5954415954415955E-3</v>
      </c>
    </row>
    <row r="318" spans="2:5" ht="15" customHeight="1" x14ac:dyDescent="0.25">
      <c r="B318" s="92"/>
      <c r="C318" s="31" t="s">
        <v>31</v>
      </c>
      <c r="D318" s="32">
        <v>1827</v>
      </c>
      <c r="E318" s="33">
        <v>0.20820512820512821</v>
      </c>
    </row>
    <row r="319" spans="2:5" ht="15" customHeight="1" x14ac:dyDescent="0.25">
      <c r="B319" s="92"/>
      <c r="C319" s="31" t="s">
        <v>33</v>
      </c>
      <c r="D319" s="32">
        <v>30</v>
      </c>
      <c r="E319" s="33">
        <v>3.4188034188034188E-3</v>
      </c>
    </row>
    <row r="320" spans="2:5" ht="15" customHeight="1" x14ac:dyDescent="0.25">
      <c r="B320" s="92"/>
      <c r="C320" s="31" t="s">
        <v>34</v>
      </c>
      <c r="D320" s="32">
        <v>1</v>
      </c>
      <c r="E320" s="33">
        <v>1.1396011396011396E-4</v>
      </c>
    </row>
    <row r="321" spans="2:5" ht="15" customHeight="1" x14ac:dyDescent="0.25">
      <c r="B321" s="92"/>
      <c r="C321" s="31" t="s">
        <v>35</v>
      </c>
      <c r="D321" s="32">
        <v>1</v>
      </c>
      <c r="E321" s="33">
        <v>1.1396011396011396E-4</v>
      </c>
    </row>
    <row r="322" spans="2:5" ht="15" customHeight="1" x14ac:dyDescent="0.25">
      <c r="B322" s="92"/>
      <c r="C322" s="31" t="s">
        <v>37</v>
      </c>
      <c r="D322" s="32">
        <v>13</v>
      </c>
      <c r="E322" s="33">
        <v>1.4814814814814814E-3</v>
      </c>
    </row>
    <row r="323" spans="2:5" ht="15" customHeight="1" x14ac:dyDescent="0.25">
      <c r="B323" s="92"/>
      <c r="C323" s="31" t="s">
        <v>38</v>
      </c>
      <c r="D323" s="32">
        <v>17</v>
      </c>
      <c r="E323" s="33">
        <v>1.9373219373219374E-3</v>
      </c>
    </row>
    <row r="324" spans="2:5" ht="15" customHeight="1" x14ac:dyDescent="0.25">
      <c r="B324" s="92"/>
      <c r="C324" s="31" t="s">
        <v>39</v>
      </c>
      <c r="D324" s="32">
        <v>1</v>
      </c>
      <c r="E324" s="33">
        <v>1.1396011396011396E-4</v>
      </c>
    </row>
    <row r="325" spans="2:5" ht="15" customHeight="1" x14ac:dyDescent="0.25">
      <c r="B325" s="92"/>
      <c r="C325" s="31" t="s">
        <v>40</v>
      </c>
      <c r="D325" s="32">
        <v>11</v>
      </c>
      <c r="E325" s="33">
        <v>1.2535612535612536E-3</v>
      </c>
    </row>
    <row r="326" spans="2:5" ht="15" customHeight="1" x14ac:dyDescent="0.25">
      <c r="B326" s="92"/>
      <c r="C326" s="31" t="s">
        <v>41</v>
      </c>
      <c r="D326" s="32">
        <v>45</v>
      </c>
      <c r="E326" s="33">
        <v>5.1282051282051282E-3</v>
      </c>
    </row>
    <row r="327" spans="2:5" ht="15" customHeight="1" x14ac:dyDescent="0.25">
      <c r="B327" s="92"/>
      <c r="C327" s="31" t="s">
        <v>42</v>
      </c>
      <c r="D327" s="32">
        <v>12</v>
      </c>
      <c r="E327" s="33">
        <v>1.3675213675213675E-3</v>
      </c>
    </row>
    <row r="328" spans="2:5" ht="15" customHeight="1" x14ac:dyDescent="0.25">
      <c r="B328" s="92"/>
      <c r="C328" s="31" t="s">
        <v>43</v>
      </c>
      <c r="D328" s="32">
        <v>6</v>
      </c>
      <c r="E328" s="33">
        <v>6.8376068376068376E-4</v>
      </c>
    </row>
    <row r="329" spans="2:5" ht="15" customHeight="1" x14ac:dyDescent="0.25">
      <c r="B329" s="92"/>
      <c r="C329" s="31" t="s">
        <v>44</v>
      </c>
      <c r="D329" s="32">
        <v>13</v>
      </c>
      <c r="E329" s="33">
        <v>1.4814814814814814E-3</v>
      </c>
    </row>
    <row r="330" spans="2:5" ht="15" customHeight="1" x14ac:dyDescent="0.25">
      <c r="B330" s="92"/>
      <c r="C330" s="31" t="s">
        <v>45</v>
      </c>
      <c r="D330" s="32">
        <v>5</v>
      </c>
      <c r="E330" s="33">
        <v>5.6980056980056976E-4</v>
      </c>
    </row>
    <row r="331" spans="2:5" ht="15" customHeight="1" x14ac:dyDescent="0.25">
      <c r="B331" s="92"/>
      <c r="C331" s="31" t="s">
        <v>46</v>
      </c>
      <c r="D331" s="32">
        <v>1</v>
      </c>
      <c r="E331" s="33">
        <v>1.1396011396011396E-4</v>
      </c>
    </row>
    <row r="332" spans="2:5" ht="15" customHeight="1" x14ac:dyDescent="0.25">
      <c r="B332" s="92"/>
      <c r="C332" s="31" t="s">
        <v>48</v>
      </c>
      <c r="D332" s="32">
        <v>2</v>
      </c>
      <c r="E332" s="33">
        <v>2.2792022792022791E-4</v>
      </c>
    </row>
    <row r="333" spans="2:5" ht="15" customHeight="1" x14ac:dyDescent="0.25">
      <c r="B333" s="92"/>
      <c r="C333" s="31" t="s">
        <v>50</v>
      </c>
      <c r="D333" s="32">
        <v>5</v>
      </c>
      <c r="E333" s="33">
        <v>5.6980056980056976E-4</v>
      </c>
    </row>
    <row r="334" spans="2:5" ht="15" customHeight="1" x14ac:dyDescent="0.25">
      <c r="B334" s="92"/>
      <c r="C334" s="31" t="s">
        <v>51</v>
      </c>
      <c r="D334" s="32">
        <v>2</v>
      </c>
      <c r="E334" s="33">
        <v>2.2792022792022791E-4</v>
      </c>
    </row>
    <row r="335" spans="2:5" ht="15" customHeight="1" x14ac:dyDescent="0.25">
      <c r="B335" s="92"/>
      <c r="C335" s="31" t="s">
        <v>52</v>
      </c>
      <c r="D335" s="32">
        <v>2</v>
      </c>
      <c r="E335" s="33">
        <v>2.2792022792022791E-4</v>
      </c>
    </row>
    <row r="336" spans="2:5" ht="15" customHeight="1" x14ac:dyDescent="0.25">
      <c r="B336" s="92"/>
      <c r="C336" s="31" t="s">
        <v>53</v>
      </c>
      <c r="D336" s="32">
        <v>6</v>
      </c>
      <c r="E336" s="33">
        <v>6.8376068376068376E-4</v>
      </c>
    </row>
    <row r="337" spans="2:5" ht="15" customHeight="1" x14ac:dyDescent="0.25">
      <c r="B337" s="92"/>
      <c r="C337" s="31" t="s">
        <v>54</v>
      </c>
      <c r="D337" s="32">
        <v>1</v>
      </c>
      <c r="E337" s="33">
        <v>1.1396011396011396E-4</v>
      </c>
    </row>
    <row r="338" spans="2:5" ht="15" customHeight="1" x14ac:dyDescent="0.25">
      <c r="B338" s="92"/>
      <c r="C338" s="31" t="s">
        <v>55</v>
      </c>
      <c r="D338" s="32">
        <v>10</v>
      </c>
      <c r="E338" s="33">
        <v>1.1396011396011395E-3</v>
      </c>
    </row>
    <row r="339" spans="2:5" ht="15" customHeight="1" x14ac:dyDescent="0.25">
      <c r="B339" s="92"/>
      <c r="C339" s="31" t="s">
        <v>56</v>
      </c>
      <c r="D339" s="32">
        <v>131</v>
      </c>
      <c r="E339" s="33">
        <v>1.4928774928774929E-2</v>
      </c>
    </row>
    <row r="340" spans="2:5" ht="15" customHeight="1" x14ac:dyDescent="0.25">
      <c r="B340" s="92"/>
      <c r="C340" s="31" t="s">
        <v>57</v>
      </c>
      <c r="D340" s="32">
        <v>5</v>
      </c>
      <c r="E340" s="33">
        <v>5.6980056980056976E-4</v>
      </c>
    </row>
    <row r="341" spans="2:5" ht="15" customHeight="1" x14ac:dyDescent="0.25">
      <c r="B341" s="92"/>
      <c r="C341" s="31" t="s">
        <v>58</v>
      </c>
      <c r="D341" s="32">
        <v>7</v>
      </c>
      <c r="E341" s="33">
        <v>7.9772079772079776E-4</v>
      </c>
    </row>
    <row r="342" spans="2:5" ht="15" customHeight="1" x14ac:dyDescent="0.25">
      <c r="B342" s="92"/>
      <c r="C342" s="31" t="s">
        <v>59</v>
      </c>
      <c r="D342" s="32">
        <v>4</v>
      </c>
      <c r="E342" s="33">
        <v>4.5584045584045582E-4</v>
      </c>
    </row>
    <row r="343" spans="2:5" ht="15" customHeight="1" x14ac:dyDescent="0.25">
      <c r="B343" s="92"/>
      <c r="C343" s="31" t="s">
        <v>60</v>
      </c>
      <c r="D343" s="32">
        <v>13</v>
      </c>
      <c r="E343" s="33">
        <v>1.4814814814814814E-3</v>
      </c>
    </row>
    <row r="344" spans="2:5" ht="15" customHeight="1" x14ac:dyDescent="0.25">
      <c r="B344" s="92"/>
      <c r="C344" s="31" t="s">
        <v>62</v>
      </c>
      <c r="D344" s="32">
        <v>1</v>
      </c>
      <c r="E344" s="33">
        <v>1.1396011396011396E-4</v>
      </c>
    </row>
    <row r="345" spans="2:5" ht="15" customHeight="1" x14ac:dyDescent="0.25">
      <c r="B345" s="92"/>
      <c r="C345" s="31" t="s">
        <v>63</v>
      </c>
      <c r="D345" s="32">
        <v>6</v>
      </c>
      <c r="E345" s="33">
        <v>6.8376068376068376E-4</v>
      </c>
    </row>
    <row r="346" spans="2:5" ht="15" customHeight="1" x14ac:dyDescent="0.25">
      <c r="B346" s="92"/>
      <c r="C346" s="31" t="s">
        <v>64</v>
      </c>
      <c r="D346" s="32">
        <v>44</v>
      </c>
      <c r="E346" s="33">
        <v>5.0142450142450145E-3</v>
      </c>
    </row>
    <row r="347" spans="2:5" ht="15" customHeight="1" x14ac:dyDescent="0.25">
      <c r="B347" s="92"/>
      <c r="C347" s="31" t="s">
        <v>65</v>
      </c>
      <c r="D347" s="32">
        <v>4</v>
      </c>
      <c r="E347" s="33">
        <v>4.5584045584045582E-4</v>
      </c>
    </row>
    <row r="348" spans="2:5" ht="15" customHeight="1" x14ac:dyDescent="0.25">
      <c r="B348" s="92"/>
      <c r="C348" s="31" t="s">
        <v>85</v>
      </c>
      <c r="D348" s="32">
        <v>1</v>
      </c>
      <c r="E348" s="33">
        <v>1.1396011396011396E-4</v>
      </c>
    </row>
    <row r="349" spans="2:5" ht="15" customHeight="1" x14ac:dyDescent="0.25">
      <c r="B349" s="92"/>
      <c r="C349" s="31" t="s">
        <v>66</v>
      </c>
      <c r="D349" s="32">
        <v>6</v>
      </c>
      <c r="E349" s="33">
        <v>6.8376068376068376E-4</v>
      </c>
    </row>
    <row r="350" spans="2:5" ht="15" customHeight="1" x14ac:dyDescent="0.25">
      <c r="B350" s="92"/>
      <c r="C350" s="31" t="s">
        <v>67</v>
      </c>
      <c r="D350" s="32">
        <v>1</v>
      </c>
      <c r="E350" s="33">
        <v>1.1396011396011396E-4</v>
      </c>
    </row>
    <row r="351" spans="2:5" ht="15" customHeight="1" x14ac:dyDescent="0.25">
      <c r="B351" s="92"/>
      <c r="C351" s="31" t="s">
        <v>68</v>
      </c>
      <c r="D351" s="32">
        <v>15</v>
      </c>
      <c r="E351" s="33">
        <v>1.7094017094017094E-3</v>
      </c>
    </row>
    <row r="352" spans="2:5" ht="15" customHeight="1" x14ac:dyDescent="0.25">
      <c r="B352" s="92"/>
      <c r="C352" s="31" t="s">
        <v>69</v>
      </c>
      <c r="D352" s="32">
        <v>113</v>
      </c>
      <c r="E352" s="33">
        <v>1.2877492877492878E-2</v>
      </c>
    </row>
    <row r="353" spans="2:5" ht="15" customHeight="1" x14ac:dyDescent="0.25">
      <c r="B353" s="92"/>
      <c r="C353" s="31" t="s">
        <v>70</v>
      </c>
      <c r="D353" s="32">
        <v>46</v>
      </c>
      <c r="E353" s="33">
        <v>5.2421652421652419E-3</v>
      </c>
    </row>
    <row r="354" spans="2:5" ht="15" customHeight="1" x14ac:dyDescent="0.25">
      <c r="B354" s="92"/>
      <c r="C354" s="31" t="s">
        <v>71</v>
      </c>
      <c r="D354" s="32">
        <v>3</v>
      </c>
      <c r="E354" s="33">
        <v>3.4188034188034188E-4</v>
      </c>
    </row>
    <row r="355" spans="2:5" ht="15" customHeight="1" x14ac:dyDescent="0.25">
      <c r="B355" s="92"/>
      <c r="C355" s="31" t="s">
        <v>72</v>
      </c>
      <c r="D355" s="32">
        <v>39</v>
      </c>
      <c r="E355" s="33">
        <v>4.4444444444444444E-3</v>
      </c>
    </row>
    <row r="356" spans="2:5" ht="15" customHeight="1" x14ac:dyDescent="0.25">
      <c r="B356" s="92"/>
      <c r="C356" s="31" t="s">
        <v>73</v>
      </c>
      <c r="D356" s="32">
        <v>1</v>
      </c>
      <c r="E356" s="33">
        <v>1.1396011396011396E-4</v>
      </c>
    </row>
    <row r="357" spans="2:5" ht="15" customHeight="1" x14ac:dyDescent="0.25">
      <c r="B357" s="92"/>
      <c r="C357" s="31" t="s">
        <v>74</v>
      </c>
      <c r="D357" s="32">
        <v>6</v>
      </c>
      <c r="E357" s="33">
        <v>6.8376068376068376E-4</v>
      </c>
    </row>
    <row r="358" spans="2:5" ht="15" customHeight="1" x14ac:dyDescent="0.25">
      <c r="B358" s="92"/>
      <c r="C358" s="31" t="s">
        <v>75</v>
      </c>
      <c r="D358" s="32">
        <v>2</v>
      </c>
      <c r="E358" s="33">
        <v>2.2792022792022791E-4</v>
      </c>
    </row>
    <row r="359" spans="2:5" ht="15" customHeight="1" x14ac:dyDescent="0.25">
      <c r="B359" s="89"/>
      <c r="C359" s="34" t="s">
        <v>26</v>
      </c>
      <c r="D359" s="35">
        <v>2563</v>
      </c>
      <c r="E359" s="36">
        <v>0.29207977207977209</v>
      </c>
    </row>
    <row r="360" spans="2:5" ht="15" customHeight="1" x14ac:dyDescent="0.25">
      <c r="B360" s="88" t="s">
        <v>106</v>
      </c>
      <c r="C360" s="31" t="s">
        <v>28</v>
      </c>
      <c r="D360" s="32">
        <v>3</v>
      </c>
      <c r="E360" s="33">
        <v>3.4188034188034188E-4</v>
      </c>
    </row>
    <row r="361" spans="2:5" ht="15" customHeight="1" x14ac:dyDescent="0.25">
      <c r="B361" s="92"/>
      <c r="C361" s="31" t="s">
        <v>31</v>
      </c>
      <c r="D361" s="32">
        <v>53</v>
      </c>
      <c r="E361" s="33">
        <v>6.0398860398860402E-3</v>
      </c>
    </row>
    <row r="362" spans="2:5" ht="15" customHeight="1" x14ac:dyDescent="0.25">
      <c r="B362" s="92"/>
      <c r="C362" s="31" t="s">
        <v>33</v>
      </c>
      <c r="D362" s="32">
        <v>1</v>
      </c>
      <c r="E362" s="33">
        <v>1.1396011396011396E-4</v>
      </c>
    </row>
    <row r="363" spans="2:5" ht="15" customHeight="1" x14ac:dyDescent="0.25">
      <c r="B363" s="92"/>
      <c r="C363" s="31" t="s">
        <v>41</v>
      </c>
      <c r="D363" s="32">
        <v>1</v>
      </c>
      <c r="E363" s="33">
        <v>1.1396011396011396E-4</v>
      </c>
    </row>
    <row r="364" spans="2:5" ht="15" customHeight="1" x14ac:dyDescent="0.25">
      <c r="B364" s="92"/>
      <c r="C364" s="31" t="s">
        <v>69</v>
      </c>
      <c r="D364" s="32">
        <v>4</v>
      </c>
      <c r="E364" s="33">
        <v>4.5584045584045582E-4</v>
      </c>
    </row>
    <row r="365" spans="2:5" ht="15" customHeight="1" x14ac:dyDescent="0.25">
      <c r="B365" s="92"/>
      <c r="C365" s="31" t="s">
        <v>70</v>
      </c>
      <c r="D365" s="32">
        <v>1</v>
      </c>
      <c r="E365" s="33">
        <v>1.1396011396011396E-4</v>
      </c>
    </row>
    <row r="366" spans="2:5" ht="15" customHeight="1" x14ac:dyDescent="0.25">
      <c r="B366" s="92"/>
      <c r="C366" s="31" t="s">
        <v>75</v>
      </c>
      <c r="D366" s="32">
        <v>1</v>
      </c>
      <c r="E366" s="33">
        <v>1.1396011396011396E-4</v>
      </c>
    </row>
    <row r="367" spans="2:5" ht="15" customHeight="1" x14ac:dyDescent="0.25">
      <c r="B367" s="89"/>
      <c r="C367" s="34" t="s">
        <v>26</v>
      </c>
      <c r="D367" s="35">
        <v>64</v>
      </c>
      <c r="E367" s="36">
        <v>7.2934472934472932E-3</v>
      </c>
    </row>
    <row r="368" spans="2:5" ht="15" customHeight="1" x14ac:dyDescent="0.25">
      <c r="B368" s="88" t="s">
        <v>107</v>
      </c>
      <c r="C368" s="31" t="s">
        <v>31</v>
      </c>
      <c r="D368" s="32">
        <v>36</v>
      </c>
      <c r="E368" s="33">
        <v>4.1025641025641026E-3</v>
      </c>
    </row>
    <row r="369" spans="2:5" ht="15" customHeight="1" x14ac:dyDescent="0.25">
      <c r="B369" s="92"/>
      <c r="C369" s="31" t="s">
        <v>33</v>
      </c>
      <c r="D369" s="32">
        <v>1</v>
      </c>
      <c r="E369" s="33">
        <v>1.1396011396011396E-4</v>
      </c>
    </row>
    <row r="370" spans="2:5" ht="15" customHeight="1" x14ac:dyDescent="0.25">
      <c r="B370" s="92"/>
      <c r="C370" s="31" t="s">
        <v>34</v>
      </c>
      <c r="D370" s="32">
        <v>1</v>
      </c>
      <c r="E370" s="33">
        <v>1.1396011396011396E-4</v>
      </c>
    </row>
    <row r="371" spans="2:5" ht="15" customHeight="1" x14ac:dyDescent="0.25">
      <c r="B371" s="92"/>
      <c r="C371" s="31" t="s">
        <v>42</v>
      </c>
      <c r="D371" s="32">
        <v>1</v>
      </c>
      <c r="E371" s="33">
        <v>1.1396011396011396E-4</v>
      </c>
    </row>
    <row r="372" spans="2:5" ht="15" customHeight="1" x14ac:dyDescent="0.25">
      <c r="B372" s="92"/>
      <c r="C372" s="31" t="s">
        <v>44</v>
      </c>
      <c r="D372" s="32">
        <v>1</v>
      </c>
      <c r="E372" s="33">
        <v>1.1396011396011396E-4</v>
      </c>
    </row>
    <row r="373" spans="2:5" ht="15" customHeight="1" x14ac:dyDescent="0.25">
      <c r="B373" s="92"/>
      <c r="C373" s="31" t="s">
        <v>50</v>
      </c>
      <c r="D373" s="32">
        <v>1</v>
      </c>
      <c r="E373" s="33">
        <v>1.1396011396011396E-4</v>
      </c>
    </row>
    <row r="374" spans="2:5" ht="15" customHeight="1" x14ac:dyDescent="0.25">
      <c r="B374" s="92"/>
      <c r="C374" s="31" t="s">
        <v>56</v>
      </c>
      <c r="D374" s="32">
        <v>2</v>
      </c>
      <c r="E374" s="33">
        <v>2.2792022792022791E-4</v>
      </c>
    </row>
    <row r="375" spans="2:5" ht="15" customHeight="1" x14ac:dyDescent="0.25">
      <c r="B375" s="92"/>
      <c r="C375" s="31" t="s">
        <v>58</v>
      </c>
      <c r="D375" s="32">
        <v>1</v>
      </c>
      <c r="E375" s="33">
        <v>1.1396011396011396E-4</v>
      </c>
    </row>
    <row r="376" spans="2:5" ht="15" customHeight="1" x14ac:dyDescent="0.25">
      <c r="B376" s="92"/>
      <c r="C376" s="31" t="s">
        <v>59</v>
      </c>
      <c r="D376" s="32">
        <v>1</v>
      </c>
      <c r="E376" s="33">
        <v>1.1396011396011396E-4</v>
      </c>
    </row>
    <row r="377" spans="2:5" ht="15" customHeight="1" x14ac:dyDescent="0.25">
      <c r="B377" s="92"/>
      <c r="C377" s="31" t="s">
        <v>64</v>
      </c>
      <c r="D377" s="32">
        <v>2</v>
      </c>
      <c r="E377" s="33">
        <v>2.2792022792022791E-4</v>
      </c>
    </row>
    <row r="378" spans="2:5" ht="15" customHeight="1" x14ac:dyDescent="0.25">
      <c r="B378" s="92"/>
      <c r="C378" s="31" t="s">
        <v>69</v>
      </c>
      <c r="D378" s="32">
        <v>3</v>
      </c>
      <c r="E378" s="33">
        <v>3.4188034188034188E-4</v>
      </c>
    </row>
    <row r="379" spans="2:5" ht="15" customHeight="1" x14ac:dyDescent="0.25">
      <c r="B379" s="92"/>
      <c r="C379" s="31" t="s">
        <v>70</v>
      </c>
      <c r="D379" s="32">
        <v>2</v>
      </c>
      <c r="E379" s="33">
        <v>2.2792022792022791E-4</v>
      </c>
    </row>
    <row r="380" spans="2:5" ht="15" customHeight="1" x14ac:dyDescent="0.25">
      <c r="B380" s="92"/>
      <c r="C380" s="31" t="s">
        <v>72</v>
      </c>
      <c r="D380" s="32">
        <v>1</v>
      </c>
      <c r="E380" s="33">
        <v>1.1396011396011396E-4</v>
      </c>
    </row>
    <row r="381" spans="2:5" ht="15" customHeight="1" x14ac:dyDescent="0.25">
      <c r="B381" s="89"/>
      <c r="C381" s="34" t="s">
        <v>26</v>
      </c>
      <c r="D381" s="35">
        <v>53</v>
      </c>
      <c r="E381" s="36">
        <v>6.0398860398860402E-3</v>
      </c>
    </row>
    <row r="382" spans="2:5" ht="15" customHeight="1" x14ac:dyDescent="0.25">
      <c r="B382" s="88" t="s">
        <v>108</v>
      </c>
      <c r="C382" s="31" t="s">
        <v>28</v>
      </c>
      <c r="D382" s="32">
        <v>1</v>
      </c>
      <c r="E382" s="33">
        <v>1.1396011396011396E-4</v>
      </c>
    </row>
    <row r="383" spans="2:5" ht="15" customHeight="1" x14ac:dyDescent="0.25">
      <c r="B383" s="92"/>
      <c r="C383" s="31" t="s">
        <v>31</v>
      </c>
      <c r="D383" s="32">
        <v>30</v>
      </c>
      <c r="E383" s="33">
        <v>3.4188034188034188E-3</v>
      </c>
    </row>
    <row r="384" spans="2:5" ht="15" customHeight="1" x14ac:dyDescent="0.25">
      <c r="B384" s="92"/>
      <c r="C384" s="31" t="s">
        <v>53</v>
      </c>
      <c r="D384" s="32">
        <v>1</v>
      </c>
      <c r="E384" s="33">
        <v>1.1396011396011396E-4</v>
      </c>
    </row>
    <row r="385" spans="2:5" ht="15" customHeight="1" x14ac:dyDescent="0.25">
      <c r="B385" s="92"/>
      <c r="C385" s="31" t="s">
        <v>64</v>
      </c>
      <c r="D385" s="32">
        <v>1</v>
      </c>
      <c r="E385" s="33">
        <v>1.1396011396011396E-4</v>
      </c>
    </row>
    <row r="386" spans="2:5" ht="15" customHeight="1" x14ac:dyDescent="0.25">
      <c r="B386" s="92"/>
      <c r="C386" s="31" t="s">
        <v>69</v>
      </c>
      <c r="D386" s="32">
        <v>1</v>
      </c>
      <c r="E386" s="33">
        <v>1.1396011396011396E-4</v>
      </c>
    </row>
    <row r="387" spans="2:5" ht="15" customHeight="1" x14ac:dyDescent="0.25">
      <c r="B387" s="89"/>
      <c r="C387" s="34" t="s">
        <v>26</v>
      </c>
      <c r="D387" s="35">
        <v>34</v>
      </c>
      <c r="E387" s="36">
        <v>3.8746438746438748E-3</v>
      </c>
    </row>
    <row r="388" spans="2:5" ht="15" customHeight="1" x14ac:dyDescent="0.25">
      <c r="B388" s="88" t="s">
        <v>109</v>
      </c>
      <c r="C388" s="31" t="s">
        <v>31</v>
      </c>
      <c r="D388" s="32">
        <v>13</v>
      </c>
      <c r="E388" s="33">
        <v>1.4814814814814814E-3</v>
      </c>
    </row>
    <row r="389" spans="2:5" ht="15" customHeight="1" x14ac:dyDescent="0.25">
      <c r="B389" s="92"/>
      <c r="C389" s="31" t="s">
        <v>59</v>
      </c>
      <c r="D389" s="32">
        <v>1</v>
      </c>
      <c r="E389" s="33">
        <v>1.1396011396011396E-4</v>
      </c>
    </row>
    <row r="390" spans="2:5" ht="15" customHeight="1" x14ac:dyDescent="0.25">
      <c r="B390" s="92"/>
      <c r="C390" s="31" t="s">
        <v>70</v>
      </c>
      <c r="D390" s="32">
        <v>1</v>
      </c>
      <c r="E390" s="33">
        <v>1.1396011396011396E-4</v>
      </c>
    </row>
    <row r="391" spans="2:5" ht="15" customHeight="1" x14ac:dyDescent="0.25">
      <c r="B391" s="89"/>
      <c r="C391" s="34" t="s">
        <v>26</v>
      </c>
      <c r="D391" s="35">
        <v>15</v>
      </c>
      <c r="E391" s="36">
        <v>1.7094017094017094E-3</v>
      </c>
    </row>
    <row r="392" spans="2:5" ht="15" customHeight="1" x14ac:dyDescent="0.25">
      <c r="B392" s="88" t="s">
        <v>110</v>
      </c>
      <c r="C392" s="31" t="s">
        <v>28</v>
      </c>
      <c r="D392" s="32">
        <v>7</v>
      </c>
      <c r="E392" s="33">
        <v>7.9772079772079776E-4</v>
      </c>
    </row>
    <row r="393" spans="2:5" ht="15" customHeight="1" x14ac:dyDescent="0.25">
      <c r="B393" s="92"/>
      <c r="C393" s="31" t="s">
        <v>31</v>
      </c>
      <c r="D393" s="32">
        <v>153</v>
      </c>
      <c r="E393" s="33">
        <v>1.7435897435897435E-2</v>
      </c>
    </row>
    <row r="394" spans="2:5" ht="15" customHeight="1" x14ac:dyDescent="0.25">
      <c r="B394" s="92"/>
      <c r="C394" s="31" t="s">
        <v>33</v>
      </c>
      <c r="D394" s="32">
        <v>1</v>
      </c>
      <c r="E394" s="33">
        <v>1.1396011396011396E-4</v>
      </c>
    </row>
    <row r="395" spans="2:5" ht="15" customHeight="1" x14ac:dyDescent="0.25">
      <c r="B395" s="92"/>
      <c r="C395" s="31" t="s">
        <v>37</v>
      </c>
      <c r="D395" s="32">
        <v>1</v>
      </c>
      <c r="E395" s="33">
        <v>1.1396011396011396E-4</v>
      </c>
    </row>
    <row r="396" spans="2:5" ht="15" customHeight="1" x14ac:dyDescent="0.25">
      <c r="B396" s="92"/>
      <c r="C396" s="31" t="s">
        <v>38</v>
      </c>
      <c r="D396" s="32">
        <v>1</v>
      </c>
      <c r="E396" s="33">
        <v>1.1396011396011396E-4</v>
      </c>
    </row>
    <row r="397" spans="2:5" ht="15" customHeight="1" x14ac:dyDescent="0.25">
      <c r="B397" s="92"/>
      <c r="C397" s="31" t="s">
        <v>41</v>
      </c>
      <c r="D397" s="32">
        <v>3</v>
      </c>
      <c r="E397" s="33">
        <v>3.4188034188034188E-4</v>
      </c>
    </row>
    <row r="398" spans="2:5" ht="15" customHeight="1" x14ac:dyDescent="0.25">
      <c r="B398" s="92"/>
      <c r="C398" s="31" t="s">
        <v>42</v>
      </c>
      <c r="D398" s="32">
        <v>1</v>
      </c>
      <c r="E398" s="33">
        <v>1.1396011396011396E-4</v>
      </c>
    </row>
    <row r="399" spans="2:5" ht="15" customHeight="1" x14ac:dyDescent="0.25">
      <c r="B399" s="92"/>
      <c r="C399" s="31" t="s">
        <v>43</v>
      </c>
      <c r="D399" s="32">
        <v>1</v>
      </c>
      <c r="E399" s="33">
        <v>1.1396011396011396E-4</v>
      </c>
    </row>
    <row r="400" spans="2:5" ht="15" customHeight="1" x14ac:dyDescent="0.25">
      <c r="B400" s="92"/>
      <c r="C400" s="31" t="s">
        <v>44</v>
      </c>
      <c r="D400" s="32">
        <v>2</v>
      </c>
      <c r="E400" s="33">
        <v>2.2792022792022791E-4</v>
      </c>
    </row>
    <row r="401" spans="2:5" ht="15" customHeight="1" x14ac:dyDescent="0.25">
      <c r="B401" s="92"/>
      <c r="C401" s="31" t="s">
        <v>49</v>
      </c>
      <c r="D401" s="32">
        <v>1</v>
      </c>
      <c r="E401" s="33">
        <v>1.1396011396011396E-4</v>
      </c>
    </row>
    <row r="402" spans="2:5" ht="15" customHeight="1" x14ac:dyDescent="0.25">
      <c r="B402" s="92"/>
      <c r="C402" s="31" t="s">
        <v>50</v>
      </c>
      <c r="D402" s="32">
        <v>1</v>
      </c>
      <c r="E402" s="33">
        <v>1.1396011396011396E-4</v>
      </c>
    </row>
    <row r="403" spans="2:5" ht="15" customHeight="1" x14ac:dyDescent="0.25">
      <c r="B403" s="92"/>
      <c r="C403" s="31" t="s">
        <v>51</v>
      </c>
      <c r="D403" s="32">
        <v>3</v>
      </c>
      <c r="E403" s="33">
        <v>3.4188034188034188E-4</v>
      </c>
    </row>
    <row r="404" spans="2:5" ht="15" customHeight="1" x14ac:dyDescent="0.25">
      <c r="B404" s="92"/>
      <c r="C404" s="31" t="s">
        <v>53</v>
      </c>
      <c r="D404" s="32">
        <v>1</v>
      </c>
      <c r="E404" s="33">
        <v>1.1396011396011396E-4</v>
      </c>
    </row>
    <row r="405" spans="2:5" ht="15" customHeight="1" x14ac:dyDescent="0.25">
      <c r="B405" s="92"/>
      <c r="C405" s="31" t="s">
        <v>56</v>
      </c>
      <c r="D405" s="32">
        <v>7</v>
      </c>
      <c r="E405" s="33">
        <v>7.9772079772079776E-4</v>
      </c>
    </row>
    <row r="406" spans="2:5" ht="15" customHeight="1" x14ac:dyDescent="0.25">
      <c r="B406" s="92"/>
      <c r="C406" s="31" t="s">
        <v>57</v>
      </c>
      <c r="D406" s="32">
        <v>1</v>
      </c>
      <c r="E406" s="33">
        <v>1.1396011396011396E-4</v>
      </c>
    </row>
    <row r="407" spans="2:5" ht="15" customHeight="1" x14ac:dyDescent="0.25">
      <c r="B407" s="92"/>
      <c r="C407" s="31" t="s">
        <v>59</v>
      </c>
      <c r="D407" s="32">
        <v>1</v>
      </c>
      <c r="E407" s="33">
        <v>1.1396011396011396E-4</v>
      </c>
    </row>
    <row r="408" spans="2:5" ht="15" customHeight="1" x14ac:dyDescent="0.25">
      <c r="B408" s="92"/>
      <c r="C408" s="31" t="s">
        <v>60</v>
      </c>
      <c r="D408" s="32">
        <v>1</v>
      </c>
      <c r="E408" s="33">
        <v>1.1396011396011396E-4</v>
      </c>
    </row>
    <row r="409" spans="2:5" ht="15" customHeight="1" x14ac:dyDescent="0.25">
      <c r="B409" s="92"/>
      <c r="C409" s="31" t="s">
        <v>68</v>
      </c>
      <c r="D409" s="32">
        <v>1</v>
      </c>
      <c r="E409" s="33">
        <v>1.1396011396011396E-4</v>
      </c>
    </row>
    <row r="410" spans="2:5" ht="15" customHeight="1" x14ac:dyDescent="0.25">
      <c r="B410" s="92"/>
      <c r="C410" s="31" t="s">
        <v>69</v>
      </c>
      <c r="D410" s="32">
        <v>8</v>
      </c>
      <c r="E410" s="33">
        <v>9.1168091168091164E-4</v>
      </c>
    </row>
    <row r="411" spans="2:5" ht="15" customHeight="1" x14ac:dyDescent="0.25">
      <c r="B411" s="92"/>
      <c r="C411" s="31" t="s">
        <v>70</v>
      </c>
      <c r="D411" s="32">
        <v>8</v>
      </c>
      <c r="E411" s="33">
        <v>9.1168091168091164E-4</v>
      </c>
    </row>
    <row r="412" spans="2:5" ht="15" customHeight="1" x14ac:dyDescent="0.25">
      <c r="B412" s="92"/>
      <c r="C412" s="31" t="s">
        <v>71</v>
      </c>
      <c r="D412" s="32">
        <v>1</v>
      </c>
      <c r="E412" s="33">
        <v>1.1396011396011396E-4</v>
      </c>
    </row>
    <row r="413" spans="2:5" ht="15" customHeight="1" x14ac:dyDescent="0.25">
      <c r="B413" s="92"/>
      <c r="C413" s="31" t="s">
        <v>72</v>
      </c>
      <c r="D413" s="32">
        <v>3</v>
      </c>
      <c r="E413" s="33">
        <v>3.4188034188034188E-4</v>
      </c>
    </row>
    <row r="414" spans="2:5" ht="15" customHeight="1" x14ac:dyDescent="0.25">
      <c r="B414" s="92"/>
      <c r="C414" s="31" t="s">
        <v>74</v>
      </c>
      <c r="D414" s="32">
        <v>2</v>
      </c>
      <c r="E414" s="33">
        <v>2.2792022792022791E-4</v>
      </c>
    </row>
    <row r="415" spans="2:5" ht="15" customHeight="1" x14ac:dyDescent="0.25">
      <c r="B415" s="92"/>
      <c r="C415" s="31" t="s">
        <v>75</v>
      </c>
      <c r="D415" s="32">
        <v>1</v>
      </c>
      <c r="E415" s="33">
        <v>1.1396011396011396E-4</v>
      </c>
    </row>
    <row r="416" spans="2:5" ht="15" customHeight="1" x14ac:dyDescent="0.25">
      <c r="B416" s="89"/>
      <c r="C416" s="34" t="s">
        <v>26</v>
      </c>
      <c r="D416" s="35">
        <v>210</v>
      </c>
      <c r="E416" s="36">
        <v>2.3931623931623933E-2</v>
      </c>
    </row>
    <row r="417" spans="2:5" ht="15" customHeight="1" x14ac:dyDescent="0.25">
      <c r="B417" s="88" t="s">
        <v>111</v>
      </c>
      <c r="C417" s="31" t="s">
        <v>28</v>
      </c>
      <c r="D417" s="32">
        <v>30</v>
      </c>
      <c r="E417" s="33">
        <v>3.4188034188034188E-3</v>
      </c>
    </row>
    <row r="418" spans="2:5" ht="15" customHeight="1" x14ac:dyDescent="0.25">
      <c r="B418" s="92"/>
      <c r="C418" s="31" t="s">
        <v>31</v>
      </c>
      <c r="D418" s="32">
        <v>294</v>
      </c>
      <c r="E418" s="33">
        <v>3.3504273504273506E-2</v>
      </c>
    </row>
    <row r="419" spans="2:5" ht="15" customHeight="1" x14ac:dyDescent="0.25">
      <c r="B419" s="92"/>
      <c r="C419" s="31" t="s">
        <v>33</v>
      </c>
      <c r="D419" s="32">
        <v>8</v>
      </c>
      <c r="E419" s="33">
        <v>9.1168091168091164E-4</v>
      </c>
    </row>
    <row r="420" spans="2:5" ht="15" customHeight="1" x14ac:dyDescent="0.25">
      <c r="B420" s="92"/>
      <c r="C420" s="31" t="s">
        <v>37</v>
      </c>
      <c r="D420" s="32">
        <v>2</v>
      </c>
      <c r="E420" s="33">
        <v>2.2792022792022791E-4</v>
      </c>
    </row>
    <row r="421" spans="2:5" ht="15" customHeight="1" x14ac:dyDescent="0.25">
      <c r="B421" s="92"/>
      <c r="C421" s="31" t="s">
        <v>38</v>
      </c>
      <c r="D421" s="32">
        <v>2</v>
      </c>
      <c r="E421" s="33">
        <v>2.2792022792022791E-4</v>
      </c>
    </row>
    <row r="422" spans="2:5" ht="15" customHeight="1" x14ac:dyDescent="0.25">
      <c r="B422" s="92"/>
      <c r="C422" s="31" t="s">
        <v>40</v>
      </c>
      <c r="D422" s="32">
        <v>1</v>
      </c>
      <c r="E422" s="33">
        <v>1.1396011396011396E-4</v>
      </c>
    </row>
    <row r="423" spans="2:5" ht="15" customHeight="1" x14ac:dyDescent="0.25">
      <c r="B423" s="92"/>
      <c r="C423" s="31" t="s">
        <v>41</v>
      </c>
      <c r="D423" s="32">
        <v>6</v>
      </c>
      <c r="E423" s="33">
        <v>6.8376068376068376E-4</v>
      </c>
    </row>
    <row r="424" spans="2:5" ht="15" customHeight="1" x14ac:dyDescent="0.25">
      <c r="B424" s="92"/>
      <c r="C424" s="31" t="s">
        <v>43</v>
      </c>
      <c r="D424" s="32">
        <v>2</v>
      </c>
      <c r="E424" s="33">
        <v>2.2792022792022791E-4</v>
      </c>
    </row>
    <row r="425" spans="2:5" ht="15" customHeight="1" x14ac:dyDescent="0.25">
      <c r="B425" s="92"/>
      <c r="C425" s="31" t="s">
        <v>44</v>
      </c>
      <c r="D425" s="32">
        <v>1</v>
      </c>
      <c r="E425" s="33">
        <v>1.1396011396011396E-4</v>
      </c>
    </row>
    <row r="426" spans="2:5" ht="15" customHeight="1" x14ac:dyDescent="0.25">
      <c r="B426" s="92"/>
      <c r="C426" s="31" t="s">
        <v>48</v>
      </c>
      <c r="D426" s="32">
        <v>3</v>
      </c>
      <c r="E426" s="33">
        <v>3.4188034188034188E-4</v>
      </c>
    </row>
    <row r="427" spans="2:5" ht="15" customHeight="1" x14ac:dyDescent="0.25">
      <c r="B427" s="92"/>
      <c r="C427" s="31" t="s">
        <v>51</v>
      </c>
      <c r="D427" s="32">
        <v>2</v>
      </c>
      <c r="E427" s="33">
        <v>2.2792022792022791E-4</v>
      </c>
    </row>
    <row r="428" spans="2:5" ht="15" customHeight="1" x14ac:dyDescent="0.25">
      <c r="B428" s="92"/>
      <c r="C428" s="31" t="s">
        <v>52</v>
      </c>
      <c r="D428" s="32">
        <v>1</v>
      </c>
      <c r="E428" s="33">
        <v>1.1396011396011396E-4</v>
      </c>
    </row>
    <row r="429" spans="2:5" ht="15" customHeight="1" x14ac:dyDescent="0.25">
      <c r="B429" s="92"/>
      <c r="C429" s="31" t="s">
        <v>56</v>
      </c>
      <c r="D429" s="32">
        <v>18</v>
      </c>
      <c r="E429" s="33">
        <v>2.0512820512820513E-3</v>
      </c>
    </row>
    <row r="430" spans="2:5" ht="15" customHeight="1" x14ac:dyDescent="0.25">
      <c r="B430" s="92"/>
      <c r="C430" s="31" t="s">
        <v>58</v>
      </c>
      <c r="D430" s="32">
        <v>2</v>
      </c>
      <c r="E430" s="33">
        <v>2.2792022792022791E-4</v>
      </c>
    </row>
    <row r="431" spans="2:5" ht="15" customHeight="1" x14ac:dyDescent="0.25">
      <c r="B431" s="92"/>
      <c r="C431" s="31" t="s">
        <v>59</v>
      </c>
      <c r="D431" s="32">
        <v>3</v>
      </c>
      <c r="E431" s="33">
        <v>3.4188034188034188E-4</v>
      </c>
    </row>
    <row r="432" spans="2:5" ht="15" customHeight="1" x14ac:dyDescent="0.25">
      <c r="B432" s="92"/>
      <c r="C432" s="31" t="s">
        <v>63</v>
      </c>
      <c r="D432" s="32">
        <v>2</v>
      </c>
      <c r="E432" s="33">
        <v>2.2792022792022791E-4</v>
      </c>
    </row>
    <row r="433" spans="2:5" ht="15" customHeight="1" x14ac:dyDescent="0.25">
      <c r="B433" s="92"/>
      <c r="C433" s="31" t="s">
        <v>64</v>
      </c>
      <c r="D433" s="32">
        <v>2</v>
      </c>
      <c r="E433" s="33">
        <v>2.2792022792022791E-4</v>
      </c>
    </row>
    <row r="434" spans="2:5" ht="15" customHeight="1" x14ac:dyDescent="0.25">
      <c r="B434" s="92"/>
      <c r="C434" s="31" t="s">
        <v>65</v>
      </c>
      <c r="D434" s="32">
        <v>1</v>
      </c>
      <c r="E434" s="33">
        <v>1.1396011396011396E-4</v>
      </c>
    </row>
    <row r="435" spans="2:5" ht="15" customHeight="1" x14ac:dyDescent="0.25">
      <c r="B435" s="92"/>
      <c r="C435" s="31" t="s">
        <v>68</v>
      </c>
      <c r="D435" s="32">
        <v>1</v>
      </c>
      <c r="E435" s="33">
        <v>1.1396011396011396E-4</v>
      </c>
    </row>
    <row r="436" spans="2:5" ht="15" customHeight="1" x14ac:dyDescent="0.25">
      <c r="B436" s="92"/>
      <c r="C436" s="31" t="s">
        <v>69</v>
      </c>
      <c r="D436" s="32">
        <v>17</v>
      </c>
      <c r="E436" s="33">
        <v>1.9373219373219374E-3</v>
      </c>
    </row>
    <row r="437" spans="2:5" ht="15" customHeight="1" x14ac:dyDescent="0.25">
      <c r="B437" s="92"/>
      <c r="C437" s="31" t="s">
        <v>70</v>
      </c>
      <c r="D437" s="32">
        <v>12</v>
      </c>
      <c r="E437" s="33">
        <v>1.3675213675213675E-3</v>
      </c>
    </row>
    <row r="438" spans="2:5" ht="15" customHeight="1" x14ac:dyDescent="0.25">
      <c r="B438" s="92"/>
      <c r="C438" s="31" t="s">
        <v>72</v>
      </c>
      <c r="D438" s="32">
        <v>8</v>
      </c>
      <c r="E438" s="33">
        <v>9.1168091168091164E-4</v>
      </c>
    </row>
    <row r="439" spans="2:5" ht="15" customHeight="1" x14ac:dyDescent="0.25">
      <c r="B439" s="92"/>
      <c r="C439" s="31" t="s">
        <v>74</v>
      </c>
      <c r="D439" s="32">
        <v>2</v>
      </c>
      <c r="E439" s="33">
        <v>2.2792022792022791E-4</v>
      </c>
    </row>
    <row r="440" spans="2:5" ht="15" customHeight="1" x14ac:dyDescent="0.25">
      <c r="B440" s="89"/>
      <c r="C440" s="34" t="s">
        <v>26</v>
      </c>
      <c r="D440" s="35">
        <v>420</v>
      </c>
      <c r="E440" s="36">
        <v>4.7863247863247867E-2</v>
      </c>
    </row>
    <row r="441" spans="2:5" ht="15" customHeight="1" x14ac:dyDescent="0.25">
      <c r="B441" s="88" t="s">
        <v>112</v>
      </c>
      <c r="C441" s="31" t="s">
        <v>28</v>
      </c>
      <c r="D441" s="32">
        <v>4</v>
      </c>
      <c r="E441" s="33">
        <v>4.5584045584045582E-4</v>
      </c>
    </row>
    <row r="442" spans="2:5" ht="15" customHeight="1" x14ac:dyDescent="0.25">
      <c r="B442" s="92"/>
      <c r="C442" s="31" t="s">
        <v>31</v>
      </c>
      <c r="D442" s="32">
        <v>24</v>
      </c>
      <c r="E442" s="33">
        <v>2.735042735042735E-3</v>
      </c>
    </row>
    <row r="443" spans="2:5" ht="15" customHeight="1" x14ac:dyDescent="0.25">
      <c r="B443" s="92"/>
      <c r="C443" s="31" t="s">
        <v>33</v>
      </c>
      <c r="D443" s="32">
        <v>1</v>
      </c>
      <c r="E443" s="33">
        <v>1.1396011396011396E-4</v>
      </c>
    </row>
    <row r="444" spans="2:5" ht="15" customHeight="1" x14ac:dyDescent="0.25">
      <c r="B444" s="92"/>
      <c r="C444" s="31" t="s">
        <v>50</v>
      </c>
      <c r="D444" s="32">
        <v>1</v>
      </c>
      <c r="E444" s="33">
        <v>1.1396011396011396E-4</v>
      </c>
    </row>
    <row r="445" spans="2:5" ht="15" customHeight="1" x14ac:dyDescent="0.25">
      <c r="B445" s="92"/>
      <c r="C445" s="31" t="s">
        <v>66</v>
      </c>
      <c r="D445" s="32">
        <v>1</v>
      </c>
      <c r="E445" s="33">
        <v>1.1396011396011396E-4</v>
      </c>
    </row>
    <row r="446" spans="2:5" ht="15" customHeight="1" x14ac:dyDescent="0.25">
      <c r="B446" s="92"/>
      <c r="C446" s="31" t="s">
        <v>71</v>
      </c>
      <c r="D446" s="32">
        <v>1</v>
      </c>
      <c r="E446" s="33">
        <v>1.1396011396011396E-4</v>
      </c>
    </row>
    <row r="447" spans="2:5" ht="15" customHeight="1" x14ac:dyDescent="0.25">
      <c r="B447" s="92"/>
      <c r="C447" s="31" t="s">
        <v>72</v>
      </c>
      <c r="D447" s="32">
        <v>1</v>
      </c>
      <c r="E447" s="33">
        <v>1.1396011396011396E-4</v>
      </c>
    </row>
    <row r="448" spans="2:5" ht="15" customHeight="1" x14ac:dyDescent="0.25">
      <c r="B448" s="92"/>
      <c r="C448" s="31" t="s">
        <v>74</v>
      </c>
      <c r="D448" s="32">
        <v>1</v>
      </c>
      <c r="E448" s="33">
        <v>1.1396011396011396E-4</v>
      </c>
    </row>
    <row r="449" spans="2:5" ht="15" customHeight="1" x14ac:dyDescent="0.25">
      <c r="B449" s="89"/>
      <c r="C449" s="34" t="s">
        <v>26</v>
      </c>
      <c r="D449" s="35">
        <v>34</v>
      </c>
      <c r="E449" s="36">
        <v>3.8746438746438748E-3</v>
      </c>
    </row>
    <row r="450" spans="2:5" ht="15" customHeight="1" x14ac:dyDescent="0.25">
      <c r="B450" s="88" t="s">
        <v>113</v>
      </c>
      <c r="C450" s="31" t="s">
        <v>28</v>
      </c>
      <c r="D450" s="32">
        <v>2</v>
      </c>
      <c r="E450" s="33">
        <v>2.2792022792022791E-4</v>
      </c>
    </row>
    <row r="451" spans="2:5" ht="15" customHeight="1" x14ac:dyDescent="0.25">
      <c r="B451" s="92"/>
      <c r="C451" s="31" t="s">
        <v>31</v>
      </c>
      <c r="D451" s="32">
        <v>3</v>
      </c>
      <c r="E451" s="33">
        <v>3.4188034188034188E-4</v>
      </c>
    </row>
    <row r="452" spans="2:5" ht="15" customHeight="1" x14ac:dyDescent="0.25">
      <c r="B452" s="89"/>
      <c r="C452" s="34" t="s">
        <v>26</v>
      </c>
      <c r="D452" s="35">
        <v>5</v>
      </c>
      <c r="E452" s="36">
        <v>5.6980056980056976E-4</v>
      </c>
    </row>
    <row r="453" spans="2:5" ht="15" customHeight="1" x14ac:dyDescent="0.25">
      <c r="B453" s="90" t="s">
        <v>26</v>
      </c>
      <c r="C453" s="91"/>
      <c r="D453" s="37">
        <v>8775</v>
      </c>
      <c r="E453" s="38">
        <v>1</v>
      </c>
    </row>
    <row r="455" spans="2:5" ht="15" customHeight="1" x14ac:dyDescent="0.25">
      <c r="B455" s="39" t="s">
        <v>76</v>
      </c>
    </row>
    <row r="456" spans="2:5" ht="15" customHeight="1" x14ac:dyDescent="0.25">
      <c r="B456" s="41" t="s">
        <v>77</v>
      </c>
    </row>
    <row r="457" spans="2:5" ht="15" customHeight="1" x14ac:dyDescent="0.25">
      <c r="B457" s="42" t="s">
        <v>78</v>
      </c>
    </row>
    <row r="458" spans="2:5" ht="15" customHeight="1" x14ac:dyDescent="0.25">
      <c r="B458" s="39" t="s">
        <v>79</v>
      </c>
    </row>
    <row r="459" spans="2:5" ht="15" customHeight="1" x14ac:dyDescent="0.25">
      <c r="B459" s="39" t="s">
        <v>80</v>
      </c>
    </row>
  </sheetData>
  <mergeCells count="26">
    <mergeCell ref="B41:B53"/>
    <mergeCell ref="B7:E8"/>
    <mergeCell ref="B10:B14"/>
    <mergeCell ref="B15:B22"/>
    <mergeCell ref="B23:B29"/>
    <mergeCell ref="B30:B40"/>
    <mergeCell ref="B360:B367"/>
    <mergeCell ref="B54:B67"/>
    <mergeCell ref="B68:B83"/>
    <mergeCell ref="B84:B108"/>
    <mergeCell ref="B109:B144"/>
    <mergeCell ref="B145:B163"/>
    <mergeCell ref="B164:B187"/>
    <mergeCell ref="B188:B213"/>
    <mergeCell ref="B214:B258"/>
    <mergeCell ref="B259:B276"/>
    <mergeCell ref="B277:B314"/>
    <mergeCell ref="B315:B359"/>
    <mergeCell ref="B450:B452"/>
    <mergeCell ref="B453:C453"/>
    <mergeCell ref="B368:B381"/>
    <mergeCell ref="B382:B387"/>
    <mergeCell ref="B388:B391"/>
    <mergeCell ref="B392:B416"/>
    <mergeCell ref="B417:B440"/>
    <mergeCell ref="B441:B4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0" manualBreakCount="10">
    <brk id="40" max="4" man="1"/>
    <brk id="83" max="4" man="1"/>
    <brk id="108" max="4" man="1"/>
    <brk id="144" max="4" man="1"/>
    <brk id="187" max="4" man="1"/>
    <brk id="213" max="4" man="1"/>
    <brk id="276" max="4" man="1"/>
    <brk id="314" max="4" man="1"/>
    <brk id="391" max="4" man="1"/>
    <brk id="416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9"/>
  <sheetViews>
    <sheetView view="pageBreakPreview" zoomScale="8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29.42578125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3"/>
      <c r="C7" s="93"/>
      <c r="D7" s="93"/>
      <c r="E7" s="93"/>
    </row>
    <row r="8" spans="1:5" s="22" customFormat="1" ht="33" customHeight="1" x14ac:dyDescent="0.3">
      <c r="A8" s="25"/>
      <c r="B8" s="93"/>
      <c r="C8" s="93"/>
      <c r="D8" s="93"/>
      <c r="E8" s="93"/>
    </row>
    <row r="9" spans="1:5" s="26" customFormat="1" ht="40.5" customHeight="1" x14ac:dyDescent="0.2">
      <c r="B9" s="27" t="s">
        <v>115</v>
      </c>
      <c r="C9" s="28" t="s">
        <v>88</v>
      </c>
      <c r="D9" s="29" t="s">
        <v>20</v>
      </c>
      <c r="E9" s="27" t="s">
        <v>21</v>
      </c>
    </row>
    <row r="10" spans="1:5" s="24" customFormat="1" ht="15" customHeight="1" x14ac:dyDescent="0.25">
      <c r="A10" s="30"/>
      <c r="B10" s="88" t="s">
        <v>116</v>
      </c>
      <c r="C10" s="31" t="s">
        <v>97</v>
      </c>
      <c r="D10" s="32">
        <v>1</v>
      </c>
      <c r="E10" s="33">
        <v>1.1396011396011396E-4</v>
      </c>
    </row>
    <row r="11" spans="1:5" s="24" customFormat="1" ht="15" customHeight="1" x14ac:dyDescent="0.25">
      <c r="A11" s="30"/>
      <c r="B11" s="92"/>
      <c r="C11" s="31" t="s">
        <v>98</v>
      </c>
      <c r="D11" s="32">
        <v>3</v>
      </c>
      <c r="E11" s="33">
        <v>3.4188034188034188E-4</v>
      </c>
    </row>
    <row r="12" spans="1:5" ht="15" customHeight="1" x14ac:dyDescent="0.25">
      <c r="B12" s="92"/>
      <c r="C12" s="31" t="s">
        <v>100</v>
      </c>
      <c r="D12" s="32">
        <v>1</v>
      </c>
      <c r="E12" s="33">
        <v>1.1396011396011396E-4</v>
      </c>
    </row>
    <row r="13" spans="1:5" ht="15" customHeight="1" x14ac:dyDescent="0.25">
      <c r="B13" s="92"/>
      <c r="C13" s="31" t="s">
        <v>101</v>
      </c>
      <c r="D13" s="32">
        <v>1</v>
      </c>
      <c r="E13" s="33">
        <v>1.1396011396011396E-4</v>
      </c>
    </row>
    <row r="14" spans="1:5" ht="15" customHeight="1" x14ac:dyDescent="0.25">
      <c r="B14" s="92"/>
      <c r="C14" s="31" t="s">
        <v>102</v>
      </c>
      <c r="D14" s="32">
        <v>10</v>
      </c>
      <c r="E14" s="33">
        <v>1.1396011396011395E-3</v>
      </c>
    </row>
    <row r="15" spans="1:5" ht="15" customHeight="1" x14ac:dyDescent="0.25">
      <c r="B15" s="92"/>
      <c r="C15" s="31" t="s">
        <v>104</v>
      </c>
      <c r="D15" s="32">
        <v>3</v>
      </c>
      <c r="E15" s="33">
        <v>3.4188034188034188E-4</v>
      </c>
    </row>
    <row r="16" spans="1:5" ht="15" customHeight="1" x14ac:dyDescent="0.25">
      <c r="B16" s="92"/>
      <c r="C16" s="31" t="s">
        <v>105</v>
      </c>
      <c r="D16" s="32">
        <v>5</v>
      </c>
      <c r="E16" s="33">
        <v>5.6980056980056976E-4</v>
      </c>
    </row>
    <row r="17" spans="2:5" ht="15" customHeight="1" x14ac:dyDescent="0.25">
      <c r="B17" s="92"/>
      <c r="C17" s="31" t="s">
        <v>107</v>
      </c>
      <c r="D17" s="32">
        <v>1</v>
      </c>
      <c r="E17" s="33">
        <v>1.1396011396011396E-4</v>
      </c>
    </row>
    <row r="18" spans="2:5" ht="15" customHeight="1" x14ac:dyDescent="0.25">
      <c r="B18" s="92"/>
      <c r="C18" s="31" t="s">
        <v>111</v>
      </c>
      <c r="D18" s="32">
        <v>1</v>
      </c>
      <c r="E18" s="33">
        <v>1.1396011396011396E-4</v>
      </c>
    </row>
    <row r="19" spans="2:5" ht="15" customHeight="1" x14ac:dyDescent="0.25">
      <c r="B19" s="89"/>
      <c r="C19" s="34" t="s">
        <v>26</v>
      </c>
      <c r="D19" s="35">
        <v>26</v>
      </c>
      <c r="E19" s="36">
        <v>2.9629629629629628E-3</v>
      </c>
    </row>
    <row r="20" spans="2:5" ht="15" customHeight="1" x14ac:dyDescent="0.25">
      <c r="B20" s="88" t="s">
        <v>117</v>
      </c>
      <c r="C20" s="31" t="s">
        <v>118</v>
      </c>
      <c r="D20" s="32">
        <v>1</v>
      </c>
      <c r="E20" s="33">
        <v>1.1396011396011396E-4</v>
      </c>
    </row>
    <row r="21" spans="2:5" ht="15" customHeight="1" x14ac:dyDescent="0.25">
      <c r="B21" s="92"/>
      <c r="C21" s="31" t="s">
        <v>91</v>
      </c>
      <c r="D21" s="32">
        <v>1</v>
      </c>
      <c r="E21" s="33">
        <v>1.1396011396011396E-4</v>
      </c>
    </row>
    <row r="22" spans="2:5" ht="15" customHeight="1" x14ac:dyDescent="0.25">
      <c r="B22" s="92"/>
      <c r="C22" s="31" t="s">
        <v>95</v>
      </c>
      <c r="D22" s="32">
        <v>1</v>
      </c>
      <c r="E22" s="33">
        <v>1.1396011396011396E-4</v>
      </c>
    </row>
    <row r="23" spans="2:5" ht="15" customHeight="1" x14ac:dyDescent="0.25">
      <c r="B23" s="92"/>
      <c r="C23" s="31" t="s">
        <v>97</v>
      </c>
      <c r="D23" s="32">
        <v>3</v>
      </c>
      <c r="E23" s="33">
        <v>3.4188034188034188E-4</v>
      </c>
    </row>
    <row r="24" spans="2:5" ht="15" customHeight="1" x14ac:dyDescent="0.25">
      <c r="B24" s="92"/>
      <c r="C24" s="31" t="s">
        <v>98</v>
      </c>
      <c r="D24" s="32">
        <v>7</v>
      </c>
      <c r="E24" s="33">
        <v>7.9772079772079776E-4</v>
      </c>
    </row>
    <row r="25" spans="2:5" ht="15" customHeight="1" x14ac:dyDescent="0.25">
      <c r="B25" s="92"/>
      <c r="C25" s="31" t="s">
        <v>99</v>
      </c>
      <c r="D25" s="32">
        <v>2</v>
      </c>
      <c r="E25" s="33">
        <v>2.2792022792022791E-4</v>
      </c>
    </row>
    <row r="26" spans="2:5" ht="15" customHeight="1" x14ac:dyDescent="0.25">
      <c r="B26" s="92"/>
      <c r="C26" s="31" t="s">
        <v>100</v>
      </c>
      <c r="D26" s="32">
        <v>8</v>
      </c>
      <c r="E26" s="33">
        <v>9.1168091168091164E-4</v>
      </c>
    </row>
    <row r="27" spans="2:5" ht="15" customHeight="1" x14ac:dyDescent="0.25">
      <c r="B27" s="92"/>
      <c r="C27" s="31" t="s">
        <v>101</v>
      </c>
      <c r="D27" s="32">
        <v>4</v>
      </c>
      <c r="E27" s="33">
        <v>4.5584045584045582E-4</v>
      </c>
    </row>
    <row r="28" spans="2:5" ht="15" customHeight="1" x14ac:dyDescent="0.25">
      <c r="B28" s="92"/>
      <c r="C28" s="31" t="s">
        <v>102</v>
      </c>
      <c r="D28" s="32">
        <v>21</v>
      </c>
      <c r="E28" s="33">
        <v>2.3931623931623932E-3</v>
      </c>
    </row>
    <row r="29" spans="2:5" ht="15" customHeight="1" x14ac:dyDescent="0.25">
      <c r="B29" s="92"/>
      <c r="C29" s="31" t="s">
        <v>103</v>
      </c>
      <c r="D29" s="32">
        <v>4</v>
      </c>
      <c r="E29" s="33">
        <v>4.5584045584045582E-4</v>
      </c>
    </row>
    <row r="30" spans="2:5" ht="15" customHeight="1" x14ac:dyDescent="0.25">
      <c r="B30" s="92"/>
      <c r="C30" s="31" t="s">
        <v>104</v>
      </c>
      <c r="D30" s="32">
        <v>28</v>
      </c>
      <c r="E30" s="33">
        <v>3.190883190883191E-3</v>
      </c>
    </row>
    <row r="31" spans="2:5" ht="15" customHeight="1" x14ac:dyDescent="0.25">
      <c r="B31" s="92"/>
      <c r="C31" s="31" t="s">
        <v>105</v>
      </c>
      <c r="D31" s="32">
        <v>34</v>
      </c>
      <c r="E31" s="33">
        <v>3.8746438746438748E-3</v>
      </c>
    </row>
    <row r="32" spans="2:5" ht="15" customHeight="1" x14ac:dyDescent="0.25">
      <c r="B32" s="92"/>
      <c r="C32" s="31" t="s">
        <v>110</v>
      </c>
      <c r="D32" s="32">
        <v>2</v>
      </c>
      <c r="E32" s="33">
        <v>2.2792022792022791E-4</v>
      </c>
    </row>
    <row r="33" spans="2:5" ht="15" customHeight="1" x14ac:dyDescent="0.25">
      <c r="B33" s="92"/>
      <c r="C33" s="31" t="s">
        <v>111</v>
      </c>
      <c r="D33" s="32">
        <v>2</v>
      </c>
      <c r="E33" s="33">
        <v>2.2792022792022791E-4</v>
      </c>
    </row>
    <row r="34" spans="2:5" ht="15" customHeight="1" x14ac:dyDescent="0.25">
      <c r="B34" s="89"/>
      <c r="C34" s="34" t="s">
        <v>26</v>
      </c>
      <c r="D34" s="35">
        <v>118</v>
      </c>
      <c r="E34" s="36">
        <v>1.3447293447293448E-2</v>
      </c>
    </row>
    <row r="35" spans="2:5" ht="15" customHeight="1" x14ac:dyDescent="0.25">
      <c r="B35" s="88" t="s">
        <v>119</v>
      </c>
      <c r="C35" s="31" t="s">
        <v>97</v>
      </c>
      <c r="D35" s="32">
        <v>1</v>
      </c>
      <c r="E35" s="33">
        <v>1.1396011396011396E-4</v>
      </c>
    </row>
    <row r="36" spans="2:5" ht="15" customHeight="1" x14ac:dyDescent="0.25">
      <c r="B36" s="92"/>
      <c r="C36" s="31" t="s">
        <v>98</v>
      </c>
      <c r="D36" s="32">
        <v>3</v>
      </c>
      <c r="E36" s="33">
        <v>3.4188034188034188E-4</v>
      </c>
    </row>
    <row r="37" spans="2:5" ht="15" customHeight="1" x14ac:dyDescent="0.25">
      <c r="B37" s="92"/>
      <c r="C37" s="31" t="s">
        <v>99</v>
      </c>
      <c r="D37" s="32">
        <v>2</v>
      </c>
      <c r="E37" s="33">
        <v>2.2792022792022791E-4</v>
      </c>
    </row>
    <row r="38" spans="2:5" ht="15" customHeight="1" x14ac:dyDescent="0.25">
      <c r="B38" s="92"/>
      <c r="C38" s="31" t="s">
        <v>101</v>
      </c>
      <c r="D38" s="32">
        <v>3</v>
      </c>
      <c r="E38" s="33">
        <v>3.4188034188034188E-4</v>
      </c>
    </row>
    <row r="39" spans="2:5" ht="15" customHeight="1" x14ac:dyDescent="0.25">
      <c r="B39" s="92"/>
      <c r="C39" s="31" t="s">
        <v>102</v>
      </c>
      <c r="D39" s="32">
        <v>4</v>
      </c>
      <c r="E39" s="33">
        <v>4.5584045584045582E-4</v>
      </c>
    </row>
    <row r="40" spans="2:5" ht="15" customHeight="1" x14ac:dyDescent="0.25">
      <c r="B40" s="92"/>
      <c r="C40" s="31" t="s">
        <v>104</v>
      </c>
      <c r="D40" s="32">
        <v>1</v>
      </c>
      <c r="E40" s="33">
        <v>1.1396011396011396E-4</v>
      </c>
    </row>
    <row r="41" spans="2:5" ht="15" customHeight="1" x14ac:dyDescent="0.25">
      <c r="B41" s="92"/>
      <c r="C41" s="31" t="s">
        <v>105</v>
      </c>
      <c r="D41" s="32">
        <v>6</v>
      </c>
      <c r="E41" s="33">
        <v>6.8376068376068376E-4</v>
      </c>
    </row>
    <row r="42" spans="2:5" ht="15" customHeight="1" x14ac:dyDescent="0.25">
      <c r="B42" s="92"/>
      <c r="C42" s="31" t="s">
        <v>111</v>
      </c>
      <c r="D42" s="32">
        <v>1</v>
      </c>
      <c r="E42" s="33">
        <v>1.1396011396011396E-4</v>
      </c>
    </row>
    <row r="43" spans="2:5" ht="15" customHeight="1" x14ac:dyDescent="0.25">
      <c r="B43" s="89"/>
      <c r="C43" s="34" t="s">
        <v>26</v>
      </c>
      <c r="D43" s="35">
        <v>21</v>
      </c>
      <c r="E43" s="36">
        <v>2.3931623931623932E-3</v>
      </c>
    </row>
    <row r="44" spans="2:5" ht="15" customHeight="1" x14ac:dyDescent="0.25">
      <c r="B44" s="88" t="s">
        <v>120</v>
      </c>
      <c r="C44" s="31" t="s">
        <v>94</v>
      </c>
      <c r="D44" s="32">
        <v>1</v>
      </c>
      <c r="E44" s="33">
        <v>1.1396011396011396E-4</v>
      </c>
    </row>
    <row r="45" spans="2:5" ht="15" customHeight="1" x14ac:dyDescent="0.25">
      <c r="B45" s="92"/>
      <c r="C45" s="31" t="s">
        <v>98</v>
      </c>
      <c r="D45" s="32">
        <v>4</v>
      </c>
      <c r="E45" s="33">
        <v>4.5584045584045582E-4</v>
      </c>
    </row>
    <row r="46" spans="2:5" ht="15" customHeight="1" x14ac:dyDescent="0.25">
      <c r="B46" s="92"/>
      <c r="C46" s="31" t="s">
        <v>99</v>
      </c>
      <c r="D46" s="32">
        <v>3</v>
      </c>
      <c r="E46" s="33">
        <v>3.4188034188034188E-4</v>
      </c>
    </row>
    <row r="47" spans="2:5" ht="15" customHeight="1" x14ac:dyDescent="0.25">
      <c r="B47" s="92"/>
      <c r="C47" s="31" t="s">
        <v>101</v>
      </c>
      <c r="D47" s="32">
        <v>4</v>
      </c>
      <c r="E47" s="33">
        <v>4.5584045584045582E-4</v>
      </c>
    </row>
    <row r="48" spans="2:5" ht="15" customHeight="1" x14ac:dyDescent="0.25">
      <c r="B48" s="92"/>
      <c r="C48" s="31" t="s">
        <v>102</v>
      </c>
      <c r="D48" s="32">
        <v>7</v>
      </c>
      <c r="E48" s="33">
        <v>7.9772079772079776E-4</v>
      </c>
    </row>
    <row r="49" spans="2:5" ht="15" customHeight="1" x14ac:dyDescent="0.25">
      <c r="B49" s="92"/>
      <c r="C49" s="31" t="s">
        <v>104</v>
      </c>
      <c r="D49" s="32">
        <v>3</v>
      </c>
      <c r="E49" s="33">
        <v>3.4188034188034188E-4</v>
      </c>
    </row>
    <row r="50" spans="2:5" ht="15" customHeight="1" x14ac:dyDescent="0.25">
      <c r="B50" s="92"/>
      <c r="C50" s="31" t="s">
        <v>105</v>
      </c>
      <c r="D50" s="32">
        <v>15</v>
      </c>
      <c r="E50" s="33">
        <v>1.7094017094017094E-3</v>
      </c>
    </row>
    <row r="51" spans="2:5" ht="15" customHeight="1" x14ac:dyDescent="0.25">
      <c r="B51" s="92"/>
      <c r="C51" s="31" t="s">
        <v>111</v>
      </c>
      <c r="D51" s="32">
        <v>1</v>
      </c>
      <c r="E51" s="33">
        <v>1.1396011396011396E-4</v>
      </c>
    </row>
    <row r="52" spans="2:5" ht="15" customHeight="1" x14ac:dyDescent="0.25">
      <c r="B52" s="89"/>
      <c r="C52" s="34" t="s">
        <v>26</v>
      </c>
      <c r="D52" s="35">
        <v>38</v>
      </c>
      <c r="E52" s="36">
        <v>4.3304843304843308E-3</v>
      </c>
    </row>
    <row r="53" spans="2:5" ht="15" customHeight="1" x14ac:dyDescent="0.25">
      <c r="B53" s="88" t="s">
        <v>121</v>
      </c>
      <c r="C53" s="31" t="s">
        <v>97</v>
      </c>
      <c r="D53" s="32">
        <v>1</v>
      </c>
      <c r="E53" s="33">
        <v>1.1396011396011396E-4</v>
      </c>
    </row>
    <row r="54" spans="2:5" ht="15" customHeight="1" x14ac:dyDescent="0.25">
      <c r="B54" s="92"/>
      <c r="C54" s="31" t="s">
        <v>98</v>
      </c>
      <c r="D54" s="32">
        <v>1</v>
      </c>
      <c r="E54" s="33">
        <v>1.1396011396011396E-4</v>
      </c>
    </row>
    <row r="55" spans="2:5" ht="15" customHeight="1" x14ac:dyDescent="0.25">
      <c r="B55" s="92"/>
      <c r="C55" s="31" t="s">
        <v>102</v>
      </c>
      <c r="D55" s="32">
        <v>1</v>
      </c>
      <c r="E55" s="33">
        <v>1.1396011396011396E-4</v>
      </c>
    </row>
    <row r="56" spans="2:5" ht="15" customHeight="1" x14ac:dyDescent="0.25">
      <c r="B56" s="92"/>
      <c r="C56" s="31" t="s">
        <v>105</v>
      </c>
      <c r="D56" s="32">
        <v>1</v>
      </c>
      <c r="E56" s="33">
        <v>1.1396011396011396E-4</v>
      </c>
    </row>
    <row r="57" spans="2:5" ht="15" customHeight="1" x14ac:dyDescent="0.25">
      <c r="B57" s="92"/>
      <c r="C57" s="31" t="s">
        <v>110</v>
      </c>
      <c r="D57" s="32">
        <v>1</v>
      </c>
      <c r="E57" s="33">
        <v>1.1396011396011396E-4</v>
      </c>
    </row>
    <row r="58" spans="2:5" ht="15" customHeight="1" x14ac:dyDescent="0.25">
      <c r="B58" s="89"/>
      <c r="C58" s="34" t="s">
        <v>26</v>
      </c>
      <c r="D58" s="35">
        <v>5</v>
      </c>
      <c r="E58" s="36">
        <v>5.6980056980056976E-4</v>
      </c>
    </row>
    <row r="59" spans="2:5" ht="15" customHeight="1" x14ac:dyDescent="0.25">
      <c r="B59" s="88" t="s">
        <v>122</v>
      </c>
      <c r="C59" s="31" t="s">
        <v>96</v>
      </c>
      <c r="D59" s="32">
        <v>1</v>
      </c>
      <c r="E59" s="33">
        <v>1.1396011396011396E-4</v>
      </c>
    </row>
    <row r="60" spans="2:5" ht="15" customHeight="1" x14ac:dyDescent="0.25">
      <c r="B60" s="89"/>
      <c r="C60" s="34" t="s">
        <v>26</v>
      </c>
      <c r="D60" s="35">
        <v>1</v>
      </c>
      <c r="E60" s="36">
        <v>1.1396011396011396E-4</v>
      </c>
    </row>
    <row r="61" spans="2:5" ht="15" customHeight="1" x14ac:dyDescent="0.25">
      <c r="B61" s="88" t="s">
        <v>123</v>
      </c>
      <c r="C61" s="31" t="s">
        <v>118</v>
      </c>
      <c r="D61" s="32">
        <v>1</v>
      </c>
      <c r="E61" s="33">
        <v>1.1396011396011396E-4</v>
      </c>
    </row>
    <row r="62" spans="2:5" ht="15" customHeight="1" x14ac:dyDescent="0.25">
      <c r="B62" s="92"/>
      <c r="C62" s="31" t="s">
        <v>91</v>
      </c>
      <c r="D62" s="32">
        <v>6</v>
      </c>
      <c r="E62" s="33">
        <v>6.8376068376068376E-4</v>
      </c>
    </row>
    <row r="63" spans="2:5" ht="15" customHeight="1" x14ac:dyDescent="0.25">
      <c r="B63" s="92"/>
      <c r="C63" s="31" t="s">
        <v>92</v>
      </c>
      <c r="D63" s="32">
        <v>4</v>
      </c>
      <c r="E63" s="33">
        <v>4.5584045584045582E-4</v>
      </c>
    </row>
    <row r="64" spans="2:5" ht="15" customHeight="1" x14ac:dyDescent="0.25">
      <c r="B64" s="92"/>
      <c r="C64" s="31" t="s">
        <v>93</v>
      </c>
      <c r="D64" s="32">
        <v>3</v>
      </c>
      <c r="E64" s="33">
        <v>3.4188034188034188E-4</v>
      </c>
    </row>
    <row r="65" spans="2:5" ht="15" customHeight="1" x14ac:dyDescent="0.25">
      <c r="B65" s="92"/>
      <c r="C65" s="31" t="s">
        <v>94</v>
      </c>
      <c r="D65" s="32">
        <v>3</v>
      </c>
      <c r="E65" s="33">
        <v>3.4188034188034188E-4</v>
      </c>
    </row>
    <row r="66" spans="2:5" ht="15" customHeight="1" x14ac:dyDescent="0.25">
      <c r="B66" s="92"/>
      <c r="C66" s="31" t="s">
        <v>95</v>
      </c>
      <c r="D66" s="32">
        <v>1</v>
      </c>
      <c r="E66" s="33">
        <v>1.1396011396011396E-4</v>
      </c>
    </row>
    <row r="67" spans="2:5" ht="15" customHeight="1" x14ac:dyDescent="0.25">
      <c r="B67" s="92"/>
      <c r="C67" s="31" t="s">
        <v>96</v>
      </c>
      <c r="D67" s="32">
        <v>4</v>
      </c>
      <c r="E67" s="33">
        <v>4.5584045584045582E-4</v>
      </c>
    </row>
    <row r="68" spans="2:5" ht="15" customHeight="1" x14ac:dyDescent="0.25">
      <c r="B68" s="92"/>
      <c r="C68" s="31" t="s">
        <v>97</v>
      </c>
      <c r="D68" s="32">
        <v>21</v>
      </c>
      <c r="E68" s="33">
        <v>2.3931623931623932E-3</v>
      </c>
    </row>
    <row r="69" spans="2:5" ht="15" customHeight="1" x14ac:dyDescent="0.25">
      <c r="B69" s="92"/>
      <c r="C69" s="31" t="s">
        <v>98</v>
      </c>
      <c r="D69" s="32">
        <v>15</v>
      </c>
      <c r="E69" s="33">
        <v>1.7094017094017094E-3</v>
      </c>
    </row>
    <row r="70" spans="2:5" ht="15" customHeight="1" x14ac:dyDescent="0.25">
      <c r="B70" s="92"/>
      <c r="C70" s="31" t="s">
        <v>99</v>
      </c>
      <c r="D70" s="32">
        <v>3</v>
      </c>
      <c r="E70" s="33">
        <v>3.4188034188034188E-4</v>
      </c>
    </row>
    <row r="71" spans="2:5" ht="15" customHeight="1" x14ac:dyDescent="0.25">
      <c r="B71" s="92"/>
      <c r="C71" s="31" t="s">
        <v>100</v>
      </c>
      <c r="D71" s="32">
        <v>8</v>
      </c>
      <c r="E71" s="33">
        <v>9.1168091168091164E-4</v>
      </c>
    </row>
    <row r="72" spans="2:5" ht="15" customHeight="1" x14ac:dyDescent="0.25">
      <c r="B72" s="92"/>
      <c r="C72" s="31" t="s">
        <v>101</v>
      </c>
      <c r="D72" s="32">
        <v>6</v>
      </c>
      <c r="E72" s="33">
        <v>6.8376068376068376E-4</v>
      </c>
    </row>
    <row r="73" spans="2:5" ht="15" customHeight="1" x14ac:dyDescent="0.25">
      <c r="B73" s="92"/>
      <c r="C73" s="31" t="s">
        <v>102</v>
      </c>
      <c r="D73" s="32">
        <v>84</v>
      </c>
      <c r="E73" s="33">
        <v>9.5726495726495726E-3</v>
      </c>
    </row>
    <row r="74" spans="2:5" ht="15" customHeight="1" x14ac:dyDescent="0.25">
      <c r="B74" s="92"/>
      <c r="C74" s="31" t="s">
        <v>103</v>
      </c>
      <c r="D74" s="32">
        <v>62</v>
      </c>
      <c r="E74" s="33">
        <v>7.0655270655270658E-3</v>
      </c>
    </row>
    <row r="75" spans="2:5" ht="15" customHeight="1" x14ac:dyDescent="0.25">
      <c r="B75" s="92"/>
      <c r="C75" s="31" t="s">
        <v>104</v>
      </c>
      <c r="D75" s="32">
        <v>32</v>
      </c>
      <c r="E75" s="33">
        <v>3.6467236467236466E-3</v>
      </c>
    </row>
    <row r="76" spans="2:5" ht="15" customHeight="1" x14ac:dyDescent="0.25">
      <c r="B76" s="92"/>
      <c r="C76" s="31" t="s">
        <v>105</v>
      </c>
      <c r="D76" s="32">
        <v>168</v>
      </c>
      <c r="E76" s="33">
        <v>1.9145299145299145E-2</v>
      </c>
    </row>
    <row r="77" spans="2:5" ht="15" customHeight="1" x14ac:dyDescent="0.25">
      <c r="B77" s="92"/>
      <c r="C77" s="31" t="s">
        <v>106</v>
      </c>
      <c r="D77" s="32">
        <v>2</v>
      </c>
      <c r="E77" s="33">
        <v>2.2792022792022791E-4</v>
      </c>
    </row>
    <row r="78" spans="2:5" ht="15" customHeight="1" x14ac:dyDescent="0.25">
      <c r="B78" s="92"/>
      <c r="C78" s="31" t="s">
        <v>107</v>
      </c>
      <c r="D78" s="32">
        <v>2</v>
      </c>
      <c r="E78" s="33">
        <v>2.2792022792022791E-4</v>
      </c>
    </row>
    <row r="79" spans="2:5" ht="15" customHeight="1" x14ac:dyDescent="0.25">
      <c r="B79" s="92"/>
      <c r="C79" s="31" t="s">
        <v>108</v>
      </c>
      <c r="D79" s="32">
        <v>2</v>
      </c>
      <c r="E79" s="33">
        <v>2.2792022792022791E-4</v>
      </c>
    </row>
    <row r="80" spans="2:5" ht="15" customHeight="1" x14ac:dyDescent="0.25">
      <c r="B80" s="92"/>
      <c r="C80" s="31" t="s">
        <v>109</v>
      </c>
      <c r="D80" s="32">
        <v>1</v>
      </c>
      <c r="E80" s="33">
        <v>1.1396011396011396E-4</v>
      </c>
    </row>
    <row r="81" spans="2:5" ht="15" customHeight="1" x14ac:dyDescent="0.25">
      <c r="B81" s="92"/>
      <c r="C81" s="31" t="s">
        <v>110</v>
      </c>
      <c r="D81" s="32">
        <v>24</v>
      </c>
      <c r="E81" s="33">
        <v>2.735042735042735E-3</v>
      </c>
    </row>
    <row r="82" spans="2:5" ht="15" customHeight="1" x14ac:dyDescent="0.25">
      <c r="B82" s="92"/>
      <c r="C82" s="31" t="s">
        <v>111</v>
      </c>
      <c r="D82" s="32">
        <v>79</v>
      </c>
      <c r="E82" s="33">
        <v>9.0028490028490026E-3</v>
      </c>
    </row>
    <row r="83" spans="2:5" ht="15" customHeight="1" x14ac:dyDescent="0.25">
      <c r="B83" s="92"/>
      <c r="C83" s="31" t="s">
        <v>112</v>
      </c>
      <c r="D83" s="32">
        <v>11</v>
      </c>
      <c r="E83" s="33">
        <v>1.2535612535612536E-3</v>
      </c>
    </row>
    <row r="84" spans="2:5" ht="15" customHeight="1" x14ac:dyDescent="0.25">
      <c r="B84" s="89"/>
      <c r="C84" s="34" t="s">
        <v>26</v>
      </c>
      <c r="D84" s="35">
        <v>542</v>
      </c>
      <c r="E84" s="36">
        <v>6.1766381766381766E-2</v>
      </c>
    </row>
    <row r="85" spans="2:5" ht="15" customHeight="1" x14ac:dyDescent="0.25">
      <c r="B85" s="88" t="s">
        <v>124</v>
      </c>
      <c r="C85" s="31" t="s">
        <v>118</v>
      </c>
      <c r="D85" s="32">
        <v>1</v>
      </c>
      <c r="E85" s="33">
        <v>1.1396011396011396E-4</v>
      </c>
    </row>
    <row r="86" spans="2:5" ht="15" customHeight="1" x14ac:dyDescent="0.25">
      <c r="B86" s="92"/>
      <c r="C86" s="31" t="s">
        <v>92</v>
      </c>
      <c r="D86" s="32">
        <v>1</v>
      </c>
      <c r="E86" s="33">
        <v>1.1396011396011396E-4</v>
      </c>
    </row>
    <row r="87" spans="2:5" ht="15" customHeight="1" x14ac:dyDescent="0.25">
      <c r="B87" s="92"/>
      <c r="C87" s="31" t="s">
        <v>94</v>
      </c>
      <c r="D87" s="32">
        <v>2</v>
      </c>
      <c r="E87" s="33">
        <v>2.2792022792022791E-4</v>
      </c>
    </row>
    <row r="88" spans="2:5" ht="15" customHeight="1" x14ac:dyDescent="0.25">
      <c r="B88" s="92"/>
      <c r="C88" s="31" t="s">
        <v>96</v>
      </c>
      <c r="D88" s="32">
        <v>1</v>
      </c>
      <c r="E88" s="33">
        <v>1.1396011396011396E-4</v>
      </c>
    </row>
    <row r="89" spans="2:5" ht="15" customHeight="1" x14ac:dyDescent="0.25">
      <c r="B89" s="92"/>
      <c r="C89" s="31" t="s">
        <v>97</v>
      </c>
      <c r="D89" s="32">
        <v>6</v>
      </c>
      <c r="E89" s="33">
        <v>6.8376068376068376E-4</v>
      </c>
    </row>
    <row r="90" spans="2:5" ht="15" customHeight="1" x14ac:dyDescent="0.25">
      <c r="B90" s="92"/>
      <c r="C90" s="31" t="s">
        <v>98</v>
      </c>
      <c r="D90" s="32">
        <v>26</v>
      </c>
      <c r="E90" s="33">
        <v>2.9629629629629628E-3</v>
      </c>
    </row>
    <row r="91" spans="2:5" ht="15" customHeight="1" x14ac:dyDescent="0.25">
      <c r="B91" s="92"/>
      <c r="C91" s="31" t="s">
        <v>99</v>
      </c>
      <c r="D91" s="32">
        <v>4</v>
      </c>
      <c r="E91" s="33">
        <v>4.5584045584045582E-4</v>
      </c>
    </row>
    <row r="92" spans="2:5" ht="15" customHeight="1" x14ac:dyDescent="0.25">
      <c r="B92" s="92"/>
      <c r="C92" s="31" t="s">
        <v>100</v>
      </c>
      <c r="D92" s="32">
        <v>3</v>
      </c>
      <c r="E92" s="33">
        <v>3.4188034188034188E-4</v>
      </c>
    </row>
    <row r="93" spans="2:5" ht="15" customHeight="1" x14ac:dyDescent="0.25">
      <c r="B93" s="92"/>
      <c r="C93" s="31" t="s">
        <v>101</v>
      </c>
      <c r="D93" s="32">
        <v>6</v>
      </c>
      <c r="E93" s="33">
        <v>6.8376068376068376E-4</v>
      </c>
    </row>
    <row r="94" spans="2:5" ht="15" customHeight="1" x14ac:dyDescent="0.25">
      <c r="B94" s="92"/>
      <c r="C94" s="31" t="s">
        <v>102</v>
      </c>
      <c r="D94" s="32">
        <v>62</v>
      </c>
      <c r="E94" s="33">
        <v>7.0655270655270658E-3</v>
      </c>
    </row>
    <row r="95" spans="2:5" ht="15" customHeight="1" x14ac:dyDescent="0.25">
      <c r="B95" s="92"/>
      <c r="C95" s="31" t="s">
        <v>103</v>
      </c>
      <c r="D95" s="32">
        <v>3</v>
      </c>
      <c r="E95" s="33">
        <v>3.4188034188034188E-4</v>
      </c>
    </row>
    <row r="96" spans="2:5" ht="15" customHeight="1" x14ac:dyDescent="0.25">
      <c r="B96" s="92"/>
      <c r="C96" s="31" t="s">
        <v>104</v>
      </c>
      <c r="D96" s="32">
        <v>25</v>
      </c>
      <c r="E96" s="33">
        <v>2.8490028490028491E-3</v>
      </c>
    </row>
    <row r="97" spans="2:5" ht="15" customHeight="1" x14ac:dyDescent="0.25">
      <c r="B97" s="92"/>
      <c r="C97" s="31" t="s">
        <v>105</v>
      </c>
      <c r="D97" s="32">
        <v>46</v>
      </c>
      <c r="E97" s="33">
        <v>5.2421652421652419E-3</v>
      </c>
    </row>
    <row r="98" spans="2:5" ht="15" customHeight="1" x14ac:dyDescent="0.25">
      <c r="B98" s="92"/>
      <c r="C98" s="31" t="s">
        <v>106</v>
      </c>
      <c r="D98" s="32">
        <v>1</v>
      </c>
      <c r="E98" s="33">
        <v>1.1396011396011396E-4</v>
      </c>
    </row>
    <row r="99" spans="2:5" ht="15" customHeight="1" x14ac:dyDescent="0.25">
      <c r="B99" s="92"/>
      <c r="C99" s="31" t="s">
        <v>110</v>
      </c>
      <c r="D99" s="32">
        <v>3</v>
      </c>
      <c r="E99" s="33">
        <v>3.4188034188034188E-4</v>
      </c>
    </row>
    <row r="100" spans="2:5" ht="15" customHeight="1" x14ac:dyDescent="0.25">
      <c r="B100" s="92"/>
      <c r="C100" s="31" t="s">
        <v>111</v>
      </c>
      <c r="D100" s="32">
        <v>6</v>
      </c>
      <c r="E100" s="33">
        <v>6.8376068376068376E-4</v>
      </c>
    </row>
    <row r="101" spans="2:5" ht="15" customHeight="1" x14ac:dyDescent="0.25">
      <c r="B101" s="89"/>
      <c r="C101" s="34" t="s">
        <v>26</v>
      </c>
      <c r="D101" s="35">
        <v>196</v>
      </c>
      <c r="E101" s="36">
        <v>2.2336182336182335E-2</v>
      </c>
    </row>
    <row r="102" spans="2:5" ht="15" customHeight="1" x14ac:dyDescent="0.25">
      <c r="B102" s="88" t="s">
        <v>125</v>
      </c>
      <c r="C102" s="31" t="s">
        <v>93</v>
      </c>
      <c r="D102" s="32">
        <v>1</v>
      </c>
      <c r="E102" s="33">
        <v>1.1396011396011396E-4</v>
      </c>
    </row>
    <row r="103" spans="2:5" ht="15" customHeight="1" x14ac:dyDescent="0.25">
      <c r="B103" s="92"/>
      <c r="C103" s="31" t="s">
        <v>95</v>
      </c>
      <c r="D103" s="32">
        <v>1</v>
      </c>
      <c r="E103" s="33">
        <v>1.1396011396011396E-4</v>
      </c>
    </row>
    <row r="104" spans="2:5" ht="15" customHeight="1" x14ac:dyDescent="0.25">
      <c r="B104" s="92"/>
      <c r="C104" s="31" t="s">
        <v>97</v>
      </c>
      <c r="D104" s="32">
        <v>3</v>
      </c>
      <c r="E104" s="33">
        <v>3.4188034188034188E-4</v>
      </c>
    </row>
    <row r="105" spans="2:5" ht="15" customHeight="1" x14ac:dyDescent="0.25">
      <c r="B105" s="92"/>
      <c r="C105" s="31" t="s">
        <v>98</v>
      </c>
      <c r="D105" s="32">
        <v>9</v>
      </c>
      <c r="E105" s="33">
        <v>1.0256410256410256E-3</v>
      </c>
    </row>
    <row r="106" spans="2:5" ht="15" customHeight="1" x14ac:dyDescent="0.25">
      <c r="B106" s="92"/>
      <c r="C106" s="31" t="s">
        <v>99</v>
      </c>
      <c r="D106" s="32">
        <v>1</v>
      </c>
      <c r="E106" s="33">
        <v>1.1396011396011396E-4</v>
      </c>
    </row>
    <row r="107" spans="2:5" ht="15" customHeight="1" x14ac:dyDescent="0.25">
      <c r="B107" s="92"/>
      <c r="C107" s="31" t="s">
        <v>100</v>
      </c>
      <c r="D107" s="32">
        <v>2</v>
      </c>
      <c r="E107" s="33">
        <v>2.2792022792022791E-4</v>
      </c>
    </row>
    <row r="108" spans="2:5" ht="15" customHeight="1" x14ac:dyDescent="0.25">
      <c r="B108" s="92"/>
      <c r="C108" s="31" t="s">
        <v>101</v>
      </c>
      <c r="D108" s="32">
        <v>3</v>
      </c>
      <c r="E108" s="33">
        <v>3.4188034188034188E-4</v>
      </c>
    </row>
    <row r="109" spans="2:5" ht="15" customHeight="1" x14ac:dyDescent="0.25">
      <c r="B109" s="92"/>
      <c r="C109" s="31" t="s">
        <v>102</v>
      </c>
      <c r="D109" s="32">
        <v>41</v>
      </c>
      <c r="E109" s="33">
        <v>4.6723646723646726E-3</v>
      </c>
    </row>
    <row r="110" spans="2:5" ht="15" customHeight="1" x14ac:dyDescent="0.25">
      <c r="B110" s="92"/>
      <c r="C110" s="31" t="s">
        <v>103</v>
      </c>
      <c r="D110" s="32">
        <v>4</v>
      </c>
      <c r="E110" s="33">
        <v>4.5584045584045582E-4</v>
      </c>
    </row>
    <row r="111" spans="2:5" ht="15" customHeight="1" x14ac:dyDescent="0.25">
      <c r="B111" s="92"/>
      <c r="C111" s="31" t="s">
        <v>104</v>
      </c>
      <c r="D111" s="32">
        <v>16</v>
      </c>
      <c r="E111" s="33">
        <v>1.8233618233618233E-3</v>
      </c>
    </row>
    <row r="112" spans="2:5" ht="15" customHeight="1" x14ac:dyDescent="0.25">
      <c r="B112" s="92"/>
      <c r="C112" s="31" t="s">
        <v>105</v>
      </c>
      <c r="D112" s="32">
        <v>42</v>
      </c>
      <c r="E112" s="33">
        <v>4.7863247863247863E-3</v>
      </c>
    </row>
    <row r="113" spans="2:5" ht="15" customHeight="1" x14ac:dyDescent="0.25">
      <c r="B113" s="92"/>
      <c r="C113" s="31" t="s">
        <v>106</v>
      </c>
      <c r="D113" s="32">
        <v>2</v>
      </c>
      <c r="E113" s="33">
        <v>2.2792022792022791E-4</v>
      </c>
    </row>
    <row r="114" spans="2:5" ht="15" customHeight="1" x14ac:dyDescent="0.25">
      <c r="B114" s="92"/>
      <c r="C114" s="31" t="s">
        <v>110</v>
      </c>
      <c r="D114" s="32">
        <v>2</v>
      </c>
      <c r="E114" s="33">
        <v>2.2792022792022791E-4</v>
      </c>
    </row>
    <row r="115" spans="2:5" ht="15" customHeight="1" x14ac:dyDescent="0.25">
      <c r="B115" s="92"/>
      <c r="C115" s="31" t="s">
        <v>111</v>
      </c>
      <c r="D115" s="32">
        <v>7</v>
      </c>
      <c r="E115" s="33">
        <v>7.9772079772079776E-4</v>
      </c>
    </row>
    <row r="116" spans="2:5" ht="15" customHeight="1" x14ac:dyDescent="0.25">
      <c r="B116" s="89"/>
      <c r="C116" s="34" t="s">
        <v>26</v>
      </c>
      <c r="D116" s="35">
        <v>134</v>
      </c>
      <c r="E116" s="36">
        <v>1.527065527065527E-2</v>
      </c>
    </row>
    <row r="117" spans="2:5" ht="15" customHeight="1" x14ac:dyDescent="0.25">
      <c r="B117" s="88" t="s">
        <v>126</v>
      </c>
      <c r="C117" s="31" t="s">
        <v>93</v>
      </c>
      <c r="D117" s="32">
        <v>1</v>
      </c>
      <c r="E117" s="33">
        <v>1.1396011396011396E-4</v>
      </c>
    </row>
    <row r="118" spans="2:5" ht="15" customHeight="1" x14ac:dyDescent="0.25">
      <c r="B118" s="92"/>
      <c r="C118" s="31" t="s">
        <v>94</v>
      </c>
      <c r="D118" s="32">
        <v>1</v>
      </c>
      <c r="E118" s="33">
        <v>1.1396011396011396E-4</v>
      </c>
    </row>
    <row r="119" spans="2:5" ht="15" customHeight="1" x14ac:dyDescent="0.25">
      <c r="B119" s="92"/>
      <c r="C119" s="31" t="s">
        <v>95</v>
      </c>
      <c r="D119" s="32">
        <v>1</v>
      </c>
      <c r="E119" s="33">
        <v>1.1396011396011396E-4</v>
      </c>
    </row>
    <row r="120" spans="2:5" ht="15" customHeight="1" x14ac:dyDescent="0.25">
      <c r="B120" s="92"/>
      <c r="C120" s="31" t="s">
        <v>97</v>
      </c>
      <c r="D120" s="32">
        <v>2</v>
      </c>
      <c r="E120" s="33">
        <v>2.2792022792022791E-4</v>
      </c>
    </row>
    <row r="121" spans="2:5" ht="15" customHeight="1" x14ac:dyDescent="0.25">
      <c r="B121" s="92"/>
      <c r="C121" s="31" t="s">
        <v>98</v>
      </c>
      <c r="D121" s="32">
        <v>6</v>
      </c>
      <c r="E121" s="33">
        <v>6.8376068376068376E-4</v>
      </c>
    </row>
    <row r="122" spans="2:5" ht="15" customHeight="1" x14ac:dyDescent="0.25">
      <c r="B122" s="92"/>
      <c r="C122" s="31" t="s">
        <v>99</v>
      </c>
      <c r="D122" s="32">
        <v>2</v>
      </c>
      <c r="E122" s="33">
        <v>2.2792022792022791E-4</v>
      </c>
    </row>
    <row r="123" spans="2:5" ht="15" customHeight="1" x14ac:dyDescent="0.25">
      <c r="B123" s="92"/>
      <c r="C123" s="31" t="s">
        <v>100</v>
      </c>
      <c r="D123" s="32">
        <v>7</v>
      </c>
      <c r="E123" s="33">
        <v>7.9772079772079776E-4</v>
      </c>
    </row>
    <row r="124" spans="2:5" ht="15" customHeight="1" x14ac:dyDescent="0.25">
      <c r="B124" s="92"/>
      <c r="C124" s="31" t="s">
        <v>101</v>
      </c>
      <c r="D124" s="32">
        <v>2</v>
      </c>
      <c r="E124" s="33">
        <v>2.2792022792022791E-4</v>
      </c>
    </row>
    <row r="125" spans="2:5" ht="15" customHeight="1" x14ac:dyDescent="0.25">
      <c r="B125" s="92"/>
      <c r="C125" s="31" t="s">
        <v>102</v>
      </c>
      <c r="D125" s="32">
        <v>17</v>
      </c>
      <c r="E125" s="33">
        <v>1.9373219373219374E-3</v>
      </c>
    </row>
    <row r="126" spans="2:5" ht="15" customHeight="1" x14ac:dyDescent="0.25">
      <c r="B126" s="92"/>
      <c r="C126" s="31" t="s">
        <v>103</v>
      </c>
      <c r="D126" s="32">
        <v>4</v>
      </c>
      <c r="E126" s="33">
        <v>4.5584045584045582E-4</v>
      </c>
    </row>
    <row r="127" spans="2:5" ht="15" customHeight="1" x14ac:dyDescent="0.25">
      <c r="B127" s="92"/>
      <c r="C127" s="31" t="s">
        <v>104</v>
      </c>
      <c r="D127" s="32">
        <v>14</v>
      </c>
      <c r="E127" s="33">
        <v>1.5954415954415955E-3</v>
      </c>
    </row>
    <row r="128" spans="2:5" ht="15" customHeight="1" x14ac:dyDescent="0.25">
      <c r="B128" s="92"/>
      <c r="C128" s="31" t="s">
        <v>105</v>
      </c>
      <c r="D128" s="32">
        <v>30</v>
      </c>
      <c r="E128" s="33">
        <v>3.4188034188034188E-3</v>
      </c>
    </row>
    <row r="129" spans="2:5" ht="15" customHeight="1" x14ac:dyDescent="0.25">
      <c r="B129" s="92"/>
      <c r="C129" s="31" t="s">
        <v>106</v>
      </c>
      <c r="D129" s="32">
        <v>2</v>
      </c>
      <c r="E129" s="33">
        <v>2.2792022792022791E-4</v>
      </c>
    </row>
    <row r="130" spans="2:5" ht="15" customHeight="1" x14ac:dyDescent="0.25">
      <c r="B130" s="92"/>
      <c r="C130" s="31" t="s">
        <v>107</v>
      </c>
      <c r="D130" s="32">
        <v>1</v>
      </c>
      <c r="E130" s="33">
        <v>1.1396011396011396E-4</v>
      </c>
    </row>
    <row r="131" spans="2:5" ht="15" customHeight="1" x14ac:dyDescent="0.25">
      <c r="B131" s="92"/>
      <c r="C131" s="31" t="s">
        <v>110</v>
      </c>
      <c r="D131" s="32">
        <v>2</v>
      </c>
      <c r="E131" s="33">
        <v>2.2792022792022791E-4</v>
      </c>
    </row>
    <row r="132" spans="2:5" ht="15" customHeight="1" x14ac:dyDescent="0.25">
      <c r="B132" s="92"/>
      <c r="C132" s="31" t="s">
        <v>111</v>
      </c>
      <c r="D132" s="32">
        <v>8</v>
      </c>
      <c r="E132" s="33">
        <v>9.1168091168091164E-4</v>
      </c>
    </row>
    <row r="133" spans="2:5" ht="15" customHeight="1" x14ac:dyDescent="0.25">
      <c r="B133" s="92"/>
      <c r="C133" s="31" t="s">
        <v>112</v>
      </c>
      <c r="D133" s="32">
        <v>1</v>
      </c>
      <c r="E133" s="33">
        <v>1.1396011396011396E-4</v>
      </c>
    </row>
    <row r="134" spans="2:5" ht="15" customHeight="1" x14ac:dyDescent="0.25">
      <c r="B134" s="89"/>
      <c r="C134" s="34" t="s">
        <v>26</v>
      </c>
      <c r="D134" s="35">
        <v>101</v>
      </c>
      <c r="E134" s="36">
        <v>1.150997150997151E-2</v>
      </c>
    </row>
    <row r="135" spans="2:5" ht="15" customHeight="1" x14ac:dyDescent="0.25">
      <c r="B135" s="88" t="s">
        <v>127</v>
      </c>
      <c r="C135" s="31" t="s">
        <v>97</v>
      </c>
      <c r="D135" s="32">
        <v>2</v>
      </c>
      <c r="E135" s="33">
        <v>2.2792022792022791E-4</v>
      </c>
    </row>
    <row r="136" spans="2:5" ht="15" customHeight="1" x14ac:dyDescent="0.25">
      <c r="B136" s="92"/>
      <c r="C136" s="31" t="s">
        <v>98</v>
      </c>
      <c r="D136" s="32">
        <v>1</v>
      </c>
      <c r="E136" s="33">
        <v>1.1396011396011396E-4</v>
      </c>
    </row>
    <row r="137" spans="2:5" ht="15" customHeight="1" x14ac:dyDescent="0.25">
      <c r="B137" s="92"/>
      <c r="C137" s="31" t="s">
        <v>99</v>
      </c>
      <c r="D137" s="32">
        <v>1</v>
      </c>
      <c r="E137" s="33">
        <v>1.1396011396011396E-4</v>
      </c>
    </row>
    <row r="138" spans="2:5" ht="15" customHeight="1" x14ac:dyDescent="0.25">
      <c r="B138" s="92"/>
      <c r="C138" s="31" t="s">
        <v>100</v>
      </c>
      <c r="D138" s="32">
        <v>1</v>
      </c>
      <c r="E138" s="33">
        <v>1.1396011396011396E-4</v>
      </c>
    </row>
    <row r="139" spans="2:5" ht="15" customHeight="1" x14ac:dyDescent="0.25">
      <c r="B139" s="92"/>
      <c r="C139" s="31" t="s">
        <v>101</v>
      </c>
      <c r="D139" s="32">
        <v>2</v>
      </c>
      <c r="E139" s="33">
        <v>2.2792022792022791E-4</v>
      </c>
    </row>
    <row r="140" spans="2:5" ht="15" customHeight="1" x14ac:dyDescent="0.25">
      <c r="B140" s="92"/>
      <c r="C140" s="31" t="s">
        <v>102</v>
      </c>
      <c r="D140" s="32">
        <v>5</v>
      </c>
      <c r="E140" s="33">
        <v>5.6980056980056976E-4</v>
      </c>
    </row>
    <row r="141" spans="2:5" ht="15" customHeight="1" x14ac:dyDescent="0.25">
      <c r="B141" s="92"/>
      <c r="C141" s="31" t="s">
        <v>104</v>
      </c>
      <c r="D141" s="32">
        <v>3</v>
      </c>
      <c r="E141" s="33">
        <v>3.4188034188034188E-4</v>
      </c>
    </row>
    <row r="142" spans="2:5" ht="15" customHeight="1" x14ac:dyDescent="0.25">
      <c r="B142" s="92"/>
      <c r="C142" s="31" t="s">
        <v>105</v>
      </c>
      <c r="D142" s="32">
        <v>5</v>
      </c>
      <c r="E142" s="33">
        <v>5.6980056980056976E-4</v>
      </c>
    </row>
    <row r="143" spans="2:5" ht="15" customHeight="1" x14ac:dyDescent="0.25">
      <c r="B143" s="92"/>
      <c r="C143" s="31" t="s">
        <v>107</v>
      </c>
      <c r="D143" s="32">
        <v>1</v>
      </c>
      <c r="E143" s="33">
        <v>1.1396011396011396E-4</v>
      </c>
    </row>
    <row r="144" spans="2:5" ht="15" customHeight="1" x14ac:dyDescent="0.25">
      <c r="B144" s="92"/>
      <c r="C144" s="31" t="s">
        <v>110</v>
      </c>
      <c r="D144" s="32">
        <v>1</v>
      </c>
      <c r="E144" s="33">
        <v>1.1396011396011396E-4</v>
      </c>
    </row>
    <row r="145" spans="2:5" ht="15" customHeight="1" x14ac:dyDescent="0.25">
      <c r="B145" s="92"/>
      <c r="C145" s="31" t="s">
        <v>112</v>
      </c>
      <c r="D145" s="32">
        <v>1</v>
      </c>
      <c r="E145" s="33">
        <v>1.1396011396011396E-4</v>
      </c>
    </row>
    <row r="146" spans="2:5" ht="15" customHeight="1" x14ac:dyDescent="0.25">
      <c r="B146" s="89"/>
      <c r="C146" s="34" t="s">
        <v>26</v>
      </c>
      <c r="D146" s="35">
        <v>23</v>
      </c>
      <c r="E146" s="36">
        <v>2.6210826210826209E-3</v>
      </c>
    </row>
    <row r="147" spans="2:5" ht="15" customHeight="1" x14ac:dyDescent="0.25">
      <c r="B147" s="88" t="s">
        <v>128</v>
      </c>
      <c r="C147" s="31" t="s">
        <v>102</v>
      </c>
      <c r="D147" s="32">
        <v>1</v>
      </c>
      <c r="E147" s="33">
        <v>1.1396011396011396E-4</v>
      </c>
    </row>
    <row r="148" spans="2:5" ht="15" customHeight="1" x14ac:dyDescent="0.25">
      <c r="B148" s="89"/>
      <c r="C148" s="34" t="s">
        <v>26</v>
      </c>
      <c r="D148" s="35">
        <v>1</v>
      </c>
      <c r="E148" s="36">
        <v>1.1396011396011396E-4</v>
      </c>
    </row>
    <row r="149" spans="2:5" ht="15" customHeight="1" x14ac:dyDescent="0.25">
      <c r="B149" s="88" t="s">
        <v>129</v>
      </c>
      <c r="C149" s="31" t="s">
        <v>98</v>
      </c>
      <c r="D149" s="32">
        <v>1</v>
      </c>
      <c r="E149" s="33">
        <v>1.1396011396011396E-4</v>
      </c>
    </row>
    <row r="150" spans="2:5" ht="15" customHeight="1" x14ac:dyDescent="0.25">
      <c r="B150" s="92"/>
      <c r="C150" s="31" t="s">
        <v>100</v>
      </c>
      <c r="D150" s="32">
        <v>1</v>
      </c>
      <c r="E150" s="33">
        <v>1.1396011396011396E-4</v>
      </c>
    </row>
    <row r="151" spans="2:5" ht="15" customHeight="1" x14ac:dyDescent="0.25">
      <c r="B151" s="92"/>
      <c r="C151" s="31" t="s">
        <v>101</v>
      </c>
      <c r="D151" s="32">
        <v>1</v>
      </c>
      <c r="E151" s="33">
        <v>1.1396011396011396E-4</v>
      </c>
    </row>
    <row r="152" spans="2:5" ht="15" customHeight="1" x14ac:dyDescent="0.25">
      <c r="B152" s="92"/>
      <c r="C152" s="31" t="s">
        <v>102</v>
      </c>
      <c r="D152" s="32">
        <v>1</v>
      </c>
      <c r="E152" s="33">
        <v>1.1396011396011396E-4</v>
      </c>
    </row>
    <row r="153" spans="2:5" ht="15" customHeight="1" x14ac:dyDescent="0.25">
      <c r="B153" s="92"/>
      <c r="C153" s="31" t="s">
        <v>105</v>
      </c>
      <c r="D153" s="32">
        <v>9</v>
      </c>
      <c r="E153" s="33">
        <v>1.0256410256410256E-3</v>
      </c>
    </row>
    <row r="154" spans="2:5" ht="15" customHeight="1" x14ac:dyDescent="0.25">
      <c r="B154" s="92"/>
      <c r="C154" s="31" t="s">
        <v>111</v>
      </c>
      <c r="D154" s="32">
        <v>4</v>
      </c>
      <c r="E154" s="33">
        <v>4.5584045584045582E-4</v>
      </c>
    </row>
    <row r="155" spans="2:5" ht="15" customHeight="1" x14ac:dyDescent="0.25">
      <c r="B155" s="89"/>
      <c r="C155" s="34" t="s">
        <v>26</v>
      </c>
      <c r="D155" s="35">
        <v>17</v>
      </c>
      <c r="E155" s="36">
        <v>1.9373219373219374E-3</v>
      </c>
    </row>
    <row r="156" spans="2:5" ht="15" customHeight="1" x14ac:dyDescent="0.25">
      <c r="B156" s="88" t="s">
        <v>130</v>
      </c>
      <c r="C156" s="31" t="s">
        <v>94</v>
      </c>
      <c r="D156" s="32">
        <v>2</v>
      </c>
      <c r="E156" s="33">
        <v>2.2792022792022791E-4</v>
      </c>
    </row>
    <row r="157" spans="2:5" ht="15" customHeight="1" x14ac:dyDescent="0.25">
      <c r="B157" s="92"/>
      <c r="C157" s="31" t="s">
        <v>95</v>
      </c>
      <c r="D157" s="32">
        <v>1</v>
      </c>
      <c r="E157" s="33">
        <v>1.1396011396011396E-4</v>
      </c>
    </row>
    <row r="158" spans="2:5" ht="15" customHeight="1" x14ac:dyDescent="0.25">
      <c r="B158" s="92"/>
      <c r="C158" s="31" t="s">
        <v>96</v>
      </c>
      <c r="D158" s="32">
        <v>2</v>
      </c>
      <c r="E158" s="33">
        <v>2.2792022792022791E-4</v>
      </c>
    </row>
    <row r="159" spans="2:5" ht="15" customHeight="1" x14ac:dyDescent="0.25">
      <c r="B159" s="92"/>
      <c r="C159" s="31" t="s">
        <v>97</v>
      </c>
      <c r="D159" s="32">
        <v>1</v>
      </c>
      <c r="E159" s="33">
        <v>1.1396011396011396E-4</v>
      </c>
    </row>
    <row r="160" spans="2:5" ht="15" customHeight="1" x14ac:dyDescent="0.25">
      <c r="B160" s="92"/>
      <c r="C160" s="31" t="s">
        <v>98</v>
      </c>
      <c r="D160" s="32">
        <v>2</v>
      </c>
      <c r="E160" s="33">
        <v>2.2792022792022791E-4</v>
      </c>
    </row>
    <row r="161" spans="2:5" ht="15" customHeight="1" x14ac:dyDescent="0.25">
      <c r="B161" s="92"/>
      <c r="C161" s="31" t="s">
        <v>102</v>
      </c>
      <c r="D161" s="32">
        <v>3</v>
      </c>
      <c r="E161" s="33">
        <v>3.4188034188034188E-4</v>
      </c>
    </row>
    <row r="162" spans="2:5" ht="15" customHeight="1" x14ac:dyDescent="0.25">
      <c r="B162" s="92"/>
      <c r="C162" s="31" t="s">
        <v>103</v>
      </c>
      <c r="D162" s="32">
        <v>1</v>
      </c>
      <c r="E162" s="33">
        <v>1.1396011396011396E-4</v>
      </c>
    </row>
    <row r="163" spans="2:5" ht="15" customHeight="1" x14ac:dyDescent="0.25">
      <c r="B163" s="92"/>
      <c r="C163" s="31" t="s">
        <v>104</v>
      </c>
      <c r="D163" s="32">
        <v>3</v>
      </c>
      <c r="E163" s="33">
        <v>3.4188034188034188E-4</v>
      </c>
    </row>
    <row r="164" spans="2:5" ht="15" customHeight="1" x14ac:dyDescent="0.25">
      <c r="B164" s="92"/>
      <c r="C164" s="31" t="s">
        <v>105</v>
      </c>
      <c r="D164" s="32">
        <v>5</v>
      </c>
      <c r="E164" s="33">
        <v>5.6980056980056976E-4</v>
      </c>
    </row>
    <row r="165" spans="2:5" ht="15" customHeight="1" x14ac:dyDescent="0.25">
      <c r="B165" s="92"/>
      <c r="C165" s="31" t="s">
        <v>111</v>
      </c>
      <c r="D165" s="32">
        <v>1</v>
      </c>
      <c r="E165" s="33">
        <v>1.1396011396011396E-4</v>
      </c>
    </row>
    <row r="166" spans="2:5" ht="15" customHeight="1" x14ac:dyDescent="0.25">
      <c r="B166" s="89"/>
      <c r="C166" s="34" t="s">
        <v>26</v>
      </c>
      <c r="D166" s="35">
        <v>21</v>
      </c>
      <c r="E166" s="36">
        <v>2.3931623931623932E-3</v>
      </c>
    </row>
    <row r="167" spans="2:5" ht="15" customHeight="1" x14ac:dyDescent="0.25">
      <c r="B167" s="88" t="s">
        <v>131</v>
      </c>
      <c r="C167" s="31" t="s">
        <v>118</v>
      </c>
      <c r="D167" s="32">
        <v>3</v>
      </c>
      <c r="E167" s="33">
        <v>3.4188034188034188E-4</v>
      </c>
    </row>
    <row r="168" spans="2:5" ht="15" customHeight="1" x14ac:dyDescent="0.25">
      <c r="B168" s="92"/>
      <c r="C168" s="31" t="s">
        <v>91</v>
      </c>
      <c r="D168" s="32">
        <v>4</v>
      </c>
      <c r="E168" s="33">
        <v>4.5584045584045582E-4</v>
      </c>
    </row>
    <row r="169" spans="2:5" ht="15" customHeight="1" x14ac:dyDescent="0.25">
      <c r="B169" s="92"/>
      <c r="C169" s="31" t="s">
        <v>92</v>
      </c>
      <c r="D169" s="32">
        <v>3</v>
      </c>
      <c r="E169" s="33">
        <v>3.4188034188034188E-4</v>
      </c>
    </row>
    <row r="170" spans="2:5" ht="15" customHeight="1" x14ac:dyDescent="0.25">
      <c r="B170" s="92"/>
      <c r="C170" s="31" t="s">
        <v>93</v>
      </c>
      <c r="D170" s="32">
        <v>3</v>
      </c>
      <c r="E170" s="33">
        <v>3.4188034188034188E-4</v>
      </c>
    </row>
    <row r="171" spans="2:5" ht="15" customHeight="1" x14ac:dyDescent="0.25">
      <c r="B171" s="92"/>
      <c r="C171" s="31" t="s">
        <v>94</v>
      </c>
      <c r="D171" s="32">
        <v>8</v>
      </c>
      <c r="E171" s="33">
        <v>9.1168091168091164E-4</v>
      </c>
    </row>
    <row r="172" spans="2:5" ht="15" customHeight="1" x14ac:dyDescent="0.25">
      <c r="B172" s="92"/>
      <c r="C172" s="31" t="s">
        <v>95</v>
      </c>
      <c r="D172" s="32">
        <v>2</v>
      </c>
      <c r="E172" s="33">
        <v>2.2792022792022791E-4</v>
      </c>
    </row>
    <row r="173" spans="2:5" ht="15" customHeight="1" x14ac:dyDescent="0.25">
      <c r="B173" s="92"/>
      <c r="C173" s="31" t="s">
        <v>96</v>
      </c>
      <c r="D173" s="32">
        <v>17</v>
      </c>
      <c r="E173" s="33">
        <v>1.9373219373219374E-3</v>
      </c>
    </row>
    <row r="174" spans="2:5" ht="15" customHeight="1" x14ac:dyDescent="0.25">
      <c r="B174" s="92"/>
      <c r="C174" s="31" t="s">
        <v>97</v>
      </c>
      <c r="D174" s="32">
        <v>40</v>
      </c>
      <c r="E174" s="33">
        <v>4.5584045584045581E-3</v>
      </c>
    </row>
    <row r="175" spans="2:5" ht="15" customHeight="1" x14ac:dyDescent="0.25">
      <c r="B175" s="92"/>
      <c r="C175" s="31" t="s">
        <v>98</v>
      </c>
      <c r="D175" s="32">
        <v>45</v>
      </c>
      <c r="E175" s="33">
        <v>5.1282051282051282E-3</v>
      </c>
    </row>
    <row r="176" spans="2:5" ht="15" customHeight="1" x14ac:dyDescent="0.25">
      <c r="B176" s="92"/>
      <c r="C176" s="31" t="s">
        <v>99</v>
      </c>
      <c r="D176" s="32">
        <v>12</v>
      </c>
      <c r="E176" s="33">
        <v>1.3675213675213675E-3</v>
      </c>
    </row>
    <row r="177" spans="2:5" ht="15" customHeight="1" x14ac:dyDescent="0.25">
      <c r="B177" s="92"/>
      <c r="C177" s="31" t="s">
        <v>100</v>
      </c>
      <c r="D177" s="32">
        <v>15</v>
      </c>
      <c r="E177" s="33">
        <v>1.7094017094017094E-3</v>
      </c>
    </row>
    <row r="178" spans="2:5" ht="15" customHeight="1" x14ac:dyDescent="0.25">
      <c r="B178" s="92"/>
      <c r="C178" s="31" t="s">
        <v>101</v>
      </c>
      <c r="D178" s="32">
        <v>22</v>
      </c>
      <c r="E178" s="33">
        <v>2.5071225071225073E-3</v>
      </c>
    </row>
    <row r="179" spans="2:5" ht="15" customHeight="1" x14ac:dyDescent="0.25">
      <c r="B179" s="92"/>
      <c r="C179" s="31" t="s">
        <v>102</v>
      </c>
      <c r="D179" s="32">
        <v>114</v>
      </c>
      <c r="E179" s="33">
        <v>1.2991452991452991E-2</v>
      </c>
    </row>
    <row r="180" spans="2:5" ht="15" customHeight="1" x14ac:dyDescent="0.25">
      <c r="B180" s="92"/>
      <c r="C180" s="31" t="s">
        <v>103</v>
      </c>
      <c r="D180" s="32">
        <v>9</v>
      </c>
      <c r="E180" s="33">
        <v>1.0256410256410256E-3</v>
      </c>
    </row>
    <row r="181" spans="2:5" ht="15" customHeight="1" x14ac:dyDescent="0.25">
      <c r="B181" s="92"/>
      <c r="C181" s="31" t="s">
        <v>104</v>
      </c>
      <c r="D181" s="32">
        <v>87</v>
      </c>
      <c r="E181" s="33">
        <v>9.9145299145299154E-3</v>
      </c>
    </row>
    <row r="182" spans="2:5" ht="15" customHeight="1" x14ac:dyDescent="0.25">
      <c r="B182" s="92"/>
      <c r="C182" s="31" t="s">
        <v>105</v>
      </c>
      <c r="D182" s="32">
        <v>152</v>
      </c>
      <c r="E182" s="33">
        <v>1.7321937321937323E-2</v>
      </c>
    </row>
    <row r="183" spans="2:5" ht="15" customHeight="1" x14ac:dyDescent="0.25">
      <c r="B183" s="92"/>
      <c r="C183" s="31" t="s">
        <v>106</v>
      </c>
      <c r="D183" s="32">
        <v>12</v>
      </c>
      <c r="E183" s="33">
        <v>1.3675213675213675E-3</v>
      </c>
    </row>
    <row r="184" spans="2:5" ht="15" customHeight="1" x14ac:dyDescent="0.25">
      <c r="B184" s="92"/>
      <c r="C184" s="31" t="s">
        <v>107</v>
      </c>
      <c r="D184" s="32">
        <v>4</v>
      </c>
      <c r="E184" s="33">
        <v>4.5584045584045582E-4</v>
      </c>
    </row>
    <row r="185" spans="2:5" ht="15" customHeight="1" x14ac:dyDescent="0.25">
      <c r="B185" s="92"/>
      <c r="C185" s="31" t="s">
        <v>108</v>
      </c>
      <c r="D185" s="32">
        <v>2</v>
      </c>
      <c r="E185" s="33">
        <v>2.2792022792022791E-4</v>
      </c>
    </row>
    <row r="186" spans="2:5" ht="15" customHeight="1" x14ac:dyDescent="0.25">
      <c r="B186" s="92"/>
      <c r="C186" s="31" t="s">
        <v>109</v>
      </c>
      <c r="D186" s="32">
        <v>3</v>
      </c>
      <c r="E186" s="33">
        <v>3.4188034188034188E-4</v>
      </c>
    </row>
    <row r="187" spans="2:5" ht="15" customHeight="1" x14ac:dyDescent="0.25">
      <c r="B187" s="92"/>
      <c r="C187" s="31" t="s">
        <v>110</v>
      </c>
      <c r="D187" s="32">
        <v>19</v>
      </c>
      <c r="E187" s="33">
        <v>2.1652421652421654E-3</v>
      </c>
    </row>
    <row r="188" spans="2:5" ht="15" customHeight="1" x14ac:dyDescent="0.25">
      <c r="B188" s="92"/>
      <c r="C188" s="31" t="s">
        <v>111</v>
      </c>
      <c r="D188" s="32">
        <v>12</v>
      </c>
      <c r="E188" s="33">
        <v>1.3675213675213675E-3</v>
      </c>
    </row>
    <row r="189" spans="2:5" ht="15" customHeight="1" x14ac:dyDescent="0.25">
      <c r="B189" s="92"/>
      <c r="C189" s="31" t="s">
        <v>112</v>
      </c>
      <c r="D189" s="32">
        <v>1</v>
      </c>
      <c r="E189" s="33">
        <v>1.1396011396011396E-4</v>
      </c>
    </row>
    <row r="190" spans="2:5" ht="15" customHeight="1" x14ac:dyDescent="0.25">
      <c r="B190" s="89"/>
      <c r="C190" s="34" t="s">
        <v>26</v>
      </c>
      <c r="D190" s="35">
        <v>589</v>
      </c>
      <c r="E190" s="36">
        <v>6.7122507122507127E-2</v>
      </c>
    </row>
    <row r="191" spans="2:5" ht="15" customHeight="1" x14ac:dyDescent="0.25">
      <c r="B191" s="88" t="s">
        <v>132</v>
      </c>
      <c r="C191" s="31" t="s">
        <v>93</v>
      </c>
      <c r="D191" s="32">
        <v>1</v>
      </c>
      <c r="E191" s="33">
        <v>1.1396011396011396E-4</v>
      </c>
    </row>
    <row r="192" spans="2:5" ht="15" customHeight="1" x14ac:dyDescent="0.25">
      <c r="B192" s="92"/>
      <c r="C192" s="31" t="s">
        <v>94</v>
      </c>
      <c r="D192" s="32">
        <v>1</v>
      </c>
      <c r="E192" s="33">
        <v>1.1396011396011396E-4</v>
      </c>
    </row>
    <row r="193" spans="2:5" ht="15" customHeight="1" x14ac:dyDescent="0.25">
      <c r="B193" s="92"/>
      <c r="C193" s="31" t="s">
        <v>96</v>
      </c>
      <c r="D193" s="32">
        <v>1</v>
      </c>
      <c r="E193" s="33">
        <v>1.1396011396011396E-4</v>
      </c>
    </row>
    <row r="194" spans="2:5" ht="15" customHeight="1" x14ac:dyDescent="0.25">
      <c r="B194" s="92"/>
      <c r="C194" s="31" t="s">
        <v>97</v>
      </c>
      <c r="D194" s="32">
        <v>8</v>
      </c>
      <c r="E194" s="33">
        <v>9.1168091168091164E-4</v>
      </c>
    </row>
    <row r="195" spans="2:5" ht="15" customHeight="1" x14ac:dyDescent="0.25">
      <c r="B195" s="92"/>
      <c r="C195" s="31" t="s">
        <v>98</v>
      </c>
      <c r="D195" s="32">
        <v>10</v>
      </c>
      <c r="E195" s="33">
        <v>1.1396011396011395E-3</v>
      </c>
    </row>
    <row r="196" spans="2:5" ht="15" customHeight="1" x14ac:dyDescent="0.25">
      <c r="B196" s="92"/>
      <c r="C196" s="31" t="s">
        <v>99</v>
      </c>
      <c r="D196" s="32">
        <v>1</v>
      </c>
      <c r="E196" s="33">
        <v>1.1396011396011396E-4</v>
      </c>
    </row>
    <row r="197" spans="2:5" ht="15" customHeight="1" x14ac:dyDescent="0.25">
      <c r="B197" s="92"/>
      <c r="C197" s="31" t="s">
        <v>100</v>
      </c>
      <c r="D197" s="32">
        <v>4</v>
      </c>
      <c r="E197" s="33">
        <v>4.5584045584045582E-4</v>
      </c>
    </row>
    <row r="198" spans="2:5" ht="15" customHeight="1" x14ac:dyDescent="0.25">
      <c r="B198" s="92"/>
      <c r="C198" s="31" t="s">
        <v>101</v>
      </c>
      <c r="D198" s="32">
        <v>3</v>
      </c>
      <c r="E198" s="33">
        <v>3.4188034188034188E-4</v>
      </c>
    </row>
    <row r="199" spans="2:5" ht="15" customHeight="1" x14ac:dyDescent="0.25">
      <c r="B199" s="92"/>
      <c r="C199" s="31" t="s">
        <v>102</v>
      </c>
      <c r="D199" s="32">
        <v>24</v>
      </c>
      <c r="E199" s="33">
        <v>2.735042735042735E-3</v>
      </c>
    </row>
    <row r="200" spans="2:5" ht="15" customHeight="1" x14ac:dyDescent="0.25">
      <c r="B200" s="92"/>
      <c r="C200" s="31" t="s">
        <v>103</v>
      </c>
      <c r="D200" s="32">
        <v>1</v>
      </c>
      <c r="E200" s="33">
        <v>1.1396011396011396E-4</v>
      </c>
    </row>
    <row r="201" spans="2:5" ht="15" customHeight="1" x14ac:dyDescent="0.25">
      <c r="B201" s="92"/>
      <c r="C201" s="31" t="s">
        <v>104</v>
      </c>
      <c r="D201" s="32">
        <v>11</v>
      </c>
      <c r="E201" s="33">
        <v>1.2535612535612536E-3</v>
      </c>
    </row>
    <row r="202" spans="2:5" ht="15" customHeight="1" x14ac:dyDescent="0.25">
      <c r="B202" s="92"/>
      <c r="C202" s="31" t="s">
        <v>105</v>
      </c>
      <c r="D202" s="32">
        <v>35</v>
      </c>
      <c r="E202" s="33">
        <v>3.9886039886039889E-3</v>
      </c>
    </row>
    <row r="203" spans="2:5" ht="15" customHeight="1" x14ac:dyDescent="0.25">
      <c r="B203" s="92"/>
      <c r="C203" s="31" t="s">
        <v>106</v>
      </c>
      <c r="D203" s="32">
        <v>1</v>
      </c>
      <c r="E203" s="33">
        <v>1.1396011396011396E-4</v>
      </c>
    </row>
    <row r="204" spans="2:5" ht="15" customHeight="1" x14ac:dyDescent="0.25">
      <c r="B204" s="92"/>
      <c r="C204" s="31" t="s">
        <v>107</v>
      </c>
      <c r="D204" s="32">
        <v>2</v>
      </c>
      <c r="E204" s="33">
        <v>2.2792022792022791E-4</v>
      </c>
    </row>
    <row r="205" spans="2:5" ht="15" customHeight="1" x14ac:dyDescent="0.25">
      <c r="B205" s="92"/>
      <c r="C205" s="31" t="s">
        <v>108</v>
      </c>
      <c r="D205" s="32">
        <v>1</v>
      </c>
      <c r="E205" s="33">
        <v>1.1396011396011396E-4</v>
      </c>
    </row>
    <row r="206" spans="2:5" ht="15" customHeight="1" x14ac:dyDescent="0.25">
      <c r="B206" s="92"/>
      <c r="C206" s="31" t="s">
        <v>110</v>
      </c>
      <c r="D206" s="32">
        <v>3</v>
      </c>
      <c r="E206" s="33">
        <v>3.4188034188034188E-4</v>
      </c>
    </row>
    <row r="207" spans="2:5" ht="15" customHeight="1" x14ac:dyDescent="0.25">
      <c r="B207" s="92"/>
      <c r="C207" s="31" t="s">
        <v>111</v>
      </c>
      <c r="D207" s="32">
        <v>2</v>
      </c>
      <c r="E207" s="33">
        <v>2.2792022792022791E-4</v>
      </c>
    </row>
    <row r="208" spans="2:5" ht="15" customHeight="1" x14ac:dyDescent="0.25">
      <c r="B208" s="89"/>
      <c r="C208" s="34" t="s">
        <v>26</v>
      </c>
      <c r="D208" s="35">
        <v>109</v>
      </c>
      <c r="E208" s="36">
        <v>1.2421652421652421E-2</v>
      </c>
    </row>
    <row r="209" spans="2:5" ht="15" customHeight="1" x14ac:dyDescent="0.25">
      <c r="B209" s="88" t="s">
        <v>133</v>
      </c>
      <c r="C209" s="31" t="s">
        <v>95</v>
      </c>
      <c r="D209" s="32">
        <v>1</v>
      </c>
      <c r="E209" s="33">
        <v>1.1396011396011396E-4</v>
      </c>
    </row>
    <row r="210" spans="2:5" ht="15" customHeight="1" x14ac:dyDescent="0.25">
      <c r="B210" s="92"/>
      <c r="C210" s="31" t="s">
        <v>96</v>
      </c>
      <c r="D210" s="32">
        <v>1</v>
      </c>
      <c r="E210" s="33">
        <v>1.1396011396011396E-4</v>
      </c>
    </row>
    <row r="211" spans="2:5" ht="15" customHeight="1" x14ac:dyDescent="0.25">
      <c r="B211" s="92"/>
      <c r="C211" s="31" t="s">
        <v>98</v>
      </c>
      <c r="D211" s="32">
        <v>5</v>
      </c>
      <c r="E211" s="33">
        <v>5.6980056980056976E-4</v>
      </c>
    </row>
    <row r="212" spans="2:5" ht="15" customHeight="1" x14ac:dyDescent="0.25">
      <c r="B212" s="92"/>
      <c r="C212" s="31" t="s">
        <v>99</v>
      </c>
      <c r="D212" s="32">
        <v>1</v>
      </c>
      <c r="E212" s="33">
        <v>1.1396011396011396E-4</v>
      </c>
    </row>
    <row r="213" spans="2:5" ht="15" customHeight="1" x14ac:dyDescent="0.25">
      <c r="B213" s="92"/>
      <c r="C213" s="31" t="s">
        <v>100</v>
      </c>
      <c r="D213" s="32">
        <v>4</v>
      </c>
      <c r="E213" s="33">
        <v>4.5584045584045582E-4</v>
      </c>
    </row>
    <row r="214" spans="2:5" ht="15" customHeight="1" x14ac:dyDescent="0.25">
      <c r="B214" s="92"/>
      <c r="C214" s="31" t="s">
        <v>102</v>
      </c>
      <c r="D214" s="32">
        <v>12</v>
      </c>
      <c r="E214" s="33">
        <v>1.3675213675213675E-3</v>
      </c>
    </row>
    <row r="215" spans="2:5" ht="15" customHeight="1" x14ac:dyDescent="0.25">
      <c r="B215" s="92"/>
      <c r="C215" s="31" t="s">
        <v>103</v>
      </c>
      <c r="D215" s="32">
        <v>1</v>
      </c>
      <c r="E215" s="33">
        <v>1.1396011396011396E-4</v>
      </c>
    </row>
    <row r="216" spans="2:5" ht="15" customHeight="1" x14ac:dyDescent="0.25">
      <c r="B216" s="92"/>
      <c r="C216" s="31" t="s">
        <v>104</v>
      </c>
      <c r="D216" s="32">
        <v>6</v>
      </c>
      <c r="E216" s="33">
        <v>6.8376068376068376E-4</v>
      </c>
    </row>
    <row r="217" spans="2:5" ht="15" customHeight="1" x14ac:dyDescent="0.25">
      <c r="B217" s="92"/>
      <c r="C217" s="31" t="s">
        <v>105</v>
      </c>
      <c r="D217" s="32">
        <v>17</v>
      </c>
      <c r="E217" s="33">
        <v>1.9373219373219374E-3</v>
      </c>
    </row>
    <row r="218" spans="2:5" ht="15" customHeight="1" x14ac:dyDescent="0.25">
      <c r="B218" s="92"/>
      <c r="C218" s="31" t="s">
        <v>107</v>
      </c>
      <c r="D218" s="32">
        <v>1</v>
      </c>
      <c r="E218" s="33">
        <v>1.1396011396011396E-4</v>
      </c>
    </row>
    <row r="219" spans="2:5" ht="15" customHeight="1" x14ac:dyDescent="0.25">
      <c r="B219" s="92"/>
      <c r="C219" s="31" t="s">
        <v>110</v>
      </c>
      <c r="D219" s="32">
        <v>1</v>
      </c>
      <c r="E219" s="33">
        <v>1.1396011396011396E-4</v>
      </c>
    </row>
    <row r="220" spans="2:5" ht="15" customHeight="1" x14ac:dyDescent="0.25">
      <c r="B220" s="89"/>
      <c r="C220" s="34" t="s">
        <v>26</v>
      </c>
      <c r="D220" s="35">
        <v>50</v>
      </c>
      <c r="E220" s="36">
        <v>5.6980056980056983E-3</v>
      </c>
    </row>
    <row r="221" spans="2:5" ht="15" customHeight="1" x14ac:dyDescent="0.25">
      <c r="B221" s="88" t="s">
        <v>134</v>
      </c>
      <c r="C221" s="31" t="s">
        <v>96</v>
      </c>
      <c r="D221" s="32">
        <v>3</v>
      </c>
      <c r="E221" s="33">
        <v>3.4188034188034188E-4</v>
      </c>
    </row>
    <row r="222" spans="2:5" ht="15" customHeight="1" x14ac:dyDescent="0.25">
      <c r="B222" s="92"/>
      <c r="C222" s="31" t="s">
        <v>97</v>
      </c>
      <c r="D222" s="32">
        <v>5</v>
      </c>
      <c r="E222" s="33">
        <v>5.6980056980056976E-4</v>
      </c>
    </row>
    <row r="223" spans="2:5" ht="15" customHeight="1" x14ac:dyDescent="0.25">
      <c r="B223" s="92"/>
      <c r="C223" s="31" t="s">
        <v>98</v>
      </c>
      <c r="D223" s="32">
        <v>3</v>
      </c>
      <c r="E223" s="33">
        <v>3.4188034188034188E-4</v>
      </c>
    </row>
    <row r="224" spans="2:5" ht="15" customHeight="1" x14ac:dyDescent="0.25">
      <c r="B224" s="92"/>
      <c r="C224" s="31" t="s">
        <v>100</v>
      </c>
      <c r="D224" s="32">
        <v>5</v>
      </c>
      <c r="E224" s="33">
        <v>5.6980056980056976E-4</v>
      </c>
    </row>
    <row r="225" spans="2:5" ht="15" customHeight="1" x14ac:dyDescent="0.25">
      <c r="B225" s="92"/>
      <c r="C225" s="31" t="s">
        <v>101</v>
      </c>
      <c r="D225" s="32">
        <v>2</v>
      </c>
      <c r="E225" s="33">
        <v>2.2792022792022791E-4</v>
      </c>
    </row>
    <row r="226" spans="2:5" ht="15" customHeight="1" x14ac:dyDescent="0.25">
      <c r="B226" s="92"/>
      <c r="C226" s="31" t="s">
        <v>102</v>
      </c>
      <c r="D226" s="32">
        <v>13</v>
      </c>
      <c r="E226" s="33">
        <v>1.4814814814814814E-3</v>
      </c>
    </row>
    <row r="227" spans="2:5" ht="15" customHeight="1" x14ac:dyDescent="0.25">
      <c r="B227" s="92"/>
      <c r="C227" s="31" t="s">
        <v>103</v>
      </c>
      <c r="D227" s="32">
        <v>1</v>
      </c>
      <c r="E227" s="33">
        <v>1.1396011396011396E-4</v>
      </c>
    </row>
    <row r="228" spans="2:5" ht="15" customHeight="1" x14ac:dyDescent="0.25">
      <c r="B228" s="92"/>
      <c r="C228" s="31" t="s">
        <v>104</v>
      </c>
      <c r="D228" s="32">
        <v>17</v>
      </c>
      <c r="E228" s="33">
        <v>1.9373219373219374E-3</v>
      </c>
    </row>
    <row r="229" spans="2:5" ht="15" customHeight="1" x14ac:dyDescent="0.25">
      <c r="B229" s="92"/>
      <c r="C229" s="31" t="s">
        <v>105</v>
      </c>
      <c r="D229" s="32">
        <v>20</v>
      </c>
      <c r="E229" s="33">
        <v>2.2792022792022791E-3</v>
      </c>
    </row>
    <row r="230" spans="2:5" ht="15" customHeight="1" x14ac:dyDescent="0.25">
      <c r="B230" s="92"/>
      <c r="C230" s="31" t="s">
        <v>107</v>
      </c>
      <c r="D230" s="32">
        <v>1</v>
      </c>
      <c r="E230" s="33">
        <v>1.1396011396011396E-4</v>
      </c>
    </row>
    <row r="231" spans="2:5" ht="15" customHeight="1" x14ac:dyDescent="0.25">
      <c r="B231" s="92"/>
      <c r="C231" s="31" t="s">
        <v>108</v>
      </c>
      <c r="D231" s="32">
        <v>1</v>
      </c>
      <c r="E231" s="33">
        <v>1.1396011396011396E-4</v>
      </c>
    </row>
    <row r="232" spans="2:5" ht="15" customHeight="1" x14ac:dyDescent="0.25">
      <c r="B232" s="92"/>
      <c r="C232" s="31" t="s">
        <v>110</v>
      </c>
      <c r="D232" s="32">
        <v>3</v>
      </c>
      <c r="E232" s="33">
        <v>3.4188034188034188E-4</v>
      </c>
    </row>
    <row r="233" spans="2:5" ht="15" customHeight="1" x14ac:dyDescent="0.25">
      <c r="B233" s="92"/>
      <c r="C233" s="31" t="s">
        <v>111</v>
      </c>
      <c r="D233" s="32">
        <v>1</v>
      </c>
      <c r="E233" s="33">
        <v>1.1396011396011396E-4</v>
      </c>
    </row>
    <row r="234" spans="2:5" ht="15" customHeight="1" x14ac:dyDescent="0.25">
      <c r="B234" s="89"/>
      <c r="C234" s="34" t="s">
        <v>26</v>
      </c>
      <c r="D234" s="35">
        <v>75</v>
      </c>
      <c r="E234" s="36">
        <v>8.5470085470085479E-3</v>
      </c>
    </row>
    <row r="235" spans="2:5" ht="15" customHeight="1" x14ac:dyDescent="0.25">
      <c r="B235" s="88" t="s">
        <v>135</v>
      </c>
      <c r="C235" s="31" t="s">
        <v>96</v>
      </c>
      <c r="D235" s="32">
        <v>1</v>
      </c>
      <c r="E235" s="33">
        <v>1.1396011396011396E-4</v>
      </c>
    </row>
    <row r="236" spans="2:5" ht="15" customHeight="1" x14ac:dyDescent="0.25">
      <c r="B236" s="92"/>
      <c r="C236" s="31" t="s">
        <v>102</v>
      </c>
      <c r="D236" s="32">
        <v>2</v>
      </c>
      <c r="E236" s="33">
        <v>2.2792022792022791E-4</v>
      </c>
    </row>
    <row r="237" spans="2:5" ht="15" customHeight="1" x14ac:dyDescent="0.25">
      <c r="B237" s="92"/>
      <c r="C237" s="31" t="s">
        <v>105</v>
      </c>
      <c r="D237" s="32">
        <v>2</v>
      </c>
      <c r="E237" s="33">
        <v>2.2792022792022791E-4</v>
      </c>
    </row>
    <row r="238" spans="2:5" ht="15" customHeight="1" x14ac:dyDescent="0.25">
      <c r="B238" s="89"/>
      <c r="C238" s="34" t="s">
        <v>26</v>
      </c>
      <c r="D238" s="35">
        <v>5</v>
      </c>
      <c r="E238" s="36">
        <v>5.6980056980056976E-4</v>
      </c>
    </row>
    <row r="239" spans="2:5" ht="15" customHeight="1" x14ac:dyDescent="0.25">
      <c r="B239" s="88" t="s">
        <v>136</v>
      </c>
      <c r="C239" s="31" t="s">
        <v>91</v>
      </c>
      <c r="D239" s="32">
        <v>2</v>
      </c>
      <c r="E239" s="33">
        <v>2.2792022792022791E-4</v>
      </c>
    </row>
    <row r="240" spans="2:5" ht="15" customHeight="1" x14ac:dyDescent="0.25">
      <c r="B240" s="92"/>
      <c r="C240" s="31" t="s">
        <v>93</v>
      </c>
      <c r="D240" s="32">
        <v>1</v>
      </c>
      <c r="E240" s="33">
        <v>1.1396011396011396E-4</v>
      </c>
    </row>
    <row r="241" spans="2:5" ht="15" customHeight="1" x14ac:dyDescent="0.25">
      <c r="B241" s="92"/>
      <c r="C241" s="31" t="s">
        <v>94</v>
      </c>
      <c r="D241" s="32">
        <v>5</v>
      </c>
      <c r="E241" s="33">
        <v>5.6980056980056976E-4</v>
      </c>
    </row>
    <row r="242" spans="2:5" ht="15" customHeight="1" x14ac:dyDescent="0.25">
      <c r="B242" s="92"/>
      <c r="C242" s="31" t="s">
        <v>95</v>
      </c>
      <c r="D242" s="32">
        <v>2</v>
      </c>
      <c r="E242" s="33">
        <v>2.2792022792022791E-4</v>
      </c>
    </row>
    <row r="243" spans="2:5" ht="15" customHeight="1" x14ac:dyDescent="0.25">
      <c r="B243" s="92"/>
      <c r="C243" s="31" t="s">
        <v>96</v>
      </c>
      <c r="D243" s="32">
        <v>4</v>
      </c>
      <c r="E243" s="33">
        <v>4.5584045584045582E-4</v>
      </c>
    </row>
    <row r="244" spans="2:5" ht="15" customHeight="1" x14ac:dyDescent="0.25">
      <c r="B244" s="92"/>
      <c r="C244" s="31" t="s">
        <v>97</v>
      </c>
      <c r="D244" s="32">
        <v>11</v>
      </c>
      <c r="E244" s="33">
        <v>1.2535612535612536E-3</v>
      </c>
    </row>
    <row r="245" spans="2:5" ht="15" customHeight="1" x14ac:dyDescent="0.25">
      <c r="B245" s="92"/>
      <c r="C245" s="31" t="s">
        <v>98</v>
      </c>
      <c r="D245" s="32">
        <v>25</v>
      </c>
      <c r="E245" s="33">
        <v>2.8490028490028491E-3</v>
      </c>
    </row>
    <row r="246" spans="2:5" ht="15" customHeight="1" x14ac:dyDescent="0.25">
      <c r="B246" s="92"/>
      <c r="C246" s="31" t="s">
        <v>99</v>
      </c>
      <c r="D246" s="32">
        <v>7</v>
      </c>
      <c r="E246" s="33">
        <v>7.9772079772079776E-4</v>
      </c>
    </row>
    <row r="247" spans="2:5" ht="15" customHeight="1" x14ac:dyDescent="0.25">
      <c r="B247" s="92"/>
      <c r="C247" s="31" t="s">
        <v>100</v>
      </c>
      <c r="D247" s="32">
        <v>11</v>
      </c>
      <c r="E247" s="33">
        <v>1.2535612535612536E-3</v>
      </c>
    </row>
    <row r="248" spans="2:5" ht="15" customHeight="1" x14ac:dyDescent="0.25">
      <c r="B248" s="92"/>
      <c r="C248" s="31" t="s">
        <v>101</v>
      </c>
      <c r="D248" s="32">
        <v>11</v>
      </c>
      <c r="E248" s="33">
        <v>1.2535612535612536E-3</v>
      </c>
    </row>
    <row r="249" spans="2:5" ht="15" customHeight="1" x14ac:dyDescent="0.25">
      <c r="B249" s="92"/>
      <c r="C249" s="31" t="s">
        <v>102</v>
      </c>
      <c r="D249" s="32">
        <v>111</v>
      </c>
      <c r="E249" s="33">
        <v>1.264957264957265E-2</v>
      </c>
    </row>
    <row r="250" spans="2:5" ht="15" customHeight="1" x14ac:dyDescent="0.25">
      <c r="B250" s="92"/>
      <c r="C250" s="31" t="s">
        <v>103</v>
      </c>
      <c r="D250" s="32">
        <v>10</v>
      </c>
      <c r="E250" s="33">
        <v>1.1396011396011395E-3</v>
      </c>
    </row>
    <row r="251" spans="2:5" ht="15" customHeight="1" x14ac:dyDescent="0.25">
      <c r="B251" s="92"/>
      <c r="C251" s="31" t="s">
        <v>104</v>
      </c>
      <c r="D251" s="32">
        <v>64</v>
      </c>
      <c r="E251" s="33">
        <v>7.2934472934472932E-3</v>
      </c>
    </row>
    <row r="252" spans="2:5" ht="15" customHeight="1" x14ac:dyDescent="0.25">
      <c r="B252" s="92"/>
      <c r="C252" s="31" t="s">
        <v>105</v>
      </c>
      <c r="D252" s="32">
        <v>127</v>
      </c>
      <c r="E252" s="33">
        <v>1.4472934472934473E-2</v>
      </c>
    </row>
    <row r="253" spans="2:5" ht="15" customHeight="1" x14ac:dyDescent="0.25">
      <c r="B253" s="92"/>
      <c r="C253" s="31" t="s">
        <v>107</v>
      </c>
      <c r="D253" s="32">
        <v>2</v>
      </c>
      <c r="E253" s="33">
        <v>2.2792022792022791E-4</v>
      </c>
    </row>
    <row r="254" spans="2:5" ht="15" customHeight="1" x14ac:dyDescent="0.25">
      <c r="B254" s="92"/>
      <c r="C254" s="31" t="s">
        <v>110</v>
      </c>
      <c r="D254" s="32">
        <v>7</v>
      </c>
      <c r="E254" s="33">
        <v>7.9772079772079776E-4</v>
      </c>
    </row>
    <row r="255" spans="2:5" ht="15" customHeight="1" x14ac:dyDescent="0.25">
      <c r="B255" s="92"/>
      <c r="C255" s="31" t="s">
        <v>111</v>
      </c>
      <c r="D255" s="32">
        <v>18</v>
      </c>
      <c r="E255" s="33">
        <v>2.0512820512820513E-3</v>
      </c>
    </row>
    <row r="256" spans="2:5" ht="15" customHeight="1" x14ac:dyDescent="0.25">
      <c r="B256" s="89"/>
      <c r="C256" s="34" t="s">
        <v>26</v>
      </c>
      <c r="D256" s="35">
        <v>418</v>
      </c>
      <c r="E256" s="36">
        <v>4.7635327635327636E-2</v>
      </c>
    </row>
    <row r="257" spans="2:5" ht="15" customHeight="1" x14ac:dyDescent="0.25">
      <c r="B257" s="88" t="s">
        <v>137</v>
      </c>
      <c r="C257" s="31" t="s">
        <v>96</v>
      </c>
      <c r="D257" s="32">
        <v>1</v>
      </c>
      <c r="E257" s="33">
        <v>1.1396011396011396E-4</v>
      </c>
    </row>
    <row r="258" spans="2:5" ht="15" customHeight="1" x14ac:dyDescent="0.25">
      <c r="B258" s="92"/>
      <c r="C258" s="31" t="s">
        <v>97</v>
      </c>
      <c r="D258" s="32">
        <v>1</v>
      </c>
      <c r="E258" s="33">
        <v>1.1396011396011396E-4</v>
      </c>
    </row>
    <row r="259" spans="2:5" ht="15" customHeight="1" x14ac:dyDescent="0.25">
      <c r="B259" s="92"/>
      <c r="C259" s="31" t="s">
        <v>98</v>
      </c>
      <c r="D259" s="32">
        <v>4</v>
      </c>
      <c r="E259" s="33">
        <v>4.5584045584045582E-4</v>
      </c>
    </row>
    <row r="260" spans="2:5" ht="15" customHeight="1" x14ac:dyDescent="0.25">
      <c r="B260" s="92"/>
      <c r="C260" s="31" t="s">
        <v>99</v>
      </c>
      <c r="D260" s="32">
        <v>2</v>
      </c>
      <c r="E260" s="33">
        <v>2.2792022792022791E-4</v>
      </c>
    </row>
    <row r="261" spans="2:5" ht="15" customHeight="1" x14ac:dyDescent="0.25">
      <c r="B261" s="92"/>
      <c r="C261" s="31" t="s">
        <v>100</v>
      </c>
      <c r="D261" s="32">
        <v>2</v>
      </c>
      <c r="E261" s="33">
        <v>2.2792022792022791E-4</v>
      </c>
    </row>
    <row r="262" spans="2:5" ht="15" customHeight="1" x14ac:dyDescent="0.25">
      <c r="B262" s="92"/>
      <c r="C262" s="31" t="s">
        <v>101</v>
      </c>
      <c r="D262" s="32">
        <v>1</v>
      </c>
      <c r="E262" s="33">
        <v>1.1396011396011396E-4</v>
      </c>
    </row>
    <row r="263" spans="2:5" ht="15" customHeight="1" x14ac:dyDescent="0.25">
      <c r="B263" s="92"/>
      <c r="C263" s="31" t="s">
        <v>102</v>
      </c>
      <c r="D263" s="32">
        <v>22</v>
      </c>
      <c r="E263" s="33">
        <v>2.5071225071225073E-3</v>
      </c>
    </row>
    <row r="264" spans="2:5" ht="15" customHeight="1" x14ac:dyDescent="0.25">
      <c r="B264" s="92"/>
      <c r="C264" s="31" t="s">
        <v>103</v>
      </c>
      <c r="D264" s="32">
        <v>1</v>
      </c>
      <c r="E264" s="33">
        <v>1.1396011396011396E-4</v>
      </c>
    </row>
    <row r="265" spans="2:5" ht="15" customHeight="1" x14ac:dyDescent="0.25">
      <c r="B265" s="92"/>
      <c r="C265" s="31" t="s">
        <v>104</v>
      </c>
      <c r="D265" s="32">
        <v>10</v>
      </c>
      <c r="E265" s="33">
        <v>1.1396011396011395E-3</v>
      </c>
    </row>
    <row r="266" spans="2:5" ht="15" customHeight="1" x14ac:dyDescent="0.25">
      <c r="B266" s="92"/>
      <c r="C266" s="31" t="s">
        <v>105</v>
      </c>
      <c r="D266" s="32">
        <v>24</v>
      </c>
      <c r="E266" s="33">
        <v>2.735042735042735E-3</v>
      </c>
    </row>
    <row r="267" spans="2:5" ht="15" customHeight="1" x14ac:dyDescent="0.25">
      <c r="B267" s="92"/>
      <c r="C267" s="31" t="s">
        <v>111</v>
      </c>
      <c r="D267" s="32">
        <v>3</v>
      </c>
      <c r="E267" s="33">
        <v>3.4188034188034188E-4</v>
      </c>
    </row>
    <row r="268" spans="2:5" ht="15" customHeight="1" x14ac:dyDescent="0.25">
      <c r="B268" s="89"/>
      <c r="C268" s="34" t="s">
        <v>26</v>
      </c>
      <c r="D268" s="35">
        <v>71</v>
      </c>
      <c r="E268" s="36">
        <v>8.0911680911680915E-3</v>
      </c>
    </row>
    <row r="269" spans="2:5" ht="15" customHeight="1" x14ac:dyDescent="0.25">
      <c r="B269" s="88" t="s">
        <v>138</v>
      </c>
      <c r="C269" s="31" t="s">
        <v>118</v>
      </c>
      <c r="D269" s="32">
        <v>5</v>
      </c>
      <c r="E269" s="33">
        <v>5.6980056980056976E-4</v>
      </c>
    </row>
    <row r="270" spans="2:5" ht="15" customHeight="1" x14ac:dyDescent="0.25">
      <c r="B270" s="92"/>
      <c r="C270" s="31" t="s">
        <v>91</v>
      </c>
      <c r="D270" s="32">
        <v>14</v>
      </c>
      <c r="E270" s="33">
        <v>1.5954415954415955E-3</v>
      </c>
    </row>
    <row r="271" spans="2:5" ht="15" customHeight="1" x14ac:dyDescent="0.25">
      <c r="B271" s="92"/>
      <c r="C271" s="31" t="s">
        <v>92</v>
      </c>
      <c r="D271" s="32">
        <v>11</v>
      </c>
      <c r="E271" s="33">
        <v>1.2535612535612536E-3</v>
      </c>
    </row>
    <row r="272" spans="2:5" ht="15" customHeight="1" x14ac:dyDescent="0.25">
      <c r="B272" s="92"/>
      <c r="C272" s="31" t="s">
        <v>93</v>
      </c>
      <c r="D272" s="32">
        <v>5</v>
      </c>
      <c r="E272" s="33">
        <v>5.6980056980056976E-4</v>
      </c>
    </row>
    <row r="273" spans="2:5" ht="15" customHeight="1" x14ac:dyDescent="0.25">
      <c r="B273" s="92"/>
      <c r="C273" s="31" t="s">
        <v>94</v>
      </c>
      <c r="D273" s="32">
        <v>14</v>
      </c>
      <c r="E273" s="33">
        <v>1.5954415954415955E-3</v>
      </c>
    </row>
    <row r="274" spans="2:5" ht="15" customHeight="1" x14ac:dyDescent="0.25">
      <c r="B274" s="92"/>
      <c r="C274" s="31" t="s">
        <v>95</v>
      </c>
      <c r="D274" s="32">
        <v>11</v>
      </c>
      <c r="E274" s="33">
        <v>1.2535612535612536E-3</v>
      </c>
    </row>
    <row r="275" spans="2:5" ht="15" customHeight="1" x14ac:dyDescent="0.25">
      <c r="B275" s="92"/>
      <c r="C275" s="31" t="s">
        <v>96</v>
      </c>
      <c r="D275" s="32">
        <v>21</v>
      </c>
      <c r="E275" s="33">
        <v>2.3931623931623932E-3</v>
      </c>
    </row>
    <row r="276" spans="2:5" ht="15" customHeight="1" x14ac:dyDescent="0.25">
      <c r="B276" s="92"/>
      <c r="C276" s="31" t="s">
        <v>97</v>
      </c>
      <c r="D276" s="32">
        <v>69</v>
      </c>
      <c r="E276" s="33">
        <v>7.8632478632478641E-3</v>
      </c>
    </row>
    <row r="277" spans="2:5" ht="15" customHeight="1" x14ac:dyDescent="0.25">
      <c r="B277" s="92"/>
      <c r="C277" s="31" t="s">
        <v>98</v>
      </c>
      <c r="D277" s="32">
        <v>181</v>
      </c>
      <c r="E277" s="33">
        <v>2.0626780626780628E-2</v>
      </c>
    </row>
    <row r="278" spans="2:5" ht="15" customHeight="1" x14ac:dyDescent="0.25">
      <c r="B278" s="92"/>
      <c r="C278" s="31" t="s">
        <v>99</v>
      </c>
      <c r="D278" s="32">
        <v>34</v>
      </c>
      <c r="E278" s="33">
        <v>3.8746438746438748E-3</v>
      </c>
    </row>
    <row r="279" spans="2:5" ht="15" customHeight="1" x14ac:dyDescent="0.25">
      <c r="B279" s="92"/>
      <c r="C279" s="31" t="s">
        <v>100</v>
      </c>
      <c r="D279" s="32">
        <v>40</v>
      </c>
      <c r="E279" s="33">
        <v>4.5584045584045581E-3</v>
      </c>
    </row>
    <row r="280" spans="2:5" ht="15" customHeight="1" x14ac:dyDescent="0.25">
      <c r="B280" s="92"/>
      <c r="C280" s="31" t="s">
        <v>101</v>
      </c>
      <c r="D280" s="32">
        <v>32</v>
      </c>
      <c r="E280" s="33">
        <v>3.6467236467236466E-3</v>
      </c>
    </row>
    <row r="281" spans="2:5" ht="15" customHeight="1" x14ac:dyDescent="0.25">
      <c r="B281" s="92"/>
      <c r="C281" s="31" t="s">
        <v>102</v>
      </c>
      <c r="D281" s="32">
        <v>437</v>
      </c>
      <c r="E281" s="33">
        <v>4.9800569800569801E-2</v>
      </c>
    </row>
    <row r="282" spans="2:5" ht="15" customHeight="1" x14ac:dyDescent="0.25">
      <c r="B282" s="92"/>
      <c r="C282" s="31" t="s">
        <v>103</v>
      </c>
      <c r="D282" s="32">
        <v>30</v>
      </c>
      <c r="E282" s="33">
        <v>3.4188034188034188E-3</v>
      </c>
    </row>
    <row r="283" spans="2:5" ht="15" customHeight="1" x14ac:dyDescent="0.25">
      <c r="B283" s="92"/>
      <c r="C283" s="31" t="s">
        <v>104</v>
      </c>
      <c r="D283" s="32">
        <v>177</v>
      </c>
      <c r="E283" s="33">
        <v>2.017094017094017E-2</v>
      </c>
    </row>
    <row r="284" spans="2:5" ht="15" customHeight="1" x14ac:dyDescent="0.25">
      <c r="B284" s="92"/>
      <c r="C284" s="31" t="s">
        <v>105</v>
      </c>
      <c r="D284" s="32">
        <v>489</v>
      </c>
      <c r="E284" s="33">
        <v>5.5726495726495726E-2</v>
      </c>
    </row>
    <row r="285" spans="2:5" ht="15" customHeight="1" x14ac:dyDescent="0.25">
      <c r="B285" s="92"/>
      <c r="C285" s="31" t="s">
        <v>106</v>
      </c>
      <c r="D285" s="32">
        <v>12</v>
      </c>
      <c r="E285" s="33">
        <v>1.3675213675213675E-3</v>
      </c>
    </row>
    <row r="286" spans="2:5" ht="15" customHeight="1" x14ac:dyDescent="0.25">
      <c r="B286" s="92"/>
      <c r="C286" s="31" t="s">
        <v>107</v>
      </c>
      <c r="D286" s="32">
        <v>8</v>
      </c>
      <c r="E286" s="33">
        <v>9.1168091168091164E-4</v>
      </c>
    </row>
    <row r="287" spans="2:5" ht="15" customHeight="1" x14ac:dyDescent="0.25">
      <c r="B287" s="92"/>
      <c r="C287" s="31" t="s">
        <v>108</v>
      </c>
      <c r="D287" s="32">
        <v>8</v>
      </c>
      <c r="E287" s="33">
        <v>9.1168091168091164E-4</v>
      </c>
    </row>
    <row r="288" spans="2:5" ht="15" customHeight="1" x14ac:dyDescent="0.25">
      <c r="B288" s="92"/>
      <c r="C288" s="31" t="s">
        <v>109</v>
      </c>
      <c r="D288" s="32">
        <v>3</v>
      </c>
      <c r="E288" s="33">
        <v>3.4188034188034188E-4</v>
      </c>
    </row>
    <row r="289" spans="2:5" ht="15" customHeight="1" x14ac:dyDescent="0.25">
      <c r="B289" s="92"/>
      <c r="C289" s="31" t="s">
        <v>110</v>
      </c>
      <c r="D289" s="32">
        <v>46</v>
      </c>
      <c r="E289" s="33">
        <v>5.2421652421652419E-3</v>
      </c>
    </row>
    <row r="290" spans="2:5" ht="15" customHeight="1" x14ac:dyDescent="0.25">
      <c r="B290" s="92"/>
      <c r="C290" s="31" t="s">
        <v>111</v>
      </c>
      <c r="D290" s="32">
        <v>67</v>
      </c>
      <c r="E290" s="33">
        <v>7.635327635327635E-3</v>
      </c>
    </row>
    <row r="291" spans="2:5" ht="15" customHeight="1" x14ac:dyDescent="0.25">
      <c r="B291" s="92"/>
      <c r="C291" s="31" t="s">
        <v>112</v>
      </c>
      <c r="D291" s="32">
        <v>3</v>
      </c>
      <c r="E291" s="33">
        <v>3.4188034188034188E-4</v>
      </c>
    </row>
    <row r="292" spans="2:5" ht="15" customHeight="1" x14ac:dyDescent="0.25">
      <c r="B292" s="92"/>
      <c r="C292" s="31" t="s">
        <v>113</v>
      </c>
      <c r="D292" s="32">
        <v>1</v>
      </c>
      <c r="E292" s="33">
        <v>1.1396011396011396E-4</v>
      </c>
    </row>
    <row r="293" spans="2:5" ht="15" customHeight="1" x14ac:dyDescent="0.25">
      <c r="B293" s="89"/>
      <c r="C293" s="34" t="s">
        <v>26</v>
      </c>
      <c r="D293" s="35">
        <v>1718</v>
      </c>
      <c r="E293" s="36">
        <v>0.1957834757834758</v>
      </c>
    </row>
    <row r="294" spans="2:5" ht="15" customHeight="1" x14ac:dyDescent="0.25">
      <c r="B294" s="88" t="s">
        <v>139</v>
      </c>
      <c r="C294" s="31" t="s">
        <v>97</v>
      </c>
      <c r="D294" s="32">
        <v>3</v>
      </c>
      <c r="E294" s="33">
        <v>3.4188034188034188E-4</v>
      </c>
    </row>
    <row r="295" spans="2:5" ht="15" customHeight="1" x14ac:dyDescent="0.25">
      <c r="B295" s="92"/>
      <c r="C295" s="31" t="s">
        <v>98</v>
      </c>
      <c r="D295" s="32">
        <v>1</v>
      </c>
      <c r="E295" s="33">
        <v>1.1396011396011396E-4</v>
      </c>
    </row>
    <row r="296" spans="2:5" ht="15" customHeight="1" x14ac:dyDescent="0.25">
      <c r="B296" s="92"/>
      <c r="C296" s="31" t="s">
        <v>101</v>
      </c>
      <c r="D296" s="32">
        <v>1</v>
      </c>
      <c r="E296" s="33">
        <v>1.1396011396011396E-4</v>
      </c>
    </row>
    <row r="297" spans="2:5" ht="15" customHeight="1" x14ac:dyDescent="0.25">
      <c r="B297" s="92"/>
      <c r="C297" s="31" t="s">
        <v>102</v>
      </c>
      <c r="D297" s="32">
        <v>4</v>
      </c>
      <c r="E297" s="33">
        <v>4.5584045584045582E-4</v>
      </c>
    </row>
    <row r="298" spans="2:5" ht="15" customHeight="1" x14ac:dyDescent="0.25">
      <c r="B298" s="92"/>
      <c r="C298" s="31" t="s">
        <v>104</v>
      </c>
      <c r="D298" s="32">
        <v>1</v>
      </c>
      <c r="E298" s="33">
        <v>1.1396011396011396E-4</v>
      </c>
    </row>
    <row r="299" spans="2:5" ht="15" customHeight="1" x14ac:dyDescent="0.25">
      <c r="B299" s="92"/>
      <c r="C299" s="31" t="s">
        <v>105</v>
      </c>
      <c r="D299" s="32">
        <v>6</v>
      </c>
      <c r="E299" s="33">
        <v>6.8376068376068376E-4</v>
      </c>
    </row>
    <row r="300" spans="2:5" ht="15" customHeight="1" x14ac:dyDescent="0.25">
      <c r="B300" s="92"/>
      <c r="C300" s="31" t="s">
        <v>107</v>
      </c>
      <c r="D300" s="32">
        <v>1</v>
      </c>
      <c r="E300" s="33">
        <v>1.1396011396011396E-4</v>
      </c>
    </row>
    <row r="301" spans="2:5" ht="15" customHeight="1" x14ac:dyDescent="0.25">
      <c r="B301" s="92"/>
      <c r="C301" s="31" t="s">
        <v>111</v>
      </c>
      <c r="D301" s="32">
        <v>1</v>
      </c>
      <c r="E301" s="33">
        <v>1.1396011396011396E-4</v>
      </c>
    </row>
    <row r="302" spans="2:5" ht="15" customHeight="1" x14ac:dyDescent="0.25">
      <c r="B302" s="89"/>
      <c r="C302" s="34" t="s">
        <v>26</v>
      </c>
      <c r="D302" s="35">
        <v>18</v>
      </c>
      <c r="E302" s="36">
        <v>2.0512820512820513E-3</v>
      </c>
    </row>
    <row r="303" spans="2:5" ht="15" customHeight="1" x14ac:dyDescent="0.25">
      <c r="B303" s="88" t="s">
        <v>140</v>
      </c>
      <c r="C303" s="31" t="s">
        <v>98</v>
      </c>
      <c r="D303" s="32">
        <v>3</v>
      </c>
      <c r="E303" s="33">
        <v>3.4188034188034188E-4</v>
      </c>
    </row>
    <row r="304" spans="2:5" ht="15" customHeight="1" x14ac:dyDescent="0.25">
      <c r="B304" s="92"/>
      <c r="C304" s="31" t="s">
        <v>102</v>
      </c>
      <c r="D304" s="32">
        <v>9</v>
      </c>
      <c r="E304" s="33">
        <v>1.0256410256410256E-3</v>
      </c>
    </row>
    <row r="305" spans="2:5" ht="15" customHeight="1" x14ac:dyDescent="0.25">
      <c r="B305" s="92"/>
      <c r="C305" s="31" t="s">
        <v>104</v>
      </c>
      <c r="D305" s="32">
        <v>2</v>
      </c>
      <c r="E305" s="33">
        <v>2.2792022792022791E-4</v>
      </c>
    </row>
    <row r="306" spans="2:5" ht="15" customHeight="1" x14ac:dyDescent="0.25">
      <c r="B306" s="92"/>
      <c r="C306" s="31" t="s">
        <v>105</v>
      </c>
      <c r="D306" s="32">
        <v>5</v>
      </c>
      <c r="E306" s="33">
        <v>5.6980056980056976E-4</v>
      </c>
    </row>
    <row r="307" spans="2:5" ht="15" customHeight="1" x14ac:dyDescent="0.25">
      <c r="B307" s="92"/>
      <c r="C307" s="31" t="s">
        <v>110</v>
      </c>
      <c r="D307" s="32">
        <v>1</v>
      </c>
      <c r="E307" s="33">
        <v>1.1396011396011396E-4</v>
      </c>
    </row>
    <row r="308" spans="2:5" ht="15" customHeight="1" x14ac:dyDescent="0.25">
      <c r="B308" s="92"/>
      <c r="C308" s="31" t="s">
        <v>111</v>
      </c>
      <c r="D308" s="32">
        <v>2</v>
      </c>
      <c r="E308" s="33">
        <v>2.2792022792022791E-4</v>
      </c>
    </row>
    <row r="309" spans="2:5" ht="15" customHeight="1" x14ac:dyDescent="0.25">
      <c r="B309" s="89"/>
      <c r="C309" s="34" t="s">
        <v>26</v>
      </c>
      <c r="D309" s="35">
        <v>22</v>
      </c>
      <c r="E309" s="36">
        <v>2.5071225071225073E-3</v>
      </c>
    </row>
    <row r="310" spans="2:5" ht="15" customHeight="1" x14ac:dyDescent="0.25">
      <c r="B310" s="88" t="s">
        <v>141</v>
      </c>
      <c r="C310" s="31" t="s">
        <v>92</v>
      </c>
      <c r="D310" s="32">
        <v>1</v>
      </c>
      <c r="E310" s="33">
        <v>1.1396011396011396E-4</v>
      </c>
    </row>
    <row r="311" spans="2:5" ht="15" customHeight="1" x14ac:dyDescent="0.25">
      <c r="B311" s="92"/>
      <c r="C311" s="31" t="s">
        <v>95</v>
      </c>
      <c r="D311" s="32">
        <v>1</v>
      </c>
      <c r="E311" s="33">
        <v>1.1396011396011396E-4</v>
      </c>
    </row>
    <row r="312" spans="2:5" ht="15" customHeight="1" x14ac:dyDescent="0.25">
      <c r="B312" s="92"/>
      <c r="C312" s="31" t="s">
        <v>97</v>
      </c>
      <c r="D312" s="32">
        <v>1</v>
      </c>
      <c r="E312" s="33">
        <v>1.1396011396011396E-4</v>
      </c>
    </row>
    <row r="313" spans="2:5" ht="15" customHeight="1" x14ac:dyDescent="0.25">
      <c r="B313" s="92"/>
      <c r="C313" s="31" t="s">
        <v>98</v>
      </c>
      <c r="D313" s="32">
        <v>5</v>
      </c>
      <c r="E313" s="33">
        <v>5.6980056980056976E-4</v>
      </c>
    </row>
    <row r="314" spans="2:5" ht="15" customHeight="1" x14ac:dyDescent="0.25">
      <c r="B314" s="92"/>
      <c r="C314" s="31" t="s">
        <v>99</v>
      </c>
      <c r="D314" s="32">
        <v>2</v>
      </c>
      <c r="E314" s="33">
        <v>2.2792022792022791E-4</v>
      </c>
    </row>
    <row r="315" spans="2:5" ht="15" customHeight="1" x14ac:dyDescent="0.25">
      <c r="B315" s="92"/>
      <c r="C315" s="31" t="s">
        <v>100</v>
      </c>
      <c r="D315" s="32">
        <v>1</v>
      </c>
      <c r="E315" s="33">
        <v>1.1396011396011396E-4</v>
      </c>
    </row>
    <row r="316" spans="2:5" ht="15" customHeight="1" x14ac:dyDescent="0.25">
      <c r="B316" s="92"/>
      <c r="C316" s="31" t="s">
        <v>101</v>
      </c>
      <c r="D316" s="32">
        <v>2</v>
      </c>
      <c r="E316" s="33">
        <v>2.2792022792022791E-4</v>
      </c>
    </row>
    <row r="317" spans="2:5" ht="15" customHeight="1" x14ac:dyDescent="0.25">
      <c r="B317" s="92"/>
      <c r="C317" s="31" t="s">
        <v>102</v>
      </c>
      <c r="D317" s="32">
        <v>7</v>
      </c>
      <c r="E317" s="33">
        <v>7.9772079772079776E-4</v>
      </c>
    </row>
    <row r="318" spans="2:5" ht="15" customHeight="1" x14ac:dyDescent="0.25">
      <c r="B318" s="92"/>
      <c r="C318" s="31" t="s">
        <v>103</v>
      </c>
      <c r="D318" s="32">
        <v>1</v>
      </c>
      <c r="E318" s="33">
        <v>1.1396011396011396E-4</v>
      </c>
    </row>
    <row r="319" spans="2:5" ht="15" customHeight="1" x14ac:dyDescent="0.25">
      <c r="B319" s="92"/>
      <c r="C319" s="31" t="s">
        <v>104</v>
      </c>
      <c r="D319" s="32">
        <v>5</v>
      </c>
      <c r="E319" s="33">
        <v>5.6980056980056976E-4</v>
      </c>
    </row>
    <row r="320" spans="2:5" ht="15" customHeight="1" x14ac:dyDescent="0.25">
      <c r="B320" s="92"/>
      <c r="C320" s="31" t="s">
        <v>105</v>
      </c>
      <c r="D320" s="32">
        <v>6</v>
      </c>
      <c r="E320" s="33">
        <v>6.8376068376068376E-4</v>
      </c>
    </row>
    <row r="321" spans="2:5" ht="15" customHeight="1" x14ac:dyDescent="0.25">
      <c r="B321" s="92"/>
      <c r="C321" s="31" t="s">
        <v>110</v>
      </c>
      <c r="D321" s="32">
        <v>2</v>
      </c>
      <c r="E321" s="33">
        <v>2.2792022792022791E-4</v>
      </c>
    </row>
    <row r="322" spans="2:5" ht="15" customHeight="1" x14ac:dyDescent="0.25">
      <c r="B322" s="92"/>
      <c r="C322" s="31" t="s">
        <v>111</v>
      </c>
      <c r="D322" s="32">
        <v>2</v>
      </c>
      <c r="E322" s="33">
        <v>2.2792022792022791E-4</v>
      </c>
    </row>
    <row r="323" spans="2:5" ht="15" customHeight="1" x14ac:dyDescent="0.25">
      <c r="B323" s="92"/>
      <c r="C323" s="31" t="s">
        <v>112</v>
      </c>
      <c r="D323" s="32">
        <v>1</v>
      </c>
      <c r="E323" s="33">
        <v>1.1396011396011396E-4</v>
      </c>
    </row>
    <row r="324" spans="2:5" ht="15" customHeight="1" x14ac:dyDescent="0.25">
      <c r="B324" s="89"/>
      <c r="C324" s="34" t="s">
        <v>26</v>
      </c>
      <c r="D324" s="35">
        <v>37</v>
      </c>
      <c r="E324" s="36">
        <v>4.2165242165242162E-3</v>
      </c>
    </row>
    <row r="325" spans="2:5" ht="15" customHeight="1" x14ac:dyDescent="0.25">
      <c r="B325" s="88" t="s">
        <v>142</v>
      </c>
      <c r="C325" s="31" t="s">
        <v>102</v>
      </c>
      <c r="D325" s="32">
        <v>1</v>
      </c>
      <c r="E325" s="33">
        <v>1.1396011396011396E-4</v>
      </c>
    </row>
    <row r="326" spans="2:5" ht="15" customHeight="1" x14ac:dyDescent="0.25">
      <c r="B326" s="92"/>
      <c r="C326" s="31" t="s">
        <v>111</v>
      </c>
      <c r="D326" s="32">
        <v>1</v>
      </c>
      <c r="E326" s="33">
        <v>1.1396011396011396E-4</v>
      </c>
    </row>
    <row r="327" spans="2:5" ht="15" customHeight="1" x14ac:dyDescent="0.25">
      <c r="B327" s="89"/>
      <c r="C327" s="34" t="s">
        <v>26</v>
      </c>
      <c r="D327" s="35">
        <v>2</v>
      </c>
      <c r="E327" s="36">
        <v>2.2792022792022791E-4</v>
      </c>
    </row>
    <row r="328" spans="2:5" ht="15" customHeight="1" x14ac:dyDescent="0.25">
      <c r="B328" s="88" t="s">
        <v>143</v>
      </c>
      <c r="C328" s="31" t="s">
        <v>98</v>
      </c>
      <c r="D328" s="32">
        <v>2</v>
      </c>
      <c r="E328" s="33">
        <v>2.2792022792022791E-4</v>
      </c>
    </row>
    <row r="329" spans="2:5" ht="15" customHeight="1" x14ac:dyDescent="0.25">
      <c r="B329" s="92"/>
      <c r="C329" s="31" t="s">
        <v>100</v>
      </c>
      <c r="D329" s="32">
        <v>1</v>
      </c>
      <c r="E329" s="33">
        <v>1.1396011396011396E-4</v>
      </c>
    </row>
    <row r="330" spans="2:5" ht="15" customHeight="1" x14ac:dyDescent="0.25">
      <c r="B330" s="92"/>
      <c r="C330" s="31" t="s">
        <v>101</v>
      </c>
      <c r="D330" s="32">
        <v>1</v>
      </c>
      <c r="E330" s="33">
        <v>1.1396011396011396E-4</v>
      </c>
    </row>
    <row r="331" spans="2:5" ht="15" customHeight="1" x14ac:dyDescent="0.25">
      <c r="B331" s="92"/>
      <c r="C331" s="31" t="s">
        <v>102</v>
      </c>
      <c r="D331" s="32">
        <v>2</v>
      </c>
      <c r="E331" s="33">
        <v>2.2792022792022791E-4</v>
      </c>
    </row>
    <row r="332" spans="2:5" ht="15" customHeight="1" x14ac:dyDescent="0.25">
      <c r="B332" s="92"/>
      <c r="C332" s="31" t="s">
        <v>104</v>
      </c>
      <c r="D332" s="32">
        <v>2</v>
      </c>
      <c r="E332" s="33">
        <v>2.2792022792022791E-4</v>
      </c>
    </row>
    <row r="333" spans="2:5" ht="15" customHeight="1" x14ac:dyDescent="0.25">
      <c r="B333" s="92"/>
      <c r="C333" s="31" t="s">
        <v>105</v>
      </c>
      <c r="D333" s="32">
        <v>3</v>
      </c>
      <c r="E333" s="33">
        <v>3.4188034188034188E-4</v>
      </c>
    </row>
    <row r="334" spans="2:5" ht="15" customHeight="1" x14ac:dyDescent="0.25">
      <c r="B334" s="92"/>
      <c r="C334" s="31" t="s">
        <v>111</v>
      </c>
      <c r="D334" s="32">
        <v>1</v>
      </c>
      <c r="E334" s="33">
        <v>1.1396011396011396E-4</v>
      </c>
    </row>
    <row r="335" spans="2:5" ht="15" customHeight="1" x14ac:dyDescent="0.25">
      <c r="B335" s="89"/>
      <c r="C335" s="34" t="s">
        <v>26</v>
      </c>
      <c r="D335" s="35">
        <v>12</v>
      </c>
      <c r="E335" s="36">
        <v>1.3675213675213675E-3</v>
      </c>
    </row>
    <row r="336" spans="2:5" ht="15" customHeight="1" x14ac:dyDescent="0.25">
      <c r="B336" s="88" t="s">
        <v>144</v>
      </c>
      <c r="C336" s="31" t="s">
        <v>91</v>
      </c>
      <c r="D336" s="32">
        <v>1</v>
      </c>
      <c r="E336" s="33">
        <v>1.1396011396011396E-4</v>
      </c>
    </row>
    <row r="337" spans="2:5" ht="15" customHeight="1" x14ac:dyDescent="0.25">
      <c r="B337" s="92"/>
      <c r="C337" s="31" t="s">
        <v>94</v>
      </c>
      <c r="D337" s="32">
        <v>1</v>
      </c>
      <c r="E337" s="33">
        <v>1.1396011396011396E-4</v>
      </c>
    </row>
    <row r="338" spans="2:5" ht="15" customHeight="1" x14ac:dyDescent="0.25">
      <c r="B338" s="92"/>
      <c r="C338" s="31" t="s">
        <v>95</v>
      </c>
      <c r="D338" s="32">
        <v>1</v>
      </c>
      <c r="E338" s="33">
        <v>1.1396011396011396E-4</v>
      </c>
    </row>
    <row r="339" spans="2:5" ht="15" customHeight="1" x14ac:dyDescent="0.25">
      <c r="B339" s="92"/>
      <c r="C339" s="31" t="s">
        <v>97</v>
      </c>
      <c r="D339" s="32">
        <v>1</v>
      </c>
      <c r="E339" s="33">
        <v>1.1396011396011396E-4</v>
      </c>
    </row>
    <row r="340" spans="2:5" ht="15" customHeight="1" x14ac:dyDescent="0.25">
      <c r="B340" s="92"/>
      <c r="C340" s="31" t="s">
        <v>98</v>
      </c>
      <c r="D340" s="32">
        <v>5</v>
      </c>
      <c r="E340" s="33">
        <v>5.6980056980056976E-4</v>
      </c>
    </row>
    <row r="341" spans="2:5" ht="15" customHeight="1" x14ac:dyDescent="0.25">
      <c r="B341" s="92"/>
      <c r="C341" s="31" t="s">
        <v>99</v>
      </c>
      <c r="D341" s="32">
        <v>1</v>
      </c>
      <c r="E341" s="33">
        <v>1.1396011396011396E-4</v>
      </c>
    </row>
    <row r="342" spans="2:5" ht="15" customHeight="1" x14ac:dyDescent="0.25">
      <c r="B342" s="92"/>
      <c r="C342" s="31" t="s">
        <v>102</v>
      </c>
      <c r="D342" s="32">
        <v>14</v>
      </c>
      <c r="E342" s="33">
        <v>1.5954415954415955E-3</v>
      </c>
    </row>
    <row r="343" spans="2:5" ht="15" customHeight="1" x14ac:dyDescent="0.25">
      <c r="B343" s="92"/>
      <c r="C343" s="31" t="s">
        <v>104</v>
      </c>
      <c r="D343" s="32">
        <v>4</v>
      </c>
      <c r="E343" s="33">
        <v>4.5584045584045582E-4</v>
      </c>
    </row>
    <row r="344" spans="2:5" ht="15" customHeight="1" x14ac:dyDescent="0.25">
      <c r="B344" s="92"/>
      <c r="C344" s="31" t="s">
        <v>105</v>
      </c>
      <c r="D344" s="32">
        <v>10</v>
      </c>
      <c r="E344" s="33">
        <v>1.1396011396011395E-3</v>
      </c>
    </row>
    <row r="345" spans="2:5" ht="15" customHeight="1" x14ac:dyDescent="0.25">
      <c r="B345" s="92"/>
      <c r="C345" s="31" t="s">
        <v>107</v>
      </c>
      <c r="D345" s="32">
        <v>2</v>
      </c>
      <c r="E345" s="33">
        <v>2.2792022792022791E-4</v>
      </c>
    </row>
    <row r="346" spans="2:5" ht="15" customHeight="1" x14ac:dyDescent="0.25">
      <c r="B346" s="92"/>
      <c r="C346" s="31" t="s">
        <v>109</v>
      </c>
      <c r="D346" s="32">
        <v>1</v>
      </c>
      <c r="E346" s="33">
        <v>1.1396011396011396E-4</v>
      </c>
    </row>
    <row r="347" spans="2:5" ht="15" customHeight="1" x14ac:dyDescent="0.25">
      <c r="B347" s="92"/>
      <c r="C347" s="31" t="s">
        <v>110</v>
      </c>
      <c r="D347" s="32">
        <v>2</v>
      </c>
      <c r="E347" s="33">
        <v>2.2792022792022791E-4</v>
      </c>
    </row>
    <row r="348" spans="2:5" ht="15" customHeight="1" x14ac:dyDescent="0.25">
      <c r="B348" s="92"/>
      <c r="C348" s="31" t="s">
        <v>111</v>
      </c>
      <c r="D348" s="32">
        <v>3</v>
      </c>
      <c r="E348" s="33">
        <v>3.4188034188034188E-4</v>
      </c>
    </row>
    <row r="349" spans="2:5" ht="15" customHeight="1" x14ac:dyDescent="0.25">
      <c r="B349" s="89"/>
      <c r="C349" s="34" t="s">
        <v>26</v>
      </c>
      <c r="D349" s="35">
        <v>46</v>
      </c>
      <c r="E349" s="36">
        <v>5.2421652421652419E-3</v>
      </c>
    </row>
    <row r="350" spans="2:5" ht="15" customHeight="1" x14ac:dyDescent="0.25">
      <c r="B350" s="88" t="s">
        <v>145</v>
      </c>
      <c r="C350" s="31" t="s">
        <v>93</v>
      </c>
      <c r="D350" s="32">
        <v>1</v>
      </c>
      <c r="E350" s="33">
        <v>1.1396011396011396E-4</v>
      </c>
    </row>
    <row r="351" spans="2:5" ht="15" customHeight="1" x14ac:dyDescent="0.25">
      <c r="B351" s="92"/>
      <c r="C351" s="31" t="s">
        <v>95</v>
      </c>
      <c r="D351" s="32">
        <v>1</v>
      </c>
      <c r="E351" s="33">
        <v>1.1396011396011396E-4</v>
      </c>
    </row>
    <row r="352" spans="2:5" ht="15" customHeight="1" x14ac:dyDescent="0.25">
      <c r="B352" s="92"/>
      <c r="C352" s="31" t="s">
        <v>96</v>
      </c>
      <c r="D352" s="32">
        <v>1</v>
      </c>
      <c r="E352" s="33">
        <v>1.1396011396011396E-4</v>
      </c>
    </row>
    <row r="353" spans="2:5" ht="15" customHeight="1" x14ac:dyDescent="0.25">
      <c r="B353" s="92"/>
      <c r="C353" s="31" t="s">
        <v>98</v>
      </c>
      <c r="D353" s="32">
        <v>4</v>
      </c>
      <c r="E353" s="33">
        <v>4.5584045584045582E-4</v>
      </c>
    </row>
    <row r="354" spans="2:5" ht="15" customHeight="1" x14ac:dyDescent="0.25">
      <c r="B354" s="92"/>
      <c r="C354" s="31" t="s">
        <v>102</v>
      </c>
      <c r="D354" s="32">
        <v>12</v>
      </c>
      <c r="E354" s="33">
        <v>1.3675213675213675E-3</v>
      </c>
    </row>
    <row r="355" spans="2:5" ht="15" customHeight="1" x14ac:dyDescent="0.25">
      <c r="B355" s="92"/>
      <c r="C355" s="31" t="s">
        <v>104</v>
      </c>
      <c r="D355" s="32">
        <v>7</v>
      </c>
      <c r="E355" s="33">
        <v>7.9772079772079776E-4</v>
      </c>
    </row>
    <row r="356" spans="2:5" ht="15" customHeight="1" x14ac:dyDescent="0.25">
      <c r="B356" s="92"/>
      <c r="C356" s="31" t="s">
        <v>105</v>
      </c>
      <c r="D356" s="32">
        <v>16</v>
      </c>
      <c r="E356" s="33">
        <v>1.8233618233618233E-3</v>
      </c>
    </row>
    <row r="357" spans="2:5" ht="15" customHeight="1" x14ac:dyDescent="0.25">
      <c r="B357" s="92"/>
      <c r="C357" s="31" t="s">
        <v>110</v>
      </c>
      <c r="D357" s="32">
        <v>1</v>
      </c>
      <c r="E357" s="33">
        <v>1.1396011396011396E-4</v>
      </c>
    </row>
    <row r="358" spans="2:5" ht="15" customHeight="1" x14ac:dyDescent="0.25">
      <c r="B358" s="92"/>
      <c r="C358" s="31" t="s">
        <v>111</v>
      </c>
      <c r="D358" s="32">
        <v>2</v>
      </c>
      <c r="E358" s="33">
        <v>2.2792022792022791E-4</v>
      </c>
    </row>
    <row r="359" spans="2:5" ht="15" customHeight="1" x14ac:dyDescent="0.25">
      <c r="B359" s="89"/>
      <c r="C359" s="34" t="s">
        <v>26</v>
      </c>
      <c r="D359" s="35">
        <v>45</v>
      </c>
      <c r="E359" s="36">
        <v>5.1282051282051282E-3</v>
      </c>
    </row>
    <row r="360" spans="2:5" ht="15" customHeight="1" x14ac:dyDescent="0.25">
      <c r="B360" s="88" t="s">
        <v>146</v>
      </c>
      <c r="C360" s="31" t="s">
        <v>91</v>
      </c>
      <c r="D360" s="32">
        <v>1</v>
      </c>
      <c r="E360" s="33">
        <v>1.1396011396011396E-4</v>
      </c>
    </row>
    <row r="361" spans="2:5" ht="15" customHeight="1" x14ac:dyDescent="0.25">
      <c r="B361" s="92"/>
      <c r="C361" s="31" t="s">
        <v>93</v>
      </c>
      <c r="D361" s="32">
        <v>1</v>
      </c>
      <c r="E361" s="33">
        <v>1.1396011396011396E-4</v>
      </c>
    </row>
    <row r="362" spans="2:5" ht="15" customHeight="1" x14ac:dyDescent="0.25">
      <c r="B362" s="92"/>
      <c r="C362" s="31" t="s">
        <v>96</v>
      </c>
      <c r="D362" s="32">
        <v>2</v>
      </c>
      <c r="E362" s="33">
        <v>2.2792022792022791E-4</v>
      </c>
    </row>
    <row r="363" spans="2:5" ht="15" customHeight="1" x14ac:dyDescent="0.25">
      <c r="B363" s="92"/>
      <c r="C363" s="31" t="s">
        <v>98</v>
      </c>
      <c r="D363" s="32">
        <v>2</v>
      </c>
      <c r="E363" s="33">
        <v>2.2792022792022791E-4</v>
      </c>
    </row>
    <row r="364" spans="2:5" ht="15" customHeight="1" x14ac:dyDescent="0.25">
      <c r="B364" s="92"/>
      <c r="C364" s="31" t="s">
        <v>100</v>
      </c>
      <c r="D364" s="32">
        <v>3</v>
      </c>
      <c r="E364" s="33">
        <v>3.4188034188034188E-4</v>
      </c>
    </row>
    <row r="365" spans="2:5" ht="15" customHeight="1" x14ac:dyDescent="0.25">
      <c r="B365" s="92"/>
      <c r="C365" s="31" t="s">
        <v>101</v>
      </c>
      <c r="D365" s="32">
        <v>1</v>
      </c>
      <c r="E365" s="33">
        <v>1.1396011396011396E-4</v>
      </c>
    </row>
    <row r="366" spans="2:5" ht="15" customHeight="1" x14ac:dyDescent="0.25">
      <c r="B366" s="92"/>
      <c r="C366" s="31" t="s">
        <v>102</v>
      </c>
      <c r="D366" s="32">
        <v>8</v>
      </c>
      <c r="E366" s="33">
        <v>9.1168091168091164E-4</v>
      </c>
    </row>
    <row r="367" spans="2:5" ht="15" customHeight="1" x14ac:dyDescent="0.25">
      <c r="B367" s="92"/>
      <c r="C367" s="31" t="s">
        <v>103</v>
      </c>
      <c r="D367" s="32">
        <v>1</v>
      </c>
      <c r="E367" s="33">
        <v>1.1396011396011396E-4</v>
      </c>
    </row>
    <row r="368" spans="2:5" ht="15" customHeight="1" x14ac:dyDescent="0.25">
      <c r="B368" s="92"/>
      <c r="C368" s="31" t="s">
        <v>104</v>
      </c>
      <c r="D368" s="32">
        <v>8</v>
      </c>
      <c r="E368" s="33">
        <v>9.1168091168091164E-4</v>
      </c>
    </row>
    <row r="369" spans="2:5" ht="15" customHeight="1" x14ac:dyDescent="0.25">
      <c r="B369" s="92"/>
      <c r="C369" s="31" t="s">
        <v>105</v>
      </c>
      <c r="D369" s="32">
        <v>8</v>
      </c>
      <c r="E369" s="33">
        <v>9.1168091168091164E-4</v>
      </c>
    </row>
    <row r="370" spans="2:5" ht="15" customHeight="1" x14ac:dyDescent="0.25">
      <c r="B370" s="89"/>
      <c r="C370" s="34" t="s">
        <v>26</v>
      </c>
      <c r="D370" s="35">
        <v>35</v>
      </c>
      <c r="E370" s="36">
        <v>3.9886039886039889E-3</v>
      </c>
    </row>
    <row r="371" spans="2:5" ht="15" customHeight="1" x14ac:dyDescent="0.25">
      <c r="B371" s="88" t="s">
        <v>147</v>
      </c>
      <c r="C371" s="31" t="s">
        <v>91</v>
      </c>
      <c r="D371" s="32">
        <v>6</v>
      </c>
      <c r="E371" s="33">
        <v>6.8376068376068376E-4</v>
      </c>
    </row>
    <row r="372" spans="2:5" ht="15" customHeight="1" x14ac:dyDescent="0.25">
      <c r="B372" s="92"/>
      <c r="C372" s="31" t="s">
        <v>92</v>
      </c>
      <c r="D372" s="32">
        <v>2</v>
      </c>
      <c r="E372" s="33">
        <v>2.2792022792022791E-4</v>
      </c>
    </row>
    <row r="373" spans="2:5" ht="15" customHeight="1" x14ac:dyDescent="0.25">
      <c r="B373" s="92"/>
      <c r="C373" s="31" t="s">
        <v>93</v>
      </c>
      <c r="D373" s="32">
        <v>2</v>
      </c>
      <c r="E373" s="33">
        <v>2.2792022792022791E-4</v>
      </c>
    </row>
    <row r="374" spans="2:5" ht="15" customHeight="1" x14ac:dyDescent="0.25">
      <c r="B374" s="92"/>
      <c r="C374" s="31" t="s">
        <v>94</v>
      </c>
      <c r="D374" s="32">
        <v>4</v>
      </c>
      <c r="E374" s="33">
        <v>4.5584045584045582E-4</v>
      </c>
    </row>
    <row r="375" spans="2:5" ht="15" customHeight="1" x14ac:dyDescent="0.25">
      <c r="B375" s="92"/>
      <c r="C375" s="31" t="s">
        <v>95</v>
      </c>
      <c r="D375" s="32">
        <v>5</v>
      </c>
      <c r="E375" s="33">
        <v>5.6980056980056976E-4</v>
      </c>
    </row>
    <row r="376" spans="2:5" ht="15" customHeight="1" x14ac:dyDescent="0.25">
      <c r="B376" s="92"/>
      <c r="C376" s="31" t="s">
        <v>96</v>
      </c>
      <c r="D376" s="32">
        <v>8</v>
      </c>
      <c r="E376" s="33">
        <v>9.1168091168091164E-4</v>
      </c>
    </row>
    <row r="377" spans="2:5" ht="15" customHeight="1" x14ac:dyDescent="0.25">
      <c r="B377" s="92"/>
      <c r="C377" s="31" t="s">
        <v>97</v>
      </c>
      <c r="D377" s="32">
        <v>17</v>
      </c>
      <c r="E377" s="33">
        <v>1.9373219373219374E-3</v>
      </c>
    </row>
    <row r="378" spans="2:5" ht="15" customHeight="1" x14ac:dyDescent="0.25">
      <c r="B378" s="92"/>
      <c r="C378" s="31" t="s">
        <v>98</v>
      </c>
      <c r="D378" s="32">
        <v>27</v>
      </c>
      <c r="E378" s="33">
        <v>3.0769230769230769E-3</v>
      </c>
    </row>
    <row r="379" spans="2:5" ht="15" customHeight="1" x14ac:dyDescent="0.25">
      <c r="B379" s="92"/>
      <c r="C379" s="31" t="s">
        <v>99</v>
      </c>
      <c r="D379" s="32">
        <v>5</v>
      </c>
      <c r="E379" s="33">
        <v>5.6980056980056976E-4</v>
      </c>
    </row>
    <row r="380" spans="2:5" ht="15" customHeight="1" x14ac:dyDescent="0.25">
      <c r="B380" s="92"/>
      <c r="C380" s="31" t="s">
        <v>100</v>
      </c>
      <c r="D380" s="32">
        <v>7</v>
      </c>
      <c r="E380" s="33">
        <v>7.9772079772079776E-4</v>
      </c>
    </row>
    <row r="381" spans="2:5" ht="15" customHeight="1" x14ac:dyDescent="0.25">
      <c r="B381" s="92"/>
      <c r="C381" s="31" t="s">
        <v>101</v>
      </c>
      <c r="D381" s="32">
        <v>4</v>
      </c>
      <c r="E381" s="33">
        <v>4.5584045584045582E-4</v>
      </c>
    </row>
    <row r="382" spans="2:5" ht="15" customHeight="1" x14ac:dyDescent="0.25">
      <c r="B382" s="92"/>
      <c r="C382" s="31" t="s">
        <v>102</v>
      </c>
      <c r="D382" s="32">
        <v>51</v>
      </c>
      <c r="E382" s="33">
        <v>5.811965811965812E-3</v>
      </c>
    </row>
    <row r="383" spans="2:5" ht="15" customHeight="1" x14ac:dyDescent="0.25">
      <c r="B383" s="92"/>
      <c r="C383" s="31" t="s">
        <v>103</v>
      </c>
      <c r="D383" s="32">
        <v>4</v>
      </c>
      <c r="E383" s="33">
        <v>4.5584045584045582E-4</v>
      </c>
    </row>
    <row r="384" spans="2:5" ht="15" customHeight="1" x14ac:dyDescent="0.25">
      <c r="B384" s="92"/>
      <c r="C384" s="31" t="s">
        <v>104</v>
      </c>
      <c r="D384" s="32">
        <v>32</v>
      </c>
      <c r="E384" s="33">
        <v>3.6467236467236466E-3</v>
      </c>
    </row>
    <row r="385" spans="2:5" ht="15" customHeight="1" x14ac:dyDescent="0.25">
      <c r="B385" s="92"/>
      <c r="C385" s="31" t="s">
        <v>105</v>
      </c>
      <c r="D385" s="32">
        <v>68</v>
      </c>
      <c r="E385" s="33">
        <v>7.7492877492877496E-3</v>
      </c>
    </row>
    <row r="386" spans="2:5" ht="15" customHeight="1" x14ac:dyDescent="0.25">
      <c r="B386" s="92"/>
      <c r="C386" s="31" t="s">
        <v>106</v>
      </c>
      <c r="D386" s="32">
        <v>4</v>
      </c>
      <c r="E386" s="33">
        <v>4.5584045584045582E-4</v>
      </c>
    </row>
    <row r="387" spans="2:5" ht="15" customHeight="1" x14ac:dyDescent="0.25">
      <c r="B387" s="92"/>
      <c r="C387" s="31" t="s">
        <v>108</v>
      </c>
      <c r="D387" s="32">
        <v>1</v>
      </c>
      <c r="E387" s="33">
        <v>1.1396011396011396E-4</v>
      </c>
    </row>
    <row r="388" spans="2:5" ht="15" customHeight="1" x14ac:dyDescent="0.25">
      <c r="B388" s="92"/>
      <c r="C388" s="31" t="s">
        <v>110</v>
      </c>
      <c r="D388" s="32">
        <v>3</v>
      </c>
      <c r="E388" s="33">
        <v>3.4188034188034188E-4</v>
      </c>
    </row>
    <row r="389" spans="2:5" ht="15" customHeight="1" x14ac:dyDescent="0.25">
      <c r="B389" s="92"/>
      <c r="C389" s="31" t="s">
        <v>111</v>
      </c>
      <c r="D389" s="32">
        <v>2</v>
      </c>
      <c r="E389" s="33">
        <v>2.2792022792022791E-4</v>
      </c>
    </row>
    <row r="390" spans="2:5" ht="15" customHeight="1" x14ac:dyDescent="0.25">
      <c r="B390" s="92"/>
      <c r="C390" s="31" t="s">
        <v>112</v>
      </c>
      <c r="D390" s="32">
        <v>1</v>
      </c>
      <c r="E390" s="33">
        <v>1.1396011396011396E-4</v>
      </c>
    </row>
    <row r="391" spans="2:5" ht="15" customHeight="1" x14ac:dyDescent="0.25">
      <c r="B391" s="89"/>
      <c r="C391" s="34" t="s">
        <v>26</v>
      </c>
      <c r="D391" s="35">
        <v>253</v>
      </c>
      <c r="E391" s="36">
        <v>2.8831908831908833E-2</v>
      </c>
    </row>
    <row r="392" spans="2:5" ht="15" customHeight="1" x14ac:dyDescent="0.25">
      <c r="B392" s="88" t="s">
        <v>148</v>
      </c>
      <c r="C392" s="31" t="s">
        <v>92</v>
      </c>
      <c r="D392" s="32">
        <v>1</v>
      </c>
      <c r="E392" s="33">
        <v>1.1396011396011396E-4</v>
      </c>
    </row>
    <row r="393" spans="2:5" ht="15" customHeight="1" x14ac:dyDescent="0.25">
      <c r="B393" s="92"/>
      <c r="C393" s="31" t="s">
        <v>94</v>
      </c>
      <c r="D393" s="32">
        <v>2</v>
      </c>
      <c r="E393" s="33">
        <v>2.2792022792022791E-4</v>
      </c>
    </row>
    <row r="394" spans="2:5" ht="15" customHeight="1" x14ac:dyDescent="0.25">
      <c r="B394" s="92"/>
      <c r="C394" s="31" t="s">
        <v>95</v>
      </c>
      <c r="D394" s="32">
        <v>1</v>
      </c>
      <c r="E394" s="33">
        <v>1.1396011396011396E-4</v>
      </c>
    </row>
    <row r="395" spans="2:5" ht="15" customHeight="1" x14ac:dyDescent="0.25">
      <c r="B395" s="92"/>
      <c r="C395" s="31" t="s">
        <v>96</v>
      </c>
      <c r="D395" s="32">
        <v>1</v>
      </c>
      <c r="E395" s="33">
        <v>1.1396011396011396E-4</v>
      </c>
    </row>
    <row r="396" spans="2:5" ht="15" customHeight="1" x14ac:dyDescent="0.25">
      <c r="B396" s="92"/>
      <c r="C396" s="31" t="s">
        <v>97</v>
      </c>
      <c r="D396" s="32">
        <v>8</v>
      </c>
      <c r="E396" s="33">
        <v>9.1168091168091164E-4</v>
      </c>
    </row>
    <row r="397" spans="2:5" ht="15" customHeight="1" x14ac:dyDescent="0.25">
      <c r="B397" s="92"/>
      <c r="C397" s="31" t="s">
        <v>98</v>
      </c>
      <c r="D397" s="32">
        <v>12</v>
      </c>
      <c r="E397" s="33">
        <v>1.3675213675213675E-3</v>
      </c>
    </row>
    <row r="398" spans="2:5" ht="15" customHeight="1" x14ac:dyDescent="0.25">
      <c r="B398" s="92"/>
      <c r="C398" s="31" t="s">
        <v>99</v>
      </c>
      <c r="D398" s="32">
        <v>1</v>
      </c>
      <c r="E398" s="33">
        <v>1.1396011396011396E-4</v>
      </c>
    </row>
    <row r="399" spans="2:5" ht="15" customHeight="1" x14ac:dyDescent="0.25">
      <c r="B399" s="92"/>
      <c r="C399" s="31" t="s">
        <v>100</v>
      </c>
      <c r="D399" s="32">
        <v>1</v>
      </c>
      <c r="E399" s="33">
        <v>1.1396011396011396E-4</v>
      </c>
    </row>
    <row r="400" spans="2:5" ht="15" customHeight="1" x14ac:dyDescent="0.25">
      <c r="B400" s="92"/>
      <c r="C400" s="31" t="s">
        <v>101</v>
      </c>
      <c r="D400" s="32">
        <v>3</v>
      </c>
      <c r="E400" s="33">
        <v>3.4188034188034188E-4</v>
      </c>
    </row>
    <row r="401" spans="2:5" ht="15" customHeight="1" x14ac:dyDescent="0.25">
      <c r="B401" s="92"/>
      <c r="C401" s="31" t="s">
        <v>102</v>
      </c>
      <c r="D401" s="32">
        <v>47</v>
      </c>
      <c r="E401" s="33">
        <v>5.3561253561253564E-3</v>
      </c>
    </row>
    <row r="402" spans="2:5" ht="15" customHeight="1" x14ac:dyDescent="0.25">
      <c r="B402" s="92"/>
      <c r="C402" s="31" t="s">
        <v>103</v>
      </c>
      <c r="D402" s="32">
        <v>2</v>
      </c>
      <c r="E402" s="33">
        <v>2.2792022792022791E-4</v>
      </c>
    </row>
    <row r="403" spans="2:5" ht="15" customHeight="1" x14ac:dyDescent="0.25">
      <c r="B403" s="92"/>
      <c r="C403" s="31" t="s">
        <v>104</v>
      </c>
      <c r="D403" s="32">
        <v>15</v>
      </c>
      <c r="E403" s="33">
        <v>1.7094017094017094E-3</v>
      </c>
    </row>
    <row r="404" spans="2:5" ht="15" customHeight="1" x14ac:dyDescent="0.25">
      <c r="B404" s="92"/>
      <c r="C404" s="31" t="s">
        <v>105</v>
      </c>
      <c r="D404" s="32">
        <v>27</v>
      </c>
      <c r="E404" s="33">
        <v>3.0769230769230769E-3</v>
      </c>
    </row>
    <row r="405" spans="2:5" ht="15" customHeight="1" x14ac:dyDescent="0.25">
      <c r="B405" s="92"/>
      <c r="C405" s="31" t="s">
        <v>106</v>
      </c>
      <c r="D405" s="32">
        <v>2</v>
      </c>
      <c r="E405" s="33">
        <v>2.2792022792022791E-4</v>
      </c>
    </row>
    <row r="406" spans="2:5" ht="15" customHeight="1" x14ac:dyDescent="0.25">
      <c r="B406" s="92"/>
      <c r="C406" s="31" t="s">
        <v>110</v>
      </c>
      <c r="D406" s="32">
        <v>3</v>
      </c>
      <c r="E406" s="33">
        <v>3.4188034188034188E-4</v>
      </c>
    </row>
    <row r="407" spans="2:5" ht="15" customHeight="1" x14ac:dyDescent="0.25">
      <c r="B407" s="92"/>
      <c r="C407" s="31" t="s">
        <v>111</v>
      </c>
      <c r="D407" s="32">
        <v>9</v>
      </c>
      <c r="E407" s="33">
        <v>1.0256410256410256E-3</v>
      </c>
    </row>
    <row r="408" spans="2:5" ht="15" customHeight="1" x14ac:dyDescent="0.25">
      <c r="B408" s="92"/>
      <c r="C408" s="31" t="s">
        <v>112</v>
      </c>
      <c r="D408" s="32">
        <v>1</v>
      </c>
      <c r="E408" s="33">
        <v>1.1396011396011396E-4</v>
      </c>
    </row>
    <row r="409" spans="2:5" ht="15" customHeight="1" x14ac:dyDescent="0.25">
      <c r="B409" s="89"/>
      <c r="C409" s="34" t="s">
        <v>26</v>
      </c>
      <c r="D409" s="35">
        <v>136</v>
      </c>
      <c r="E409" s="36">
        <v>1.5498575498575499E-2</v>
      </c>
    </row>
    <row r="410" spans="2:5" ht="15" customHeight="1" x14ac:dyDescent="0.25">
      <c r="B410" s="88" t="s">
        <v>149</v>
      </c>
      <c r="C410" s="31" t="s">
        <v>118</v>
      </c>
      <c r="D410" s="32">
        <v>1</v>
      </c>
      <c r="E410" s="33">
        <v>1.1396011396011396E-4</v>
      </c>
    </row>
    <row r="411" spans="2:5" ht="15" customHeight="1" x14ac:dyDescent="0.25">
      <c r="B411" s="92"/>
      <c r="C411" s="31" t="s">
        <v>91</v>
      </c>
      <c r="D411" s="32">
        <v>1</v>
      </c>
      <c r="E411" s="33">
        <v>1.1396011396011396E-4</v>
      </c>
    </row>
    <row r="412" spans="2:5" ht="15" customHeight="1" x14ac:dyDescent="0.25">
      <c r="B412" s="92"/>
      <c r="C412" s="31" t="s">
        <v>93</v>
      </c>
      <c r="D412" s="32">
        <v>1</v>
      </c>
      <c r="E412" s="33">
        <v>1.1396011396011396E-4</v>
      </c>
    </row>
    <row r="413" spans="2:5" ht="15" customHeight="1" x14ac:dyDescent="0.25">
      <c r="B413" s="92"/>
      <c r="C413" s="31" t="s">
        <v>96</v>
      </c>
      <c r="D413" s="32">
        <v>3</v>
      </c>
      <c r="E413" s="33">
        <v>3.4188034188034188E-4</v>
      </c>
    </row>
    <row r="414" spans="2:5" ht="15" customHeight="1" x14ac:dyDescent="0.25">
      <c r="B414" s="92"/>
      <c r="C414" s="31" t="s">
        <v>97</v>
      </c>
      <c r="D414" s="32">
        <v>3</v>
      </c>
      <c r="E414" s="33">
        <v>3.4188034188034188E-4</v>
      </c>
    </row>
    <row r="415" spans="2:5" ht="15" customHeight="1" x14ac:dyDescent="0.25">
      <c r="B415" s="92"/>
      <c r="C415" s="31" t="s">
        <v>98</v>
      </c>
      <c r="D415" s="32">
        <v>15</v>
      </c>
      <c r="E415" s="33">
        <v>1.7094017094017094E-3</v>
      </c>
    </row>
    <row r="416" spans="2:5" ht="15" customHeight="1" x14ac:dyDescent="0.25">
      <c r="B416" s="92"/>
      <c r="C416" s="31" t="s">
        <v>99</v>
      </c>
      <c r="D416" s="32">
        <v>2</v>
      </c>
      <c r="E416" s="33">
        <v>2.2792022792022791E-4</v>
      </c>
    </row>
    <row r="417" spans="2:5" ht="15" customHeight="1" x14ac:dyDescent="0.25">
      <c r="B417" s="92"/>
      <c r="C417" s="31" t="s">
        <v>100</v>
      </c>
      <c r="D417" s="32">
        <v>3</v>
      </c>
      <c r="E417" s="33">
        <v>3.4188034188034188E-4</v>
      </c>
    </row>
    <row r="418" spans="2:5" ht="15" customHeight="1" x14ac:dyDescent="0.25">
      <c r="B418" s="92"/>
      <c r="C418" s="31" t="s">
        <v>101</v>
      </c>
      <c r="D418" s="32">
        <v>6</v>
      </c>
      <c r="E418" s="33">
        <v>6.8376068376068376E-4</v>
      </c>
    </row>
    <row r="419" spans="2:5" ht="15" customHeight="1" x14ac:dyDescent="0.25">
      <c r="B419" s="92"/>
      <c r="C419" s="31" t="s">
        <v>102</v>
      </c>
      <c r="D419" s="32">
        <v>28</v>
      </c>
      <c r="E419" s="33">
        <v>3.190883190883191E-3</v>
      </c>
    </row>
    <row r="420" spans="2:5" ht="15" customHeight="1" x14ac:dyDescent="0.25">
      <c r="B420" s="92"/>
      <c r="C420" s="31" t="s">
        <v>103</v>
      </c>
      <c r="D420" s="32">
        <v>1</v>
      </c>
      <c r="E420" s="33">
        <v>1.1396011396011396E-4</v>
      </c>
    </row>
    <row r="421" spans="2:5" ht="15" customHeight="1" x14ac:dyDescent="0.25">
      <c r="B421" s="92"/>
      <c r="C421" s="31" t="s">
        <v>104</v>
      </c>
      <c r="D421" s="32">
        <v>17</v>
      </c>
      <c r="E421" s="33">
        <v>1.9373219373219374E-3</v>
      </c>
    </row>
    <row r="422" spans="2:5" ht="15" customHeight="1" x14ac:dyDescent="0.25">
      <c r="B422" s="92"/>
      <c r="C422" s="31" t="s">
        <v>105</v>
      </c>
      <c r="D422" s="32">
        <v>47</v>
      </c>
      <c r="E422" s="33">
        <v>5.3561253561253564E-3</v>
      </c>
    </row>
    <row r="423" spans="2:5" ht="15" customHeight="1" x14ac:dyDescent="0.25">
      <c r="B423" s="92"/>
      <c r="C423" s="31" t="s">
        <v>107</v>
      </c>
      <c r="D423" s="32">
        <v>2</v>
      </c>
      <c r="E423" s="33">
        <v>2.2792022792022791E-4</v>
      </c>
    </row>
    <row r="424" spans="2:5" ht="15" customHeight="1" x14ac:dyDescent="0.25">
      <c r="B424" s="92"/>
      <c r="C424" s="31" t="s">
        <v>108</v>
      </c>
      <c r="D424" s="32">
        <v>1</v>
      </c>
      <c r="E424" s="33">
        <v>1.1396011396011396E-4</v>
      </c>
    </row>
    <row r="425" spans="2:5" ht="15" customHeight="1" x14ac:dyDescent="0.25">
      <c r="B425" s="92"/>
      <c r="C425" s="31" t="s">
        <v>111</v>
      </c>
      <c r="D425" s="32">
        <v>3</v>
      </c>
      <c r="E425" s="33">
        <v>3.4188034188034188E-4</v>
      </c>
    </row>
    <row r="426" spans="2:5" ht="15" customHeight="1" x14ac:dyDescent="0.25">
      <c r="B426" s="89"/>
      <c r="C426" s="34" t="s">
        <v>26</v>
      </c>
      <c r="D426" s="35">
        <v>134</v>
      </c>
      <c r="E426" s="36">
        <v>1.527065527065527E-2</v>
      </c>
    </row>
    <row r="427" spans="2:5" ht="15" customHeight="1" x14ac:dyDescent="0.25">
      <c r="B427" s="88" t="s">
        <v>150</v>
      </c>
      <c r="C427" s="31" t="s">
        <v>100</v>
      </c>
      <c r="D427" s="32">
        <v>1</v>
      </c>
      <c r="E427" s="33">
        <v>1.1396011396011396E-4</v>
      </c>
    </row>
    <row r="428" spans="2:5" ht="15" customHeight="1" x14ac:dyDescent="0.25">
      <c r="B428" s="92"/>
      <c r="C428" s="31" t="s">
        <v>102</v>
      </c>
      <c r="D428" s="32">
        <v>3</v>
      </c>
      <c r="E428" s="33">
        <v>3.4188034188034188E-4</v>
      </c>
    </row>
    <row r="429" spans="2:5" ht="15" customHeight="1" x14ac:dyDescent="0.25">
      <c r="B429" s="92"/>
      <c r="C429" s="31" t="s">
        <v>105</v>
      </c>
      <c r="D429" s="32">
        <v>2</v>
      </c>
      <c r="E429" s="33">
        <v>2.2792022792022791E-4</v>
      </c>
    </row>
    <row r="430" spans="2:5" ht="15" customHeight="1" x14ac:dyDescent="0.25">
      <c r="B430" s="92"/>
      <c r="C430" s="31" t="s">
        <v>110</v>
      </c>
      <c r="D430" s="32">
        <v>1</v>
      </c>
      <c r="E430" s="33">
        <v>1.1396011396011396E-4</v>
      </c>
    </row>
    <row r="431" spans="2:5" ht="15" customHeight="1" x14ac:dyDescent="0.25">
      <c r="B431" s="92"/>
      <c r="C431" s="31" t="s">
        <v>111</v>
      </c>
      <c r="D431" s="32">
        <v>1</v>
      </c>
      <c r="E431" s="33">
        <v>1.1396011396011396E-4</v>
      </c>
    </row>
    <row r="432" spans="2:5" ht="15" customHeight="1" x14ac:dyDescent="0.25">
      <c r="B432" s="89"/>
      <c r="C432" s="34" t="s">
        <v>26</v>
      </c>
      <c r="D432" s="35">
        <v>8</v>
      </c>
      <c r="E432" s="36">
        <v>9.1168091168091164E-4</v>
      </c>
    </row>
    <row r="433" spans="2:5" ht="15" customHeight="1" x14ac:dyDescent="0.25">
      <c r="B433" s="88" t="s">
        <v>151</v>
      </c>
      <c r="C433" s="31" t="s">
        <v>91</v>
      </c>
      <c r="D433" s="32">
        <v>1</v>
      </c>
      <c r="E433" s="33">
        <v>1.1396011396011396E-4</v>
      </c>
    </row>
    <row r="434" spans="2:5" ht="15" customHeight="1" x14ac:dyDescent="0.25">
      <c r="B434" s="92"/>
      <c r="C434" s="31" t="s">
        <v>96</v>
      </c>
      <c r="D434" s="32">
        <v>1</v>
      </c>
      <c r="E434" s="33">
        <v>1.1396011396011396E-4</v>
      </c>
    </row>
    <row r="435" spans="2:5" ht="15" customHeight="1" x14ac:dyDescent="0.25">
      <c r="B435" s="92"/>
      <c r="C435" s="31" t="s">
        <v>97</v>
      </c>
      <c r="D435" s="32">
        <v>5</v>
      </c>
      <c r="E435" s="33">
        <v>5.6980056980056976E-4</v>
      </c>
    </row>
    <row r="436" spans="2:5" ht="15" customHeight="1" x14ac:dyDescent="0.25">
      <c r="B436" s="92"/>
      <c r="C436" s="31" t="s">
        <v>98</v>
      </c>
      <c r="D436" s="32">
        <v>10</v>
      </c>
      <c r="E436" s="33">
        <v>1.1396011396011395E-3</v>
      </c>
    </row>
    <row r="437" spans="2:5" ht="15" customHeight="1" x14ac:dyDescent="0.25">
      <c r="B437" s="92"/>
      <c r="C437" s="31" t="s">
        <v>100</v>
      </c>
      <c r="D437" s="32">
        <v>1</v>
      </c>
      <c r="E437" s="33">
        <v>1.1396011396011396E-4</v>
      </c>
    </row>
    <row r="438" spans="2:5" ht="15" customHeight="1" x14ac:dyDescent="0.25">
      <c r="B438" s="92"/>
      <c r="C438" s="31" t="s">
        <v>101</v>
      </c>
      <c r="D438" s="32">
        <v>1</v>
      </c>
      <c r="E438" s="33">
        <v>1.1396011396011396E-4</v>
      </c>
    </row>
    <row r="439" spans="2:5" ht="15" customHeight="1" x14ac:dyDescent="0.25">
      <c r="B439" s="92"/>
      <c r="C439" s="31" t="s">
        <v>102</v>
      </c>
      <c r="D439" s="32">
        <v>14</v>
      </c>
      <c r="E439" s="33">
        <v>1.5954415954415955E-3</v>
      </c>
    </row>
    <row r="440" spans="2:5" ht="15" customHeight="1" x14ac:dyDescent="0.25">
      <c r="B440" s="92"/>
      <c r="C440" s="31" t="s">
        <v>103</v>
      </c>
      <c r="D440" s="32">
        <v>1</v>
      </c>
      <c r="E440" s="33">
        <v>1.1396011396011396E-4</v>
      </c>
    </row>
    <row r="441" spans="2:5" ht="15" customHeight="1" x14ac:dyDescent="0.25">
      <c r="B441" s="92"/>
      <c r="C441" s="31" t="s">
        <v>104</v>
      </c>
      <c r="D441" s="32">
        <v>14</v>
      </c>
      <c r="E441" s="33">
        <v>1.5954415954415955E-3</v>
      </c>
    </row>
    <row r="442" spans="2:5" ht="15" customHeight="1" x14ac:dyDescent="0.25">
      <c r="B442" s="92"/>
      <c r="C442" s="31" t="s">
        <v>105</v>
      </c>
      <c r="D442" s="32">
        <v>19</v>
      </c>
      <c r="E442" s="33">
        <v>2.1652421652421654E-3</v>
      </c>
    </row>
    <row r="443" spans="2:5" ht="15" customHeight="1" x14ac:dyDescent="0.25">
      <c r="B443" s="92"/>
      <c r="C443" s="31" t="s">
        <v>110</v>
      </c>
      <c r="D443" s="32">
        <v>1</v>
      </c>
      <c r="E443" s="33">
        <v>1.1396011396011396E-4</v>
      </c>
    </row>
    <row r="444" spans="2:5" ht="15" customHeight="1" x14ac:dyDescent="0.25">
      <c r="B444" s="92"/>
      <c r="C444" s="31" t="s">
        <v>112</v>
      </c>
      <c r="D444" s="32">
        <v>1</v>
      </c>
      <c r="E444" s="33">
        <v>1.1396011396011396E-4</v>
      </c>
    </row>
    <row r="445" spans="2:5" ht="15" customHeight="1" x14ac:dyDescent="0.25">
      <c r="B445" s="89"/>
      <c r="C445" s="34" t="s">
        <v>26</v>
      </c>
      <c r="D445" s="35">
        <v>69</v>
      </c>
      <c r="E445" s="36">
        <v>7.8632478632478641E-3</v>
      </c>
    </row>
    <row r="446" spans="2:5" ht="15" customHeight="1" x14ac:dyDescent="0.25">
      <c r="B446" s="88" t="s">
        <v>152</v>
      </c>
      <c r="C446" s="31" t="s">
        <v>118</v>
      </c>
      <c r="D446" s="32">
        <v>2</v>
      </c>
      <c r="E446" s="33">
        <v>2.2792022792022791E-4</v>
      </c>
    </row>
    <row r="447" spans="2:5" ht="15" customHeight="1" x14ac:dyDescent="0.25">
      <c r="B447" s="92"/>
      <c r="C447" s="31" t="s">
        <v>91</v>
      </c>
      <c r="D447" s="32">
        <v>5</v>
      </c>
      <c r="E447" s="33">
        <v>5.6980056980056976E-4</v>
      </c>
    </row>
    <row r="448" spans="2:5" ht="15" customHeight="1" x14ac:dyDescent="0.25">
      <c r="B448" s="92"/>
      <c r="C448" s="31" t="s">
        <v>92</v>
      </c>
      <c r="D448" s="32">
        <v>1</v>
      </c>
      <c r="E448" s="33">
        <v>1.1396011396011396E-4</v>
      </c>
    </row>
    <row r="449" spans="2:5" ht="15" customHeight="1" x14ac:dyDescent="0.25">
      <c r="B449" s="92"/>
      <c r="C449" s="31" t="s">
        <v>93</v>
      </c>
      <c r="D449" s="32">
        <v>1</v>
      </c>
      <c r="E449" s="33">
        <v>1.1396011396011396E-4</v>
      </c>
    </row>
    <row r="450" spans="2:5" ht="15" customHeight="1" x14ac:dyDescent="0.25">
      <c r="B450" s="92"/>
      <c r="C450" s="31" t="s">
        <v>94</v>
      </c>
      <c r="D450" s="32">
        <v>1</v>
      </c>
      <c r="E450" s="33">
        <v>1.1396011396011396E-4</v>
      </c>
    </row>
    <row r="451" spans="2:5" ht="15" customHeight="1" x14ac:dyDescent="0.25">
      <c r="B451" s="92"/>
      <c r="C451" s="31" t="s">
        <v>95</v>
      </c>
      <c r="D451" s="32">
        <v>4</v>
      </c>
      <c r="E451" s="33">
        <v>4.5584045584045582E-4</v>
      </c>
    </row>
    <row r="452" spans="2:5" ht="15" customHeight="1" x14ac:dyDescent="0.25">
      <c r="B452" s="92"/>
      <c r="C452" s="31" t="s">
        <v>96</v>
      </c>
      <c r="D452" s="32">
        <v>3</v>
      </c>
      <c r="E452" s="33">
        <v>3.4188034188034188E-4</v>
      </c>
    </row>
    <row r="453" spans="2:5" ht="15" customHeight="1" x14ac:dyDescent="0.25">
      <c r="B453" s="92"/>
      <c r="C453" s="31" t="s">
        <v>97</v>
      </c>
      <c r="D453" s="32">
        <v>7</v>
      </c>
      <c r="E453" s="33">
        <v>7.9772079772079776E-4</v>
      </c>
    </row>
    <row r="454" spans="2:5" ht="15" customHeight="1" x14ac:dyDescent="0.25">
      <c r="B454" s="92"/>
      <c r="C454" s="31" t="s">
        <v>98</v>
      </c>
      <c r="D454" s="32">
        <v>37</v>
      </c>
      <c r="E454" s="33">
        <v>4.2165242165242162E-3</v>
      </c>
    </row>
    <row r="455" spans="2:5" ht="15" customHeight="1" x14ac:dyDescent="0.25">
      <c r="B455" s="92"/>
      <c r="C455" s="31" t="s">
        <v>99</v>
      </c>
      <c r="D455" s="32">
        <v>3</v>
      </c>
      <c r="E455" s="33">
        <v>3.4188034188034188E-4</v>
      </c>
    </row>
    <row r="456" spans="2:5" ht="15" customHeight="1" x14ac:dyDescent="0.25">
      <c r="B456" s="92"/>
      <c r="C456" s="31" t="s">
        <v>100</v>
      </c>
      <c r="D456" s="32">
        <v>9</v>
      </c>
      <c r="E456" s="33">
        <v>1.0256410256410256E-3</v>
      </c>
    </row>
    <row r="457" spans="2:5" ht="15" customHeight="1" x14ac:dyDescent="0.25">
      <c r="B457" s="92"/>
      <c r="C457" s="31" t="s">
        <v>101</v>
      </c>
      <c r="D457" s="32">
        <v>14</v>
      </c>
      <c r="E457" s="33">
        <v>1.5954415954415955E-3</v>
      </c>
    </row>
    <row r="458" spans="2:5" ht="15" customHeight="1" x14ac:dyDescent="0.25">
      <c r="B458" s="92"/>
      <c r="C458" s="31" t="s">
        <v>102</v>
      </c>
      <c r="D458" s="32">
        <v>86</v>
      </c>
      <c r="E458" s="33">
        <v>9.8005698005698E-3</v>
      </c>
    </row>
    <row r="459" spans="2:5" ht="15" customHeight="1" x14ac:dyDescent="0.25">
      <c r="B459" s="92"/>
      <c r="C459" s="31" t="s">
        <v>103</v>
      </c>
      <c r="D459" s="32">
        <v>15</v>
      </c>
      <c r="E459" s="33">
        <v>1.7094017094017094E-3</v>
      </c>
    </row>
    <row r="460" spans="2:5" ht="15" customHeight="1" x14ac:dyDescent="0.25">
      <c r="B460" s="92"/>
      <c r="C460" s="31" t="s">
        <v>104</v>
      </c>
      <c r="D460" s="32">
        <v>54</v>
      </c>
      <c r="E460" s="33">
        <v>6.1538461538461538E-3</v>
      </c>
    </row>
    <row r="461" spans="2:5" ht="15" customHeight="1" x14ac:dyDescent="0.25">
      <c r="B461" s="92"/>
      <c r="C461" s="31" t="s">
        <v>105</v>
      </c>
      <c r="D461" s="32">
        <v>102</v>
      </c>
      <c r="E461" s="33">
        <v>1.1623931623931624E-2</v>
      </c>
    </row>
    <row r="462" spans="2:5" ht="15" customHeight="1" x14ac:dyDescent="0.25">
      <c r="B462" s="92"/>
      <c r="C462" s="31" t="s">
        <v>106</v>
      </c>
      <c r="D462" s="32">
        <v>2</v>
      </c>
      <c r="E462" s="33">
        <v>2.2792022792022791E-4</v>
      </c>
    </row>
    <row r="463" spans="2:5" ht="15" customHeight="1" x14ac:dyDescent="0.25">
      <c r="B463" s="92"/>
      <c r="C463" s="31" t="s">
        <v>107</v>
      </c>
      <c r="D463" s="32">
        <v>2</v>
      </c>
      <c r="E463" s="33">
        <v>2.2792022792022791E-4</v>
      </c>
    </row>
    <row r="464" spans="2:5" ht="15" customHeight="1" x14ac:dyDescent="0.25">
      <c r="B464" s="92"/>
      <c r="C464" s="31" t="s">
        <v>108</v>
      </c>
      <c r="D464" s="32">
        <v>2</v>
      </c>
      <c r="E464" s="33">
        <v>2.2792022792022791E-4</v>
      </c>
    </row>
    <row r="465" spans="2:5" ht="15" customHeight="1" x14ac:dyDescent="0.25">
      <c r="B465" s="92"/>
      <c r="C465" s="31" t="s">
        <v>110</v>
      </c>
      <c r="D465" s="32">
        <v>4</v>
      </c>
      <c r="E465" s="33">
        <v>4.5584045584045582E-4</v>
      </c>
    </row>
    <row r="466" spans="2:5" ht="15" customHeight="1" x14ac:dyDescent="0.25">
      <c r="B466" s="92"/>
      <c r="C466" s="31" t="s">
        <v>111</v>
      </c>
      <c r="D466" s="32">
        <v>9</v>
      </c>
      <c r="E466" s="33">
        <v>1.0256410256410256E-3</v>
      </c>
    </row>
    <row r="467" spans="2:5" ht="15" customHeight="1" x14ac:dyDescent="0.25">
      <c r="B467" s="92"/>
      <c r="C467" s="31" t="s">
        <v>113</v>
      </c>
      <c r="D467" s="32">
        <v>1</v>
      </c>
      <c r="E467" s="33">
        <v>1.1396011396011396E-4</v>
      </c>
    </row>
    <row r="468" spans="2:5" ht="15" customHeight="1" x14ac:dyDescent="0.25">
      <c r="B468" s="89"/>
      <c r="C468" s="34" t="s">
        <v>26</v>
      </c>
      <c r="D468" s="35">
        <v>364</v>
      </c>
      <c r="E468" s="36">
        <v>4.148148148148148E-2</v>
      </c>
    </row>
    <row r="469" spans="2:5" ht="15" customHeight="1" x14ac:dyDescent="0.25">
      <c r="B469" s="88" t="s">
        <v>153</v>
      </c>
      <c r="C469" s="31" t="s">
        <v>92</v>
      </c>
      <c r="D469" s="32">
        <v>1</v>
      </c>
      <c r="E469" s="33">
        <v>1.1396011396011396E-4</v>
      </c>
    </row>
    <row r="470" spans="2:5" ht="15" customHeight="1" x14ac:dyDescent="0.25">
      <c r="B470" s="92"/>
      <c r="C470" s="31" t="s">
        <v>93</v>
      </c>
      <c r="D470" s="32">
        <v>1</v>
      </c>
      <c r="E470" s="33">
        <v>1.1396011396011396E-4</v>
      </c>
    </row>
    <row r="471" spans="2:5" ht="15" customHeight="1" x14ac:dyDescent="0.25">
      <c r="B471" s="92"/>
      <c r="C471" s="31" t="s">
        <v>98</v>
      </c>
      <c r="D471" s="32">
        <v>2</v>
      </c>
      <c r="E471" s="33">
        <v>2.2792022792022791E-4</v>
      </c>
    </row>
    <row r="472" spans="2:5" ht="15" customHeight="1" x14ac:dyDescent="0.25">
      <c r="B472" s="92"/>
      <c r="C472" s="31" t="s">
        <v>100</v>
      </c>
      <c r="D472" s="32">
        <v>1</v>
      </c>
      <c r="E472" s="33">
        <v>1.1396011396011396E-4</v>
      </c>
    </row>
    <row r="473" spans="2:5" ht="15" customHeight="1" x14ac:dyDescent="0.25">
      <c r="B473" s="92"/>
      <c r="C473" s="31" t="s">
        <v>101</v>
      </c>
      <c r="D473" s="32">
        <v>1</v>
      </c>
      <c r="E473" s="33">
        <v>1.1396011396011396E-4</v>
      </c>
    </row>
    <row r="474" spans="2:5" ht="15" customHeight="1" x14ac:dyDescent="0.25">
      <c r="B474" s="92"/>
      <c r="C474" s="31" t="s">
        <v>102</v>
      </c>
      <c r="D474" s="32">
        <v>6</v>
      </c>
      <c r="E474" s="33">
        <v>6.8376068376068376E-4</v>
      </c>
    </row>
    <row r="475" spans="2:5" ht="15" customHeight="1" x14ac:dyDescent="0.25">
      <c r="B475" s="92"/>
      <c r="C475" s="31" t="s">
        <v>104</v>
      </c>
      <c r="D475" s="32">
        <v>2</v>
      </c>
      <c r="E475" s="33">
        <v>2.2792022792022791E-4</v>
      </c>
    </row>
    <row r="476" spans="2:5" ht="15" customHeight="1" x14ac:dyDescent="0.25">
      <c r="B476" s="92"/>
      <c r="C476" s="31" t="s">
        <v>105</v>
      </c>
      <c r="D476" s="32">
        <v>3</v>
      </c>
      <c r="E476" s="33">
        <v>3.4188034188034188E-4</v>
      </c>
    </row>
    <row r="477" spans="2:5" ht="15" customHeight="1" x14ac:dyDescent="0.25">
      <c r="B477" s="92"/>
      <c r="C477" s="31" t="s">
        <v>110</v>
      </c>
      <c r="D477" s="32">
        <v>3</v>
      </c>
      <c r="E477" s="33">
        <v>3.4188034188034188E-4</v>
      </c>
    </row>
    <row r="478" spans="2:5" ht="15" customHeight="1" x14ac:dyDescent="0.25">
      <c r="B478" s="92"/>
      <c r="C478" s="31" t="s">
        <v>111</v>
      </c>
      <c r="D478" s="32">
        <v>2</v>
      </c>
      <c r="E478" s="33">
        <v>2.2792022792022791E-4</v>
      </c>
    </row>
    <row r="479" spans="2:5" ht="15" customHeight="1" x14ac:dyDescent="0.25">
      <c r="B479" s="89"/>
      <c r="C479" s="34" t="s">
        <v>26</v>
      </c>
      <c r="D479" s="35">
        <v>22</v>
      </c>
      <c r="E479" s="36">
        <v>2.5071225071225073E-3</v>
      </c>
    </row>
    <row r="480" spans="2:5" ht="15" customHeight="1" x14ac:dyDescent="0.25">
      <c r="B480" s="88" t="s">
        <v>154</v>
      </c>
      <c r="C480" s="31" t="s">
        <v>94</v>
      </c>
      <c r="D480" s="32">
        <v>1</v>
      </c>
      <c r="E480" s="33">
        <v>1.1396011396011396E-4</v>
      </c>
    </row>
    <row r="481" spans="2:5" ht="15" customHeight="1" x14ac:dyDescent="0.25">
      <c r="B481" s="92"/>
      <c r="C481" s="31" t="s">
        <v>95</v>
      </c>
      <c r="D481" s="32">
        <v>1</v>
      </c>
      <c r="E481" s="33">
        <v>1.1396011396011396E-4</v>
      </c>
    </row>
    <row r="482" spans="2:5" ht="15" customHeight="1" x14ac:dyDescent="0.25">
      <c r="B482" s="92"/>
      <c r="C482" s="31" t="s">
        <v>97</v>
      </c>
      <c r="D482" s="32">
        <v>9</v>
      </c>
      <c r="E482" s="33">
        <v>1.0256410256410256E-3</v>
      </c>
    </row>
    <row r="483" spans="2:5" ht="15" customHeight="1" x14ac:dyDescent="0.25">
      <c r="B483" s="92"/>
      <c r="C483" s="31" t="s">
        <v>98</v>
      </c>
      <c r="D483" s="32">
        <v>14</v>
      </c>
      <c r="E483" s="33">
        <v>1.5954415954415955E-3</v>
      </c>
    </row>
    <row r="484" spans="2:5" ht="15" customHeight="1" x14ac:dyDescent="0.25">
      <c r="B484" s="92"/>
      <c r="C484" s="31" t="s">
        <v>99</v>
      </c>
      <c r="D484" s="32">
        <v>2</v>
      </c>
      <c r="E484" s="33">
        <v>2.2792022792022791E-4</v>
      </c>
    </row>
    <row r="485" spans="2:5" ht="15" customHeight="1" x14ac:dyDescent="0.25">
      <c r="B485" s="92"/>
      <c r="C485" s="31" t="s">
        <v>100</v>
      </c>
      <c r="D485" s="32">
        <v>2</v>
      </c>
      <c r="E485" s="33">
        <v>2.2792022792022791E-4</v>
      </c>
    </row>
    <row r="486" spans="2:5" ht="15" customHeight="1" x14ac:dyDescent="0.25">
      <c r="B486" s="92"/>
      <c r="C486" s="31" t="s">
        <v>101</v>
      </c>
      <c r="D486" s="32">
        <v>11</v>
      </c>
      <c r="E486" s="33">
        <v>1.2535612535612536E-3</v>
      </c>
    </row>
    <row r="487" spans="2:5" ht="15" customHeight="1" x14ac:dyDescent="0.25">
      <c r="B487" s="92"/>
      <c r="C487" s="31" t="s">
        <v>102</v>
      </c>
      <c r="D487" s="32">
        <v>37</v>
      </c>
      <c r="E487" s="33">
        <v>4.2165242165242162E-3</v>
      </c>
    </row>
    <row r="488" spans="2:5" ht="15" customHeight="1" x14ac:dyDescent="0.25">
      <c r="B488" s="92"/>
      <c r="C488" s="31" t="s">
        <v>104</v>
      </c>
      <c r="D488" s="32">
        <v>25</v>
      </c>
      <c r="E488" s="33">
        <v>2.8490028490028491E-3</v>
      </c>
    </row>
    <row r="489" spans="2:5" ht="15" customHeight="1" x14ac:dyDescent="0.25">
      <c r="B489" s="92"/>
      <c r="C489" s="31" t="s">
        <v>105</v>
      </c>
      <c r="D489" s="32">
        <v>48</v>
      </c>
      <c r="E489" s="33">
        <v>5.4700854700854701E-3</v>
      </c>
    </row>
    <row r="490" spans="2:5" ht="15" customHeight="1" x14ac:dyDescent="0.25">
      <c r="B490" s="92"/>
      <c r="C490" s="31" t="s">
        <v>106</v>
      </c>
      <c r="D490" s="32">
        <v>1</v>
      </c>
      <c r="E490" s="33">
        <v>1.1396011396011396E-4</v>
      </c>
    </row>
    <row r="491" spans="2:5" ht="15" customHeight="1" x14ac:dyDescent="0.25">
      <c r="B491" s="92"/>
      <c r="C491" s="31" t="s">
        <v>107</v>
      </c>
      <c r="D491" s="32">
        <v>2</v>
      </c>
      <c r="E491" s="33">
        <v>2.2792022792022791E-4</v>
      </c>
    </row>
    <row r="492" spans="2:5" ht="15" customHeight="1" x14ac:dyDescent="0.25">
      <c r="B492" s="92"/>
      <c r="C492" s="31" t="s">
        <v>109</v>
      </c>
      <c r="D492" s="32">
        <v>1</v>
      </c>
      <c r="E492" s="33">
        <v>1.1396011396011396E-4</v>
      </c>
    </row>
    <row r="493" spans="2:5" ht="15" customHeight="1" x14ac:dyDescent="0.25">
      <c r="B493" s="92"/>
      <c r="C493" s="31" t="s">
        <v>110</v>
      </c>
      <c r="D493" s="32">
        <v>8</v>
      </c>
      <c r="E493" s="33">
        <v>9.1168091168091164E-4</v>
      </c>
    </row>
    <row r="494" spans="2:5" ht="15" customHeight="1" x14ac:dyDescent="0.25">
      <c r="B494" s="92"/>
      <c r="C494" s="31" t="s">
        <v>111</v>
      </c>
      <c r="D494" s="32">
        <v>12</v>
      </c>
      <c r="E494" s="33">
        <v>1.3675213675213675E-3</v>
      </c>
    </row>
    <row r="495" spans="2:5" ht="15" customHeight="1" x14ac:dyDescent="0.25">
      <c r="B495" s="89"/>
      <c r="C495" s="34" t="s">
        <v>26</v>
      </c>
      <c r="D495" s="35">
        <v>174</v>
      </c>
      <c r="E495" s="36">
        <v>1.9829059829059831E-2</v>
      </c>
    </row>
    <row r="496" spans="2:5" ht="15" customHeight="1" x14ac:dyDescent="0.25">
      <c r="B496" s="88" t="s">
        <v>155</v>
      </c>
      <c r="C496" s="31" t="s">
        <v>98</v>
      </c>
      <c r="D496" s="32">
        <v>3</v>
      </c>
      <c r="E496" s="33">
        <v>3.4188034188034188E-4</v>
      </c>
    </row>
    <row r="497" spans="2:5" ht="15" customHeight="1" x14ac:dyDescent="0.25">
      <c r="B497" s="92"/>
      <c r="C497" s="31" t="s">
        <v>101</v>
      </c>
      <c r="D497" s="32">
        <v>1</v>
      </c>
      <c r="E497" s="33">
        <v>1.1396011396011396E-4</v>
      </c>
    </row>
    <row r="498" spans="2:5" ht="15" customHeight="1" x14ac:dyDescent="0.25">
      <c r="B498" s="92"/>
      <c r="C498" s="31" t="s">
        <v>102</v>
      </c>
      <c r="D498" s="32">
        <v>7</v>
      </c>
      <c r="E498" s="33">
        <v>7.9772079772079776E-4</v>
      </c>
    </row>
    <row r="499" spans="2:5" ht="15" customHeight="1" x14ac:dyDescent="0.25">
      <c r="B499" s="92"/>
      <c r="C499" s="31" t="s">
        <v>104</v>
      </c>
      <c r="D499" s="32">
        <v>2</v>
      </c>
      <c r="E499" s="33">
        <v>2.2792022792022791E-4</v>
      </c>
    </row>
    <row r="500" spans="2:5" ht="15" customHeight="1" x14ac:dyDescent="0.25">
      <c r="B500" s="92"/>
      <c r="C500" s="31" t="s">
        <v>105</v>
      </c>
      <c r="D500" s="32">
        <v>13</v>
      </c>
      <c r="E500" s="33">
        <v>1.4814814814814814E-3</v>
      </c>
    </row>
    <row r="501" spans="2:5" ht="15" customHeight="1" x14ac:dyDescent="0.25">
      <c r="B501" s="92"/>
      <c r="C501" s="31" t="s">
        <v>106</v>
      </c>
      <c r="D501" s="32">
        <v>1</v>
      </c>
      <c r="E501" s="33">
        <v>1.1396011396011396E-4</v>
      </c>
    </row>
    <row r="502" spans="2:5" ht="15" customHeight="1" x14ac:dyDescent="0.25">
      <c r="B502" s="92"/>
      <c r="C502" s="31" t="s">
        <v>110</v>
      </c>
      <c r="D502" s="32">
        <v>2</v>
      </c>
      <c r="E502" s="33">
        <v>2.2792022792022791E-4</v>
      </c>
    </row>
    <row r="503" spans="2:5" ht="15" customHeight="1" x14ac:dyDescent="0.25">
      <c r="B503" s="92"/>
      <c r="C503" s="31" t="s">
        <v>111</v>
      </c>
      <c r="D503" s="32">
        <v>2</v>
      </c>
      <c r="E503" s="33">
        <v>2.2792022792022791E-4</v>
      </c>
    </row>
    <row r="504" spans="2:5" ht="15" customHeight="1" x14ac:dyDescent="0.25">
      <c r="B504" s="89"/>
      <c r="C504" s="34" t="s">
        <v>26</v>
      </c>
      <c r="D504" s="35">
        <v>31</v>
      </c>
      <c r="E504" s="36">
        <v>3.5327635327635329E-3</v>
      </c>
    </row>
    <row r="505" spans="2:5" ht="15" customHeight="1" x14ac:dyDescent="0.25">
      <c r="B505" s="88" t="s">
        <v>156</v>
      </c>
      <c r="C505" s="31" t="s">
        <v>118</v>
      </c>
      <c r="D505" s="32">
        <v>1</v>
      </c>
      <c r="E505" s="33">
        <v>1.1396011396011396E-4</v>
      </c>
    </row>
    <row r="506" spans="2:5" ht="15" customHeight="1" x14ac:dyDescent="0.25">
      <c r="B506" s="92"/>
      <c r="C506" s="31" t="s">
        <v>91</v>
      </c>
      <c r="D506" s="32">
        <v>5</v>
      </c>
      <c r="E506" s="33">
        <v>5.6980056980056976E-4</v>
      </c>
    </row>
    <row r="507" spans="2:5" ht="15" customHeight="1" x14ac:dyDescent="0.25">
      <c r="B507" s="92"/>
      <c r="C507" s="31" t="s">
        <v>93</v>
      </c>
      <c r="D507" s="32">
        <v>4</v>
      </c>
      <c r="E507" s="33">
        <v>4.5584045584045582E-4</v>
      </c>
    </row>
    <row r="508" spans="2:5" ht="15" customHeight="1" x14ac:dyDescent="0.25">
      <c r="B508" s="92"/>
      <c r="C508" s="31" t="s">
        <v>94</v>
      </c>
      <c r="D508" s="32">
        <v>12</v>
      </c>
      <c r="E508" s="33">
        <v>1.3675213675213675E-3</v>
      </c>
    </row>
    <row r="509" spans="2:5" ht="15" customHeight="1" x14ac:dyDescent="0.25">
      <c r="B509" s="92"/>
      <c r="C509" s="31" t="s">
        <v>95</v>
      </c>
      <c r="D509" s="32">
        <v>8</v>
      </c>
      <c r="E509" s="33">
        <v>9.1168091168091164E-4</v>
      </c>
    </row>
    <row r="510" spans="2:5" ht="15" customHeight="1" x14ac:dyDescent="0.25">
      <c r="B510" s="92"/>
      <c r="C510" s="31" t="s">
        <v>96</v>
      </c>
      <c r="D510" s="32">
        <v>14</v>
      </c>
      <c r="E510" s="33">
        <v>1.5954415954415955E-3</v>
      </c>
    </row>
    <row r="511" spans="2:5" ht="15" customHeight="1" x14ac:dyDescent="0.25">
      <c r="B511" s="92"/>
      <c r="C511" s="31" t="s">
        <v>97</v>
      </c>
      <c r="D511" s="32">
        <v>70</v>
      </c>
      <c r="E511" s="33">
        <v>7.9772079772079778E-3</v>
      </c>
    </row>
    <row r="512" spans="2:5" ht="15" customHeight="1" x14ac:dyDescent="0.25">
      <c r="B512" s="92"/>
      <c r="C512" s="31" t="s">
        <v>98</v>
      </c>
      <c r="D512" s="32">
        <v>74</v>
      </c>
      <c r="E512" s="33">
        <v>8.4330484330484325E-3</v>
      </c>
    </row>
    <row r="513" spans="2:5" ht="15" customHeight="1" x14ac:dyDescent="0.25">
      <c r="B513" s="92"/>
      <c r="C513" s="31" t="s">
        <v>99</v>
      </c>
      <c r="D513" s="32">
        <v>15</v>
      </c>
      <c r="E513" s="33">
        <v>1.7094017094017094E-3</v>
      </c>
    </row>
    <row r="514" spans="2:5" ht="15" customHeight="1" x14ac:dyDescent="0.25">
      <c r="B514" s="92"/>
      <c r="C514" s="31" t="s">
        <v>100</v>
      </c>
      <c r="D514" s="32">
        <v>32</v>
      </c>
      <c r="E514" s="33">
        <v>3.6467236467236466E-3</v>
      </c>
    </row>
    <row r="515" spans="2:5" ht="15" customHeight="1" x14ac:dyDescent="0.25">
      <c r="B515" s="92"/>
      <c r="C515" s="31" t="s">
        <v>101</v>
      </c>
      <c r="D515" s="32">
        <v>72</v>
      </c>
      <c r="E515" s="33">
        <v>8.2051282051282051E-3</v>
      </c>
    </row>
    <row r="516" spans="2:5" ht="15" customHeight="1" x14ac:dyDescent="0.25">
      <c r="B516" s="92"/>
      <c r="C516" s="31" t="s">
        <v>102</v>
      </c>
      <c r="D516" s="32">
        <v>271</v>
      </c>
      <c r="E516" s="33">
        <v>3.0883190883190883E-2</v>
      </c>
    </row>
    <row r="517" spans="2:5" ht="15" customHeight="1" x14ac:dyDescent="0.25">
      <c r="B517" s="92"/>
      <c r="C517" s="31" t="s">
        <v>103</v>
      </c>
      <c r="D517" s="32">
        <v>35</v>
      </c>
      <c r="E517" s="33">
        <v>3.9886039886039889E-3</v>
      </c>
    </row>
    <row r="518" spans="2:5" ht="15" customHeight="1" x14ac:dyDescent="0.25">
      <c r="B518" s="92"/>
      <c r="C518" s="31" t="s">
        <v>104</v>
      </c>
      <c r="D518" s="32">
        <v>132</v>
      </c>
      <c r="E518" s="33">
        <v>1.5042735042735043E-2</v>
      </c>
    </row>
    <row r="519" spans="2:5" ht="15" customHeight="1" x14ac:dyDescent="0.25">
      <c r="B519" s="92"/>
      <c r="C519" s="31" t="s">
        <v>105</v>
      </c>
      <c r="D519" s="32">
        <v>381</v>
      </c>
      <c r="E519" s="33">
        <v>4.3418803418803421E-2</v>
      </c>
    </row>
    <row r="520" spans="2:5" ht="15" customHeight="1" x14ac:dyDescent="0.25">
      <c r="B520" s="92"/>
      <c r="C520" s="31" t="s">
        <v>106</v>
      </c>
      <c r="D520" s="32">
        <v>7</v>
      </c>
      <c r="E520" s="33">
        <v>7.9772079772079776E-4</v>
      </c>
    </row>
    <row r="521" spans="2:5" ht="15" customHeight="1" x14ac:dyDescent="0.25">
      <c r="B521" s="92"/>
      <c r="C521" s="31" t="s">
        <v>107</v>
      </c>
      <c r="D521" s="32">
        <v>4</v>
      </c>
      <c r="E521" s="33">
        <v>4.5584045584045582E-4</v>
      </c>
    </row>
    <row r="522" spans="2:5" ht="15" customHeight="1" x14ac:dyDescent="0.25">
      <c r="B522" s="92"/>
      <c r="C522" s="31" t="s">
        <v>108</v>
      </c>
      <c r="D522" s="32">
        <v>4</v>
      </c>
      <c r="E522" s="33">
        <v>4.5584045584045582E-4</v>
      </c>
    </row>
    <row r="523" spans="2:5" ht="15" customHeight="1" x14ac:dyDescent="0.25">
      <c r="B523" s="92"/>
      <c r="C523" s="31" t="s">
        <v>109</v>
      </c>
      <c r="D523" s="32">
        <v>1</v>
      </c>
      <c r="E523" s="33">
        <v>1.1396011396011396E-4</v>
      </c>
    </row>
    <row r="524" spans="2:5" ht="15" customHeight="1" x14ac:dyDescent="0.25">
      <c r="B524" s="92"/>
      <c r="C524" s="31" t="s">
        <v>110</v>
      </c>
      <c r="D524" s="32">
        <v>21</v>
      </c>
      <c r="E524" s="33">
        <v>2.3931623931623932E-3</v>
      </c>
    </row>
    <row r="525" spans="2:5" ht="15" customHeight="1" x14ac:dyDescent="0.25">
      <c r="B525" s="92"/>
      <c r="C525" s="31" t="s">
        <v>111</v>
      </c>
      <c r="D525" s="32">
        <v>53</v>
      </c>
      <c r="E525" s="33">
        <v>6.0398860398860402E-3</v>
      </c>
    </row>
    <row r="526" spans="2:5" ht="15" customHeight="1" x14ac:dyDescent="0.25">
      <c r="B526" s="92"/>
      <c r="C526" s="31" t="s">
        <v>112</v>
      </c>
      <c r="D526" s="32">
        <v>4</v>
      </c>
      <c r="E526" s="33">
        <v>4.5584045584045582E-4</v>
      </c>
    </row>
    <row r="527" spans="2:5" ht="15" customHeight="1" x14ac:dyDescent="0.25">
      <c r="B527" s="89"/>
      <c r="C527" s="34" t="s">
        <v>26</v>
      </c>
      <c r="D527" s="35">
        <v>1220</v>
      </c>
      <c r="E527" s="36">
        <v>0.13903133903133902</v>
      </c>
    </row>
    <row r="528" spans="2:5" ht="15" customHeight="1" x14ac:dyDescent="0.25">
      <c r="B528" s="88" t="s">
        <v>157</v>
      </c>
      <c r="C528" s="31" t="s">
        <v>118</v>
      </c>
      <c r="D528" s="32">
        <v>1</v>
      </c>
      <c r="E528" s="33">
        <v>1.1396011396011396E-4</v>
      </c>
    </row>
    <row r="529" spans="2:5" ht="15" customHeight="1" x14ac:dyDescent="0.25">
      <c r="B529" s="92"/>
      <c r="C529" s="31" t="s">
        <v>92</v>
      </c>
      <c r="D529" s="32">
        <v>1</v>
      </c>
      <c r="E529" s="33">
        <v>1.1396011396011396E-4</v>
      </c>
    </row>
    <row r="530" spans="2:5" ht="15" customHeight="1" x14ac:dyDescent="0.25">
      <c r="B530" s="92"/>
      <c r="C530" s="31" t="s">
        <v>94</v>
      </c>
      <c r="D530" s="32">
        <v>3</v>
      </c>
      <c r="E530" s="33">
        <v>3.4188034188034188E-4</v>
      </c>
    </row>
    <row r="531" spans="2:5" ht="15" customHeight="1" x14ac:dyDescent="0.25">
      <c r="B531" s="92"/>
      <c r="C531" s="31" t="s">
        <v>95</v>
      </c>
      <c r="D531" s="32">
        <v>2</v>
      </c>
      <c r="E531" s="33">
        <v>2.2792022792022791E-4</v>
      </c>
    </row>
    <row r="532" spans="2:5" ht="15" customHeight="1" x14ac:dyDescent="0.25">
      <c r="B532" s="92"/>
      <c r="C532" s="31" t="s">
        <v>96</v>
      </c>
      <c r="D532" s="32">
        <v>3</v>
      </c>
      <c r="E532" s="33">
        <v>3.4188034188034188E-4</v>
      </c>
    </row>
    <row r="533" spans="2:5" ht="15" customHeight="1" x14ac:dyDescent="0.25">
      <c r="B533" s="92"/>
      <c r="C533" s="31" t="s">
        <v>97</v>
      </c>
      <c r="D533" s="32">
        <v>8</v>
      </c>
      <c r="E533" s="33">
        <v>9.1168091168091164E-4</v>
      </c>
    </row>
    <row r="534" spans="2:5" ht="15" customHeight="1" x14ac:dyDescent="0.25">
      <c r="B534" s="92"/>
      <c r="C534" s="31" t="s">
        <v>98</v>
      </c>
      <c r="D534" s="32">
        <v>73</v>
      </c>
      <c r="E534" s="33">
        <v>8.3190883190883188E-3</v>
      </c>
    </row>
    <row r="535" spans="2:5" ht="15" customHeight="1" x14ac:dyDescent="0.25">
      <c r="B535" s="92"/>
      <c r="C535" s="31" t="s">
        <v>99</v>
      </c>
      <c r="D535" s="32">
        <v>8</v>
      </c>
      <c r="E535" s="33">
        <v>9.1168091168091164E-4</v>
      </c>
    </row>
    <row r="536" spans="2:5" ht="15" customHeight="1" x14ac:dyDescent="0.25">
      <c r="B536" s="92"/>
      <c r="C536" s="31" t="s">
        <v>100</v>
      </c>
      <c r="D536" s="32">
        <v>9</v>
      </c>
      <c r="E536" s="33">
        <v>1.0256410256410256E-3</v>
      </c>
    </row>
    <row r="537" spans="2:5" ht="15" customHeight="1" x14ac:dyDescent="0.25">
      <c r="B537" s="92"/>
      <c r="C537" s="31" t="s">
        <v>101</v>
      </c>
      <c r="D537" s="32">
        <v>4</v>
      </c>
      <c r="E537" s="33">
        <v>4.5584045584045582E-4</v>
      </c>
    </row>
    <row r="538" spans="2:5" ht="15" customHeight="1" x14ac:dyDescent="0.25">
      <c r="B538" s="92"/>
      <c r="C538" s="31" t="s">
        <v>102</v>
      </c>
      <c r="D538" s="32">
        <v>208</v>
      </c>
      <c r="E538" s="33">
        <v>2.3703703703703703E-2</v>
      </c>
    </row>
    <row r="539" spans="2:5" ht="15" customHeight="1" x14ac:dyDescent="0.25">
      <c r="B539" s="92"/>
      <c r="C539" s="31" t="s">
        <v>103</v>
      </c>
      <c r="D539" s="32">
        <v>19</v>
      </c>
      <c r="E539" s="33">
        <v>2.1652421652421654E-3</v>
      </c>
    </row>
    <row r="540" spans="2:5" ht="15" customHeight="1" x14ac:dyDescent="0.25">
      <c r="B540" s="92"/>
      <c r="C540" s="31" t="s">
        <v>104</v>
      </c>
      <c r="D540" s="32">
        <v>71</v>
      </c>
      <c r="E540" s="33">
        <v>8.0911680911680915E-3</v>
      </c>
    </row>
    <row r="541" spans="2:5" ht="15" customHeight="1" x14ac:dyDescent="0.25">
      <c r="B541" s="92"/>
      <c r="C541" s="31" t="s">
        <v>105</v>
      </c>
      <c r="D541" s="32">
        <v>234</v>
      </c>
      <c r="E541" s="33">
        <v>2.6666666666666668E-2</v>
      </c>
    </row>
    <row r="542" spans="2:5" ht="15" customHeight="1" x14ac:dyDescent="0.25">
      <c r="B542" s="92"/>
      <c r="C542" s="31" t="s">
        <v>106</v>
      </c>
      <c r="D542" s="32">
        <v>5</v>
      </c>
      <c r="E542" s="33">
        <v>5.6980056980056976E-4</v>
      </c>
    </row>
    <row r="543" spans="2:5" ht="15" customHeight="1" x14ac:dyDescent="0.25">
      <c r="B543" s="92"/>
      <c r="C543" s="31" t="s">
        <v>107</v>
      </c>
      <c r="D543" s="32">
        <v>7</v>
      </c>
      <c r="E543" s="33">
        <v>7.9772079772079776E-4</v>
      </c>
    </row>
    <row r="544" spans="2:5" ht="15" customHeight="1" x14ac:dyDescent="0.25">
      <c r="B544" s="92"/>
      <c r="C544" s="31" t="s">
        <v>108</v>
      </c>
      <c r="D544" s="32">
        <v>6</v>
      </c>
      <c r="E544" s="33">
        <v>6.8376068376068376E-4</v>
      </c>
    </row>
    <row r="545" spans="2:5" ht="15" customHeight="1" x14ac:dyDescent="0.25">
      <c r="B545" s="92"/>
      <c r="C545" s="31" t="s">
        <v>109</v>
      </c>
      <c r="D545" s="32">
        <v>3</v>
      </c>
      <c r="E545" s="33">
        <v>3.4188034188034188E-4</v>
      </c>
    </row>
    <row r="546" spans="2:5" ht="15" customHeight="1" x14ac:dyDescent="0.25">
      <c r="B546" s="92"/>
      <c r="C546" s="31" t="s">
        <v>110</v>
      </c>
      <c r="D546" s="32">
        <v>13</v>
      </c>
      <c r="E546" s="33">
        <v>1.4814814814814814E-3</v>
      </c>
    </row>
    <row r="547" spans="2:5" ht="15" customHeight="1" x14ac:dyDescent="0.25">
      <c r="B547" s="92"/>
      <c r="C547" s="31" t="s">
        <v>111</v>
      </c>
      <c r="D547" s="32">
        <v>46</v>
      </c>
      <c r="E547" s="33">
        <v>5.2421652421652419E-3</v>
      </c>
    </row>
    <row r="548" spans="2:5" ht="15" customHeight="1" x14ac:dyDescent="0.25">
      <c r="B548" s="92"/>
      <c r="C548" s="31" t="s">
        <v>112</v>
      </c>
      <c r="D548" s="32">
        <v>3</v>
      </c>
      <c r="E548" s="33">
        <v>3.4188034188034188E-4</v>
      </c>
    </row>
    <row r="549" spans="2:5" ht="15" customHeight="1" x14ac:dyDescent="0.25">
      <c r="B549" s="89"/>
      <c r="C549" s="34" t="s">
        <v>26</v>
      </c>
      <c r="D549" s="35">
        <v>727</v>
      </c>
      <c r="E549" s="36">
        <v>8.2849002849002845E-2</v>
      </c>
    </row>
    <row r="550" spans="2:5" ht="15" customHeight="1" x14ac:dyDescent="0.25">
      <c r="B550" s="88" t="s">
        <v>158</v>
      </c>
      <c r="C550" s="31" t="s">
        <v>94</v>
      </c>
      <c r="D550" s="32">
        <v>3</v>
      </c>
      <c r="E550" s="33">
        <v>3.4188034188034188E-4</v>
      </c>
    </row>
    <row r="551" spans="2:5" ht="15" customHeight="1" x14ac:dyDescent="0.25">
      <c r="B551" s="92"/>
      <c r="C551" s="31" t="s">
        <v>96</v>
      </c>
      <c r="D551" s="32">
        <v>1</v>
      </c>
      <c r="E551" s="33">
        <v>1.1396011396011396E-4</v>
      </c>
    </row>
    <row r="552" spans="2:5" ht="15" customHeight="1" x14ac:dyDescent="0.25">
      <c r="B552" s="92"/>
      <c r="C552" s="31" t="s">
        <v>97</v>
      </c>
      <c r="D552" s="32">
        <v>10</v>
      </c>
      <c r="E552" s="33">
        <v>1.1396011396011395E-3</v>
      </c>
    </row>
    <row r="553" spans="2:5" ht="15" customHeight="1" x14ac:dyDescent="0.25">
      <c r="B553" s="92"/>
      <c r="C553" s="31" t="s">
        <v>98</v>
      </c>
      <c r="D553" s="32">
        <v>16</v>
      </c>
      <c r="E553" s="33">
        <v>1.8233618233618233E-3</v>
      </c>
    </row>
    <row r="554" spans="2:5" ht="15" customHeight="1" x14ac:dyDescent="0.25">
      <c r="B554" s="92"/>
      <c r="C554" s="31" t="s">
        <v>99</v>
      </c>
      <c r="D554" s="32">
        <v>2</v>
      </c>
      <c r="E554" s="33">
        <v>2.2792022792022791E-4</v>
      </c>
    </row>
    <row r="555" spans="2:5" ht="15" customHeight="1" x14ac:dyDescent="0.25">
      <c r="B555" s="92"/>
      <c r="C555" s="31" t="s">
        <v>100</v>
      </c>
      <c r="D555" s="32">
        <v>3</v>
      </c>
      <c r="E555" s="33">
        <v>3.4188034188034188E-4</v>
      </c>
    </row>
    <row r="556" spans="2:5" ht="15" customHeight="1" x14ac:dyDescent="0.25">
      <c r="B556" s="92"/>
      <c r="C556" s="31" t="s">
        <v>101</v>
      </c>
      <c r="D556" s="32">
        <v>4</v>
      </c>
      <c r="E556" s="33">
        <v>4.5584045584045582E-4</v>
      </c>
    </row>
    <row r="557" spans="2:5" ht="15" customHeight="1" x14ac:dyDescent="0.25">
      <c r="B557" s="92"/>
      <c r="C557" s="31" t="s">
        <v>102</v>
      </c>
      <c r="D557" s="32">
        <v>66</v>
      </c>
      <c r="E557" s="33">
        <v>7.5213675213675214E-3</v>
      </c>
    </row>
    <row r="558" spans="2:5" ht="15" customHeight="1" x14ac:dyDescent="0.25">
      <c r="B558" s="92"/>
      <c r="C558" s="31" t="s">
        <v>103</v>
      </c>
      <c r="D558" s="32">
        <v>7</v>
      </c>
      <c r="E558" s="33">
        <v>7.9772079772079776E-4</v>
      </c>
    </row>
    <row r="559" spans="2:5" ht="15" customHeight="1" x14ac:dyDescent="0.25">
      <c r="B559" s="92"/>
      <c r="C559" s="31" t="s">
        <v>104</v>
      </c>
      <c r="D559" s="32">
        <v>19</v>
      </c>
      <c r="E559" s="33">
        <v>2.1652421652421654E-3</v>
      </c>
    </row>
    <row r="560" spans="2:5" ht="15" customHeight="1" x14ac:dyDescent="0.25">
      <c r="B560" s="92"/>
      <c r="C560" s="31" t="s">
        <v>105</v>
      </c>
      <c r="D560" s="32">
        <v>59</v>
      </c>
      <c r="E560" s="33">
        <v>6.7236467236467239E-3</v>
      </c>
    </row>
    <row r="561" spans="2:5" ht="15" customHeight="1" x14ac:dyDescent="0.25">
      <c r="B561" s="92"/>
      <c r="C561" s="31" t="s">
        <v>106</v>
      </c>
      <c r="D561" s="32">
        <v>2</v>
      </c>
      <c r="E561" s="33">
        <v>2.2792022792022791E-4</v>
      </c>
    </row>
    <row r="562" spans="2:5" ht="15" customHeight="1" x14ac:dyDescent="0.25">
      <c r="B562" s="92"/>
      <c r="C562" s="31" t="s">
        <v>107</v>
      </c>
      <c r="D562" s="32">
        <v>1</v>
      </c>
      <c r="E562" s="33">
        <v>1.1396011396011396E-4</v>
      </c>
    </row>
    <row r="563" spans="2:5" ht="15" customHeight="1" x14ac:dyDescent="0.25">
      <c r="B563" s="92"/>
      <c r="C563" s="31" t="s">
        <v>110</v>
      </c>
      <c r="D563" s="32">
        <v>10</v>
      </c>
      <c r="E563" s="33">
        <v>1.1396011396011395E-3</v>
      </c>
    </row>
    <row r="564" spans="2:5" ht="15" customHeight="1" x14ac:dyDescent="0.25">
      <c r="B564" s="92"/>
      <c r="C564" s="31" t="s">
        <v>111</v>
      </c>
      <c r="D564" s="32">
        <v>8</v>
      </c>
      <c r="E564" s="33">
        <v>9.1168091168091164E-4</v>
      </c>
    </row>
    <row r="565" spans="2:5" ht="15" customHeight="1" x14ac:dyDescent="0.25">
      <c r="B565" s="92"/>
      <c r="C565" s="31" t="s">
        <v>113</v>
      </c>
      <c r="D565" s="32">
        <v>1</v>
      </c>
      <c r="E565" s="33">
        <v>1.1396011396011396E-4</v>
      </c>
    </row>
    <row r="566" spans="2:5" ht="15" customHeight="1" x14ac:dyDescent="0.25">
      <c r="B566" s="89"/>
      <c r="C566" s="34" t="s">
        <v>26</v>
      </c>
      <c r="D566" s="35">
        <v>212</v>
      </c>
      <c r="E566" s="36">
        <v>2.4159544159544161E-2</v>
      </c>
    </row>
    <row r="567" spans="2:5" ht="15" customHeight="1" x14ac:dyDescent="0.25">
      <c r="B567" s="88" t="s">
        <v>159</v>
      </c>
      <c r="C567" s="31" t="s">
        <v>91</v>
      </c>
      <c r="D567" s="32">
        <v>2</v>
      </c>
      <c r="E567" s="33">
        <v>2.2792022792022791E-4</v>
      </c>
    </row>
    <row r="568" spans="2:5" ht="15" customHeight="1" x14ac:dyDescent="0.25">
      <c r="B568" s="92"/>
      <c r="C568" s="31" t="s">
        <v>92</v>
      </c>
      <c r="D568" s="32">
        <v>3</v>
      </c>
      <c r="E568" s="33">
        <v>3.4188034188034188E-4</v>
      </c>
    </row>
    <row r="569" spans="2:5" ht="15" customHeight="1" x14ac:dyDescent="0.25">
      <c r="B569" s="92"/>
      <c r="C569" s="31" t="s">
        <v>93</v>
      </c>
      <c r="D569" s="32">
        <v>2</v>
      </c>
      <c r="E569" s="33">
        <v>2.2792022792022791E-4</v>
      </c>
    </row>
    <row r="570" spans="2:5" ht="15" customHeight="1" x14ac:dyDescent="0.25">
      <c r="B570" s="92"/>
      <c r="C570" s="31" t="s">
        <v>94</v>
      </c>
      <c r="D570" s="32">
        <v>6</v>
      </c>
      <c r="E570" s="33">
        <v>6.8376068376068376E-4</v>
      </c>
    </row>
    <row r="571" spans="2:5" ht="15" customHeight="1" x14ac:dyDescent="0.25">
      <c r="B571" s="92"/>
      <c r="C571" s="31" t="s">
        <v>95</v>
      </c>
      <c r="D571" s="32">
        <v>2</v>
      </c>
      <c r="E571" s="33">
        <v>2.2792022792022791E-4</v>
      </c>
    </row>
    <row r="572" spans="2:5" ht="15" customHeight="1" x14ac:dyDescent="0.25">
      <c r="B572" s="92"/>
      <c r="C572" s="31" t="s">
        <v>96</v>
      </c>
      <c r="D572" s="32">
        <v>3</v>
      </c>
      <c r="E572" s="33">
        <v>3.4188034188034188E-4</v>
      </c>
    </row>
    <row r="573" spans="2:5" ht="15" customHeight="1" x14ac:dyDescent="0.25">
      <c r="B573" s="92"/>
      <c r="C573" s="31" t="s">
        <v>97</v>
      </c>
      <c r="D573" s="32">
        <v>19</v>
      </c>
      <c r="E573" s="33">
        <v>2.1652421652421654E-3</v>
      </c>
    </row>
    <row r="574" spans="2:5" ht="15" customHeight="1" x14ac:dyDescent="0.25">
      <c r="B574" s="92"/>
      <c r="C574" s="31" t="s">
        <v>98</v>
      </c>
      <c r="D574" s="32">
        <v>19</v>
      </c>
      <c r="E574" s="33">
        <v>2.1652421652421654E-3</v>
      </c>
    </row>
    <row r="575" spans="2:5" ht="15" customHeight="1" x14ac:dyDescent="0.25">
      <c r="B575" s="92"/>
      <c r="C575" s="31" t="s">
        <v>99</v>
      </c>
      <c r="D575" s="32">
        <v>8</v>
      </c>
      <c r="E575" s="33">
        <v>9.1168091168091164E-4</v>
      </c>
    </row>
    <row r="576" spans="2:5" ht="15" customHeight="1" x14ac:dyDescent="0.25">
      <c r="B576" s="92"/>
      <c r="C576" s="31" t="s">
        <v>100</v>
      </c>
      <c r="D576" s="32">
        <v>4</v>
      </c>
      <c r="E576" s="33">
        <v>4.5584045584045582E-4</v>
      </c>
    </row>
    <row r="577" spans="2:5" ht="15" customHeight="1" x14ac:dyDescent="0.25">
      <c r="B577" s="92"/>
      <c r="C577" s="31" t="s">
        <v>101</v>
      </c>
      <c r="D577" s="32">
        <v>7</v>
      </c>
      <c r="E577" s="33">
        <v>7.9772079772079776E-4</v>
      </c>
    </row>
    <row r="578" spans="2:5" ht="15" customHeight="1" x14ac:dyDescent="0.25">
      <c r="B578" s="92"/>
      <c r="C578" s="31" t="s">
        <v>102</v>
      </c>
      <c r="D578" s="32">
        <v>65</v>
      </c>
      <c r="E578" s="33">
        <v>7.4074074074074077E-3</v>
      </c>
    </row>
    <row r="579" spans="2:5" ht="15" customHeight="1" x14ac:dyDescent="0.25">
      <c r="B579" s="92"/>
      <c r="C579" s="31" t="s">
        <v>103</v>
      </c>
      <c r="D579" s="32">
        <v>9</v>
      </c>
      <c r="E579" s="33">
        <v>1.0256410256410256E-3</v>
      </c>
    </row>
    <row r="580" spans="2:5" ht="15" customHeight="1" x14ac:dyDescent="0.25">
      <c r="B580" s="92"/>
      <c r="C580" s="31" t="s">
        <v>104</v>
      </c>
      <c r="D580" s="32">
        <v>33</v>
      </c>
      <c r="E580" s="33">
        <v>3.7606837606837607E-3</v>
      </c>
    </row>
    <row r="581" spans="2:5" ht="15" customHeight="1" x14ac:dyDescent="0.25">
      <c r="B581" s="92"/>
      <c r="C581" s="31" t="s">
        <v>105</v>
      </c>
      <c r="D581" s="32">
        <v>80</v>
      </c>
      <c r="E581" s="33">
        <v>9.1168091168091162E-3</v>
      </c>
    </row>
    <row r="582" spans="2:5" ht="15" customHeight="1" x14ac:dyDescent="0.25">
      <c r="B582" s="92"/>
      <c r="C582" s="31" t="s">
        <v>106</v>
      </c>
      <c r="D582" s="32">
        <v>3</v>
      </c>
      <c r="E582" s="33">
        <v>3.4188034188034188E-4</v>
      </c>
    </row>
    <row r="583" spans="2:5" ht="15" customHeight="1" x14ac:dyDescent="0.25">
      <c r="B583" s="92"/>
      <c r="C583" s="31" t="s">
        <v>108</v>
      </c>
      <c r="D583" s="32">
        <v>2</v>
      </c>
      <c r="E583" s="33">
        <v>2.2792022792022791E-4</v>
      </c>
    </row>
    <row r="584" spans="2:5" ht="15" customHeight="1" x14ac:dyDescent="0.25">
      <c r="B584" s="92"/>
      <c r="C584" s="31" t="s">
        <v>109</v>
      </c>
      <c r="D584" s="32">
        <v>1</v>
      </c>
      <c r="E584" s="33">
        <v>1.1396011396011396E-4</v>
      </c>
    </row>
    <row r="585" spans="2:5" ht="15" customHeight="1" x14ac:dyDescent="0.25">
      <c r="B585" s="92"/>
      <c r="C585" s="31" t="s">
        <v>110</v>
      </c>
      <c r="D585" s="32">
        <v>3</v>
      </c>
      <c r="E585" s="33">
        <v>3.4188034188034188E-4</v>
      </c>
    </row>
    <row r="586" spans="2:5" ht="15" customHeight="1" x14ac:dyDescent="0.25">
      <c r="B586" s="92"/>
      <c r="C586" s="31" t="s">
        <v>111</v>
      </c>
      <c r="D586" s="32">
        <v>4</v>
      </c>
      <c r="E586" s="33">
        <v>4.5584045584045582E-4</v>
      </c>
    </row>
    <row r="587" spans="2:5" ht="15" customHeight="1" x14ac:dyDescent="0.25">
      <c r="B587" s="89"/>
      <c r="C587" s="34" t="s">
        <v>26</v>
      </c>
      <c r="D587" s="35">
        <v>275</v>
      </c>
      <c r="E587" s="36">
        <v>3.1339031339031341E-2</v>
      </c>
    </row>
    <row r="588" spans="2:5" ht="15" customHeight="1" x14ac:dyDescent="0.25">
      <c r="B588" s="88" t="s">
        <v>160</v>
      </c>
      <c r="C588" s="31" t="s">
        <v>118</v>
      </c>
      <c r="D588" s="32">
        <v>1</v>
      </c>
      <c r="E588" s="33">
        <v>1.1396011396011396E-4</v>
      </c>
    </row>
    <row r="589" spans="2:5" ht="15" customHeight="1" x14ac:dyDescent="0.25">
      <c r="B589" s="92"/>
      <c r="C589" s="31" t="s">
        <v>91</v>
      </c>
      <c r="D589" s="32">
        <v>2</v>
      </c>
      <c r="E589" s="33">
        <v>2.2792022792022791E-4</v>
      </c>
    </row>
    <row r="590" spans="2:5" ht="15" customHeight="1" x14ac:dyDescent="0.25">
      <c r="B590" s="92"/>
      <c r="C590" s="31" t="s">
        <v>93</v>
      </c>
      <c r="D590" s="32">
        <v>2</v>
      </c>
      <c r="E590" s="33">
        <v>2.2792022792022791E-4</v>
      </c>
    </row>
    <row r="591" spans="2:5" ht="15" customHeight="1" x14ac:dyDescent="0.25">
      <c r="B591" s="92"/>
      <c r="C591" s="31" t="s">
        <v>94</v>
      </c>
      <c r="D591" s="32">
        <v>3</v>
      </c>
      <c r="E591" s="33">
        <v>3.4188034188034188E-4</v>
      </c>
    </row>
    <row r="592" spans="2:5" ht="15" customHeight="1" x14ac:dyDescent="0.25">
      <c r="B592" s="92"/>
      <c r="C592" s="31" t="s">
        <v>95</v>
      </c>
      <c r="D592" s="32">
        <v>3</v>
      </c>
      <c r="E592" s="33">
        <v>3.4188034188034188E-4</v>
      </c>
    </row>
    <row r="593" spans="2:5" ht="15" customHeight="1" x14ac:dyDescent="0.25">
      <c r="B593" s="92"/>
      <c r="C593" s="31" t="s">
        <v>96</v>
      </c>
      <c r="D593" s="32">
        <v>5</v>
      </c>
      <c r="E593" s="33">
        <v>5.6980056980056976E-4</v>
      </c>
    </row>
    <row r="594" spans="2:5" ht="15" customHeight="1" x14ac:dyDescent="0.25">
      <c r="B594" s="92"/>
      <c r="C594" s="31" t="s">
        <v>97</v>
      </c>
      <c r="D594" s="32">
        <v>11</v>
      </c>
      <c r="E594" s="33">
        <v>1.2535612535612536E-3</v>
      </c>
    </row>
    <row r="595" spans="2:5" ht="15" customHeight="1" x14ac:dyDescent="0.25">
      <c r="B595" s="92"/>
      <c r="C595" s="31" t="s">
        <v>98</v>
      </c>
      <c r="D595" s="32">
        <v>24</v>
      </c>
      <c r="E595" s="33">
        <v>2.735042735042735E-3</v>
      </c>
    </row>
    <row r="596" spans="2:5" ht="15" customHeight="1" x14ac:dyDescent="0.25">
      <c r="B596" s="92"/>
      <c r="C596" s="31" t="s">
        <v>99</v>
      </c>
      <c r="D596" s="32">
        <v>6</v>
      </c>
      <c r="E596" s="33">
        <v>6.8376068376068376E-4</v>
      </c>
    </row>
    <row r="597" spans="2:5" ht="15" customHeight="1" x14ac:dyDescent="0.25">
      <c r="B597" s="92"/>
      <c r="C597" s="31" t="s">
        <v>100</v>
      </c>
      <c r="D597" s="32">
        <v>8</v>
      </c>
      <c r="E597" s="33">
        <v>9.1168091168091164E-4</v>
      </c>
    </row>
    <row r="598" spans="2:5" ht="15" customHeight="1" x14ac:dyDescent="0.25">
      <c r="B598" s="92"/>
      <c r="C598" s="31" t="s">
        <v>101</v>
      </c>
      <c r="D598" s="32">
        <v>10</v>
      </c>
      <c r="E598" s="33">
        <v>1.1396011396011395E-3</v>
      </c>
    </row>
    <row r="599" spans="2:5" ht="15" customHeight="1" x14ac:dyDescent="0.25">
      <c r="B599" s="92"/>
      <c r="C599" s="31" t="s">
        <v>102</v>
      </c>
      <c r="D599" s="32">
        <v>89</v>
      </c>
      <c r="E599" s="33">
        <v>1.0142450142450143E-2</v>
      </c>
    </row>
    <row r="600" spans="2:5" ht="15" customHeight="1" x14ac:dyDescent="0.25">
      <c r="B600" s="92"/>
      <c r="C600" s="31" t="s">
        <v>103</v>
      </c>
      <c r="D600" s="32">
        <v>1</v>
      </c>
      <c r="E600" s="33">
        <v>1.1396011396011396E-4</v>
      </c>
    </row>
    <row r="601" spans="2:5" ht="15" customHeight="1" x14ac:dyDescent="0.25">
      <c r="B601" s="92"/>
      <c r="C601" s="31" t="s">
        <v>104</v>
      </c>
      <c r="D601" s="32">
        <v>36</v>
      </c>
      <c r="E601" s="33">
        <v>4.1025641025641026E-3</v>
      </c>
    </row>
    <row r="602" spans="2:5" ht="15" customHeight="1" x14ac:dyDescent="0.25">
      <c r="B602" s="92"/>
      <c r="C602" s="31" t="s">
        <v>105</v>
      </c>
      <c r="D602" s="32">
        <v>100</v>
      </c>
      <c r="E602" s="33">
        <v>1.1396011396011397E-2</v>
      </c>
    </row>
    <row r="603" spans="2:5" ht="15" customHeight="1" x14ac:dyDescent="0.25">
      <c r="B603" s="92"/>
      <c r="C603" s="31" t="s">
        <v>106</v>
      </c>
      <c r="D603" s="32">
        <v>4</v>
      </c>
      <c r="E603" s="33">
        <v>4.5584045584045582E-4</v>
      </c>
    </row>
    <row r="604" spans="2:5" ht="15" customHeight="1" x14ac:dyDescent="0.25">
      <c r="B604" s="92"/>
      <c r="C604" s="31" t="s">
        <v>107</v>
      </c>
      <c r="D604" s="32">
        <v>8</v>
      </c>
      <c r="E604" s="33">
        <v>9.1168091168091164E-4</v>
      </c>
    </row>
    <row r="605" spans="2:5" ht="15" customHeight="1" x14ac:dyDescent="0.25">
      <c r="B605" s="92"/>
      <c r="C605" s="31" t="s">
        <v>108</v>
      </c>
      <c r="D605" s="32">
        <v>3</v>
      </c>
      <c r="E605" s="33">
        <v>3.4188034188034188E-4</v>
      </c>
    </row>
    <row r="606" spans="2:5" ht="15" customHeight="1" x14ac:dyDescent="0.25">
      <c r="B606" s="92"/>
      <c r="C606" s="31" t="s">
        <v>109</v>
      </c>
      <c r="D606" s="32">
        <v>1</v>
      </c>
      <c r="E606" s="33">
        <v>1.1396011396011396E-4</v>
      </c>
    </row>
    <row r="607" spans="2:5" ht="15" customHeight="1" x14ac:dyDescent="0.25">
      <c r="B607" s="92"/>
      <c r="C607" s="31" t="s">
        <v>110</v>
      </c>
      <c r="D607" s="32">
        <v>10</v>
      </c>
      <c r="E607" s="33">
        <v>1.1396011396011395E-3</v>
      </c>
    </row>
    <row r="608" spans="2:5" ht="15" customHeight="1" x14ac:dyDescent="0.25">
      <c r="B608" s="92"/>
      <c r="C608" s="31" t="s">
        <v>111</v>
      </c>
      <c r="D608" s="32">
        <v>14</v>
      </c>
      <c r="E608" s="33">
        <v>1.5954415954415955E-3</v>
      </c>
    </row>
    <row r="609" spans="2:5" ht="15" customHeight="1" x14ac:dyDescent="0.25">
      <c r="B609" s="92"/>
      <c r="C609" s="31" t="s">
        <v>112</v>
      </c>
      <c r="D609" s="32">
        <v>1</v>
      </c>
      <c r="E609" s="33">
        <v>1.1396011396011396E-4</v>
      </c>
    </row>
    <row r="610" spans="2:5" ht="15" customHeight="1" x14ac:dyDescent="0.25">
      <c r="B610" s="89"/>
      <c r="C610" s="34" t="s">
        <v>26</v>
      </c>
      <c r="D610" s="35">
        <v>342</v>
      </c>
      <c r="E610" s="36">
        <v>3.8974358974358976E-2</v>
      </c>
    </row>
    <row r="611" spans="2:5" ht="15" customHeight="1" x14ac:dyDescent="0.25">
      <c r="B611" s="88" t="s">
        <v>161</v>
      </c>
      <c r="C611" s="31" t="s">
        <v>92</v>
      </c>
      <c r="D611" s="32">
        <v>1</v>
      </c>
      <c r="E611" s="33">
        <v>1.1396011396011396E-4</v>
      </c>
    </row>
    <row r="612" spans="2:5" ht="15" customHeight="1" x14ac:dyDescent="0.25">
      <c r="B612" s="92"/>
      <c r="C612" s="31" t="s">
        <v>93</v>
      </c>
      <c r="D612" s="32">
        <v>2</v>
      </c>
      <c r="E612" s="33">
        <v>2.2792022792022791E-4</v>
      </c>
    </row>
    <row r="613" spans="2:5" ht="15" customHeight="1" x14ac:dyDescent="0.25">
      <c r="B613" s="92"/>
      <c r="C613" s="31" t="s">
        <v>94</v>
      </c>
      <c r="D613" s="32">
        <v>1</v>
      </c>
      <c r="E613" s="33">
        <v>1.1396011396011396E-4</v>
      </c>
    </row>
    <row r="614" spans="2:5" ht="15" customHeight="1" x14ac:dyDescent="0.25">
      <c r="B614" s="92"/>
      <c r="C614" s="31" t="s">
        <v>95</v>
      </c>
      <c r="D614" s="32">
        <v>2</v>
      </c>
      <c r="E614" s="33">
        <v>2.2792022792022791E-4</v>
      </c>
    </row>
    <row r="615" spans="2:5" ht="15" customHeight="1" x14ac:dyDescent="0.25">
      <c r="B615" s="92"/>
      <c r="C615" s="31" t="s">
        <v>96</v>
      </c>
      <c r="D615" s="32">
        <v>4</v>
      </c>
      <c r="E615" s="33">
        <v>4.5584045584045582E-4</v>
      </c>
    </row>
    <row r="616" spans="2:5" ht="15" customHeight="1" x14ac:dyDescent="0.25">
      <c r="B616" s="92"/>
      <c r="C616" s="31" t="s">
        <v>97</v>
      </c>
      <c r="D616" s="32">
        <v>7</v>
      </c>
      <c r="E616" s="33">
        <v>7.9772079772079776E-4</v>
      </c>
    </row>
    <row r="617" spans="2:5" ht="15" customHeight="1" x14ac:dyDescent="0.25">
      <c r="B617" s="92"/>
      <c r="C617" s="31" t="s">
        <v>98</v>
      </c>
      <c r="D617" s="32">
        <v>13</v>
      </c>
      <c r="E617" s="33">
        <v>1.4814814814814814E-3</v>
      </c>
    </row>
    <row r="618" spans="2:5" ht="15" customHeight="1" x14ac:dyDescent="0.25">
      <c r="B618" s="92"/>
      <c r="C618" s="31" t="s">
        <v>99</v>
      </c>
      <c r="D618" s="32">
        <v>4</v>
      </c>
      <c r="E618" s="33">
        <v>4.5584045584045582E-4</v>
      </c>
    </row>
    <row r="619" spans="2:5" ht="15" customHeight="1" x14ac:dyDescent="0.25">
      <c r="B619" s="92"/>
      <c r="C619" s="31" t="s">
        <v>100</v>
      </c>
      <c r="D619" s="32">
        <v>4</v>
      </c>
      <c r="E619" s="33">
        <v>4.5584045584045582E-4</v>
      </c>
    </row>
    <row r="620" spans="2:5" ht="15" customHeight="1" x14ac:dyDescent="0.25">
      <c r="B620" s="92"/>
      <c r="C620" s="31" t="s">
        <v>101</v>
      </c>
      <c r="D620" s="32">
        <v>5</v>
      </c>
      <c r="E620" s="33">
        <v>5.6980056980056976E-4</v>
      </c>
    </row>
    <row r="621" spans="2:5" ht="15" customHeight="1" x14ac:dyDescent="0.25">
      <c r="B621" s="92"/>
      <c r="C621" s="31" t="s">
        <v>102</v>
      </c>
      <c r="D621" s="32">
        <v>18</v>
      </c>
      <c r="E621" s="33">
        <v>2.0512820512820513E-3</v>
      </c>
    </row>
    <row r="622" spans="2:5" ht="15" customHeight="1" x14ac:dyDescent="0.25">
      <c r="B622" s="92"/>
      <c r="C622" s="31" t="s">
        <v>103</v>
      </c>
      <c r="D622" s="32">
        <v>1</v>
      </c>
      <c r="E622" s="33">
        <v>1.1396011396011396E-4</v>
      </c>
    </row>
    <row r="623" spans="2:5" ht="15" customHeight="1" x14ac:dyDescent="0.25">
      <c r="B623" s="92"/>
      <c r="C623" s="31" t="s">
        <v>104</v>
      </c>
      <c r="D623" s="32">
        <v>9</v>
      </c>
      <c r="E623" s="33">
        <v>1.0256410256410256E-3</v>
      </c>
    </row>
    <row r="624" spans="2:5" ht="15" customHeight="1" x14ac:dyDescent="0.25">
      <c r="B624" s="92"/>
      <c r="C624" s="31" t="s">
        <v>105</v>
      </c>
      <c r="D624" s="32">
        <v>34</v>
      </c>
      <c r="E624" s="33">
        <v>3.8746438746438748E-3</v>
      </c>
    </row>
    <row r="625" spans="2:5" ht="15" customHeight="1" x14ac:dyDescent="0.25">
      <c r="B625" s="92"/>
      <c r="C625" s="31" t="s">
        <v>107</v>
      </c>
      <c r="D625" s="32">
        <v>1</v>
      </c>
      <c r="E625" s="33">
        <v>1.1396011396011396E-4</v>
      </c>
    </row>
    <row r="626" spans="2:5" ht="15" customHeight="1" x14ac:dyDescent="0.25">
      <c r="B626" s="92"/>
      <c r="C626" s="31" t="s">
        <v>110</v>
      </c>
      <c r="D626" s="32">
        <v>3</v>
      </c>
      <c r="E626" s="33">
        <v>3.4188034188034188E-4</v>
      </c>
    </row>
    <row r="627" spans="2:5" ht="15" customHeight="1" x14ac:dyDescent="0.25">
      <c r="B627" s="92"/>
      <c r="C627" s="31" t="s">
        <v>111</v>
      </c>
      <c r="D627" s="32">
        <v>7</v>
      </c>
      <c r="E627" s="33">
        <v>7.9772079772079776E-4</v>
      </c>
    </row>
    <row r="628" spans="2:5" ht="15" customHeight="1" x14ac:dyDescent="0.25">
      <c r="B628" s="92"/>
      <c r="C628" s="31" t="s">
        <v>112</v>
      </c>
      <c r="D628" s="32">
        <v>1</v>
      </c>
      <c r="E628" s="33">
        <v>1.1396011396011396E-4</v>
      </c>
    </row>
    <row r="629" spans="2:5" ht="15" customHeight="1" x14ac:dyDescent="0.25">
      <c r="B629" s="89"/>
      <c r="C629" s="34" t="s">
        <v>26</v>
      </c>
      <c r="D629" s="35">
        <v>117</v>
      </c>
      <c r="E629" s="36">
        <v>1.3333333333333334E-2</v>
      </c>
    </row>
    <row r="630" spans="2:5" ht="15" customHeight="1" x14ac:dyDescent="0.25">
      <c r="B630" s="88" t="s">
        <v>162</v>
      </c>
      <c r="C630" s="31" t="s">
        <v>96</v>
      </c>
      <c r="D630" s="32">
        <v>2</v>
      </c>
      <c r="E630" s="33">
        <v>2.2792022792022791E-4</v>
      </c>
    </row>
    <row r="631" spans="2:5" ht="15" customHeight="1" x14ac:dyDescent="0.25">
      <c r="B631" s="92"/>
      <c r="C631" s="31" t="s">
        <v>98</v>
      </c>
      <c r="D631" s="32">
        <v>2</v>
      </c>
      <c r="E631" s="33">
        <v>2.2792022792022791E-4</v>
      </c>
    </row>
    <row r="632" spans="2:5" ht="15" customHeight="1" x14ac:dyDescent="0.25">
      <c r="B632" s="92"/>
      <c r="C632" s="31" t="s">
        <v>99</v>
      </c>
      <c r="D632" s="32">
        <v>1</v>
      </c>
      <c r="E632" s="33">
        <v>1.1396011396011396E-4</v>
      </c>
    </row>
    <row r="633" spans="2:5" ht="15" customHeight="1" x14ac:dyDescent="0.25">
      <c r="B633" s="92"/>
      <c r="C633" s="31" t="s">
        <v>100</v>
      </c>
      <c r="D633" s="32">
        <v>1</v>
      </c>
      <c r="E633" s="33">
        <v>1.1396011396011396E-4</v>
      </c>
    </row>
    <row r="634" spans="2:5" ht="15" customHeight="1" x14ac:dyDescent="0.25">
      <c r="B634" s="92"/>
      <c r="C634" s="31" t="s">
        <v>102</v>
      </c>
      <c r="D634" s="32">
        <v>3</v>
      </c>
      <c r="E634" s="33">
        <v>3.4188034188034188E-4</v>
      </c>
    </row>
    <row r="635" spans="2:5" ht="15" customHeight="1" x14ac:dyDescent="0.25">
      <c r="B635" s="92"/>
      <c r="C635" s="31" t="s">
        <v>103</v>
      </c>
      <c r="D635" s="32">
        <v>1</v>
      </c>
      <c r="E635" s="33">
        <v>1.1396011396011396E-4</v>
      </c>
    </row>
    <row r="636" spans="2:5" ht="15" customHeight="1" x14ac:dyDescent="0.25">
      <c r="B636" s="92"/>
      <c r="C636" s="31" t="s">
        <v>104</v>
      </c>
      <c r="D636" s="32">
        <v>3</v>
      </c>
      <c r="E636" s="33">
        <v>3.4188034188034188E-4</v>
      </c>
    </row>
    <row r="637" spans="2:5" ht="15" customHeight="1" x14ac:dyDescent="0.25">
      <c r="B637" s="92"/>
      <c r="C637" s="31" t="s">
        <v>105</v>
      </c>
      <c r="D637" s="32">
        <v>10</v>
      </c>
      <c r="E637" s="33">
        <v>1.1396011396011395E-3</v>
      </c>
    </row>
    <row r="638" spans="2:5" ht="15" customHeight="1" x14ac:dyDescent="0.25">
      <c r="B638" s="92"/>
      <c r="C638" s="31" t="s">
        <v>110</v>
      </c>
      <c r="D638" s="32">
        <v>1</v>
      </c>
      <c r="E638" s="33">
        <v>1.1396011396011396E-4</v>
      </c>
    </row>
    <row r="639" spans="2:5" ht="15" customHeight="1" x14ac:dyDescent="0.25">
      <c r="B639" s="92"/>
      <c r="C639" s="31" t="s">
        <v>111</v>
      </c>
      <c r="D639" s="32">
        <v>3</v>
      </c>
      <c r="E639" s="33">
        <v>3.4188034188034188E-4</v>
      </c>
    </row>
    <row r="640" spans="2:5" ht="15" customHeight="1" x14ac:dyDescent="0.25">
      <c r="B640" s="92"/>
      <c r="C640" s="31" t="s">
        <v>112</v>
      </c>
      <c r="D640" s="32">
        <v>1</v>
      </c>
      <c r="E640" s="33">
        <v>1.1396011396011396E-4</v>
      </c>
    </row>
    <row r="641" spans="2:5" ht="15" customHeight="1" x14ac:dyDescent="0.25">
      <c r="B641" s="89"/>
      <c r="C641" s="34" t="s">
        <v>26</v>
      </c>
      <c r="D641" s="35">
        <v>28</v>
      </c>
      <c r="E641" s="36">
        <v>3.190883190883191E-3</v>
      </c>
    </row>
    <row r="642" spans="2:5" ht="15" customHeight="1" x14ac:dyDescent="0.25">
      <c r="B642" s="88" t="s">
        <v>72</v>
      </c>
      <c r="C642" s="31" t="s">
        <v>96</v>
      </c>
      <c r="D642" s="32">
        <v>1</v>
      </c>
      <c r="E642" s="33">
        <v>1.1396011396011396E-4</v>
      </c>
    </row>
    <row r="643" spans="2:5" ht="15" customHeight="1" x14ac:dyDescent="0.25">
      <c r="B643" s="92"/>
      <c r="C643" s="31" t="s">
        <v>97</v>
      </c>
      <c r="D643" s="32">
        <v>1</v>
      </c>
      <c r="E643" s="33">
        <v>1.1396011396011396E-4</v>
      </c>
    </row>
    <row r="644" spans="2:5" ht="15" customHeight="1" x14ac:dyDescent="0.25">
      <c r="B644" s="92"/>
      <c r="C644" s="31" t="s">
        <v>98</v>
      </c>
      <c r="D644" s="32">
        <v>2</v>
      </c>
      <c r="E644" s="33">
        <v>2.2792022792022791E-4</v>
      </c>
    </row>
    <row r="645" spans="2:5" ht="15" customHeight="1" x14ac:dyDescent="0.25">
      <c r="B645" s="92"/>
      <c r="C645" s="31" t="s">
        <v>99</v>
      </c>
      <c r="D645" s="32">
        <v>1</v>
      </c>
      <c r="E645" s="33">
        <v>1.1396011396011396E-4</v>
      </c>
    </row>
    <row r="646" spans="2:5" ht="15" customHeight="1" x14ac:dyDescent="0.25">
      <c r="B646" s="92"/>
      <c r="C646" s="31" t="s">
        <v>101</v>
      </c>
      <c r="D646" s="32">
        <v>3</v>
      </c>
      <c r="E646" s="33">
        <v>3.4188034188034188E-4</v>
      </c>
    </row>
    <row r="647" spans="2:5" ht="15" customHeight="1" x14ac:dyDescent="0.25">
      <c r="B647" s="92"/>
      <c r="C647" s="31" t="s">
        <v>102</v>
      </c>
      <c r="D647" s="32">
        <v>4</v>
      </c>
      <c r="E647" s="33">
        <v>4.5584045584045582E-4</v>
      </c>
    </row>
    <row r="648" spans="2:5" ht="15" customHeight="1" x14ac:dyDescent="0.25">
      <c r="B648" s="92"/>
      <c r="C648" s="31" t="s">
        <v>104</v>
      </c>
      <c r="D648" s="32">
        <v>7</v>
      </c>
      <c r="E648" s="33">
        <v>7.9772079772079776E-4</v>
      </c>
    </row>
    <row r="649" spans="2:5" ht="15" customHeight="1" x14ac:dyDescent="0.25">
      <c r="B649" s="92"/>
      <c r="C649" s="31" t="s">
        <v>105</v>
      </c>
      <c r="D649" s="32">
        <v>6</v>
      </c>
      <c r="E649" s="33">
        <v>6.8376068376068376E-4</v>
      </c>
    </row>
    <row r="650" spans="2:5" ht="15" customHeight="1" x14ac:dyDescent="0.25">
      <c r="B650" s="92"/>
      <c r="C650" s="31" t="s">
        <v>110</v>
      </c>
      <c r="D650" s="32">
        <v>1</v>
      </c>
      <c r="E650" s="33">
        <v>1.1396011396011396E-4</v>
      </c>
    </row>
    <row r="651" spans="2:5" ht="15" customHeight="1" x14ac:dyDescent="0.25">
      <c r="B651" s="92"/>
      <c r="C651" s="31" t="s">
        <v>111</v>
      </c>
      <c r="D651" s="32">
        <v>3</v>
      </c>
      <c r="E651" s="33">
        <v>3.4188034188034188E-4</v>
      </c>
    </row>
    <row r="652" spans="2:5" ht="15" customHeight="1" x14ac:dyDescent="0.25">
      <c r="B652" s="92"/>
      <c r="C652" s="31" t="s">
        <v>112</v>
      </c>
      <c r="D652" s="32">
        <v>1</v>
      </c>
      <c r="E652" s="33">
        <v>1.1396011396011396E-4</v>
      </c>
    </row>
    <row r="653" spans="2:5" ht="15" customHeight="1" x14ac:dyDescent="0.25">
      <c r="B653" s="89"/>
      <c r="C653" s="34" t="s">
        <v>26</v>
      </c>
      <c r="D653" s="35">
        <v>30</v>
      </c>
      <c r="E653" s="36">
        <v>3.4188034188034188E-3</v>
      </c>
    </row>
    <row r="654" spans="2:5" ht="15" customHeight="1" x14ac:dyDescent="0.25">
      <c r="B654" s="88" t="s">
        <v>163</v>
      </c>
      <c r="C654" s="31" t="s">
        <v>93</v>
      </c>
      <c r="D654" s="32">
        <v>1</v>
      </c>
      <c r="E654" s="33">
        <v>1.1396011396011396E-4</v>
      </c>
    </row>
    <row r="655" spans="2:5" ht="15" customHeight="1" x14ac:dyDescent="0.25">
      <c r="B655" s="92"/>
      <c r="C655" s="31" t="s">
        <v>94</v>
      </c>
      <c r="D655" s="32">
        <v>1</v>
      </c>
      <c r="E655" s="33">
        <v>1.1396011396011396E-4</v>
      </c>
    </row>
    <row r="656" spans="2:5" ht="15" customHeight="1" x14ac:dyDescent="0.25">
      <c r="B656" s="92"/>
      <c r="C656" s="31" t="s">
        <v>96</v>
      </c>
      <c r="D656" s="32">
        <v>1</v>
      </c>
      <c r="E656" s="33">
        <v>1.1396011396011396E-4</v>
      </c>
    </row>
    <row r="657" spans="2:5" ht="15" customHeight="1" x14ac:dyDescent="0.25">
      <c r="B657" s="92"/>
      <c r="C657" s="31" t="s">
        <v>97</v>
      </c>
      <c r="D657" s="32">
        <v>13</v>
      </c>
      <c r="E657" s="33">
        <v>1.4814814814814814E-3</v>
      </c>
    </row>
    <row r="658" spans="2:5" ht="15" customHeight="1" x14ac:dyDescent="0.25">
      <c r="B658" s="92"/>
      <c r="C658" s="31" t="s">
        <v>98</v>
      </c>
      <c r="D658" s="32">
        <v>2</v>
      </c>
      <c r="E658" s="33">
        <v>2.2792022792022791E-4</v>
      </c>
    </row>
    <row r="659" spans="2:5" ht="15" customHeight="1" x14ac:dyDescent="0.25">
      <c r="B659" s="92"/>
      <c r="C659" s="31" t="s">
        <v>99</v>
      </c>
      <c r="D659" s="32">
        <v>3</v>
      </c>
      <c r="E659" s="33">
        <v>3.4188034188034188E-4</v>
      </c>
    </row>
    <row r="660" spans="2:5" ht="15" customHeight="1" x14ac:dyDescent="0.25">
      <c r="B660" s="92"/>
      <c r="C660" s="31" t="s">
        <v>100</v>
      </c>
      <c r="D660" s="32">
        <v>1</v>
      </c>
      <c r="E660" s="33">
        <v>1.1396011396011396E-4</v>
      </c>
    </row>
    <row r="661" spans="2:5" ht="15" customHeight="1" x14ac:dyDescent="0.25">
      <c r="B661" s="92"/>
      <c r="C661" s="31" t="s">
        <v>101</v>
      </c>
      <c r="D661" s="32">
        <v>6</v>
      </c>
      <c r="E661" s="33">
        <v>6.8376068376068376E-4</v>
      </c>
    </row>
    <row r="662" spans="2:5" ht="15" customHeight="1" x14ac:dyDescent="0.25">
      <c r="B662" s="92"/>
      <c r="C662" s="31" t="s">
        <v>102</v>
      </c>
      <c r="D662" s="32">
        <v>26</v>
      </c>
      <c r="E662" s="33">
        <v>2.9629629629629628E-3</v>
      </c>
    </row>
    <row r="663" spans="2:5" ht="15" customHeight="1" x14ac:dyDescent="0.25">
      <c r="B663" s="92"/>
      <c r="C663" s="31" t="s">
        <v>103</v>
      </c>
      <c r="D663" s="32">
        <v>4</v>
      </c>
      <c r="E663" s="33">
        <v>4.5584045584045582E-4</v>
      </c>
    </row>
    <row r="664" spans="2:5" ht="15" customHeight="1" x14ac:dyDescent="0.25">
      <c r="B664" s="92"/>
      <c r="C664" s="31" t="s">
        <v>104</v>
      </c>
      <c r="D664" s="32">
        <v>9</v>
      </c>
      <c r="E664" s="33">
        <v>1.0256410256410256E-3</v>
      </c>
    </row>
    <row r="665" spans="2:5" ht="15" customHeight="1" x14ac:dyDescent="0.25">
      <c r="B665" s="92"/>
      <c r="C665" s="31" t="s">
        <v>105</v>
      </c>
      <c r="D665" s="32">
        <v>44</v>
      </c>
      <c r="E665" s="33">
        <v>5.0142450142450145E-3</v>
      </c>
    </row>
    <row r="666" spans="2:5" ht="15" customHeight="1" x14ac:dyDescent="0.25">
      <c r="B666" s="92"/>
      <c r="C666" s="31" t="s">
        <v>106</v>
      </c>
      <c r="D666" s="32">
        <v>1</v>
      </c>
      <c r="E666" s="33">
        <v>1.1396011396011396E-4</v>
      </c>
    </row>
    <row r="667" spans="2:5" ht="15" customHeight="1" x14ac:dyDescent="0.25">
      <c r="B667" s="92"/>
      <c r="C667" s="31" t="s">
        <v>108</v>
      </c>
      <c r="D667" s="32">
        <v>1</v>
      </c>
      <c r="E667" s="33">
        <v>1.1396011396011396E-4</v>
      </c>
    </row>
    <row r="668" spans="2:5" ht="15" customHeight="1" x14ac:dyDescent="0.25">
      <c r="B668" s="92"/>
      <c r="C668" s="31" t="s">
        <v>110</v>
      </c>
      <c r="D668" s="32">
        <v>3</v>
      </c>
      <c r="E668" s="33">
        <v>3.4188034188034188E-4</v>
      </c>
    </row>
    <row r="669" spans="2:5" ht="15" customHeight="1" x14ac:dyDescent="0.25">
      <c r="B669" s="92"/>
      <c r="C669" s="31" t="s">
        <v>111</v>
      </c>
      <c r="D669" s="32">
        <v>17</v>
      </c>
      <c r="E669" s="33">
        <v>1.9373219373219374E-3</v>
      </c>
    </row>
    <row r="670" spans="2:5" ht="15" customHeight="1" x14ac:dyDescent="0.25">
      <c r="B670" s="92"/>
      <c r="C670" s="31" t="s">
        <v>112</v>
      </c>
      <c r="D670" s="32">
        <v>2</v>
      </c>
      <c r="E670" s="33">
        <v>2.2792022792022791E-4</v>
      </c>
    </row>
    <row r="671" spans="2:5" ht="15" customHeight="1" x14ac:dyDescent="0.25">
      <c r="B671" s="92"/>
      <c r="C671" s="31" t="s">
        <v>113</v>
      </c>
      <c r="D671" s="32">
        <v>2</v>
      </c>
      <c r="E671" s="33">
        <v>2.2792022792022791E-4</v>
      </c>
    </row>
    <row r="672" spans="2:5" ht="15" customHeight="1" x14ac:dyDescent="0.25">
      <c r="B672" s="89"/>
      <c r="C672" s="34" t="s">
        <v>26</v>
      </c>
      <c r="D672" s="35">
        <v>137</v>
      </c>
      <c r="E672" s="36">
        <v>1.5612535612535613E-2</v>
      </c>
    </row>
    <row r="673" spans="2:5" ht="15" customHeight="1" x14ac:dyDescent="0.25">
      <c r="B673" s="90" t="s">
        <v>26</v>
      </c>
      <c r="C673" s="91"/>
      <c r="D673" s="37">
        <v>8775</v>
      </c>
      <c r="E673" s="38">
        <v>1</v>
      </c>
    </row>
    <row r="675" spans="2:5" ht="15" customHeight="1" x14ac:dyDescent="0.25">
      <c r="B675" s="39" t="s">
        <v>76</v>
      </c>
    </row>
    <row r="676" spans="2:5" ht="15" customHeight="1" x14ac:dyDescent="0.25">
      <c r="B676" s="41" t="s">
        <v>77</v>
      </c>
    </row>
    <row r="677" spans="2:5" ht="15" customHeight="1" x14ac:dyDescent="0.25">
      <c r="B677" s="42" t="s">
        <v>78</v>
      </c>
    </row>
    <row r="678" spans="2:5" ht="15" customHeight="1" x14ac:dyDescent="0.25">
      <c r="B678" s="39" t="s">
        <v>79</v>
      </c>
    </row>
    <row r="679" spans="2:5" ht="15" customHeight="1" x14ac:dyDescent="0.25">
      <c r="B679" s="39" t="s">
        <v>80</v>
      </c>
    </row>
  </sheetData>
  <mergeCells count="50">
    <mergeCell ref="B53:B58"/>
    <mergeCell ref="B7:E8"/>
    <mergeCell ref="B10:B19"/>
    <mergeCell ref="B20:B34"/>
    <mergeCell ref="B35:B43"/>
    <mergeCell ref="B44:B52"/>
    <mergeCell ref="B209:B220"/>
    <mergeCell ref="B59:B60"/>
    <mergeCell ref="B61:B84"/>
    <mergeCell ref="B85:B101"/>
    <mergeCell ref="B102:B116"/>
    <mergeCell ref="B117:B134"/>
    <mergeCell ref="B135:B146"/>
    <mergeCell ref="B147:B148"/>
    <mergeCell ref="B149:B155"/>
    <mergeCell ref="B156:B166"/>
    <mergeCell ref="B167:B190"/>
    <mergeCell ref="B191:B208"/>
    <mergeCell ref="B350:B359"/>
    <mergeCell ref="B221:B234"/>
    <mergeCell ref="B235:B238"/>
    <mergeCell ref="B239:B256"/>
    <mergeCell ref="B257:B268"/>
    <mergeCell ref="B269:B293"/>
    <mergeCell ref="B294:B302"/>
    <mergeCell ref="B303:B309"/>
    <mergeCell ref="B310:B324"/>
    <mergeCell ref="B325:B327"/>
    <mergeCell ref="B328:B335"/>
    <mergeCell ref="B336:B349"/>
    <mergeCell ref="B528:B549"/>
    <mergeCell ref="B360:B370"/>
    <mergeCell ref="B371:B391"/>
    <mergeCell ref="B392:B409"/>
    <mergeCell ref="B410:B426"/>
    <mergeCell ref="B427:B432"/>
    <mergeCell ref="B433:B445"/>
    <mergeCell ref="B446:B468"/>
    <mergeCell ref="B469:B479"/>
    <mergeCell ref="B480:B495"/>
    <mergeCell ref="B496:B504"/>
    <mergeCell ref="B505:B527"/>
    <mergeCell ref="B654:B672"/>
    <mergeCell ref="B673:C673"/>
    <mergeCell ref="B550:B566"/>
    <mergeCell ref="B567:B587"/>
    <mergeCell ref="B588:B610"/>
    <mergeCell ref="B611:B629"/>
    <mergeCell ref="B630:B641"/>
    <mergeCell ref="B642:B65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52" max="4" man="1"/>
    <brk id="84" max="4" man="1"/>
    <brk id="116" max="4" man="1"/>
    <brk id="155" max="4" man="1"/>
    <brk id="190" max="4" man="1"/>
    <brk id="234" max="4" man="1"/>
    <brk id="268" max="4" man="1"/>
    <brk id="309" max="4" man="1"/>
    <brk id="349" max="4" man="1"/>
    <brk id="391" max="4" man="1"/>
    <brk id="432" max="4" man="1"/>
    <brk id="468" max="4" man="1"/>
    <brk id="504" max="4" man="1"/>
    <brk id="527" max="4" man="1"/>
    <brk id="566" max="4" man="1"/>
    <brk id="610" max="4" man="1"/>
    <brk id="653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9" customWidth="1"/>
    <col min="2" max="2" width="21.7109375" style="49" customWidth="1"/>
    <col min="3" max="3" width="17.7109375" style="57" customWidth="1"/>
    <col min="4" max="4" width="17.7109375" style="49" customWidth="1"/>
    <col min="5" max="5" width="9.28515625" style="49" customWidth="1"/>
    <col min="6" max="6" width="5.7109375" style="49" customWidth="1"/>
    <col min="7" max="16384" width="11.42578125" style="49"/>
  </cols>
  <sheetData>
    <row r="1" spans="1:4" s="26" customFormat="1" ht="15" customHeight="1" x14ac:dyDescent="0.2">
      <c r="C1" s="43"/>
    </row>
    <row r="2" spans="1:4" s="26" customFormat="1" ht="15" customHeight="1" x14ac:dyDescent="0.2">
      <c r="C2" s="43"/>
    </row>
    <row r="3" spans="1:4" s="26" customFormat="1" ht="15" customHeight="1" x14ac:dyDescent="0.2">
      <c r="A3" s="26" t="s">
        <v>81</v>
      </c>
      <c r="C3" s="43"/>
    </row>
    <row r="4" spans="1:4" s="26" customFormat="1" ht="30" customHeight="1" x14ac:dyDescent="0.2">
      <c r="C4" s="43"/>
      <c r="D4" s="44"/>
    </row>
    <row r="5" spans="1:4" s="26" customFormat="1" ht="15" customHeight="1" x14ac:dyDescent="0.2">
      <c r="C5" s="43"/>
      <c r="D5" s="44"/>
    </row>
    <row r="6" spans="1:4" s="26" customFormat="1" ht="15" customHeight="1" x14ac:dyDescent="0.2">
      <c r="C6" s="43"/>
      <c r="D6" s="44"/>
    </row>
    <row r="7" spans="1:4" s="26" customFormat="1" ht="15" customHeight="1" x14ac:dyDescent="0.2">
      <c r="B7" s="94" t="s">
        <v>180</v>
      </c>
      <c r="C7" s="94"/>
      <c r="D7" s="94"/>
    </row>
    <row r="8" spans="1:4" s="26" customFormat="1" ht="15" customHeight="1" x14ac:dyDescent="0.2">
      <c r="B8" s="94"/>
      <c r="C8" s="94"/>
      <c r="D8" s="94"/>
    </row>
    <row r="9" spans="1:4" s="26" customFormat="1" ht="33" customHeight="1" x14ac:dyDescent="0.2">
      <c r="B9" s="94"/>
      <c r="C9" s="94"/>
      <c r="D9" s="94"/>
    </row>
    <row r="10" spans="1:4" s="26" customFormat="1" ht="4.5" customHeight="1" x14ac:dyDescent="0.2">
      <c r="B10" s="45"/>
      <c r="C10" s="45"/>
      <c r="D10" s="45"/>
    </row>
    <row r="11" spans="1:4" s="26" customFormat="1" ht="33" customHeight="1" x14ac:dyDescent="0.2">
      <c r="B11" s="46" t="s">
        <v>166</v>
      </c>
      <c r="C11" s="47" t="s">
        <v>20</v>
      </c>
      <c r="D11" s="48" t="s">
        <v>21</v>
      </c>
    </row>
    <row r="12" spans="1:4" ht="15" customHeight="1" x14ac:dyDescent="0.25">
      <c r="B12" s="50" t="s">
        <v>181</v>
      </c>
      <c r="C12" s="51">
        <v>4062</v>
      </c>
      <c r="D12" s="52">
        <v>0.46290598290598289</v>
      </c>
    </row>
    <row r="13" spans="1:4" ht="15" customHeight="1" x14ac:dyDescent="0.25">
      <c r="B13" s="50" t="s">
        <v>182</v>
      </c>
      <c r="C13" s="51">
        <v>4713</v>
      </c>
      <c r="D13" s="52">
        <v>0.53709401709401705</v>
      </c>
    </row>
    <row r="14" spans="1:4" x14ac:dyDescent="0.25">
      <c r="B14" s="54" t="s">
        <v>183</v>
      </c>
      <c r="C14" s="55">
        <v>8775</v>
      </c>
      <c r="D14" s="56">
        <v>1</v>
      </c>
    </row>
    <row r="15" spans="1:4" s="53" customFormat="1" ht="15.75" x14ac:dyDescent="0.25">
      <c r="A15" s="49"/>
      <c r="C15" s="72"/>
      <c r="D15" s="72"/>
    </row>
    <row r="16" spans="1:4" s="53" customFormat="1" ht="15.75" x14ac:dyDescent="0.25">
      <c r="A16" s="49"/>
      <c r="B16" s="39" t="s">
        <v>76</v>
      </c>
      <c r="C16" s="72"/>
      <c r="D16" s="72"/>
    </row>
    <row r="17" spans="2:4" x14ac:dyDescent="0.25">
      <c r="B17" s="41" t="s">
        <v>77</v>
      </c>
      <c r="C17" s="73"/>
      <c r="D17" s="73"/>
    </row>
    <row r="18" spans="2:4" x14ac:dyDescent="0.25">
      <c r="B18" s="42" t="s">
        <v>78</v>
      </c>
      <c r="C18" s="74"/>
      <c r="D18" s="74"/>
    </row>
    <row r="19" spans="2:4" x14ac:dyDescent="0.25">
      <c r="B19" s="39" t="s">
        <v>79</v>
      </c>
    </row>
    <row r="20" spans="2:4" x14ac:dyDescent="0.25">
      <c r="B20" s="39" t="s">
        <v>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0"/>
  <sheetViews>
    <sheetView showGridLines="0" view="pageBreakPreview" zoomScaleNormal="175" zoomScaleSheetLayoutView="100" workbookViewId="0">
      <selection activeCell="J8" sqref="J8"/>
    </sheetView>
  </sheetViews>
  <sheetFormatPr baseColWidth="10" defaultRowHeight="11.25" x14ac:dyDescent="0.2"/>
  <cols>
    <col min="1" max="1" width="5.7109375" style="26" customWidth="1"/>
    <col min="2" max="2" width="19" style="22" customWidth="1"/>
    <col min="3" max="3" width="14.7109375" style="22" customWidth="1"/>
    <col min="4" max="4" width="23.5703125" style="71" customWidth="1"/>
    <col min="5" max="5" width="15.140625" style="22" bestFit="1" customWidth="1"/>
    <col min="6" max="6" width="5.7109375" style="26" customWidth="1"/>
    <col min="7" max="16384" width="11.42578125" style="26"/>
  </cols>
  <sheetData>
    <row r="1" spans="1:6" s="59" customFormat="1" ht="15" x14ac:dyDescent="0.25">
      <c r="B1" s="17"/>
      <c r="C1" s="22"/>
    </row>
    <row r="2" spans="1:6" s="22" customFormat="1" x14ac:dyDescent="0.2">
      <c r="B2" s="60"/>
    </row>
    <row r="3" spans="1:6" ht="15" customHeight="1" x14ac:dyDescent="0.2">
      <c r="B3" s="61"/>
      <c r="C3" s="43"/>
      <c r="D3" s="26"/>
      <c r="F3" s="22"/>
    </row>
    <row r="4" spans="1:6" ht="30" customHeight="1" x14ac:dyDescent="0.2">
      <c r="B4" s="61"/>
      <c r="C4" s="43"/>
      <c r="D4" s="26"/>
      <c r="F4" s="22"/>
    </row>
    <row r="5" spans="1:6" ht="15" customHeight="1" x14ac:dyDescent="0.2">
      <c r="B5" s="61"/>
      <c r="C5" s="43"/>
      <c r="D5" s="26"/>
      <c r="F5" s="22"/>
    </row>
    <row r="6" spans="1:6" s="22" customFormat="1" x14ac:dyDescent="0.2">
      <c r="B6" s="18"/>
      <c r="C6" s="24"/>
    </row>
    <row r="7" spans="1:6" s="22" customFormat="1" x14ac:dyDescent="0.2">
      <c r="A7" s="17"/>
      <c r="B7" s="60"/>
      <c r="C7" s="17"/>
    </row>
    <row r="8" spans="1:6" s="59" customFormat="1" ht="15" customHeight="1" x14ac:dyDescent="0.25">
      <c r="B8" s="98" t="s">
        <v>192</v>
      </c>
      <c r="C8" s="98"/>
      <c r="D8" s="98"/>
      <c r="E8" s="98"/>
    </row>
    <row r="9" spans="1:6" s="59" customFormat="1" ht="15" customHeight="1" x14ac:dyDescent="0.25">
      <c r="A9" s="62"/>
      <c r="B9" s="98"/>
      <c r="C9" s="98"/>
      <c r="D9" s="98"/>
      <c r="E9" s="98"/>
      <c r="F9" s="63"/>
    </row>
    <row r="10" spans="1:6" s="59" customFormat="1" ht="15" customHeight="1" x14ac:dyDescent="0.25">
      <c r="A10" s="62"/>
      <c r="B10" s="99"/>
      <c r="C10" s="99"/>
      <c r="D10" s="99"/>
      <c r="E10" s="99"/>
      <c r="F10" s="62"/>
    </row>
    <row r="11" spans="1:6" s="59" customFormat="1" ht="36.950000000000003" customHeight="1" x14ac:dyDescent="0.25">
      <c r="B11" s="64" t="s">
        <v>115</v>
      </c>
      <c r="C11" s="64" t="s">
        <v>166</v>
      </c>
      <c r="D11" s="64" t="s">
        <v>20</v>
      </c>
      <c r="E11" s="64" t="s">
        <v>21</v>
      </c>
    </row>
    <row r="12" spans="1:6" ht="15" customHeight="1" x14ac:dyDescent="0.2">
      <c r="B12" s="95" t="s">
        <v>116</v>
      </c>
      <c r="C12" s="65" t="s">
        <v>170</v>
      </c>
      <c r="D12" s="51">
        <v>13</v>
      </c>
      <c r="E12" s="52">
        <v>1.4814814814814814E-3</v>
      </c>
    </row>
    <row r="13" spans="1:6" ht="15" customHeight="1" x14ac:dyDescent="0.2">
      <c r="B13" s="96"/>
      <c r="C13" s="65" t="s">
        <v>179</v>
      </c>
      <c r="D13" s="51">
        <v>13</v>
      </c>
      <c r="E13" s="52">
        <v>1.4814814814814814E-3</v>
      </c>
    </row>
    <row r="14" spans="1:6" ht="15" customHeight="1" x14ac:dyDescent="0.2">
      <c r="B14" s="97"/>
      <c r="C14" s="75" t="s">
        <v>26</v>
      </c>
      <c r="D14" s="76">
        <v>26</v>
      </c>
      <c r="E14" s="77">
        <v>2.9629629629629628E-3</v>
      </c>
    </row>
    <row r="15" spans="1:6" ht="15" customHeight="1" x14ac:dyDescent="0.2">
      <c r="B15" s="95" t="s">
        <v>117</v>
      </c>
      <c r="C15" s="65" t="s">
        <v>170</v>
      </c>
      <c r="D15" s="51">
        <v>65</v>
      </c>
      <c r="E15" s="52">
        <v>7.4074074074074077E-3</v>
      </c>
    </row>
    <row r="16" spans="1:6" ht="15" customHeight="1" x14ac:dyDescent="0.2">
      <c r="B16" s="96"/>
      <c r="C16" s="65" t="s">
        <v>179</v>
      </c>
      <c r="D16" s="51">
        <v>53</v>
      </c>
      <c r="E16" s="52">
        <v>6.0398860398860402E-3</v>
      </c>
    </row>
    <row r="17" spans="1:6" s="22" customFormat="1" ht="15" customHeight="1" x14ac:dyDescent="0.2">
      <c r="A17" s="26"/>
      <c r="B17" s="97"/>
      <c r="C17" s="75" t="s">
        <v>26</v>
      </c>
      <c r="D17" s="76">
        <v>118</v>
      </c>
      <c r="E17" s="77">
        <v>1.3447293447293448E-2</v>
      </c>
      <c r="F17" s="26"/>
    </row>
    <row r="18" spans="1:6" s="22" customFormat="1" ht="15" customHeight="1" x14ac:dyDescent="0.2">
      <c r="A18" s="26"/>
      <c r="B18" s="95" t="s">
        <v>119</v>
      </c>
      <c r="C18" s="65" t="s">
        <v>170</v>
      </c>
      <c r="D18" s="51">
        <v>13</v>
      </c>
      <c r="E18" s="52">
        <v>1.4814814814814814E-3</v>
      </c>
      <c r="F18" s="26"/>
    </row>
    <row r="19" spans="1:6" s="22" customFormat="1" ht="15" customHeight="1" x14ac:dyDescent="0.2">
      <c r="A19" s="26"/>
      <c r="B19" s="96"/>
      <c r="C19" s="65" t="s">
        <v>179</v>
      </c>
      <c r="D19" s="51">
        <v>8</v>
      </c>
      <c r="E19" s="52">
        <v>9.1168091168091164E-4</v>
      </c>
      <c r="F19" s="26"/>
    </row>
    <row r="20" spans="1:6" s="22" customFormat="1" ht="15" customHeight="1" x14ac:dyDescent="0.2">
      <c r="A20" s="26"/>
      <c r="B20" s="97"/>
      <c r="C20" s="75" t="s">
        <v>26</v>
      </c>
      <c r="D20" s="76">
        <v>21</v>
      </c>
      <c r="E20" s="77">
        <v>2.3931623931623932E-3</v>
      </c>
      <c r="F20" s="26"/>
    </row>
    <row r="21" spans="1:6" s="22" customFormat="1" ht="15" customHeight="1" x14ac:dyDescent="0.2">
      <c r="A21" s="26"/>
      <c r="B21" s="95" t="s">
        <v>120</v>
      </c>
      <c r="C21" s="65" t="s">
        <v>170</v>
      </c>
      <c r="D21" s="51">
        <v>22</v>
      </c>
      <c r="E21" s="52">
        <v>2.5071225071225073E-3</v>
      </c>
      <c r="F21" s="26"/>
    </row>
    <row r="22" spans="1:6" ht="13.5" x14ac:dyDescent="0.2">
      <c r="B22" s="96"/>
      <c r="C22" s="65" t="s">
        <v>179</v>
      </c>
      <c r="D22" s="51">
        <v>16</v>
      </c>
      <c r="E22" s="52">
        <v>1.8233618233618233E-3</v>
      </c>
    </row>
    <row r="23" spans="1:6" ht="13.5" x14ac:dyDescent="0.2">
      <c r="B23" s="97"/>
      <c r="C23" s="75" t="s">
        <v>26</v>
      </c>
      <c r="D23" s="76">
        <v>38</v>
      </c>
      <c r="E23" s="77">
        <v>4.3304843304843308E-3</v>
      </c>
    </row>
    <row r="24" spans="1:6" ht="13.5" x14ac:dyDescent="0.2">
      <c r="B24" s="95" t="s">
        <v>121</v>
      </c>
      <c r="C24" s="65" t="s">
        <v>170</v>
      </c>
      <c r="D24" s="51">
        <v>4</v>
      </c>
      <c r="E24" s="52">
        <v>4.5584045584045582E-4</v>
      </c>
    </row>
    <row r="25" spans="1:6" ht="13.5" x14ac:dyDescent="0.2">
      <c r="B25" s="96"/>
      <c r="C25" s="65" t="s">
        <v>179</v>
      </c>
      <c r="D25" s="51">
        <v>1</v>
      </c>
      <c r="E25" s="52">
        <v>1.1396011396011396E-4</v>
      </c>
    </row>
    <row r="26" spans="1:6" ht="13.5" x14ac:dyDescent="0.2">
      <c r="B26" s="97"/>
      <c r="C26" s="75" t="s">
        <v>26</v>
      </c>
      <c r="D26" s="76">
        <v>5</v>
      </c>
      <c r="E26" s="77">
        <v>5.6980056980056976E-4</v>
      </c>
    </row>
    <row r="27" spans="1:6" ht="13.5" x14ac:dyDescent="0.2">
      <c r="B27" s="95" t="s">
        <v>122</v>
      </c>
      <c r="C27" s="65" t="s">
        <v>179</v>
      </c>
      <c r="D27" s="51">
        <v>1</v>
      </c>
      <c r="E27" s="52">
        <v>1.1396011396011396E-4</v>
      </c>
    </row>
    <row r="28" spans="1:6" ht="13.5" x14ac:dyDescent="0.2">
      <c r="B28" s="97"/>
      <c r="C28" s="75" t="s">
        <v>26</v>
      </c>
      <c r="D28" s="76">
        <v>1</v>
      </c>
      <c r="E28" s="77">
        <v>1.1396011396011396E-4</v>
      </c>
    </row>
    <row r="29" spans="1:6" ht="13.5" x14ac:dyDescent="0.2">
      <c r="B29" s="95" t="s">
        <v>123</v>
      </c>
      <c r="C29" s="65" t="s">
        <v>170</v>
      </c>
      <c r="D29" s="51">
        <v>223</v>
      </c>
      <c r="E29" s="52">
        <v>2.5413105413105413E-2</v>
      </c>
    </row>
    <row r="30" spans="1:6" ht="13.5" x14ac:dyDescent="0.2">
      <c r="B30" s="96"/>
      <c r="C30" s="65" t="s">
        <v>179</v>
      </c>
      <c r="D30" s="51">
        <v>319</v>
      </c>
      <c r="E30" s="52">
        <v>3.6353276353276356E-2</v>
      </c>
    </row>
    <row r="31" spans="1:6" ht="13.5" x14ac:dyDescent="0.2">
      <c r="B31" s="97"/>
      <c r="C31" s="75" t="s">
        <v>26</v>
      </c>
      <c r="D31" s="76">
        <v>542</v>
      </c>
      <c r="E31" s="77">
        <v>6.1766381766381766E-2</v>
      </c>
    </row>
    <row r="32" spans="1:6" ht="13.5" x14ac:dyDescent="0.2">
      <c r="B32" s="95" t="s">
        <v>124</v>
      </c>
      <c r="C32" s="65" t="s">
        <v>170</v>
      </c>
      <c r="D32" s="51">
        <v>94</v>
      </c>
      <c r="E32" s="52">
        <v>1.0712250712250713E-2</v>
      </c>
    </row>
    <row r="33" spans="2:5" ht="13.5" x14ac:dyDescent="0.2">
      <c r="B33" s="96"/>
      <c r="C33" s="65" t="s">
        <v>179</v>
      </c>
      <c r="D33" s="51">
        <v>102</v>
      </c>
      <c r="E33" s="52">
        <v>1.1623931623931624E-2</v>
      </c>
    </row>
    <row r="34" spans="2:5" ht="13.5" x14ac:dyDescent="0.2">
      <c r="B34" s="97"/>
      <c r="C34" s="75" t="s">
        <v>26</v>
      </c>
      <c r="D34" s="76">
        <v>196</v>
      </c>
      <c r="E34" s="77">
        <v>2.2336182336182335E-2</v>
      </c>
    </row>
    <row r="35" spans="2:5" ht="13.5" x14ac:dyDescent="0.2">
      <c r="B35" s="95" t="s">
        <v>125</v>
      </c>
      <c r="C35" s="65" t="s">
        <v>170</v>
      </c>
      <c r="D35" s="51">
        <v>67</v>
      </c>
      <c r="E35" s="52">
        <v>7.635327635327635E-3</v>
      </c>
    </row>
    <row r="36" spans="2:5" ht="13.5" x14ac:dyDescent="0.2">
      <c r="B36" s="96"/>
      <c r="C36" s="65" t="s">
        <v>179</v>
      </c>
      <c r="D36" s="51">
        <v>67</v>
      </c>
      <c r="E36" s="52">
        <v>7.635327635327635E-3</v>
      </c>
    </row>
    <row r="37" spans="2:5" ht="13.5" x14ac:dyDescent="0.2">
      <c r="B37" s="97"/>
      <c r="C37" s="75" t="s">
        <v>26</v>
      </c>
      <c r="D37" s="76">
        <v>134</v>
      </c>
      <c r="E37" s="77">
        <v>1.527065527065527E-2</v>
      </c>
    </row>
    <row r="38" spans="2:5" ht="13.5" x14ac:dyDescent="0.2">
      <c r="B38" s="95" t="s">
        <v>126</v>
      </c>
      <c r="C38" s="65" t="s">
        <v>170</v>
      </c>
      <c r="D38" s="51">
        <v>46</v>
      </c>
      <c r="E38" s="52">
        <v>5.2421652421652419E-3</v>
      </c>
    </row>
    <row r="39" spans="2:5" ht="13.5" x14ac:dyDescent="0.2">
      <c r="B39" s="96"/>
      <c r="C39" s="65" t="s">
        <v>179</v>
      </c>
      <c r="D39" s="51">
        <v>55</v>
      </c>
      <c r="E39" s="52">
        <v>6.2678062678062675E-3</v>
      </c>
    </row>
    <row r="40" spans="2:5" ht="13.5" x14ac:dyDescent="0.2">
      <c r="B40" s="97"/>
      <c r="C40" s="75" t="s">
        <v>26</v>
      </c>
      <c r="D40" s="76">
        <v>101</v>
      </c>
      <c r="E40" s="77">
        <v>1.150997150997151E-2</v>
      </c>
    </row>
    <row r="41" spans="2:5" ht="13.5" x14ac:dyDescent="0.2">
      <c r="B41" s="95" t="s">
        <v>127</v>
      </c>
      <c r="C41" s="65" t="s">
        <v>170</v>
      </c>
      <c r="D41" s="51">
        <v>16</v>
      </c>
      <c r="E41" s="52">
        <v>1.8233618233618233E-3</v>
      </c>
    </row>
    <row r="42" spans="2:5" ht="13.5" x14ac:dyDescent="0.2">
      <c r="B42" s="96"/>
      <c r="C42" s="65" t="s">
        <v>179</v>
      </c>
      <c r="D42" s="51">
        <v>7</v>
      </c>
      <c r="E42" s="52">
        <v>7.9772079772079776E-4</v>
      </c>
    </row>
    <row r="43" spans="2:5" ht="13.5" x14ac:dyDescent="0.2">
      <c r="B43" s="97"/>
      <c r="C43" s="75" t="s">
        <v>26</v>
      </c>
      <c r="D43" s="76">
        <v>23</v>
      </c>
      <c r="E43" s="77">
        <v>2.6210826210826209E-3</v>
      </c>
    </row>
    <row r="44" spans="2:5" ht="13.5" x14ac:dyDescent="0.2">
      <c r="B44" s="95" t="s">
        <v>128</v>
      </c>
      <c r="C44" s="65" t="s">
        <v>170</v>
      </c>
      <c r="D44" s="51">
        <v>1</v>
      </c>
      <c r="E44" s="52">
        <v>1.1396011396011396E-4</v>
      </c>
    </row>
    <row r="45" spans="2:5" ht="13.5" x14ac:dyDescent="0.2">
      <c r="B45" s="97"/>
      <c r="C45" s="75" t="s">
        <v>26</v>
      </c>
      <c r="D45" s="76">
        <v>1</v>
      </c>
      <c r="E45" s="77">
        <v>1.1396011396011396E-4</v>
      </c>
    </row>
    <row r="46" spans="2:5" ht="13.5" x14ac:dyDescent="0.2">
      <c r="B46" s="95" t="s">
        <v>129</v>
      </c>
      <c r="C46" s="65" t="s">
        <v>170</v>
      </c>
      <c r="D46" s="51">
        <v>8</v>
      </c>
      <c r="E46" s="52">
        <v>9.1168091168091164E-4</v>
      </c>
    </row>
    <row r="47" spans="2:5" ht="13.5" x14ac:dyDescent="0.2">
      <c r="B47" s="96"/>
      <c r="C47" s="65" t="s">
        <v>179</v>
      </c>
      <c r="D47" s="51">
        <v>9</v>
      </c>
      <c r="E47" s="52">
        <v>1.0256410256410256E-3</v>
      </c>
    </row>
    <row r="48" spans="2:5" ht="13.5" x14ac:dyDescent="0.2">
      <c r="B48" s="97"/>
      <c r="C48" s="75" t="s">
        <v>26</v>
      </c>
      <c r="D48" s="76">
        <v>17</v>
      </c>
      <c r="E48" s="77">
        <v>1.9373219373219374E-3</v>
      </c>
    </row>
    <row r="49" spans="2:5" ht="13.5" x14ac:dyDescent="0.2">
      <c r="B49" s="95" t="s">
        <v>130</v>
      </c>
      <c r="C49" s="65" t="s">
        <v>170</v>
      </c>
      <c r="D49" s="51">
        <v>11</v>
      </c>
      <c r="E49" s="52">
        <v>1.2535612535612536E-3</v>
      </c>
    </row>
    <row r="50" spans="2:5" ht="13.5" x14ac:dyDescent="0.2">
      <c r="B50" s="96"/>
      <c r="C50" s="65" t="s">
        <v>179</v>
      </c>
      <c r="D50" s="51">
        <v>10</v>
      </c>
      <c r="E50" s="52">
        <v>1.1396011396011395E-3</v>
      </c>
    </row>
    <row r="51" spans="2:5" ht="13.5" x14ac:dyDescent="0.2">
      <c r="B51" s="97"/>
      <c r="C51" s="75" t="s">
        <v>26</v>
      </c>
      <c r="D51" s="76">
        <v>21</v>
      </c>
      <c r="E51" s="77">
        <v>2.3931623931623932E-3</v>
      </c>
    </row>
    <row r="52" spans="2:5" ht="13.5" x14ac:dyDescent="0.2">
      <c r="B52" s="95" t="s">
        <v>131</v>
      </c>
      <c r="C52" s="65" t="s">
        <v>170</v>
      </c>
      <c r="D52" s="51">
        <v>276</v>
      </c>
      <c r="E52" s="52">
        <v>3.1452991452991456E-2</v>
      </c>
    </row>
    <row r="53" spans="2:5" ht="13.5" x14ac:dyDescent="0.2">
      <c r="B53" s="96"/>
      <c r="C53" s="65" t="s">
        <v>179</v>
      </c>
      <c r="D53" s="51">
        <v>313</v>
      </c>
      <c r="E53" s="52">
        <v>3.5669515669515671E-2</v>
      </c>
    </row>
    <row r="54" spans="2:5" ht="13.5" x14ac:dyDescent="0.2">
      <c r="B54" s="97"/>
      <c r="C54" s="75" t="s">
        <v>26</v>
      </c>
      <c r="D54" s="76">
        <v>589</v>
      </c>
      <c r="E54" s="77">
        <v>6.7122507122507127E-2</v>
      </c>
    </row>
    <row r="55" spans="2:5" ht="13.5" x14ac:dyDescent="0.2">
      <c r="B55" s="95" t="s">
        <v>132</v>
      </c>
      <c r="C55" s="65" t="s">
        <v>170</v>
      </c>
      <c r="D55" s="51">
        <v>55</v>
      </c>
      <c r="E55" s="52">
        <v>6.2678062678062675E-3</v>
      </c>
    </row>
    <row r="56" spans="2:5" ht="13.5" x14ac:dyDescent="0.2">
      <c r="B56" s="96"/>
      <c r="C56" s="65" t="s">
        <v>179</v>
      </c>
      <c r="D56" s="51">
        <v>54</v>
      </c>
      <c r="E56" s="52">
        <v>6.1538461538461538E-3</v>
      </c>
    </row>
    <row r="57" spans="2:5" ht="13.5" x14ac:dyDescent="0.2">
      <c r="B57" s="97"/>
      <c r="C57" s="75" t="s">
        <v>26</v>
      </c>
      <c r="D57" s="76">
        <v>109</v>
      </c>
      <c r="E57" s="77">
        <v>1.2421652421652421E-2</v>
      </c>
    </row>
    <row r="58" spans="2:5" ht="13.5" x14ac:dyDescent="0.2">
      <c r="B58" s="95" t="s">
        <v>133</v>
      </c>
      <c r="C58" s="65" t="s">
        <v>170</v>
      </c>
      <c r="D58" s="51">
        <v>25</v>
      </c>
      <c r="E58" s="52">
        <v>2.8490028490028491E-3</v>
      </c>
    </row>
    <row r="59" spans="2:5" ht="13.5" x14ac:dyDescent="0.2">
      <c r="B59" s="96"/>
      <c r="C59" s="65" t="s">
        <v>179</v>
      </c>
      <c r="D59" s="51">
        <v>25</v>
      </c>
      <c r="E59" s="52">
        <v>2.8490028490028491E-3</v>
      </c>
    </row>
    <row r="60" spans="2:5" ht="13.5" x14ac:dyDescent="0.2">
      <c r="B60" s="97"/>
      <c r="C60" s="75" t="s">
        <v>26</v>
      </c>
      <c r="D60" s="76">
        <v>50</v>
      </c>
      <c r="E60" s="77">
        <v>5.6980056980056983E-3</v>
      </c>
    </row>
    <row r="61" spans="2:5" ht="13.5" x14ac:dyDescent="0.2">
      <c r="B61" s="95" t="s">
        <v>134</v>
      </c>
      <c r="C61" s="65" t="s">
        <v>170</v>
      </c>
      <c r="D61" s="51">
        <v>39</v>
      </c>
      <c r="E61" s="52">
        <v>4.4444444444444444E-3</v>
      </c>
    </row>
    <row r="62" spans="2:5" ht="13.5" x14ac:dyDescent="0.2">
      <c r="B62" s="96"/>
      <c r="C62" s="65" t="s">
        <v>179</v>
      </c>
      <c r="D62" s="51">
        <v>36</v>
      </c>
      <c r="E62" s="52">
        <v>4.1025641025641026E-3</v>
      </c>
    </row>
    <row r="63" spans="2:5" ht="13.5" x14ac:dyDescent="0.2">
      <c r="B63" s="97"/>
      <c r="C63" s="75" t="s">
        <v>26</v>
      </c>
      <c r="D63" s="76">
        <v>75</v>
      </c>
      <c r="E63" s="77">
        <v>8.5470085470085479E-3</v>
      </c>
    </row>
    <row r="64" spans="2:5" ht="13.5" x14ac:dyDescent="0.2">
      <c r="B64" s="95" t="s">
        <v>135</v>
      </c>
      <c r="C64" s="65" t="s">
        <v>170</v>
      </c>
      <c r="D64" s="51">
        <v>3</v>
      </c>
      <c r="E64" s="52">
        <v>3.4188034188034188E-4</v>
      </c>
    </row>
    <row r="65" spans="2:5" ht="13.5" x14ac:dyDescent="0.2">
      <c r="B65" s="96"/>
      <c r="C65" s="65" t="s">
        <v>179</v>
      </c>
      <c r="D65" s="51">
        <v>2</v>
      </c>
      <c r="E65" s="52">
        <v>2.2792022792022791E-4</v>
      </c>
    </row>
    <row r="66" spans="2:5" ht="13.5" x14ac:dyDescent="0.2">
      <c r="B66" s="97"/>
      <c r="C66" s="75" t="s">
        <v>26</v>
      </c>
      <c r="D66" s="76">
        <v>5</v>
      </c>
      <c r="E66" s="77">
        <v>5.6980056980056976E-4</v>
      </c>
    </row>
    <row r="67" spans="2:5" ht="13.5" x14ac:dyDescent="0.2">
      <c r="B67" s="95" t="s">
        <v>136</v>
      </c>
      <c r="C67" s="65" t="s">
        <v>170</v>
      </c>
      <c r="D67" s="51">
        <v>198</v>
      </c>
      <c r="E67" s="52">
        <v>2.2564102564102566E-2</v>
      </c>
    </row>
    <row r="68" spans="2:5" ht="13.5" x14ac:dyDescent="0.2">
      <c r="B68" s="96"/>
      <c r="C68" s="65" t="s">
        <v>179</v>
      </c>
      <c r="D68" s="51">
        <v>220</v>
      </c>
      <c r="E68" s="52">
        <v>2.507122507122507E-2</v>
      </c>
    </row>
    <row r="69" spans="2:5" ht="13.5" x14ac:dyDescent="0.2">
      <c r="B69" s="97"/>
      <c r="C69" s="75" t="s">
        <v>26</v>
      </c>
      <c r="D69" s="76">
        <v>418</v>
      </c>
      <c r="E69" s="77">
        <v>4.7635327635327636E-2</v>
      </c>
    </row>
    <row r="70" spans="2:5" ht="13.5" x14ac:dyDescent="0.2">
      <c r="B70" s="95" t="s">
        <v>137</v>
      </c>
      <c r="C70" s="65" t="s">
        <v>170</v>
      </c>
      <c r="D70" s="51">
        <v>34</v>
      </c>
      <c r="E70" s="52">
        <v>3.8746438746438748E-3</v>
      </c>
    </row>
    <row r="71" spans="2:5" ht="13.5" x14ac:dyDescent="0.2">
      <c r="B71" s="96"/>
      <c r="C71" s="65" t="s">
        <v>179</v>
      </c>
      <c r="D71" s="51">
        <v>37</v>
      </c>
      <c r="E71" s="52">
        <v>4.2165242165242162E-3</v>
      </c>
    </row>
    <row r="72" spans="2:5" ht="13.5" x14ac:dyDescent="0.2">
      <c r="B72" s="97"/>
      <c r="C72" s="75" t="s">
        <v>26</v>
      </c>
      <c r="D72" s="76">
        <v>71</v>
      </c>
      <c r="E72" s="77">
        <v>8.0911680911680915E-3</v>
      </c>
    </row>
    <row r="73" spans="2:5" ht="13.5" x14ac:dyDescent="0.2">
      <c r="B73" s="95" t="s">
        <v>138</v>
      </c>
      <c r="C73" s="65" t="s">
        <v>170</v>
      </c>
      <c r="D73" s="51">
        <v>763</v>
      </c>
      <c r="E73" s="52">
        <v>8.6951566951566958E-2</v>
      </c>
    </row>
    <row r="74" spans="2:5" ht="13.5" x14ac:dyDescent="0.2">
      <c r="B74" s="96"/>
      <c r="C74" s="65" t="s">
        <v>179</v>
      </c>
      <c r="D74" s="51">
        <v>955</v>
      </c>
      <c r="E74" s="52">
        <v>0.10883190883190884</v>
      </c>
    </row>
    <row r="75" spans="2:5" ht="13.5" x14ac:dyDescent="0.2">
      <c r="B75" s="97"/>
      <c r="C75" s="75" t="s">
        <v>26</v>
      </c>
      <c r="D75" s="76">
        <v>1718</v>
      </c>
      <c r="E75" s="77">
        <v>0.1957834757834758</v>
      </c>
    </row>
    <row r="76" spans="2:5" ht="13.5" x14ac:dyDescent="0.2">
      <c r="B76" s="95" t="s">
        <v>139</v>
      </c>
      <c r="C76" s="65" t="s">
        <v>170</v>
      </c>
      <c r="D76" s="51">
        <v>8</v>
      </c>
      <c r="E76" s="52">
        <v>9.1168091168091164E-4</v>
      </c>
    </row>
    <row r="77" spans="2:5" ht="13.5" x14ac:dyDescent="0.2">
      <c r="B77" s="96"/>
      <c r="C77" s="65" t="s">
        <v>179</v>
      </c>
      <c r="D77" s="51">
        <v>10</v>
      </c>
      <c r="E77" s="52">
        <v>1.1396011396011395E-3</v>
      </c>
    </row>
    <row r="78" spans="2:5" ht="13.5" x14ac:dyDescent="0.2">
      <c r="B78" s="97"/>
      <c r="C78" s="75" t="s">
        <v>26</v>
      </c>
      <c r="D78" s="76">
        <v>18</v>
      </c>
      <c r="E78" s="77">
        <v>2.0512820512820513E-3</v>
      </c>
    </row>
    <row r="79" spans="2:5" ht="13.5" x14ac:dyDescent="0.2">
      <c r="B79" s="95" t="s">
        <v>140</v>
      </c>
      <c r="C79" s="65" t="s">
        <v>170</v>
      </c>
      <c r="D79" s="51">
        <v>9</v>
      </c>
      <c r="E79" s="52">
        <v>1.0256410256410256E-3</v>
      </c>
    </row>
    <row r="80" spans="2:5" ht="13.5" x14ac:dyDescent="0.2">
      <c r="B80" s="96"/>
      <c r="C80" s="65" t="s">
        <v>179</v>
      </c>
      <c r="D80" s="51">
        <v>13</v>
      </c>
      <c r="E80" s="52">
        <v>1.4814814814814814E-3</v>
      </c>
    </row>
    <row r="81" spans="2:5" ht="13.5" x14ac:dyDescent="0.2">
      <c r="B81" s="97"/>
      <c r="C81" s="75" t="s">
        <v>26</v>
      </c>
      <c r="D81" s="76">
        <v>22</v>
      </c>
      <c r="E81" s="77">
        <v>2.5071225071225073E-3</v>
      </c>
    </row>
    <row r="82" spans="2:5" ht="13.5" x14ac:dyDescent="0.2">
      <c r="B82" s="95" t="s">
        <v>141</v>
      </c>
      <c r="C82" s="65" t="s">
        <v>170</v>
      </c>
      <c r="D82" s="51">
        <v>18</v>
      </c>
      <c r="E82" s="52">
        <v>2.0512820512820513E-3</v>
      </c>
    </row>
    <row r="83" spans="2:5" ht="13.5" x14ac:dyDescent="0.2">
      <c r="B83" s="96"/>
      <c r="C83" s="65" t="s">
        <v>179</v>
      </c>
      <c r="D83" s="51">
        <v>19</v>
      </c>
      <c r="E83" s="52">
        <v>2.1652421652421654E-3</v>
      </c>
    </row>
    <row r="84" spans="2:5" ht="13.5" x14ac:dyDescent="0.2">
      <c r="B84" s="97"/>
      <c r="C84" s="75" t="s">
        <v>26</v>
      </c>
      <c r="D84" s="76">
        <v>37</v>
      </c>
      <c r="E84" s="77">
        <v>4.2165242165242162E-3</v>
      </c>
    </row>
    <row r="85" spans="2:5" ht="13.5" x14ac:dyDescent="0.2">
      <c r="B85" s="95" t="s">
        <v>142</v>
      </c>
      <c r="C85" s="65" t="s">
        <v>170</v>
      </c>
      <c r="D85" s="51">
        <v>1</v>
      </c>
      <c r="E85" s="52">
        <v>1.1396011396011396E-4</v>
      </c>
    </row>
    <row r="86" spans="2:5" ht="13.5" x14ac:dyDescent="0.2">
      <c r="B86" s="96"/>
      <c r="C86" s="65" t="s">
        <v>179</v>
      </c>
      <c r="D86" s="51">
        <v>1</v>
      </c>
      <c r="E86" s="52">
        <v>1.1396011396011396E-4</v>
      </c>
    </row>
    <row r="87" spans="2:5" ht="13.5" x14ac:dyDescent="0.2">
      <c r="B87" s="97"/>
      <c r="C87" s="75" t="s">
        <v>26</v>
      </c>
      <c r="D87" s="76">
        <v>2</v>
      </c>
      <c r="E87" s="77">
        <v>2.2792022792022791E-4</v>
      </c>
    </row>
    <row r="88" spans="2:5" ht="13.5" x14ac:dyDescent="0.2">
      <c r="B88" s="95" t="s">
        <v>143</v>
      </c>
      <c r="C88" s="65" t="s">
        <v>170</v>
      </c>
      <c r="D88" s="51">
        <v>5</v>
      </c>
      <c r="E88" s="52">
        <v>5.6980056980056976E-4</v>
      </c>
    </row>
    <row r="89" spans="2:5" ht="13.5" x14ac:dyDescent="0.2">
      <c r="B89" s="96"/>
      <c r="C89" s="65" t="s">
        <v>179</v>
      </c>
      <c r="D89" s="51">
        <v>7</v>
      </c>
      <c r="E89" s="52">
        <v>7.9772079772079776E-4</v>
      </c>
    </row>
    <row r="90" spans="2:5" ht="13.5" x14ac:dyDescent="0.2">
      <c r="B90" s="97"/>
      <c r="C90" s="75" t="s">
        <v>26</v>
      </c>
      <c r="D90" s="76">
        <v>12</v>
      </c>
      <c r="E90" s="77">
        <v>1.3675213675213675E-3</v>
      </c>
    </row>
    <row r="91" spans="2:5" ht="13.5" x14ac:dyDescent="0.2">
      <c r="B91" s="95" t="s">
        <v>144</v>
      </c>
      <c r="C91" s="65" t="s">
        <v>170</v>
      </c>
      <c r="D91" s="51">
        <v>26</v>
      </c>
      <c r="E91" s="52">
        <v>2.9629629629629628E-3</v>
      </c>
    </row>
    <row r="92" spans="2:5" ht="13.5" x14ac:dyDescent="0.2">
      <c r="B92" s="96"/>
      <c r="C92" s="65" t="s">
        <v>179</v>
      </c>
      <c r="D92" s="51">
        <v>20</v>
      </c>
      <c r="E92" s="52">
        <v>2.2792022792022791E-3</v>
      </c>
    </row>
    <row r="93" spans="2:5" ht="13.5" x14ac:dyDescent="0.2">
      <c r="B93" s="97"/>
      <c r="C93" s="75" t="s">
        <v>26</v>
      </c>
      <c r="D93" s="76">
        <v>46</v>
      </c>
      <c r="E93" s="77">
        <v>5.2421652421652419E-3</v>
      </c>
    </row>
    <row r="94" spans="2:5" ht="13.5" x14ac:dyDescent="0.2">
      <c r="B94" s="95" t="s">
        <v>145</v>
      </c>
      <c r="C94" s="65" t="s">
        <v>170</v>
      </c>
      <c r="D94" s="51">
        <v>29</v>
      </c>
      <c r="E94" s="52">
        <v>3.3048433048433047E-3</v>
      </c>
    </row>
    <row r="95" spans="2:5" ht="13.5" x14ac:dyDescent="0.2">
      <c r="B95" s="96"/>
      <c r="C95" s="65" t="s">
        <v>179</v>
      </c>
      <c r="D95" s="51">
        <v>16</v>
      </c>
      <c r="E95" s="52">
        <v>1.8233618233618233E-3</v>
      </c>
    </row>
    <row r="96" spans="2:5" ht="13.5" x14ac:dyDescent="0.2">
      <c r="B96" s="97"/>
      <c r="C96" s="75" t="s">
        <v>26</v>
      </c>
      <c r="D96" s="76">
        <v>45</v>
      </c>
      <c r="E96" s="77">
        <v>5.1282051282051282E-3</v>
      </c>
    </row>
    <row r="97" spans="2:5" ht="13.5" x14ac:dyDescent="0.2">
      <c r="B97" s="95" t="s">
        <v>146</v>
      </c>
      <c r="C97" s="65" t="s">
        <v>170</v>
      </c>
      <c r="D97" s="51">
        <v>22</v>
      </c>
      <c r="E97" s="52">
        <v>2.5071225071225073E-3</v>
      </c>
    </row>
    <row r="98" spans="2:5" ht="13.5" x14ac:dyDescent="0.2">
      <c r="B98" s="96"/>
      <c r="C98" s="65" t="s">
        <v>179</v>
      </c>
      <c r="D98" s="51">
        <v>13</v>
      </c>
      <c r="E98" s="52">
        <v>1.4814814814814814E-3</v>
      </c>
    </row>
    <row r="99" spans="2:5" ht="13.5" x14ac:dyDescent="0.2">
      <c r="B99" s="97"/>
      <c r="C99" s="75" t="s">
        <v>26</v>
      </c>
      <c r="D99" s="76">
        <v>35</v>
      </c>
      <c r="E99" s="77">
        <v>3.9886039886039889E-3</v>
      </c>
    </row>
    <row r="100" spans="2:5" ht="13.5" x14ac:dyDescent="0.2">
      <c r="B100" s="95" t="s">
        <v>147</v>
      </c>
      <c r="C100" s="65" t="s">
        <v>170</v>
      </c>
      <c r="D100" s="51">
        <v>115</v>
      </c>
      <c r="E100" s="52">
        <v>1.3105413105413105E-2</v>
      </c>
    </row>
    <row r="101" spans="2:5" ht="13.5" x14ac:dyDescent="0.2">
      <c r="B101" s="96"/>
      <c r="C101" s="65" t="s">
        <v>179</v>
      </c>
      <c r="D101" s="51">
        <v>138</v>
      </c>
      <c r="E101" s="52">
        <v>1.5726495726495728E-2</v>
      </c>
    </row>
    <row r="102" spans="2:5" ht="13.5" x14ac:dyDescent="0.2">
      <c r="B102" s="97"/>
      <c r="C102" s="75" t="s">
        <v>26</v>
      </c>
      <c r="D102" s="76">
        <v>253</v>
      </c>
      <c r="E102" s="77">
        <v>2.8831908831908833E-2</v>
      </c>
    </row>
    <row r="103" spans="2:5" ht="13.5" x14ac:dyDescent="0.2">
      <c r="B103" s="95" t="s">
        <v>148</v>
      </c>
      <c r="C103" s="65" t="s">
        <v>170</v>
      </c>
      <c r="D103" s="51">
        <v>73</v>
      </c>
      <c r="E103" s="52">
        <v>8.3190883190883188E-3</v>
      </c>
    </row>
    <row r="104" spans="2:5" ht="13.5" x14ac:dyDescent="0.2">
      <c r="B104" s="96"/>
      <c r="C104" s="65" t="s">
        <v>179</v>
      </c>
      <c r="D104" s="51">
        <v>63</v>
      </c>
      <c r="E104" s="52">
        <v>7.1794871794871795E-3</v>
      </c>
    </row>
    <row r="105" spans="2:5" ht="13.5" x14ac:dyDescent="0.2">
      <c r="B105" s="97"/>
      <c r="C105" s="75" t="s">
        <v>26</v>
      </c>
      <c r="D105" s="76">
        <v>136</v>
      </c>
      <c r="E105" s="77">
        <v>1.5498575498575499E-2</v>
      </c>
    </row>
    <row r="106" spans="2:5" ht="13.5" x14ac:dyDescent="0.2">
      <c r="B106" s="95" t="s">
        <v>149</v>
      </c>
      <c r="C106" s="65" t="s">
        <v>170</v>
      </c>
      <c r="D106" s="51">
        <v>75</v>
      </c>
      <c r="E106" s="52">
        <v>8.5470085470085479E-3</v>
      </c>
    </row>
    <row r="107" spans="2:5" ht="13.5" x14ac:dyDescent="0.2">
      <c r="B107" s="96"/>
      <c r="C107" s="65" t="s">
        <v>179</v>
      </c>
      <c r="D107" s="51">
        <v>59</v>
      </c>
      <c r="E107" s="52">
        <v>6.7236467236467239E-3</v>
      </c>
    </row>
    <row r="108" spans="2:5" ht="13.5" x14ac:dyDescent="0.2">
      <c r="B108" s="97"/>
      <c r="C108" s="75" t="s">
        <v>26</v>
      </c>
      <c r="D108" s="76">
        <v>134</v>
      </c>
      <c r="E108" s="77">
        <v>1.527065527065527E-2</v>
      </c>
    </row>
    <row r="109" spans="2:5" ht="13.5" x14ac:dyDescent="0.2">
      <c r="B109" s="95" t="s">
        <v>150</v>
      </c>
      <c r="C109" s="65" t="s">
        <v>170</v>
      </c>
      <c r="D109" s="51">
        <v>4</v>
      </c>
      <c r="E109" s="52">
        <v>4.5584045584045582E-4</v>
      </c>
    </row>
    <row r="110" spans="2:5" ht="13.5" x14ac:dyDescent="0.2">
      <c r="B110" s="96"/>
      <c r="C110" s="65" t="s">
        <v>179</v>
      </c>
      <c r="D110" s="51">
        <v>4</v>
      </c>
      <c r="E110" s="52">
        <v>4.5584045584045582E-4</v>
      </c>
    </row>
    <row r="111" spans="2:5" ht="13.5" x14ac:dyDescent="0.2">
      <c r="B111" s="97"/>
      <c r="C111" s="75" t="s">
        <v>26</v>
      </c>
      <c r="D111" s="76">
        <v>8</v>
      </c>
      <c r="E111" s="77">
        <v>9.1168091168091164E-4</v>
      </c>
    </row>
    <row r="112" spans="2:5" ht="13.5" x14ac:dyDescent="0.2">
      <c r="B112" s="95" t="s">
        <v>151</v>
      </c>
      <c r="C112" s="65" t="s">
        <v>170</v>
      </c>
      <c r="D112" s="51">
        <v>40</v>
      </c>
      <c r="E112" s="52">
        <v>4.5584045584045581E-3</v>
      </c>
    </row>
    <row r="113" spans="2:5" ht="13.5" x14ac:dyDescent="0.2">
      <c r="B113" s="96"/>
      <c r="C113" s="65" t="s">
        <v>179</v>
      </c>
      <c r="D113" s="51">
        <v>29</v>
      </c>
      <c r="E113" s="52">
        <v>3.3048433048433047E-3</v>
      </c>
    </row>
    <row r="114" spans="2:5" ht="13.5" x14ac:dyDescent="0.2">
      <c r="B114" s="97"/>
      <c r="C114" s="75" t="s">
        <v>26</v>
      </c>
      <c r="D114" s="76">
        <v>69</v>
      </c>
      <c r="E114" s="77">
        <v>7.8632478632478641E-3</v>
      </c>
    </row>
    <row r="115" spans="2:5" ht="13.5" x14ac:dyDescent="0.2">
      <c r="B115" s="95" t="s">
        <v>152</v>
      </c>
      <c r="C115" s="65" t="s">
        <v>170</v>
      </c>
      <c r="D115" s="51">
        <v>177</v>
      </c>
      <c r="E115" s="52">
        <v>2.017094017094017E-2</v>
      </c>
    </row>
    <row r="116" spans="2:5" ht="13.5" x14ac:dyDescent="0.2">
      <c r="B116" s="96"/>
      <c r="C116" s="65" t="s">
        <v>179</v>
      </c>
      <c r="D116" s="51">
        <v>187</v>
      </c>
      <c r="E116" s="52">
        <v>2.131054131054131E-2</v>
      </c>
    </row>
    <row r="117" spans="2:5" ht="13.5" x14ac:dyDescent="0.2">
      <c r="B117" s="97"/>
      <c r="C117" s="75" t="s">
        <v>26</v>
      </c>
      <c r="D117" s="76">
        <v>364</v>
      </c>
      <c r="E117" s="77">
        <v>4.148148148148148E-2</v>
      </c>
    </row>
    <row r="118" spans="2:5" ht="13.5" x14ac:dyDescent="0.2">
      <c r="B118" s="95" t="s">
        <v>153</v>
      </c>
      <c r="C118" s="65" t="s">
        <v>170</v>
      </c>
      <c r="D118" s="51">
        <v>11</v>
      </c>
      <c r="E118" s="52">
        <v>1.2535612535612536E-3</v>
      </c>
    </row>
    <row r="119" spans="2:5" ht="13.5" x14ac:dyDescent="0.2">
      <c r="B119" s="96"/>
      <c r="C119" s="65" t="s">
        <v>179</v>
      </c>
      <c r="D119" s="51">
        <v>11</v>
      </c>
      <c r="E119" s="52">
        <v>1.2535612535612536E-3</v>
      </c>
    </row>
    <row r="120" spans="2:5" ht="13.5" x14ac:dyDescent="0.2">
      <c r="B120" s="97"/>
      <c r="C120" s="75" t="s">
        <v>26</v>
      </c>
      <c r="D120" s="76">
        <v>22</v>
      </c>
      <c r="E120" s="77">
        <v>2.5071225071225073E-3</v>
      </c>
    </row>
    <row r="121" spans="2:5" ht="13.5" x14ac:dyDescent="0.2">
      <c r="B121" s="95" t="s">
        <v>154</v>
      </c>
      <c r="C121" s="65" t="s">
        <v>170</v>
      </c>
      <c r="D121" s="51">
        <v>81</v>
      </c>
      <c r="E121" s="52">
        <v>9.2307692307692316E-3</v>
      </c>
    </row>
    <row r="122" spans="2:5" ht="13.5" x14ac:dyDescent="0.2">
      <c r="B122" s="96"/>
      <c r="C122" s="65" t="s">
        <v>179</v>
      </c>
      <c r="D122" s="51">
        <v>93</v>
      </c>
      <c r="E122" s="52">
        <v>1.0598290598290599E-2</v>
      </c>
    </row>
    <row r="123" spans="2:5" ht="13.5" x14ac:dyDescent="0.2">
      <c r="B123" s="97"/>
      <c r="C123" s="75" t="s">
        <v>26</v>
      </c>
      <c r="D123" s="76">
        <v>174</v>
      </c>
      <c r="E123" s="77">
        <v>1.9829059829059831E-2</v>
      </c>
    </row>
    <row r="124" spans="2:5" ht="13.5" x14ac:dyDescent="0.2">
      <c r="B124" s="95" t="s">
        <v>155</v>
      </c>
      <c r="C124" s="65" t="s">
        <v>170</v>
      </c>
      <c r="D124" s="51">
        <v>13</v>
      </c>
      <c r="E124" s="52">
        <v>1.4814814814814814E-3</v>
      </c>
    </row>
    <row r="125" spans="2:5" ht="13.5" x14ac:dyDescent="0.2">
      <c r="B125" s="96"/>
      <c r="C125" s="65" t="s">
        <v>179</v>
      </c>
      <c r="D125" s="51">
        <v>18</v>
      </c>
      <c r="E125" s="52">
        <v>2.0512820512820513E-3</v>
      </c>
    </row>
    <row r="126" spans="2:5" ht="13.5" x14ac:dyDescent="0.2">
      <c r="B126" s="97"/>
      <c r="C126" s="75" t="s">
        <v>26</v>
      </c>
      <c r="D126" s="76">
        <v>31</v>
      </c>
      <c r="E126" s="77">
        <v>3.5327635327635329E-3</v>
      </c>
    </row>
    <row r="127" spans="2:5" ht="13.5" x14ac:dyDescent="0.2">
      <c r="B127" s="95" t="s">
        <v>156</v>
      </c>
      <c r="C127" s="65" t="s">
        <v>170</v>
      </c>
      <c r="D127" s="51">
        <v>541</v>
      </c>
      <c r="E127" s="52">
        <v>6.165242165242165E-2</v>
      </c>
    </row>
    <row r="128" spans="2:5" ht="13.5" x14ac:dyDescent="0.2">
      <c r="B128" s="96"/>
      <c r="C128" s="65" t="s">
        <v>179</v>
      </c>
      <c r="D128" s="51">
        <v>679</v>
      </c>
      <c r="E128" s="52">
        <v>7.7378917378917375E-2</v>
      </c>
    </row>
    <row r="129" spans="2:5" ht="13.5" x14ac:dyDescent="0.2">
      <c r="B129" s="97"/>
      <c r="C129" s="75" t="s">
        <v>26</v>
      </c>
      <c r="D129" s="76">
        <v>1220</v>
      </c>
      <c r="E129" s="77">
        <v>0.13903133903133902</v>
      </c>
    </row>
    <row r="130" spans="2:5" ht="13.5" x14ac:dyDescent="0.2">
      <c r="B130" s="95" t="s">
        <v>157</v>
      </c>
      <c r="C130" s="65" t="s">
        <v>170</v>
      </c>
      <c r="D130" s="51">
        <v>327</v>
      </c>
      <c r="E130" s="52">
        <v>3.7264957264957266E-2</v>
      </c>
    </row>
    <row r="131" spans="2:5" ht="13.5" x14ac:dyDescent="0.2">
      <c r="B131" s="96"/>
      <c r="C131" s="65" t="s">
        <v>179</v>
      </c>
      <c r="D131" s="51">
        <v>400</v>
      </c>
      <c r="E131" s="52">
        <v>4.5584045584045586E-2</v>
      </c>
    </row>
    <row r="132" spans="2:5" ht="13.5" x14ac:dyDescent="0.2">
      <c r="B132" s="97"/>
      <c r="C132" s="75" t="s">
        <v>26</v>
      </c>
      <c r="D132" s="76">
        <v>727</v>
      </c>
      <c r="E132" s="77">
        <v>8.2849002849002845E-2</v>
      </c>
    </row>
    <row r="133" spans="2:5" ht="13.5" x14ac:dyDescent="0.2">
      <c r="B133" s="95" t="s">
        <v>158</v>
      </c>
      <c r="C133" s="65" t="s">
        <v>170</v>
      </c>
      <c r="D133" s="51">
        <v>100</v>
      </c>
      <c r="E133" s="52">
        <v>1.1396011396011397E-2</v>
      </c>
    </row>
    <row r="134" spans="2:5" ht="13.5" x14ac:dyDescent="0.2">
      <c r="B134" s="96"/>
      <c r="C134" s="65" t="s">
        <v>179</v>
      </c>
      <c r="D134" s="51">
        <v>112</v>
      </c>
      <c r="E134" s="52">
        <v>1.2763532763532764E-2</v>
      </c>
    </row>
    <row r="135" spans="2:5" ht="13.5" x14ac:dyDescent="0.2">
      <c r="B135" s="97"/>
      <c r="C135" s="75" t="s">
        <v>26</v>
      </c>
      <c r="D135" s="76">
        <v>212</v>
      </c>
      <c r="E135" s="77">
        <v>2.4159544159544161E-2</v>
      </c>
    </row>
    <row r="136" spans="2:5" ht="13.5" x14ac:dyDescent="0.2">
      <c r="B136" s="95" t="s">
        <v>159</v>
      </c>
      <c r="C136" s="65" t="s">
        <v>170</v>
      </c>
      <c r="D136" s="51">
        <v>123</v>
      </c>
      <c r="E136" s="52">
        <v>1.4017094017094018E-2</v>
      </c>
    </row>
    <row r="137" spans="2:5" ht="13.5" x14ac:dyDescent="0.2">
      <c r="B137" s="96"/>
      <c r="C137" s="65" t="s">
        <v>179</v>
      </c>
      <c r="D137" s="51">
        <v>152</v>
      </c>
      <c r="E137" s="52">
        <v>1.7321937321937323E-2</v>
      </c>
    </row>
    <row r="138" spans="2:5" ht="13.5" x14ac:dyDescent="0.2">
      <c r="B138" s="97"/>
      <c r="C138" s="75" t="s">
        <v>26</v>
      </c>
      <c r="D138" s="76">
        <v>275</v>
      </c>
      <c r="E138" s="77">
        <v>3.1339031339031341E-2</v>
      </c>
    </row>
    <row r="139" spans="2:5" ht="13.5" x14ac:dyDescent="0.2">
      <c r="B139" s="95" t="s">
        <v>160</v>
      </c>
      <c r="C139" s="65" t="s">
        <v>170</v>
      </c>
      <c r="D139" s="51">
        <v>148</v>
      </c>
      <c r="E139" s="52">
        <v>1.6866096866096865E-2</v>
      </c>
    </row>
    <row r="140" spans="2:5" ht="13.5" x14ac:dyDescent="0.2">
      <c r="B140" s="96"/>
      <c r="C140" s="65" t="s">
        <v>179</v>
      </c>
      <c r="D140" s="51">
        <v>194</v>
      </c>
      <c r="E140" s="52">
        <v>2.2108262108262108E-2</v>
      </c>
    </row>
    <row r="141" spans="2:5" ht="13.5" x14ac:dyDescent="0.2">
      <c r="B141" s="97"/>
      <c r="C141" s="75" t="s">
        <v>26</v>
      </c>
      <c r="D141" s="76">
        <v>342</v>
      </c>
      <c r="E141" s="77">
        <v>3.8974358974358976E-2</v>
      </c>
    </row>
    <row r="142" spans="2:5" ht="13.5" x14ac:dyDescent="0.2">
      <c r="B142" s="95" t="s">
        <v>161</v>
      </c>
      <c r="C142" s="65" t="s">
        <v>170</v>
      </c>
      <c r="D142" s="51">
        <v>64</v>
      </c>
      <c r="E142" s="52">
        <v>7.2934472934472932E-3</v>
      </c>
    </row>
    <row r="143" spans="2:5" ht="13.5" x14ac:dyDescent="0.2">
      <c r="B143" s="96"/>
      <c r="C143" s="65" t="s">
        <v>179</v>
      </c>
      <c r="D143" s="51">
        <v>53</v>
      </c>
      <c r="E143" s="52">
        <v>6.0398860398860402E-3</v>
      </c>
    </row>
    <row r="144" spans="2:5" ht="13.5" x14ac:dyDescent="0.2">
      <c r="B144" s="97"/>
      <c r="C144" s="75" t="s">
        <v>26</v>
      </c>
      <c r="D144" s="76">
        <v>117</v>
      </c>
      <c r="E144" s="77">
        <v>1.3333333333333334E-2</v>
      </c>
    </row>
    <row r="145" spans="2:5" ht="13.5" x14ac:dyDescent="0.2">
      <c r="B145" s="95" t="s">
        <v>162</v>
      </c>
      <c r="C145" s="65" t="s">
        <v>170</v>
      </c>
      <c r="D145" s="51">
        <v>12</v>
      </c>
      <c r="E145" s="52">
        <v>1.3675213675213675E-3</v>
      </c>
    </row>
    <row r="146" spans="2:5" ht="13.5" x14ac:dyDescent="0.2">
      <c r="B146" s="96"/>
      <c r="C146" s="65" t="s">
        <v>179</v>
      </c>
      <c r="D146" s="51">
        <v>16</v>
      </c>
      <c r="E146" s="52">
        <v>1.8233618233618233E-3</v>
      </c>
    </row>
    <row r="147" spans="2:5" ht="13.5" x14ac:dyDescent="0.2">
      <c r="B147" s="97"/>
      <c r="C147" s="75" t="s">
        <v>26</v>
      </c>
      <c r="D147" s="76">
        <v>28</v>
      </c>
      <c r="E147" s="77">
        <v>3.190883190883191E-3</v>
      </c>
    </row>
    <row r="148" spans="2:5" ht="13.5" x14ac:dyDescent="0.2">
      <c r="B148" s="95" t="s">
        <v>72</v>
      </c>
      <c r="C148" s="65" t="s">
        <v>170</v>
      </c>
      <c r="D148" s="51">
        <v>15</v>
      </c>
      <c r="E148" s="52">
        <v>1.7094017094017094E-3</v>
      </c>
    </row>
    <row r="149" spans="2:5" ht="13.5" x14ac:dyDescent="0.2">
      <c r="B149" s="96"/>
      <c r="C149" s="65" t="s">
        <v>179</v>
      </c>
      <c r="D149" s="51">
        <v>15</v>
      </c>
      <c r="E149" s="52">
        <v>1.7094017094017094E-3</v>
      </c>
    </row>
    <row r="150" spans="2:5" ht="13.5" x14ac:dyDescent="0.2">
      <c r="B150" s="97"/>
      <c r="C150" s="75" t="s">
        <v>26</v>
      </c>
      <c r="D150" s="76">
        <v>30</v>
      </c>
      <c r="E150" s="77">
        <v>3.4188034188034188E-3</v>
      </c>
    </row>
    <row r="151" spans="2:5" ht="13.5" x14ac:dyDescent="0.2">
      <c r="B151" s="95" t="s">
        <v>163</v>
      </c>
      <c r="C151" s="65" t="s">
        <v>170</v>
      </c>
      <c r="D151" s="51">
        <v>49</v>
      </c>
      <c r="E151" s="52">
        <v>5.5840455840455838E-3</v>
      </c>
    </row>
    <row r="152" spans="2:5" ht="13.5" x14ac:dyDescent="0.2">
      <c r="B152" s="96"/>
      <c r="C152" s="65" t="s">
        <v>179</v>
      </c>
      <c r="D152" s="51">
        <v>88</v>
      </c>
      <c r="E152" s="52">
        <v>1.0028490028490029E-2</v>
      </c>
    </row>
    <row r="153" spans="2:5" ht="13.5" x14ac:dyDescent="0.2">
      <c r="B153" s="97"/>
      <c r="C153" s="75" t="s">
        <v>26</v>
      </c>
      <c r="D153" s="76">
        <v>137</v>
      </c>
      <c r="E153" s="77">
        <v>1.5612535612535613E-2</v>
      </c>
    </row>
    <row r="154" spans="2:5" ht="13.5" x14ac:dyDescent="0.2">
      <c r="B154" s="90" t="s">
        <v>183</v>
      </c>
      <c r="C154" s="91"/>
      <c r="D154" s="69">
        <v>8775</v>
      </c>
      <c r="E154" s="70">
        <v>1</v>
      </c>
    </row>
    <row r="156" spans="2:5" x14ac:dyDescent="0.2">
      <c r="B156" s="39" t="s">
        <v>76</v>
      </c>
    </row>
    <row r="157" spans="2:5" x14ac:dyDescent="0.2">
      <c r="B157" s="41" t="s">
        <v>77</v>
      </c>
    </row>
    <row r="158" spans="2:5" x14ac:dyDescent="0.2">
      <c r="B158" s="42" t="s">
        <v>78</v>
      </c>
    </row>
    <row r="159" spans="2:5" x14ac:dyDescent="0.2">
      <c r="B159" s="39" t="s">
        <v>79</v>
      </c>
    </row>
    <row r="160" spans="2:5" x14ac:dyDescent="0.2">
      <c r="B160" s="39" t="s">
        <v>80</v>
      </c>
    </row>
  </sheetData>
  <mergeCells count="50">
    <mergeCell ref="B24:B26"/>
    <mergeCell ref="B8:E10"/>
    <mergeCell ref="B12:B14"/>
    <mergeCell ref="B15:B17"/>
    <mergeCell ref="B18:B20"/>
    <mergeCell ref="B21:B23"/>
    <mergeCell ref="B58:B60"/>
    <mergeCell ref="B27:B28"/>
    <mergeCell ref="B29:B31"/>
    <mergeCell ref="B32:B34"/>
    <mergeCell ref="B35:B37"/>
    <mergeCell ref="B38:B40"/>
    <mergeCell ref="B41:B43"/>
    <mergeCell ref="B44:B45"/>
    <mergeCell ref="B46:B48"/>
    <mergeCell ref="B49:B51"/>
    <mergeCell ref="B52:B54"/>
    <mergeCell ref="B55:B57"/>
    <mergeCell ref="B94:B96"/>
    <mergeCell ref="B61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130:B132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151:B153"/>
    <mergeCell ref="B154:C154"/>
    <mergeCell ref="B133:B135"/>
    <mergeCell ref="B136:B138"/>
    <mergeCell ref="B139:B141"/>
    <mergeCell ref="B142:B144"/>
    <mergeCell ref="B145:B147"/>
    <mergeCell ref="B148:B150"/>
  </mergeCells>
  <printOptions horizontalCentered="1"/>
  <pageMargins left="0.74803149606299213" right="0.74803149606299213" top="0.98425196850393704" bottom="0.98425196850393704" header="0.51181102362204722" footer="0.51181102362204722"/>
  <pageSetup scale="63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26" customWidth="1"/>
    <col min="2" max="2" width="19" style="22" customWidth="1"/>
    <col min="3" max="3" width="17.28515625" style="22" customWidth="1"/>
    <col min="4" max="4" width="17.28515625" style="71" customWidth="1"/>
    <col min="5" max="5" width="16.7109375" style="71" customWidth="1"/>
    <col min="6" max="6" width="16.7109375" style="22" customWidth="1"/>
    <col min="7" max="7" width="5.7109375" style="26" customWidth="1"/>
    <col min="8" max="16384" width="11.42578125" style="26"/>
  </cols>
  <sheetData>
    <row r="1" spans="1:7" s="59" customFormat="1" ht="15" x14ac:dyDescent="0.25">
      <c r="B1" s="17"/>
      <c r="C1" s="22"/>
    </row>
    <row r="2" spans="1:7" s="22" customFormat="1" x14ac:dyDescent="0.2">
      <c r="B2" s="60"/>
    </row>
    <row r="3" spans="1:7" ht="15" customHeight="1" x14ac:dyDescent="0.2">
      <c r="B3" s="61"/>
      <c r="C3" s="43"/>
      <c r="D3" s="26"/>
      <c r="E3" s="26"/>
      <c r="G3" s="22"/>
    </row>
    <row r="4" spans="1:7" ht="30" customHeight="1" x14ac:dyDescent="0.2">
      <c r="B4" s="61"/>
      <c r="C4" s="43"/>
      <c r="D4" s="26"/>
      <c r="E4" s="26"/>
      <c r="G4" s="22"/>
    </row>
    <row r="5" spans="1:7" ht="15" customHeight="1" x14ac:dyDescent="0.2">
      <c r="B5" s="61"/>
      <c r="C5" s="43"/>
      <c r="D5" s="26"/>
      <c r="E5" s="26"/>
      <c r="G5" s="22"/>
    </row>
    <row r="6" spans="1:7" s="22" customFormat="1" x14ac:dyDescent="0.2">
      <c r="B6" s="18"/>
      <c r="C6" s="24"/>
    </row>
    <row r="7" spans="1:7" s="22" customFormat="1" x14ac:dyDescent="0.2">
      <c r="A7" s="17"/>
      <c r="B7" s="60"/>
      <c r="C7" s="17"/>
    </row>
    <row r="8" spans="1:7" s="59" customFormat="1" ht="15" customHeight="1" x14ac:dyDescent="0.25">
      <c r="B8" s="98" t="s">
        <v>165</v>
      </c>
      <c r="C8" s="98"/>
      <c r="D8" s="98"/>
      <c r="E8" s="98"/>
      <c r="F8" s="98"/>
    </row>
    <row r="9" spans="1:7" s="59" customFormat="1" ht="15" customHeight="1" x14ac:dyDescent="0.25">
      <c r="A9" s="62"/>
      <c r="B9" s="98"/>
      <c r="C9" s="98"/>
      <c r="D9" s="98"/>
      <c r="E9" s="98"/>
      <c r="F9" s="98"/>
      <c r="G9" s="63"/>
    </row>
    <row r="10" spans="1:7" s="59" customFormat="1" ht="15" customHeight="1" x14ac:dyDescent="0.25">
      <c r="A10" s="62"/>
      <c r="B10" s="99"/>
      <c r="C10" s="99"/>
      <c r="D10" s="99"/>
      <c r="E10" s="99"/>
      <c r="F10" s="99"/>
      <c r="G10" s="62"/>
    </row>
    <row r="11" spans="1:7" s="59" customFormat="1" ht="36.950000000000003" customHeight="1" x14ac:dyDescent="0.25">
      <c r="B11" s="64" t="s">
        <v>166</v>
      </c>
      <c r="C11" s="64" t="s">
        <v>167</v>
      </c>
      <c r="D11" s="64" t="s">
        <v>20</v>
      </c>
      <c r="E11" s="64" t="s">
        <v>168</v>
      </c>
      <c r="F11" s="64" t="s">
        <v>169</v>
      </c>
    </row>
    <row r="12" spans="1:7" ht="15" customHeight="1" x14ac:dyDescent="0.2">
      <c r="B12" s="95" t="s">
        <v>170</v>
      </c>
      <c r="C12" s="65" t="s">
        <v>171</v>
      </c>
      <c r="D12" s="51">
        <v>20</v>
      </c>
      <c r="E12" s="66">
        <v>4.9236829148202859E-3</v>
      </c>
      <c r="F12" s="52">
        <f t="shared" ref="F12:F28" si="0">D12/$D$28</f>
        <v>2.2792022792022791E-3</v>
      </c>
    </row>
    <row r="13" spans="1:7" ht="15" customHeight="1" x14ac:dyDescent="0.2">
      <c r="B13" s="96"/>
      <c r="C13" s="65" t="s">
        <v>172</v>
      </c>
      <c r="D13" s="51">
        <v>142</v>
      </c>
      <c r="E13" s="66">
        <v>3.4958148695224026E-2</v>
      </c>
      <c r="F13" s="52">
        <f t="shared" si="0"/>
        <v>1.6182336182336183E-2</v>
      </c>
    </row>
    <row r="14" spans="1:7" ht="15" customHeight="1" x14ac:dyDescent="0.2">
      <c r="B14" s="96"/>
      <c r="C14" s="65" t="s">
        <v>173</v>
      </c>
      <c r="D14" s="51">
        <v>1248</v>
      </c>
      <c r="E14" s="66">
        <v>0.30723781388478583</v>
      </c>
      <c r="F14" s="52">
        <f t="shared" si="0"/>
        <v>0.14222222222222222</v>
      </c>
    </row>
    <row r="15" spans="1:7" ht="15" customHeight="1" x14ac:dyDescent="0.2">
      <c r="B15" s="96"/>
      <c r="C15" s="65" t="s">
        <v>174</v>
      </c>
      <c r="D15" s="51">
        <v>947</v>
      </c>
      <c r="E15" s="66">
        <v>0.23313638601674053</v>
      </c>
      <c r="F15" s="52">
        <f t="shared" si="0"/>
        <v>0.10792022792022792</v>
      </c>
    </row>
    <row r="16" spans="1:7" ht="15" customHeight="1" x14ac:dyDescent="0.2">
      <c r="B16" s="96"/>
      <c r="C16" s="65" t="s">
        <v>175</v>
      </c>
      <c r="D16" s="51">
        <v>1042</v>
      </c>
      <c r="E16" s="66">
        <v>0.25652387986213687</v>
      </c>
      <c r="F16" s="52">
        <f t="shared" si="0"/>
        <v>0.11874643874643874</v>
      </c>
    </row>
    <row r="17" spans="1:7" s="22" customFormat="1" ht="15" customHeight="1" x14ac:dyDescent="0.2">
      <c r="A17" s="26"/>
      <c r="B17" s="96"/>
      <c r="C17" s="65" t="s">
        <v>176</v>
      </c>
      <c r="D17" s="51">
        <v>611</v>
      </c>
      <c r="E17" s="66">
        <v>0.15041851304775972</v>
      </c>
      <c r="F17" s="52">
        <f t="shared" si="0"/>
        <v>6.9629629629629625E-2</v>
      </c>
      <c r="G17" s="26"/>
    </row>
    <row r="18" spans="1:7" s="22" customFormat="1" ht="15" customHeight="1" x14ac:dyDescent="0.2">
      <c r="A18" s="26"/>
      <c r="B18" s="96"/>
      <c r="C18" s="65" t="s">
        <v>177</v>
      </c>
      <c r="D18" s="51">
        <v>48</v>
      </c>
      <c r="E18" s="66">
        <v>1.1816838995568686E-2</v>
      </c>
      <c r="F18" s="52">
        <f t="shared" si="0"/>
        <v>5.4700854700854701E-3</v>
      </c>
      <c r="G18" s="26"/>
    </row>
    <row r="19" spans="1:7" s="22" customFormat="1" ht="15" customHeight="1" x14ac:dyDescent="0.2">
      <c r="A19" s="26"/>
      <c r="B19" s="97"/>
      <c r="C19" s="65" t="s">
        <v>178</v>
      </c>
      <c r="D19" s="51">
        <v>4</v>
      </c>
      <c r="E19" s="66">
        <v>9.8473658296405718E-4</v>
      </c>
      <c r="F19" s="52">
        <f t="shared" si="0"/>
        <v>4.5584045584045582E-4</v>
      </c>
      <c r="G19" s="26"/>
    </row>
    <row r="20" spans="1:7" s="22" customFormat="1" ht="15" customHeight="1" x14ac:dyDescent="0.2">
      <c r="A20" s="26"/>
      <c r="B20" s="95" t="s">
        <v>179</v>
      </c>
      <c r="C20" s="65" t="s">
        <v>171</v>
      </c>
      <c r="D20" s="51">
        <v>26</v>
      </c>
      <c r="E20" s="67">
        <v>5.5166560577127096E-3</v>
      </c>
      <c r="F20" s="52">
        <f t="shared" si="0"/>
        <v>2.9629629629629628E-3</v>
      </c>
      <c r="G20" s="26"/>
    </row>
    <row r="21" spans="1:7" s="22" customFormat="1" ht="15" customHeight="1" x14ac:dyDescent="0.2">
      <c r="A21" s="26"/>
      <c r="B21" s="96"/>
      <c r="C21" s="65" t="s">
        <v>172</v>
      </c>
      <c r="D21" s="51">
        <v>119</v>
      </c>
      <c r="E21" s="67">
        <v>2.5249310417992787E-2</v>
      </c>
      <c r="F21" s="52">
        <f t="shared" si="0"/>
        <v>1.3561253561253562E-2</v>
      </c>
      <c r="G21" s="26"/>
    </row>
    <row r="22" spans="1:7" ht="13.5" x14ac:dyDescent="0.2">
      <c r="B22" s="96"/>
      <c r="C22" s="65" t="s">
        <v>173</v>
      </c>
      <c r="D22" s="51">
        <v>1135</v>
      </c>
      <c r="E22" s="67">
        <v>0.24082325482707406</v>
      </c>
      <c r="F22" s="52">
        <f t="shared" si="0"/>
        <v>0.12934472934472935</v>
      </c>
    </row>
    <row r="23" spans="1:7" ht="13.5" x14ac:dyDescent="0.2">
      <c r="B23" s="96"/>
      <c r="C23" s="65" t="s">
        <v>174</v>
      </c>
      <c r="D23" s="51">
        <v>1209</v>
      </c>
      <c r="E23" s="67">
        <v>0.25652450668364102</v>
      </c>
      <c r="F23" s="52">
        <f t="shared" si="0"/>
        <v>0.13777777777777778</v>
      </c>
    </row>
    <row r="24" spans="1:7" ht="27" x14ac:dyDescent="0.2">
      <c r="B24" s="96"/>
      <c r="C24" s="65" t="s">
        <v>175</v>
      </c>
      <c r="D24" s="51">
        <v>1310</v>
      </c>
      <c r="E24" s="67">
        <v>0.27795459367706343</v>
      </c>
      <c r="F24" s="52">
        <f t="shared" si="0"/>
        <v>0.14928774928774929</v>
      </c>
    </row>
    <row r="25" spans="1:7" ht="13.5" x14ac:dyDescent="0.2">
      <c r="B25" s="96"/>
      <c r="C25" s="65" t="s">
        <v>176</v>
      </c>
      <c r="D25" s="51">
        <v>842</v>
      </c>
      <c r="E25" s="67">
        <v>0.17865478463823467</v>
      </c>
      <c r="F25" s="52">
        <f t="shared" si="0"/>
        <v>9.595441595441595E-2</v>
      </c>
    </row>
    <row r="26" spans="1:7" ht="13.5" x14ac:dyDescent="0.2">
      <c r="B26" s="96"/>
      <c r="C26" s="65" t="s">
        <v>177</v>
      </c>
      <c r="D26" s="51">
        <v>63</v>
      </c>
      <c r="E26" s="67">
        <v>1.336728198599618E-2</v>
      </c>
      <c r="F26" s="52">
        <f t="shared" si="0"/>
        <v>7.1794871794871795E-3</v>
      </c>
    </row>
    <row r="27" spans="1:7" ht="13.5" x14ac:dyDescent="0.2">
      <c r="B27" s="97"/>
      <c r="C27" s="65" t="s">
        <v>178</v>
      </c>
      <c r="D27" s="51">
        <v>9</v>
      </c>
      <c r="E27" s="67">
        <v>1.9096117122851686E-3</v>
      </c>
      <c r="F27" s="52">
        <f t="shared" si="0"/>
        <v>1.0256410256410256E-3</v>
      </c>
    </row>
    <row r="28" spans="1:7" ht="13.5" x14ac:dyDescent="0.2">
      <c r="B28" s="68" t="s">
        <v>26</v>
      </c>
      <c r="C28" s="68"/>
      <c r="D28" s="69">
        <v>8775</v>
      </c>
      <c r="E28" s="70"/>
      <c r="F28" s="70">
        <f t="shared" si="0"/>
        <v>1</v>
      </c>
    </row>
    <row r="30" spans="1:7" x14ac:dyDescent="0.2">
      <c r="B30" s="39" t="s">
        <v>76</v>
      </c>
    </row>
    <row r="31" spans="1:7" x14ac:dyDescent="0.2">
      <c r="B31" s="41" t="s">
        <v>77</v>
      </c>
    </row>
    <row r="32" spans="1:7" x14ac:dyDescent="0.2">
      <c r="B32" s="42" t="s">
        <v>78</v>
      </c>
    </row>
    <row r="33" spans="2:2" x14ac:dyDescent="0.2">
      <c r="B33" s="39" t="s">
        <v>79</v>
      </c>
    </row>
    <row r="34" spans="2:2" x14ac:dyDescent="0.2">
      <c r="B34" s="39" t="s">
        <v>80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1"/>
  <sheetViews>
    <sheetView showGridLines="0" zoomScaleNormal="100" zoomScaleSheetLayoutView="115" workbookViewId="0">
      <selection activeCell="J11" sqref="J11"/>
    </sheetView>
  </sheetViews>
  <sheetFormatPr baseColWidth="10" defaultRowHeight="15" x14ac:dyDescent="0.25"/>
  <cols>
    <col min="1" max="1" width="9.28515625" style="49" customWidth="1"/>
    <col min="2" max="2" width="21.7109375" style="49" customWidth="1"/>
    <col min="3" max="3" width="17.7109375" style="57" customWidth="1"/>
    <col min="4" max="4" width="17.7109375" style="49" customWidth="1"/>
    <col min="5" max="5" width="9.28515625" style="49" customWidth="1"/>
    <col min="6" max="6" width="5.7109375" style="49" customWidth="1"/>
    <col min="7" max="16384" width="11.42578125" style="49"/>
  </cols>
  <sheetData>
    <row r="1" spans="1:4" s="26" customFormat="1" ht="15" customHeight="1" x14ac:dyDescent="0.2">
      <c r="C1" s="43"/>
    </row>
    <row r="2" spans="1:4" s="26" customFormat="1" ht="15" customHeight="1" x14ac:dyDescent="0.2">
      <c r="C2" s="43"/>
    </row>
    <row r="3" spans="1:4" s="26" customFormat="1" ht="15" customHeight="1" x14ac:dyDescent="0.2">
      <c r="A3" s="26" t="s">
        <v>81</v>
      </c>
      <c r="C3" s="43"/>
    </row>
    <row r="4" spans="1:4" s="26" customFormat="1" ht="30" customHeight="1" x14ac:dyDescent="0.2">
      <c r="C4" s="43"/>
      <c r="D4" s="44"/>
    </row>
    <row r="5" spans="1:4" s="26" customFormat="1" ht="15" customHeight="1" x14ac:dyDescent="0.2">
      <c r="C5" s="43"/>
      <c r="D5" s="44"/>
    </row>
    <row r="6" spans="1:4" s="26" customFormat="1" ht="15" customHeight="1" x14ac:dyDescent="0.2">
      <c r="C6" s="43"/>
      <c r="D6" s="44"/>
    </row>
    <row r="7" spans="1:4" s="26" customFormat="1" ht="15" customHeight="1" x14ac:dyDescent="0.2">
      <c r="B7" s="87" t="s">
        <v>195</v>
      </c>
      <c r="C7" s="87"/>
      <c r="D7" s="87"/>
    </row>
    <row r="8" spans="1:4" s="26" customFormat="1" ht="15" customHeight="1" x14ac:dyDescent="0.2">
      <c r="B8" s="87"/>
      <c r="C8" s="87"/>
      <c r="D8" s="87"/>
    </row>
    <row r="9" spans="1:4" s="26" customFormat="1" ht="33" customHeight="1" x14ac:dyDescent="0.2">
      <c r="B9" s="87"/>
      <c r="C9" s="87"/>
      <c r="D9" s="87"/>
    </row>
    <row r="10" spans="1:4" s="26" customFormat="1" ht="4.5" customHeight="1" x14ac:dyDescent="0.2">
      <c r="B10" s="45"/>
      <c r="C10" s="45"/>
      <c r="D10" s="45"/>
    </row>
    <row r="11" spans="1:4" s="26" customFormat="1" ht="33" customHeight="1" x14ac:dyDescent="0.2">
      <c r="B11" s="46" t="s">
        <v>196</v>
      </c>
      <c r="C11" s="47" t="s">
        <v>20</v>
      </c>
      <c r="D11" s="48" t="s">
        <v>21</v>
      </c>
    </row>
    <row r="12" spans="1:4" ht="15" customHeight="1" x14ac:dyDescent="0.25">
      <c r="B12" s="50" t="s">
        <v>197</v>
      </c>
      <c r="C12" s="51">
        <v>4279</v>
      </c>
      <c r="D12" s="52">
        <f t="shared" ref="D12:D33" si="0">C12/$C$33</f>
        <v>0.48763532763532763</v>
      </c>
    </row>
    <row r="13" spans="1:4" x14ac:dyDescent="0.25">
      <c r="B13" s="50" t="s">
        <v>198</v>
      </c>
      <c r="C13" s="51">
        <v>2284</v>
      </c>
      <c r="D13" s="52">
        <f t="shared" si="0"/>
        <v>0.26028490028490031</v>
      </c>
    </row>
    <row r="14" spans="1:4" s="53" customFormat="1" ht="15.75" x14ac:dyDescent="0.25">
      <c r="A14" s="49"/>
      <c r="B14" s="50" t="s">
        <v>199</v>
      </c>
      <c r="C14" s="51">
        <v>1136</v>
      </c>
      <c r="D14" s="52">
        <f t="shared" si="0"/>
        <v>0.12945868945868946</v>
      </c>
    </row>
    <row r="15" spans="1:4" s="53" customFormat="1" ht="15.75" x14ac:dyDescent="0.25">
      <c r="A15" s="49"/>
      <c r="B15" s="50" t="s">
        <v>200</v>
      </c>
      <c r="C15" s="51">
        <v>218</v>
      </c>
      <c r="D15" s="52">
        <f t="shared" si="0"/>
        <v>2.4843304843304843E-2</v>
      </c>
    </row>
    <row r="16" spans="1:4" x14ac:dyDescent="0.25">
      <c r="B16" s="50" t="s">
        <v>201</v>
      </c>
      <c r="C16" s="51">
        <v>167</v>
      </c>
      <c r="D16" s="52">
        <f t="shared" si="0"/>
        <v>1.903133903133903E-2</v>
      </c>
    </row>
    <row r="17" spans="2:4" x14ac:dyDescent="0.25">
      <c r="B17" s="50" t="s">
        <v>202</v>
      </c>
      <c r="C17" s="51">
        <v>153</v>
      </c>
      <c r="D17" s="52">
        <f t="shared" si="0"/>
        <v>1.7435897435897435E-2</v>
      </c>
    </row>
    <row r="18" spans="2:4" x14ac:dyDescent="0.25">
      <c r="B18" s="50" t="s">
        <v>203</v>
      </c>
      <c r="C18" s="51">
        <v>91</v>
      </c>
      <c r="D18" s="52">
        <f t="shared" si="0"/>
        <v>1.037037037037037E-2</v>
      </c>
    </row>
    <row r="19" spans="2:4" x14ac:dyDescent="0.25">
      <c r="B19" s="50" t="s">
        <v>204</v>
      </c>
      <c r="C19" s="51">
        <v>85</v>
      </c>
      <c r="D19" s="52">
        <f t="shared" si="0"/>
        <v>9.6866096866096863E-3</v>
      </c>
    </row>
    <row r="20" spans="2:4" x14ac:dyDescent="0.25">
      <c r="B20" s="50" t="s">
        <v>205</v>
      </c>
      <c r="C20" s="51">
        <v>59</v>
      </c>
      <c r="D20" s="52">
        <f t="shared" si="0"/>
        <v>6.7236467236467239E-3</v>
      </c>
    </row>
    <row r="21" spans="2:4" x14ac:dyDescent="0.25">
      <c r="B21" s="50" t="s">
        <v>206</v>
      </c>
      <c r="C21" s="51">
        <v>52</v>
      </c>
      <c r="D21" s="52">
        <f t="shared" si="0"/>
        <v>5.9259259259259256E-3</v>
      </c>
    </row>
    <row r="22" spans="2:4" x14ac:dyDescent="0.25">
      <c r="B22" s="50" t="s">
        <v>207</v>
      </c>
      <c r="C22" s="51">
        <v>48</v>
      </c>
      <c r="D22" s="52">
        <f t="shared" si="0"/>
        <v>5.4700854700854701E-3</v>
      </c>
    </row>
    <row r="23" spans="2:4" x14ac:dyDescent="0.25">
      <c r="B23" s="50" t="s">
        <v>208</v>
      </c>
      <c r="C23" s="51">
        <v>44</v>
      </c>
      <c r="D23" s="52">
        <f t="shared" si="0"/>
        <v>5.0142450142450145E-3</v>
      </c>
    </row>
    <row r="24" spans="2:4" x14ac:dyDescent="0.25">
      <c r="B24" s="50" t="s">
        <v>209</v>
      </c>
      <c r="C24" s="51">
        <v>39</v>
      </c>
      <c r="D24" s="52">
        <f t="shared" si="0"/>
        <v>4.4444444444444444E-3</v>
      </c>
    </row>
    <row r="25" spans="2:4" x14ac:dyDescent="0.25">
      <c r="B25" s="50" t="s">
        <v>210</v>
      </c>
      <c r="C25" s="51">
        <v>35</v>
      </c>
      <c r="D25" s="52">
        <f t="shared" si="0"/>
        <v>3.9886039886039889E-3</v>
      </c>
    </row>
    <row r="26" spans="2:4" x14ac:dyDescent="0.25">
      <c r="B26" s="50" t="s">
        <v>211</v>
      </c>
      <c r="C26" s="51">
        <v>31</v>
      </c>
      <c r="D26" s="52">
        <f t="shared" si="0"/>
        <v>3.5327635327635329E-3</v>
      </c>
    </row>
    <row r="27" spans="2:4" x14ac:dyDescent="0.25">
      <c r="B27" s="50" t="s">
        <v>212</v>
      </c>
      <c r="C27" s="51">
        <v>30</v>
      </c>
      <c r="D27" s="52">
        <f t="shared" si="0"/>
        <v>3.4188034188034188E-3</v>
      </c>
    </row>
    <row r="28" spans="2:4" x14ac:dyDescent="0.25">
      <c r="B28" s="50" t="s">
        <v>213</v>
      </c>
      <c r="C28" s="51">
        <v>14</v>
      </c>
      <c r="D28" s="52">
        <f t="shared" si="0"/>
        <v>1.5954415954415955E-3</v>
      </c>
    </row>
    <row r="29" spans="2:4" x14ac:dyDescent="0.25">
      <c r="B29" s="50" t="s">
        <v>214</v>
      </c>
      <c r="C29" s="51">
        <v>4</v>
      </c>
      <c r="D29" s="52">
        <f t="shared" si="0"/>
        <v>4.5584045584045582E-4</v>
      </c>
    </row>
    <row r="30" spans="2:4" x14ac:dyDescent="0.25">
      <c r="B30" s="50" t="s">
        <v>215</v>
      </c>
      <c r="C30" s="51">
        <v>3</v>
      </c>
      <c r="D30" s="52">
        <f t="shared" si="0"/>
        <v>3.4188034188034188E-4</v>
      </c>
    </row>
    <row r="31" spans="2:4" x14ac:dyDescent="0.25">
      <c r="B31" s="50" t="s">
        <v>216</v>
      </c>
      <c r="C31" s="51">
        <v>2</v>
      </c>
      <c r="D31" s="52">
        <f t="shared" si="0"/>
        <v>2.2792022792022791E-4</v>
      </c>
    </row>
    <row r="32" spans="2:4" x14ac:dyDescent="0.25">
      <c r="B32" s="50" t="s">
        <v>217</v>
      </c>
      <c r="C32" s="51">
        <v>1</v>
      </c>
      <c r="D32" s="52">
        <f t="shared" si="0"/>
        <v>1.1396011396011396E-4</v>
      </c>
    </row>
    <row r="33" spans="1:4" x14ac:dyDescent="0.25">
      <c r="B33" s="54" t="s">
        <v>26</v>
      </c>
      <c r="C33" s="55">
        <v>8775</v>
      </c>
      <c r="D33" s="56">
        <f t="shared" si="0"/>
        <v>1</v>
      </c>
    </row>
    <row r="35" spans="1:4" x14ac:dyDescent="0.25">
      <c r="A35" s="58" t="s">
        <v>218</v>
      </c>
    </row>
    <row r="36" spans="1:4" x14ac:dyDescent="0.25">
      <c r="A36" s="58" t="s">
        <v>77</v>
      </c>
    </row>
    <row r="37" spans="1:4" x14ac:dyDescent="0.25">
      <c r="A37" s="58" t="s">
        <v>78</v>
      </c>
    </row>
    <row r="38" spans="1:4" x14ac:dyDescent="0.25">
      <c r="A38" s="58" t="s">
        <v>79</v>
      </c>
    </row>
    <row r="39" spans="1:4" x14ac:dyDescent="0.25">
      <c r="A39" s="58" t="s">
        <v>80</v>
      </c>
    </row>
    <row r="40" spans="1:4" x14ac:dyDescent="0.25">
      <c r="A40" s="58"/>
    </row>
    <row r="41" spans="1:4" x14ac:dyDescent="0.25">
      <c r="A41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California_EdoUsa</vt:lpstr>
      <vt:lpstr>Baja California_Cons_2018</vt:lpstr>
      <vt:lpstr>Baja CaliforniaXCons2018</vt:lpstr>
      <vt:lpstr>Baja California_EdoMun</vt:lpstr>
      <vt:lpstr>Baja California_USAMuni2018</vt:lpstr>
      <vt:lpstr>Baja California_MUNICIPIO</vt:lpstr>
      <vt:lpstr>Baja California_educ_gral</vt:lpstr>
      <vt:lpstr>Baja California_NivelE_Cons</vt:lpstr>
      <vt:lpstr>Baja California_EducCons</vt:lpstr>
      <vt:lpstr>Baja California_GenGral</vt:lpstr>
      <vt:lpstr>Baja California_GENERO</vt:lpstr>
      <vt:lpstr>Baja California_Gen_Edad</vt:lpstr>
      <vt:lpstr>Baja California_ocup_gral</vt:lpstr>
      <vt:lpstr>'Baja California_EducCons'!Área_de_impresión</vt:lpstr>
      <vt:lpstr>'Baja California_MUNICIPIO'!Área_de_impresión</vt:lpstr>
      <vt:lpstr>'Baja California_NivelE_Cons'!Área_de_impresión</vt:lpstr>
      <vt:lpstr>'Baja California_USAMuni2018'!Área_de_impresión</vt:lpstr>
      <vt:lpstr>'Baja California_Cons_2018'!Títulos_a_imprimir</vt:lpstr>
      <vt:lpstr>'Baja California_EdoMun'!Títulos_a_imprimir</vt:lpstr>
      <vt:lpstr>'Baja California_EdoUsa'!Títulos_a_imprimir</vt:lpstr>
      <vt:lpstr>'Baja California_educ_gral'!Títulos_a_imprimir</vt:lpstr>
      <vt:lpstr>'Baja California_EducCons'!Títulos_a_imprimir</vt:lpstr>
      <vt:lpstr>'Baja California_Gen_Edad'!Títulos_a_imprimir</vt:lpstr>
      <vt:lpstr>'Baja California_GENERO'!Títulos_a_imprimir</vt:lpstr>
      <vt:lpstr>'Baja California_GenGral'!Títulos_a_imprimir</vt:lpstr>
      <vt:lpstr>'Baja California_MUNICIPIO'!Títulos_a_imprimir</vt:lpstr>
      <vt:lpstr>'Baja California_NivelE_Cons'!Títulos_a_imprimir</vt:lpstr>
      <vt:lpstr>'Baja California_ocup_gral'!Títulos_a_imprimir</vt:lpstr>
      <vt:lpstr>'Baja California_USAMuni2018'!Títulos_a_imprimir</vt:lpstr>
      <vt:lpstr>'Baja CaliforniaXCons2018'!Títulos_a_imprimir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2019-12-19T18:00:32Z</dcterms:modified>
</cp:coreProperties>
</file>