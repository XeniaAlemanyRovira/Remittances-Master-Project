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 firstSheet="7" activeTab="13"/>
  </bookViews>
  <sheets>
    <sheet name="Índice" sheetId="1" r:id="rId1"/>
    <sheet name="Aguascalientes_EdoUsa" sheetId="2" r:id="rId2"/>
    <sheet name="Aguascalientes_Cons_2018" sheetId="3" r:id="rId3"/>
    <sheet name="AguascalientesXCons2018" sheetId="14" r:id="rId4"/>
    <sheet name="Aguascalientes_EdoMun" sheetId="4" r:id="rId5"/>
    <sheet name="Aguascalientes_USAMuni2018" sheetId="5" r:id="rId6"/>
    <sheet name="Aguascalientes_MUNICIPIO" sheetId="6" r:id="rId7"/>
    <sheet name="Aguascalientes_educ_gral" sheetId="15" r:id="rId8"/>
    <sheet name="Aguascalientes_NivelE_Cons" sheetId="7" r:id="rId9"/>
    <sheet name="Aguascalientes_EducCons" sheetId="8" r:id="rId10"/>
    <sheet name="Aguascalientes_GenGral" sheetId="16" r:id="rId11"/>
    <sheet name="Aguascalientes_GENERO" sheetId="9" r:id="rId12"/>
    <sheet name="Aguascalientes_Gen_Edad" sheetId="11" r:id="rId13"/>
    <sheet name="Aguascalientes_ocup_gral" sheetId="12" r:id="rId14"/>
  </sheets>
  <definedNames>
    <definedName name="_xlnm._FilterDatabase" localSheetId="2" hidden="1">Aguascalientes_Cons_2018!$B$11:$D$12</definedName>
    <definedName name="_xlnm._FilterDatabase" localSheetId="4" hidden="1">Aguascalientes_EdoMun!$B$11:$D$12</definedName>
    <definedName name="_xlnm._FilterDatabase" localSheetId="1" hidden="1">Aguascalientes_EdoUsa!$B$11:$D$58</definedName>
    <definedName name="_xlnm._FilterDatabase" localSheetId="7" hidden="1">Aguascalientes_educ_gral!$B$11:$D$12</definedName>
    <definedName name="_xlnm._FilterDatabase" localSheetId="9" hidden="1">Aguascalientes_EducCons!$B$9:$E$10</definedName>
    <definedName name="_xlnm._FilterDatabase" localSheetId="10" hidden="1">Aguascalientes_GenGral!$B$11:$D$12</definedName>
    <definedName name="_xlnm._FilterDatabase" localSheetId="6" hidden="1">Aguascalientes_MUNICIPIO!$B$9:$E$12</definedName>
    <definedName name="_xlnm._FilterDatabase" localSheetId="8" hidden="1">Aguascalientes_NivelE_Cons!$B$9:$E$9</definedName>
    <definedName name="_xlnm._FilterDatabase" localSheetId="13" hidden="1">Aguascalientes_ocup_gral!$B$11:$D$12</definedName>
    <definedName name="_xlnm._FilterDatabase" localSheetId="5" hidden="1">Aguascalientes_USAMuni2018!$B$9:$E$11</definedName>
    <definedName name="_xlnm._FilterDatabase" localSheetId="3" hidden="1">AguascalientesXCons2018!$B$11:$D$12</definedName>
    <definedName name="_xlnm.Print_Area" localSheetId="9">Aguascalientes_EducCons!$A$1:$E$646</definedName>
    <definedName name="_xlnm.Print_Area" localSheetId="6">Aguascalientes_MUNICIPIO!$A$1:$E$394</definedName>
    <definedName name="_xlnm.Print_Area" localSheetId="8">Aguascalientes_NivelE_Cons!$A$1:$E$522</definedName>
    <definedName name="_xlnm.Print_Area" localSheetId="5">Aguascalientes_USAMuni2018!$A$1:$E$340</definedName>
    <definedName name="_xlnm.Print_Titles" localSheetId="2">Aguascalientes_Cons_2018!$1:$11</definedName>
    <definedName name="_xlnm.Print_Titles" localSheetId="4">Aguascalientes_EdoMun!$1:$11</definedName>
    <definedName name="_xlnm.Print_Titles" localSheetId="1">Aguascalientes_EdoUsa!$1:$11</definedName>
    <definedName name="_xlnm.Print_Titles" localSheetId="7">Aguascalientes_educ_gral!$1:$11</definedName>
    <definedName name="_xlnm.Print_Titles" localSheetId="9">Aguascalientes_EducCons!$1:$9</definedName>
    <definedName name="_xlnm.Print_Titles" localSheetId="12">Aguascalientes_Gen_Edad!$1:$11</definedName>
    <definedName name="_xlnm.Print_Titles" localSheetId="11">Aguascalientes_GENERO!$1:$11</definedName>
    <definedName name="_xlnm.Print_Titles" localSheetId="10">Aguascalientes_GenGral!$1:$11</definedName>
    <definedName name="_xlnm.Print_Titles" localSheetId="6">Aguascalientes_MUNICIPIO!$1:$9</definedName>
    <definedName name="_xlnm.Print_Titles" localSheetId="8">Aguascalientes_NivelE_Cons!$1:$9</definedName>
    <definedName name="_xlnm.Print_Titles" localSheetId="13">Aguascalientes_ocup_gral!$1:$11</definedName>
    <definedName name="_xlnm.Print_Titles" localSheetId="5">Aguascalientes_USAMuni2018!$1:$9</definedName>
    <definedName name="_xlnm.Print_Titles" localSheetId="3">AguascalientesXCons2018!$1:$11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6" i="15" l="1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22" i="14" l="1"/>
  <c r="C22" i="14"/>
  <c r="D21" i="14" s="1"/>
  <c r="D18" i="14"/>
  <c r="D14" i="14"/>
  <c r="D15" i="14" l="1"/>
  <c r="D19" i="14"/>
  <c r="D12" i="14"/>
  <c r="D16" i="14"/>
  <c r="D20" i="14"/>
  <c r="D13" i="14"/>
  <c r="D17" i="14"/>
  <c r="D32" i="12" l="1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F28" i="11" l="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D62" i="3" l="1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</calcChain>
</file>

<file path=xl/sharedStrings.xml><?xml version="1.0" encoding="utf-8"?>
<sst xmlns="http://schemas.openxmlformats.org/spreadsheetml/2006/main" count="2522" uniqueCount="220">
  <si>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</si>
  <si>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</si>
  <si>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</si>
  <si>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</si>
  <si>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</si>
  <si>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</si>
  <si>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</si>
  <si>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</si>
  <si>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</si>
  <si>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</si>
  <si>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Matrículas consulares expedidas a originarios de Aguascalientes en el 2018.</t>
  </si>
  <si>
    <t>2.1 Top ten por circunscripción consular</t>
  </si>
  <si>
    <t>Aguascalientes</t>
  </si>
  <si>
    <t>MATRÍCULAS CONSULARES DE ALTA SEGURIDAD EXPEDIDAS A ORIGINARIOS DE AGUASCALIENTES POR ESTADO DE LA UNIÓN AMERICANA. DURANTE EL 2018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</si>
  <si>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</si>
  <si>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</si>
  <si>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</si>
  <si>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</si>
  <si>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</si>
  <si>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</si>
  <si>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</si>
  <si>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</si>
  <si>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</si>
  <si>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</si>
  <si>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</si>
  <si>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North Carolina</t>
  </si>
  <si>
    <t>Georgia</t>
  </si>
  <si>
    <t>Arkansas</t>
  </si>
  <si>
    <t>Utah</t>
  </si>
  <si>
    <t>Kansas</t>
  </si>
  <si>
    <t>Tennessee</t>
  </si>
  <si>
    <t>New Mexico</t>
  </si>
  <si>
    <t>Washington</t>
  </si>
  <si>
    <t>Kentucky</t>
  </si>
  <si>
    <t>Nebraska</t>
  </si>
  <si>
    <t>Michigan</t>
  </si>
  <si>
    <t>Arizona</t>
  </si>
  <si>
    <t>Iowa</t>
  </si>
  <si>
    <t>Virginia</t>
  </si>
  <si>
    <t>South Carolina</t>
  </si>
  <si>
    <t>Wisconsin</t>
  </si>
  <si>
    <t>Oregon</t>
  </si>
  <si>
    <t>Missouri</t>
  </si>
  <si>
    <t>Ohio</t>
  </si>
  <si>
    <t>Idaho</t>
  </si>
  <si>
    <t>Minnesota</t>
  </si>
  <si>
    <t>Alabama</t>
  </si>
  <si>
    <t>Louisiana</t>
  </si>
  <si>
    <t>Mississippi</t>
  </si>
  <si>
    <t>New York</t>
  </si>
  <si>
    <t>Pennsylvania</t>
  </si>
  <si>
    <t>Connecticut</t>
  </si>
  <si>
    <t>Maryland</t>
  </si>
  <si>
    <t>South Dakota</t>
  </si>
  <si>
    <t>Delaware</t>
  </si>
  <si>
    <t>New Jersey</t>
  </si>
  <si>
    <t>Wyoming</t>
  </si>
  <si>
    <t>Montana</t>
  </si>
  <si>
    <t>Alaska</t>
  </si>
  <si>
    <t>District of Columbia</t>
  </si>
  <si>
    <t>Massachusetts</t>
  </si>
  <si>
    <t>New Hampshire</t>
  </si>
  <si>
    <t>North Dakota</t>
  </si>
  <si>
    <t>Total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</si>
  <si>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</si>
  <si>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</si>
  <si>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</si>
  <si>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</si>
  <si>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</si>
  <si>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MATRÍCULAS CONSULARES DE ALTA SEGURIDAD EXPEDIDAS DURANTE EL 2018 A ORIGINARIOS DE AGUASCALIENTES EN LOS CONSULADOS DE MÉXICO EN EE.UU.</t>
  </si>
  <si>
    <t>Consulado</t>
  </si>
  <si>
    <t>Chicago</t>
  </si>
  <si>
    <t>Little Rock</t>
  </si>
  <si>
    <t>Los Ángeles</t>
  </si>
  <si>
    <t>Dallas</t>
  </si>
  <si>
    <t>Denver</t>
  </si>
  <si>
    <t>Houston</t>
  </si>
  <si>
    <t>San Bernardino</t>
  </si>
  <si>
    <t>Atlanta</t>
  </si>
  <si>
    <t>Raleigh</t>
  </si>
  <si>
    <t>Kansas City</t>
  </si>
  <si>
    <t>Austin</t>
  </si>
  <si>
    <t>Las Vegas</t>
  </si>
  <si>
    <t>Indianápolis</t>
  </si>
  <si>
    <t>Fresno</t>
  </si>
  <si>
    <t>Santa Ana</t>
  </si>
  <si>
    <t>San Antonio</t>
  </si>
  <si>
    <t>Orlando</t>
  </si>
  <si>
    <t>Omaha</t>
  </si>
  <si>
    <t>Sacramento</t>
  </si>
  <si>
    <t>Salt Lake City</t>
  </si>
  <si>
    <t>Oxnard</t>
  </si>
  <si>
    <t>Seattle</t>
  </si>
  <si>
    <t>San José</t>
  </si>
  <si>
    <t>San Francisco</t>
  </si>
  <si>
    <t>Albuquerque</t>
  </si>
  <si>
    <t>Detroit</t>
  </si>
  <si>
    <t>Miami</t>
  </si>
  <si>
    <t>Phoenix</t>
  </si>
  <si>
    <t>Mcallen</t>
  </si>
  <si>
    <t>Milwaukee</t>
  </si>
  <si>
    <t>San Diego</t>
  </si>
  <si>
    <t>Boise</t>
  </si>
  <si>
    <t>El Paso</t>
  </si>
  <si>
    <t>Portland</t>
  </si>
  <si>
    <t>Nueva Orleans</t>
  </si>
  <si>
    <t>Saint Paul</t>
  </si>
  <si>
    <t>Nueva York</t>
  </si>
  <si>
    <t>Filadelfia</t>
  </si>
  <si>
    <t>Laredo</t>
  </si>
  <si>
    <t>Brownsville</t>
  </si>
  <si>
    <t>Presidio</t>
  </si>
  <si>
    <t>Boston</t>
  </si>
  <si>
    <t>Yuma</t>
  </si>
  <si>
    <t>Caléxico</t>
  </si>
  <si>
    <t>Del Río</t>
  </si>
  <si>
    <t>Tucson</t>
  </si>
  <si>
    <t>Douglas</t>
  </si>
  <si>
    <t>Eagle Pass</t>
  </si>
  <si>
    <t>Nogales</t>
  </si>
  <si>
    <t>MATRÍCULAS CONSULARES DE ALTA SEGURIDAD EXPEDIDAS POR MUNICIPIO A ORIGINARIOS DEL ESTADO DE AGUASCALIENTES EN LOS CONSULADOS DE MÉXICO EN EE.UU. 2018</t>
  </si>
  <si>
    <t>Municipio de origen</t>
  </si>
  <si>
    <t>Calvillo</t>
  </si>
  <si>
    <t>Rincón de Romos</t>
  </si>
  <si>
    <t>Pabellón de Arteaga</t>
  </si>
  <si>
    <t>Jesús María</t>
  </si>
  <si>
    <t>Asientos</t>
  </si>
  <si>
    <t>Tepezalá</t>
  </si>
  <si>
    <t>San José de Gracia</t>
  </si>
  <si>
    <t>Cosío</t>
  </si>
  <si>
    <t>El Llano</t>
  </si>
  <si>
    <t>San Francisco de los Romo</t>
  </si>
  <si>
    <t>Estado</t>
  </si>
  <si>
    <t>Municipio de Origen</t>
  </si>
  <si>
    <t>West Virginia</t>
  </si>
  <si>
    <t>Nivel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</si>
  <si>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</si>
  <si>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</si>
  <si>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</si>
  <si>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</si>
  <si>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</si>
  <si>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</si>
  <si>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</si>
  <si>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</si>
  <si>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</si>
  <si>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</si>
  <si>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</si>
  <si>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</si>
  <si>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</si>
  <si>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</si>
  <si>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</si>
  <si>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</si>
  <si>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</si>
  <si>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</si>
  <si>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</si>
  <si>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</si>
  <si>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</si>
  <si>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</si>
  <si>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</si>
  <si>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</si>
  <si>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Nivel de Estudios</t>
  </si>
  <si>
    <t>Calexico</t>
  </si>
  <si>
    <t>Menores de edad</t>
  </si>
  <si>
    <t>Del Rio</t>
  </si>
  <si>
    <t>Indianapolis</t>
  </si>
  <si>
    <t>Los Angeles</t>
  </si>
  <si>
    <t>Mc Allen</t>
  </si>
  <si>
    <t>San Jose</t>
  </si>
  <si>
    <t>MATRÍCULAS CONSULARES EXPEDIDAS A ORIGINARIOS DE AGUASCALIENTES POR GÉNERO Y CONSULADO DE MÉXICO 2018.</t>
  </si>
  <si>
    <t>Género</t>
  </si>
  <si>
    <t>Hombre</t>
  </si>
  <si>
    <t>Mujer</t>
  </si>
  <si>
    <t>TOTAL</t>
  </si>
  <si>
    <t>MATRÍCULAS CONSULARES EXPEDIDAS A ORIGINARIOS DE AGUASCALIENTES POR GÉNERO Y EDAD EN EE.UU.</t>
  </si>
  <si>
    <t>Edad Cumplida</t>
  </si>
  <si>
    <t>Porcentaje con respecto al Género</t>
  </si>
  <si>
    <t>Porcentaje con respecto al total de Matrículas</t>
  </si>
  <si>
    <t>Hasta 10 Años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</si>
  <si>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</si>
  <si>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</si>
  <si>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</si>
  <si>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</si>
  <si>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</si>
  <si>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</si>
  <si>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</si>
  <si>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MATRÍCULAS CONSULARES EXPEDIDAS EN EE.UU. A ORIGINARIOS DE AGUASCALIENTES POR PERFIL OCUPACIONAL, 2018.</t>
  </si>
  <si>
    <t>Ocupación</t>
  </si>
  <si>
    <t>Empleado(a)</t>
  </si>
  <si>
    <t>Hogar</t>
  </si>
  <si>
    <t>Obrero(a)</t>
  </si>
  <si>
    <t>Estudiante</t>
  </si>
  <si>
    <t>Cocinero(a)</t>
  </si>
  <si>
    <t>Otro</t>
  </si>
  <si>
    <t>Albañil</t>
  </si>
  <si>
    <t>Jardinero(a)</t>
  </si>
  <si>
    <t>Pintor(a)</t>
  </si>
  <si>
    <t>Campesino(a)</t>
  </si>
  <si>
    <t>Mesero(a)</t>
  </si>
  <si>
    <t>Comerciante</t>
  </si>
  <si>
    <t>Profesionista</t>
  </si>
  <si>
    <t>Operario(a)</t>
  </si>
  <si>
    <t>Chofer</t>
  </si>
  <si>
    <t>Jubilado(a)</t>
  </si>
  <si>
    <t>Cajero(a)</t>
  </si>
  <si>
    <t>Panadero(a)</t>
  </si>
  <si>
    <t>Carnicero</t>
  </si>
  <si>
    <t>Misionero(a)</t>
  </si>
  <si>
    <t>Tamaño de la muestra: 826,856</t>
  </si>
  <si>
    <t>4.1 Educación general</t>
  </si>
  <si>
    <t>4.2 Por Estado de USA</t>
  </si>
  <si>
    <t>4.3 Por Circunscripción Consular</t>
  </si>
  <si>
    <t>MATRÍCULAS CONSULARES EXPEDIDAS EN EE.UU. A ORIGINARIOS DE AGUASCALIENTES POR NIVEL DE EDUCACIÓN, 2016.</t>
  </si>
  <si>
    <t>Número de matrículas</t>
  </si>
  <si>
    <t>Tamaño de la muestra: 814,748</t>
  </si>
  <si>
    <t>5.1 Género General</t>
  </si>
  <si>
    <t>MATRÍCULAS CONSULARES EXPEDIDAS A ORIGINARIOS DE AGUASCALIENTES POR GÉNERO EN EE.UU DURANTE EL 2016.</t>
  </si>
  <si>
    <t>HOMBRE</t>
  </si>
  <si>
    <t>MUJER</t>
  </si>
  <si>
    <t>5.2 Por Circunscripción Consular</t>
  </si>
  <si>
    <t xml:space="preserve">Da clic al texto para ir a la información, selecciona                 para regresar.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</si>
</sst>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indexed="9"/>
      <name val="Montserrat"/>
    </font>
    <font>
      <sz val="11"/>
      <name val="Calibri"/>
      <family val="2"/>
      <scheme val="minor"/>
    </font>
    <font>
      <sz val="9"/>
      <name val="Montserrat"/>
    </font>
    <font>
      <sz val="11"/>
      <name val="Soberana Sans"/>
      <family val="3"/>
    </font>
    <font>
      <sz val="10"/>
      <name val="Montserrat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.5"/>
      <color theme="1"/>
      <name val="Montserrat"/>
    </font>
    <font>
      <sz val="8"/>
      <color indexed="8"/>
      <name val="Soberana Sans"/>
      <family val="3"/>
    </font>
    <font>
      <u/>
      <sz val="11"/>
      <color theme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/>
    <xf numFmtId="0" fontId="21" fillId="0" borderId="0" applyNumberFormat="0" applyFill="0" applyBorder="0" applyAlignment="0" applyProtection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5" fillId="0" borderId="0" xfId="0" applyFont="1"/>
    <xf numFmtId="1" fontId="5" fillId="0" borderId="0" xfId="0" applyNumberFormat="1" applyFont="1"/>
    <xf numFmtId="3" fontId="5" fillId="0" borderId="0" xfId="0" applyNumberFormat="1" applyFont="1"/>
    <xf numFmtId="0" fontId="7" fillId="0" borderId="0" xfId="0" applyFont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9" fillId="3" borderId="11" xfId="0" applyNumberFormat="1" applyFont="1" applyFill="1" applyBorder="1" applyAlignment="1">
      <alignment vertical="center" wrapText="1"/>
    </xf>
    <xf numFmtId="3" fontId="10" fillId="3" borderId="11" xfId="0" applyNumberFormat="1" applyFont="1" applyFill="1" applyBorder="1" applyAlignment="1">
      <alignment horizontal="right" vertical="center" wrapText="1"/>
    </xf>
    <xf numFmtId="164" fontId="10" fillId="3" borderId="11" xfId="0" applyNumberFormat="1" applyFont="1" applyFill="1" applyBorder="1" applyAlignment="1">
      <alignment horizontal="right" vertical="center" wrapText="1"/>
    </xf>
    <xf numFmtId="0" fontId="11" fillId="3" borderId="0" xfId="0" applyFont="1" applyFill="1"/>
    <xf numFmtId="49" fontId="8" fillId="4" borderId="11" xfId="0" applyNumberFormat="1" applyFont="1" applyFill="1" applyBorder="1" applyAlignment="1">
      <alignment vertical="center" wrapText="1"/>
    </xf>
    <xf numFmtId="3" fontId="8" fillId="4" borderId="11" xfId="0" applyNumberFormat="1" applyFont="1" applyFill="1" applyBorder="1" applyAlignment="1">
      <alignment horizontal="right" vertical="center" wrapText="1"/>
    </xf>
    <xf numFmtId="164" fontId="8" fillId="4" borderId="11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2" fillId="3" borderId="0" xfId="0" applyFont="1" applyFill="1" applyAlignment="1">
      <alignment vertical="top"/>
    </xf>
    <xf numFmtId="0" fontId="5" fillId="3" borderId="0" xfId="0" applyFont="1" applyFill="1" applyBorder="1"/>
    <xf numFmtId="0" fontId="13" fillId="3" borderId="0" xfId="0" applyFont="1" applyFill="1" applyBorder="1" applyAlignment="1">
      <alignment vertical="center"/>
    </xf>
    <xf numFmtId="0" fontId="13" fillId="3" borderId="0" xfId="0" applyFont="1" applyFill="1" applyBorder="1"/>
    <xf numFmtId="1" fontId="5" fillId="3" borderId="0" xfId="0" applyNumberFormat="1" applyFont="1" applyFill="1" applyBorder="1"/>
    <xf numFmtId="3" fontId="5" fillId="3" borderId="0" xfId="0" applyNumberFormat="1" applyFont="1" applyFill="1" applyBorder="1"/>
    <xf numFmtId="0" fontId="5" fillId="3" borderId="0" xfId="0" applyFont="1" applyFill="1"/>
    <xf numFmtId="0" fontId="13" fillId="3" borderId="0" xfId="0" applyFont="1" applyFill="1" applyAlignment="1">
      <alignment vertical="center"/>
    </xf>
    <xf numFmtId="0" fontId="13" fillId="3" borderId="0" xfId="0" applyFont="1" applyFill="1"/>
    <xf numFmtId="0" fontId="14" fillId="3" borderId="0" xfId="0" applyFont="1" applyFill="1" applyAlignment="1"/>
    <xf numFmtId="0" fontId="15" fillId="2" borderId="10" xfId="2" applyFont="1" applyFill="1" applyBorder="1" applyAlignment="1">
      <alignment horizontal="center" vertical="center" wrapText="1"/>
    </xf>
    <xf numFmtId="0" fontId="8" fillId="2" borderId="10" xfId="2" applyFont="1" applyFill="1" applyBorder="1" applyAlignment="1">
      <alignment horizontal="center" vertical="center" wrapText="1"/>
    </xf>
    <xf numFmtId="1" fontId="15" fillId="2" borderId="10" xfId="2" applyNumberFormat="1" applyFont="1" applyFill="1" applyBorder="1" applyAlignment="1">
      <alignment horizontal="center" vertical="center" wrapText="1"/>
    </xf>
    <xf numFmtId="0" fontId="16" fillId="3" borderId="0" xfId="0" applyFont="1" applyFill="1"/>
    <xf numFmtId="49" fontId="17" fillId="3" borderId="11" xfId="1" applyNumberFormat="1" applyFont="1" applyFill="1" applyBorder="1" applyAlignment="1">
      <alignment vertical="top" wrapText="1"/>
    </xf>
    <xf numFmtId="165" fontId="17" fillId="3" borderId="11" xfId="1" applyNumberFormat="1" applyFont="1" applyFill="1" applyBorder="1" applyAlignment="1">
      <alignment horizontal="right" vertical="top" wrapText="1"/>
    </xf>
    <xf numFmtId="164" fontId="17" fillId="3" borderId="11" xfId="1" applyNumberFormat="1" applyFont="1" applyFill="1" applyBorder="1" applyAlignment="1">
      <alignment horizontal="right" vertical="top" wrapText="1"/>
    </xf>
    <xf numFmtId="49" fontId="8" fillId="5" borderId="11" xfId="1" applyNumberFormat="1" applyFont="1" applyFill="1" applyBorder="1" applyAlignment="1">
      <alignment vertical="top" wrapText="1"/>
    </xf>
    <xf numFmtId="165" fontId="8" fillId="5" borderId="11" xfId="1" applyNumberFormat="1" applyFont="1" applyFill="1" applyBorder="1" applyAlignment="1">
      <alignment horizontal="right" vertical="top" wrapText="1"/>
    </xf>
    <xf numFmtId="164" fontId="8" fillId="5" borderId="11" xfId="1" applyNumberFormat="1" applyFont="1" applyFill="1" applyBorder="1" applyAlignment="1">
      <alignment horizontal="right" vertical="top" wrapText="1"/>
    </xf>
    <xf numFmtId="3" fontId="8" fillId="6" borderId="11" xfId="0" applyNumberFormat="1" applyFont="1" applyFill="1" applyBorder="1" applyAlignment="1">
      <alignment horizontal="right" wrapText="1"/>
    </xf>
    <xf numFmtId="164" fontId="8" fillId="6" borderId="11" xfId="0" applyNumberFormat="1" applyFont="1" applyFill="1" applyBorder="1" applyAlignment="1">
      <alignment horizontal="right" wrapText="1"/>
    </xf>
    <xf numFmtId="0" fontId="18" fillId="3" borderId="0" xfId="0" applyFont="1" applyFill="1"/>
    <xf numFmtId="0" fontId="0" fillId="3" borderId="0" xfId="0" applyFill="1"/>
    <xf numFmtId="0" fontId="5" fillId="3" borderId="0" xfId="0" applyFont="1" applyFill="1" applyBorder="1" applyAlignment="1">
      <alignment vertical="center"/>
    </xf>
    <xf numFmtId="0" fontId="5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5" fillId="2" borderId="11" xfId="2" applyFont="1" applyFill="1" applyBorder="1" applyAlignment="1">
      <alignment horizontal="center" vertical="center" wrapText="1"/>
    </xf>
    <xf numFmtId="49" fontId="9" fillId="3" borderId="11" xfId="0" applyNumberFormat="1" applyFont="1" applyFill="1" applyBorder="1" applyAlignment="1">
      <alignment horizontal="left" vertical="center" wrapText="1"/>
    </xf>
    <xf numFmtId="49" fontId="8" fillId="7" borderId="15" xfId="0" applyNumberFormat="1" applyFont="1" applyFill="1" applyBorder="1" applyAlignment="1">
      <alignment vertical="center" wrapText="1"/>
    </xf>
    <xf numFmtId="3" fontId="8" fillId="7" borderId="11" xfId="0" applyNumberFormat="1" applyFont="1" applyFill="1" applyBorder="1" applyAlignment="1">
      <alignment horizontal="right" vertical="center" wrapText="1"/>
    </xf>
    <xf numFmtId="164" fontId="8" fillId="7" borderId="11" xfId="0" applyNumberFormat="1" applyFont="1" applyFill="1" applyBorder="1" applyAlignment="1">
      <alignment horizontal="right" vertical="center" wrapText="1"/>
    </xf>
    <xf numFmtId="3" fontId="8" fillId="6" borderId="11" xfId="0" applyNumberFormat="1" applyFont="1" applyFill="1" applyBorder="1" applyAlignment="1">
      <alignment horizontal="right" vertical="center" wrapText="1"/>
    </xf>
    <xf numFmtId="164" fontId="8" fillId="6" borderId="11" xfId="0" applyNumberFormat="1" applyFont="1" applyFill="1" applyBorder="1" applyAlignment="1">
      <alignment horizontal="right" vertical="center" wrapText="1"/>
    </xf>
    <xf numFmtId="3" fontId="5" fillId="3" borderId="0" xfId="0" applyNumberFormat="1" applyFont="1" applyFill="1"/>
    <xf numFmtId="164" fontId="10" fillId="8" borderId="11" xfId="0" applyNumberFormat="1" applyFont="1" applyFill="1" applyBorder="1" applyAlignment="1">
      <alignment horizontal="right" vertical="center" wrapText="1"/>
    </xf>
    <xf numFmtId="164" fontId="10" fillId="9" borderId="11" xfId="0" applyNumberFormat="1" applyFont="1" applyFill="1" applyBorder="1" applyAlignment="1">
      <alignment horizontal="right" vertical="center" wrapText="1"/>
    </xf>
    <xf numFmtId="49" fontId="8" fillId="6" borderId="11" xfId="0" applyNumberFormat="1" applyFont="1" applyFill="1" applyBorder="1" applyAlignment="1">
      <alignment vertical="center" wrapText="1"/>
    </xf>
    <xf numFmtId="0" fontId="20" fillId="3" borderId="0" xfId="0" applyFont="1" applyFill="1"/>
    <xf numFmtId="3" fontId="11" fillId="3" borderId="0" xfId="0" applyNumberFormat="1" applyFont="1" applyFill="1"/>
    <xf numFmtId="0" fontId="23" fillId="0" borderId="0" xfId="0" applyFont="1" applyAlignment="1">
      <alignment horizontal="justify" vertical="center"/>
    </xf>
    <xf numFmtId="0" fontId="23" fillId="0" borderId="0" xfId="0" applyFont="1" applyAlignment="1">
      <alignment vertical="top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4" fillId="0" borderId="0" xfId="3" applyFont="1" applyBorder="1" applyAlignment="1">
      <alignment horizontal="left"/>
    </xf>
    <xf numFmtId="0" fontId="24" fillId="0" borderId="2" xfId="3" applyFont="1" applyBorder="1" applyAlignment="1">
      <alignment horizontal="left"/>
    </xf>
    <xf numFmtId="0" fontId="24" fillId="0" borderId="1" xfId="3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0" borderId="0" xfId="0" applyFont="1" applyBorder="1" applyAlignment="1">
      <alignment horizontal="center" vertic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2" xfId="1" applyNumberFormat="1" applyFont="1" applyFill="1" applyBorder="1" applyAlignment="1">
      <alignment horizontal="center" vertical="center" wrapText="1"/>
    </xf>
    <xf numFmtId="49" fontId="17" fillId="3" borderId="13" xfId="1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4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2" xfId="0" applyNumberFormat="1" applyFont="1" applyFill="1" applyBorder="1" applyAlignment="1">
      <alignment horizontal="center" vertical="center" wrapText="1"/>
    </xf>
    <xf numFmtId="49" fontId="9" fillId="3" borderId="13" xfId="0" applyNumberFormat="1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distributed"/>
    </xf>
    <xf numFmtId="0" fontId="19" fillId="3" borderId="16" xfId="0" applyFont="1" applyFill="1" applyBorder="1" applyAlignment="1">
      <alignment horizontal="center" vertical="distributed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85726</xdr:colOff>
      <xdr:row>2</xdr:row>
      <xdr:rowOff>171450</xdr:rowOff>
    </xdr:from>
    <xdr:to>
      <xdr:col>7</xdr:col>
      <xdr:colOff>85726</xdr:colOff>
      <xdr:row>4</xdr:row>
      <xdr:rowOff>19050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514976" y="55245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85725</xdr:rowOff>
    </xdr:from>
    <xdr:to>
      <xdr:col>7</xdr:col>
      <xdr:colOff>0</xdr:colOff>
      <xdr:row>4</xdr:row>
      <xdr:rowOff>123825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429250" y="65722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142875</xdr:rowOff>
    </xdr:from>
    <xdr:to>
      <xdr:col>7</xdr:col>
      <xdr:colOff>66675</xdr:colOff>
      <xdr:row>3</xdr:row>
      <xdr:rowOff>371475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495925" y="5238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38100</xdr:colOff>
      <xdr:row>3</xdr:row>
      <xdr:rowOff>0</xdr:rowOff>
    </xdr:from>
    <xdr:to>
      <xdr:col>7</xdr:col>
      <xdr:colOff>38100</xdr:colOff>
      <xdr:row>4</xdr:row>
      <xdr:rowOff>38100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467350" y="5715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AGUASCALIENTES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157655</xdr:colOff>
      <xdr:row>3</xdr:row>
      <xdr:rowOff>26276</xdr:rowOff>
    </xdr:from>
    <xdr:to>
      <xdr:col>5</xdr:col>
      <xdr:colOff>919655</xdr:colOff>
      <xdr:row>4</xdr:row>
      <xdr:rowOff>64376</xdr:rowOff>
    </xdr:to>
    <xdr:sp macro="" textlink="">
      <xdr:nvSpPr>
        <xdr:cNvPr id="7" name="Rectángulo redondeado 6">
          <a:hlinkClick xmlns:r="http://schemas.openxmlformats.org/officeDocument/2006/relationships" r:id="rId3"/>
        </xdr:cNvPr>
        <xdr:cNvSpPr/>
      </xdr:nvSpPr>
      <xdr:spPr>
        <a:xfrm>
          <a:off x="5918638" y="558362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AGUASCALIENTES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85396</xdr:colOff>
      <xdr:row>2</xdr:row>
      <xdr:rowOff>144517</xdr:rowOff>
    </xdr:from>
    <xdr:to>
      <xdr:col>5</xdr:col>
      <xdr:colOff>847396</xdr:colOff>
      <xdr:row>3</xdr:row>
      <xdr:rowOff>373117</xdr:rowOff>
    </xdr:to>
    <xdr:sp macro="" textlink="">
      <xdr:nvSpPr>
        <xdr:cNvPr id="7" name="Rectángulo redondeado 6">
          <a:hlinkClick xmlns:r="http://schemas.openxmlformats.org/officeDocument/2006/relationships" r:id="rId3"/>
        </xdr:cNvPr>
        <xdr:cNvSpPr/>
      </xdr:nvSpPr>
      <xdr:spPr>
        <a:xfrm>
          <a:off x="5846379" y="486103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180975</xdr:rowOff>
    </xdr:from>
    <xdr:to>
      <xdr:col>7</xdr:col>
      <xdr:colOff>57150</xdr:colOff>
      <xdr:row>4</xdr:row>
      <xdr:rowOff>28575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486400" y="5619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AGUASCALIENTES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65690</xdr:colOff>
      <xdr:row>2</xdr:row>
      <xdr:rowOff>177362</xdr:rowOff>
    </xdr:from>
    <xdr:to>
      <xdr:col>5</xdr:col>
      <xdr:colOff>827690</xdr:colOff>
      <xdr:row>4</xdr:row>
      <xdr:rowOff>24962</xdr:rowOff>
    </xdr:to>
    <xdr:sp macro="" textlink="">
      <xdr:nvSpPr>
        <xdr:cNvPr id="7" name="Rectángulo redondeado 6">
          <a:hlinkClick xmlns:r="http://schemas.openxmlformats.org/officeDocument/2006/relationships" r:id="rId3"/>
        </xdr:cNvPr>
        <xdr:cNvSpPr/>
      </xdr:nvSpPr>
      <xdr:spPr>
        <a:xfrm>
          <a:off x="5826673" y="518948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AGUASCALIENTES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1243852</xdr:colOff>
      <xdr:row>2</xdr:row>
      <xdr:rowOff>179295</xdr:rowOff>
    </xdr:from>
    <xdr:to>
      <xdr:col>4</xdr:col>
      <xdr:colOff>2005852</xdr:colOff>
      <xdr:row>4</xdr:row>
      <xdr:rowOff>26895</xdr:rowOff>
    </xdr:to>
    <xdr:sp macro="" textlink="">
      <xdr:nvSpPr>
        <xdr:cNvPr id="8" name="Rectángulo redondeado 7">
          <a:hlinkClick xmlns:r="http://schemas.openxmlformats.org/officeDocument/2006/relationships" r:id="rId3"/>
        </xdr:cNvPr>
        <xdr:cNvSpPr/>
      </xdr:nvSpPr>
      <xdr:spPr>
        <a:xfrm>
          <a:off x="5883087" y="526677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95250</xdr:colOff>
      <xdr:row>2</xdr:row>
      <xdr:rowOff>152400</xdr:rowOff>
    </xdr:from>
    <xdr:to>
      <xdr:col>7</xdr:col>
      <xdr:colOff>95250</xdr:colOff>
      <xdr:row>4</xdr:row>
      <xdr:rowOff>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524500" y="5334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219075</xdr:colOff>
      <xdr:row>3</xdr:row>
      <xdr:rowOff>85725</xdr:rowOff>
    </xdr:from>
    <xdr:to>
      <xdr:col>6</xdr:col>
      <xdr:colOff>600075</xdr:colOff>
      <xdr:row>4</xdr:row>
      <xdr:rowOff>123825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429250" y="6096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209550</xdr:colOff>
      <xdr:row>3</xdr:row>
      <xdr:rowOff>0</xdr:rowOff>
    </xdr:from>
    <xdr:to>
      <xdr:col>7</xdr:col>
      <xdr:colOff>590550</xdr:colOff>
      <xdr:row>4</xdr:row>
      <xdr:rowOff>38100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391275" y="5238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171450</xdr:rowOff>
    </xdr:from>
    <xdr:to>
      <xdr:col>7</xdr:col>
      <xdr:colOff>57150</xdr:colOff>
      <xdr:row>4</xdr:row>
      <xdr:rowOff>19050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486400" y="55245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10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219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75"/>
      <c r="B5" s="76"/>
      <c r="C5" s="76"/>
      <c r="D5" s="77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11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208</v>
      </c>
      <c r="C17" s="78"/>
      <c r="D17" s="79"/>
    </row>
    <row r="18" spans="1:4" x14ac:dyDescent="0.35">
      <c r="A18" s="8"/>
      <c r="B18" s="78" t="s">
        <v>209</v>
      </c>
      <c r="C18" s="78"/>
      <c r="D18" s="79"/>
    </row>
    <row r="19" spans="1:4" x14ac:dyDescent="0.35">
      <c r="A19" s="8"/>
      <c r="B19" s="78" t="s">
        <v>210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214</v>
      </c>
      <c r="C22" s="78"/>
      <c r="D22" s="79"/>
    </row>
    <row r="23" spans="1:4" x14ac:dyDescent="0.35">
      <c r="A23" s="8"/>
      <c r="B23" s="78" t="s">
        <v>218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Aguascalientes_USAMuni2018!A1" display="3.2 Por Estado de US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12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13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14</v>
      </c>
      <c r="C11" s="19" t="s">
        <v>15</v>
      </c>
      <c r="D11" s="20" t="s">
        <v>16</v>
      </c>
    </row>
    <row r="12" spans="1:4" x14ac:dyDescent="0.25">
      <c r="B12" s="22" t="s">
        <v>17</v>
      </c>
      <c r="C12" s="23">
        <v>1664</v>
      </c>
      <c r="D12" s="24">
        <v>0.22608695652173913</v>
      </c>
    </row>
    <row r="13" spans="1:4" s="25" customFormat="1" ht="15.75" x14ac:dyDescent="0.25">
      <c r="A13" s="21"/>
      <c r="B13" s="22" t="s">
        <v>18</v>
      </c>
      <c r="C13" s="23">
        <v>1394</v>
      </c>
      <c r="D13" s="24">
        <v>0.18940217391304348</v>
      </c>
    </row>
    <row r="14" spans="1:4" s="25" customFormat="1" ht="15.75" x14ac:dyDescent="0.25">
      <c r="A14" s="21"/>
      <c r="B14" s="22" t="s">
        <v>19</v>
      </c>
      <c r="C14" s="23">
        <v>894</v>
      </c>
      <c r="D14" s="24">
        <v>0.12146739130434783</v>
      </c>
    </row>
    <row r="15" spans="1:4" x14ac:dyDescent="0.25">
      <c r="B15" s="22" t="s">
        <v>20</v>
      </c>
      <c r="C15" s="23">
        <v>621</v>
      </c>
      <c r="D15" s="24">
        <v>8.4375000000000006E-2</v>
      </c>
    </row>
    <row r="16" spans="1:4" x14ac:dyDescent="0.25">
      <c r="B16" s="22" t="s">
        <v>21</v>
      </c>
      <c r="C16" s="23">
        <v>524</v>
      </c>
      <c r="D16" s="24">
        <v>7.1195652173913049E-2</v>
      </c>
    </row>
    <row r="17" spans="2:4" x14ac:dyDescent="0.25">
      <c r="B17" s="22" t="s">
        <v>22</v>
      </c>
      <c r="C17" s="23">
        <v>427</v>
      </c>
      <c r="D17" s="24">
        <v>5.8016304347826085E-2</v>
      </c>
    </row>
    <row r="18" spans="2:4" x14ac:dyDescent="0.25">
      <c r="B18" s="22" t="s">
        <v>23</v>
      </c>
      <c r="C18" s="23">
        <v>175</v>
      </c>
      <c r="D18" s="24">
        <v>2.377717391304348E-2</v>
      </c>
    </row>
    <row r="19" spans="2:4" x14ac:dyDescent="0.25">
      <c r="B19" s="22" t="s">
        <v>24</v>
      </c>
      <c r="C19" s="23">
        <v>151</v>
      </c>
      <c r="D19" s="24">
        <v>2.0516304347826086E-2</v>
      </c>
    </row>
    <row r="20" spans="2:4" x14ac:dyDescent="0.25">
      <c r="B20" s="22" t="s">
        <v>25</v>
      </c>
      <c r="C20" s="23">
        <v>142</v>
      </c>
      <c r="D20" s="24">
        <v>1.9293478260869565E-2</v>
      </c>
    </row>
    <row r="21" spans="2:4" x14ac:dyDescent="0.25">
      <c r="B21" s="22" t="s">
        <v>26</v>
      </c>
      <c r="C21" s="23">
        <v>123</v>
      </c>
      <c r="D21" s="24">
        <v>1.6711956521739131E-2</v>
      </c>
    </row>
    <row r="22" spans="2:4" x14ac:dyDescent="0.25">
      <c r="B22" s="22" t="s">
        <v>27</v>
      </c>
      <c r="C22" s="23">
        <v>103</v>
      </c>
      <c r="D22" s="24">
        <v>1.3994565217391305E-2</v>
      </c>
    </row>
    <row r="23" spans="2:4" x14ac:dyDescent="0.25">
      <c r="B23" s="22" t="s">
        <v>28</v>
      </c>
      <c r="C23" s="23">
        <v>95</v>
      </c>
      <c r="D23" s="24">
        <v>1.2907608695652174E-2</v>
      </c>
    </row>
    <row r="24" spans="2:4" x14ac:dyDescent="0.25">
      <c r="B24" s="22" t="s">
        <v>29</v>
      </c>
      <c r="C24" s="23">
        <v>94</v>
      </c>
      <c r="D24" s="24">
        <v>1.2771739130434783E-2</v>
      </c>
    </row>
    <row r="25" spans="2:4" x14ac:dyDescent="0.25">
      <c r="B25" s="22" t="s">
        <v>30</v>
      </c>
      <c r="C25" s="23">
        <v>92</v>
      </c>
      <c r="D25" s="24">
        <v>1.2500000000000001E-2</v>
      </c>
    </row>
    <row r="26" spans="2:4" x14ac:dyDescent="0.25">
      <c r="B26" s="22" t="s">
        <v>31</v>
      </c>
      <c r="C26" s="23">
        <v>88</v>
      </c>
      <c r="D26" s="24">
        <v>1.1956521739130435E-2</v>
      </c>
    </row>
    <row r="27" spans="2:4" x14ac:dyDescent="0.25">
      <c r="B27" s="22" t="s">
        <v>32</v>
      </c>
      <c r="C27" s="23">
        <v>86</v>
      </c>
      <c r="D27" s="24">
        <v>1.1684782608695652E-2</v>
      </c>
    </row>
    <row r="28" spans="2:4" x14ac:dyDescent="0.25">
      <c r="B28" s="22" t="s">
        <v>33</v>
      </c>
      <c r="C28" s="23">
        <v>75</v>
      </c>
      <c r="D28" s="24">
        <v>1.0190217391304348E-2</v>
      </c>
    </row>
    <row r="29" spans="2:4" x14ac:dyDescent="0.25">
      <c r="B29" s="22" t="s">
        <v>34</v>
      </c>
      <c r="C29" s="23">
        <v>64</v>
      </c>
      <c r="D29" s="24">
        <v>8.6956521739130436E-3</v>
      </c>
    </row>
    <row r="30" spans="2:4" x14ac:dyDescent="0.25">
      <c r="B30" s="22" t="s">
        <v>35</v>
      </c>
      <c r="C30" s="23">
        <v>61</v>
      </c>
      <c r="D30" s="24">
        <v>8.2880434782608703E-3</v>
      </c>
    </row>
    <row r="31" spans="2:4" x14ac:dyDescent="0.25">
      <c r="B31" s="22" t="s">
        <v>36</v>
      </c>
      <c r="C31" s="23">
        <v>49</v>
      </c>
      <c r="D31" s="24">
        <v>6.6576086956521736E-3</v>
      </c>
    </row>
    <row r="32" spans="2:4" x14ac:dyDescent="0.25">
      <c r="B32" s="22" t="s">
        <v>37</v>
      </c>
      <c r="C32" s="23">
        <v>47</v>
      </c>
      <c r="D32" s="24">
        <v>6.3858695652173917E-3</v>
      </c>
    </row>
    <row r="33" spans="2:4" x14ac:dyDescent="0.25">
      <c r="B33" s="22" t="s">
        <v>38</v>
      </c>
      <c r="C33" s="23">
        <v>44</v>
      </c>
      <c r="D33" s="24">
        <v>5.9782608695652176E-3</v>
      </c>
    </row>
    <row r="34" spans="2:4" x14ac:dyDescent="0.25">
      <c r="B34" s="22" t="s">
        <v>39</v>
      </c>
      <c r="C34" s="23">
        <v>40</v>
      </c>
      <c r="D34" s="24">
        <v>5.434782608695652E-3</v>
      </c>
    </row>
    <row r="35" spans="2:4" x14ac:dyDescent="0.25">
      <c r="B35" s="22" t="s">
        <v>40</v>
      </c>
      <c r="C35" s="23">
        <v>40</v>
      </c>
      <c r="D35" s="24">
        <v>5.434782608695652E-3</v>
      </c>
    </row>
    <row r="36" spans="2:4" x14ac:dyDescent="0.25">
      <c r="B36" s="22" t="s">
        <v>41</v>
      </c>
      <c r="C36" s="23">
        <v>34</v>
      </c>
      <c r="D36" s="24">
        <v>4.6195652173913046E-3</v>
      </c>
    </row>
    <row r="37" spans="2:4" x14ac:dyDescent="0.25">
      <c r="B37" s="22" t="s">
        <v>42</v>
      </c>
      <c r="C37" s="23">
        <v>32</v>
      </c>
      <c r="D37" s="24">
        <v>4.3478260869565218E-3</v>
      </c>
    </row>
    <row r="38" spans="2:4" x14ac:dyDescent="0.25">
      <c r="B38" s="22" t="s">
        <v>43</v>
      </c>
      <c r="C38" s="23">
        <v>29</v>
      </c>
      <c r="D38" s="24">
        <v>3.9402173913043476E-3</v>
      </c>
    </row>
    <row r="39" spans="2:4" x14ac:dyDescent="0.25">
      <c r="B39" s="22" t="s">
        <v>44</v>
      </c>
      <c r="C39" s="23">
        <v>28</v>
      </c>
      <c r="D39" s="24">
        <v>3.8043478260869567E-3</v>
      </c>
    </row>
    <row r="40" spans="2:4" x14ac:dyDescent="0.25">
      <c r="B40" s="22" t="s">
        <v>45</v>
      </c>
      <c r="C40" s="23">
        <v>23</v>
      </c>
      <c r="D40" s="24">
        <v>3.1250000000000002E-3</v>
      </c>
    </row>
    <row r="41" spans="2:4" x14ac:dyDescent="0.25">
      <c r="B41" s="22" t="s">
        <v>46</v>
      </c>
      <c r="C41" s="23">
        <v>21</v>
      </c>
      <c r="D41" s="24">
        <v>2.8532608695652174E-3</v>
      </c>
    </row>
    <row r="42" spans="2:4" x14ac:dyDescent="0.25">
      <c r="B42" s="22" t="s">
        <v>47</v>
      </c>
      <c r="C42" s="23">
        <v>15</v>
      </c>
      <c r="D42" s="24">
        <v>2.0380434782608695E-3</v>
      </c>
    </row>
    <row r="43" spans="2:4" x14ac:dyDescent="0.25">
      <c r="B43" s="22" t="s">
        <v>48</v>
      </c>
      <c r="C43" s="23">
        <v>14</v>
      </c>
      <c r="D43" s="24">
        <v>1.9021739130434783E-3</v>
      </c>
    </row>
    <row r="44" spans="2:4" x14ac:dyDescent="0.25">
      <c r="B44" s="22" t="s">
        <v>49</v>
      </c>
      <c r="C44" s="23">
        <v>10</v>
      </c>
      <c r="D44" s="24">
        <v>1.358695652173913E-3</v>
      </c>
    </row>
    <row r="45" spans="2:4" x14ac:dyDescent="0.25">
      <c r="B45" s="22" t="s">
        <v>50</v>
      </c>
      <c r="C45" s="23">
        <v>9</v>
      </c>
      <c r="D45" s="24">
        <v>1.2228260869565218E-3</v>
      </c>
    </row>
    <row r="46" spans="2:4" x14ac:dyDescent="0.25">
      <c r="B46" s="22" t="s">
        <v>51</v>
      </c>
      <c r="C46" s="23">
        <v>8</v>
      </c>
      <c r="D46" s="24">
        <v>1.0869565217391304E-3</v>
      </c>
    </row>
    <row r="47" spans="2:4" x14ac:dyDescent="0.25">
      <c r="B47" s="22" t="s">
        <v>52</v>
      </c>
      <c r="C47" s="23">
        <v>7</v>
      </c>
      <c r="D47" s="24">
        <v>9.5108695652173917E-4</v>
      </c>
    </row>
    <row r="48" spans="2:4" x14ac:dyDescent="0.25">
      <c r="B48" s="22" t="s">
        <v>53</v>
      </c>
      <c r="C48" s="23">
        <v>7</v>
      </c>
      <c r="D48" s="24">
        <v>9.5108695652173917E-4</v>
      </c>
    </row>
    <row r="49" spans="2:4" x14ac:dyDescent="0.25">
      <c r="B49" s="22" t="s">
        <v>54</v>
      </c>
      <c r="C49" s="23">
        <v>6</v>
      </c>
      <c r="D49" s="24">
        <v>8.1521739130434778E-4</v>
      </c>
    </row>
    <row r="50" spans="2:4" x14ac:dyDescent="0.25">
      <c r="B50" s="22" t="s">
        <v>55</v>
      </c>
      <c r="C50" s="23">
        <v>6</v>
      </c>
      <c r="D50" s="24">
        <v>8.1521739130434778E-4</v>
      </c>
    </row>
    <row r="51" spans="2:4" x14ac:dyDescent="0.25">
      <c r="B51" s="22" t="s">
        <v>56</v>
      </c>
      <c r="C51" s="23">
        <v>5</v>
      </c>
      <c r="D51" s="24">
        <v>6.793478260869565E-4</v>
      </c>
    </row>
    <row r="52" spans="2:4" x14ac:dyDescent="0.25">
      <c r="B52" s="22" t="s">
        <v>57</v>
      </c>
      <c r="C52" s="23">
        <v>4</v>
      </c>
      <c r="D52" s="24">
        <v>5.4347826086956522E-4</v>
      </c>
    </row>
    <row r="53" spans="2:4" x14ac:dyDescent="0.25">
      <c r="B53" s="22" t="s">
        <v>58</v>
      </c>
      <c r="C53" s="23">
        <v>2</v>
      </c>
      <c r="D53" s="24">
        <v>2.7173913043478261E-4</v>
      </c>
    </row>
    <row r="54" spans="2:4" x14ac:dyDescent="0.25">
      <c r="B54" s="22" t="s">
        <v>59</v>
      </c>
      <c r="C54" s="23">
        <v>2</v>
      </c>
      <c r="D54" s="24">
        <v>2.7173913043478261E-4</v>
      </c>
    </row>
    <row r="55" spans="2:4" x14ac:dyDescent="0.25">
      <c r="B55" s="22" t="s">
        <v>60</v>
      </c>
      <c r="C55" s="23">
        <v>2</v>
      </c>
      <c r="D55" s="24">
        <v>2.7173913043478261E-4</v>
      </c>
    </row>
    <row r="56" spans="2:4" x14ac:dyDescent="0.25">
      <c r="B56" s="22" t="s">
        <v>61</v>
      </c>
      <c r="C56" s="23">
        <v>2</v>
      </c>
      <c r="D56" s="24">
        <v>2.7173913043478261E-4</v>
      </c>
    </row>
    <row r="57" spans="2:4" x14ac:dyDescent="0.25">
      <c r="B57" s="22" t="s">
        <v>62</v>
      </c>
      <c r="C57" s="23">
        <v>1</v>
      </c>
      <c r="D57" s="24">
        <v>1.3586956521739131E-4</v>
      </c>
    </row>
    <row r="58" spans="2:4" ht="15" customHeight="1" x14ac:dyDescent="0.25">
      <c r="B58" s="26" t="s">
        <v>63</v>
      </c>
      <c r="C58" s="27">
        <v>7360</v>
      </c>
      <c r="D58" s="28">
        <v>1</v>
      </c>
    </row>
    <row r="65" spans="2:2" x14ac:dyDescent="0.25">
      <c r="B65" s="30" t="s">
        <v>64</v>
      </c>
    </row>
    <row r="66" spans="2:2" x14ac:dyDescent="0.25">
      <c r="B66" s="31" t="s">
        <v>65</v>
      </c>
    </row>
    <row r="67" spans="2:2" x14ac:dyDescent="0.25">
      <c r="B67" s="32" t="s">
        <v>66</v>
      </c>
    </row>
    <row r="68" spans="2:2" x14ac:dyDescent="0.25">
      <c r="B68" s="30" t="s">
        <v>67</v>
      </c>
    </row>
    <row r="69" spans="2:2" x14ac:dyDescent="0.25">
      <c r="B69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12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69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70</v>
      </c>
      <c r="C11" s="19" t="s">
        <v>15</v>
      </c>
      <c r="D11" s="20" t="s">
        <v>16</v>
      </c>
    </row>
    <row r="12" spans="1:4" ht="15" customHeight="1" x14ac:dyDescent="0.25">
      <c r="B12" s="22" t="s">
        <v>71</v>
      </c>
      <c r="C12" s="23">
        <v>1271</v>
      </c>
      <c r="D12" s="24">
        <f t="shared" ref="D12:D62" si="0">C12/$C$62</f>
        <v>0.17269021739130436</v>
      </c>
    </row>
    <row r="13" spans="1:4" x14ac:dyDescent="0.25">
      <c r="B13" s="22" t="s">
        <v>72</v>
      </c>
      <c r="C13" s="23">
        <v>713</v>
      </c>
      <c r="D13" s="24">
        <f t="shared" si="0"/>
        <v>9.6875000000000003E-2</v>
      </c>
    </row>
    <row r="14" spans="1:4" s="25" customFormat="1" ht="15.75" x14ac:dyDescent="0.25">
      <c r="A14" s="21"/>
      <c r="B14" s="22" t="s">
        <v>73</v>
      </c>
      <c r="C14" s="23">
        <v>696</v>
      </c>
      <c r="D14" s="24">
        <f t="shared" si="0"/>
        <v>9.4565217391304343E-2</v>
      </c>
    </row>
    <row r="15" spans="1:4" s="25" customFormat="1" ht="15.75" x14ac:dyDescent="0.25">
      <c r="A15" s="21"/>
      <c r="B15" s="22" t="s">
        <v>74</v>
      </c>
      <c r="C15" s="23">
        <v>540</v>
      </c>
      <c r="D15" s="24">
        <f t="shared" si="0"/>
        <v>7.3369565217391311E-2</v>
      </c>
    </row>
    <row r="16" spans="1:4" x14ac:dyDescent="0.25">
      <c r="B16" s="22" t="s">
        <v>75</v>
      </c>
      <c r="C16" s="23">
        <v>528</v>
      </c>
      <c r="D16" s="24">
        <f t="shared" si="0"/>
        <v>7.1739130434782611E-2</v>
      </c>
    </row>
    <row r="17" spans="2:4" x14ac:dyDescent="0.25">
      <c r="B17" s="22" t="s">
        <v>76</v>
      </c>
      <c r="C17" s="23">
        <v>487</v>
      </c>
      <c r="D17" s="24">
        <f t="shared" si="0"/>
        <v>6.6168478260869565E-2</v>
      </c>
    </row>
    <row r="18" spans="2:4" x14ac:dyDescent="0.25">
      <c r="B18" s="22" t="s">
        <v>77</v>
      </c>
      <c r="C18" s="23">
        <v>295</v>
      </c>
      <c r="D18" s="24">
        <f t="shared" si="0"/>
        <v>4.0081521739130432E-2</v>
      </c>
    </row>
    <row r="19" spans="2:4" x14ac:dyDescent="0.25">
      <c r="B19" s="22" t="s">
        <v>78</v>
      </c>
      <c r="C19" s="23">
        <v>209</v>
      </c>
      <c r="D19" s="24">
        <f t="shared" si="0"/>
        <v>2.8396739130434782E-2</v>
      </c>
    </row>
    <row r="20" spans="2:4" x14ac:dyDescent="0.25">
      <c r="B20" s="22" t="s">
        <v>79</v>
      </c>
      <c r="C20" s="23">
        <v>182</v>
      </c>
      <c r="D20" s="24">
        <f t="shared" si="0"/>
        <v>2.4728260869565217E-2</v>
      </c>
    </row>
    <row r="21" spans="2:4" x14ac:dyDescent="0.25">
      <c r="B21" s="22" t="s">
        <v>80</v>
      </c>
      <c r="C21" s="23">
        <v>161</v>
      </c>
      <c r="D21" s="24">
        <f t="shared" si="0"/>
        <v>2.1874999999999999E-2</v>
      </c>
    </row>
    <row r="22" spans="2:4" x14ac:dyDescent="0.25">
      <c r="B22" s="22" t="s">
        <v>81</v>
      </c>
      <c r="C22" s="23">
        <v>158</v>
      </c>
      <c r="D22" s="24">
        <f t="shared" si="0"/>
        <v>2.1467391304347827E-2</v>
      </c>
    </row>
    <row r="23" spans="2:4" x14ac:dyDescent="0.25">
      <c r="B23" s="22" t="s">
        <v>82</v>
      </c>
      <c r="C23" s="23">
        <v>150</v>
      </c>
      <c r="D23" s="24">
        <f t="shared" si="0"/>
        <v>2.0380434782608696E-2</v>
      </c>
    </row>
    <row r="24" spans="2:4" x14ac:dyDescent="0.25">
      <c r="B24" s="22" t="s">
        <v>83</v>
      </c>
      <c r="C24" s="23">
        <v>148</v>
      </c>
      <c r="D24" s="24">
        <f t="shared" si="0"/>
        <v>2.0108695652173911E-2</v>
      </c>
    </row>
    <row r="25" spans="2:4" x14ac:dyDescent="0.25">
      <c r="B25" s="22" t="s">
        <v>84</v>
      </c>
      <c r="C25" s="23">
        <v>144</v>
      </c>
      <c r="D25" s="24">
        <f t="shared" si="0"/>
        <v>1.9565217391304349E-2</v>
      </c>
    </row>
    <row r="26" spans="2:4" x14ac:dyDescent="0.25">
      <c r="B26" s="22" t="s">
        <v>85</v>
      </c>
      <c r="C26" s="23">
        <v>130</v>
      </c>
      <c r="D26" s="24">
        <f t="shared" si="0"/>
        <v>1.7663043478260868E-2</v>
      </c>
    </row>
    <row r="27" spans="2:4" x14ac:dyDescent="0.25">
      <c r="B27" s="22" t="s">
        <v>86</v>
      </c>
      <c r="C27" s="23">
        <v>121</v>
      </c>
      <c r="D27" s="24">
        <f t="shared" si="0"/>
        <v>1.6440217391304347E-2</v>
      </c>
    </row>
    <row r="28" spans="2:4" x14ac:dyDescent="0.25">
      <c r="B28" s="22" t="s">
        <v>87</v>
      </c>
      <c r="C28" s="23">
        <v>119</v>
      </c>
      <c r="D28" s="24">
        <f t="shared" si="0"/>
        <v>1.6168478260869566E-2</v>
      </c>
    </row>
    <row r="29" spans="2:4" x14ac:dyDescent="0.25">
      <c r="B29" s="22" t="s">
        <v>88</v>
      </c>
      <c r="C29" s="23">
        <v>111</v>
      </c>
      <c r="D29" s="24">
        <f t="shared" si="0"/>
        <v>1.5081521739130434E-2</v>
      </c>
    </row>
    <row r="30" spans="2:4" x14ac:dyDescent="0.25">
      <c r="B30" s="22" t="s">
        <v>89</v>
      </c>
      <c r="C30" s="23">
        <v>103</v>
      </c>
      <c r="D30" s="24">
        <f t="shared" si="0"/>
        <v>1.3994565217391305E-2</v>
      </c>
    </row>
    <row r="31" spans="2:4" x14ac:dyDescent="0.25">
      <c r="B31" s="22" t="s">
        <v>90</v>
      </c>
      <c r="C31" s="23">
        <v>97</v>
      </c>
      <c r="D31" s="24">
        <f t="shared" si="0"/>
        <v>1.3179347826086957E-2</v>
      </c>
    </row>
    <row r="32" spans="2:4" x14ac:dyDescent="0.25">
      <c r="B32" s="22" t="s">
        <v>91</v>
      </c>
      <c r="C32" s="23">
        <v>93</v>
      </c>
      <c r="D32" s="24">
        <f t="shared" si="0"/>
        <v>1.2635869565217391E-2</v>
      </c>
    </row>
    <row r="33" spans="2:4" x14ac:dyDescent="0.25">
      <c r="B33" s="22" t="s">
        <v>92</v>
      </c>
      <c r="C33" s="23">
        <v>86</v>
      </c>
      <c r="D33" s="24">
        <f t="shared" si="0"/>
        <v>1.1684782608695652E-2</v>
      </c>
    </row>
    <row r="34" spans="2:4" x14ac:dyDescent="0.25">
      <c r="B34" s="22" t="s">
        <v>93</v>
      </c>
      <c r="C34" s="23">
        <v>82</v>
      </c>
      <c r="D34" s="24">
        <f t="shared" si="0"/>
        <v>1.1141304347826087E-2</v>
      </c>
    </row>
    <row r="35" spans="2:4" x14ac:dyDescent="0.25">
      <c r="B35" s="22" t="s">
        <v>94</v>
      </c>
      <c r="C35" s="23">
        <v>78</v>
      </c>
      <c r="D35" s="24">
        <f t="shared" si="0"/>
        <v>1.0597826086956521E-2</v>
      </c>
    </row>
    <row r="36" spans="2:4" x14ac:dyDescent="0.25">
      <c r="B36" s="22" t="s">
        <v>95</v>
      </c>
      <c r="C36" s="23">
        <v>75</v>
      </c>
      <c r="D36" s="24">
        <f t="shared" si="0"/>
        <v>1.0190217391304348E-2</v>
      </c>
    </row>
    <row r="37" spans="2:4" x14ac:dyDescent="0.25">
      <c r="B37" s="22" t="s">
        <v>96</v>
      </c>
      <c r="C37" s="23">
        <v>71</v>
      </c>
      <c r="D37" s="24">
        <f t="shared" si="0"/>
        <v>9.6467391304347824E-3</v>
      </c>
    </row>
    <row r="38" spans="2:4" x14ac:dyDescent="0.25">
      <c r="B38" s="22" t="s">
        <v>97</v>
      </c>
      <c r="C38" s="23">
        <v>56</v>
      </c>
      <c r="D38" s="24">
        <f t="shared" si="0"/>
        <v>7.6086956521739134E-3</v>
      </c>
    </row>
    <row r="39" spans="2:4" x14ac:dyDescent="0.25">
      <c r="B39" s="22" t="s">
        <v>32</v>
      </c>
      <c r="C39" s="23">
        <v>52</v>
      </c>
      <c r="D39" s="24">
        <f t="shared" si="0"/>
        <v>7.0652173913043478E-3</v>
      </c>
    </row>
    <row r="40" spans="2:4" x14ac:dyDescent="0.25">
      <c r="B40" s="22" t="s">
        <v>98</v>
      </c>
      <c r="C40" s="23">
        <v>45</v>
      </c>
      <c r="D40" s="24">
        <f t="shared" si="0"/>
        <v>6.114130434782609E-3</v>
      </c>
    </row>
    <row r="41" spans="2:4" x14ac:dyDescent="0.25">
      <c r="B41" s="22" t="s">
        <v>99</v>
      </c>
      <c r="C41" s="23">
        <v>43</v>
      </c>
      <c r="D41" s="24">
        <f t="shared" si="0"/>
        <v>5.8423913043478262E-3</v>
      </c>
    </row>
    <row r="42" spans="2:4" x14ac:dyDescent="0.25">
      <c r="B42" s="22" t="s">
        <v>100</v>
      </c>
      <c r="C42" s="23">
        <v>40</v>
      </c>
      <c r="D42" s="24">
        <f t="shared" si="0"/>
        <v>5.434782608695652E-3</v>
      </c>
    </row>
    <row r="43" spans="2:4" x14ac:dyDescent="0.25">
      <c r="B43" s="22" t="s">
        <v>101</v>
      </c>
      <c r="C43" s="23">
        <v>37</v>
      </c>
      <c r="D43" s="24">
        <f t="shared" si="0"/>
        <v>5.0271739130434779E-3</v>
      </c>
    </row>
    <row r="44" spans="2:4" x14ac:dyDescent="0.25">
      <c r="B44" s="22" t="s">
        <v>102</v>
      </c>
      <c r="C44" s="23">
        <v>35</v>
      </c>
      <c r="D44" s="24">
        <f t="shared" si="0"/>
        <v>4.755434782608696E-3</v>
      </c>
    </row>
    <row r="45" spans="2:4" x14ac:dyDescent="0.25">
      <c r="B45" s="22" t="s">
        <v>103</v>
      </c>
      <c r="C45" s="23">
        <v>33</v>
      </c>
      <c r="D45" s="24">
        <f t="shared" si="0"/>
        <v>4.4836956521739132E-3</v>
      </c>
    </row>
    <row r="46" spans="2:4" x14ac:dyDescent="0.25">
      <c r="B46" s="22" t="s">
        <v>104</v>
      </c>
      <c r="C46" s="23">
        <v>32</v>
      </c>
      <c r="D46" s="24">
        <f t="shared" si="0"/>
        <v>4.3478260869565218E-3</v>
      </c>
    </row>
    <row r="47" spans="2:4" x14ac:dyDescent="0.25">
      <c r="B47" s="22" t="s">
        <v>105</v>
      </c>
      <c r="C47" s="23">
        <v>31</v>
      </c>
      <c r="D47" s="24">
        <f t="shared" si="0"/>
        <v>4.2119565217391304E-3</v>
      </c>
    </row>
    <row r="48" spans="2:4" x14ac:dyDescent="0.25">
      <c r="B48" s="22" t="s">
        <v>106</v>
      </c>
      <c r="C48" s="23">
        <v>31</v>
      </c>
      <c r="D48" s="24">
        <f t="shared" si="0"/>
        <v>4.2119565217391304E-3</v>
      </c>
    </row>
    <row r="49" spans="2:4" x14ac:dyDescent="0.25">
      <c r="B49" s="22" t="s">
        <v>107</v>
      </c>
      <c r="C49" s="23">
        <v>23</v>
      </c>
      <c r="D49" s="24">
        <f t="shared" si="0"/>
        <v>3.1250000000000002E-3</v>
      </c>
    </row>
    <row r="50" spans="2:4" x14ac:dyDescent="0.25">
      <c r="B50" s="22" t="s">
        <v>108</v>
      </c>
      <c r="C50" s="23">
        <v>16</v>
      </c>
      <c r="D50" s="24">
        <f t="shared" si="0"/>
        <v>2.1739130434782609E-3</v>
      </c>
    </row>
    <row r="51" spans="2:4" x14ac:dyDescent="0.25">
      <c r="B51" s="22" t="s">
        <v>109</v>
      </c>
      <c r="C51" s="23">
        <v>9</v>
      </c>
      <c r="D51" s="24">
        <f t="shared" si="0"/>
        <v>1.2228260869565218E-3</v>
      </c>
    </row>
    <row r="52" spans="2:4" x14ac:dyDescent="0.25">
      <c r="B52" s="22" t="s">
        <v>110</v>
      </c>
      <c r="C52" s="23">
        <v>8</v>
      </c>
      <c r="D52" s="24">
        <f t="shared" si="0"/>
        <v>1.0869565217391304E-3</v>
      </c>
    </row>
    <row r="53" spans="2:4" x14ac:dyDescent="0.25">
      <c r="B53" s="22" t="s">
        <v>111</v>
      </c>
      <c r="C53" s="23">
        <v>8</v>
      </c>
      <c r="D53" s="24">
        <f t="shared" si="0"/>
        <v>1.0869565217391304E-3</v>
      </c>
    </row>
    <row r="54" spans="2:4" x14ac:dyDescent="0.25">
      <c r="B54" s="22" t="s">
        <v>112</v>
      </c>
      <c r="C54" s="23">
        <v>4</v>
      </c>
      <c r="D54" s="24">
        <f t="shared" si="0"/>
        <v>5.4347826086956522E-4</v>
      </c>
    </row>
    <row r="55" spans="2:4" x14ac:dyDescent="0.25">
      <c r="B55" s="22" t="s">
        <v>113</v>
      </c>
      <c r="C55" s="23">
        <v>3</v>
      </c>
      <c r="D55" s="24">
        <f t="shared" si="0"/>
        <v>4.0760869565217389E-4</v>
      </c>
    </row>
    <row r="56" spans="2:4" x14ac:dyDescent="0.25">
      <c r="B56" s="22" t="s">
        <v>114</v>
      </c>
      <c r="C56" s="23">
        <v>2</v>
      </c>
      <c r="D56" s="24">
        <f t="shared" si="0"/>
        <v>2.7173913043478261E-4</v>
      </c>
    </row>
    <row r="57" spans="2:4" x14ac:dyDescent="0.25">
      <c r="B57" s="22" t="s">
        <v>115</v>
      </c>
      <c r="C57" s="23">
        <v>2</v>
      </c>
      <c r="D57" s="24">
        <f t="shared" si="0"/>
        <v>2.7173913043478261E-4</v>
      </c>
    </row>
    <row r="58" spans="2:4" x14ac:dyDescent="0.25">
      <c r="B58" s="22" t="s">
        <v>116</v>
      </c>
      <c r="C58" s="23">
        <v>2</v>
      </c>
      <c r="D58" s="24">
        <f t="shared" si="0"/>
        <v>2.7173913043478261E-4</v>
      </c>
    </row>
    <row r="59" spans="2:4" x14ac:dyDescent="0.25">
      <c r="B59" s="22" t="s">
        <v>117</v>
      </c>
      <c r="C59" s="23">
        <v>0</v>
      </c>
      <c r="D59" s="24">
        <f t="shared" si="0"/>
        <v>0</v>
      </c>
    </row>
    <row r="60" spans="2:4" x14ac:dyDescent="0.25">
      <c r="B60" s="22" t="s">
        <v>118</v>
      </c>
      <c r="C60" s="23">
        <v>0</v>
      </c>
      <c r="D60" s="24">
        <f t="shared" si="0"/>
        <v>0</v>
      </c>
    </row>
    <row r="61" spans="2:4" x14ac:dyDescent="0.25">
      <c r="B61" s="22" t="s">
        <v>119</v>
      </c>
      <c r="C61" s="23">
        <v>0</v>
      </c>
      <c r="D61" s="24">
        <f t="shared" si="0"/>
        <v>0</v>
      </c>
    </row>
    <row r="62" spans="2:4" x14ac:dyDescent="0.25">
      <c r="B62" s="26" t="s">
        <v>63</v>
      </c>
      <c r="C62" s="27">
        <v>7360</v>
      </c>
      <c r="D62" s="28">
        <f t="shared" si="0"/>
        <v>1</v>
      </c>
    </row>
    <row r="64" spans="2:4" x14ac:dyDescent="0.25">
      <c r="B64" s="30" t="s">
        <v>64</v>
      </c>
    </row>
    <row r="65" spans="2:2" x14ac:dyDescent="0.25">
      <c r="B65" s="31" t="s">
        <v>65</v>
      </c>
    </row>
    <row r="66" spans="2:2" x14ac:dyDescent="0.25">
      <c r="B66" s="32" t="s">
        <v>66</v>
      </c>
    </row>
    <row r="67" spans="2:2" x14ac:dyDescent="0.25">
      <c r="B67" s="30" t="s">
        <v>67</v>
      </c>
    </row>
    <row r="68" spans="2:2" x14ac:dyDescent="0.25">
      <c r="B68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12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69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70</v>
      </c>
      <c r="C11" s="19" t="s">
        <v>15</v>
      </c>
      <c r="D11" s="20" t="s">
        <v>16</v>
      </c>
    </row>
    <row r="12" spans="1:4" ht="15" customHeight="1" x14ac:dyDescent="0.25">
      <c r="B12" s="22" t="s">
        <v>71</v>
      </c>
      <c r="C12" s="23">
        <v>1271</v>
      </c>
      <c r="D12" s="24">
        <f t="shared" ref="D12:D22" si="0">C12/$C$22</f>
        <v>0.25009838646202281</v>
      </c>
    </row>
    <row r="13" spans="1:4" x14ac:dyDescent="0.25">
      <c r="B13" s="22" t="s">
        <v>72</v>
      </c>
      <c r="C13" s="23">
        <v>713</v>
      </c>
      <c r="D13" s="24">
        <f t="shared" si="0"/>
        <v>0.14029909484454939</v>
      </c>
    </row>
    <row r="14" spans="1:4" s="25" customFormat="1" ht="15.75" x14ac:dyDescent="0.25">
      <c r="A14" s="21"/>
      <c r="B14" s="22" t="s">
        <v>73</v>
      </c>
      <c r="C14" s="23">
        <v>696</v>
      </c>
      <c r="D14" s="24">
        <f t="shared" si="0"/>
        <v>0.13695395513577333</v>
      </c>
    </row>
    <row r="15" spans="1:4" s="25" customFormat="1" ht="15.75" x14ac:dyDescent="0.25">
      <c r="A15" s="21"/>
      <c r="B15" s="22" t="s">
        <v>74</v>
      </c>
      <c r="C15" s="23">
        <v>540</v>
      </c>
      <c r="D15" s="24">
        <f t="shared" si="0"/>
        <v>0.10625737898465171</v>
      </c>
    </row>
    <row r="16" spans="1:4" x14ac:dyDescent="0.25">
      <c r="B16" s="22" t="s">
        <v>75</v>
      </c>
      <c r="C16" s="23">
        <v>528</v>
      </c>
      <c r="D16" s="24">
        <f t="shared" si="0"/>
        <v>0.1038961038961039</v>
      </c>
    </row>
    <row r="17" spans="2:4" x14ac:dyDescent="0.25">
      <c r="B17" s="22" t="s">
        <v>76</v>
      </c>
      <c r="C17" s="23">
        <v>487</v>
      </c>
      <c r="D17" s="24">
        <f t="shared" si="0"/>
        <v>9.5828414010232191E-2</v>
      </c>
    </row>
    <row r="18" spans="2:4" x14ac:dyDescent="0.25">
      <c r="B18" s="22" t="s">
        <v>77</v>
      </c>
      <c r="C18" s="23">
        <v>295</v>
      </c>
      <c r="D18" s="24">
        <f t="shared" si="0"/>
        <v>5.804801259346714E-2</v>
      </c>
    </row>
    <row r="19" spans="2:4" x14ac:dyDescent="0.25">
      <c r="B19" s="22" t="s">
        <v>78</v>
      </c>
      <c r="C19" s="23">
        <v>209</v>
      </c>
      <c r="D19" s="24">
        <f t="shared" si="0"/>
        <v>4.1125541125541128E-2</v>
      </c>
    </row>
    <row r="20" spans="2:4" x14ac:dyDescent="0.25">
      <c r="B20" s="22" t="s">
        <v>79</v>
      </c>
      <c r="C20" s="23">
        <v>182</v>
      </c>
      <c r="D20" s="24">
        <f t="shared" si="0"/>
        <v>3.5812672176308541E-2</v>
      </c>
    </row>
    <row r="21" spans="2:4" x14ac:dyDescent="0.25">
      <c r="B21" s="22" t="s">
        <v>80</v>
      </c>
      <c r="C21" s="23">
        <v>161</v>
      </c>
      <c r="D21" s="24">
        <f t="shared" si="0"/>
        <v>3.1680440771349863E-2</v>
      </c>
    </row>
    <row r="22" spans="2:4" x14ac:dyDescent="0.25">
      <c r="B22" s="26" t="s">
        <v>63</v>
      </c>
      <c r="C22" s="27">
        <f>SUM(C12:C21)</f>
        <v>5082</v>
      </c>
      <c r="D22" s="28">
        <f t="shared" si="0"/>
        <v>1</v>
      </c>
    </row>
    <row r="24" spans="2:4" x14ac:dyDescent="0.25">
      <c r="B24" s="30" t="s">
        <v>64</v>
      </c>
    </row>
    <row r="25" spans="2:4" x14ac:dyDescent="0.25">
      <c r="B25" s="31" t="s">
        <v>65</v>
      </c>
    </row>
    <row r="26" spans="2:4" x14ac:dyDescent="0.25">
      <c r="B26" s="32" t="s">
        <v>66</v>
      </c>
    </row>
    <row r="27" spans="2:4" x14ac:dyDescent="0.25">
      <c r="B27" s="30" t="s">
        <v>67</v>
      </c>
    </row>
    <row r="28" spans="2:4" x14ac:dyDescent="0.25">
      <c r="B28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9"/>
  <sheetViews>
    <sheetView showGridLines="0" zoomScaleNormal="100" zoomScaleSheetLayoutView="115" workbookViewId="0">
      <selection activeCell="H20" sqref="H20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12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120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121</v>
      </c>
      <c r="C11" s="19" t="s">
        <v>15</v>
      </c>
      <c r="D11" s="20" t="s">
        <v>16</v>
      </c>
    </row>
    <row r="12" spans="1:4" ht="15" customHeight="1" x14ac:dyDescent="0.25">
      <c r="B12" s="22" t="s">
        <v>12</v>
      </c>
      <c r="C12" s="23">
        <v>3889</v>
      </c>
      <c r="D12" s="24">
        <v>0.52839673913043483</v>
      </c>
    </row>
    <row r="13" spans="1:4" x14ac:dyDescent="0.25">
      <c r="B13" s="22" t="s">
        <v>122</v>
      </c>
      <c r="C13" s="23">
        <v>1093</v>
      </c>
      <c r="D13" s="24">
        <v>0.14850543478260869</v>
      </c>
    </row>
    <row r="14" spans="1:4" s="25" customFormat="1" ht="15.75" x14ac:dyDescent="0.25">
      <c r="A14" s="21"/>
      <c r="B14" s="22" t="s">
        <v>123</v>
      </c>
      <c r="C14" s="23">
        <v>735</v>
      </c>
      <c r="D14" s="24">
        <v>9.9864130434782608E-2</v>
      </c>
    </row>
    <row r="15" spans="1:4" s="25" customFormat="1" ht="15.75" x14ac:dyDescent="0.25">
      <c r="A15" s="21"/>
      <c r="B15" s="22" t="s">
        <v>124</v>
      </c>
      <c r="C15" s="23">
        <v>429</v>
      </c>
      <c r="D15" s="24">
        <v>5.8288043478260866E-2</v>
      </c>
    </row>
    <row r="16" spans="1:4" x14ac:dyDescent="0.25">
      <c r="B16" s="22" t="s">
        <v>125</v>
      </c>
      <c r="C16" s="23">
        <v>335</v>
      </c>
      <c r="D16" s="24">
        <v>4.5516304347826088E-2</v>
      </c>
    </row>
    <row r="17" spans="2:4" x14ac:dyDescent="0.25">
      <c r="B17" s="22" t="s">
        <v>126</v>
      </c>
      <c r="C17" s="23">
        <v>332</v>
      </c>
      <c r="D17" s="24">
        <v>4.5108695652173916E-2</v>
      </c>
    </row>
    <row r="18" spans="2:4" x14ac:dyDescent="0.25">
      <c r="B18" s="22" t="s">
        <v>127</v>
      </c>
      <c r="C18" s="23">
        <v>139</v>
      </c>
      <c r="D18" s="24">
        <v>1.888586956521739E-2</v>
      </c>
    </row>
    <row r="19" spans="2:4" x14ac:dyDescent="0.25">
      <c r="B19" s="22" t="s">
        <v>128</v>
      </c>
      <c r="C19" s="23">
        <v>124</v>
      </c>
      <c r="D19" s="24">
        <v>1.6847826086956522E-2</v>
      </c>
    </row>
    <row r="20" spans="2:4" x14ac:dyDescent="0.25">
      <c r="B20" s="22" t="s">
        <v>129</v>
      </c>
      <c r="C20" s="23">
        <v>105</v>
      </c>
      <c r="D20" s="24">
        <v>1.4266304347826086E-2</v>
      </c>
    </row>
    <row r="21" spans="2:4" x14ac:dyDescent="0.25">
      <c r="B21" s="22" t="s">
        <v>130</v>
      </c>
      <c r="C21" s="23">
        <v>98</v>
      </c>
      <c r="D21" s="24">
        <v>1.3315217391304347E-2</v>
      </c>
    </row>
    <row r="22" spans="2:4" ht="27" x14ac:dyDescent="0.25">
      <c r="B22" s="22" t="s">
        <v>131</v>
      </c>
      <c r="C22" s="23">
        <v>81</v>
      </c>
      <c r="D22" s="24">
        <v>1.1005434782608696E-2</v>
      </c>
    </row>
    <row r="23" spans="2:4" x14ac:dyDescent="0.25">
      <c r="B23" s="26" t="s">
        <v>63</v>
      </c>
      <c r="C23" s="27">
        <v>7360</v>
      </c>
      <c r="D23" s="28">
        <v>1</v>
      </c>
    </row>
    <row r="25" spans="2:4" x14ac:dyDescent="0.25">
      <c r="B25" s="30" t="s">
        <v>64</v>
      </c>
    </row>
    <row r="26" spans="2:4" x14ac:dyDescent="0.25">
      <c r="B26" s="31" t="s">
        <v>65</v>
      </c>
    </row>
    <row r="27" spans="2:4" x14ac:dyDescent="0.25">
      <c r="B27" s="32" t="s">
        <v>66</v>
      </c>
    </row>
    <row r="28" spans="2:4" x14ac:dyDescent="0.25">
      <c r="B28" s="30" t="s">
        <v>67</v>
      </c>
    </row>
    <row r="29" spans="2:4" x14ac:dyDescent="0.25">
      <c r="B29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40"/>
  <sheetViews>
    <sheetView zoomScaleNormal="100" zoomScaleSheetLayoutView="85" workbookViewId="0"/>
  </sheetViews>
  <sheetFormatPr baseColWidth="10" defaultColWidth="35" defaultRowHeight="15" customHeight="1" x14ac:dyDescent="0.25"/>
  <cols>
    <col min="1" max="1" width="1" style="45" customWidth="1"/>
    <col min="2" max="2" width="22.85546875" style="54" customWidth="1"/>
    <col min="3" max="3" width="31.42578125" style="54" customWidth="1"/>
    <col min="4" max="4" width="14.28515625" style="54" customWidth="1"/>
    <col min="5" max="5" width="16.85546875" style="54" customWidth="1"/>
    <col min="6" max="16384" width="35" style="45"/>
  </cols>
  <sheetData>
    <row r="1" spans="1:5" s="33" customFormat="1" ht="12" customHeight="1" x14ac:dyDescent="0.2">
      <c r="B1" s="34"/>
      <c r="C1" s="35"/>
      <c r="D1" s="35"/>
      <c r="E1" s="35"/>
    </row>
    <row r="2" spans="1:5" s="33" customFormat="1" ht="15" customHeight="1" x14ac:dyDescent="0.2">
      <c r="C2" s="36"/>
    </row>
    <row r="3" spans="1:5" s="33" customFormat="1" ht="15" customHeight="1" x14ac:dyDescent="0.2">
      <c r="C3" s="36"/>
    </row>
    <row r="4" spans="1:5" s="33" customFormat="1" ht="30" customHeight="1" x14ac:dyDescent="0.2">
      <c r="C4" s="36"/>
      <c r="D4" s="37"/>
    </row>
    <row r="5" spans="1:5" s="33" customFormat="1" ht="15" customHeight="1" x14ac:dyDescent="0.2">
      <c r="C5" s="36"/>
      <c r="D5" s="37"/>
    </row>
    <row r="6" spans="1:5" s="38" customFormat="1" ht="24" customHeight="1" x14ac:dyDescent="0.2">
      <c r="B6" s="39"/>
      <c r="C6" s="40"/>
      <c r="D6" s="40"/>
      <c r="E6" s="40"/>
    </row>
    <row r="7" spans="1:5" s="38" customFormat="1" ht="26.25" customHeight="1" x14ac:dyDescent="0.3">
      <c r="A7" s="41"/>
      <c r="B7" s="91"/>
      <c r="C7" s="91"/>
      <c r="D7" s="91"/>
      <c r="E7" s="91"/>
    </row>
    <row r="8" spans="1:5" s="38" customFormat="1" ht="33" customHeight="1" x14ac:dyDescent="0.3">
      <c r="A8" s="41"/>
      <c r="B8" s="91"/>
      <c r="C8" s="91"/>
      <c r="D8" s="91"/>
      <c r="E8" s="91"/>
    </row>
    <row r="9" spans="1:5" s="14" customFormat="1" ht="40.5" customHeight="1" x14ac:dyDescent="0.2">
      <c r="B9" s="42" t="s">
        <v>132</v>
      </c>
      <c r="C9" s="43" t="s">
        <v>133</v>
      </c>
      <c r="D9" s="44" t="s">
        <v>15</v>
      </c>
      <c r="E9" s="42" t="s">
        <v>16</v>
      </c>
    </row>
    <row r="10" spans="1:5" ht="15" customHeight="1" x14ac:dyDescent="0.25">
      <c r="B10" s="88" t="s">
        <v>46</v>
      </c>
      <c r="C10" s="46" t="s">
        <v>12</v>
      </c>
      <c r="D10" s="47">
        <v>22</v>
      </c>
      <c r="E10" s="48">
        <v>2.8597426231639152E-3</v>
      </c>
    </row>
    <row r="11" spans="1:5" ht="15" customHeight="1" x14ac:dyDescent="0.25">
      <c r="B11" s="89"/>
      <c r="C11" s="46" t="s">
        <v>122</v>
      </c>
      <c r="D11" s="47">
        <v>8</v>
      </c>
      <c r="E11" s="48">
        <v>1.039906408423242E-3</v>
      </c>
    </row>
    <row r="12" spans="1:5" s="40" customFormat="1" ht="15" customHeight="1" x14ac:dyDescent="0.25">
      <c r="A12" s="45"/>
      <c r="B12" s="89"/>
      <c r="C12" s="46" t="s">
        <v>125</v>
      </c>
      <c r="D12" s="47">
        <v>1</v>
      </c>
      <c r="E12" s="48">
        <v>1.2998830105290525E-4</v>
      </c>
    </row>
    <row r="13" spans="1:5" s="40" customFormat="1" ht="15" customHeight="1" x14ac:dyDescent="0.25">
      <c r="A13" s="45"/>
      <c r="B13" s="89"/>
      <c r="C13" s="46" t="s">
        <v>124</v>
      </c>
      <c r="D13" s="47">
        <v>1</v>
      </c>
      <c r="E13" s="48">
        <v>1.2998830105290525E-4</v>
      </c>
    </row>
    <row r="14" spans="1:5" ht="15" customHeight="1" x14ac:dyDescent="0.25">
      <c r="B14" s="90"/>
      <c r="C14" s="49" t="s">
        <v>63</v>
      </c>
      <c r="D14" s="50">
        <v>32</v>
      </c>
      <c r="E14" s="51">
        <v>4.159625633692968E-3</v>
      </c>
    </row>
    <row r="15" spans="1:5" ht="15" customHeight="1" x14ac:dyDescent="0.25">
      <c r="B15" s="88" t="s">
        <v>36</v>
      </c>
      <c r="C15" s="46" t="s">
        <v>12</v>
      </c>
      <c r="D15" s="47">
        <v>40</v>
      </c>
      <c r="E15" s="48">
        <v>5.1995320421162096E-3</v>
      </c>
    </row>
    <row r="16" spans="1:5" ht="15" customHeight="1" x14ac:dyDescent="0.25">
      <c r="B16" s="89"/>
      <c r="C16" s="46" t="s">
        <v>126</v>
      </c>
      <c r="D16" s="47">
        <v>1</v>
      </c>
      <c r="E16" s="48">
        <v>1.2998830105290525E-4</v>
      </c>
    </row>
    <row r="17" spans="2:5" ht="15" customHeight="1" x14ac:dyDescent="0.25">
      <c r="B17" s="89"/>
      <c r="C17" s="46" t="s">
        <v>122</v>
      </c>
      <c r="D17" s="47">
        <v>6</v>
      </c>
      <c r="E17" s="48">
        <v>7.799298063174314E-4</v>
      </c>
    </row>
    <row r="18" spans="2:5" ht="15" customHeight="1" x14ac:dyDescent="0.25">
      <c r="B18" s="89"/>
      <c r="C18" s="46" t="s">
        <v>125</v>
      </c>
      <c r="D18" s="47">
        <v>2</v>
      </c>
      <c r="E18" s="48">
        <v>2.599766021058105E-4</v>
      </c>
    </row>
    <row r="19" spans="2:5" ht="15" customHeight="1" x14ac:dyDescent="0.25">
      <c r="B19" s="89"/>
      <c r="C19" s="46" t="s">
        <v>124</v>
      </c>
      <c r="D19" s="47">
        <v>7</v>
      </c>
      <c r="E19" s="48">
        <v>9.099181073703367E-4</v>
      </c>
    </row>
    <row r="20" spans="2:5" ht="15" customHeight="1" x14ac:dyDescent="0.25">
      <c r="B20" s="89"/>
      <c r="C20" s="46" t="s">
        <v>123</v>
      </c>
      <c r="D20" s="47">
        <v>3</v>
      </c>
      <c r="E20" s="48">
        <v>3.899649031587157E-4</v>
      </c>
    </row>
    <row r="21" spans="2:5" ht="15" customHeight="1" x14ac:dyDescent="0.25">
      <c r="B21" s="89"/>
      <c r="C21" s="46" t="s">
        <v>131</v>
      </c>
      <c r="D21" s="47">
        <v>1</v>
      </c>
      <c r="E21" s="48">
        <v>1.2998830105290525E-4</v>
      </c>
    </row>
    <row r="22" spans="2:5" ht="15" customHeight="1" x14ac:dyDescent="0.25">
      <c r="B22" s="89"/>
      <c r="C22" s="46" t="s">
        <v>128</v>
      </c>
      <c r="D22" s="47">
        <v>1</v>
      </c>
      <c r="E22" s="48">
        <v>1.2998830105290525E-4</v>
      </c>
    </row>
    <row r="23" spans="2:5" ht="15" customHeight="1" x14ac:dyDescent="0.25">
      <c r="B23" s="90"/>
      <c r="C23" s="49" t="s">
        <v>63</v>
      </c>
      <c r="D23" s="50">
        <v>61</v>
      </c>
      <c r="E23" s="51">
        <v>7.9292863642272202E-3</v>
      </c>
    </row>
    <row r="24" spans="2:5" ht="15" customHeight="1" x14ac:dyDescent="0.25">
      <c r="B24" s="88" t="s">
        <v>27</v>
      </c>
      <c r="C24" s="46" t="s">
        <v>12</v>
      </c>
      <c r="D24" s="47">
        <v>37</v>
      </c>
      <c r="E24" s="48">
        <v>4.8095671389574938E-3</v>
      </c>
    </row>
    <row r="25" spans="2:5" ht="15" customHeight="1" x14ac:dyDescent="0.25">
      <c r="B25" s="89"/>
      <c r="C25" s="46" t="s">
        <v>126</v>
      </c>
      <c r="D25" s="47">
        <v>5</v>
      </c>
      <c r="E25" s="48">
        <v>6.499415052645262E-4</v>
      </c>
    </row>
    <row r="26" spans="2:5" ht="15" customHeight="1" x14ac:dyDescent="0.25">
      <c r="B26" s="89"/>
      <c r="C26" s="46" t="s">
        <v>122</v>
      </c>
      <c r="D26" s="47">
        <v>4</v>
      </c>
      <c r="E26" s="48">
        <v>5.19953204211621E-4</v>
      </c>
    </row>
    <row r="27" spans="2:5" ht="15" customHeight="1" x14ac:dyDescent="0.25">
      <c r="B27" s="89"/>
      <c r="C27" s="46" t="s">
        <v>130</v>
      </c>
      <c r="D27" s="47">
        <v>2</v>
      </c>
      <c r="E27" s="48">
        <v>2.599766021058105E-4</v>
      </c>
    </row>
    <row r="28" spans="2:5" ht="15" customHeight="1" x14ac:dyDescent="0.25">
      <c r="B28" s="89"/>
      <c r="C28" s="46" t="s">
        <v>125</v>
      </c>
      <c r="D28" s="47">
        <v>3</v>
      </c>
      <c r="E28" s="48">
        <v>3.899649031587157E-4</v>
      </c>
    </row>
    <row r="29" spans="2:5" ht="15" customHeight="1" x14ac:dyDescent="0.25">
      <c r="B29" s="89"/>
      <c r="C29" s="46" t="s">
        <v>124</v>
      </c>
      <c r="D29" s="47">
        <v>10</v>
      </c>
      <c r="E29" s="48">
        <v>1.2998830105290524E-3</v>
      </c>
    </row>
    <row r="30" spans="2:5" ht="15" customHeight="1" x14ac:dyDescent="0.25">
      <c r="B30" s="89"/>
      <c r="C30" s="46" t="s">
        <v>123</v>
      </c>
      <c r="D30" s="47">
        <v>28</v>
      </c>
      <c r="E30" s="48">
        <v>3.6396724294813468E-3</v>
      </c>
    </row>
    <row r="31" spans="2:5" ht="15" customHeight="1" x14ac:dyDescent="0.25">
      <c r="B31" s="89"/>
      <c r="C31" s="46" t="s">
        <v>131</v>
      </c>
      <c r="D31" s="47">
        <v>1</v>
      </c>
      <c r="E31" s="48">
        <v>1.2998830105290525E-4</v>
      </c>
    </row>
    <row r="32" spans="2:5" ht="15" customHeight="1" x14ac:dyDescent="0.25">
      <c r="B32" s="89"/>
      <c r="C32" s="46" t="s">
        <v>127</v>
      </c>
      <c r="D32" s="47">
        <v>2</v>
      </c>
      <c r="E32" s="48">
        <v>2.599766021058105E-4</v>
      </c>
    </row>
    <row r="33" spans="2:5" ht="15" customHeight="1" x14ac:dyDescent="0.25">
      <c r="B33" s="90"/>
      <c r="C33" s="49" t="s">
        <v>63</v>
      </c>
      <c r="D33" s="50">
        <v>92</v>
      </c>
      <c r="E33" s="51">
        <v>1.1958923696867282E-2</v>
      </c>
    </row>
    <row r="34" spans="2:5" ht="15" customHeight="1" x14ac:dyDescent="0.25">
      <c r="B34" s="88" t="s">
        <v>17</v>
      </c>
      <c r="C34" s="46" t="s">
        <v>12</v>
      </c>
      <c r="D34" s="47">
        <v>936</v>
      </c>
      <c r="E34" s="48">
        <v>0.1216690497855193</v>
      </c>
    </row>
    <row r="35" spans="2:5" ht="15" customHeight="1" x14ac:dyDescent="0.25">
      <c r="B35" s="89"/>
      <c r="C35" s="46" t="s">
        <v>126</v>
      </c>
      <c r="D35" s="47">
        <v>41</v>
      </c>
      <c r="E35" s="48">
        <v>5.3295203431691146E-3</v>
      </c>
    </row>
    <row r="36" spans="2:5" ht="15" customHeight="1" x14ac:dyDescent="0.25">
      <c r="B36" s="89"/>
      <c r="C36" s="46" t="s">
        <v>122</v>
      </c>
      <c r="D36" s="47">
        <v>210</v>
      </c>
      <c r="E36" s="48">
        <v>2.7297543221110099E-2</v>
      </c>
    </row>
    <row r="37" spans="2:5" ht="15" customHeight="1" x14ac:dyDescent="0.25">
      <c r="B37" s="89"/>
      <c r="C37" s="46" t="s">
        <v>129</v>
      </c>
      <c r="D37" s="47">
        <v>28</v>
      </c>
      <c r="E37" s="48">
        <v>3.6396724294813468E-3</v>
      </c>
    </row>
    <row r="38" spans="2:5" ht="15" customHeight="1" x14ac:dyDescent="0.25">
      <c r="B38" s="89"/>
      <c r="C38" s="46" t="s">
        <v>130</v>
      </c>
      <c r="D38" s="47">
        <v>8</v>
      </c>
      <c r="E38" s="48">
        <v>1.039906408423242E-3</v>
      </c>
    </row>
    <row r="39" spans="2:5" ht="15" customHeight="1" x14ac:dyDescent="0.25">
      <c r="B39" s="89"/>
      <c r="C39" s="46" t="s">
        <v>125</v>
      </c>
      <c r="D39" s="47">
        <v>87</v>
      </c>
      <c r="E39" s="48">
        <v>1.1308982191602755E-2</v>
      </c>
    </row>
    <row r="40" spans="2:5" ht="15" customHeight="1" x14ac:dyDescent="0.25">
      <c r="B40" s="89"/>
      <c r="C40" s="46" t="s">
        <v>124</v>
      </c>
      <c r="D40" s="47">
        <v>70</v>
      </c>
      <c r="E40" s="48">
        <v>9.0991810737033659E-3</v>
      </c>
    </row>
    <row r="41" spans="2:5" ht="15" customHeight="1" x14ac:dyDescent="0.25">
      <c r="B41" s="89"/>
      <c r="C41" s="46" t="s">
        <v>123</v>
      </c>
      <c r="D41" s="47">
        <v>115</v>
      </c>
      <c r="E41" s="48">
        <v>1.4948654621084103E-2</v>
      </c>
    </row>
    <row r="42" spans="2:5" ht="15" customHeight="1" x14ac:dyDescent="0.25">
      <c r="B42" s="89"/>
      <c r="C42" s="46" t="s">
        <v>131</v>
      </c>
      <c r="D42" s="47">
        <v>14</v>
      </c>
      <c r="E42" s="48">
        <v>1.8198362147406734E-3</v>
      </c>
    </row>
    <row r="43" spans="2:5" ht="15" customHeight="1" x14ac:dyDescent="0.25">
      <c r="B43" s="89"/>
      <c r="C43" s="46" t="s">
        <v>128</v>
      </c>
      <c r="D43" s="47">
        <v>32</v>
      </c>
      <c r="E43" s="48">
        <v>4.159625633692968E-3</v>
      </c>
    </row>
    <row r="44" spans="2:5" ht="15" customHeight="1" x14ac:dyDescent="0.25">
      <c r="B44" s="89"/>
      <c r="C44" s="46" t="s">
        <v>127</v>
      </c>
      <c r="D44" s="47">
        <v>54</v>
      </c>
      <c r="E44" s="48">
        <v>7.0193682568568828E-3</v>
      </c>
    </row>
    <row r="45" spans="2:5" ht="15" customHeight="1" x14ac:dyDescent="0.25">
      <c r="B45" s="90"/>
      <c r="C45" s="49" t="s">
        <v>63</v>
      </c>
      <c r="D45" s="50">
        <v>1595</v>
      </c>
      <c r="E45" s="51">
        <v>0.20733134017938384</v>
      </c>
    </row>
    <row r="46" spans="2:5" ht="15" customHeight="1" x14ac:dyDescent="0.25">
      <c r="B46" s="88" t="s">
        <v>21</v>
      </c>
      <c r="C46" s="46" t="s">
        <v>12</v>
      </c>
      <c r="D46" s="47">
        <v>230</v>
      </c>
      <c r="E46" s="48">
        <v>2.9897309242168206E-2</v>
      </c>
    </row>
    <row r="47" spans="2:5" ht="15" customHeight="1" x14ac:dyDescent="0.25">
      <c r="B47" s="89"/>
      <c r="C47" s="46" t="s">
        <v>126</v>
      </c>
      <c r="D47" s="47">
        <v>26</v>
      </c>
      <c r="E47" s="48">
        <v>3.3796958273755364E-3</v>
      </c>
    </row>
    <row r="48" spans="2:5" ht="15" customHeight="1" x14ac:dyDescent="0.25">
      <c r="B48" s="89"/>
      <c r="C48" s="46" t="s">
        <v>122</v>
      </c>
      <c r="D48" s="47">
        <v>70</v>
      </c>
      <c r="E48" s="48">
        <v>9.0991810737033659E-3</v>
      </c>
    </row>
    <row r="49" spans="2:5" ht="15" customHeight="1" x14ac:dyDescent="0.25">
      <c r="B49" s="89"/>
      <c r="C49" s="46" t="s">
        <v>129</v>
      </c>
      <c r="D49" s="47">
        <v>31</v>
      </c>
      <c r="E49" s="48">
        <v>4.0296373326400622E-3</v>
      </c>
    </row>
    <row r="50" spans="2:5" ht="15" customHeight="1" x14ac:dyDescent="0.25">
      <c r="B50" s="89"/>
      <c r="C50" s="46" t="s">
        <v>130</v>
      </c>
      <c r="D50" s="47">
        <v>2</v>
      </c>
      <c r="E50" s="48">
        <v>2.599766021058105E-4</v>
      </c>
    </row>
    <row r="51" spans="2:5" ht="15" customHeight="1" x14ac:dyDescent="0.25">
      <c r="B51" s="89"/>
      <c r="C51" s="46" t="s">
        <v>125</v>
      </c>
      <c r="D51" s="47">
        <v>44</v>
      </c>
      <c r="E51" s="48">
        <v>5.7194852463278304E-3</v>
      </c>
    </row>
    <row r="52" spans="2:5" ht="15" customHeight="1" x14ac:dyDescent="0.25">
      <c r="B52" s="89"/>
      <c r="C52" s="46" t="s">
        <v>124</v>
      </c>
      <c r="D52" s="47">
        <v>35</v>
      </c>
      <c r="E52" s="48">
        <v>4.549590536851683E-3</v>
      </c>
    </row>
    <row r="53" spans="2:5" ht="15" customHeight="1" x14ac:dyDescent="0.25">
      <c r="B53" s="89"/>
      <c r="C53" s="46" t="s">
        <v>123</v>
      </c>
      <c r="D53" s="47">
        <v>109</v>
      </c>
      <c r="E53" s="48">
        <v>1.4168724814766671E-2</v>
      </c>
    </row>
    <row r="54" spans="2:5" ht="15" customHeight="1" x14ac:dyDescent="0.25">
      <c r="B54" s="89"/>
      <c r="C54" s="46" t="s">
        <v>131</v>
      </c>
      <c r="D54" s="47">
        <v>8</v>
      </c>
      <c r="E54" s="48">
        <v>1.039906408423242E-3</v>
      </c>
    </row>
    <row r="55" spans="2:5" ht="15" customHeight="1" x14ac:dyDescent="0.25">
      <c r="B55" s="89"/>
      <c r="C55" s="46" t="s">
        <v>128</v>
      </c>
      <c r="D55" s="47">
        <v>3</v>
      </c>
      <c r="E55" s="48">
        <v>3.899649031587157E-4</v>
      </c>
    </row>
    <row r="56" spans="2:5" ht="15" customHeight="1" x14ac:dyDescent="0.25">
      <c r="B56" s="89"/>
      <c r="C56" s="46" t="s">
        <v>127</v>
      </c>
      <c r="D56" s="47">
        <v>32</v>
      </c>
      <c r="E56" s="48">
        <v>4.159625633692968E-3</v>
      </c>
    </row>
    <row r="57" spans="2:5" ht="15" customHeight="1" x14ac:dyDescent="0.25">
      <c r="B57" s="90"/>
      <c r="C57" s="49" t="s">
        <v>63</v>
      </c>
      <c r="D57" s="50">
        <v>590</v>
      </c>
      <c r="E57" s="51">
        <v>7.6693097621214096E-2</v>
      </c>
    </row>
    <row r="58" spans="2:5" ht="15" customHeight="1" x14ac:dyDescent="0.25">
      <c r="B58" s="88" t="s">
        <v>51</v>
      </c>
      <c r="C58" s="46" t="s">
        <v>12</v>
      </c>
      <c r="D58" s="47">
        <v>9</v>
      </c>
      <c r="E58" s="48">
        <v>1.1698947094761472E-3</v>
      </c>
    </row>
    <row r="59" spans="2:5" ht="15" customHeight="1" x14ac:dyDescent="0.25">
      <c r="B59" s="89"/>
      <c r="C59" s="46" t="s">
        <v>124</v>
      </c>
      <c r="D59" s="47">
        <v>1</v>
      </c>
      <c r="E59" s="48">
        <v>1.2998830105290525E-4</v>
      </c>
    </row>
    <row r="60" spans="2:5" ht="15" customHeight="1" x14ac:dyDescent="0.25">
      <c r="B60" s="90"/>
      <c r="C60" s="49" t="s">
        <v>63</v>
      </c>
      <c r="D60" s="50">
        <v>10</v>
      </c>
      <c r="E60" s="51">
        <v>1.2998830105290524E-3</v>
      </c>
    </row>
    <row r="61" spans="2:5" ht="15" customHeight="1" x14ac:dyDescent="0.25">
      <c r="B61" s="88" t="s">
        <v>54</v>
      </c>
      <c r="C61" s="46" t="s">
        <v>12</v>
      </c>
      <c r="D61" s="47">
        <v>1</v>
      </c>
      <c r="E61" s="48">
        <v>1.2998830105290525E-4</v>
      </c>
    </row>
    <row r="62" spans="2:5" ht="15" customHeight="1" x14ac:dyDescent="0.25">
      <c r="B62" s="89"/>
      <c r="C62" s="46" t="s">
        <v>122</v>
      </c>
      <c r="D62" s="47">
        <v>1</v>
      </c>
      <c r="E62" s="48">
        <v>1.2998830105290525E-4</v>
      </c>
    </row>
    <row r="63" spans="2:5" ht="15" customHeight="1" x14ac:dyDescent="0.25">
      <c r="B63" s="90"/>
      <c r="C63" s="49" t="s">
        <v>63</v>
      </c>
      <c r="D63" s="50">
        <v>2</v>
      </c>
      <c r="E63" s="51">
        <v>2.599766021058105E-4</v>
      </c>
    </row>
    <row r="64" spans="2:5" ht="15" customHeight="1" x14ac:dyDescent="0.25">
      <c r="B64" s="88" t="s">
        <v>23</v>
      </c>
      <c r="C64" s="46" t="s">
        <v>12</v>
      </c>
      <c r="D64" s="47">
        <v>118</v>
      </c>
      <c r="E64" s="48">
        <v>1.5338619524242819E-2</v>
      </c>
    </row>
    <row r="65" spans="2:5" ht="15" customHeight="1" x14ac:dyDescent="0.25">
      <c r="B65" s="89"/>
      <c r="C65" s="46" t="s">
        <v>126</v>
      </c>
      <c r="D65" s="47">
        <v>6</v>
      </c>
      <c r="E65" s="48">
        <v>7.799298063174314E-4</v>
      </c>
    </row>
    <row r="66" spans="2:5" ht="15" customHeight="1" x14ac:dyDescent="0.25">
      <c r="B66" s="89"/>
      <c r="C66" s="46" t="s">
        <v>122</v>
      </c>
      <c r="D66" s="47">
        <v>19</v>
      </c>
      <c r="E66" s="48">
        <v>2.4697777200051994E-3</v>
      </c>
    </row>
    <row r="67" spans="2:5" ht="15" customHeight="1" x14ac:dyDescent="0.25">
      <c r="B67" s="89"/>
      <c r="C67" s="46" t="s">
        <v>129</v>
      </c>
      <c r="D67" s="47">
        <v>3</v>
      </c>
      <c r="E67" s="48">
        <v>3.899649031587157E-4</v>
      </c>
    </row>
    <row r="68" spans="2:5" ht="15" customHeight="1" x14ac:dyDescent="0.25">
      <c r="B68" s="89"/>
      <c r="C68" s="46" t="s">
        <v>130</v>
      </c>
      <c r="D68" s="47">
        <v>15</v>
      </c>
      <c r="E68" s="48">
        <v>1.9498245157935786E-3</v>
      </c>
    </row>
    <row r="69" spans="2:5" ht="15" customHeight="1" x14ac:dyDescent="0.25">
      <c r="B69" s="89"/>
      <c r="C69" s="46" t="s">
        <v>125</v>
      </c>
      <c r="D69" s="47">
        <v>9</v>
      </c>
      <c r="E69" s="48">
        <v>1.1698947094761472E-3</v>
      </c>
    </row>
    <row r="70" spans="2:5" ht="15" customHeight="1" x14ac:dyDescent="0.25">
      <c r="B70" s="89"/>
      <c r="C70" s="46" t="s">
        <v>124</v>
      </c>
      <c r="D70" s="47">
        <v>7</v>
      </c>
      <c r="E70" s="48">
        <v>9.099181073703367E-4</v>
      </c>
    </row>
    <row r="71" spans="2:5" ht="15" customHeight="1" x14ac:dyDescent="0.25">
      <c r="B71" s="89"/>
      <c r="C71" s="46" t="s">
        <v>123</v>
      </c>
      <c r="D71" s="47">
        <v>10</v>
      </c>
      <c r="E71" s="48">
        <v>1.2998830105290524E-3</v>
      </c>
    </row>
    <row r="72" spans="2:5" ht="15" customHeight="1" x14ac:dyDescent="0.25">
      <c r="B72" s="89"/>
      <c r="C72" s="46" t="s">
        <v>131</v>
      </c>
      <c r="D72" s="47">
        <v>1</v>
      </c>
      <c r="E72" s="48">
        <v>1.2998830105290525E-4</v>
      </c>
    </row>
    <row r="73" spans="2:5" ht="15" customHeight="1" x14ac:dyDescent="0.25">
      <c r="B73" s="89"/>
      <c r="C73" s="46" t="s">
        <v>128</v>
      </c>
      <c r="D73" s="47">
        <v>1</v>
      </c>
      <c r="E73" s="48">
        <v>1.2998830105290525E-4</v>
      </c>
    </row>
    <row r="74" spans="2:5" ht="15" customHeight="1" x14ac:dyDescent="0.25">
      <c r="B74" s="89"/>
      <c r="C74" s="46" t="s">
        <v>127</v>
      </c>
      <c r="D74" s="47">
        <v>1</v>
      </c>
      <c r="E74" s="48">
        <v>1.2998830105290525E-4</v>
      </c>
    </row>
    <row r="75" spans="2:5" ht="15" customHeight="1" x14ac:dyDescent="0.25">
      <c r="B75" s="90"/>
      <c r="C75" s="49" t="s">
        <v>63</v>
      </c>
      <c r="D75" s="50">
        <v>190</v>
      </c>
      <c r="E75" s="51">
        <v>2.4697777200051996E-2</v>
      </c>
    </row>
    <row r="76" spans="2:5" ht="15" customHeight="1" x14ac:dyDescent="0.25">
      <c r="B76" s="88" t="s">
        <v>26</v>
      </c>
      <c r="C76" s="46" t="s">
        <v>12</v>
      </c>
      <c r="D76" s="47">
        <v>90</v>
      </c>
      <c r="E76" s="48">
        <v>1.1698947094761471E-2</v>
      </c>
    </row>
    <row r="77" spans="2:5" ht="15" customHeight="1" x14ac:dyDescent="0.25">
      <c r="B77" s="89"/>
      <c r="C77" s="46" t="s">
        <v>126</v>
      </c>
      <c r="D77" s="47">
        <v>3</v>
      </c>
      <c r="E77" s="48">
        <v>3.899649031587157E-4</v>
      </c>
    </row>
    <row r="78" spans="2:5" ht="15" customHeight="1" x14ac:dyDescent="0.25">
      <c r="B78" s="89"/>
      <c r="C78" s="46" t="s">
        <v>122</v>
      </c>
      <c r="D78" s="47">
        <v>37</v>
      </c>
      <c r="E78" s="48">
        <v>4.8095671389574938E-3</v>
      </c>
    </row>
    <row r="79" spans="2:5" ht="15" customHeight="1" x14ac:dyDescent="0.25">
      <c r="B79" s="89"/>
      <c r="C79" s="46" t="s">
        <v>129</v>
      </c>
      <c r="D79" s="47">
        <v>1</v>
      </c>
      <c r="E79" s="48">
        <v>1.2998830105290525E-4</v>
      </c>
    </row>
    <row r="80" spans="2:5" ht="15" customHeight="1" x14ac:dyDescent="0.25">
      <c r="B80" s="89"/>
      <c r="C80" s="46" t="s">
        <v>125</v>
      </c>
      <c r="D80" s="47">
        <v>5</v>
      </c>
      <c r="E80" s="48">
        <v>6.499415052645262E-4</v>
      </c>
    </row>
    <row r="81" spans="2:5" ht="15" customHeight="1" x14ac:dyDescent="0.25">
      <c r="B81" s="89"/>
      <c r="C81" s="46" t="s">
        <v>124</v>
      </c>
      <c r="D81" s="47">
        <v>10</v>
      </c>
      <c r="E81" s="48">
        <v>1.2998830105290524E-3</v>
      </c>
    </row>
    <row r="82" spans="2:5" ht="15" customHeight="1" x14ac:dyDescent="0.25">
      <c r="B82" s="89"/>
      <c r="C82" s="46" t="s">
        <v>123</v>
      </c>
      <c r="D82" s="47">
        <v>4</v>
      </c>
      <c r="E82" s="48">
        <v>5.19953204211621E-4</v>
      </c>
    </row>
    <row r="83" spans="2:5" ht="15" customHeight="1" x14ac:dyDescent="0.25">
      <c r="B83" s="89"/>
      <c r="C83" s="46" t="s">
        <v>131</v>
      </c>
      <c r="D83" s="47">
        <v>1</v>
      </c>
      <c r="E83" s="48">
        <v>1.2998830105290525E-4</v>
      </c>
    </row>
    <row r="84" spans="2:5" ht="15" customHeight="1" x14ac:dyDescent="0.25">
      <c r="B84" s="89"/>
      <c r="C84" s="46" t="s">
        <v>128</v>
      </c>
      <c r="D84" s="47">
        <v>2</v>
      </c>
      <c r="E84" s="48">
        <v>2.599766021058105E-4</v>
      </c>
    </row>
    <row r="85" spans="2:5" ht="15" customHeight="1" x14ac:dyDescent="0.25">
      <c r="B85" s="90"/>
      <c r="C85" s="49" t="s">
        <v>63</v>
      </c>
      <c r="D85" s="50">
        <v>153</v>
      </c>
      <c r="E85" s="51">
        <v>1.9888210061094501E-2</v>
      </c>
    </row>
    <row r="86" spans="2:5" ht="15" customHeight="1" x14ac:dyDescent="0.25">
      <c r="B86" s="88" t="s">
        <v>44</v>
      </c>
      <c r="C86" s="46" t="s">
        <v>12</v>
      </c>
      <c r="D86" s="47">
        <v>13</v>
      </c>
      <c r="E86" s="48">
        <v>1.6898479136877682E-3</v>
      </c>
    </row>
    <row r="87" spans="2:5" ht="15" customHeight="1" x14ac:dyDescent="0.25">
      <c r="B87" s="89"/>
      <c r="C87" s="46" t="s">
        <v>122</v>
      </c>
      <c r="D87" s="47">
        <v>15</v>
      </c>
      <c r="E87" s="48">
        <v>1.9498245157935786E-3</v>
      </c>
    </row>
    <row r="88" spans="2:5" ht="15" customHeight="1" x14ac:dyDescent="0.25">
      <c r="B88" s="89"/>
      <c r="C88" s="46" t="s">
        <v>129</v>
      </c>
      <c r="D88" s="47">
        <v>1</v>
      </c>
      <c r="E88" s="48">
        <v>1.2998830105290525E-4</v>
      </c>
    </row>
    <row r="89" spans="2:5" ht="15" customHeight="1" x14ac:dyDescent="0.25">
      <c r="B89" s="89"/>
      <c r="C89" s="46" t="s">
        <v>130</v>
      </c>
      <c r="D89" s="47">
        <v>1</v>
      </c>
      <c r="E89" s="48">
        <v>1.2998830105290525E-4</v>
      </c>
    </row>
    <row r="90" spans="2:5" ht="15" customHeight="1" x14ac:dyDescent="0.25">
      <c r="B90" s="89"/>
      <c r="C90" s="46" t="s">
        <v>125</v>
      </c>
      <c r="D90" s="47">
        <v>1</v>
      </c>
      <c r="E90" s="48">
        <v>1.2998830105290525E-4</v>
      </c>
    </row>
    <row r="91" spans="2:5" ht="15" customHeight="1" x14ac:dyDescent="0.25">
      <c r="B91" s="89"/>
      <c r="C91" s="46" t="s">
        <v>123</v>
      </c>
      <c r="D91" s="47">
        <v>2</v>
      </c>
      <c r="E91" s="48">
        <v>2.599766021058105E-4</v>
      </c>
    </row>
    <row r="92" spans="2:5" ht="15" customHeight="1" x14ac:dyDescent="0.25">
      <c r="B92" s="89"/>
      <c r="C92" s="46" t="s">
        <v>127</v>
      </c>
      <c r="D92" s="47">
        <v>2</v>
      </c>
      <c r="E92" s="48">
        <v>2.599766021058105E-4</v>
      </c>
    </row>
    <row r="93" spans="2:5" ht="15" customHeight="1" x14ac:dyDescent="0.25">
      <c r="B93" s="90"/>
      <c r="C93" s="49" t="s">
        <v>63</v>
      </c>
      <c r="D93" s="50">
        <v>35</v>
      </c>
      <c r="E93" s="51">
        <v>4.549590536851683E-3</v>
      </c>
    </row>
    <row r="94" spans="2:5" ht="15" customHeight="1" x14ac:dyDescent="0.25">
      <c r="B94" s="88" t="s">
        <v>19</v>
      </c>
      <c r="C94" s="46" t="s">
        <v>12</v>
      </c>
      <c r="D94" s="47">
        <v>426</v>
      </c>
      <c r="E94" s="48">
        <v>5.5375016248537634E-2</v>
      </c>
    </row>
    <row r="95" spans="2:5" ht="15" customHeight="1" x14ac:dyDescent="0.25">
      <c r="B95" s="89"/>
      <c r="C95" s="46" t="s">
        <v>126</v>
      </c>
      <c r="D95" s="47">
        <v>52</v>
      </c>
      <c r="E95" s="48">
        <v>6.7593916547510728E-3</v>
      </c>
    </row>
    <row r="96" spans="2:5" ht="15" customHeight="1" x14ac:dyDescent="0.25">
      <c r="B96" s="89"/>
      <c r="C96" s="46" t="s">
        <v>122</v>
      </c>
      <c r="D96" s="47">
        <v>211</v>
      </c>
      <c r="E96" s="48">
        <v>2.7427531522163005E-2</v>
      </c>
    </row>
    <row r="97" spans="2:5" ht="15" customHeight="1" x14ac:dyDescent="0.25">
      <c r="B97" s="89"/>
      <c r="C97" s="46" t="s">
        <v>129</v>
      </c>
      <c r="D97" s="47">
        <v>2</v>
      </c>
      <c r="E97" s="48">
        <v>2.599766021058105E-4</v>
      </c>
    </row>
    <row r="98" spans="2:5" ht="15" customHeight="1" x14ac:dyDescent="0.25">
      <c r="B98" s="89"/>
      <c r="C98" s="46" t="s">
        <v>130</v>
      </c>
      <c r="D98" s="47">
        <v>4</v>
      </c>
      <c r="E98" s="48">
        <v>5.19953204211621E-4</v>
      </c>
    </row>
    <row r="99" spans="2:5" ht="15" customHeight="1" x14ac:dyDescent="0.25">
      <c r="B99" s="89"/>
      <c r="C99" s="46" t="s">
        <v>125</v>
      </c>
      <c r="D99" s="47">
        <v>49</v>
      </c>
      <c r="E99" s="48">
        <v>6.369426751592357E-3</v>
      </c>
    </row>
    <row r="100" spans="2:5" ht="15" customHeight="1" x14ac:dyDescent="0.25">
      <c r="B100" s="89"/>
      <c r="C100" s="46" t="s">
        <v>124</v>
      </c>
      <c r="D100" s="47">
        <v>34</v>
      </c>
      <c r="E100" s="48">
        <v>4.419602235798778E-3</v>
      </c>
    </row>
    <row r="101" spans="2:5" ht="15" customHeight="1" x14ac:dyDescent="0.25">
      <c r="B101" s="89"/>
      <c r="C101" s="46" t="s">
        <v>123</v>
      </c>
      <c r="D101" s="47">
        <v>40</v>
      </c>
      <c r="E101" s="48">
        <v>5.1995320421162096E-3</v>
      </c>
    </row>
    <row r="102" spans="2:5" ht="15" customHeight="1" x14ac:dyDescent="0.25">
      <c r="B102" s="89"/>
      <c r="C102" s="46" t="s">
        <v>131</v>
      </c>
      <c r="D102" s="47">
        <v>19</v>
      </c>
      <c r="E102" s="48">
        <v>2.4697777200051994E-3</v>
      </c>
    </row>
    <row r="103" spans="2:5" ht="15" customHeight="1" x14ac:dyDescent="0.25">
      <c r="B103" s="89"/>
      <c r="C103" s="46" t="s">
        <v>128</v>
      </c>
      <c r="D103" s="47">
        <v>2</v>
      </c>
      <c r="E103" s="48">
        <v>2.599766021058105E-4</v>
      </c>
    </row>
    <row r="104" spans="2:5" ht="15" customHeight="1" x14ac:dyDescent="0.25">
      <c r="B104" s="89"/>
      <c r="C104" s="46" t="s">
        <v>127</v>
      </c>
      <c r="D104" s="47">
        <v>1</v>
      </c>
      <c r="E104" s="48">
        <v>1.2998830105290525E-4</v>
      </c>
    </row>
    <row r="105" spans="2:5" ht="15" customHeight="1" x14ac:dyDescent="0.25">
      <c r="B105" s="90"/>
      <c r="C105" s="49" t="s">
        <v>63</v>
      </c>
      <c r="D105" s="50">
        <v>840</v>
      </c>
      <c r="E105" s="51">
        <v>0.1091901728844404</v>
      </c>
    </row>
    <row r="106" spans="2:5" ht="15" customHeight="1" x14ac:dyDescent="0.25">
      <c r="B106" s="88" t="s">
        <v>22</v>
      </c>
      <c r="C106" s="46" t="s">
        <v>12</v>
      </c>
      <c r="D106" s="47">
        <v>418</v>
      </c>
      <c r="E106" s="48">
        <v>5.4335109840114387E-2</v>
      </c>
    </row>
    <row r="107" spans="2:5" ht="15" customHeight="1" x14ac:dyDescent="0.25">
      <c r="B107" s="89"/>
      <c r="C107" s="46" t="s">
        <v>126</v>
      </c>
      <c r="D107" s="47">
        <v>12</v>
      </c>
      <c r="E107" s="48">
        <v>1.5598596126348628E-3</v>
      </c>
    </row>
    <row r="108" spans="2:5" ht="15" customHeight="1" x14ac:dyDescent="0.25">
      <c r="B108" s="89"/>
      <c r="C108" s="46" t="s">
        <v>122</v>
      </c>
      <c r="D108" s="47">
        <v>16</v>
      </c>
      <c r="E108" s="48">
        <v>2.079812816846484E-3</v>
      </c>
    </row>
    <row r="109" spans="2:5" ht="15" customHeight="1" x14ac:dyDescent="0.25">
      <c r="B109" s="89"/>
      <c r="C109" s="46" t="s">
        <v>130</v>
      </c>
      <c r="D109" s="47">
        <v>26</v>
      </c>
      <c r="E109" s="48">
        <v>3.3796958273755364E-3</v>
      </c>
    </row>
    <row r="110" spans="2:5" ht="15" customHeight="1" x14ac:dyDescent="0.25">
      <c r="B110" s="89"/>
      <c r="C110" s="46" t="s">
        <v>125</v>
      </c>
      <c r="D110" s="47">
        <v>21</v>
      </c>
      <c r="E110" s="48">
        <v>2.7297543221110102E-3</v>
      </c>
    </row>
    <row r="111" spans="2:5" ht="15" customHeight="1" x14ac:dyDescent="0.25">
      <c r="B111" s="89"/>
      <c r="C111" s="46" t="s">
        <v>124</v>
      </c>
      <c r="D111" s="47">
        <v>6</v>
      </c>
      <c r="E111" s="48">
        <v>7.799298063174314E-4</v>
      </c>
    </row>
    <row r="112" spans="2:5" ht="15" customHeight="1" x14ac:dyDescent="0.25">
      <c r="B112" s="89"/>
      <c r="C112" s="46" t="s">
        <v>123</v>
      </c>
      <c r="D112" s="47">
        <v>7</v>
      </c>
      <c r="E112" s="48">
        <v>9.099181073703367E-4</v>
      </c>
    </row>
    <row r="113" spans="2:5" ht="15" customHeight="1" x14ac:dyDescent="0.25">
      <c r="B113" s="89"/>
      <c r="C113" s="46" t="s">
        <v>131</v>
      </c>
      <c r="D113" s="47">
        <v>2</v>
      </c>
      <c r="E113" s="48">
        <v>2.599766021058105E-4</v>
      </c>
    </row>
    <row r="114" spans="2:5" ht="15" customHeight="1" x14ac:dyDescent="0.25">
      <c r="B114" s="89"/>
      <c r="C114" s="46" t="s">
        <v>127</v>
      </c>
      <c r="D114" s="47">
        <v>2</v>
      </c>
      <c r="E114" s="48">
        <v>2.599766021058105E-4</v>
      </c>
    </row>
    <row r="115" spans="2:5" ht="15" customHeight="1" x14ac:dyDescent="0.25">
      <c r="B115" s="90"/>
      <c r="C115" s="49" t="s">
        <v>63</v>
      </c>
      <c r="D115" s="50">
        <v>510</v>
      </c>
      <c r="E115" s="51">
        <v>6.629403353698167E-2</v>
      </c>
    </row>
    <row r="116" spans="2:5" ht="15" customHeight="1" x14ac:dyDescent="0.25">
      <c r="B116" s="88" t="s">
        <v>37</v>
      </c>
      <c r="C116" s="46" t="s">
        <v>12</v>
      </c>
      <c r="D116" s="47">
        <v>38</v>
      </c>
      <c r="E116" s="48">
        <v>4.9395554400103988E-3</v>
      </c>
    </row>
    <row r="117" spans="2:5" ht="15" customHeight="1" x14ac:dyDescent="0.25">
      <c r="B117" s="89"/>
      <c r="C117" s="46" t="s">
        <v>126</v>
      </c>
      <c r="D117" s="47">
        <v>1</v>
      </c>
      <c r="E117" s="48">
        <v>1.2998830105290525E-4</v>
      </c>
    </row>
    <row r="118" spans="2:5" ht="15" customHeight="1" x14ac:dyDescent="0.25">
      <c r="B118" s="89"/>
      <c r="C118" s="46" t="s">
        <v>122</v>
      </c>
      <c r="D118" s="47">
        <v>5</v>
      </c>
      <c r="E118" s="48">
        <v>6.499415052645262E-4</v>
      </c>
    </row>
    <row r="119" spans="2:5" ht="15" customHeight="1" x14ac:dyDescent="0.25">
      <c r="B119" s="89"/>
      <c r="C119" s="46" t="s">
        <v>125</v>
      </c>
      <c r="D119" s="47">
        <v>9</v>
      </c>
      <c r="E119" s="48">
        <v>1.1698947094761472E-3</v>
      </c>
    </row>
    <row r="120" spans="2:5" ht="15" customHeight="1" x14ac:dyDescent="0.25">
      <c r="B120" s="89"/>
      <c r="C120" s="46" t="s">
        <v>124</v>
      </c>
      <c r="D120" s="47">
        <v>7</v>
      </c>
      <c r="E120" s="48">
        <v>9.099181073703367E-4</v>
      </c>
    </row>
    <row r="121" spans="2:5" ht="15" customHeight="1" x14ac:dyDescent="0.25">
      <c r="B121" s="89"/>
      <c r="C121" s="46" t="s">
        <v>123</v>
      </c>
      <c r="D121" s="47">
        <v>3</v>
      </c>
      <c r="E121" s="48">
        <v>3.899649031587157E-4</v>
      </c>
    </row>
    <row r="122" spans="2:5" ht="15" customHeight="1" x14ac:dyDescent="0.25">
      <c r="B122" s="89"/>
      <c r="C122" s="46" t="s">
        <v>131</v>
      </c>
      <c r="D122" s="47">
        <v>1</v>
      </c>
      <c r="E122" s="48">
        <v>1.2998830105290525E-4</v>
      </c>
    </row>
    <row r="123" spans="2:5" ht="15" customHeight="1" x14ac:dyDescent="0.25">
      <c r="B123" s="90"/>
      <c r="C123" s="49" t="s">
        <v>63</v>
      </c>
      <c r="D123" s="50">
        <v>64</v>
      </c>
      <c r="E123" s="51">
        <v>8.319251267385936E-3</v>
      </c>
    </row>
    <row r="124" spans="2:5" ht="15" customHeight="1" x14ac:dyDescent="0.25">
      <c r="B124" s="88" t="s">
        <v>29</v>
      </c>
      <c r="C124" s="46" t="s">
        <v>12</v>
      </c>
      <c r="D124" s="47">
        <v>73</v>
      </c>
      <c r="E124" s="48">
        <v>9.4891459768620817E-3</v>
      </c>
    </row>
    <row r="125" spans="2:5" ht="15" customHeight="1" x14ac:dyDescent="0.25">
      <c r="B125" s="89"/>
      <c r="C125" s="46" t="s">
        <v>126</v>
      </c>
      <c r="D125" s="47">
        <v>6</v>
      </c>
      <c r="E125" s="48">
        <v>7.799298063174314E-4</v>
      </c>
    </row>
    <row r="126" spans="2:5" ht="15" customHeight="1" x14ac:dyDescent="0.25">
      <c r="B126" s="89"/>
      <c r="C126" s="46" t="s">
        <v>122</v>
      </c>
      <c r="D126" s="47">
        <v>54</v>
      </c>
      <c r="E126" s="48">
        <v>7.0193682568568828E-3</v>
      </c>
    </row>
    <row r="127" spans="2:5" ht="15" customHeight="1" x14ac:dyDescent="0.25">
      <c r="B127" s="89"/>
      <c r="C127" s="46" t="s">
        <v>129</v>
      </c>
      <c r="D127" s="47">
        <v>2</v>
      </c>
      <c r="E127" s="48">
        <v>2.599766021058105E-4</v>
      </c>
    </row>
    <row r="128" spans="2:5" ht="15" customHeight="1" x14ac:dyDescent="0.25">
      <c r="B128" s="89"/>
      <c r="C128" s="46" t="s">
        <v>125</v>
      </c>
      <c r="D128" s="47">
        <v>3</v>
      </c>
      <c r="E128" s="48">
        <v>3.899649031587157E-4</v>
      </c>
    </row>
    <row r="129" spans="2:5" ht="15" customHeight="1" x14ac:dyDescent="0.25">
      <c r="B129" s="89"/>
      <c r="C129" s="46" t="s">
        <v>124</v>
      </c>
      <c r="D129" s="47">
        <v>5</v>
      </c>
      <c r="E129" s="48">
        <v>6.499415052645262E-4</v>
      </c>
    </row>
    <row r="130" spans="2:5" ht="15" customHeight="1" x14ac:dyDescent="0.25">
      <c r="B130" s="89"/>
      <c r="C130" s="46" t="s">
        <v>123</v>
      </c>
      <c r="D130" s="47">
        <v>8</v>
      </c>
      <c r="E130" s="48">
        <v>1.039906408423242E-3</v>
      </c>
    </row>
    <row r="131" spans="2:5" ht="15" customHeight="1" x14ac:dyDescent="0.25">
      <c r="B131" s="89"/>
      <c r="C131" s="46" t="s">
        <v>128</v>
      </c>
      <c r="D131" s="47">
        <v>1</v>
      </c>
      <c r="E131" s="48">
        <v>1.2998830105290525E-4</v>
      </c>
    </row>
    <row r="132" spans="2:5" ht="15" customHeight="1" x14ac:dyDescent="0.25">
      <c r="B132" s="90"/>
      <c r="C132" s="49" t="s">
        <v>63</v>
      </c>
      <c r="D132" s="50">
        <v>152</v>
      </c>
      <c r="E132" s="51">
        <v>1.9758221760041595E-2</v>
      </c>
    </row>
    <row r="133" spans="2:5" ht="15" customHeight="1" x14ac:dyDescent="0.25">
      <c r="B133" s="88" t="s">
        <v>33</v>
      </c>
      <c r="C133" s="46" t="s">
        <v>12</v>
      </c>
      <c r="D133" s="47">
        <v>44</v>
      </c>
      <c r="E133" s="48">
        <v>5.7194852463278304E-3</v>
      </c>
    </row>
    <row r="134" spans="2:5" ht="15" customHeight="1" x14ac:dyDescent="0.25">
      <c r="B134" s="89"/>
      <c r="C134" s="46" t="s">
        <v>126</v>
      </c>
      <c r="D134" s="47">
        <v>1</v>
      </c>
      <c r="E134" s="48">
        <v>1.2998830105290525E-4</v>
      </c>
    </row>
    <row r="135" spans="2:5" ht="15" customHeight="1" x14ac:dyDescent="0.25">
      <c r="B135" s="89"/>
      <c r="C135" s="46" t="s">
        <v>122</v>
      </c>
      <c r="D135" s="47">
        <v>3</v>
      </c>
      <c r="E135" s="48">
        <v>3.899649031587157E-4</v>
      </c>
    </row>
    <row r="136" spans="2:5" ht="15" customHeight="1" x14ac:dyDescent="0.25">
      <c r="B136" s="89"/>
      <c r="C136" s="46" t="s">
        <v>125</v>
      </c>
      <c r="D136" s="47">
        <v>4</v>
      </c>
      <c r="E136" s="48">
        <v>5.19953204211621E-4</v>
      </c>
    </row>
    <row r="137" spans="2:5" ht="15" customHeight="1" x14ac:dyDescent="0.25">
      <c r="B137" s="89"/>
      <c r="C137" s="46" t="s">
        <v>124</v>
      </c>
      <c r="D137" s="47">
        <v>21</v>
      </c>
      <c r="E137" s="48">
        <v>2.7297543221110102E-3</v>
      </c>
    </row>
    <row r="138" spans="2:5" ht="15" customHeight="1" x14ac:dyDescent="0.25">
      <c r="B138" s="89"/>
      <c r="C138" s="46" t="s">
        <v>123</v>
      </c>
      <c r="D138" s="47">
        <v>11</v>
      </c>
      <c r="E138" s="48">
        <v>1.4298713115819576E-3</v>
      </c>
    </row>
    <row r="139" spans="2:5" ht="15" customHeight="1" x14ac:dyDescent="0.25">
      <c r="B139" s="89"/>
      <c r="C139" s="46" t="s">
        <v>131</v>
      </c>
      <c r="D139" s="47">
        <v>11</v>
      </c>
      <c r="E139" s="48">
        <v>1.4298713115819576E-3</v>
      </c>
    </row>
    <row r="140" spans="2:5" ht="15" customHeight="1" x14ac:dyDescent="0.25">
      <c r="B140" s="89"/>
      <c r="C140" s="46" t="s">
        <v>127</v>
      </c>
      <c r="D140" s="47">
        <v>1</v>
      </c>
      <c r="E140" s="48">
        <v>1.2998830105290525E-4</v>
      </c>
    </row>
    <row r="141" spans="2:5" ht="15" customHeight="1" x14ac:dyDescent="0.25">
      <c r="B141" s="90"/>
      <c r="C141" s="49" t="s">
        <v>63</v>
      </c>
      <c r="D141" s="50">
        <v>96</v>
      </c>
      <c r="E141" s="51">
        <v>1.2478876901078902E-2</v>
      </c>
    </row>
    <row r="142" spans="2:5" ht="15" customHeight="1" x14ac:dyDescent="0.25">
      <c r="B142" s="88" t="s">
        <v>47</v>
      </c>
      <c r="C142" s="46" t="s">
        <v>12</v>
      </c>
      <c r="D142" s="47">
        <v>13</v>
      </c>
      <c r="E142" s="48">
        <v>1.6898479136877682E-3</v>
      </c>
    </row>
    <row r="143" spans="2:5" ht="15" customHeight="1" x14ac:dyDescent="0.25">
      <c r="B143" s="89"/>
      <c r="C143" s="46" t="s">
        <v>122</v>
      </c>
      <c r="D143" s="47">
        <v>2</v>
      </c>
      <c r="E143" s="48">
        <v>2.599766021058105E-4</v>
      </c>
    </row>
    <row r="144" spans="2:5" ht="15" customHeight="1" x14ac:dyDescent="0.25">
      <c r="B144" s="89"/>
      <c r="C144" s="46" t="s">
        <v>129</v>
      </c>
      <c r="D144" s="47">
        <v>1</v>
      </c>
      <c r="E144" s="48">
        <v>1.2998830105290525E-4</v>
      </c>
    </row>
    <row r="145" spans="2:5" ht="15" customHeight="1" x14ac:dyDescent="0.25">
      <c r="B145" s="89"/>
      <c r="C145" s="46" t="s">
        <v>124</v>
      </c>
      <c r="D145" s="47">
        <v>1</v>
      </c>
      <c r="E145" s="48">
        <v>1.2998830105290525E-4</v>
      </c>
    </row>
    <row r="146" spans="2:5" ht="15" customHeight="1" x14ac:dyDescent="0.25">
      <c r="B146" s="89"/>
      <c r="C146" s="46" t="s">
        <v>123</v>
      </c>
      <c r="D146" s="47">
        <v>1</v>
      </c>
      <c r="E146" s="48">
        <v>1.2998830105290525E-4</v>
      </c>
    </row>
    <row r="147" spans="2:5" ht="15" customHeight="1" x14ac:dyDescent="0.25">
      <c r="B147" s="90"/>
      <c r="C147" s="49" t="s">
        <v>63</v>
      </c>
      <c r="D147" s="50">
        <v>18</v>
      </c>
      <c r="E147" s="51">
        <v>2.3397894189522944E-3</v>
      </c>
    </row>
    <row r="148" spans="2:5" ht="15" customHeight="1" x14ac:dyDescent="0.25">
      <c r="B148" s="88" t="s">
        <v>52</v>
      </c>
      <c r="C148" s="46" t="s">
        <v>12</v>
      </c>
      <c r="D148" s="47">
        <v>5</v>
      </c>
      <c r="E148" s="48">
        <v>6.499415052645262E-4</v>
      </c>
    </row>
    <row r="149" spans="2:5" ht="15" customHeight="1" x14ac:dyDescent="0.25">
      <c r="B149" s="89"/>
      <c r="C149" s="46" t="s">
        <v>122</v>
      </c>
      <c r="D149" s="47">
        <v>1</v>
      </c>
      <c r="E149" s="48">
        <v>1.2998830105290525E-4</v>
      </c>
    </row>
    <row r="150" spans="2:5" ht="15" customHeight="1" x14ac:dyDescent="0.25">
      <c r="B150" s="89"/>
      <c r="C150" s="46" t="s">
        <v>123</v>
      </c>
      <c r="D150" s="47">
        <v>5</v>
      </c>
      <c r="E150" s="48">
        <v>6.499415052645262E-4</v>
      </c>
    </row>
    <row r="151" spans="2:5" ht="15" customHeight="1" x14ac:dyDescent="0.25">
      <c r="B151" s="89"/>
      <c r="C151" s="46" t="s">
        <v>131</v>
      </c>
      <c r="D151" s="47">
        <v>1</v>
      </c>
      <c r="E151" s="48">
        <v>1.2998830105290525E-4</v>
      </c>
    </row>
    <row r="152" spans="2:5" ht="15" customHeight="1" x14ac:dyDescent="0.25">
      <c r="B152" s="90"/>
      <c r="C152" s="49" t="s">
        <v>63</v>
      </c>
      <c r="D152" s="50">
        <v>12</v>
      </c>
      <c r="E152" s="51">
        <v>1.5598596126348628E-3</v>
      </c>
    </row>
    <row r="153" spans="2:5" ht="15" customHeight="1" x14ac:dyDescent="0.25">
      <c r="B153" s="88" t="s">
        <v>35</v>
      </c>
      <c r="C153" s="46" t="s">
        <v>12</v>
      </c>
      <c r="D153" s="47">
        <v>36</v>
      </c>
      <c r="E153" s="48">
        <v>4.6795788379045888E-3</v>
      </c>
    </row>
    <row r="154" spans="2:5" ht="15" customHeight="1" x14ac:dyDescent="0.25">
      <c r="B154" s="89"/>
      <c r="C154" s="46" t="s">
        <v>126</v>
      </c>
      <c r="D154" s="47">
        <v>2</v>
      </c>
      <c r="E154" s="48">
        <v>2.599766021058105E-4</v>
      </c>
    </row>
    <row r="155" spans="2:5" ht="15" customHeight="1" x14ac:dyDescent="0.25">
      <c r="B155" s="89"/>
      <c r="C155" s="46" t="s">
        <v>122</v>
      </c>
      <c r="D155" s="47">
        <v>2</v>
      </c>
      <c r="E155" s="48">
        <v>2.599766021058105E-4</v>
      </c>
    </row>
    <row r="156" spans="2:5" ht="15" customHeight="1" x14ac:dyDescent="0.25">
      <c r="B156" s="89"/>
      <c r="C156" s="46" t="s">
        <v>129</v>
      </c>
      <c r="D156" s="47">
        <v>1</v>
      </c>
      <c r="E156" s="48">
        <v>1.2998830105290525E-4</v>
      </c>
    </row>
    <row r="157" spans="2:5" ht="15" customHeight="1" x14ac:dyDescent="0.25">
      <c r="B157" s="89"/>
      <c r="C157" s="46" t="s">
        <v>125</v>
      </c>
      <c r="D157" s="47">
        <v>2</v>
      </c>
      <c r="E157" s="48">
        <v>2.599766021058105E-4</v>
      </c>
    </row>
    <row r="158" spans="2:5" ht="15" customHeight="1" x14ac:dyDescent="0.25">
      <c r="B158" s="89"/>
      <c r="C158" s="46" t="s">
        <v>124</v>
      </c>
      <c r="D158" s="47">
        <v>1</v>
      </c>
      <c r="E158" s="48">
        <v>1.2998830105290525E-4</v>
      </c>
    </row>
    <row r="159" spans="2:5" ht="15" customHeight="1" x14ac:dyDescent="0.25">
      <c r="B159" s="89"/>
      <c r="C159" s="46" t="s">
        <v>123</v>
      </c>
      <c r="D159" s="47">
        <v>3</v>
      </c>
      <c r="E159" s="48">
        <v>3.899649031587157E-4</v>
      </c>
    </row>
    <row r="160" spans="2:5" ht="15" customHeight="1" x14ac:dyDescent="0.25">
      <c r="B160" s="90"/>
      <c r="C160" s="49" t="s">
        <v>63</v>
      </c>
      <c r="D160" s="50">
        <v>47</v>
      </c>
      <c r="E160" s="51">
        <v>6.1094501494865462E-3</v>
      </c>
    </row>
    <row r="161" spans="2:5" ht="15" customHeight="1" x14ac:dyDescent="0.25">
      <c r="B161" s="88" t="s">
        <v>45</v>
      </c>
      <c r="C161" s="46" t="s">
        <v>12</v>
      </c>
      <c r="D161" s="47">
        <v>18</v>
      </c>
      <c r="E161" s="48">
        <v>2.3397894189522944E-3</v>
      </c>
    </row>
    <row r="162" spans="2:5" ht="15" customHeight="1" x14ac:dyDescent="0.25">
      <c r="B162" s="89"/>
      <c r="C162" s="46" t="s">
        <v>122</v>
      </c>
      <c r="D162" s="47">
        <v>2</v>
      </c>
      <c r="E162" s="48">
        <v>2.599766021058105E-4</v>
      </c>
    </row>
    <row r="163" spans="2:5" ht="15" customHeight="1" x14ac:dyDescent="0.25">
      <c r="B163" s="89"/>
      <c r="C163" s="46" t="s">
        <v>125</v>
      </c>
      <c r="D163" s="47">
        <v>6</v>
      </c>
      <c r="E163" s="48">
        <v>7.799298063174314E-4</v>
      </c>
    </row>
    <row r="164" spans="2:5" ht="15" customHeight="1" x14ac:dyDescent="0.25">
      <c r="B164" s="89"/>
      <c r="C164" s="46" t="s">
        <v>123</v>
      </c>
      <c r="D164" s="47">
        <v>2</v>
      </c>
      <c r="E164" s="48">
        <v>2.599766021058105E-4</v>
      </c>
    </row>
    <row r="165" spans="2:5" ht="15" customHeight="1" x14ac:dyDescent="0.25">
      <c r="B165" s="90"/>
      <c r="C165" s="49" t="s">
        <v>63</v>
      </c>
      <c r="D165" s="50">
        <v>28</v>
      </c>
      <c r="E165" s="51">
        <v>3.6396724294813468E-3</v>
      </c>
    </row>
    <row r="166" spans="2:5" ht="15" customHeight="1" x14ac:dyDescent="0.25">
      <c r="B166" s="88" t="s">
        <v>48</v>
      </c>
      <c r="C166" s="46" t="s">
        <v>12</v>
      </c>
      <c r="D166" s="47">
        <v>7</v>
      </c>
      <c r="E166" s="48">
        <v>9.099181073703367E-4</v>
      </c>
    </row>
    <row r="167" spans="2:5" ht="15" customHeight="1" x14ac:dyDescent="0.25">
      <c r="B167" s="89"/>
      <c r="C167" s="46" t="s">
        <v>126</v>
      </c>
      <c r="D167" s="47">
        <v>2</v>
      </c>
      <c r="E167" s="48">
        <v>2.599766021058105E-4</v>
      </c>
    </row>
    <row r="168" spans="2:5" ht="15" customHeight="1" x14ac:dyDescent="0.25">
      <c r="B168" s="89"/>
      <c r="C168" s="46" t="s">
        <v>122</v>
      </c>
      <c r="D168" s="47">
        <v>4</v>
      </c>
      <c r="E168" s="48">
        <v>5.19953204211621E-4</v>
      </c>
    </row>
    <row r="169" spans="2:5" ht="15" customHeight="1" x14ac:dyDescent="0.25">
      <c r="B169" s="89"/>
      <c r="C169" s="46" t="s">
        <v>130</v>
      </c>
      <c r="D169" s="47">
        <v>1</v>
      </c>
      <c r="E169" s="48">
        <v>1.2998830105290525E-4</v>
      </c>
    </row>
    <row r="170" spans="2:5" ht="15" customHeight="1" x14ac:dyDescent="0.25">
      <c r="B170" s="90"/>
      <c r="C170" s="49" t="s">
        <v>63</v>
      </c>
      <c r="D170" s="50">
        <v>14</v>
      </c>
      <c r="E170" s="51">
        <v>1.8198362147406734E-3</v>
      </c>
    </row>
    <row r="171" spans="2:5" ht="15" customHeight="1" x14ac:dyDescent="0.25">
      <c r="B171" s="88" t="s">
        <v>42</v>
      </c>
      <c r="C171" s="46" t="s">
        <v>12</v>
      </c>
      <c r="D171" s="47">
        <v>20</v>
      </c>
      <c r="E171" s="48">
        <v>2.5997660210581048E-3</v>
      </c>
    </row>
    <row r="172" spans="2:5" ht="15" customHeight="1" x14ac:dyDescent="0.25">
      <c r="B172" s="89"/>
      <c r="C172" s="46" t="s">
        <v>122</v>
      </c>
      <c r="D172" s="47">
        <v>5</v>
      </c>
      <c r="E172" s="48">
        <v>6.499415052645262E-4</v>
      </c>
    </row>
    <row r="173" spans="2:5" ht="15" customHeight="1" x14ac:dyDescent="0.25">
      <c r="B173" s="89"/>
      <c r="C173" s="46" t="s">
        <v>129</v>
      </c>
      <c r="D173" s="47">
        <v>2</v>
      </c>
      <c r="E173" s="48">
        <v>2.599766021058105E-4</v>
      </c>
    </row>
    <row r="174" spans="2:5" ht="15" customHeight="1" x14ac:dyDescent="0.25">
      <c r="B174" s="89"/>
      <c r="C174" s="46" t="s">
        <v>124</v>
      </c>
      <c r="D174" s="47">
        <v>1</v>
      </c>
      <c r="E174" s="48">
        <v>1.2998830105290525E-4</v>
      </c>
    </row>
    <row r="175" spans="2:5" ht="15" customHeight="1" x14ac:dyDescent="0.25">
      <c r="B175" s="89"/>
      <c r="C175" s="46" t="s">
        <v>123</v>
      </c>
      <c r="D175" s="47">
        <v>10</v>
      </c>
      <c r="E175" s="48">
        <v>1.2998830105290524E-3</v>
      </c>
    </row>
    <row r="176" spans="2:5" ht="15" customHeight="1" x14ac:dyDescent="0.25">
      <c r="B176" s="89"/>
      <c r="C176" s="46" t="s">
        <v>131</v>
      </c>
      <c r="D176" s="47">
        <v>1</v>
      </c>
      <c r="E176" s="48">
        <v>1.2998830105290525E-4</v>
      </c>
    </row>
    <row r="177" spans="2:5" ht="15" customHeight="1" x14ac:dyDescent="0.25">
      <c r="B177" s="90"/>
      <c r="C177" s="49" t="s">
        <v>63</v>
      </c>
      <c r="D177" s="50">
        <v>39</v>
      </c>
      <c r="E177" s="51">
        <v>5.0695437410633046E-3</v>
      </c>
    </row>
    <row r="178" spans="2:5" ht="15" customHeight="1" x14ac:dyDescent="0.25">
      <c r="B178" s="88" t="s">
        <v>57</v>
      </c>
      <c r="C178" s="46" t="s">
        <v>122</v>
      </c>
      <c r="D178" s="47">
        <v>1</v>
      </c>
      <c r="E178" s="48">
        <v>1.2998830105290525E-4</v>
      </c>
    </row>
    <row r="179" spans="2:5" ht="15" customHeight="1" x14ac:dyDescent="0.25">
      <c r="B179" s="90"/>
      <c r="C179" s="49" t="s">
        <v>63</v>
      </c>
      <c r="D179" s="50">
        <v>1</v>
      </c>
      <c r="E179" s="51">
        <v>1.2998830105290525E-4</v>
      </c>
    </row>
    <row r="180" spans="2:5" ht="15" customHeight="1" x14ac:dyDescent="0.25">
      <c r="B180" s="88" t="s">
        <v>34</v>
      </c>
      <c r="C180" s="46" t="s">
        <v>12</v>
      </c>
      <c r="D180" s="47">
        <v>28</v>
      </c>
      <c r="E180" s="48">
        <v>3.6396724294813468E-3</v>
      </c>
    </row>
    <row r="181" spans="2:5" ht="15" customHeight="1" x14ac:dyDescent="0.25">
      <c r="B181" s="89"/>
      <c r="C181" s="46" t="s">
        <v>126</v>
      </c>
      <c r="D181" s="47">
        <v>1</v>
      </c>
      <c r="E181" s="48">
        <v>1.2998830105290525E-4</v>
      </c>
    </row>
    <row r="182" spans="2:5" ht="15" customHeight="1" x14ac:dyDescent="0.25">
      <c r="B182" s="89"/>
      <c r="C182" s="46" t="s">
        <v>122</v>
      </c>
      <c r="D182" s="47">
        <v>4</v>
      </c>
      <c r="E182" s="48">
        <v>5.19953204211621E-4</v>
      </c>
    </row>
    <row r="183" spans="2:5" ht="15" customHeight="1" x14ac:dyDescent="0.25">
      <c r="B183" s="89"/>
      <c r="C183" s="46" t="s">
        <v>130</v>
      </c>
      <c r="D183" s="47">
        <v>1</v>
      </c>
      <c r="E183" s="48">
        <v>1.2998830105290525E-4</v>
      </c>
    </row>
    <row r="184" spans="2:5" ht="15" customHeight="1" x14ac:dyDescent="0.25">
      <c r="B184" s="89"/>
      <c r="C184" s="46" t="s">
        <v>125</v>
      </c>
      <c r="D184" s="47">
        <v>1</v>
      </c>
      <c r="E184" s="48">
        <v>1.2998830105290525E-4</v>
      </c>
    </row>
    <row r="185" spans="2:5" ht="15" customHeight="1" x14ac:dyDescent="0.25">
      <c r="B185" s="89"/>
      <c r="C185" s="46" t="s">
        <v>124</v>
      </c>
      <c r="D185" s="47">
        <v>2</v>
      </c>
      <c r="E185" s="48">
        <v>2.599766021058105E-4</v>
      </c>
    </row>
    <row r="186" spans="2:5" ht="15" customHeight="1" x14ac:dyDescent="0.25">
      <c r="B186" s="89"/>
      <c r="C186" s="46" t="s">
        <v>123</v>
      </c>
      <c r="D186" s="47">
        <v>35</v>
      </c>
      <c r="E186" s="48">
        <v>4.549590536851683E-3</v>
      </c>
    </row>
    <row r="187" spans="2:5" ht="15" customHeight="1" x14ac:dyDescent="0.25">
      <c r="B187" s="89"/>
      <c r="C187" s="46" t="s">
        <v>128</v>
      </c>
      <c r="D187" s="47">
        <v>1</v>
      </c>
      <c r="E187" s="48">
        <v>1.2998830105290525E-4</v>
      </c>
    </row>
    <row r="188" spans="2:5" ht="15" customHeight="1" x14ac:dyDescent="0.25">
      <c r="B188" s="90"/>
      <c r="C188" s="49" t="s">
        <v>63</v>
      </c>
      <c r="D188" s="50">
        <v>73</v>
      </c>
      <c r="E188" s="51">
        <v>9.4891459768620817E-3</v>
      </c>
    </row>
    <row r="189" spans="2:5" ht="15" customHeight="1" x14ac:dyDescent="0.25">
      <c r="B189" s="88" t="s">
        <v>24</v>
      </c>
      <c r="C189" s="46" t="s">
        <v>12</v>
      </c>
      <c r="D189" s="47">
        <v>83</v>
      </c>
      <c r="E189" s="48">
        <v>1.0789028987391135E-2</v>
      </c>
    </row>
    <row r="190" spans="2:5" ht="15" customHeight="1" x14ac:dyDescent="0.25">
      <c r="B190" s="89"/>
      <c r="C190" s="46" t="s">
        <v>126</v>
      </c>
      <c r="D190" s="47">
        <v>3</v>
      </c>
      <c r="E190" s="48">
        <v>3.899649031587157E-4</v>
      </c>
    </row>
    <row r="191" spans="2:5" ht="15" customHeight="1" x14ac:dyDescent="0.25">
      <c r="B191" s="89"/>
      <c r="C191" s="46" t="s">
        <v>122</v>
      </c>
      <c r="D191" s="47">
        <v>9</v>
      </c>
      <c r="E191" s="48">
        <v>1.1698947094761472E-3</v>
      </c>
    </row>
    <row r="192" spans="2:5" ht="15" customHeight="1" x14ac:dyDescent="0.25">
      <c r="B192" s="89"/>
      <c r="C192" s="46" t="s">
        <v>129</v>
      </c>
      <c r="D192" s="47">
        <v>18</v>
      </c>
      <c r="E192" s="48">
        <v>2.3397894189522944E-3</v>
      </c>
    </row>
    <row r="193" spans="2:5" ht="15" customHeight="1" x14ac:dyDescent="0.25">
      <c r="B193" s="89"/>
      <c r="C193" s="46" t="s">
        <v>125</v>
      </c>
      <c r="D193" s="47">
        <v>4</v>
      </c>
      <c r="E193" s="48">
        <v>5.19953204211621E-4</v>
      </c>
    </row>
    <row r="194" spans="2:5" ht="15" customHeight="1" x14ac:dyDescent="0.25">
      <c r="B194" s="89"/>
      <c r="C194" s="46" t="s">
        <v>124</v>
      </c>
      <c r="D194" s="47">
        <v>4</v>
      </c>
      <c r="E194" s="48">
        <v>5.19953204211621E-4</v>
      </c>
    </row>
    <row r="195" spans="2:5" ht="15" customHeight="1" x14ac:dyDescent="0.25">
      <c r="B195" s="89"/>
      <c r="C195" s="46" t="s">
        <v>123</v>
      </c>
      <c r="D195" s="47">
        <v>18</v>
      </c>
      <c r="E195" s="48">
        <v>2.3397894189522944E-3</v>
      </c>
    </row>
    <row r="196" spans="2:5" ht="15" customHeight="1" x14ac:dyDescent="0.25">
      <c r="B196" s="89"/>
      <c r="C196" s="46" t="s">
        <v>131</v>
      </c>
      <c r="D196" s="47">
        <v>2</v>
      </c>
      <c r="E196" s="48">
        <v>2.599766021058105E-4</v>
      </c>
    </row>
    <row r="197" spans="2:5" ht="15" customHeight="1" x14ac:dyDescent="0.25">
      <c r="B197" s="89"/>
      <c r="C197" s="46" t="s">
        <v>128</v>
      </c>
      <c r="D197" s="47">
        <v>3</v>
      </c>
      <c r="E197" s="48">
        <v>3.899649031587157E-4</v>
      </c>
    </row>
    <row r="198" spans="2:5" ht="15" customHeight="1" x14ac:dyDescent="0.25">
      <c r="B198" s="89"/>
      <c r="C198" s="46" t="s">
        <v>127</v>
      </c>
      <c r="D198" s="47">
        <v>1</v>
      </c>
      <c r="E198" s="48">
        <v>1.2998830105290525E-4</v>
      </c>
    </row>
    <row r="199" spans="2:5" ht="15" customHeight="1" x14ac:dyDescent="0.25">
      <c r="B199" s="90"/>
      <c r="C199" s="49" t="s">
        <v>63</v>
      </c>
      <c r="D199" s="50">
        <v>145</v>
      </c>
      <c r="E199" s="51">
        <v>1.8848303652671261E-2</v>
      </c>
    </row>
    <row r="200" spans="2:5" ht="15" customHeight="1" x14ac:dyDescent="0.25">
      <c r="B200" s="88" t="s">
        <v>55</v>
      </c>
      <c r="C200" s="46" t="s">
        <v>12</v>
      </c>
      <c r="D200" s="47">
        <v>5</v>
      </c>
      <c r="E200" s="48">
        <v>6.499415052645262E-4</v>
      </c>
    </row>
    <row r="201" spans="2:5" ht="15" customHeight="1" x14ac:dyDescent="0.25">
      <c r="B201" s="90"/>
      <c r="C201" s="49" t="s">
        <v>63</v>
      </c>
      <c r="D201" s="50">
        <v>5</v>
      </c>
      <c r="E201" s="51">
        <v>6.499415052645262E-4</v>
      </c>
    </row>
    <row r="202" spans="2:5" ht="15" customHeight="1" x14ac:dyDescent="0.25">
      <c r="B202" s="88" t="s">
        <v>31</v>
      </c>
      <c r="C202" s="46" t="s">
        <v>12</v>
      </c>
      <c r="D202" s="47">
        <v>65</v>
      </c>
      <c r="E202" s="48">
        <v>8.4492395684388402E-3</v>
      </c>
    </row>
    <row r="203" spans="2:5" ht="15" customHeight="1" x14ac:dyDescent="0.25">
      <c r="B203" s="89"/>
      <c r="C203" s="46" t="s">
        <v>126</v>
      </c>
      <c r="D203" s="47">
        <v>1</v>
      </c>
      <c r="E203" s="48">
        <v>1.2998830105290525E-4</v>
      </c>
    </row>
    <row r="204" spans="2:5" ht="15" customHeight="1" x14ac:dyDescent="0.25">
      <c r="B204" s="89"/>
      <c r="C204" s="46" t="s">
        <v>122</v>
      </c>
      <c r="D204" s="47">
        <v>4</v>
      </c>
      <c r="E204" s="48">
        <v>5.19953204211621E-4</v>
      </c>
    </row>
    <row r="205" spans="2:5" ht="15" customHeight="1" x14ac:dyDescent="0.25">
      <c r="B205" s="89"/>
      <c r="C205" s="46" t="s">
        <v>129</v>
      </c>
      <c r="D205" s="47">
        <v>8</v>
      </c>
      <c r="E205" s="48">
        <v>1.039906408423242E-3</v>
      </c>
    </row>
    <row r="206" spans="2:5" ht="15" customHeight="1" x14ac:dyDescent="0.25">
      <c r="B206" s="89"/>
      <c r="C206" s="46" t="s">
        <v>125</v>
      </c>
      <c r="D206" s="47">
        <v>17</v>
      </c>
      <c r="E206" s="48">
        <v>2.209801117899389E-3</v>
      </c>
    </row>
    <row r="207" spans="2:5" ht="15" customHeight="1" x14ac:dyDescent="0.25">
      <c r="B207" s="89"/>
      <c r="C207" s="46" t="s">
        <v>124</v>
      </c>
      <c r="D207" s="47">
        <v>3</v>
      </c>
      <c r="E207" s="48">
        <v>3.899649031587157E-4</v>
      </c>
    </row>
    <row r="208" spans="2:5" ht="15" customHeight="1" x14ac:dyDescent="0.25">
      <c r="B208" s="89"/>
      <c r="C208" s="46" t="s">
        <v>123</v>
      </c>
      <c r="D208" s="47">
        <v>10</v>
      </c>
      <c r="E208" s="48">
        <v>1.2998830105290524E-3</v>
      </c>
    </row>
    <row r="209" spans="2:5" ht="15" customHeight="1" x14ac:dyDescent="0.25">
      <c r="B209" s="89"/>
      <c r="C209" s="46" t="s">
        <v>131</v>
      </c>
      <c r="D209" s="47">
        <v>1</v>
      </c>
      <c r="E209" s="48">
        <v>1.2998830105290525E-4</v>
      </c>
    </row>
    <row r="210" spans="2:5" ht="15" customHeight="1" x14ac:dyDescent="0.25">
      <c r="B210" s="89"/>
      <c r="C210" s="46" t="s">
        <v>128</v>
      </c>
      <c r="D210" s="47">
        <v>1</v>
      </c>
      <c r="E210" s="48">
        <v>1.2998830105290525E-4</v>
      </c>
    </row>
    <row r="211" spans="2:5" ht="15" customHeight="1" x14ac:dyDescent="0.25">
      <c r="B211" s="89"/>
      <c r="C211" s="46" t="s">
        <v>127</v>
      </c>
      <c r="D211" s="47">
        <v>3</v>
      </c>
      <c r="E211" s="48">
        <v>3.899649031587157E-4</v>
      </c>
    </row>
    <row r="212" spans="2:5" ht="15" customHeight="1" x14ac:dyDescent="0.25">
      <c r="B212" s="90"/>
      <c r="C212" s="49" t="s">
        <v>63</v>
      </c>
      <c r="D212" s="50">
        <v>113</v>
      </c>
      <c r="E212" s="51">
        <v>1.4688678018978291E-2</v>
      </c>
    </row>
    <row r="213" spans="2:5" ht="15" customHeight="1" x14ac:dyDescent="0.25">
      <c r="B213" s="88" t="s">
        <v>49</v>
      </c>
      <c r="C213" s="46" t="s">
        <v>12</v>
      </c>
      <c r="D213" s="47">
        <v>5</v>
      </c>
      <c r="E213" s="48">
        <v>6.499415052645262E-4</v>
      </c>
    </row>
    <row r="214" spans="2:5" ht="15" customHeight="1" x14ac:dyDescent="0.25">
      <c r="B214" s="89"/>
      <c r="C214" s="46" t="s">
        <v>126</v>
      </c>
      <c r="D214" s="47">
        <v>2</v>
      </c>
      <c r="E214" s="48">
        <v>2.599766021058105E-4</v>
      </c>
    </row>
    <row r="215" spans="2:5" ht="15" customHeight="1" x14ac:dyDescent="0.25">
      <c r="B215" s="89"/>
      <c r="C215" s="46" t="s">
        <v>124</v>
      </c>
      <c r="D215" s="47">
        <v>1</v>
      </c>
      <c r="E215" s="48">
        <v>1.2998830105290525E-4</v>
      </c>
    </row>
    <row r="216" spans="2:5" ht="15" customHeight="1" x14ac:dyDescent="0.25">
      <c r="B216" s="89"/>
      <c r="C216" s="46" t="s">
        <v>123</v>
      </c>
      <c r="D216" s="47">
        <v>2</v>
      </c>
      <c r="E216" s="48">
        <v>2.599766021058105E-4</v>
      </c>
    </row>
    <row r="217" spans="2:5" ht="15" customHeight="1" x14ac:dyDescent="0.25">
      <c r="B217" s="90"/>
      <c r="C217" s="49" t="s">
        <v>63</v>
      </c>
      <c r="D217" s="50">
        <v>10</v>
      </c>
      <c r="E217" s="51">
        <v>1.2998830105290524E-3</v>
      </c>
    </row>
    <row r="218" spans="2:5" ht="15" customHeight="1" x14ac:dyDescent="0.25">
      <c r="B218" s="88" t="s">
        <v>25</v>
      </c>
      <c r="C218" s="46" t="s">
        <v>12</v>
      </c>
      <c r="D218" s="47">
        <v>56</v>
      </c>
      <c r="E218" s="48">
        <v>7.2793448589626936E-3</v>
      </c>
    </row>
    <row r="219" spans="2:5" ht="15" customHeight="1" x14ac:dyDescent="0.25">
      <c r="B219" s="89"/>
      <c r="C219" s="46" t="s">
        <v>126</v>
      </c>
      <c r="D219" s="47">
        <v>13</v>
      </c>
      <c r="E219" s="48">
        <v>1.6898479136877682E-3</v>
      </c>
    </row>
    <row r="220" spans="2:5" ht="15" customHeight="1" x14ac:dyDescent="0.25">
      <c r="B220" s="89"/>
      <c r="C220" s="46" t="s">
        <v>122</v>
      </c>
      <c r="D220" s="47">
        <v>21</v>
      </c>
      <c r="E220" s="48">
        <v>2.7297543221110102E-3</v>
      </c>
    </row>
    <row r="221" spans="2:5" ht="15" customHeight="1" x14ac:dyDescent="0.25">
      <c r="B221" s="89"/>
      <c r="C221" s="46" t="s">
        <v>130</v>
      </c>
      <c r="D221" s="47">
        <v>1</v>
      </c>
      <c r="E221" s="48">
        <v>1.2998830105290525E-4</v>
      </c>
    </row>
    <row r="222" spans="2:5" ht="15" customHeight="1" x14ac:dyDescent="0.25">
      <c r="B222" s="89"/>
      <c r="C222" s="46" t="s">
        <v>125</v>
      </c>
      <c r="D222" s="47">
        <v>7</v>
      </c>
      <c r="E222" s="48">
        <v>9.099181073703367E-4</v>
      </c>
    </row>
    <row r="223" spans="2:5" ht="15" customHeight="1" x14ac:dyDescent="0.25">
      <c r="B223" s="89"/>
      <c r="C223" s="46" t="s">
        <v>124</v>
      </c>
      <c r="D223" s="47">
        <v>12</v>
      </c>
      <c r="E223" s="48">
        <v>1.5598596126348628E-3</v>
      </c>
    </row>
    <row r="224" spans="2:5" ht="15" customHeight="1" x14ac:dyDescent="0.25">
      <c r="B224" s="89"/>
      <c r="C224" s="46" t="s">
        <v>123</v>
      </c>
      <c r="D224" s="47">
        <v>11</v>
      </c>
      <c r="E224" s="48">
        <v>1.4298713115819576E-3</v>
      </c>
    </row>
    <row r="225" spans="2:5" ht="15" customHeight="1" x14ac:dyDescent="0.25">
      <c r="B225" s="89"/>
      <c r="C225" s="46" t="s">
        <v>127</v>
      </c>
      <c r="D225" s="47">
        <v>3</v>
      </c>
      <c r="E225" s="48">
        <v>3.899649031587157E-4</v>
      </c>
    </row>
    <row r="226" spans="2:5" ht="15" customHeight="1" x14ac:dyDescent="0.25">
      <c r="B226" s="90"/>
      <c r="C226" s="49" t="s">
        <v>63</v>
      </c>
      <c r="D226" s="50">
        <v>124</v>
      </c>
      <c r="E226" s="51">
        <v>1.6118549330560249E-2</v>
      </c>
    </row>
    <row r="227" spans="2:5" ht="15" customHeight="1" x14ac:dyDescent="0.25">
      <c r="B227" s="88" t="s">
        <v>62</v>
      </c>
      <c r="C227" s="46" t="s">
        <v>12</v>
      </c>
      <c r="D227" s="47">
        <v>1</v>
      </c>
      <c r="E227" s="48">
        <v>1.2998830105290525E-4</v>
      </c>
    </row>
    <row r="228" spans="2:5" ht="15" customHeight="1" x14ac:dyDescent="0.25">
      <c r="B228" s="89"/>
      <c r="C228" s="46" t="s">
        <v>122</v>
      </c>
      <c r="D228" s="47">
        <v>2</v>
      </c>
      <c r="E228" s="48">
        <v>2.599766021058105E-4</v>
      </c>
    </row>
    <row r="229" spans="2:5" ht="15" customHeight="1" x14ac:dyDescent="0.25">
      <c r="B229" s="90"/>
      <c r="C229" s="49" t="s">
        <v>63</v>
      </c>
      <c r="D229" s="50">
        <v>3</v>
      </c>
      <c r="E229" s="51">
        <v>3.899649031587157E-4</v>
      </c>
    </row>
    <row r="230" spans="2:5" ht="15" customHeight="1" x14ac:dyDescent="0.25">
      <c r="B230" s="88" t="s">
        <v>43</v>
      </c>
      <c r="C230" s="46" t="s">
        <v>12</v>
      </c>
      <c r="D230" s="47">
        <v>16</v>
      </c>
      <c r="E230" s="48">
        <v>2.079812816846484E-3</v>
      </c>
    </row>
    <row r="231" spans="2:5" ht="15" customHeight="1" x14ac:dyDescent="0.25">
      <c r="B231" s="89"/>
      <c r="C231" s="46" t="s">
        <v>126</v>
      </c>
      <c r="D231" s="47">
        <v>1</v>
      </c>
      <c r="E231" s="48">
        <v>1.2998830105290525E-4</v>
      </c>
    </row>
    <row r="232" spans="2:5" ht="15" customHeight="1" x14ac:dyDescent="0.25">
      <c r="B232" s="89"/>
      <c r="C232" s="46" t="s">
        <v>122</v>
      </c>
      <c r="D232" s="47">
        <v>2</v>
      </c>
      <c r="E232" s="48">
        <v>2.599766021058105E-4</v>
      </c>
    </row>
    <row r="233" spans="2:5" ht="15" customHeight="1" x14ac:dyDescent="0.25">
      <c r="B233" s="89"/>
      <c r="C233" s="46" t="s">
        <v>125</v>
      </c>
      <c r="D233" s="47">
        <v>2</v>
      </c>
      <c r="E233" s="48">
        <v>2.599766021058105E-4</v>
      </c>
    </row>
    <row r="234" spans="2:5" ht="15" customHeight="1" x14ac:dyDescent="0.25">
      <c r="B234" s="89"/>
      <c r="C234" s="46" t="s">
        <v>124</v>
      </c>
      <c r="D234" s="47">
        <v>2</v>
      </c>
      <c r="E234" s="48">
        <v>2.599766021058105E-4</v>
      </c>
    </row>
    <row r="235" spans="2:5" ht="15" customHeight="1" x14ac:dyDescent="0.25">
      <c r="B235" s="89"/>
      <c r="C235" s="46" t="s">
        <v>123</v>
      </c>
      <c r="D235" s="47">
        <v>5</v>
      </c>
      <c r="E235" s="48">
        <v>6.499415052645262E-4</v>
      </c>
    </row>
    <row r="236" spans="2:5" ht="15" customHeight="1" x14ac:dyDescent="0.25">
      <c r="B236" s="90"/>
      <c r="C236" s="49" t="s">
        <v>63</v>
      </c>
      <c r="D236" s="50">
        <v>28</v>
      </c>
      <c r="E236" s="51">
        <v>3.6396724294813468E-3</v>
      </c>
    </row>
    <row r="237" spans="2:5" ht="15" customHeight="1" x14ac:dyDescent="0.25">
      <c r="B237" s="88" t="s">
        <v>20</v>
      </c>
      <c r="C237" s="46" t="s">
        <v>12</v>
      </c>
      <c r="D237" s="47">
        <v>147</v>
      </c>
      <c r="E237" s="48">
        <v>1.9108280254777069E-2</v>
      </c>
    </row>
    <row r="238" spans="2:5" ht="15" customHeight="1" x14ac:dyDescent="0.25">
      <c r="B238" s="89"/>
      <c r="C238" s="46" t="s">
        <v>126</v>
      </c>
      <c r="D238" s="47">
        <v>6</v>
      </c>
      <c r="E238" s="48">
        <v>7.799298063174314E-4</v>
      </c>
    </row>
    <row r="239" spans="2:5" ht="15" customHeight="1" x14ac:dyDescent="0.25">
      <c r="B239" s="89"/>
      <c r="C239" s="46" t="s">
        <v>122</v>
      </c>
      <c r="D239" s="47">
        <v>221</v>
      </c>
      <c r="E239" s="48">
        <v>2.8727414532692057E-2</v>
      </c>
    </row>
    <row r="240" spans="2:5" ht="15" customHeight="1" x14ac:dyDescent="0.25">
      <c r="B240" s="89"/>
      <c r="C240" s="46" t="s">
        <v>129</v>
      </c>
      <c r="D240" s="47">
        <v>2</v>
      </c>
      <c r="E240" s="48">
        <v>2.599766021058105E-4</v>
      </c>
    </row>
    <row r="241" spans="2:5" ht="15" customHeight="1" x14ac:dyDescent="0.25">
      <c r="B241" s="89"/>
      <c r="C241" s="46" t="s">
        <v>130</v>
      </c>
      <c r="D241" s="47">
        <v>1</v>
      </c>
      <c r="E241" s="48">
        <v>1.2998830105290525E-4</v>
      </c>
    </row>
    <row r="242" spans="2:5" ht="15" customHeight="1" x14ac:dyDescent="0.25">
      <c r="B242" s="89"/>
      <c r="C242" s="46" t="s">
        <v>125</v>
      </c>
      <c r="D242" s="47">
        <v>11</v>
      </c>
      <c r="E242" s="48">
        <v>1.4298713115819576E-3</v>
      </c>
    </row>
    <row r="243" spans="2:5" ht="15" customHeight="1" x14ac:dyDescent="0.25">
      <c r="B243" s="89"/>
      <c r="C243" s="46" t="s">
        <v>124</v>
      </c>
      <c r="D243" s="47">
        <v>26</v>
      </c>
      <c r="E243" s="48">
        <v>3.3796958273755364E-3</v>
      </c>
    </row>
    <row r="244" spans="2:5" ht="15" customHeight="1" x14ac:dyDescent="0.25">
      <c r="B244" s="89"/>
      <c r="C244" s="46" t="s">
        <v>123</v>
      </c>
      <c r="D244" s="47">
        <v>92</v>
      </c>
      <c r="E244" s="48">
        <v>1.1958923696867282E-2</v>
      </c>
    </row>
    <row r="245" spans="2:5" ht="15" customHeight="1" x14ac:dyDescent="0.25">
      <c r="B245" s="89"/>
      <c r="C245" s="46" t="s">
        <v>128</v>
      </c>
      <c r="D245" s="47">
        <v>1</v>
      </c>
      <c r="E245" s="48">
        <v>1.2998830105290525E-4</v>
      </c>
    </row>
    <row r="246" spans="2:5" ht="15" customHeight="1" x14ac:dyDescent="0.25">
      <c r="B246" s="89"/>
      <c r="C246" s="46" t="s">
        <v>127</v>
      </c>
      <c r="D246" s="47">
        <v>4</v>
      </c>
      <c r="E246" s="48">
        <v>5.19953204211621E-4</v>
      </c>
    </row>
    <row r="247" spans="2:5" ht="15" customHeight="1" x14ac:dyDescent="0.25">
      <c r="B247" s="90"/>
      <c r="C247" s="49" t="s">
        <v>63</v>
      </c>
      <c r="D247" s="50">
        <v>511</v>
      </c>
      <c r="E247" s="51">
        <v>6.6424021838034572E-2</v>
      </c>
    </row>
    <row r="248" spans="2:5" ht="15" customHeight="1" x14ac:dyDescent="0.25">
      <c r="B248" s="88" t="s">
        <v>41</v>
      </c>
      <c r="C248" s="46" t="s">
        <v>12</v>
      </c>
      <c r="D248" s="47">
        <v>8</v>
      </c>
      <c r="E248" s="48">
        <v>1.039906408423242E-3</v>
      </c>
    </row>
    <row r="249" spans="2:5" ht="15" customHeight="1" x14ac:dyDescent="0.25">
      <c r="B249" s="89"/>
      <c r="C249" s="46" t="s">
        <v>126</v>
      </c>
      <c r="D249" s="47">
        <v>1</v>
      </c>
      <c r="E249" s="48">
        <v>1.2998830105290525E-4</v>
      </c>
    </row>
    <row r="250" spans="2:5" ht="15" customHeight="1" x14ac:dyDescent="0.25">
      <c r="B250" s="89"/>
      <c r="C250" s="46" t="s">
        <v>122</v>
      </c>
      <c r="D250" s="47">
        <v>4</v>
      </c>
      <c r="E250" s="48">
        <v>5.19953204211621E-4</v>
      </c>
    </row>
    <row r="251" spans="2:5" ht="15" customHeight="1" x14ac:dyDescent="0.25">
      <c r="B251" s="89"/>
      <c r="C251" s="46" t="s">
        <v>124</v>
      </c>
      <c r="D251" s="47">
        <v>3</v>
      </c>
      <c r="E251" s="48">
        <v>3.899649031587157E-4</v>
      </c>
    </row>
    <row r="252" spans="2:5" ht="15" customHeight="1" x14ac:dyDescent="0.25">
      <c r="B252" s="89"/>
      <c r="C252" s="46" t="s">
        <v>123</v>
      </c>
      <c r="D252" s="47">
        <v>1</v>
      </c>
      <c r="E252" s="48">
        <v>1.2998830105290525E-4</v>
      </c>
    </row>
    <row r="253" spans="2:5" ht="15" customHeight="1" x14ac:dyDescent="0.25">
      <c r="B253" s="89"/>
      <c r="C253" s="46" t="s">
        <v>128</v>
      </c>
      <c r="D253" s="47">
        <v>1</v>
      </c>
      <c r="E253" s="48">
        <v>1.2998830105290525E-4</v>
      </c>
    </row>
    <row r="254" spans="2:5" ht="15" customHeight="1" x14ac:dyDescent="0.25">
      <c r="B254" s="90"/>
      <c r="C254" s="49" t="s">
        <v>63</v>
      </c>
      <c r="D254" s="50">
        <v>18</v>
      </c>
      <c r="E254" s="51">
        <v>2.3397894189522944E-3</v>
      </c>
    </row>
    <row r="255" spans="2:5" ht="15" customHeight="1" x14ac:dyDescent="0.25">
      <c r="B255" s="88" t="s">
        <v>50</v>
      </c>
      <c r="C255" s="46" t="s">
        <v>12</v>
      </c>
      <c r="D255" s="47">
        <v>13</v>
      </c>
      <c r="E255" s="48">
        <v>1.6898479136877682E-3</v>
      </c>
    </row>
    <row r="256" spans="2:5" ht="15" customHeight="1" x14ac:dyDescent="0.25">
      <c r="B256" s="89"/>
      <c r="C256" s="46" t="s">
        <v>124</v>
      </c>
      <c r="D256" s="47">
        <v>1</v>
      </c>
      <c r="E256" s="48">
        <v>1.2998830105290525E-4</v>
      </c>
    </row>
    <row r="257" spans="2:5" ht="15" customHeight="1" x14ac:dyDescent="0.25">
      <c r="B257" s="89"/>
      <c r="C257" s="46" t="s">
        <v>127</v>
      </c>
      <c r="D257" s="47">
        <v>1</v>
      </c>
      <c r="E257" s="48">
        <v>1.2998830105290525E-4</v>
      </c>
    </row>
    <row r="258" spans="2:5" ht="15" customHeight="1" x14ac:dyDescent="0.25">
      <c r="B258" s="90"/>
      <c r="C258" s="49" t="s">
        <v>63</v>
      </c>
      <c r="D258" s="50">
        <v>15</v>
      </c>
      <c r="E258" s="51">
        <v>1.9498245157935786E-3</v>
      </c>
    </row>
    <row r="259" spans="2:5" ht="15" customHeight="1" x14ac:dyDescent="0.25">
      <c r="B259" s="88" t="s">
        <v>39</v>
      </c>
      <c r="C259" s="46" t="s">
        <v>12</v>
      </c>
      <c r="D259" s="47">
        <v>21</v>
      </c>
      <c r="E259" s="48">
        <v>2.7297543221110102E-3</v>
      </c>
    </row>
    <row r="260" spans="2:5" ht="15" customHeight="1" x14ac:dyDescent="0.25">
      <c r="B260" s="89"/>
      <c r="C260" s="46" t="s">
        <v>122</v>
      </c>
      <c r="D260" s="47">
        <v>2</v>
      </c>
      <c r="E260" s="48">
        <v>2.599766021058105E-4</v>
      </c>
    </row>
    <row r="261" spans="2:5" ht="15" customHeight="1" x14ac:dyDescent="0.25">
      <c r="B261" s="89"/>
      <c r="C261" s="46" t="s">
        <v>125</v>
      </c>
      <c r="D261" s="47">
        <v>1</v>
      </c>
      <c r="E261" s="48">
        <v>1.2998830105290525E-4</v>
      </c>
    </row>
    <row r="262" spans="2:5" ht="15" customHeight="1" x14ac:dyDescent="0.25">
      <c r="B262" s="89"/>
      <c r="C262" s="46" t="s">
        <v>124</v>
      </c>
      <c r="D262" s="47">
        <v>1</v>
      </c>
      <c r="E262" s="48">
        <v>1.2998830105290525E-4</v>
      </c>
    </row>
    <row r="263" spans="2:5" ht="15" customHeight="1" x14ac:dyDescent="0.25">
      <c r="B263" s="89"/>
      <c r="C263" s="46" t="s">
        <v>123</v>
      </c>
      <c r="D263" s="47">
        <v>5</v>
      </c>
      <c r="E263" s="48">
        <v>6.499415052645262E-4</v>
      </c>
    </row>
    <row r="264" spans="2:5" ht="15" customHeight="1" x14ac:dyDescent="0.25">
      <c r="B264" s="90"/>
      <c r="C264" s="49" t="s">
        <v>63</v>
      </c>
      <c r="D264" s="50">
        <v>30</v>
      </c>
      <c r="E264" s="51">
        <v>3.8996490315871572E-3</v>
      </c>
    </row>
    <row r="265" spans="2:5" ht="15" customHeight="1" x14ac:dyDescent="0.25">
      <c r="B265" s="88" t="s">
        <v>53</v>
      </c>
      <c r="C265" s="46" t="s">
        <v>12</v>
      </c>
      <c r="D265" s="47">
        <v>3</v>
      </c>
      <c r="E265" s="48">
        <v>3.899649031587157E-4</v>
      </c>
    </row>
    <row r="266" spans="2:5" ht="15" customHeight="1" x14ac:dyDescent="0.25">
      <c r="B266" s="89"/>
      <c r="C266" s="46" t="s">
        <v>122</v>
      </c>
      <c r="D266" s="47">
        <v>8</v>
      </c>
      <c r="E266" s="48">
        <v>1.039906408423242E-3</v>
      </c>
    </row>
    <row r="267" spans="2:5" ht="15" customHeight="1" x14ac:dyDescent="0.25">
      <c r="B267" s="89"/>
      <c r="C267" s="46" t="s">
        <v>125</v>
      </c>
      <c r="D267" s="47">
        <v>1</v>
      </c>
      <c r="E267" s="48">
        <v>1.2998830105290525E-4</v>
      </c>
    </row>
    <row r="268" spans="2:5" ht="15" customHeight="1" x14ac:dyDescent="0.25">
      <c r="B268" s="89"/>
      <c r="C268" s="46" t="s">
        <v>124</v>
      </c>
      <c r="D268" s="47">
        <v>1</v>
      </c>
      <c r="E268" s="48">
        <v>1.2998830105290525E-4</v>
      </c>
    </row>
    <row r="269" spans="2:5" ht="15" customHeight="1" x14ac:dyDescent="0.25">
      <c r="B269" s="90"/>
      <c r="C269" s="49" t="s">
        <v>63</v>
      </c>
      <c r="D269" s="50">
        <v>13</v>
      </c>
      <c r="E269" s="51">
        <v>1.6898479136877682E-3</v>
      </c>
    </row>
    <row r="270" spans="2:5" ht="15" customHeight="1" x14ac:dyDescent="0.25">
      <c r="B270" s="88" t="s">
        <v>30</v>
      </c>
      <c r="C270" s="46" t="s">
        <v>12</v>
      </c>
      <c r="D270" s="47">
        <v>51</v>
      </c>
      <c r="E270" s="48">
        <v>6.629403353698167E-3</v>
      </c>
    </row>
    <row r="271" spans="2:5" ht="15" customHeight="1" x14ac:dyDescent="0.25">
      <c r="B271" s="89"/>
      <c r="C271" s="46" t="s">
        <v>126</v>
      </c>
      <c r="D271" s="47">
        <v>5</v>
      </c>
      <c r="E271" s="48">
        <v>6.499415052645262E-4</v>
      </c>
    </row>
    <row r="272" spans="2:5" ht="15" customHeight="1" x14ac:dyDescent="0.25">
      <c r="B272" s="89"/>
      <c r="C272" s="46" t="s">
        <v>122</v>
      </c>
      <c r="D272" s="47">
        <v>4</v>
      </c>
      <c r="E272" s="48">
        <v>5.19953204211621E-4</v>
      </c>
    </row>
    <row r="273" spans="2:5" ht="15" customHeight="1" x14ac:dyDescent="0.25">
      <c r="B273" s="89"/>
      <c r="C273" s="46" t="s">
        <v>129</v>
      </c>
      <c r="D273" s="47">
        <v>2</v>
      </c>
      <c r="E273" s="48">
        <v>2.599766021058105E-4</v>
      </c>
    </row>
    <row r="274" spans="2:5" ht="15" customHeight="1" x14ac:dyDescent="0.25">
      <c r="B274" s="89"/>
      <c r="C274" s="46" t="s">
        <v>130</v>
      </c>
      <c r="D274" s="47">
        <v>3</v>
      </c>
      <c r="E274" s="48">
        <v>3.899649031587157E-4</v>
      </c>
    </row>
    <row r="275" spans="2:5" ht="15" customHeight="1" x14ac:dyDescent="0.25">
      <c r="B275" s="89"/>
      <c r="C275" s="46" t="s">
        <v>125</v>
      </c>
      <c r="D275" s="47">
        <v>3</v>
      </c>
      <c r="E275" s="48">
        <v>3.899649031587157E-4</v>
      </c>
    </row>
    <row r="276" spans="2:5" ht="15" customHeight="1" x14ac:dyDescent="0.25">
      <c r="B276" s="89"/>
      <c r="C276" s="46" t="s">
        <v>124</v>
      </c>
      <c r="D276" s="47">
        <v>5</v>
      </c>
      <c r="E276" s="48">
        <v>6.499415052645262E-4</v>
      </c>
    </row>
    <row r="277" spans="2:5" ht="15" customHeight="1" x14ac:dyDescent="0.25">
      <c r="B277" s="89"/>
      <c r="C277" s="46" t="s">
        <v>123</v>
      </c>
      <c r="D277" s="47">
        <v>9</v>
      </c>
      <c r="E277" s="48">
        <v>1.1698947094761472E-3</v>
      </c>
    </row>
    <row r="278" spans="2:5" ht="15" customHeight="1" x14ac:dyDescent="0.25">
      <c r="B278" s="89"/>
      <c r="C278" s="46" t="s">
        <v>131</v>
      </c>
      <c r="D278" s="47">
        <v>2</v>
      </c>
      <c r="E278" s="48">
        <v>2.599766021058105E-4</v>
      </c>
    </row>
    <row r="279" spans="2:5" ht="15" customHeight="1" x14ac:dyDescent="0.25">
      <c r="B279" s="90"/>
      <c r="C279" s="49" t="s">
        <v>63</v>
      </c>
      <c r="D279" s="50">
        <v>84</v>
      </c>
      <c r="E279" s="51">
        <v>1.0919017288444041E-2</v>
      </c>
    </row>
    <row r="280" spans="2:5" ht="15" customHeight="1" x14ac:dyDescent="0.25">
      <c r="B280" s="88" t="s">
        <v>18</v>
      </c>
      <c r="C280" s="46" t="s">
        <v>12</v>
      </c>
      <c r="D280" s="47">
        <v>950</v>
      </c>
      <c r="E280" s="48">
        <v>0.12348888600025998</v>
      </c>
    </row>
    <row r="281" spans="2:5" ht="15" customHeight="1" x14ac:dyDescent="0.25">
      <c r="B281" s="89"/>
      <c r="C281" s="46" t="s">
        <v>126</v>
      </c>
      <c r="D281" s="47">
        <v>94</v>
      </c>
      <c r="E281" s="48">
        <v>1.2218900298973092E-2</v>
      </c>
    </row>
    <row r="282" spans="2:5" ht="15" customHeight="1" x14ac:dyDescent="0.25">
      <c r="B282" s="89"/>
      <c r="C282" s="46" t="s">
        <v>122</v>
      </c>
      <c r="D282" s="47">
        <v>116</v>
      </c>
      <c r="E282" s="48">
        <v>1.5078642922137007E-2</v>
      </c>
    </row>
    <row r="283" spans="2:5" ht="15" customHeight="1" x14ac:dyDescent="0.25">
      <c r="B283" s="89"/>
      <c r="C283" s="46" t="s">
        <v>129</v>
      </c>
      <c r="D283" s="47">
        <v>9</v>
      </c>
      <c r="E283" s="48">
        <v>1.1698947094761472E-3</v>
      </c>
    </row>
    <row r="284" spans="2:5" ht="15" customHeight="1" x14ac:dyDescent="0.25">
      <c r="B284" s="89"/>
      <c r="C284" s="46" t="s">
        <v>130</v>
      </c>
      <c r="D284" s="47">
        <v>10</v>
      </c>
      <c r="E284" s="48">
        <v>1.2998830105290524E-3</v>
      </c>
    </row>
    <row r="285" spans="2:5" ht="15" customHeight="1" x14ac:dyDescent="0.25">
      <c r="B285" s="89"/>
      <c r="C285" s="46" t="s">
        <v>125</v>
      </c>
      <c r="D285" s="47">
        <v>58</v>
      </c>
      <c r="E285" s="48">
        <v>7.5393214610685036E-3</v>
      </c>
    </row>
    <row r="286" spans="2:5" ht="15" customHeight="1" x14ac:dyDescent="0.25">
      <c r="B286" s="89"/>
      <c r="C286" s="46" t="s">
        <v>124</v>
      </c>
      <c r="D286" s="47">
        <v>152</v>
      </c>
      <c r="E286" s="48">
        <v>1.9758221760041595E-2</v>
      </c>
    </row>
    <row r="287" spans="2:5" ht="15" customHeight="1" x14ac:dyDescent="0.25">
      <c r="B287" s="89"/>
      <c r="C287" s="46" t="s">
        <v>123</v>
      </c>
      <c r="D287" s="47">
        <v>120</v>
      </c>
      <c r="E287" s="48">
        <v>1.5598596126348629E-2</v>
      </c>
    </row>
    <row r="288" spans="2:5" ht="15" customHeight="1" x14ac:dyDescent="0.25">
      <c r="B288" s="89"/>
      <c r="C288" s="46" t="s">
        <v>131</v>
      </c>
      <c r="D288" s="47">
        <v>16</v>
      </c>
      <c r="E288" s="48">
        <v>2.079812816846484E-3</v>
      </c>
    </row>
    <row r="289" spans="2:5" ht="15" customHeight="1" x14ac:dyDescent="0.25">
      <c r="B289" s="89"/>
      <c r="C289" s="46" t="s">
        <v>128</v>
      </c>
      <c r="D289" s="47">
        <v>41</v>
      </c>
      <c r="E289" s="48">
        <v>5.3295203431691146E-3</v>
      </c>
    </row>
    <row r="290" spans="2:5" ht="15" customHeight="1" x14ac:dyDescent="0.25">
      <c r="B290" s="89"/>
      <c r="C290" s="46" t="s">
        <v>127</v>
      </c>
      <c r="D290" s="47">
        <v>22</v>
      </c>
      <c r="E290" s="48">
        <v>2.8597426231639152E-3</v>
      </c>
    </row>
    <row r="291" spans="2:5" ht="15" customHeight="1" x14ac:dyDescent="0.25">
      <c r="B291" s="90"/>
      <c r="C291" s="49" t="s">
        <v>63</v>
      </c>
      <c r="D291" s="50">
        <v>1588</v>
      </c>
      <c r="E291" s="51">
        <v>0.20642142207201353</v>
      </c>
    </row>
    <row r="292" spans="2:5" ht="15" customHeight="1" x14ac:dyDescent="0.25">
      <c r="B292" s="88" t="s">
        <v>28</v>
      </c>
      <c r="C292" s="46" t="s">
        <v>12</v>
      </c>
      <c r="D292" s="47">
        <v>62</v>
      </c>
      <c r="E292" s="48">
        <v>8.0592746652801243E-3</v>
      </c>
    </row>
    <row r="293" spans="2:5" ht="15" customHeight="1" x14ac:dyDescent="0.25">
      <c r="B293" s="89"/>
      <c r="C293" s="46" t="s">
        <v>126</v>
      </c>
      <c r="D293" s="47">
        <v>9</v>
      </c>
      <c r="E293" s="48">
        <v>1.1698947094761472E-3</v>
      </c>
    </row>
    <row r="294" spans="2:5" ht="15" customHeight="1" x14ac:dyDescent="0.25">
      <c r="B294" s="89"/>
      <c r="C294" s="46" t="s">
        <v>122</v>
      </c>
      <c r="D294" s="47">
        <v>19</v>
      </c>
      <c r="E294" s="48">
        <v>2.4697777200051994E-3</v>
      </c>
    </row>
    <row r="295" spans="2:5" ht="15" customHeight="1" x14ac:dyDescent="0.25">
      <c r="B295" s="89"/>
      <c r="C295" s="46" t="s">
        <v>129</v>
      </c>
      <c r="D295" s="47">
        <v>2</v>
      </c>
      <c r="E295" s="48">
        <v>2.599766021058105E-4</v>
      </c>
    </row>
    <row r="296" spans="2:5" ht="15" customHeight="1" x14ac:dyDescent="0.25">
      <c r="B296" s="89"/>
      <c r="C296" s="46" t="s">
        <v>130</v>
      </c>
      <c r="D296" s="47">
        <v>1</v>
      </c>
      <c r="E296" s="48">
        <v>1.2998830105290525E-4</v>
      </c>
    </row>
    <row r="297" spans="2:5" ht="15" customHeight="1" x14ac:dyDescent="0.25">
      <c r="B297" s="89"/>
      <c r="C297" s="46" t="s">
        <v>125</v>
      </c>
      <c r="D297" s="47">
        <v>9</v>
      </c>
      <c r="E297" s="48">
        <v>1.1698947094761472E-3</v>
      </c>
    </row>
    <row r="298" spans="2:5" ht="15" customHeight="1" x14ac:dyDescent="0.25">
      <c r="B298" s="89"/>
      <c r="C298" s="46" t="s">
        <v>124</v>
      </c>
      <c r="D298" s="47">
        <v>11</v>
      </c>
      <c r="E298" s="48">
        <v>1.4298713115819576E-3</v>
      </c>
    </row>
    <row r="299" spans="2:5" ht="15" customHeight="1" x14ac:dyDescent="0.25">
      <c r="B299" s="89"/>
      <c r="C299" s="46" t="s">
        <v>123</v>
      </c>
      <c r="D299" s="47">
        <v>27</v>
      </c>
      <c r="E299" s="48">
        <v>3.5096841284284414E-3</v>
      </c>
    </row>
    <row r="300" spans="2:5" ht="15" customHeight="1" x14ac:dyDescent="0.25">
      <c r="B300" s="89"/>
      <c r="C300" s="46" t="s">
        <v>127</v>
      </c>
      <c r="D300" s="47">
        <v>10</v>
      </c>
      <c r="E300" s="48">
        <v>1.2998830105290524E-3</v>
      </c>
    </row>
    <row r="301" spans="2:5" ht="15" customHeight="1" x14ac:dyDescent="0.25">
      <c r="B301" s="90"/>
      <c r="C301" s="49" t="s">
        <v>63</v>
      </c>
      <c r="D301" s="50">
        <v>150</v>
      </c>
      <c r="E301" s="51">
        <v>1.9498245157935787E-2</v>
      </c>
    </row>
    <row r="302" spans="2:5" ht="15" customHeight="1" x14ac:dyDescent="0.25">
      <c r="B302" s="88" t="s">
        <v>38</v>
      </c>
      <c r="C302" s="46" t="s">
        <v>12</v>
      </c>
      <c r="D302" s="47">
        <v>23</v>
      </c>
      <c r="E302" s="48">
        <v>2.9897309242168206E-3</v>
      </c>
    </row>
    <row r="303" spans="2:5" ht="15" customHeight="1" x14ac:dyDescent="0.25">
      <c r="B303" s="89"/>
      <c r="C303" s="46" t="s">
        <v>122</v>
      </c>
      <c r="D303" s="47">
        <v>1</v>
      </c>
      <c r="E303" s="48">
        <v>1.2998830105290525E-4</v>
      </c>
    </row>
    <row r="304" spans="2:5" ht="15" customHeight="1" x14ac:dyDescent="0.25">
      <c r="B304" s="89"/>
      <c r="C304" s="46" t="s">
        <v>130</v>
      </c>
      <c r="D304" s="47">
        <v>1</v>
      </c>
      <c r="E304" s="48">
        <v>1.2998830105290525E-4</v>
      </c>
    </row>
    <row r="305" spans="2:5" ht="15" customHeight="1" x14ac:dyDescent="0.25">
      <c r="B305" s="89"/>
      <c r="C305" s="46" t="s">
        <v>125</v>
      </c>
      <c r="D305" s="47">
        <v>2</v>
      </c>
      <c r="E305" s="48">
        <v>2.599766021058105E-4</v>
      </c>
    </row>
    <row r="306" spans="2:5" ht="15" customHeight="1" x14ac:dyDescent="0.25">
      <c r="B306" s="89"/>
      <c r="C306" s="46" t="s">
        <v>124</v>
      </c>
      <c r="D306" s="47">
        <v>1</v>
      </c>
      <c r="E306" s="48">
        <v>1.2998830105290525E-4</v>
      </c>
    </row>
    <row r="307" spans="2:5" ht="15" customHeight="1" x14ac:dyDescent="0.25">
      <c r="B307" s="89"/>
      <c r="C307" s="46" t="s">
        <v>123</v>
      </c>
      <c r="D307" s="47">
        <v>4</v>
      </c>
      <c r="E307" s="48">
        <v>5.19953204211621E-4</v>
      </c>
    </row>
    <row r="308" spans="2:5" ht="15" customHeight="1" x14ac:dyDescent="0.25">
      <c r="B308" s="89"/>
      <c r="C308" s="46" t="s">
        <v>131</v>
      </c>
      <c r="D308" s="47">
        <v>1</v>
      </c>
      <c r="E308" s="48">
        <v>1.2998830105290525E-4</v>
      </c>
    </row>
    <row r="309" spans="2:5" ht="15" customHeight="1" x14ac:dyDescent="0.25">
      <c r="B309" s="90"/>
      <c r="C309" s="49" t="s">
        <v>63</v>
      </c>
      <c r="D309" s="50">
        <v>33</v>
      </c>
      <c r="E309" s="51">
        <v>4.289613934745873E-3</v>
      </c>
    </row>
    <row r="310" spans="2:5" ht="15" customHeight="1" x14ac:dyDescent="0.25">
      <c r="B310" s="88" t="s">
        <v>32</v>
      </c>
      <c r="C310" s="46" t="s">
        <v>12</v>
      </c>
      <c r="D310" s="47">
        <v>63</v>
      </c>
      <c r="E310" s="48">
        <v>8.1892629663330302E-3</v>
      </c>
    </row>
    <row r="311" spans="2:5" ht="15" customHeight="1" x14ac:dyDescent="0.25">
      <c r="B311" s="89"/>
      <c r="C311" s="46" t="s">
        <v>126</v>
      </c>
      <c r="D311" s="47">
        <v>3</v>
      </c>
      <c r="E311" s="48">
        <v>3.899649031587157E-4</v>
      </c>
    </row>
    <row r="312" spans="2:5" ht="15" customHeight="1" x14ac:dyDescent="0.25">
      <c r="B312" s="89"/>
      <c r="C312" s="46" t="s">
        <v>122</v>
      </c>
      <c r="D312" s="47">
        <v>16</v>
      </c>
      <c r="E312" s="48">
        <v>2.079812816846484E-3</v>
      </c>
    </row>
    <row r="313" spans="2:5" ht="15" customHeight="1" x14ac:dyDescent="0.25">
      <c r="B313" s="89"/>
      <c r="C313" s="46" t="s">
        <v>125</v>
      </c>
      <c r="D313" s="47">
        <v>8</v>
      </c>
      <c r="E313" s="48">
        <v>1.039906408423242E-3</v>
      </c>
    </row>
    <row r="314" spans="2:5" ht="15" customHeight="1" x14ac:dyDescent="0.25">
      <c r="B314" s="89"/>
      <c r="C314" s="46" t="s">
        <v>124</v>
      </c>
      <c r="D314" s="47">
        <v>8</v>
      </c>
      <c r="E314" s="48">
        <v>1.039906408423242E-3</v>
      </c>
    </row>
    <row r="315" spans="2:5" ht="15" customHeight="1" x14ac:dyDescent="0.25">
      <c r="B315" s="89"/>
      <c r="C315" s="46" t="s">
        <v>123</v>
      </c>
      <c r="D315" s="47">
        <v>4</v>
      </c>
      <c r="E315" s="48">
        <v>5.19953204211621E-4</v>
      </c>
    </row>
    <row r="316" spans="2:5" ht="15" customHeight="1" x14ac:dyDescent="0.25">
      <c r="B316" s="89"/>
      <c r="C316" s="46" t="s">
        <v>131</v>
      </c>
      <c r="D316" s="47">
        <v>1</v>
      </c>
      <c r="E316" s="48">
        <v>1.2998830105290525E-4</v>
      </c>
    </row>
    <row r="317" spans="2:5" ht="15" customHeight="1" x14ac:dyDescent="0.25">
      <c r="B317" s="89"/>
      <c r="C317" s="46" t="s">
        <v>128</v>
      </c>
      <c r="D317" s="47">
        <v>7</v>
      </c>
      <c r="E317" s="48">
        <v>9.099181073703367E-4</v>
      </c>
    </row>
    <row r="318" spans="2:5" ht="15" customHeight="1" x14ac:dyDescent="0.25">
      <c r="B318" s="90"/>
      <c r="C318" s="49" t="s">
        <v>63</v>
      </c>
      <c r="D318" s="50">
        <v>110</v>
      </c>
      <c r="E318" s="51">
        <v>1.4298713115819576E-2</v>
      </c>
    </row>
    <row r="319" spans="2:5" ht="15" customHeight="1" x14ac:dyDescent="0.25">
      <c r="B319" s="88" t="s">
        <v>134</v>
      </c>
      <c r="C319" s="46" t="s">
        <v>12</v>
      </c>
      <c r="D319" s="47">
        <v>2</v>
      </c>
      <c r="E319" s="48">
        <v>2.599766021058105E-4</v>
      </c>
    </row>
    <row r="320" spans="2:5" ht="15" customHeight="1" x14ac:dyDescent="0.25">
      <c r="B320" s="90"/>
      <c r="C320" s="49" t="s">
        <v>63</v>
      </c>
      <c r="D320" s="50">
        <v>2</v>
      </c>
      <c r="E320" s="51">
        <v>2.599766021058105E-4</v>
      </c>
    </row>
    <row r="321" spans="2:5" ht="15" customHeight="1" x14ac:dyDescent="0.25">
      <c r="B321" s="88" t="s">
        <v>40</v>
      </c>
      <c r="C321" s="46" t="s">
        <v>12</v>
      </c>
      <c r="D321" s="47">
        <v>33</v>
      </c>
      <c r="E321" s="48">
        <v>4.289613934745873E-3</v>
      </c>
    </row>
    <row r="322" spans="2:5" ht="15" customHeight="1" x14ac:dyDescent="0.25">
      <c r="B322" s="89"/>
      <c r="C322" s="46" t="s">
        <v>126</v>
      </c>
      <c r="D322" s="47">
        <v>2</v>
      </c>
      <c r="E322" s="48">
        <v>2.599766021058105E-4</v>
      </c>
    </row>
    <row r="323" spans="2:5" ht="15" customHeight="1" x14ac:dyDescent="0.25">
      <c r="B323" s="89"/>
      <c r="C323" s="46" t="s">
        <v>122</v>
      </c>
      <c r="D323" s="47">
        <v>4</v>
      </c>
      <c r="E323" s="48">
        <v>5.19953204211621E-4</v>
      </c>
    </row>
    <row r="324" spans="2:5" ht="15" customHeight="1" x14ac:dyDescent="0.25">
      <c r="B324" s="89"/>
      <c r="C324" s="46" t="s">
        <v>129</v>
      </c>
      <c r="D324" s="47">
        <v>2</v>
      </c>
      <c r="E324" s="48">
        <v>2.599766021058105E-4</v>
      </c>
    </row>
    <row r="325" spans="2:5" ht="15" customHeight="1" x14ac:dyDescent="0.25">
      <c r="B325" s="89"/>
      <c r="C325" s="46" t="s">
        <v>124</v>
      </c>
      <c r="D325" s="47">
        <v>2</v>
      </c>
      <c r="E325" s="48">
        <v>2.599766021058105E-4</v>
      </c>
    </row>
    <row r="326" spans="2:5" ht="15" customHeight="1" x14ac:dyDescent="0.25">
      <c r="B326" s="89"/>
      <c r="C326" s="46" t="s">
        <v>123</v>
      </c>
      <c r="D326" s="47">
        <v>1</v>
      </c>
      <c r="E326" s="48">
        <v>1.2998830105290525E-4</v>
      </c>
    </row>
    <row r="327" spans="2:5" ht="15" customHeight="1" x14ac:dyDescent="0.25">
      <c r="B327" s="89"/>
      <c r="C327" s="46" t="s">
        <v>131</v>
      </c>
      <c r="D327" s="47">
        <v>1</v>
      </c>
      <c r="E327" s="48">
        <v>1.2998830105290525E-4</v>
      </c>
    </row>
    <row r="328" spans="2:5" ht="15" customHeight="1" x14ac:dyDescent="0.25">
      <c r="B328" s="89"/>
      <c r="C328" s="46" t="s">
        <v>128</v>
      </c>
      <c r="D328" s="47">
        <v>1</v>
      </c>
      <c r="E328" s="48">
        <v>1.2998830105290525E-4</v>
      </c>
    </row>
    <row r="329" spans="2:5" ht="15" customHeight="1" x14ac:dyDescent="0.25">
      <c r="B329" s="90"/>
      <c r="C329" s="49" t="s">
        <v>63</v>
      </c>
      <c r="D329" s="50">
        <v>46</v>
      </c>
      <c r="E329" s="51">
        <v>5.9794618484336412E-3</v>
      </c>
    </row>
    <row r="330" spans="2:5" ht="15" customHeight="1" x14ac:dyDescent="0.25">
      <c r="B330" s="88" t="s">
        <v>56</v>
      </c>
      <c r="C330" s="46" t="s">
        <v>12</v>
      </c>
      <c r="D330" s="47">
        <v>8</v>
      </c>
      <c r="E330" s="48">
        <v>1.039906408423242E-3</v>
      </c>
    </row>
    <row r="331" spans="2:5" ht="15" customHeight="1" x14ac:dyDescent="0.25">
      <c r="B331" s="89"/>
      <c r="C331" s="46" t="s">
        <v>122</v>
      </c>
      <c r="D331" s="47">
        <v>1</v>
      </c>
      <c r="E331" s="48">
        <v>1.2998830105290525E-4</v>
      </c>
    </row>
    <row r="332" spans="2:5" ht="15" customHeight="1" x14ac:dyDescent="0.25">
      <c r="B332" s="89"/>
      <c r="C332" s="46" t="s">
        <v>124</v>
      </c>
      <c r="D332" s="47">
        <v>2</v>
      </c>
      <c r="E332" s="48">
        <v>2.599766021058105E-4</v>
      </c>
    </row>
    <row r="333" spans="2:5" ht="15" customHeight="1" x14ac:dyDescent="0.25">
      <c r="B333" s="90"/>
      <c r="C333" s="49" t="s">
        <v>63</v>
      </c>
      <c r="D333" s="50">
        <v>11</v>
      </c>
      <c r="E333" s="51">
        <v>1.4298713115819576E-3</v>
      </c>
    </row>
    <row r="334" spans="2:5" ht="15" customHeight="1" x14ac:dyDescent="0.25">
      <c r="B334" s="92" t="s">
        <v>63</v>
      </c>
      <c r="C334" s="93"/>
      <c r="D334" s="52">
        <v>7693</v>
      </c>
      <c r="E334" s="53">
        <v>1</v>
      </c>
    </row>
    <row r="336" spans="2:5" ht="15" customHeight="1" x14ac:dyDescent="0.25">
      <c r="B336" s="30" t="s">
        <v>64</v>
      </c>
    </row>
    <row r="337" spans="2:2" ht="15" customHeight="1" x14ac:dyDescent="0.25">
      <c r="B337" s="31" t="s">
        <v>65</v>
      </c>
    </row>
    <row r="338" spans="2:2" ht="15" customHeight="1" x14ac:dyDescent="0.25">
      <c r="B338" s="32" t="s">
        <v>66</v>
      </c>
    </row>
    <row r="339" spans="2:2" ht="15" customHeight="1" x14ac:dyDescent="0.25">
      <c r="B339" s="30" t="s">
        <v>67</v>
      </c>
    </row>
    <row r="340" spans="2:2" ht="15" customHeight="1" x14ac:dyDescent="0.25">
      <c r="B340" s="30" t="s">
        <v>68</v>
      </c>
    </row>
  </sheetData>
  <mergeCells count="45">
    <mergeCell ref="B321:B329"/>
    <mergeCell ref="B330:B333"/>
    <mergeCell ref="B334:C334"/>
    <mergeCell ref="B270:B279"/>
    <mergeCell ref="B280:B291"/>
    <mergeCell ref="B292:B301"/>
    <mergeCell ref="B302:B309"/>
    <mergeCell ref="B310:B318"/>
    <mergeCell ref="B319:B320"/>
    <mergeCell ref="B265:B269"/>
    <mergeCell ref="B189:B199"/>
    <mergeCell ref="B200:B201"/>
    <mergeCell ref="B202:B212"/>
    <mergeCell ref="B213:B217"/>
    <mergeCell ref="B218:B226"/>
    <mergeCell ref="B227:B229"/>
    <mergeCell ref="B230:B236"/>
    <mergeCell ref="B237:B247"/>
    <mergeCell ref="B248:B254"/>
    <mergeCell ref="B255:B258"/>
    <mergeCell ref="B259:B264"/>
    <mergeCell ref="B180:B188"/>
    <mergeCell ref="B106:B115"/>
    <mergeCell ref="B116:B123"/>
    <mergeCell ref="B124:B132"/>
    <mergeCell ref="B133:B141"/>
    <mergeCell ref="B142:B147"/>
    <mergeCell ref="B148:B152"/>
    <mergeCell ref="B153:B160"/>
    <mergeCell ref="B161:B165"/>
    <mergeCell ref="B166:B170"/>
    <mergeCell ref="B171:B177"/>
    <mergeCell ref="B178:B179"/>
    <mergeCell ref="B94:B105"/>
    <mergeCell ref="B7:E8"/>
    <mergeCell ref="B10:B14"/>
    <mergeCell ref="B15:B23"/>
    <mergeCell ref="B24:B33"/>
    <mergeCell ref="B34:B45"/>
    <mergeCell ref="B46:B57"/>
    <mergeCell ref="B58:B60"/>
    <mergeCell ref="B61:B63"/>
    <mergeCell ref="B64:B75"/>
    <mergeCell ref="B76:B85"/>
    <mergeCell ref="B86:B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45" max="4" man="1"/>
    <brk id="85" max="4" man="1"/>
    <brk id="123" max="4" man="1"/>
    <brk id="165" max="4" man="1"/>
    <brk id="201" max="4" man="1"/>
    <brk id="236" max="4" man="1"/>
    <brk id="279" max="4" man="1"/>
    <brk id="320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94"/>
  <sheetViews>
    <sheetView topLeftCell="A4" zoomScale="145" zoomScaleNormal="145" zoomScaleSheetLayoutView="85" workbookViewId="0">
      <selection activeCell="G17" sqref="G17"/>
    </sheetView>
  </sheetViews>
  <sheetFormatPr baseColWidth="10" defaultColWidth="35" defaultRowHeight="15" customHeight="1" x14ac:dyDescent="0.25"/>
  <cols>
    <col min="1" max="1" width="1" style="45" customWidth="1"/>
    <col min="2" max="2" width="22.85546875" style="54" customWidth="1"/>
    <col min="3" max="3" width="31.42578125" style="54" customWidth="1"/>
    <col min="4" max="4" width="14.28515625" style="54" customWidth="1"/>
    <col min="5" max="5" width="16.85546875" style="54" customWidth="1"/>
    <col min="6" max="16384" width="35" style="45"/>
  </cols>
  <sheetData>
    <row r="1" spans="1:5" s="33" customFormat="1" ht="12" customHeight="1" x14ac:dyDescent="0.2">
      <c r="B1" s="34"/>
      <c r="C1" s="35"/>
      <c r="D1" s="35"/>
      <c r="E1" s="35"/>
    </row>
    <row r="2" spans="1:5" s="33" customFormat="1" ht="15" customHeight="1" x14ac:dyDescent="0.2">
      <c r="C2" s="36"/>
    </row>
    <row r="3" spans="1:5" s="33" customFormat="1" ht="15" customHeight="1" x14ac:dyDescent="0.2">
      <c r="C3" s="36"/>
    </row>
    <row r="4" spans="1:5" s="33" customFormat="1" ht="30" customHeight="1" x14ac:dyDescent="0.2">
      <c r="C4" s="36"/>
      <c r="D4" s="37"/>
    </row>
    <row r="5" spans="1:5" s="33" customFormat="1" ht="15" customHeight="1" x14ac:dyDescent="0.2">
      <c r="C5" s="36"/>
      <c r="D5" s="37"/>
    </row>
    <row r="6" spans="1:5" s="38" customFormat="1" ht="24" customHeight="1" x14ac:dyDescent="0.2">
      <c r="B6" s="39"/>
      <c r="C6" s="40"/>
      <c r="D6" s="40"/>
      <c r="E6" s="40"/>
    </row>
    <row r="7" spans="1:5" s="38" customFormat="1" ht="26.25" customHeight="1" x14ac:dyDescent="0.3">
      <c r="A7" s="41"/>
      <c r="B7" s="91"/>
      <c r="C7" s="91"/>
      <c r="D7" s="91"/>
      <c r="E7" s="91"/>
    </row>
    <row r="8" spans="1:5" s="38" customFormat="1" ht="33" customHeight="1" x14ac:dyDescent="0.3">
      <c r="A8" s="41"/>
      <c r="B8" s="91"/>
      <c r="C8" s="91"/>
      <c r="D8" s="91"/>
      <c r="E8" s="91"/>
    </row>
    <row r="9" spans="1:5" s="14" customFormat="1" ht="40.5" customHeight="1" x14ac:dyDescent="0.2">
      <c r="B9" s="42" t="s">
        <v>70</v>
      </c>
      <c r="C9" s="43" t="s">
        <v>133</v>
      </c>
      <c r="D9" s="44" t="s">
        <v>15</v>
      </c>
      <c r="E9" s="42" t="s">
        <v>16</v>
      </c>
    </row>
    <row r="10" spans="1:5" ht="15" customHeight="1" x14ac:dyDescent="0.25">
      <c r="B10" s="88" t="s">
        <v>95</v>
      </c>
      <c r="C10" s="46" t="s">
        <v>12</v>
      </c>
      <c r="D10" s="47">
        <v>45</v>
      </c>
      <c r="E10" s="48">
        <v>6.114130434782609E-3</v>
      </c>
    </row>
    <row r="11" spans="1:5" ht="15" customHeight="1" x14ac:dyDescent="0.25">
      <c r="B11" s="89"/>
      <c r="C11" s="46" t="s">
        <v>126</v>
      </c>
      <c r="D11" s="47">
        <v>1</v>
      </c>
      <c r="E11" s="48">
        <v>1.3586956521739131E-4</v>
      </c>
    </row>
    <row r="12" spans="1:5" ht="15" customHeight="1" x14ac:dyDescent="0.25">
      <c r="B12" s="89"/>
      <c r="C12" s="46" t="s">
        <v>129</v>
      </c>
      <c r="D12" s="47">
        <v>2</v>
      </c>
      <c r="E12" s="48">
        <v>2.7173913043478261E-4</v>
      </c>
    </row>
    <row r="13" spans="1:5" ht="15" customHeight="1" x14ac:dyDescent="0.25">
      <c r="B13" s="89"/>
      <c r="C13" s="46" t="s">
        <v>130</v>
      </c>
      <c r="D13" s="47">
        <v>1</v>
      </c>
      <c r="E13" s="48">
        <v>1.3586956521739131E-4</v>
      </c>
    </row>
    <row r="14" spans="1:5" s="40" customFormat="1" ht="15" customHeight="1" x14ac:dyDescent="0.25">
      <c r="A14" s="45"/>
      <c r="B14" s="89"/>
      <c r="C14" s="46" t="s">
        <v>125</v>
      </c>
      <c r="D14" s="47">
        <v>17</v>
      </c>
      <c r="E14" s="48">
        <v>2.3097826086956523E-3</v>
      </c>
    </row>
    <row r="15" spans="1:5" s="40" customFormat="1" ht="15" customHeight="1" x14ac:dyDescent="0.25">
      <c r="A15" s="45"/>
      <c r="B15" s="89"/>
      <c r="C15" s="46" t="s">
        <v>124</v>
      </c>
      <c r="D15" s="47">
        <v>1</v>
      </c>
      <c r="E15" s="48">
        <v>1.3586956521739131E-4</v>
      </c>
    </row>
    <row r="16" spans="1:5" s="40" customFormat="1" ht="15" customHeight="1" x14ac:dyDescent="0.25">
      <c r="A16" s="45"/>
      <c r="B16" s="89"/>
      <c r="C16" s="46" t="s">
        <v>123</v>
      </c>
      <c r="D16" s="47">
        <v>5</v>
      </c>
      <c r="E16" s="48">
        <v>6.793478260869565E-4</v>
      </c>
    </row>
    <row r="17" spans="1:5" s="40" customFormat="1" ht="15" customHeight="1" x14ac:dyDescent="0.25">
      <c r="A17" s="45"/>
      <c r="B17" s="89"/>
      <c r="C17" s="46" t="s">
        <v>131</v>
      </c>
      <c r="D17" s="47">
        <v>1</v>
      </c>
      <c r="E17" s="48">
        <v>1.3586956521739131E-4</v>
      </c>
    </row>
    <row r="18" spans="1:5" s="40" customFormat="1" ht="15" customHeight="1" x14ac:dyDescent="0.25">
      <c r="A18" s="45"/>
      <c r="B18" s="89"/>
      <c r="C18" s="46" t="s">
        <v>128</v>
      </c>
      <c r="D18" s="47">
        <v>1</v>
      </c>
      <c r="E18" s="48">
        <v>1.3586956521739131E-4</v>
      </c>
    </row>
    <row r="19" spans="1:5" ht="15" customHeight="1" x14ac:dyDescent="0.25">
      <c r="B19" s="89"/>
      <c r="C19" s="46" t="s">
        <v>127</v>
      </c>
      <c r="D19" s="47">
        <v>1</v>
      </c>
      <c r="E19" s="48">
        <v>1.3586956521739131E-4</v>
      </c>
    </row>
    <row r="20" spans="1:5" ht="15" customHeight="1" x14ac:dyDescent="0.25">
      <c r="B20" s="90"/>
      <c r="C20" s="49" t="s">
        <v>63</v>
      </c>
      <c r="D20" s="50">
        <v>75</v>
      </c>
      <c r="E20" s="51">
        <v>1.0190217391304348E-2</v>
      </c>
    </row>
    <row r="21" spans="1:5" ht="15" customHeight="1" x14ac:dyDescent="0.25">
      <c r="B21" s="88" t="s">
        <v>78</v>
      </c>
      <c r="C21" s="46" t="s">
        <v>12</v>
      </c>
      <c r="D21" s="47">
        <v>111</v>
      </c>
      <c r="E21" s="48">
        <v>1.5081521739130434E-2</v>
      </c>
    </row>
    <row r="22" spans="1:5" ht="15" customHeight="1" x14ac:dyDescent="0.25">
      <c r="B22" s="89"/>
      <c r="C22" s="46" t="s">
        <v>126</v>
      </c>
      <c r="D22" s="47">
        <v>16</v>
      </c>
      <c r="E22" s="48">
        <v>2.1739130434782609E-3</v>
      </c>
    </row>
    <row r="23" spans="1:5" ht="15" customHeight="1" x14ac:dyDescent="0.25">
      <c r="B23" s="89"/>
      <c r="C23" s="46" t="s">
        <v>122</v>
      </c>
      <c r="D23" s="47">
        <v>45</v>
      </c>
      <c r="E23" s="48">
        <v>6.114130434782609E-3</v>
      </c>
    </row>
    <row r="24" spans="1:5" ht="15" customHeight="1" x14ac:dyDescent="0.25">
      <c r="B24" s="89"/>
      <c r="C24" s="46" t="s">
        <v>129</v>
      </c>
      <c r="D24" s="47">
        <v>1</v>
      </c>
      <c r="E24" s="48">
        <v>1.3586956521739131E-4</v>
      </c>
    </row>
    <row r="25" spans="1:5" ht="15" customHeight="1" x14ac:dyDescent="0.25">
      <c r="B25" s="89"/>
      <c r="C25" s="46" t="s">
        <v>125</v>
      </c>
      <c r="D25" s="47">
        <v>13</v>
      </c>
      <c r="E25" s="48">
        <v>1.766304347826087E-3</v>
      </c>
    </row>
    <row r="26" spans="1:5" ht="15" customHeight="1" x14ac:dyDescent="0.25">
      <c r="B26" s="89"/>
      <c r="C26" s="46" t="s">
        <v>124</v>
      </c>
      <c r="D26" s="47">
        <v>5</v>
      </c>
      <c r="E26" s="48">
        <v>6.793478260869565E-4</v>
      </c>
    </row>
    <row r="27" spans="1:5" ht="15" customHeight="1" x14ac:dyDescent="0.25">
      <c r="B27" s="89"/>
      <c r="C27" s="46" t="s">
        <v>123</v>
      </c>
      <c r="D27" s="47">
        <v>11</v>
      </c>
      <c r="E27" s="48">
        <v>1.4945652173913044E-3</v>
      </c>
    </row>
    <row r="28" spans="1:5" ht="15" customHeight="1" x14ac:dyDescent="0.25">
      <c r="B28" s="89"/>
      <c r="C28" s="46" t="s">
        <v>131</v>
      </c>
      <c r="D28" s="47">
        <v>2</v>
      </c>
      <c r="E28" s="48">
        <v>2.7173913043478261E-4</v>
      </c>
    </row>
    <row r="29" spans="1:5" ht="15" customHeight="1" x14ac:dyDescent="0.25">
      <c r="B29" s="89"/>
      <c r="C29" s="46" t="s">
        <v>128</v>
      </c>
      <c r="D29" s="47">
        <v>2</v>
      </c>
      <c r="E29" s="48">
        <v>2.7173913043478261E-4</v>
      </c>
    </row>
    <row r="30" spans="1:5" ht="15" customHeight="1" x14ac:dyDescent="0.25">
      <c r="B30" s="89"/>
      <c r="C30" s="46" t="s">
        <v>127</v>
      </c>
      <c r="D30" s="47">
        <v>3</v>
      </c>
      <c r="E30" s="48">
        <v>4.0760869565217389E-4</v>
      </c>
    </row>
    <row r="31" spans="1:5" ht="15" customHeight="1" x14ac:dyDescent="0.25">
      <c r="B31" s="90"/>
      <c r="C31" s="49" t="s">
        <v>63</v>
      </c>
      <c r="D31" s="50">
        <v>209</v>
      </c>
      <c r="E31" s="51">
        <v>2.8396739130434782E-2</v>
      </c>
    </row>
    <row r="32" spans="1:5" ht="15" customHeight="1" x14ac:dyDescent="0.25">
      <c r="B32" s="88" t="s">
        <v>81</v>
      </c>
      <c r="C32" s="46" t="s">
        <v>12</v>
      </c>
      <c r="D32" s="47">
        <v>62</v>
      </c>
      <c r="E32" s="48">
        <v>8.4239130434782608E-3</v>
      </c>
    </row>
    <row r="33" spans="2:5" ht="15" customHeight="1" x14ac:dyDescent="0.25">
      <c r="B33" s="89"/>
      <c r="C33" s="46" t="s">
        <v>126</v>
      </c>
      <c r="D33" s="47">
        <v>7</v>
      </c>
      <c r="E33" s="48">
        <v>9.5108695652173917E-4</v>
      </c>
    </row>
    <row r="34" spans="2:5" ht="15" customHeight="1" x14ac:dyDescent="0.25">
      <c r="B34" s="89"/>
      <c r="C34" s="46" t="s">
        <v>122</v>
      </c>
      <c r="D34" s="47">
        <v>57</v>
      </c>
      <c r="E34" s="48">
        <v>7.7445652173913047E-3</v>
      </c>
    </row>
    <row r="35" spans="2:5" ht="15" customHeight="1" x14ac:dyDescent="0.25">
      <c r="B35" s="89"/>
      <c r="C35" s="46" t="s">
        <v>130</v>
      </c>
      <c r="D35" s="47">
        <v>4</v>
      </c>
      <c r="E35" s="48">
        <v>5.4347826086956522E-4</v>
      </c>
    </row>
    <row r="36" spans="2:5" ht="15" customHeight="1" x14ac:dyDescent="0.25">
      <c r="B36" s="89"/>
      <c r="C36" s="46" t="s">
        <v>125</v>
      </c>
      <c r="D36" s="47">
        <v>8</v>
      </c>
      <c r="E36" s="48">
        <v>1.0869565217391304E-3</v>
      </c>
    </row>
    <row r="37" spans="2:5" ht="15" customHeight="1" x14ac:dyDescent="0.25">
      <c r="B37" s="89"/>
      <c r="C37" s="46" t="s">
        <v>124</v>
      </c>
      <c r="D37" s="47">
        <v>9</v>
      </c>
      <c r="E37" s="48">
        <v>1.2228260869565218E-3</v>
      </c>
    </row>
    <row r="38" spans="2:5" ht="15" customHeight="1" x14ac:dyDescent="0.25">
      <c r="B38" s="89"/>
      <c r="C38" s="46" t="s">
        <v>123</v>
      </c>
      <c r="D38" s="47">
        <v>10</v>
      </c>
      <c r="E38" s="48">
        <v>1.358695652173913E-3</v>
      </c>
    </row>
    <row r="39" spans="2:5" ht="15" customHeight="1" x14ac:dyDescent="0.25">
      <c r="B39" s="89"/>
      <c r="C39" s="46" t="s">
        <v>131</v>
      </c>
      <c r="D39" s="47">
        <v>1</v>
      </c>
      <c r="E39" s="48">
        <v>1.3586956521739131E-4</v>
      </c>
    </row>
    <row r="40" spans="2:5" ht="15" customHeight="1" x14ac:dyDescent="0.25">
      <c r="B40" s="90"/>
      <c r="C40" s="49" t="s">
        <v>63</v>
      </c>
      <c r="D40" s="50">
        <v>158</v>
      </c>
      <c r="E40" s="51">
        <v>2.1467391304347827E-2</v>
      </c>
    </row>
    <row r="41" spans="2:5" ht="15" customHeight="1" x14ac:dyDescent="0.25">
      <c r="B41" s="88" t="s">
        <v>102</v>
      </c>
      <c r="C41" s="46" t="s">
        <v>12</v>
      </c>
      <c r="D41" s="47">
        <v>16</v>
      </c>
      <c r="E41" s="48">
        <v>2.1739130434782609E-3</v>
      </c>
    </row>
    <row r="42" spans="2:5" ht="15" customHeight="1" x14ac:dyDescent="0.25">
      <c r="B42" s="89"/>
      <c r="C42" s="46" t="s">
        <v>122</v>
      </c>
      <c r="D42" s="47">
        <v>11</v>
      </c>
      <c r="E42" s="48">
        <v>1.4945652173913044E-3</v>
      </c>
    </row>
    <row r="43" spans="2:5" ht="15" customHeight="1" x14ac:dyDescent="0.25">
      <c r="B43" s="89"/>
      <c r="C43" s="46" t="s">
        <v>125</v>
      </c>
      <c r="D43" s="47">
        <v>2</v>
      </c>
      <c r="E43" s="48">
        <v>2.7173913043478261E-4</v>
      </c>
    </row>
    <row r="44" spans="2:5" ht="15" customHeight="1" x14ac:dyDescent="0.25">
      <c r="B44" s="89"/>
      <c r="C44" s="46" t="s">
        <v>124</v>
      </c>
      <c r="D44" s="47">
        <v>1</v>
      </c>
      <c r="E44" s="48">
        <v>1.3586956521739131E-4</v>
      </c>
    </row>
    <row r="45" spans="2:5" ht="15" customHeight="1" x14ac:dyDescent="0.25">
      <c r="B45" s="89"/>
      <c r="C45" s="46" t="s">
        <v>123</v>
      </c>
      <c r="D45" s="47">
        <v>4</v>
      </c>
      <c r="E45" s="48">
        <v>5.4347826086956522E-4</v>
      </c>
    </row>
    <row r="46" spans="2:5" ht="15" customHeight="1" x14ac:dyDescent="0.25">
      <c r="B46" s="89"/>
      <c r="C46" s="46" t="s">
        <v>127</v>
      </c>
      <c r="D46" s="47">
        <v>1</v>
      </c>
      <c r="E46" s="48">
        <v>1.3586956521739131E-4</v>
      </c>
    </row>
    <row r="47" spans="2:5" ht="15" customHeight="1" x14ac:dyDescent="0.25">
      <c r="B47" s="90"/>
      <c r="C47" s="49" t="s">
        <v>63</v>
      </c>
      <c r="D47" s="50">
        <v>35</v>
      </c>
      <c r="E47" s="51">
        <v>4.755434782608696E-3</v>
      </c>
    </row>
    <row r="48" spans="2:5" ht="15" customHeight="1" x14ac:dyDescent="0.25">
      <c r="B48" s="88" t="s">
        <v>112</v>
      </c>
      <c r="C48" s="46" t="s">
        <v>12</v>
      </c>
      <c r="D48" s="47">
        <v>4</v>
      </c>
      <c r="E48" s="48">
        <v>5.4347826086956522E-4</v>
      </c>
    </row>
    <row r="49" spans="2:5" ht="15" customHeight="1" x14ac:dyDescent="0.25">
      <c r="B49" s="90"/>
      <c r="C49" s="49" t="s">
        <v>63</v>
      </c>
      <c r="D49" s="50">
        <v>4</v>
      </c>
      <c r="E49" s="51">
        <v>5.4347826086956522E-4</v>
      </c>
    </row>
    <row r="50" spans="2:5" ht="15" customHeight="1" x14ac:dyDescent="0.25">
      <c r="B50" s="88" t="s">
        <v>110</v>
      </c>
      <c r="C50" s="46" t="s">
        <v>12</v>
      </c>
      <c r="D50" s="47">
        <v>6</v>
      </c>
      <c r="E50" s="48">
        <v>8.1521739130434778E-4</v>
      </c>
    </row>
    <row r="51" spans="2:5" ht="15" customHeight="1" x14ac:dyDescent="0.25">
      <c r="B51" s="89"/>
      <c r="C51" s="46" t="s">
        <v>122</v>
      </c>
      <c r="D51" s="47">
        <v>1</v>
      </c>
      <c r="E51" s="48">
        <v>1.3586956521739131E-4</v>
      </c>
    </row>
    <row r="52" spans="2:5" ht="15" customHeight="1" x14ac:dyDescent="0.25">
      <c r="B52" s="89"/>
      <c r="C52" s="46" t="s">
        <v>127</v>
      </c>
      <c r="D52" s="47">
        <v>1</v>
      </c>
      <c r="E52" s="48">
        <v>1.3586956521739131E-4</v>
      </c>
    </row>
    <row r="53" spans="2:5" ht="15" customHeight="1" x14ac:dyDescent="0.25">
      <c r="B53" s="90"/>
      <c r="C53" s="49" t="s">
        <v>63</v>
      </c>
      <c r="D53" s="50">
        <v>8</v>
      </c>
      <c r="E53" s="51">
        <v>1.0869565217391304E-3</v>
      </c>
    </row>
    <row r="54" spans="2:5" ht="15" customHeight="1" x14ac:dyDescent="0.25">
      <c r="B54" s="88" t="s">
        <v>114</v>
      </c>
      <c r="C54" s="46" t="s">
        <v>12</v>
      </c>
      <c r="D54" s="47">
        <v>1</v>
      </c>
      <c r="E54" s="48">
        <v>1.3586956521739131E-4</v>
      </c>
    </row>
    <row r="55" spans="2:5" ht="15" customHeight="1" x14ac:dyDescent="0.25">
      <c r="B55" s="89"/>
      <c r="C55" s="46" t="s">
        <v>125</v>
      </c>
      <c r="D55" s="47">
        <v>1</v>
      </c>
      <c r="E55" s="48">
        <v>1.3586956521739131E-4</v>
      </c>
    </row>
    <row r="56" spans="2:5" ht="15" customHeight="1" x14ac:dyDescent="0.25">
      <c r="B56" s="90"/>
      <c r="C56" s="49" t="s">
        <v>63</v>
      </c>
      <c r="D56" s="50">
        <v>2</v>
      </c>
      <c r="E56" s="51">
        <v>2.7173913043478261E-4</v>
      </c>
    </row>
    <row r="57" spans="2:5" ht="15" customHeight="1" x14ac:dyDescent="0.25">
      <c r="B57" s="88" t="s">
        <v>71</v>
      </c>
      <c r="C57" s="46" t="s">
        <v>12</v>
      </c>
      <c r="D57" s="47">
        <v>744</v>
      </c>
      <c r="E57" s="48">
        <v>0.10108695652173913</v>
      </c>
    </row>
    <row r="58" spans="2:5" ht="15" customHeight="1" x14ac:dyDescent="0.25">
      <c r="B58" s="89"/>
      <c r="C58" s="46" t="s">
        <v>126</v>
      </c>
      <c r="D58" s="47">
        <v>89</v>
      </c>
      <c r="E58" s="48">
        <v>1.2092391304347826E-2</v>
      </c>
    </row>
    <row r="59" spans="2:5" ht="15" customHeight="1" x14ac:dyDescent="0.25">
      <c r="B59" s="89"/>
      <c r="C59" s="46" t="s">
        <v>122</v>
      </c>
      <c r="D59" s="47">
        <v>236</v>
      </c>
      <c r="E59" s="48">
        <v>3.206521739130435E-2</v>
      </c>
    </row>
    <row r="60" spans="2:5" ht="15" customHeight="1" x14ac:dyDescent="0.25">
      <c r="B60" s="89"/>
      <c r="C60" s="46" t="s">
        <v>129</v>
      </c>
      <c r="D60" s="47">
        <v>4</v>
      </c>
      <c r="E60" s="48">
        <v>5.4347826086956522E-4</v>
      </c>
    </row>
    <row r="61" spans="2:5" ht="15" customHeight="1" x14ac:dyDescent="0.25">
      <c r="B61" s="89"/>
      <c r="C61" s="46" t="s">
        <v>130</v>
      </c>
      <c r="D61" s="47">
        <v>36</v>
      </c>
      <c r="E61" s="48">
        <v>4.8913043478260873E-3</v>
      </c>
    </row>
    <row r="62" spans="2:5" ht="15" customHeight="1" x14ac:dyDescent="0.25">
      <c r="B62" s="89"/>
      <c r="C62" s="46" t="s">
        <v>125</v>
      </c>
      <c r="D62" s="47">
        <v>60</v>
      </c>
      <c r="E62" s="48">
        <v>8.152173913043478E-3</v>
      </c>
    </row>
    <row r="63" spans="2:5" ht="15" customHeight="1" x14ac:dyDescent="0.25">
      <c r="B63" s="89"/>
      <c r="C63" s="46" t="s">
        <v>124</v>
      </c>
      <c r="D63" s="47">
        <v>47</v>
      </c>
      <c r="E63" s="48">
        <v>6.3858695652173917E-3</v>
      </c>
    </row>
    <row r="64" spans="2:5" ht="15" customHeight="1" x14ac:dyDescent="0.25">
      <c r="B64" s="89"/>
      <c r="C64" s="46" t="s">
        <v>123</v>
      </c>
      <c r="D64" s="47">
        <v>29</v>
      </c>
      <c r="E64" s="48">
        <v>3.9402173913043476E-3</v>
      </c>
    </row>
    <row r="65" spans="2:5" ht="15" customHeight="1" x14ac:dyDescent="0.25">
      <c r="B65" s="89"/>
      <c r="C65" s="46" t="s">
        <v>131</v>
      </c>
      <c r="D65" s="47">
        <v>24</v>
      </c>
      <c r="E65" s="48">
        <v>3.2608695652173911E-3</v>
      </c>
    </row>
    <row r="66" spans="2:5" ht="15" customHeight="1" x14ac:dyDescent="0.25">
      <c r="B66" s="89"/>
      <c r="C66" s="46" t="s">
        <v>128</v>
      </c>
      <c r="D66" s="47">
        <v>2</v>
      </c>
      <c r="E66" s="48">
        <v>2.7173913043478261E-4</v>
      </c>
    </row>
    <row r="67" spans="2:5" ht="15" customHeight="1" x14ac:dyDescent="0.25">
      <c r="B67" s="90"/>
      <c r="C67" s="49" t="s">
        <v>63</v>
      </c>
      <c r="D67" s="50">
        <v>1271</v>
      </c>
      <c r="E67" s="51">
        <v>0.17269021739130436</v>
      </c>
    </row>
    <row r="68" spans="2:5" ht="15" customHeight="1" x14ac:dyDescent="0.25">
      <c r="B68" s="88" t="s">
        <v>74</v>
      </c>
      <c r="C68" s="46" t="s">
        <v>12</v>
      </c>
      <c r="D68" s="47">
        <v>345</v>
      </c>
      <c r="E68" s="48">
        <v>4.6875E-2</v>
      </c>
    </row>
    <row r="69" spans="2:5" ht="15" customHeight="1" x14ac:dyDescent="0.25">
      <c r="B69" s="89"/>
      <c r="C69" s="46" t="s">
        <v>126</v>
      </c>
      <c r="D69" s="47">
        <v>29</v>
      </c>
      <c r="E69" s="48">
        <v>3.9402173913043476E-3</v>
      </c>
    </row>
    <row r="70" spans="2:5" ht="15" customHeight="1" x14ac:dyDescent="0.25">
      <c r="B70" s="89"/>
      <c r="C70" s="46" t="s">
        <v>122</v>
      </c>
      <c r="D70" s="47">
        <v>10</v>
      </c>
      <c r="E70" s="48">
        <v>1.358695652173913E-3</v>
      </c>
    </row>
    <row r="71" spans="2:5" ht="15" customHeight="1" x14ac:dyDescent="0.25">
      <c r="B71" s="89"/>
      <c r="C71" s="46" t="s">
        <v>129</v>
      </c>
      <c r="D71" s="47">
        <v>12</v>
      </c>
      <c r="E71" s="48">
        <v>1.6304347826086956E-3</v>
      </c>
    </row>
    <row r="72" spans="2:5" ht="15" customHeight="1" x14ac:dyDescent="0.25">
      <c r="B72" s="89"/>
      <c r="C72" s="46" t="s">
        <v>130</v>
      </c>
      <c r="D72" s="47">
        <v>11</v>
      </c>
      <c r="E72" s="48">
        <v>1.4945652173913044E-3</v>
      </c>
    </row>
    <row r="73" spans="2:5" ht="15" customHeight="1" x14ac:dyDescent="0.25">
      <c r="B73" s="89"/>
      <c r="C73" s="46" t="s">
        <v>125</v>
      </c>
      <c r="D73" s="47">
        <v>16</v>
      </c>
      <c r="E73" s="48">
        <v>2.1739130434782609E-3</v>
      </c>
    </row>
    <row r="74" spans="2:5" ht="15" customHeight="1" x14ac:dyDescent="0.25">
      <c r="B74" s="89"/>
      <c r="C74" s="46" t="s">
        <v>124</v>
      </c>
      <c r="D74" s="47">
        <v>45</v>
      </c>
      <c r="E74" s="48">
        <v>6.114130434782609E-3</v>
      </c>
    </row>
    <row r="75" spans="2:5" ht="15" customHeight="1" x14ac:dyDescent="0.25">
      <c r="B75" s="89"/>
      <c r="C75" s="46" t="s">
        <v>123</v>
      </c>
      <c r="D75" s="47">
        <v>63</v>
      </c>
      <c r="E75" s="48">
        <v>8.5597826086956513E-3</v>
      </c>
    </row>
    <row r="76" spans="2:5" ht="15" customHeight="1" x14ac:dyDescent="0.25">
      <c r="B76" s="89"/>
      <c r="C76" s="46" t="s">
        <v>131</v>
      </c>
      <c r="D76" s="47">
        <v>3</v>
      </c>
      <c r="E76" s="48">
        <v>4.0760869565217389E-4</v>
      </c>
    </row>
    <row r="77" spans="2:5" ht="15" customHeight="1" x14ac:dyDescent="0.25">
      <c r="B77" s="89"/>
      <c r="C77" s="46" t="s">
        <v>128</v>
      </c>
      <c r="D77" s="47">
        <v>3</v>
      </c>
      <c r="E77" s="48">
        <v>4.0760869565217389E-4</v>
      </c>
    </row>
    <row r="78" spans="2:5" ht="15" customHeight="1" x14ac:dyDescent="0.25">
      <c r="B78" s="89"/>
      <c r="C78" s="46" t="s">
        <v>127</v>
      </c>
      <c r="D78" s="47">
        <v>3</v>
      </c>
      <c r="E78" s="48">
        <v>4.0760869565217389E-4</v>
      </c>
    </row>
    <row r="79" spans="2:5" ht="15" customHeight="1" x14ac:dyDescent="0.25">
      <c r="B79" s="90"/>
      <c r="C79" s="49" t="s">
        <v>63</v>
      </c>
      <c r="D79" s="50">
        <v>540</v>
      </c>
      <c r="E79" s="51">
        <v>7.3369565217391311E-2</v>
      </c>
    </row>
    <row r="80" spans="2:5" ht="15" customHeight="1" x14ac:dyDescent="0.25">
      <c r="B80" s="88" t="s">
        <v>115</v>
      </c>
      <c r="C80" s="46" t="s">
        <v>12</v>
      </c>
      <c r="D80" s="47">
        <v>1</v>
      </c>
      <c r="E80" s="48">
        <v>1.3586956521739131E-4</v>
      </c>
    </row>
    <row r="81" spans="2:5" ht="15" customHeight="1" x14ac:dyDescent="0.25">
      <c r="B81" s="89"/>
      <c r="C81" s="46" t="s">
        <v>126</v>
      </c>
      <c r="D81" s="47">
        <v>1</v>
      </c>
      <c r="E81" s="48">
        <v>1.3586956521739131E-4</v>
      </c>
    </row>
    <row r="82" spans="2:5" ht="15" customHeight="1" x14ac:dyDescent="0.25">
      <c r="B82" s="90"/>
      <c r="C82" s="49" t="s">
        <v>63</v>
      </c>
      <c r="D82" s="50">
        <v>2</v>
      </c>
      <c r="E82" s="51">
        <v>2.7173913043478261E-4</v>
      </c>
    </row>
    <row r="83" spans="2:5" ht="15" customHeight="1" x14ac:dyDescent="0.25">
      <c r="B83" s="88" t="s">
        <v>75</v>
      </c>
      <c r="C83" s="46" t="s">
        <v>12</v>
      </c>
      <c r="D83" s="47">
        <v>185</v>
      </c>
      <c r="E83" s="48">
        <v>2.5135869565217392E-2</v>
      </c>
    </row>
    <row r="84" spans="2:5" ht="15" customHeight="1" x14ac:dyDescent="0.25">
      <c r="B84" s="89"/>
      <c r="C84" s="46" t="s">
        <v>126</v>
      </c>
      <c r="D84" s="47">
        <v>26</v>
      </c>
      <c r="E84" s="48">
        <v>3.5326086956521739E-3</v>
      </c>
    </row>
    <row r="85" spans="2:5" ht="15" customHeight="1" x14ac:dyDescent="0.25">
      <c r="B85" s="89"/>
      <c r="C85" s="46" t="s">
        <v>122</v>
      </c>
      <c r="D85" s="47">
        <v>57</v>
      </c>
      <c r="E85" s="48">
        <v>7.7445652173913047E-3</v>
      </c>
    </row>
    <row r="86" spans="2:5" ht="15" customHeight="1" x14ac:dyDescent="0.25">
      <c r="B86" s="89"/>
      <c r="C86" s="46" t="s">
        <v>129</v>
      </c>
      <c r="D86" s="47">
        <v>34</v>
      </c>
      <c r="E86" s="48">
        <v>4.6195652173913046E-3</v>
      </c>
    </row>
    <row r="87" spans="2:5" ht="15" customHeight="1" x14ac:dyDescent="0.25">
      <c r="B87" s="89"/>
      <c r="C87" s="46" t="s">
        <v>130</v>
      </c>
      <c r="D87" s="47">
        <v>2</v>
      </c>
      <c r="E87" s="48">
        <v>2.7173913043478261E-4</v>
      </c>
    </row>
    <row r="88" spans="2:5" ht="15" customHeight="1" x14ac:dyDescent="0.25">
      <c r="B88" s="89"/>
      <c r="C88" s="46" t="s">
        <v>125</v>
      </c>
      <c r="D88" s="47">
        <v>31</v>
      </c>
      <c r="E88" s="48">
        <v>4.2119565217391304E-3</v>
      </c>
    </row>
    <row r="89" spans="2:5" ht="15" customHeight="1" x14ac:dyDescent="0.25">
      <c r="B89" s="89"/>
      <c r="C89" s="46" t="s">
        <v>124</v>
      </c>
      <c r="D89" s="47">
        <v>42</v>
      </c>
      <c r="E89" s="48">
        <v>5.7065217391304348E-3</v>
      </c>
    </row>
    <row r="90" spans="2:5" ht="15" customHeight="1" x14ac:dyDescent="0.25">
      <c r="B90" s="89"/>
      <c r="C90" s="46" t="s">
        <v>123</v>
      </c>
      <c r="D90" s="47">
        <v>117</v>
      </c>
      <c r="E90" s="48">
        <v>1.5896739130434781E-2</v>
      </c>
    </row>
    <row r="91" spans="2:5" ht="15" customHeight="1" x14ac:dyDescent="0.25">
      <c r="B91" s="89"/>
      <c r="C91" s="46" t="s">
        <v>131</v>
      </c>
      <c r="D91" s="47">
        <v>9</v>
      </c>
      <c r="E91" s="48">
        <v>1.2228260869565218E-3</v>
      </c>
    </row>
    <row r="92" spans="2:5" ht="15" customHeight="1" x14ac:dyDescent="0.25">
      <c r="B92" s="89"/>
      <c r="C92" s="46" t="s">
        <v>127</v>
      </c>
      <c r="D92" s="47">
        <v>25</v>
      </c>
      <c r="E92" s="48">
        <v>3.3967391304347825E-3</v>
      </c>
    </row>
    <row r="93" spans="2:5" ht="15" customHeight="1" x14ac:dyDescent="0.25">
      <c r="B93" s="90"/>
      <c r="C93" s="49" t="s">
        <v>63</v>
      </c>
      <c r="D93" s="50">
        <v>528</v>
      </c>
      <c r="E93" s="51">
        <v>7.1739130434782611E-2</v>
      </c>
    </row>
    <row r="94" spans="2:5" ht="15" customHeight="1" x14ac:dyDescent="0.25">
      <c r="B94" s="88" t="s">
        <v>96</v>
      </c>
      <c r="C94" s="46" t="s">
        <v>12</v>
      </c>
      <c r="D94" s="47">
        <v>48</v>
      </c>
      <c r="E94" s="48">
        <v>6.5217391304347823E-3</v>
      </c>
    </row>
    <row r="95" spans="2:5" ht="15" customHeight="1" x14ac:dyDescent="0.25">
      <c r="B95" s="89"/>
      <c r="C95" s="46" t="s">
        <v>126</v>
      </c>
      <c r="D95" s="47">
        <v>4</v>
      </c>
      <c r="E95" s="48">
        <v>5.4347826086956522E-4</v>
      </c>
    </row>
    <row r="96" spans="2:5" ht="15" customHeight="1" x14ac:dyDescent="0.25">
      <c r="B96" s="89"/>
      <c r="C96" s="46" t="s">
        <v>122</v>
      </c>
      <c r="D96" s="47">
        <v>8</v>
      </c>
      <c r="E96" s="48">
        <v>1.0869565217391304E-3</v>
      </c>
    </row>
    <row r="97" spans="2:5" ht="15" customHeight="1" x14ac:dyDescent="0.25">
      <c r="B97" s="89"/>
      <c r="C97" s="46" t="s">
        <v>130</v>
      </c>
      <c r="D97" s="47">
        <v>1</v>
      </c>
      <c r="E97" s="48">
        <v>1.3586956521739131E-4</v>
      </c>
    </row>
    <row r="98" spans="2:5" ht="15" customHeight="1" x14ac:dyDescent="0.25">
      <c r="B98" s="89"/>
      <c r="C98" s="46" t="s">
        <v>125</v>
      </c>
      <c r="D98" s="47">
        <v>3</v>
      </c>
      <c r="E98" s="48">
        <v>4.0760869565217389E-4</v>
      </c>
    </row>
    <row r="99" spans="2:5" ht="15" customHeight="1" x14ac:dyDescent="0.25">
      <c r="B99" s="89"/>
      <c r="C99" s="46" t="s">
        <v>124</v>
      </c>
      <c r="D99" s="47">
        <v>2</v>
      </c>
      <c r="E99" s="48">
        <v>2.7173913043478261E-4</v>
      </c>
    </row>
    <row r="100" spans="2:5" ht="15" customHeight="1" x14ac:dyDescent="0.25">
      <c r="B100" s="89"/>
      <c r="C100" s="46" t="s">
        <v>123</v>
      </c>
      <c r="D100" s="47">
        <v>2</v>
      </c>
      <c r="E100" s="48">
        <v>2.7173913043478261E-4</v>
      </c>
    </row>
    <row r="101" spans="2:5" ht="15" customHeight="1" x14ac:dyDescent="0.25">
      <c r="B101" s="89"/>
      <c r="C101" s="46" t="s">
        <v>131</v>
      </c>
      <c r="D101" s="47">
        <v>3</v>
      </c>
      <c r="E101" s="48">
        <v>4.0760869565217389E-4</v>
      </c>
    </row>
    <row r="102" spans="2:5" ht="15" customHeight="1" x14ac:dyDescent="0.25">
      <c r="B102" s="90"/>
      <c r="C102" s="49" t="s">
        <v>63</v>
      </c>
      <c r="D102" s="50">
        <v>71</v>
      </c>
      <c r="E102" s="51">
        <v>9.6467391304347824E-3</v>
      </c>
    </row>
    <row r="103" spans="2:5" ht="15" customHeight="1" x14ac:dyDescent="0.25">
      <c r="B103" s="88" t="s">
        <v>103</v>
      </c>
      <c r="C103" s="46" t="s">
        <v>12</v>
      </c>
      <c r="D103" s="47">
        <v>23</v>
      </c>
      <c r="E103" s="48">
        <v>3.1250000000000002E-3</v>
      </c>
    </row>
    <row r="104" spans="2:5" ht="15" customHeight="1" x14ac:dyDescent="0.25">
      <c r="B104" s="89"/>
      <c r="C104" s="46" t="s">
        <v>126</v>
      </c>
      <c r="D104" s="47">
        <v>1</v>
      </c>
      <c r="E104" s="48">
        <v>1.3586956521739131E-4</v>
      </c>
    </row>
    <row r="105" spans="2:5" ht="15" customHeight="1" x14ac:dyDescent="0.25">
      <c r="B105" s="89"/>
      <c r="C105" s="46" t="s">
        <v>123</v>
      </c>
      <c r="D105" s="47">
        <v>7</v>
      </c>
      <c r="E105" s="48">
        <v>9.5108695652173917E-4</v>
      </c>
    </row>
    <row r="106" spans="2:5" ht="15" customHeight="1" x14ac:dyDescent="0.25">
      <c r="B106" s="89"/>
      <c r="C106" s="46" t="s">
        <v>131</v>
      </c>
      <c r="D106" s="47">
        <v>1</v>
      </c>
      <c r="E106" s="48">
        <v>1.3586956521739131E-4</v>
      </c>
    </row>
    <row r="107" spans="2:5" ht="15" customHeight="1" x14ac:dyDescent="0.25">
      <c r="B107" s="89"/>
      <c r="C107" s="46" t="s">
        <v>127</v>
      </c>
      <c r="D107" s="47">
        <v>1</v>
      </c>
      <c r="E107" s="48">
        <v>1.3586956521739131E-4</v>
      </c>
    </row>
    <row r="108" spans="2:5" ht="15" customHeight="1" x14ac:dyDescent="0.25">
      <c r="B108" s="90"/>
      <c r="C108" s="49" t="s">
        <v>63</v>
      </c>
      <c r="D108" s="50">
        <v>33</v>
      </c>
      <c r="E108" s="51">
        <v>4.4836956521739132E-3</v>
      </c>
    </row>
    <row r="109" spans="2:5" ht="15" customHeight="1" x14ac:dyDescent="0.25">
      <c r="B109" s="88" t="s">
        <v>108</v>
      </c>
      <c r="C109" s="46" t="s">
        <v>12</v>
      </c>
      <c r="D109" s="47">
        <v>13</v>
      </c>
      <c r="E109" s="48">
        <v>1.766304347826087E-3</v>
      </c>
    </row>
    <row r="110" spans="2:5" ht="15" customHeight="1" x14ac:dyDescent="0.25">
      <c r="B110" s="89"/>
      <c r="C110" s="46" t="s">
        <v>129</v>
      </c>
      <c r="D110" s="47">
        <v>1</v>
      </c>
      <c r="E110" s="48">
        <v>1.3586956521739131E-4</v>
      </c>
    </row>
    <row r="111" spans="2:5" ht="15" customHeight="1" x14ac:dyDescent="0.25">
      <c r="B111" s="89"/>
      <c r="C111" s="46" t="s">
        <v>125</v>
      </c>
      <c r="D111" s="47">
        <v>1</v>
      </c>
      <c r="E111" s="48">
        <v>1.3586956521739131E-4</v>
      </c>
    </row>
    <row r="112" spans="2:5" ht="15" customHeight="1" x14ac:dyDescent="0.25">
      <c r="B112" s="89"/>
      <c r="C112" s="46" t="s">
        <v>124</v>
      </c>
      <c r="D112" s="47">
        <v>1</v>
      </c>
      <c r="E112" s="48">
        <v>1.3586956521739131E-4</v>
      </c>
    </row>
    <row r="113" spans="2:5" ht="15" customHeight="1" x14ac:dyDescent="0.25">
      <c r="B113" s="90"/>
      <c r="C113" s="49" t="s">
        <v>63</v>
      </c>
      <c r="D113" s="50">
        <v>16</v>
      </c>
      <c r="E113" s="51">
        <v>2.1739130434782609E-3</v>
      </c>
    </row>
    <row r="114" spans="2:5" ht="15" customHeight="1" x14ac:dyDescent="0.25">
      <c r="B114" s="88" t="s">
        <v>84</v>
      </c>
      <c r="C114" s="46" t="s">
        <v>12</v>
      </c>
      <c r="D114" s="47">
        <v>96</v>
      </c>
      <c r="E114" s="48">
        <v>1.3043478260869565E-2</v>
      </c>
    </row>
    <row r="115" spans="2:5" ht="15" customHeight="1" x14ac:dyDescent="0.25">
      <c r="B115" s="89"/>
      <c r="C115" s="46" t="s">
        <v>126</v>
      </c>
      <c r="D115" s="47">
        <v>5</v>
      </c>
      <c r="E115" s="48">
        <v>6.793478260869565E-4</v>
      </c>
    </row>
    <row r="116" spans="2:5" ht="15" customHeight="1" x14ac:dyDescent="0.25">
      <c r="B116" s="89"/>
      <c r="C116" s="46" t="s">
        <v>122</v>
      </c>
      <c r="D116" s="47">
        <v>14</v>
      </c>
      <c r="E116" s="48">
        <v>1.9021739130434783E-3</v>
      </c>
    </row>
    <row r="117" spans="2:5" ht="15" customHeight="1" x14ac:dyDescent="0.25">
      <c r="B117" s="89"/>
      <c r="C117" s="46" t="s">
        <v>129</v>
      </c>
      <c r="D117" s="47">
        <v>1</v>
      </c>
      <c r="E117" s="48">
        <v>1.3586956521739131E-4</v>
      </c>
    </row>
    <row r="118" spans="2:5" ht="15" customHeight="1" x14ac:dyDescent="0.25">
      <c r="B118" s="89"/>
      <c r="C118" s="46" t="s">
        <v>130</v>
      </c>
      <c r="D118" s="47">
        <v>2</v>
      </c>
      <c r="E118" s="48">
        <v>2.7173913043478261E-4</v>
      </c>
    </row>
    <row r="119" spans="2:5" ht="15" customHeight="1" x14ac:dyDescent="0.25">
      <c r="B119" s="89"/>
      <c r="C119" s="46" t="s">
        <v>125</v>
      </c>
      <c r="D119" s="47">
        <v>13</v>
      </c>
      <c r="E119" s="48">
        <v>1.766304347826087E-3</v>
      </c>
    </row>
    <row r="120" spans="2:5" ht="15" customHeight="1" x14ac:dyDescent="0.25">
      <c r="B120" s="89"/>
      <c r="C120" s="46" t="s">
        <v>124</v>
      </c>
      <c r="D120" s="47">
        <v>3</v>
      </c>
      <c r="E120" s="48">
        <v>4.0760869565217389E-4</v>
      </c>
    </row>
    <row r="121" spans="2:5" ht="15" customHeight="1" x14ac:dyDescent="0.25">
      <c r="B121" s="89"/>
      <c r="C121" s="46" t="s">
        <v>123</v>
      </c>
      <c r="D121" s="47">
        <v>3</v>
      </c>
      <c r="E121" s="48">
        <v>4.0760869565217389E-4</v>
      </c>
    </row>
    <row r="122" spans="2:5" ht="15" customHeight="1" x14ac:dyDescent="0.25">
      <c r="B122" s="89"/>
      <c r="C122" s="46" t="s">
        <v>128</v>
      </c>
      <c r="D122" s="47">
        <v>6</v>
      </c>
      <c r="E122" s="48">
        <v>8.1521739130434778E-4</v>
      </c>
    </row>
    <row r="123" spans="2:5" ht="15" customHeight="1" x14ac:dyDescent="0.25">
      <c r="B123" s="89"/>
      <c r="C123" s="46" t="s">
        <v>127</v>
      </c>
      <c r="D123" s="47">
        <v>1</v>
      </c>
      <c r="E123" s="48">
        <v>1.3586956521739131E-4</v>
      </c>
    </row>
    <row r="124" spans="2:5" ht="15" customHeight="1" x14ac:dyDescent="0.25">
      <c r="B124" s="90"/>
      <c r="C124" s="49" t="s">
        <v>63</v>
      </c>
      <c r="D124" s="50">
        <v>144</v>
      </c>
      <c r="E124" s="51">
        <v>1.9565217391304349E-2</v>
      </c>
    </row>
    <row r="125" spans="2:5" ht="15" customHeight="1" x14ac:dyDescent="0.25">
      <c r="B125" s="88" t="s">
        <v>76</v>
      </c>
      <c r="C125" s="46" t="s">
        <v>12</v>
      </c>
      <c r="D125" s="47">
        <v>264</v>
      </c>
      <c r="E125" s="48">
        <v>3.5869565217391305E-2</v>
      </c>
    </row>
    <row r="126" spans="2:5" ht="15" customHeight="1" x14ac:dyDescent="0.25">
      <c r="B126" s="89"/>
      <c r="C126" s="46" t="s">
        <v>126</v>
      </c>
      <c r="D126" s="47">
        <v>33</v>
      </c>
      <c r="E126" s="48">
        <v>4.4836956521739132E-3</v>
      </c>
    </row>
    <row r="127" spans="2:5" ht="15" customHeight="1" x14ac:dyDescent="0.25">
      <c r="B127" s="89"/>
      <c r="C127" s="46" t="s">
        <v>122</v>
      </c>
      <c r="D127" s="47">
        <v>14</v>
      </c>
      <c r="E127" s="48">
        <v>1.9021739130434783E-3</v>
      </c>
    </row>
    <row r="128" spans="2:5" ht="15" customHeight="1" x14ac:dyDescent="0.25">
      <c r="B128" s="89"/>
      <c r="C128" s="46" t="s">
        <v>129</v>
      </c>
      <c r="D128" s="47">
        <v>2</v>
      </c>
      <c r="E128" s="48">
        <v>2.7173913043478261E-4</v>
      </c>
    </row>
    <row r="129" spans="2:5" ht="15" customHeight="1" x14ac:dyDescent="0.25">
      <c r="B129" s="89"/>
      <c r="C129" s="46" t="s">
        <v>130</v>
      </c>
      <c r="D129" s="47">
        <v>3</v>
      </c>
      <c r="E129" s="48">
        <v>4.0760869565217389E-4</v>
      </c>
    </row>
    <row r="130" spans="2:5" ht="15" customHeight="1" x14ac:dyDescent="0.25">
      <c r="B130" s="89"/>
      <c r="C130" s="46" t="s">
        <v>125</v>
      </c>
      <c r="D130" s="47">
        <v>18</v>
      </c>
      <c r="E130" s="48">
        <v>2.4456521739130437E-3</v>
      </c>
    </row>
    <row r="131" spans="2:5" ht="15" customHeight="1" x14ac:dyDescent="0.25">
      <c r="B131" s="89"/>
      <c r="C131" s="46" t="s">
        <v>124</v>
      </c>
      <c r="D131" s="47">
        <v>67</v>
      </c>
      <c r="E131" s="48">
        <v>9.1032608695652169E-3</v>
      </c>
    </row>
    <row r="132" spans="2:5" ht="15" customHeight="1" x14ac:dyDescent="0.25">
      <c r="B132" s="89"/>
      <c r="C132" s="46" t="s">
        <v>123</v>
      </c>
      <c r="D132" s="47">
        <v>34</v>
      </c>
      <c r="E132" s="48">
        <v>4.6195652173913046E-3</v>
      </c>
    </row>
    <row r="133" spans="2:5" ht="15" customHeight="1" x14ac:dyDescent="0.25">
      <c r="B133" s="89"/>
      <c r="C133" s="46" t="s">
        <v>131</v>
      </c>
      <c r="D133" s="47">
        <v>3</v>
      </c>
      <c r="E133" s="48">
        <v>4.0760869565217389E-4</v>
      </c>
    </row>
    <row r="134" spans="2:5" ht="15" customHeight="1" x14ac:dyDescent="0.25">
      <c r="B134" s="89"/>
      <c r="C134" s="46" t="s">
        <v>128</v>
      </c>
      <c r="D134" s="47">
        <v>40</v>
      </c>
      <c r="E134" s="48">
        <v>5.434782608695652E-3</v>
      </c>
    </row>
    <row r="135" spans="2:5" ht="15" customHeight="1" x14ac:dyDescent="0.25">
      <c r="B135" s="89"/>
      <c r="C135" s="46" t="s">
        <v>127</v>
      </c>
      <c r="D135" s="47">
        <v>9</v>
      </c>
      <c r="E135" s="48">
        <v>1.2228260869565218E-3</v>
      </c>
    </row>
    <row r="136" spans="2:5" ht="15" customHeight="1" x14ac:dyDescent="0.25">
      <c r="B136" s="90"/>
      <c r="C136" s="49" t="s">
        <v>63</v>
      </c>
      <c r="D136" s="50">
        <v>487</v>
      </c>
      <c r="E136" s="51">
        <v>6.6168478260869565E-2</v>
      </c>
    </row>
    <row r="137" spans="2:5" ht="15" customHeight="1" x14ac:dyDescent="0.25">
      <c r="B137" s="88" t="s">
        <v>83</v>
      </c>
      <c r="C137" s="46" t="s">
        <v>12</v>
      </c>
      <c r="D137" s="47">
        <v>90</v>
      </c>
      <c r="E137" s="48">
        <v>1.2228260869565218E-2</v>
      </c>
    </row>
    <row r="138" spans="2:5" ht="15" customHeight="1" x14ac:dyDescent="0.25">
      <c r="B138" s="89"/>
      <c r="C138" s="46" t="s">
        <v>126</v>
      </c>
      <c r="D138" s="47">
        <v>2</v>
      </c>
      <c r="E138" s="48">
        <v>2.7173913043478261E-4</v>
      </c>
    </row>
    <row r="139" spans="2:5" ht="15" customHeight="1" x14ac:dyDescent="0.25">
      <c r="B139" s="89"/>
      <c r="C139" s="46" t="s">
        <v>122</v>
      </c>
      <c r="D139" s="47">
        <v>6</v>
      </c>
      <c r="E139" s="48">
        <v>8.1521739130434778E-4</v>
      </c>
    </row>
    <row r="140" spans="2:5" ht="15" customHeight="1" x14ac:dyDescent="0.25">
      <c r="B140" s="89"/>
      <c r="C140" s="46" t="s">
        <v>130</v>
      </c>
      <c r="D140" s="47">
        <v>1</v>
      </c>
      <c r="E140" s="48">
        <v>1.3586956521739131E-4</v>
      </c>
    </row>
    <row r="141" spans="2:5" ht="15" customHeight="1" x14ac:dyDescent="0.25">
      <c r="B141" s="89"/>
      <c r="C141" s="46" t="s">
        <v>125</v>
      </c>
      <c r="D141" s="47">
        <v>6</v>
      </c>
      <c r="E141" s="48">
        <v>8.1521739130434778E-4</v>
      </c>
    </row>
    <row r="142" spans="2:5" ht="15" customHeight="1" x14ac:dyDescent="0.25">
      <c r="B142" s="89"/>
      <c r="C142" s="46" t="s">
        <v>124</v>
      </c>
      <c r="D142" s="47">
        <v>12</v>
      </c>
      <c r="E142" s="48">
        <v>1.6304347826086956E-3</v>
      </c>
    </row>
    <row r="143" spans="2:5" ht="15" customHeight="1" x14ac:dyDescent="0.25">
      <c r="B143" s="89"/>
      <c r="C143" s="46" t="s">
        <v>123</v>
      </c>
      <c r="D143" s="47">
        <v>14</v>
      </c>
      <c r="E143" s="48">
        <v>1.9021739130434783E-3</v>
      </c>
    </row>
    <row r="144" spans="2:5" ht="15" customHeight="1" x14ac:dyDescent="0.25">
      <c r="B144" s="89"/>
      <c r="C144" s="46" t="s">
        <v>131</v>
      </c>
      <c r="D144" s="47">
        <v>15</v>
      </c>
      <c r="E144" s="48">
        <v>2.0380434782608695E-3</v>
      </c>
    </row>
    <row r="145" spans="2:5" ht="15" customHeight="1" x14ac:dyDescent="0.25">
      <c r="B145" s="89"/>
      <c r="C145" s="46" t="s">
        <v>127</v>
      </c>
      <c r="D145" s="47">
        <v>2</v>
      </c>
      <c r="E145" s="48">
        <v>2.7173913043478261E-4</v>
      </c>
    </row>
    <row r="146" spans="2:5" ht="15" customHeight="1" x14ac:dyDescent="0.25">
      <c r="B146" s="90"/>
      <c r="C146" s="49" t="s">
        <v>63</v>
      </c>
      <c r="D146" s="50">
        <v>148</v>
      </c>
      <c r="E146" s="51">
        <v>2.0108695652173911E-2</v>
      </c>
    </row>
    <row r="147" spans="2:5" ht="15" customHeight="1" x14ac:dyDescent="0.25">
      <c r="B147" s="88" t="s">
        <v>80</v>
      </c>
      <c r="C147" s="46" t="s">
        <v>12</v>
      </c>
      <c r="D147" s="47">
        <v>69</v>
      </c>
      <c r="E147" s="48">
        <v>9.3749999999999997E-3</v>
      </c>
    </row>
    <row r="148" spans="2:5" ht="15" customHeight="1" x14ac:dyDescent="0.25">
      <c r="B148" s="89"/>
      <c r="C148" s="46" t="s">
        <v>122</v>
      </c>
      <c r="D148" s="47">
        <v>51</v>
      </c>
      <c r="E148" s="48">
        <v>6.9293478260869564E-3</v>
      </c>
    </row>
    <row r="149" spans="2:5" ht="15" customHeight="1" x14ac:dyDescent="0.25">
      <c r="B149" s="89"/>
      <c r="C149" s="46" t="s">
        <v>129</v>
      </c>
      <c r="D149" s="47">
        <v>4</v>
      </c>
      <c r="E149" s="48">
        <v>5.4347826086956522E-4</v>
      </c>
    </row>
    <row r="150" spans="2:5" ht="15" customHeight="1" x14ac:dyDescent="0.25">
      <c r="B150" s="89"/>
      <c r="C150" s="46" t="s">
        <v>130</v>
      </c>
      <c r="D150" s="47">
        <v>1</v>
      </c>
      <c r="E150" s="48">
        <v>1.3586956521739131E-4</v>
      </c>
    </row>
    <row r="151" spans="2:5" ht="15" customHeight="1" x14ac:dyDescent="0.25">
      <c r="B151" s="89"/>
      <c r="C151" s="46" t="s">
        <v>125</v>
      </c>
      <c r="D151" s="47">
        <v>4</v>
      </c>
      <c r="E151" s="48">
        <v>5.4347826086956522E-4</v>
      </c>
    </row>
    <row r="152" spans="2:5" ht="15" customHeight="1" x14ac:dyDescent="0.25">
      <c r="B152" s="89"/>
      <c r="C152" s="46" t="s">
        <v>124</v>
      </c>
      <c r="D152" s="47">
        <v>11</v>
      </c>
      <c r="E152" s="48">
        <v>1.4945652173913044E-3</v>
      </c>
    </row>
    <row r="153" spans="2:5" ht="15" customHeight="1" x14ac:dyDescent="0.25">
      <c r="B153" s="89"/>
      <c r="C153" s="46" t="s">
        <v>123</v>
      </c>
      <c r="D153" s="47">
        <v>16</v>
      </c>
      <c r="E153" s="48">
        <v>2.1739130434782609E-3</v>
      </c>
    </row>
    <row r="154" spans="2:5" ht="15" customHeight="1" x14ac:dyDescent="0.25">
      <c r="B154" s="89"/>
      <c r="C154" s="46" t="s">
        <v>131</v>
      </c>
      <c r="D154" s="47">
        <v>1</v>
      </c>
      <c r="E154" s="48">
        <v>1.3586956521739131E-4</v>
      </c>
    </row>
    <row r="155" spans="2:5" ht="15" customHeight="1" x14ac:dyDescent="0.25">
      <c r="B155" s="89"/>
      <c r="C155" s="46" t="s">
        <v>128</v>
      </c>
      <c r="D155" s="47">
        <v>1</v>
      </c>
      <c r="E155" s="48">
        <v>1.3586956521739131E-4</v>
      </c>
    </row>
    <row r="156" spans="2:5" ht="15" customHeight="1" x14ac:dyDescent="0.25">
      <c r="B156" s="89"/>
      <c r="C156" s="46" t="s">
        <v>127</v>
      </c>
      <c r="D156" s="47">
        <v>3</v>
      </c>
      <c r="E156" s="48">
        <v>4.0760869565217389E-4</v>
      </c>
    </row>
    <row r="157" spans="2:5" ht="15" customHeight="1" x14ac:dyDescent="0.25">
      <c r="B157" s="90"/>
      <c r="C157" s="49" t="s">
        <v>63</v>
      </c>
      <c r="D157" s="50">
        <v>161</v>
      </c>
      <c r="E157" s="51">
        <v>2.1874999999999999E-2</v>
      </c>
    </row>
    <row r="158" spans="2:5" ht="15" customHeight="1" x14ac:dyDescent="0.25">
      <c r="B158" s="88" t="s">
        <v>109</v>
      </c>
      <c r="C158" s="46" t="s">
        <v>12</v>
      </c>
      <c r="D158" s="47">
        <v>7</v>
      </c>
      <c r="E158" s="48">
        <v>9.5108695652173917E-4</v>
      </c>
    </row>
    <row r="159" spans="2:5" ht="15" customHeight="1" x14ac:dyDescent="0.25">
      <c r="B159" s="89"/>
      <c r="C159" s="46" t="s">
        <v>126</v>
      </c>
      <c r="D159" s="47">
        <v>1</v>
      </c>
      <c r="E159" s="48">
        <v>1.3586956521739131E-4</v>
      </c>
    </row>
    <row r="160" spans="2:5" ht="15" customHeight="1" x14ac:dyDescent="0.25">
      <c r="B160" s="89"/>
      <c r="C160" s="46" t="s">
        <v>122</v>
      </c>
      <c r="D160" s="47">
        <v>1</v>
      </c>
      <c r="E160" s="48">
        <v>1.3586956521739131E-4</v>
      </c>
    </row>
    <row r="161" spans="2:5" ht="15" customHeight="1" x14ac:dyDescent="0.25">
      <c r="B161" s="90"/>
      <c r="C161" s="49" t="s">
        <v>63</v>
      </c>
      <c r="D161" s="50">
        <v>9</v>
      </c>
      <c r="E161" s="51">
        <v>1.2228260869565218E-3</v>
      </c>
    </row>
    <row r="162" spans="2:5" ht="15" customHeight="1" x14ac:dyDescent="0.25">
      <c r="B162" s="88" t="s">
        <v>82</v>
      </c>
      <c r="C162" s="46" t="s">
        <v>12</v>
      </c>
      <c r="D162" s="47">
        <v>71</v>
      </c>
      <c r="E162" s="48">
        <v>9.6467391304347824E-3</v>
      </c>
    </row>
    <row r="163" spans="2:5" ht="15" customHeight="1" x14ac:dyDescent="0.25">
      <c r="B163" s="89"/>
      <c r="C163" s="46" t="s">
        <v>126</v>
      </c>
      <c r="D163" s="47">
        <v>1</v>
      </c>
      <c r="E163" s="48">
        <v>1.3586956521739131E-4</v>
      </c>
    </row>
    <row r="164" spans="2:5" ht="15" customHeight="1" x14ac:dyDescent="0.25">
      <c r="B164" s="89"/>
      <c r="C164" s="46" t="s">
        <v>122</v>
      </c>
      <c r="D164" s="47">
        <v>15</v>
      </c>
      <c r="E164" s="48">
        <v>2.0380434782608695E-3</v>
      </c>
    </row>
    <row r="165" spans="2:5" ht="15" customHeight="1" x14ac:dyDescent="0.25">
      <c r="B165" s="89"/>
      <c r="C165" s="46" t="s">
        <v>129</v>
      </c>
      <c r="D165" s="47">
        <v>22</v>
      </c>
      <c r="E165" s="48">
        <v>2.9891304347826088E-3</v>
      </c>
    </row>
    <row r="166" spans="2:5" ht="15" customHeight="1" x14ac:dyDescent="0.25">
      <c r="B166" s="89"/>
      <c r="C166" s="46" t="s">
        <v>125</v>
      </c>
      <c r="D166" s="47">
        <v>8</v>
      </c>
      <c r="E166" s="48">
        <v>1.0869565217391304E-3</v>
      </c>
    </row>
    <row r="167" spans="2:5" ht="15" customHeight="1" x14ac:dyDescent="0.25">
      <c r="B167" s="89"/>
      <c r="C167" s="46" t="s">
        <v>124</v>
      </c>
      <c r="D167" s="47">
        <v>13</v>
      </c>
      <c r="E167" s="48">
        <v>1.766304347826087E-3</v>
      </c>
    </row>
    <row r="168" spans="2:5" ht="15" customHeight="1" x14ac:dyDescent="0.25">
      <c r="B168" s="89"/>
      <c r="C168" s="46" t="s">
        <v>123</v>
      </c>
      <c r="D168" s="47">
        <v>14</v>
      </c>
      <c r="E168" s="48">
        <v>1.9021739130434783E-3</v>
      </c>
    </row>
    <row r="169" spans="2:5" ht="15" customHeight="1" x14ac:dyDescent="0.25">
      <c r="B169" s="89"/>
      <c r="C169" s="46" t="s">
        <v>131</v>
      </c>
      <c r="D169" s="47">
        <v>1</v>
      </c>
      <c r="E169" s="48">
        <v>1.3586956521739131E-4</v>
      </c>
    </row>
    <row r="170" spans="2:5" ht="15" customHeight="1" x14ac:dyDescent="0.25">
      <c r="B170" s="89"/>
      <c r="C170" s="46" t="s">
        <v>128</v>
      </c>
      <c r="D170" s="47">
        <v>3</v>
      </c>
      <c r="E170" s="48">
        <v>4.0760869565217389E-4</v>
      </c>
    </row>
    <row r="171" spans="2:5" ht="15" customHeight="1" x14ac:dyDescent="0.25">
      <c r="B171" s="89"/>
      <c r="C171" s="46" t="s">
        <v>127</v>
      </c>
      <c r="D171" s="47">
        <v>2</v>
      </c>
      <c r="E171" s="48">
        <v>2.7173913043478261E-4</v>
      </c>
    </row>
    <row r="172" spans="2:5" ht="15" customHeight="1" x14ac:dyDescent="0.25">
      <c r="B172" s="90"/>
      <c r="C172" s="49" t="s">
        <v>63</v>
      </c>
      <c r="D172" s="50">
        <v>150</v>
      </c>
      <c r="E172" s="51">
        <v>2.0380434782608696E-2</v>
      </c>
    </row>
    <row r="173" spans="2:5" ht="15" customHeight="1" x14ac:dyDescent="0.25">
      <c r="B173" s="88" t="s">
        <v>72</v>
      </c>
      <c r="C173" s="46" t="s">
        <v>12</v>
      </c>
      <c r="D173" s="47">
        <v>212</v>
      </c>
      <c r="E173" s="48">
        <v>2.8804347826086957E-2</v>
      </c>
    </row>
    <row r="174" spans="2:5" ht="15" customHeight="1" x14ac:dyDescent="0.25">
      <c r="B174" s="89"/>
      <c r="C174" s="46" t="s">
        <v>126</v>
      </c>
      <c r="D174" s="47">
        <v>30</v>
      </c>
      <c r="E174" s="48">
        <v>4.076086956521739E-3</v>
      </c>
    </row>
    <row r="175" spans="2:5" ht="15" customHeight="1" x14ac:dyDescent="0.25">
      <c r="B175" s="89"/>
      <c r="C175" s="46" t="s">
        <v>122</v>
      </c>
      <c r="D175" s="47">
        <v>251</v>
      </c>
      <c r="E175" s="48">
        <v>3.4103260869565215E-2</v>
      </c>
    </row>
    <row r="176" spans="2:5" ht="15" customHeight="1" x14ac:dyDescent="0.25">
      <c r="B176" s="89"/>
      <c r="C176" s="46" t="s">
        <v>129</v>
      </c>
      <c r="D176" s="47">
        <v>3</v>
      </c>
      <c r="E176" s="48">
        <v>4.0760869565217389E-4</v>
      </c>
    </row>
    <row r="177" spans="2:5" ht="15" customHeight="1" x14ac:dyDescent="0.25">
      <c r="B177" s="89"/>
      <c r="C177" s="46" t="s">
        <v>130</v>
      </c>
      <c r="D177" s="47">
        <v>8</v>
      </c>
      <c r="E177" s="48">
        <v>1.0869565217391304E-3</v>
      </c>
    </row>
    <row r="178" spans="2:5" ht="15" customHeight="1" x14ac:dyDescent="0.25">
      <c r="B178" s="89"/>
      <c r="C178" s="46" t="s">
        <v>125</v>
      </c>
      <c r="D178" s="47">
        <v>14</v>
      </c>
      <c r="E178" s="48">
        <v>1.9021739130434783E-3</v>
      </c>
    </row>
    <row r="179" spans="2:5" ht="15" customHeight="1" x14ac:dyDescent="0.25">
      <c r="B179" s="89"/>
      <c r="C179" s="46" t="s">
        <v>124</v>
      </c>
      <c r="D179" s="47">
        <v>36</v>
      </c>
      <c r="E179" s="48">
        <v>4.8913043478260873E-3</v>
      </c>
    </row>
    <row r="180" spans="2:5" ht="15" customHeight="1" x14ac:dyDescent="0.25">
      <c r="B180" s="89"/>
      <c r="C180" s="46" t="s">
        <v>123</v>
      </c>
      <c r="D180" s="47">
        <v>149</v>
      </c>
      <c r="E180" s="48">
        <v>2.0244565217391305E-2</v>
      </c>
    </row>
    <row r="181" spans="2:5" ht="15" customHeight="1" x14ac:dyDescent="0.25">
      <c r="B181" s="89"/>
      <c r="C181" s="46" t="s">
        <v>131</v>
      </c>
      <c r="D181" s="47">
        <v>2</v>
      </c>
      <c r="E181" s="48">
        <v>2.7173913043478261E-4</v>
      </c>
    </row>
    <row r="182" spans="2:5" ht="15" customHeight="1" x14ac:dyDescent="0.25">
      <c r="B182" s="89"/>
      <c r="C182" s="46" t="s">
        <v>128</v>
      </c>
      <c r="D182" s="47">
        <v>6</v>
      </c>
      <c r="E182" s="48">
        <v>8.1521739130434778E-4</v>
      </c>
    </row>
    <row r="183" spans="2:5" ht="15" customHeight="1" x14ac:dyDescent="0.25">
      <c r="B183" s="89"/>
      <c r="C183" s="46" t="s">
        <v>127</v>
      </c>
      <c r="D183" s="47">
        <v>2</v>
      </c>
      <c r="E183" s="48">
        <v>2.7173913043478261E-4</v>
      </c>
    </row>
    <row r="184" spans="2:5" ht="15" customHeight="1" x14ac:dyDescent="0.25">
      <c r="B184" s="90"/>
      <c r="C184" s="49" t="s">
        <v>63</v>
      </c>
      <c r="D184" s="50">
        <v>713</v>
      </c>
      <c r="E184" s="51">
        <v>9.6875000000000003E-2</v>
      </c>
    </row>
    <row r="185" spans="2:5" ht="15" customHeight="1" x14ac:dyDescent="0.25">
      <c r="B185" s="88" t="s">
        <v>73</v>
      </c>
      <c r="C185" s="46" t="s">
        <v>12</v>
      </c>
      <c r="D185" s="47">
        <v>364</v>
      </c>
      <c r="E185" s="48">
        <v>4.9456521739130434E-2</v>
      </c>
    </row>
    <row r="186" spans="2:5" ht="15" customHeight="1" x14ac:dyDescent="0.25">
      <c r="B186" s="89"/>
      <c r="C186" s="46" t="s">
        <v>126</v>
      </c>
      <c r="D186" s="47">
        <v>20</v>
      </c>
      <c r="E186" s="48">
        <v>2.717391304347826E-3</v>
      </c>
    </row>
    <row r="187" spans="2:5" ht="15" customHeight="1" x14ac:dyDescent="0.25">
      <c r="B187" s="89"/>
      <c r="C187" s="46" t="s">
        <v>122</v>
      </c>
      <c r="D187" s="47">
        <v>79</v>
      </c>
      <c r="E187" s="48">
        <v>1.0733695652173914E-2</v>
      </c>
    </row>
    <row r="188" spans="2:5" ht="15" customHeight="1" x14ac:dyDescent="0.25">
      <c r="B188" s="89"/>
      <c r="C188" s="46" t="s">
        <v>129</v>
      </c>
      <c r="D188" s="47">
        <v>2</v>
      </c>
      <c r="E188" s="48">
        <v>2.7173913043478261E-4</v>
      </c>
    </row>
    <row r="189" spans="2:5" ht="15" customHeight="1" x14ac:dyDescent="0.25">
      <c r="B189" s="89"/>
      <c r="C189" s="46" t="s">
        <v>130</v>
      </c>
      <c r="D189" s="47">
        <v>1</v>
      </c>
      <c r="E189" s="48">
        <v>1.3586956521739131E-4</v>
      </c>
    </row>
    <row r="190" spans="2:5" ht="15" customHeight="1" x14ac:dyDescent="0.25">
      <c r="B190" s="89"/>
      <c r="C190" s="46" t="s">
        <v>125</v>
      </c>
      <c r="D190" s="47">
        <v>34</v>
      </c>
      <c r="E190" s="48">
        <v>4.6195652173913046E-3</v>
      </c>
    </row>
    <row r="191" spans="2:5" ht="15" customHeight="1" x14ac:dyDescent="0.25">
      <c r="B191" s="89"/>
      <c r="C191" s="46" t="s">
        <v>124</v>
      </c>
      <c r="D191" s="47">
        <v>43</v>
      </c>
      <c r="E191" s="48">
        <v>5.8423913043478262E-3</v>
      </c>
    </row>
    <row r="192" spans="2:5" ht="15" customHeight="1" x14ac:dyDescent="0.25">
      <c r="B192" s="89"/>
      <c r="C192" s="46" t="s">
        <v>123</v>
      </c>
      <c r="D192" s="47">
        <v>66</v>
      </c>
      <c r="E192" s="48">
        <v>8.9673913043478264E-3</v>
      </c>
    </row>
    <row r="193" spans="2:5" ht="15" customHeight="1" x14ac:dyDescent="0.25">
      <c r="B193" s="89"/>
      <c r="C193" s="46" t="s">
        <v>131</v>
      </c>
      <c r="D193" s="47">
        <v>3</v>
      </c>
      <c r="E193" s="48">
        <v>4.0760869565217389E-4</v>
      </c>
    </row>
    <row r="194" spans="2:5" ht="15" customHeight="1" x14ac:dyDescent="0.25">
      <c r="B194" s="89"/>
      <c r="C194" s="46" t="s">
        <v>128</v>
      </c>
      <c r="D194" s="47">
        <v>36</v>
      </c>
      <c r="E194" s="48">
        <v>4.8913043478260873E-3</v>
      </c>
    </row>
    <row r="195" spans="2:5" ht="15" customHeight="1" x14ac:dyDescent="0.25">
      <c r="B195" s="89"/>
      <c r="C195" s="46" t="s">
        <v>127</v>
      </c>
      <c r="D195" s="47">
        <v>48</v>
      </c>
      <c r="E195" s="48">
        <v>6.5217391304347823E-3</v>
      </c>
    </row>
    <row r="196" spans="2:5" ht="15" customHeight="1" x14ac:dyDescent="0.25">
      <c r="B196" s="90"/>
      <c r="C196" s="49" t="s">
        <v>63</v>
      </c>
      <c r="D196" s="50">
        <v>696</v>
      </c>
      <c r="E196" s="51">
        <v>9.4565217391304343E-2</v>
      </c>
    </row>
    <row r="197" spans="2:5" ht="15" customHeight="1" x14ac:dyDescent="0.25">
      <c r="B197" s="88" t="s">
        <v>99</v>
      </c>
      <c r="C197" s="46" t="s">
        <v>12</v>
      </c>
      <c r="D197" s="47">
        <v>28</v>
      </c>
      <c r="E197" s="48">
        <v>3.8043478260869567E-3</v>
      </c>
    </row>
    <row r="198" spans="2:5" ht="15" customHeight="1" x14ac:dyDescent="0.25">
      <c r="B198" s="89"/>
      <c r="C198" s="46" t="s">
        <v>126</v>
      </c>
      <c r="D198" s="47">
        <v>5</v>
      </c>
      <c r="E198" s="48">
        <v>6.793478260869565E-4</v>
      </c>
    </row>
    <row r="199" spans="2:5" ht="15" customHeight="1" x14ac:dyDescent="0.25">
      <c r="B199" s="89"/>
      <c r="C199" s="46" t="s">
        <v>125</v>
      </c>
      <c r="D199" s="47">
        <v>3</v>
      </c>
      <c r="E199" s="48">
        <v>4.0760869565217389E-4</v>
      </c>
    </row>
    <row r="200" spans="2:5" ht="15" customHeight="1" x14ac:dyDescent="0.25">
      <c r="B200" s="89"/>
      <c r="C200" s="46" t="s">
        <v>124</v>
      </c>
      <c r="D200" s="47">
        <v>2</v>
      </c>
      <c r="E200" s="48">
        <v>2.7173913043478261E-4</v>
      </c>
    </row>
    <row r="201" spans="2:5" ht="15" customHeight="1" x14ac:dyDescent="0.25">
      <c r="B201" s="89"/>
      <c r="C201" s="46" t="s">
        <v>123</v>
      </c>
      <c r="D201" s="47">
        <v>3</v>
      </c>
      <c r="E201" s="48">
        <v>4.0760869565217389E-4</v>
      </c>
    </row>
    <row r="202" spans="2:5" ht="15" customHeight="1" x14ac:dyDescent="0.25">
      <c r="B202" s="89"/>
      <c r="C202" s="46" t="s">
        <v>127</v>
      </c>
      <c r="D202" s="47">
        <v>2</v>
      </c>
      <c r="E202" s="48">
        <v>2.7173913043478261E-4</v>
      </c>
    </row>
    <row r="203" spans="2:5" ht="15" customHeight="1" x14ac:dyDescent="0.25">
      <c r="B203" s="90"/>
      <c r="C203" s="49" t="s">
        <v>63</v>
      </c>
      <c r="D203" s="50">
        <v>43</v>
      </c>
      <c r="E203" s="51">
        <v>5.8423913043478262E-3</v>
      </c>
    </row>
    <row r="204" spans="2:5" ht="15" customHeight="1" x14ac:dyDescent="0.25">
      <c r="B204" s="88" t="s">
        <v>97</v>
      </c>
      <c r="C204" s="46" t="s">
        <v>12</v>
      </c>
      <c r="D204" s="47">
        <v>36</v>
      </c>
      <c r="E204" s="48">
        <v>4.8913043478260873E-3</v>
      </c>
    </row>
    <row r="205" spans="2:5" ht="15" customHeight="1" x14ac:dyDescent="0.25">
      <c r="B205" s="89"/>
      <c r="C205" s="46" t="s">
        <v>126</v>
      </c>
      <c r="D205" s="47">
        <v>2</v>
      </c>
      <c r="E205" s="48">
        <v>2.7173913043478261E-4</v>
      </c>
    </row>
    <row r="206" spans="2:5" ht="15" customHeight="1" x14ac:dyDescent="0.25">
      <c r="B206" s="89"/>
      <c r="C206" s="46" t="s">
        <v>122</v>
      </c>
      <c r="D206" s="47">
        <v>6</v>
      </c>
      <c r="E206" s="48">
        <v>8.1521739130434778E-4</v>
      </c>
    </row>
    <row r="207" spans="2:5" ht="15" customHeight="1" x14ac:dyDescent="0.25">
      <c r="B207" s="89"/>
      <c r="C207" s="46" t="s">
        <v>125</v>
      </c>
      <c r="D207" s="47">
        <v>2</v>
      </c>
      <c r="E207" s="48">
        <v>2.7173913043478261E-4</v>
      </c>
    </row>
    <row r="208" spans="2:5" ht="15" customHeight="1" x14ac:dyDescent="0.25">
      <c r="B208" s="89"/>
      <c r="C208" s="46" t="s">
        <v>124</v>
      </c>
      <c r="D208" s="47">
        <v>6</v>
      </c>
      <c r="E208" s="48">
        <v>8.1521739130434778E-4</v>
      </c>
    </row>
    <row r="209" spans="2:5" ht="15" customHeight="1" x14ac:dyDescent="0.25">
      <c r="B209" s="89"/>
      <c r="C209" s="46" t="s">
        <v>123</v>
      </c>
      <c r="D209" s="47">
        <v>4</v>
      </c>
      <c r="E209" s="48">
        <v>5.4347826086956522E-4</v>
      </c>
    </row>
    <row r="210" spans="2:5" ht="15" customHeight="1" x14ac:dyDescent="0.25">
      <c r="B210" s="90"/>
      <c r="C210" s="49" t="s">
        <v>63</v>
      </c>
      <c r="D210" s="50">
        <v>56</v>
      </c>
      <c r="E210" s="51">
        <v>7.6086956521739134E-3</v>
      </c>
    </row>
    <row r="211" spans="2:5" ht="15" customHeight="1" x14ac:dyDescent="0.25">
      <c r="B211" s="88" t="s">
        <v>100</v>
      </c>
      <c r="C211" s="46" t="s">
        <v>12</v>
      </c>
      <c r="D211" s="47">
        <v>23</v>
      </c>
      <c r="E211" s="48">
        <v>3.1250000000000002E-3</v>
      </c>
    </row>
    <row r="212" spans="2:5" ht="15" customHeight="1" x14ac:dyDescent="0.25">
      <c r="B212" s="89"/>
      <c r="C212" s="46" t="s">
        <v>122</v>
      </c>
      <c r="D212" s="47">
        <v>5</v>
      </c>
      <c r="E212" s="48">
        <v>6.793478260869565E-4</v>
      </c>
    </row>
    <row r="213" spans="2:5" ht="15" customHeight="1" x14ac:dyDescent="0.25">
      <c r="B213" s="89"/>
      <c r="C213" s="46" t="s">
        <v>124</v>
      </c>
      <c r="D213" s="47">
        <v>2</v>
      </c>
      <c r="E213" s="48">
        <v>2.7173913043478261E-4</v>
      </c>
    </row>
    <row r="214" spans="2:5" ht="15" customHeight="1" x14ac:dyDescent="0.25">
      <c r="B214" s="89"/>
      <c r="C214" s="46" t="s">
        <v>123</v>
      </c>
      <c r="D214" s="47">
        <v>6</v>
      </c>
      <c r="E214" s="48">
        <v>8.1521739130434778E-4</v>
      </c>
    </row>
    <row r="215" spans="2:5" ht="15" customHeight="1" x14ac:dyDescent="0.25">
      <c r="B215" s="89"/>
      <c r="C215" s="46" t="s">
        <v>128</v>
      </c>
      <c r="D215" s="47">
        <v>4</v>
      </c>
      <c r="E215" s="48">
        <v>5.4347826086956522E-4</v>
      </c>
    </row>
    <row r="216" spans="2:5" ht="15" customHeight="1" x14ac:dyDescent="0.25">
      <c r="B216" s="90"/>
      <c r="C216" s="49" t="s">
        <v>63</v>
      </c>
      <c r="D216" s="50">
        <v>40</v>
      </c>
      <c r="E216" s="51">
        <v>5.434782608695652E-3</v>
      </c>
    </row>
    <row r="217" spans="2:5" ht="15" customHeight="1" x14ac:dyDescent="0.25">
      <c r="B217" s="88" t="s">
        <v>105</v>
      </c>
      <c r="C217" s="46" t="s">
        <v>12</v>
      </c>
      <c r="D217" s="47">
        <v>16</v>
      </c>
      <c r="E217" s="48">
        <v>2.1739130434782609E-3</v>
      </c>
    </row>
    <row r="218" spans="2:5" ht="15" customHeight="1" x14ac:dyDescent="0.25">
      <c r="B218" s="89"/>
      <c r="C218" s="46" t="s">
        <v>126</v>
      </c>
      <c r="D218" s="47">
        <v>2</v>
      </c>
      <c r="E218" s="48">
        <v>2.7173913043478261E-4</v>
      </c>
    </row>
    <row r="219" spans="2:5" ht="15" customHeight="1" x14ac:dyDescent="0.25">
      <c r="B219" s="89"/>
      <c r="C219" s="46" t="s">
        <v>122</v>
      </c>
      <c r="D219" s="47">
        <v>4</v>
      </c>
      <c r="E219" s="48">
        <v>5.4347826086956522E-4</v>
      </c>
    </row>
    <row r="220" spans="2:5" ht="15" customHeight="1" x14ac:dyDescent="0.25">
      <c r="B220" s="89"/>
      <c r="C220" s="46" t="s">
        <v>125</v>
      </c>
      <c r="D220" s="47">
        <v>2</v>
      </c>
      <c r="E220" s="48">
        <v>2.7173913043478261E-4</v>
      </c>
    </row>
    <row r="221" spans="2:5" ht="15" customHeight="1" x14ac:dyDescent="0.25">
      <c r="B221" s="89"/>
      <c r="C221" s="46" t="s">
        <v>123</v>
      </c>
      <c r="D221" s="47">
        <v>4</v>
      </c>
      <c r="E221" s="48">
        <v>5.4347826086956522E-4</v>
      </c>
    </row>
    <row r="222" spans="2:5" ht="15" customHeight="1" x14ac:dyDescent="0.25">
      <c r="B222" s="89"/>
      <c r="C222" s="46" t="s">
        <v>127</v>
      </c>
      <c r="D222" s="47">
        <v>3</v>
      </c>
      <c r="E222" s="48">
        <v>4.0760869565217389E-4</v>
      </c>
    </row>
    <row r="223" spans="2:5" ht="15" customHeight="1" x14ac:dyDescent="0.25">
      <c r="B223" s="90"/>
      <c r="C223" s="49" t="s">
        <v>63</v>
      </c>
      <c r="D223" s="50">
        <v>31</v>
      </c>
      <c r="E223" s="51">
        <v>4.2119565217391304E-3</v>
      </c>
    </row>
    <row r="224" spans="2:5" ht="15" customHeight="1" x14ac:dyDescent="0.25">
      <c r="B224" s="88" t="s">
        <v>107</v>
      </c>
      <c r="C224" s="46" t="s">
        <v>12</v>
      </c>
      <c r="D224" s="47">
        <v>20</v>
      </c>
      <c r="E224" s="48">
        <v>2.717391304347826E-3</v>
      </c>
    </row>
    <row r="225" spans="2:5" ht="15" customHeight="1" x14ac:dyDescent="0.25">
      <c r="B225" s="89"/>
      <c r="C225" s="46" t="s">
        <v>122</v>
      </c>
      <c r="D225" s="47">
        <v>2</v>
      </c>
      <c r="E225" s="48">
        <v>2.7173913043478261E-4</v>
      </c>
    </row>
    <row r="226" spans="2:5" ht="15" customHeight="1" x14ac:dyDescent="0.25">
      <c r="B226" s="89"/>
      <c r="C226" s="46" t="s">
        <v>124</v>
      </c>
      <c r="D226" s="47">
        <v>1</v>
      </c>
      <c r="E226" s="48">
        <v>1.3586956521739131E-4</v>
      </c>
    </row>
    <row r="227" spans="2:5" ht="15" customHeight="1" x14ac:dyDescent="0.25">
      <c r="B227" s="90"/>
      <c r="C227" s="49" t="s">
        <v>63</v>
      </c>
      <c r="D227" s="50">
        <v>23</v>
      </c>
      <c r="E227" s="51">
        <v>3.1250000000000002E-3</v>
      </c>
    </row>
    <row r="228" spans="2:5" ht="15" customHeight="1" x14ac:dyDescent="0.25">
      <c r="B228" s="88" t="s">
        <v>88</v>
      </c>
      <c r="C228" s="46" t="s">
        <v>12</v>
      </c>
      <c r="D228" s="47">
        <v>57</v>
      </c>
      <c r="E228" s="48">
        <v>7.7445652173913047E-3</v>
      </c>
    </row>
    <row r="229" spans="2:5" ht="15" customHeight="1" x14ac:dyDescent="0.25">
      <c r="B229" s="89"/>
      <c r="C229" s="46" t="s">
        <v>126</v>
      </c>
      <c r="D229" s="47">
        <v>1</v>
      </c>
      <c r="E229" s="48">
        <v>1.3586956521739131E-4</v>
      </c>
    </row>
    <row r="230" spans="2:5" ht="15" customHeight="1" x14ac:dyDescent="0.25">
      <c r="B230" s="89"/>
      <c r="C230" s="46" t="s">
        <v>122</v>
      </c>
      <c r="D230" s="47">
        <v>5</v>
      </c>
      <c r="E230" s="48">
        <v>6.793478260869565E-4</v>
      </c>
    </row>
    <row r="231" spans="2:5" ht="15" customHeight="1" x14ac:dyDescent="0.25">
      <c r="B231" s="89"/>
      <c r="C231" s="46" t="s">
        <v>125</v>
      </c>
      <c r="D231" s="47">
        <v>8</v>
      </c>
      <c r="E231" s="48">
        <v>1.0869565217391304E-3</v>
      </c>
    </row>
    <row r="232" spans="2:5" ht="15" customHeight="1" x14ac:dyDescent="0.25">
      <c r="B232" s="89"/>
      <c r="C232" s="46" t="s">
        <v>124</v>
      </c>
      <c r="D232" s="47">
        <v>4</v>
      </c>
      <c r="E232" s="48">
        <v>5.4347826086956522E-4</v>
      </c>
    </row>
    <row r="233" spans="2:5" ht="15" customHeight="1" x14ac:dyDescent="0.25">
      <c r="B233" s="89"/>
      <c r="C233" s="46" t="s">
        <v>123</v>
      </c>
      <c r="D233" s="47">
        <v>28</v>
      </c>
      <c r="E233" s="48">
        <v>3.8043478260869567E-3</v>
      </c>
    </row>
    <row r="234" spans="2:5" ht="15" customHeight="1" x14ac:dyDescent="0.25">
      <c r="B234" s="89"/>
      <c r="C234" s="46" t="s">
        <v>131</v>
      </c>
      <c r="D234" s="47">
        <v>5</v>
      </c>
      <c r="E234" s="48">
        <v>6.793478260869565E-4</v>
      </c>
    </row>
    <row r="235" spans="2:5" ht="15" customHeight="1" x14ac:dyDescent="0.25">
      <c r="B235" s="89"/>
      <c r="C235" s="46" t="s">
        <v>128</v>
      </c>
      <c r="D235" s="47">
        <v>1</v>
      </c>
      <c r="E235" s="48">
        <v>1.3586956521739131E-4</v>
      </c>
    </row>
    <row r="236" spans="2:5" ht="15" customHeight="1" x14ac:dyDescent="0.25">
      <c r="B236" s="89"/>
      <c r="C236" s="46" t="s">
        <v>127</v>
      </c>
      <c r="D236" s="47">
        <v>2</v>
      </c>
      <c r="E236" s="48">
        <v>2.7173913043478261E-4</v>
      </c>
    </row>
    <row r="237" spans="2:5" ht="15" customHeight="1" x14ac:dyDescent="0.25">
      <c r="B237" s="90"/>
      <c r="C237" s="49" t="s">
        <v>63</v>
      </c>
      <c r="D237" s="50">
        <v>111</v>
      </c>
      <c r="E237" s="51">
        <v>1.5081521739130434E-2</v>
      </c>
    </row>
    <row r="238" spans="2:5" ht="15" customHeight="1" x14ac:dyDescent="0.25">
      <c r="B238" s="88" t="s">
        <v>87</v>
      </c>
      <c r="C238" s="46" t="s">
        <v>12</v>
      </c>
      <c r="D238" s="47">
        <v>78</v>
      </c>
      <c r="E238" s="48">
        <v>1.0597826086956521E-2</v>
      </c>
    </row>
    <row r="239" spans="2:5" ht="15" customHeight="1" x14ac:dyDescent="0.25">
      <c r="B239" s="89"/>
      <c r="C239" s="46" t="s">
        <v>126</v>
      </c>
      <c r="D239" s="47">
        <v>5</v>
      </c>
      <c r="E239" s="48">
        <v>6.793478260869565E-4</v>
      </c>
    </row>
    <row r="240" spans="2:5" ht="15" customHeight="1" x14ac:dyDescent="0.25">
      <c r="B240" s="89"/>
      <c r="C240" s="46" t="s">
        <v>122</v>
      </c>
      <c r="D240" s="47">
        <v>4</v>
      </c>
      <c r="E240" s="48">
        <v>5.4347826086956522E-4</v>
      </c>
    </row>
    <row r="241" spans="2:5" ht="15" customHeight="1" x14ac:dyDescent="0.25">
      <c r="B241" s="89"/>
      <c r="C241" s="46" t="s">
        <v>130</v>
      </c>
      <c r="D241" s="47">
        <v>16</v>
      </c>
      <c r="E241" s="48">
        <v>2.1739130434782609E-3</v>
      </c>
    </row>
    <row r="242" spans="2:5" ht="15" customHeight="1" x14ac:dyDescent="0.25">
      <c r="B242" s="89"/>
      <c r="C242" s="46" t="s">
        <v>125</v>
      </c>
      <c r="D242" s="47">
        <v>6</v>
      </c>
      <c r="E242" s="48">
        <v>8.1521739130434778E-4</v>
      </c>
    </row>
    <row r="243" spans="2:5" ht="15" customHeight="1" x14ac:dyDescent="0.25">
      <c r="B243" s="89"/>
      <c r="C243" s="46" t="s">
        <v>124</v>
      </c>
      <c r="D243" s="47">
        <v>1</v>
      </c>
      <c r="E243" s="48">
        <v>1.3586956521739131E-4</v>
      </c>
    </row>
    <row r="244" spans="2:5" ht="15" customHeight="1" x14ac:dyDescent="0.25">
      <c r="B244" s="89"/>
      <c r="C244" s="46" t="s">
        <v>123</v>
      </c>
      <c r="D244" s="47">
        <v>9</v>
      </c>
      <c r="E244" s="48">
        <v>1.2228260869565218E-3</v>
      </c>
    </row>
    <row r="245" spans="2:5" ht="15" customHeight="1" x14ac:dyDescent="0.25">
      <c r="B245" s="90"/>
      <c r="C245" s="49" t="s">
        <v>63</v>
      </c>
      <c r="D245" s="50">
        <v>119</v>
      </c>
      <c r="E245" s="51">
        <v>1.6168478260869566E-2</v>
      </c>
    </row>
    <row r="246" spans="2:5" ht="15" customHeight="1" x14ac:dyDescent="0.25">
      <c r="B246" s="88" t="s">
        <v>91</v>
      </c>
      <c r="C246" s="46" t="s">
        <v>12</v>
      </c>
      <c r="D246" s="47">
        <v>63</v>
      </c>
      <c r="E246" s="48">
        <v>8.5597826086956513E-3</v>
      </c>
    </row>
    <row r="247" spans="2:5" ht="15" customHeight="1" x14ac:dyDescent="0.25">
      <c r="B247" s="89"/>
      <c r="C247" s="46" t="s">
        <v>122</v>
      </c>
      <c r="D247" s="47">
        <v>12</v>
      </c>
      <c r="E247" s="48">
        <v>1.6304347826086956E-3</v>
      </c>
    </row>
    <row r="248" spans="2:5" ht="15" customHeight="1" x14ac:dyDescent="0.25">
      <c r="B248" s="89"/>
      <c r="C248" s="46" t="s">
        <v>129</v>
      </c>
      <c r="D248" s="47">
        <v>1</v>
      </c>
      <c r="E248" s="48">
        <v>1.3586956521739131E-4</v>
      </c>
    </row>
    <row r="249" spans="2:5" ht="15" customHeight="1" x14ac:dyDescent="0.25">
      <c r="B249" s="89"/>
      <c r="C249" s="46" t="s">
        <v>125</v>
      </c>
      <c r="D249" s="47">
        <v>14</v>
      </c>
      <c r="E249" s="48">
        <v>1.9021739130434783E-3</v>
      </c>
    </row>
    <row r="250" spans="2:5" ht="15" customHeight="1" x14ac:dyDescent="0.25">
      <c r="B250" s="89"/>
      <c r="C250" s="46" t="s">
        <v>123</v>
      </c>
      <c r="D250" s="47">
        <v>1</v>
      </c>
      <c r="E250" s="48">
        <v>1.3586956521739131E-4</v>
      </c>
    </row>
    <row r="251" spans="2:5" ht="15" customHeight="1" x14ac:dyDescent="0.25">
      <c r="B251" s="89"/>
      <c r="C251" s="46" t="s">
        <v>131</v>
      </c>
      <c r="D251" s="47">
        <v>1</v>
      </c>
      <c r="E251" s="48">
        <v>1.3586956521739131E-4</v>
      </c>
    </row>
    <row r="252" spans="2:5" ht="15" customHeight="1" x14ac:dyDescent="0.25">
      <c r="B252" s="89"/>
      <c r="C252" s="46" t="s">
        <v>127</v>
      </c>
      <c r="D252" s="47">
        <v>1</v>
      </c>
      <c r="E252" s="48">
        <v>1.3586956521739131E-4</v>
      </c>
    </row>
    <row r="253" spans="2:5" ht="15" customHeight="1" x14ac:dyDescent="0.25">
      <c r="B253" s="90"/>
      <c r="C253" s="49" t="s">
        <v>63</v>
      </c>
      <c r="D253" s="50">
        <v>93</v>
      </c>
      <c r="E253" s="51">
        <v>1.2635869565217391E-2</v>
      </c>
    </row>
    <row r="254" spans="2:5" ht="15" customHeight="1" x14ac:dyDescent="0.25">
      <c r="B254" s="88" t="s">
        <v>98</v>
      </c>
      <c r="C254" s="46" t="s">
        <v>12</v>
      </c>
      <c r="D254" s="47">
        <v>30</v>
      </c>
      <c r="E254" s="48">
        <v>4.076086956521739E-3</v>
      </c>
    </row>
    <row r="255" spans="2:5" ht="15" customHeight="1" x14ac:dyDescent="0.25">
      <c r="B255" s="89"/>
      <c r="C255" s="46" t="s">
        <v>126</v>
      </c>
      <c r="D255" s="47">
        <v>3</v>
      </c>
      <c r="E255" s="48">
        <v>4.0760869565217389E-4</v>
      </c>
    </row>
    <row r="256" spans="2:5" ht="15" customHeight="1" x14ac:dyDescent="0.25">
      <c r="B256" s="89"/>
      <c r="C256" s="46" t="s">
        <v>122</v>
      </c>
      <c r="D256" s="47">
        <v>3</v>
      </c>
      <c r="E256" s="48">
        <v>4.0760869565217389E-4</v>
      </c>
    </row>
    <row r="257" spans="2:5" ht="15" customHeight="1" x14ac:dyDescent="0.25">
      <c r="B257" s="89"/>
      <c r="C257" s="46" t="s">
        <v>129</v>
      </c>
      <c r="D257" s="47">
        <v>1</v>
      </c>
      <c r="E257" s="48">
        <v>1.3586956521739131E-4</v>
      </c>
    </row>
    <row r="258" spans="2:5" ht="15" customHeight="1" x14ac:dyDescent="0.25">
      <c r="B258" s="89"/>
      <c r="C258" s="46" t="s">
        <v>125</v>
      </c>
      <c r="D258" s="47">
        <v>1</v>
      </c>
      <c r="E258" s="48">
        <v>1.3586956521739131E-4</v>
      </c>
    </row>
    <row r="259" spans="2:5" ht="15" customHeight="1" x14ac:dyDescent="0.25">
      <c r="B259" s="89"/>
      <c r="C259" s="46" t="s">
        <v>124</v>
      </c>
      <c r="D259" s="47">
        <v>1</v>
      </c>
      <c r="E259" s="48">
        <v>1.3586956521739131E-4</v>
      </c>
    </row>
    <row r="260" spans="2:5" ht="15" customHeight="1" x14ac:dyDescent="0.25">
      <c r="B260" s="89"/>
      <c r="C260" s="46" t="s">
        <v>123</v>
      </c>
      <c r="D260" s="47">
        <v>4</v>
      </c>
      <c r="E260" s="48">
        <v>5.4347826086956522E-4</v>
      </c>
    </row>
    <row r="261" spans="2:5" ht="15" customHeight="1" x14ac:dyDescent="0.25">
      <c r="B261" s="89"/>
      <c r="C261" s="46" t="s">
        <v>131</v>
      </c>
      <c r="D261" s="47">
        <v>1</v>
      </c>
      <c r="E261" s="48">
        <v>1.3586956521739131E-4</v>
      </c>
    </row>
    <row r="262" spans="2:5" ht="15" customHeight="1" x14ac:dyDescent="0.25">
      <c r="B262" s="89"/>
      <c r="C262" s="46" t="s">
        <v>127</v>
      </c>
      <c r="D262" s="47">
        <v>1</v>
      </c>
      <c r="E262" s="48">
        <v>1.3586956521739131E-4</v>
      </c>
    </row>
    <row r="263" spans="2:5" ht="15" customHeight="1" x14ac:dyDescent="0.25">
      <c r="B263" s="90"/>
      <c r="C263" s="49" t="s">
        <v>63</v>
      </c>
      <c r="D263" s="50">
        <v>45</v>
      </c>
      <c r="E263" s="51">
        <v>6.114130434782609E-3</v>
      </c>
    </row>
    <row r="264" spans="2:5" ht="15" customHeight="1" x14ac:dyDescent="0.25">
      <c r="B264" s="88" t="s">
        <v>104</v>
      </c>
      <c r="C264" s="46" t="s">
        <v>12</v>
      </c>
      <c r="D264" s="47">
        <v>14</v>
      </c>
      <c r="E264" s="48">
        <v>1.9021739130434783E-3</v>
      </c>
    </row>
    <row r="265" spans="2:5" ht="15" customHeight="1" x14ac:dyDescent="0.25">
      <c r="B265" s="89"/>
      <c r="C265" s="46" t="s">
        <v>122</v>
      </c>
      <c r="D265" s="47">
        <v>7</v>
      </c>
      <c r="E265" s="48">
        <v>9.5108695652173917E-4</v>
      </c>
    </row>
    <row r="266" spans="2:5" ht="15" customHeight="1" x14ac:dyDescent="0.25">
      <c r="B266" s="89"/>
      <c r="C266" s="46" t="s">
        <v>129</v>
      </c>
      <c r="D266" s="47">
        <v>1</v>
      </c>
      <c r="E266" s="48">
        <v>1.3586956521739131E-4</v>
      </c>
    </row>
    <row r="267" spans="2:5" ht="15" customHeight="1" x14ac:dyDescent="0.25">
      <c r="B267" s="89"/>
      <c r="C267" s="46" t="s">
        <v>125</v>
      </c>
      <c r="D267" s="47">
        <v>1</v>
      </c>
      <c r="E267" s="48">
        <v>1.3586956521739131E-4</v>
      </c>
    </row>
    <row r="268" spans="2:5" ht="15" customHeight="1" x14ac:dyDescent="0.25">
      <c r="B268" s="89"/>
      <c r="C268" s="46" t="s">
        <v>124</v>
      </c>
      <c r="D268" s="47">
        <v>5</v>
      </c>
      <c r="E268" s="48">
        <v>6.793478260869565E-4</v>
      </c>
    </row>
    <row r="269" spans="2:5" ht="15" customHeight="1" x14ac:dyDescent="0.25">
      <c r="B269" s="89"/>
      <c r="C269" s="46" t="s">
        <v>123</v>
      </c>
      <c r="D269" s="47">
        <v>2</v>
      </c>
      <c r="E269" s="48">
        <v>2.7173913043478261E-4</v>
      </c>
    </row>
    <row r="270" spans="2:5" ht="15" customHeight="1" x14ac:dyDescent="0.25">
      <c r="B270" s="89"/>
      <c r="C270" s="46" t="s">
        <v>127</v>
      </c>
      <c r="D270" s="47">
        <v>2</v>
      </c>
      <c r="E270" s="48">
        <v>2.7173913043478261E-4</v>
      </c>
    </row>
    <row r="271" spans="2:5" ht="15" customHeight="1" x14ac:dyDescent="0.25">
      <c r="B271" s="90"/>
      <c r="C271" s="49" t="s">
        <v>63</v>
      </c>
      <c r="D271" s="50">
        <v>32</v>
      </c>
      <c r="E271" s="51">
        <v>4.3478260869565218E-3</v>
      </c>
    </row>
    <row r="272" spans="2:5" ht="15" customHeight="1" x14ac:dyDescent="0.25">
      <c r="B272" s="88" t="s">
        <v>111</v>
      </c>
      <c r="C272" s="46" t="s">
        <v>12</v>
      </c>
      <c r="D272" s="47">
        <v>6</v>
      </c>
      <c r="E272" s="48">
        <v>8.1521739130434778E-4</v>
      </c>
    </row>
    <row r="273" spans="2:5" ht="15" customHeight="1" x14ac:dyDescent="0.25">
      <c r="B273" s="89"/>
      <c r="C273" s="46" t="s">
        <v>126</v>
      </c>
      <c r="D273" s="47">
        <v>1</v>
      </c>
      <c r="E273" s="48">
        <v>1.3586956521739131E-4</v>
      </c>
    </row>
    <row r="274" spans="2:5" ht="15" customHeight="1" x14ac:dyDescent="0.25">
      <c r="B274" s="89"/>
      <c r="C274" s="46" t="s">
        <v>124</v>
      </c>
      <c r="D274" s="47">
        <v>1</v>
      </c>
      <c r="E274" s="48">
        <v>1.3586956521739131E-4</v>
      </c>
    </row>
    <row r="275" spans="2:5" ht="15" customHeight="1" x14ac:dyDescent="0.25">
      <c r="B275" s="90"/>
      <c r="C275" s="49" t="s">
        <v>63</v>
      </c>
      <c r="D275" s="50">
        <v>8</v>
      </c>
      <c r="E275" s="51">
        <v>1.0869565217391304E-3</v>
      </c>
    </row>
    <row r="276" spans="2:5" ht="15" customHeight="1" x14ac:dyDescent="0.25">
      <c r="B276" s="88" t="s">
        <v>79</v>
      </c>
      <c r="C276" s="46" t="s">
        <v>12</v>
      </c>
      <c r="D276" s="47">
        <v>95</v>
      </c>
      <c r="E276" s="48">
        <v>1.2907608695652174E-2</v>
      </c>
    </row>
    <row r="277" spans="2:5" ht="15" customHeight="1" x14ac:dyDescent="0.25">
      <c r="B277" s="89"/>
      <c r="C277" s="46" t="s">
        <v>126</v>
      </c>
      <c r="D277" s="47">
        <v>16</v>
      </c>
      <c r="E277" s="48">
        <v>2.1739130434782609E-3</v>
      </c>
    </row>
    <row r="278" spans="2:5" ht="15" customHeight="1" x14ac:dyDescent="0.25">
      <c r="B278" s="89"/>
      <c r="C278" s="46" t="s">
        <v>122</v>
      </c>
      <c r="D278" s="47">
        <v>24</v>
      </c>
      <c r="E278" s="48">
        <v>3.2608695652173911E-3</v>
      </c>
    </row>
    <row r="279" spans="2:5" ht="15" customHeight="1" x14ac:dyDescent="0.25">
      <c r="B279" s="89"/>
      <c r="C279" s="46" t="s">
        <v>130</v>
      </c>
      <c r="D279" s="47">
        <v>3</v>
      </c>
      <c r="E279" s="48">
        <v>4.0760869565217389E-4</v>
      </c>
    </row>
    <row r="280" spans="2:5" ht="15" customHeight="1" x14ac:dyDescent="0.25">
      <c r="B280" s="89"/>
      <c r="C280" s="46" t="s">
        <v>125</v>
      </c>
      <c r="D280" s="47">
        <v>3</v>
      </c>
      <c r="E280" s="48">
        <v>4.0760869565217389E-4</v>
      </c>
    </row>
    <row r="281" spans="2:5" ht="15" customHeight="1" x14ac:dyDescent="0.25">
      <c r="B281" s="89"/>
      <c r="C281" s="46" t="s">
        <v>124</v>
      </c>
      <c r="D281" s="47">
        <v>13</v>
      </c>
      <c r="E281" s="48">
        <v>1.766304347826087E-3</v>
      </c>
    </row>
    <row r="282" spans="2:5" ht="15" customHeight="1" x14ac:dyDescent="0.25">
      <c r="B282" s="89"/>
      <c r="C282" s="46" t="s">
        <v>123</v>
      </c>
      <c r="D282" s="47">
        <v>23</v>
      </c>
      <c r="E282" s="48">
        <v>3.1250000000000002E-3</v>
      </c>
    </row>
    <row r="283" spans="2:5" ht="15" customHeight="1" x14ac:dyDescent="0.25">
      <c r="B283" s="89"/>
      <c r="C283" s="46" t="s">
        <v>131</v>
      </c>
      <c r="D283" s="47">
        <v>2</v>
      </c>
      <c r="E283" s="48">
        <v>2.7173913043478261E-4</v>
      </c>
    </row>
    <row r="284" spans="2:5" ht="15" customHeight="1" x14ac:dyDescent="0.25">
      <c r="B284" s="89"/>
      <c r="C284" s="46" t="s">
        <v>127</v>
      </c>
      <c r="D284" s="47">
        <v>3</v>
      </c>
      <c r="E284" s="48">
        <v>4.0760869565217389E-4</v>
      </c>
    </row>
    <row r="285" spans="2:5" ht="15" customHeight="1" x14ac:dyDescent="0.25">
      <c r="B285" s="90"/>
      <c r="C285" s="49" t="s">
        <v>63</v>
      </c>
      <c r="D285" s="50">
        <v>182</v>
      </c>
      <c r="E285" s="51">
        <v>2.4728260869565217E-2</v>
      </c>
    </row>
    <row r="286" spans="2:5" ht="15" customHeight="1" x14ac:dyDescent="0.25">
      <c r="B286" s="88" t="s">
        <v>89</v>
      </c>
      <c r="C286" s="46" t="s">
        <v>12</v>
      </c>
      <c r="D286" s="47">
        <v>48</v>
      </c>
      <c r="E286" s="48">
        <v>6.5217391304347823E-3</v>
      </c>
    </row>
    <row r="287" spans="2:5" ht="15" customHeight="1" x14ac:dyDescent="0.25">
      <c r="B287" s="89"/>
      <c r="C287" s="46" t="s">
        <v>126</v>
      </c>
      <c r="D287" s="47">
        <v>5</v>
      </c>
      <c r="E287" s="48">
        <v>6.793478260869565E-4</v>
      </c>
    </row>
    <row r="288" spans="2:5" ht="15" customHeight="1" x14ac:dyDescent="0.25">
      <c r="B288" s="89"/>
      <c r="C288" s="46" t="s">
        <v>122</v>
      </c>
      <c r="D288" s="47">
        <v>13</v>
      </c>
      <c r="E288" s="48">
        <v>1.766304347826087E-3</v>
      </c>
    </row>
    <row r="289" spans="2:5" ht="15" customHeight="1" x14ac:dyDescent="0.25">
      <c r="B289" s="89"/>
      <c r="C289" s="46" t="s">
        <v>130</v>
      </c>
      <c r="D289" s="47">
        <v>2</v>
      </c>
      <c r="E289" s="48">
        <v>2.7173913043478261E-4</v>
      </c>
    </row>
    <row r="290" spans="2:5" ht="15" customHeight="1" x14ac:dyDescent="0.25">
      <c r="B290" s="89"/>
      <c r="C290" s="46" t="s">
        <v>125</v>
      </c>
      <c r="D290" s="47">
        <v>4</v>
      </c>
      <c r="E290" s="48">
        <v>5.4347826086956522E-4</v>
      </c>
    </row>
    <row r="291" spans="2:5" ht="15" customHeight="1" x14ac:dyDescent="0.25">
      <c r="B291" s="89"/>
      <c r="C291" s="46" t="s">
        <v>124</v>
      </c>
      <c r="D291" s="47">
        <v>10</v>
      </c>
      <c r="E291" s="48">
        <v>1.358695652173913E-3</v>
      </c>
    </row>
    <row r="292" spans="2:5" ht="15" customHeight="1" x14ac:dyDescent="0.25">
      <c r="B292" s="89"/>
      <c r="C292" s="46" t="s">
        <v>123</v>
      </c>
      <c r="D292" s="47">
        <v>15</v>
      </c>
      <c r="E292" s="48">
        <v>2.0380434782608695E-3</v>
      </c>
    </row>
    <row r="293" spans="2:5" ht="15" customHeight="1" x14ac:dyDescent="0.25">
      <c r="B293" s="89"/>
      <c r="C293" s="46" t="s">
        <v>128</v>
      </c>
      <c r="D293" s="47">
        <v>3</v>
      </c>
      <c r="E293" s="48">
        <v>4.0760869565217389E-4</v>
      </c>
    </row>
    <row r="294" spans="2:5" ht="15" customHeight="1" x14ac:dyDescent="0.25">
      <c r="B294" s="89"/>
      <c r="C294" s="46" t="s">
        <v>127</v>
      </c>
      <c r="D294" s="47">
        <v>3</v>
      </c>
      <c r="E294" s="48">
        <v>4.0760869565217389E-4</v>
      </c>
    </row>
    <row r="295" spans="2:5" ht="15" customHeight="1" x14ac:dyDescent="0.25">
      <c r="B295" s="90"/>
      <c r="C295" s="49" t="s">
        <v>63</v>
      </c>
      <c r="D295" s="50">
        <v>103</v>
      </c>
      <c r="E295" s="51">
        <v>1.3994565217391305E-2</v>
      </c>
    </row>
    <row r="296" spans="2:5" ht="15" customHeight="1" x14ac:dyDescent="0.25">
      <c r="B296" s="88" t="s">
        <v>106</v>
      </c>
      <c r="C296" s="46" t="s">
        <v>12</v>
      </c>
      <c r="D296" s="47">
        <v>25</v>
      </c>
      <c r="E296" s="48">
        <v>3.3967391304347825E-3</v>
      </c>
    </row>
    <row r="297" spans="2:5" ht="15" customHeight="1" x14ac:dyDescent="0.25">
      <c r="B297" s="89"/>
      <c r="C297" s="46" t="s">
        <v>122</v>
      </c>
      <c r="D297" s="47">
        <v>6</v>
      </c>
      <c r="E297" s="48">
        <v>8.1521739130434778E-4</v>
      </c>
    </row>
    <row r="298" spans="2:5" ht="15" customHeight="1" x14ac:dyDescent="0.25">
      <c r="B298" s="90"/>
      <c r="C298" s="49" t="s">
        <v>63</v>
      </c>
      <c r="D298" s="50">
        <v>31</v>
      </c>
      <c r="E298" s="51">
        <v>4.2119565217391304E-3</v>
      </c>
    </row>
    <row r="299" spans="2:5" ht="15" customHeight="1" x14ac:dyDescent="0.25">
      <c r="B299" s="88" t="s">
        <v>90</v>
      </c>
      <c r="C299" s="46" t="s">
        <v>12</v>
      </c>
      <c r="D299" s="47">
        <v>38</v>
      </c>
      <c r="E299" s="48">
        <v>5.1630434782608692E-3</v>
      </c>
    </row>
    <row r="300" spans="2:5" ht="15" customHeight="1" x14ac:dyDescent="0.25">
      <c r="B300" s="89"/>
      <c r="C300" s="46" t="s">
        <v>126</v>
      </c>
      <c r="D300" s="47">
        <v>3</v>
      </c>
      <c r="E300" s="48">
        <v>4.0760869565217389E-4</v>
      </c>
    </row>
    <row r="301" spans="2:5" ht="15" customHeight="1" x14ac:dyDescent="0.25">
      <c r="B301" s="89"/>
      <c r="C301" s="46" t="s">
        <v>122</v>
      </c>
      <c r="D301" s="47">
        <v>11</v>
      </c>
      <c r="E301" s="48">
        <v>1.4945652173913044E-3</v>
      </c>
    </row>
    <row r="302" spans="2:5" ht="15" customHeight="1" x14ac:dyDescent="0.25">
      <c r="B302" s="89"/>
      <c r="C302" s="46" t="s">
        <v>129</v>
      </c>
      <c r="D302" s="47">
        <v>2</v>
      </c>
      <c r="E302" s="48">
        <v>2.7173913043478261E-4</v>
      </c>
    </row>
    <row r="303" spans="2:5" ht="15" customHeight="1" x14ac:dyDescent="0.25">
      <c r="B303" s="89"/>
      <c r="C303" s="46" t="s">
        <v>125</v>
      </c>
      <c r="D303" s="47">
        <v>4</v>
      </c>
      <c r="E303" s="48">
        <v>5.4347826086956522E-4</v>
      </c>
    </row>
    <row r="304" spans="2:5" ht="15" customHeight="1" x14ac:dyDescent="0.25">
      <c r="B304" s="89"/>
      <c r="C304" s="46" t="s">
        <v>124</v>
      </c>
      <c r="D304" s="47">
        <v>11</v>
      </c>
      <c r="E304" s="48">
        <v>1.4945652173913044E-3</v>
      </c>
    </row>
    <row r="305" spans="2:5" ht="15" customHeight="1" x14ac:dyDescent="0.25">
      <c r="B305" s="89"/>
      <c r="C305" s="46" t="s">
        <v>123</v>
      </c>
      <c r="D305" s="47">
        <v>23</v>
      </c>
      <c r="E305" s="48">
        <v>3.1250000000000002E-3</v>
      </c>
    </row>
    <row r="306" spans="2:5" ht="15" customHeight="1" x14ac:dyDescent="0.25">
      <c r="B306" s="89"/>
      <c r="C306" s="46" t="s">
        <v>127</v>
      </c>
      <c r="D306" s="47">
        <v>5</v>
      </c>
      <c r="E306" s="48">
        <v>6.793478260869565E-4</v>
      </c>
    </row>
    <row r="307" spans="2:5" ht="15" customHeight="1" x14ac:dyDescent="0.25">
      <c r="B307" s="90"/>
      <c r="C307" s="49" t="s">
        <v>63</v>
      </c>
      <c r="D307" s="50">
        <v>97</v>
      </c>
      <c r="E307" s="51">
        <v>1.3179347826086957E-2</v>
      </c>
    </row>
    <row r="308" spans="2:5" ht="15" customHeight="1" x14ac:dyDescent="0.25">
      <c r="B308" s="88" t="s">
        <v>86</v>
      </c>
      <c r="C308" s="46" t="s">
        <v>12</v>
      </c>
      <c r="D308" s="47">
        <v>80</v>
      </c>
      <c r="E308" s="48">
        <v>1.0869565217391304E-2</v>
      </c>
    </row>
    <row r="309" spans="2:5" ht="15" customHeight="1" x14ac:dyDescent="0.25">
      <c r="B309" s="89"/>
      <c r="C309" s="46" t="s">
        <v>126</v>
      </c>
      <c r="D309" s="47">
        <v>4</v>
      </c>
      <c r="E309" s="48">
        <v>5.4347826086956522E-4</v>
      </c>
    </row>
    <row r="310" spans="2:5" ht="15" customHeight="1" x14ac:dyDescent="0.25">
      <c r="B310" s="89"/>
      <c r="C310" s="46" t="s">
        <v>122</v>
      </c>
      <c r="D310" s="47">
        <v>13</v>
      </c>
      <c r="E310" s="48">
        <v>1.766304347826087E-3</v>
      </c>
    </row>
    <row r="311" spans="2:5" ht="15" customHeight="1" x14ac:dyDescent="0.25">
      <c r="B311" s="89"/>
      <c r="C311" s="46" t="s">
        <v>130</v>
      </c>
      <c r="D311" s="47">
        <v>1</v>
      </c>
      <c r="E311" s="48">
        <v>1.3586956521739131E-4</v>
      </c>
    </row>
    <row r="312" spans="2:5" ht="15" customHeight="1" x14ac:dyDescent="0.25">
      <c r="B312" s="89"/>
      <c r="C312" s="46" t="s">
        <v>125</v>
      </c>
      <c r="D312" s="47">
        <v>2</v>
      </c>
      <c r="E312" s="48">
        <v>2.7173913043478261E-4</v>
      </c>
    </row>
    <row r="313" spans="2:5" ht="15" customHeight="1" x14ac:dyDescent="0.25">
      <c r="B313" s="89"/>
      <c r="C313" s="46" t="s">
        <v>124</v>
      </c>
      <c r="D313" s="47">
        <v>1</v>
      </c>
      <c r="E313" s="48">
        <v>1.3586956521739131E-4</v>
      </c>
    </row>
    <row r="314" spans="2:5" ht="15" customHeight="1" x14ac:dyDescent="0.25">
      <c r="B314" s="89"/>
      <c r="C314" s="46" t="s">
        <v>123</v>
      </c>
      <c r="D314" s="47">
        <v>17</v>
      </c>
      <c r="E314" s="48">
        <v>2.3097826086956523E-3</v>
      </c>
    </row>
    <row r="315" spans="2:5" ht="15" customHeight="1" x14ac:dyDescent="0.25">
      <c r="B315" s="89"/>
      <c r="C315" s="46" t="s">
        <v>127</v>
      </c>
      <c r="D315" s="47">
        <v>3</v>
      </c>
      <c r="E315" s="48">
        <v>4.0760869565217389E-4</v>
      </c>
    </row>
    <row r="316" spans="2:5" ht="15" customHeight="1" x14ac:dyDescent="0.25">
      <c r="B316" s="90"/>
      <c r="C316" s="49" t="s">
        <v>63</v>
      </c>
      <c r="D316" s="50">
        <v>121</v>
      </c>
      <c r="E316" s="51">
        <v>1.6440217391304347E-2</v>
      </c>
    </row>
    <row r="317" spans="2:5" ht="15" customHeight="1" x14ac:dyDescent="0.25">
      <c r="B317" s="88" t="s">
        <v>77</v>
      </c>
      <c r="C317" s="46" t="s">
        <v>12</v>
      </c>
      <c r="D317" s="47">
        <v>170</v>
      </c>
      <c r="E317" s="48">
        <v>2.309782608695652E-2</v>
      </c>
    </row>
    <row r="318" spans="2:5" ht="15" customHeight="1" x14ac:dyDescent="0.25">
      <c r="B318" s="89"/>
      <c r="C318" s="46" t="s">
        <v>126</v>
      </c>
      <c r="D318" s="47">
        <v>9</v>
      </c>
      <c r="E318" s="48">
        <v>1.2228260869565218E-3</v>
      </c>
    </row>
    <row r="319" spans="2:5" ht="15" customHeight="1" x14ac:dyDescent="0.25">
      <c r="B319" s="89"/>
      <c r="C319" s="46" t="s">
        <v>122</v>
      </c>
      <c r="D319" s="47">
        <v>63</v>
      </c>
      <c r="E319" s="48">
        <v>8.5597826086956513E-3</v>
      </c>
    </row>
    <row r="320" spans="2:5" ht="15" customHeight="1" x14ac:dyDescent="0.25">
      <c r="B320" s="89"/>
      <c r="C320" s="46" t="s">
        <v>129</v>
      </c>
      <c r="D320" s="47">
        <v>1</v>
      </c>
      <c r="E320" s="48">
        <v>1.3586956521739131E-4</v>
      </c>
    </row>
    <row r="321" spans="2:5" ht="15" customHeight="1" x14ac:dyDescent="0.25">
      <c r="B321" s="89"/>
      <c r="C321" s="46" t="s">
        <v>130</v>
      </c>
      <c r="D321" s="47">
        <v>1</v>
      </c>
      <c r="E321" s="48">
        <v>1.3586956521739131E-4</v>
      </c>
    </row>
    <row r="322" spans="2:5" ht="15" customHeight="1" x14ac:dyDescent="0.25">
      <c r="B322" s="89"/>
      <c r="C322" s="46" t="s">
        <v>125</v>
      </c>
      <c r="D322" s="47">
        <v>15</v>
      </c>
      <c r="E322" s="48">
        <v>2.0380434782608695E-3</v>
      </c>
    </row>
    <row r="323" spans="2:5" ht="15" customHeight="1" x14ac:dyDescent="0.25">
      <c r="B323" s="89"/>
      <c r="C323" s="46" t="s">
        <v>124</v>
      </c>
      <c r="D323" s="47">
        <v>8</v>
      </c>
      <c r="E323" s="48">
        <v>1.0869565217391304E-3</v>
      </c>
    </row>
    <row r="324" spans="2:5" ht="15" customHeight="1" x14ac:dyDescent="0.25">
      <c r="B324" s="89"/>
      <c r="C324" s="46" t="s">
        <v>123</v>
      </c>
      <c r="D324" s="47">
        <v>16</v>
      </c>
      <c r="E324" s="48">
        <v>2.1739130434782609E-3</v>
      </c>
    </row>
    <row r="325" spans="2:5" ht="15" customHeight="1" x14ac:dyDescent="0.25">
      <c r="B325" s="89"/>
      <c r="C325" s="46" t="s">
        <v>131</v>
      </c>
      <c r="D325" s="47">
        <v>3</v>
      </c>
      <c r="E325" s="48">
        <v>4.0760869565217389E-4</v>
      </c>
    </row>
    <row r="326" spans="2:5" ht="15" customHeight="1" x14ac:dyDescent="0.25">
      <c r="B326" s="89"/>
      <c r="C326" s="46" t="s">
        <v>128</v>
      </c>
      <c r="D326" s="47">
        <v>4</v>
      </c>
      <c r="E326" s="48">
        <v>5.4347826086956522E-4</v>
      </c>
    </row>
    <row r="327" spans="2:5" ht="15" customHeight="1" x14ac:dyDescent="0.25">
      <c r="B327" s="89"/>
      <c r="C327" s="46" t="s">
        <v>127</v>
      </c>
      <c r="D327" s="47">
        <v>5</v>
      </c>
      <c r="E327" s="48">
        <v>6.793478260869565E-4</v>
      </c>
    </row>
    <row r="328" spans="2:5" ht="15" customHeight="1" x14ac:dyDescent="0.25">
      <c r="B328" s="90"/>
      <c r="C328" s="49" t="s">
        <v>63</v>
      </c>
      <c r="D328" s="50">
        <v>295</v>
      </c>
      <c r="E328" s="51">
        <v>4.0081521739130432E-2</v>
      </c>
    </row>
    <row r="329" spans="2:5" ht="15" customHeight="1" x14ac:dyDescent="0.25">
      <c r="B329" s="88" t="s">
        <v>101</v>
      </c>
      <c r="C329" s="46" t="s">
        <v>12</v>
      </c>
      <c r="D329" s="47">
        <v>21</v>
      </c>
      <c r="E329" s="48">
        <v>2.8532608695652174E-3</v>
      </c>
    </row>
    <row r="330" spans="2:5" ht="15" customHeight="1" x14ac:dyDescent="0.25">
      <c r="B330" s="89"/>
      <c r="C330" s="46" t="s">
        <v>126</v>
      </c>
      <c r="D330" s="47">
        <v>2</v>
      </c>
      <c r="E330" s="48">
        <v>2.7173913043478261E-4</v>
      </c>
    </row>
    <row r="331" spans="2:5" ht="15" customHeight="1" x14ac:dyDescent="0.25">
      <c r="B331" s="89"/>
      <c r="C331" s="46" t="s">
        <v>122</v>
      </c>
      <c r="D331" s="47">
        <v>2</v>
      </c>
      <c r="E331" s="48">
        <v>2.7173913043478261E-4</v>
      </c>
    </row>
    <row r="332" spans="2:5" ht="15" customHeight="1" x14ac:dyDescent="0.25">
      <c r="B332" s="89"/>
      <c r="C332" s="46" t="s">
        <v>129</v>
      </c>
      <c r="D332" s="47">
        <v>4</v>
      </c>
      <c r="E332" s="48">
        <v>5.4347826086956522E-4</v>
      </c>
    </row>
    <row r="333" spans="2:5" ht="15" customHeight="1" x14ac:dyDescent="0.25">
      <c r="B333" s="89"/>
      <c r="C333" s="46" t="s">
        <v>125</v>
      </c>
      <c r="D333" s="47">
        <v>4</v>
      </c>
      <c r="E333" s="48">
        <v>5.4347826086956522E-4</v>
      </c>
    </row>
    <row r="334" spans="2:5" ht="15" customHeight="1" x14ac:dyDescent="0.25">
      <c r="B334" s="89"/>
      <c r="C334" s="46" t="s">
        <v>123</v>
      </c>
      <c r="D334" s="47">
        <v>4</v>
      </c>
      <c r="E334" s="48">
        <v>5.4347826086956522E-4</v>
      </c>
    </row>
    <row r="335" spans="2:5" ht="15" customHeight="1" x14ac:dyDescent="0.25">
      <c r="B335" s="90"/>
      <c r="C335" s="49" t="s">
        <v>63</v>
      </c>
      <c r="D335" s="50">
        <v>37</v>
      </c>
      <c r="E335" s="51">
        <v>5.0271739130434779E-3</v>
      </c>
    </row>
    <row r="336" spans="2:5" ht="15" customHeight="1" x14ac:dyDescent="0.25">
      <c r="B336" s="88" t="s">
        <v>94</v>
      </c>
      <c r="C336" s="46" t="s">
        <v>12</v>
      </c>
      <c r="D336" s="47">
        <v>53</v>
      </c>
      <c r="E336" s="48">
        <v>7.2010869565217392E-3</v>
      </c>
    </row>
    <row r="337" spans="2:5" ht="15" customHeight="1" x14ac:dyDescent="0.25">
      <c r="B337" s="89"/>
      <c r="C337" s="46" t="s">
        <v>126</v>
      </c>
      <c r="D337" s="47">
        <v>2</v>
      </c>
      <c r="E337" s="48">
        <v>2.7173913043478261E-4</v>
      </c>
    </row>
    <row r="338" spans="2:5" ht="15" customHeight="1" x14ac:dyDescent="0.25">
      <c r="B338" s="89"/>
      <c r="C338" s="46" t="s">
        <v>122</v>
      </c>
      <c r="D338" s="47">
        <v>8</v>
      </c>
      <c r="E338" s="48">
        <v>1.0869565217391304E-3</v>
      </c>
    </row>
    <row r="339" spans="2:5" ht="15" customHeight="1" x14ac:dyDescent="0.25">
      <c r="B339" s="89"/>
      <c r="C339" s="46" t="s">
        <v>129</v>
      </c>
      <c r="D339" s="47">
        <v>1</v>
      </c>
      <c r="E339" s="48">
        <v>1.3586956521739131E-4</v>
      </c>
    </row>
    <row r="340" spans="2:5" ht="15" customHeight="1" x14ac:dyDescent="0.25">
      <c r="B340" s="89"/>
      <c r="C340" s="46" t="s">
        <v>125</v>
      </c>
      <c r="D340" s="47">
        <v>3</v>
      </c>
      <c r="E340" s="48">
        <v>4.0760869565217389E-4</v>
      </c>
    </row>
    <row r="341" spans="2:5" ht="15" customHeight="1" x14ac:dyDescent="0.25">
      <c r="B341" s="89"/>
      <c r="C341" s="46" t="s">
        <v>124</v>
      </c>
      <c r="D341" s="47">
        <v>3</v>
      </c>
      <c r="E341" s="48">
        <v>4.0760869565217389E-4</v>
      </c>
    </row>
    <row r="342" spans="2:5" ht="15" customHeight="1" x14ac:dyDescent="0.25">
      <c r="B342" s="89"/>
      <c r="C342" s="46" t="s">
        <v>123</v>
      </c>
      <c r="D342" s="47">
        <v>4</v>
      </c>
      <c r="E342" s="48">
        <v>5.4347826086956522E-4</v>
      </c>
    </row>
    <row r="343" spans="2:5" ht="15" customHeight="1" x14ac:dyDescent="0.25">
      <c r="B343" s="89"/>
      <c r="C343" s="46" t="s">
        <v>128</v>
      </c>
      <c r="D343" s="47">
        <v>1</v>
      </c>
      <c r="E343" s="48">
        <v>1.3586956521739131E-4</v>
      </c>
    </row>
    <row r="344" spans="2:5" ht="15" customHeight="1" x14ac:dyDescent="0.25">
      <c r="B344" s="89"/>
      <c r="C344" s="46" t="s">
        <v>127</v>
      </c>
      <c r="D344" s="47">
        <v>3</v>
      </c>
      <c r="E344" s="48">
        <v>4.0760869565217389E-4</v>
      </c>
    </row>
    <row r="345" spans="2:5" ht="15" customHeight="1" x14ac:dyDescent="0.25">
      <c r="B345" s="90"/>
      <c r="C345" s="49" t="s">
        <v>63</v>
      </c>
      <c r="D345" s="50">
        <v>78</v>
      </c>
      <c r="E345" s="51">
        <v>1.0597826086956521E-2</v>
      </c>
    </row>
    <row r="346" spans="2:5" ht="15" customHeight="1" x14ac:dyDescent="0.25">
      <c r="B346" s="88" t="s">
        <v>93</v>
      </c>
      <c r="C346" s="46" t="s">
        <v>12</v>
      </c>
      <c r="D346" s="47">
        <v>42</v>
      </c>
      <c r="E346" s="48">
        <v>5.7065217391304348E-3</v>
      </c>
    </row>
    <row r="347" spans="2:5" ht="15" customHeight="1" x14ac:dyDescent="0.25">
      <c r="B347" s="89"/>
      <c r="C347" s="46" t="s">
        <v>126</v>
      </c>
      <c r="D347" s="47">
        <v>1</v>
      </c>
      <c r="E347" s="48">
        <v>1.3586956521739131E-4</v>
      </c>
    </row>
    <row r="348" spans="2:5" ht="15" customHeight="1" x14ac:dyDescent="0.25">
      <c r="B348" s="89"/>
      <c r="C348" s="46" t="s">
        <v>122</v>
      </c>
      <c r="D348" s="47">
        <v>15</v>
      </c>
      <c r="E348" s="48">
        <v>2.0380434782608695E-3</v>
      </c>
    </row>
    <row r="349" spans="2:5" ht="15" customHeight="1" x14ac:dyDescent="0.25">
      <c r="B349" s="89"/>
      <c r="C349" s="46" t="s">
        <v>129</v>
      </c>
      <c r="D349" s="47">
        <v>4</v>
      </c>
      <c r="E349" s="48">
        <v>5.4347826086956522E-4</v>
      </c>
    </row>
    <row r="350" spans="2:5" ht="15" customHeight="1" x14ac:dyDescent="0.25">
      <c r="B350" s="89"/>
      <c r="C350" s="46" t="s">
        <v>130</v>
      </c>
      <c r="D350" s="47">
        <v>1</v>
      </c>
      <c r="E350" s="48">
        <v>1.3586956521739131E-4</v>
      </c>
    </row>
    <row r="351" spans="2:5" ht="15" customHeight="1" x14ac:dyDescent="0.25">
      <c r="B351" s="89"/>
      <c r="C351" s="46" t="s">
        <v>124</v>
      </c>
      <c r="D351" s="47">
        <v>7</v>
      </c>
      <c r="E351" s="48">
        <v>9.5108695652173917E-4</v>
      </c>
    </row>
    <row r="352" spans="2:5" ht="15" customHeight="1" x14ac:dyDescent="0.25">
      <c r="B352" s="89"/>
      <c r="C352" s="46" t="s">
        <v>123</v>
      </c>
      <c r="D352" s="47">
        <v>10</v>
      </c>
      <c r="E352" s="48">
        <v>1.358695652173913E-3</v>
      </c>
    </row>
    <row r="353" spans="2:5" ht="15" customHeight="1" x14ac:dyDescent="0.25">
      <c r="B353" s="89"/>
      <c r="C353" s="46" t="s">
        <v>127</v>
      </c>
      <c r="D353" s="47">
        <v>2</v>
      </c>
      <c r="E353" s="48">
        <v>2.7173913043478261E-4</v>
      </c>
    </row>
    <row r="354" spans="2:5" ht="15" customHeight="1" x14ac:dyDescent="0.25">
      <c r="B354" s="90"/>
      <c r="C354" s="49" t="s">
        <v>63</v>
      </c>
      <c r="D354" s="50">
        <v>82</v>
      </c>
      <c r="E354" s="51">
        <v>1.1141304347826087E-2</v>
      </c>
    </row>
    <row r="355" spans="2:5" ht="15" customHeight="1" x14ac:dyDescent="0.25">
      <c r="B355" s="88" t="s">
        <v>85</v>
      </c>
      <c r="C355" s="46" t="s">
        <v>12</v>
      </c>
      <c r="D355" s="47">
        <v>88</v>
      </c>
      <c r="E355" s="48">
        <v>1.1956521739130435E-2</v>
      </c>
    </row>
    <row r="356" spans="2:5" ht="15" customHeight="1" x14ac:dyDescent="0.25">
      <c r="B356" s="89"/>
      <c r="C356" s="46" t="s">
        <v>126</v>
      </c>
      <c r="D356" s="47">
        <v>2</v>
      </c>
      <c r="E356" s="48">
        <v>2.7173913043478261E-4</v>
      </c>
    </row>
    <row r="357" spans="2:5" ht="15" customHeight="1" x14ac:dyDescent="0.25">
      <c r="B357" s="89"/>
      <c r="C357" s="46" t="s">
        <v>122</v>
      </c>
      <c r="D357" s="47">
        <v>22</v>
      </c>
      <c r="E357" s="48">
        <v>2.9891304347826088E-3</v>
      </c>
    </row>
    <row r="358" spans="2:5" ht="15" customHeight="1" x14ac:dyDescent="0.25">
      <c r="B358" s="89"/>
      <c r="C358" s="46" t="s">
        <v>129</v>
      </c>
      <c r="D358" s="47">
        <v>1</v>
      </c>
      <c r="E358" s="48">
        <v>1.3586956521739131E-4</v>
      </c>
    </row>
    <row r="359" spans="2:5" ht="15" customHeight="1" x14ac:dyDescent="0.25">
      <c r="B359" s="89"/>
      <c r="C359" s="46" t="s">
        <v>130</v>
      </c>
      <c r="D359" s="47">
        <v>2</v>
      </c>
      <c r="E359" s="48">
        <v>2.7173913043478261E-4</v>
      </c>
    </row>
    <row r="360" spans="2:5" ht="15" customHeight="1" x14ac:dyDescent="0.25">
      <c r="B360" s="89"/>
      <c r="C360" s="46" t="s">
        <v>125</v>
      </c>
      <c r="D360" s="47">
        <v>4</v>
      </c>
      <c r="E360" s="48">
        <v>5.4347826086956522E-4</v>
      </c>
    </row>
    <row r="361" spans="2:5" ht="15" customHeight="1" x14ac:dyDescent="0.25">
      <c r="B361" s="89"/>
      <c r="C361" s="46" t="s">
        <v>124</v>
      </c>
      <c r="D361" s="47">
        <v>3</v>
      </c>
      <c r="E361" s="48">
        <v>4.0760869565217389E-4</v>
      </c>
    </row>
    <row r="362" spans="2:5" ht="15" customHeight="1" x14ac:dyDescent="0.25">
      <c r="B362" s="89"/>
      <c r="C362" s="46" t="s">
        <v>123</v>
      </c>
      <c r="D362" s="47">
        <v>8</v>
      </c>
      <c r="E362" s="48">
        <v>1.0869565217391304E-3</v>
      </c>
    </row>
    <row r="363" spans="2:5" ht="15" customHeight="1" x14ac:dyDescent="0.25">
      <c r="B363" s="90"/>
      <c r="C363" s="49" t="s">
        <v>63</v>
      </c>
      <c r="D363" s="50">
        <v>130</v>
      </c>
      <c r="E363" s="51">
        <v>1.7663043478260868E-2</v>
      </c>
    </row>
    <row r="364" spans="2:5" ht="15" customHeight="1" x14ac:dyDescent="0.25">
      <c r="B364" s="88" t="s">
        <v>92</v>
      </c>
      <c r="C364" s="46" t="s">
        <v>12</v>
      </c>
      <c r="D364" s="47">
        <v>40</v>
      </c>
      <c r="E364" s="48">
        <v>5.434782608695652E-3</v>
      </c>
    </row>
    <row r="365" spans="2:5" ht="15" customHeight="1" x14ac:dyDescent="0.25">
      <c r="B365" s="89"/>
      <c r="C365" s="46" t="s">
        <v>126</v>
      </c>
      <c r="D365" s="47">
        <v>2</v>
      </c>
      <c r="E365" s="48">
        <v>2.7173913043478261E-4</v>
      </c>
    </row>
    <row r="366" spans="2:5" ht="15" customHeight="1" x14ac:dyDescent="0.25">
      <c r="B366" s="89"/>
      <c r="C366" s="46" t="s">
        <v>122</v>
      </c>
      <c r="D366" s="47">
        <v>10</v>
      </c>
      <c r="E366" s="48">
        <v>1.358695652173913E-3</v>
      </c>
    </row>
    <row r="367" spans="2:5" ht="15" customHeight="1" x14ac:dyDescent="0.25">
      <c r="B367" s="89"/>
      <c r="C367" s="46" t="s">
        <v>130</v>
      </c>
      <c r="D367" s="47">
        <v>1</v>
      </c>
      <c r="E367" s="48">
        <v>1.3586956521739131E-4</v>
      </c>
    </row>
    <row r="368" spans="2:5" ht="15" customHeight="1" x14ac:dyDescent="0.25">
      <c r="B368" s="89"/>
      <c r="C368" s="46" t="s">
        <v>125</v>
      </c>
      <c r="D368" s="47">
        <v>5</v>
      </c>
      <c r="E368" s="48">
        <v>6.793478260869565E-4</v>
      </c>
    </row>
    <row r="369" spans="2:5" ht="15" customHeight="1" x14ac:dyDescent="0.25">
      <c r="B369" s="89"/>
      <c r="C369" s="46" t="s">
        <v>124</v>
      </c>
      <c r="D369" s="47">
        <v>10</v>
      </c>
      <c r="E369" s="48">
        <v>1.358695652173913E-3</v>
      </c>
    </row>
    <row r="370" spans="2:5" ht="15" customHeight="1" x14ac:dyDescent="0.25">
      <c r="B370" s="89"/>
      <c r="C370" s="46" t="s">
        <v>123</v>
      </c>
      <c r="D370" s="47">
        <v>6</v>
      </c>
      <c r="E370" s="48">
        <v>8.1521739130434778E-4</v>
      </c>
    </row>
    <row r="371" spans="2:5" ht="15" customHeight="1" x14ac:dyDescent="0.25">
      <c r="B371" s="89"/>
      <c r="C371" s="46" t="s">
        <v>128</v>
      </c>
      <c r="D371" s="47">
        <v>11</v>
      </c>
      <c r="E371" s="48">
        <v>1.4945652173913044E-3</v>
      </c>
    </row>
    <row r="372" spans="2:5" ht="15" customHeight="1" x14ac:dyDescent="0.25">
      <c r="B372" s="89"/>
      <c r="C372" s="46" t="s">
        <v>127</v>
      </c>
      <c r="D372" s="47">
        <v>1</v>
      </c>
      <c r="E372" s="48">
        <v>1.3586956521739131E-4</v>
      </c>
    </row>
    <row r="373" spans="2:5" ht="15" customHeight="1" x14ac:dyDescent="0.25">
      <c r="B373" s="90"/>
      <c r="C373" s="49" t="s">
        <v>63</v>
      </c>
      <c r="D373" s="50">
        <v>86</v>
      </c>
      <c r="E373" s="51">
        <v>1.1684782608695652E-2</v>
      </c>
    </row>
    <row r="374" spans="2:5" ht="15" customHeight="1" x14ac:dyDescent="0.25">
      <c r="B374" s="88" t="s">
        <v>116</v>
      </c>
      <c r="C374" s="46" t="s">
        <v>12</v>
      </c>
      <c r="D374" s="47">
        <v>1</v>
      </c>
      <c r="E374" s="48">
        <v>1.3586956521739131E-4</v>
      </c>
    </row>
    <row r="375" spans="2:5" ht="15" customHeight="1" x14ac:dyDescent="0.25">
      <c r="B375" s="89"/>
      <c r="C375" s="46" t="s">
        <v>125</v>
      </c>
      <c r="D375" s="47">
        <v>1</v>
      </c>
      <c r="E375" s="48">
        <v>1.3586956521739131E-4</v>
      </c>
    </row>
    <row r="376" spans="2:5" ht="15" customHeight="1" x14ac:dyDescent="0.25">
      <c r="B376" s="90"/>
      <c r="C376" s="49" t="s">
        <v>63</v>
      </c>
      <c r="D376" s="50">
        <v>2</v>
      </c>
      <c r="E376" s="51">
        <v>2.7173913043478261E-4</v>
      </c>
    </row>
    <row r="377" spans="2:5" ht="15" customHeight="1" x14ac:dyDescent="0.25">
      <c r="B377" s="88" t="s">
        <v>32</v>
      </c>
      <c r="C377" s="46" t="s">
        <v>12</v>
      </c>
      <c r="D377" s="47">
        <v>38</v>
      </c>
      <c r="E377" s="48">
        <v>5.1630434782608692E-3</v>
      </c>
    </row>
    <row r="378" spans="2:5" ht="15" customHeight="1" x14ac:dyDescent="0.25">
      <c r="B378" s="89"/>
      <c r="C378" s="46" t="s">
        <v>126</v>
      </c>
      <c r="D378" s="47">
        <v>1</v>
      </c>
      <c r="E378" s="48">
        <v>1.3586956521739131E-4</v>
      </c>
    </row>
    <row r="379" spans="2:5" ht="15" customHeight="1" x14ac:dyDescent="0.25">
      <c r="B379" s="89"/>
      <c r="C379" s="46" t="s">
        <v>122</v>
      </c>
      <c r="D379" s="47">
        <v>2</v>
      </c>
      <c r="E379" s="48">
        <v>2.7173913043478261E-4</v>
      </c>
    </row>
    <row r="380" spans="2:5" ht="15" customHeight="1" x14ac:dyDescent="0.25">
      <c r="B380" s="89"/>
      <c r="C380" s="46" t="s">
        <v>129</v>
      </c>
      <c r="D380" s="47">
        <v>1</v>
      </c>
      <c r="E380" s="48">
        <v>1.3586956521739131E-4</v>
      </c>
    </row>
    <row r="381" spans="2:5" ht="15" customHeight="1" x14ac:dyDescent="0.25">
      <c r="B381" s="89"/>
      <c r="C381" s="46" t="s">
        <v>125</v>
      </c>
      <c r="D381" s="47">
        <v>4</v>
      </c>
      <c r="E381" s="48">
        <v>5.4347826086956522E-4</v>
      </c>
    </row>
    <row r="382" spans="2:5" ht="15" customHeight="1" x14ac:dyDescent="0.25">
      <c r="B382" s="89"/>
      <c r="C382" s="46" t="s">
        <v>124</v>
      </c>
      <c r="D382" s="47">
        <v>2</v>
      </c>
      <c r="E382" s="48">
        <v>2.7173913043478261E-4</v>
      </c>
    </row>
    <row r="383" spans="2:5" ht="15" customHeight="1" x14ac:dyDescent="0.25">
      <c r="B383" s="89"/>
      <c r="C383" s="46" t="s">
        <v>123</v>
      </c>
      <c r="D383" s="47">
        <v>4</v>
      </c>
      <c r="E383" s="48">
        <v>5.4347826086956522E-4</v>
      </c>
    </row>
    <row r="384" spans="2:5" ht="15" customHeight="1" x14ac:dyDescent="0.25">
      <c r="B384" s="90"/>
      <c r="C384" s="49" t="s">
        <v>63</v>
      </c>
      <c r="D384" s="50">
        <v>52</v>
      </c>
      <c r="E384" s="51">
        <v>7.0652173913043478E-3</v>
      </c>
    </row>
    <row r="385" spans="2:5" ht="15" customHeight="1" x14ac:dyDescent="0.25">
      <c r="B385" s="88" t="s">
        <v>113</v>
      </c>
      <c r="C385" s="46" t="s">
        <v>12</v>
      </c>
      <c r="D385" s="47">
        <v>2</v>
      </c>
      <c r="E385" s="48">
        <v>2.7173913043478261E-4</v>
      </c>
    </row>
    <row r="386" spans="2:5" ht="15" customHeight="1" x14ac:dyDescent="0.25">
      <c r="B386" s="89"/>
      <c r="C386" s="46" t="s">
        <v>127</v>
      </c>
      <c r="D386" s="47">
        <v>1</v>
      </c>
      <c r="E386" s="48">
        <v>1.3586956521739131E-4</v>
      </c>
    </row>
    <row r="387" spans="2:5" ht="15" customHeight="1" x14ac:dyDescent="0.25">
      <c r="B387" s="90"/>
      <c r="C387" s="49" t="s">
        <v>63</v>
      </c>
      <c r="D387" s="50">
        <v>3</v>
      </c>
      <c r="E387" s="51">
        <v>4.0760869565217389E-4</v>
      </c>
    </row>
    <row r="388" spans="2:5" ht="15" customHeight="1" x14ac:dyDescent="0.25">
      <c r="B388" s="92" t="s">
        <v>63</v>
      </c>
      <c r="C388" s="93"/>
      <c r="D388" s="52">
        <v>7360</v>
      </c>
      <c r="E388" s="53">
        <v>1</v>
      </c>
    </row>
    <row r="390" spans="2:5" ht="15" customHeight="1" x14ac:dyDescent="0.25">
      <c r="B390" s="30" t="s">
        <v>64</v>
      </c>
    </row>
    <row r="391" spans="2:5" ht="15" customHeight="1" x14ac:dyDescent="0.25">
      <c r="B391" s="31" t="s">
        <v>65</v>
      </c>
    </row>
    <row r="392" spans="2:5" ht="15" customHeight="1" x14ac:dyDescent="0.25">
      <c r="B392" s="32" t="s">
        <v>66</v>
      </c>
    </row>
    <row r="393" spans="2:5" ht="15" customHeight="1" x14ac:dyDescent="0.25">
      <c r="B393" s="30" t="s">
        <v>67</v>
      </c>
    </row>
    <row r="394" spans="2:5" ht="15" customHeight="1" x14ac:dyDescent="0.25">
      <c r="B394" s="30" t="s">
        <v>68</v>
      </c>
    </row>
  </sheetData>
  <mergeCells count="49">
    <mergeCell ref="B388:C388"/>
    <mergeCell ref="B346:B354"/>
    <mergeCell ref="B355:B363"/>
    <mergeCell ref="B364:B373"/>
    <mergeCell ref="B374:B376"/>
    <mergeCell ref="B377:B384"/>
    <mergeCell ref="B385:B387"/>
    <mergeCell ref="B336:B345"/>
    <mergeCell ref="B246:B253"/>
    <mergeCell ref="B254:B263"/>
    <mergeCell ref="B264:B271"/>
    <mergeCell ref="B272:B275"/>
    <mergeCell ref="B276:B285"/>
    <mergeCell ref="B286:B295"/>
    <mergeCell ref="B296:B298"/>
    <mergeCell ref="B299:B307"/>
    <mergeCell ref="B308:B316"/>
    <mergeCell ref="B317:B328"/>
    <mergeCell ref="B329:B335"/>
    <mergeCell ref="B238:B245"/>
    <mergeCell ref="B147:B157"/>
    <mergeCell ref="B158:B161"/>
    <mergeCell ref="B162:B172"/>
    <mergeCell ref="B173:B184"/>
    <mergeCell ref="B185:B196"/>
    <mergeCell ref="B197:B203"/>
    <mergeCell ref="B204:B210"/>
    <mergeCell ref="B211:B216"/>
    <mergeCell ref="B217:B223"/>
    <mergeCell ref="B224:B227"/>
    <mergeCell ref="B228:B237"/>
    <mergeCell ref="B137:B146"/>
    <mergeCell ref="B50:B53"/>
    <mergeCell ref="B54:B56"/>
    <mergeCell ref="B57:B67"/>
    <mergeCell ref="B68:B79"/>
    <mergeCell ref="B80:B82"/>
    <mergeCell ref="B83:B93"/>
    <mergeCell ref="B94:B102"/>
    <mergeCell ref="B103:B108"/>
    <mergeCell ref="B109:B113"/>
    <mergeCell ref="B114:B124"/>
    <mergeCell ref="B125:B136"/>
    <mergeCell ref="B48:B49"/>
    <mergeCell ref="B7:E8"/>
    <mergeCell ref="B10:B20"/>
    <mergeCell ref="B21:B31"/>
    <mergeCell ref="B32:B40"/>
    <mergeCell ref="B41:B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9" manualBreakCount="9">
    <brk id="49" max="4" man="1"/>
    <brk id="93" max="4" man="1"/>
    <brk id="136" max="4" man="1"/>
    <brk id="172" max="4" man="1"/>
    <brk id="216" max="4" man="1"/>
    <brk id="253" max="4" man="1"/>
    <brk id="295" max="4" man="1"/>
    <brk id="335" max="4" man="1"/>
    <brk id="37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12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211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160</v>
      </c>
      <c r="C11" s="19" t="s">
        <v>212</v>
      </c>
      <c r="D11" s="20" t="s">
        <v>16</v>
      </c>
    </row>
    <row r="12" spans="1:4" ht="15" customHeight="1" x14ac:dyDescent="0.25">
      <c r="B12" s="22" t="s">
        <v>136</v>
      </c>
      <c r="C12" s="23">
        <v>6</v>
      </c>
      <c r="D12" s="24">
        <f t="shared" ref="D12:D36" si="0">C12/$C$36</f>
        <v>8.1521739130434778E-4</v>
      </c>
    </row>
    <row r="13" spans="1:4" x14ac:dyDescent="0.25">
      <c r="B13" s="22" t="s">
        <v>137</v>
      </c>
      <c r="C13" s="23">
        <v>59</v>
      </c>
      <c r="D13" s="24">
        <f t="shared" si="0"/>
        <v>8.0163043478260875E-3</v>
      </c>
    </row>
    <row r="14" spans="1:4" s="25" customFormat="1" ht="15.75" x14ac:dyDescent="0.25">
      <c r="A14" s="21"/>
      <c r="B14" s="22" t="s">
        <v>138</v>
      </c>
      <c r="C14" s="23">
        <v>22</v>
      </c>
      <c r="D14" s="24">
        <f t="shared" si="0"/>
        <v>2.9891304347826088E-3</v>
      </c>
    </row>
    <row r="15" spans="1:4" s="25" customFormat="1" ht="15.75" x14ac:dyDescent="0.25">
      <c r="A15" s="21"/>
      <c r="B15" s="22" t="s">
        <v>139</v>
      </c>
      <c r="C15" s="23">
        <v>63</v>
      </c>
      <c r="D15" s="24">
        <f t="shared" si="0"/>
        <v>8.5597826086956513E-3</v>
      </c>
    </row>
    <row r="16" spans="1:4" x14ac:dyDescent="0.25">
      <c r="B16" s="22" t="s">
        <v>140</v>
      </c>
      <c r="C16" s="23">
        <v>110</v>
      </c>
      <c r="D16" s="24">
        <f t="shared" si="0"/>
        <v>1.4945652173913044E-2</v>
      </c>
    </row>
    <row r="17" spans="2:4" x14ac:dyDescent="0.25">
      <c r="B17" s="22" t="s">
        <v>141</v>
      </c>
      <c r="C17" s="23">
        <v>81</v>
      </c>
      <c r="D17" s="24">
        <f t="shared" si="0"/>
        <v>1.1005434782608696E-2</v>
      </c>
    </row>
    <row r="18" spans="2:4" x14ac:dyDescent="0.25">
      <c r="B18" s="22" t="s">
        <v>142</v>
      </c>
      <c r="C18" s="23">
        <v>121</v>
      </c>
      <c r="D18" s="24">
        <f t="shared" si="0"/>
        <v>1.6440217391304347E-2</v>
      </c>
    </row>
    <row r="19" spans="2:4" x14ac:dyDescent="0.25">
      <c r="B19" s="22" t="s">
        <v>143</v>
      </c>
      <c r="C19" s="23">
        <v>588</v>
      </c>
      <c r="D19" s="24">
        <f t="shared" si="0"/>
        <v>7.9891304347826084E-2</v>
      </c>
    </row>
    <row r="20" spans="2:4" ht="27" x14ac:dyDescent="0.25">
      <c r="B20" s="22" t="s">
        <v>144</v>
      </c>
      <c r="C20" s="23">
        <v>1106</v>
      </c>
      <c r="D20" s="24">
        <f t="shared" si="0"/>
        <v>0.15027173913043479</v>
      </c>
    </row>
    <row r="21" spans="2:4" x14ac:dyDescent="0.25">
      <c r="B21" s="22" t="s">
        <v>145</v>
      </c>
      <c r="C21" s="23">
        <v>88</v>
      </c>
      <c r="D21" s="24">
        <f t="shared" si="0"/>
        <v>1.1956521739130435E-2</v>
      </c>
    </row>
    <row r="22" spans="2:4" x14ac:dyDescent="0.25">
      <c r="B22" s="22" t="s">
        <v>146</v>
      </c>
      <c r="C22" s="23">
        <v>209</v>
      </c>
      <c r="D22" s="24">
        <f t="shared" si="0"/>
        <v>2.8396739130434782E-2</v>
      </c>
    </row>
    <row r="23" spans="2:4" x14ac:dyDescent="0.25">
      <c r="B23" s="22" t="s">
        <v>147</v>
      </c>
      <c r="C23" s="23">
        <v>308</v>
      </c>
      <c r="D23" s="24">
        <f t="shared" si="0"/>
        <v>4.1847826086956523E-2</v>
      </c>
    </row>
    <row r="24" spans="2:4" ht="27" x14ac:dyDescent="0.25">
      <c r="B24" s="22" t="s">
        <v>148</v>
      </c>
      <c r="C24" s="23">
        <v>2540</v>
      </c>
      <c r="D24" s="24">
        <f t="shared" si="0"/>
        <v>0.34510869565217389</v>
      </c>
    </row>
    <row r="25" spans="2:4" x14ac:dyDescent="0.25">
      <c r="B25" s="22" t="s">
        <v>149</v>
      </c>
      <c r="C25" s="23">
        <v>76</v>
      </c>
      <c r="D25" s="24">
        <f t="shared" si="0"/>
        <v>1.0326086956521738E-2</v>
      </c>
    </row>
    <row r="26" spans="2:4" ht="27" x14ac:dyDescent="0.25">
      <c r="B26" s="22" t="s">
        <v>150</v>
      </c>
      <c r="C26" s="23">
        <v>446</v>
      </c>
      <c r="D26" s="24">
        <f t="shared" si="0"/>
        <v>6.0597826086956519E-2</v>
      </c>
    </row>
    <row r="27" spans="2:4" ht="27" x14ac:dyDescent="0.25">
      <c r="B27" s="22" t="s">
        <v>151</v>
      </c>
      <c r="C27" s="23">
        <v>1225</v>
      </c>
      <c r="D27" s="24">
        <f t="shared" si="0"/>
        <v>0.16644021739130435</v>
      </c>
    </row>
    <row r="28" spans="2:4" x14ac:dyDescent="0.25">
      <c r="B28" s="22" t="s">
        <v>152</v>
      </c>
      <c r="C28" s="23">
        <v>16</v>
      </c>
      <c r="D28" s="24">
        <f t="shared" si="0"/>
        <v>2.1739130434782609E-3</v>
      </c>
    </row>
    <row r="29" spans="2:4" x14ac:dyDescent="0.25">
      <c r="B29" s="22" t="s">
        <v>153</v>
      </c>
      <c r="C29" s="23">
        <v>23</v>
      </c>
      <c r="D29" s="24">
        <f t="shared" si="0"/>
        <v>3.1250000000000002E-3</v>
      </c>
    </row>
    <row r="30" spans="2:4" x14ac:dyDescent="0.25">
      <c r="B30" s="22" t="s">
        <v>154</v>
      </c>
      <c r="C30" s="23">
        <v>12</v>
      </c>
      <c r="D30" s="24">
        <f t="shared" si="0"/>
        <v>1.6304347826086956E-3</v>
      </c>
    </row>
    <row r="31" spans="2:4" x14ac:dyDescent="0.25">
      <c r="B31" s="22" t="s">
        <v>155</v>
      </c>
      <c r="C31" s="23">
        <v>5</v>
      </c>
      <c r="D31" s="24">
        <f t="shared" si="0"/>
        <v>6.793478260869565E-4</v>
      </c>
    </row>
    <row r="32" spans="2:4" x14ac:dyDescent="0.25">
      <c r="B32" s="22" t="s">
        <v>156</v>
      </c>
      <c r="C32" s="23">
        <v>83</v>
      </c>
      <c r="D32" s="24">
        <f t="shared" si="0"/>
        <v>1.1277173913043479E-2</v>
      </c>
    </row>
    <row r="33" spans="1:4" x14ac:dyDescent="0.25">
      <c r="B33" s="22" t="s">
        <v>157</v>
      </c>
      <c r="C33" s="23">
        <v>155</v>
      </c>
      <c r="D33" s="24">
        <f t="shared" si="0"/>
        <v>2.1059782608695652E-2</v>
      </c>
    </row>
    <row r="34" spans="1:4" x14ac:dyDescent="0.25">
      <c r="B34" s="22" t="s">
        <v>158</v>
      </c>
      <c r="C34" s="23">
        <v>8</v>
      </c>
      <c r="D34" s="24">
        <f t="shared" si="0"/>
        <v>1.0869565217391304E-3</v>
      </c>
    </row>
    <row r="35" spans="1:4" x14ac:dyDescent="0.25">
      <c r="B35" s="22" t="s">
        <v>159</v>
      </c>
      <c r="C35" s="23">
        <v>10</v>
      </c>
      <c r="D35" s="24">
        <f t="shared" si="0"/>
        <v>1.358695652173913E-3</v>
      </c>
    </row>
    <row r="36" spans="1:4" x14ac:dyDescent="0.25">
      <c r="B36" s="26" t="s">
        <v>63</v>
      </c>
      <c r="C36" s="27">
        <v>7360</v>
      </c>
      <c r="D36" s="28">
        <f t="shared" si="0"/>
        <v>1</v>
      </c>
    </row>
    <row r="38" spans="1:4" x14ac:dyDescent="0.25">
      <c r="A38" s="71" t="s">
        <v>213</v>
      </c>
    </row>
    <row r="39" spans="1:4" x14ac:dyDescent="0.25">
      <c r="A39" s="71" t="s">
        <v>65</v>
      </c>
    </row>
    <row r="40" spans="1:4" x14ac:dyDescent="0.25">
      <c r="A40" s="71" t="s">
        <v>66</v>
      </c>
    </row>
    <row r="41" spans="1:4" x14ac:dyDescent="0.25">
      <c r="A41" s="71" t="s">
        <v>67</v>
      </c>
    </row>
    <row r="42" spans="1:4" x14ac:dyDescent="0.25">
      <c r="A42" s="71" t="s">
        <v>68</v>
      </c>
    </row>
    <row r="43" spans="1:4" x14ac:dyDescent="0.25">
      <c r="A43" s="71"/>
    </row>
    <row r="44" spans="1:4" x14ac:dyDescent="0.25">
      <c r="A44" s="7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22"/>
  <sheetViews>
    <sheetView topLeftCell="A4" zoomScale="145" zoomScaleNormal="145" zoomScaleSheetLayoutView="85" workbookViewId="0"/>
  </sheetViews>
  <sheetFormatPr baseColWidth="10" defaultColWidth="35" defaultRowHeight="15" customHeight="1" x14ac:dyDescent="0.25"/>
  <cols>
    <col min="1" max="1" width="1" style="45" customWidth="1"/>
    <col min="2" max="2" width="22.85546875" style="54" customWidth="1"/>
    <col min="3" max="3" width="31.42578125" style="54" customWidth="1"/>
    <col min="4" max="4" width="14.28515625" style="54" customWidth="1"/>
    <col min="5" max="5" width="16.85546875" style="54" customWidth="1"/>
    <col min="6" max="16384" width="35" style="45"/>
  </cols>
  <sheetData>
    <row r="1" spans="1:5" s="33" customFormat="1" ht="12" customHeight="1" x14ac:dyDescent="0.2">
      <c r="B1" s="34"/>
      <c r="C1" s="35"/>
      <c r="D1" s="35"/>
      <c r="E1" s="35"/>
    </row>
    <row r="2" spans="1:5" s="33" customFormat="1" ht="15" customHeight="1" x14ac:dyDescent="0.2">
      <c r="C2" s="36"/>
    </row>
    <row r="3" spans="1:5" s="33" customFormat="1" ht="15" customHeight="1" x14ac:dyDescent="0.2">
      <c r="C3" s="36"/>
    </row>
    <row r="4" spans="1:5" s="33" customFormat="1" ht="30" customHeight="1" x14ac:dyDescent="0.2">
      <c r="C4" s="36"/>
      <c r="D4" s="37"/>
    </row>
    <row r="5" spans="1:5" s="33" customFormat="1" ht="15" customHeight="1" x14ac:dyDescent="0.2">
      <c r="C5" s="36"/>
      <c r="D5" s="37"/>
    </row>
    <row r="6" spans="1:5" s="38" customFormat="1" ht="24" customHeight="1" x14ac:dyDescent="0.2">
      <c r="B6" s="39"/>
      <c r="C6" s="40"/>
      <c r="D6" s="40"/>
      <c r="E6" s="40"/>
    </row>
    <row r="7" spans="1:5" s="38" customFormat="1" ht="26.25" customHeight="1" x14ac:dyDescent="0.3">
      <c r="A7" s="41"/>
      <c r="B7" s="91"/>
      <c r="C7" s="91"/>
      <c r="D7" s="91"/>
      <c r="E7" s="91"/>
    </row>
    <row r="8" spans="1:5" s="38" customFormat="1" ht="33" customHeight="1" x14ac:dyDescent="0.3">
      <c r="A8" s="41"/>
      <c r="B8" s="91"/>
      <c r="C8" s="91"/>
      <c r="D8" s="91"/>
      <c r="E8" s="91"/>
    </row>
    <row r="9" spans="1:5" s="14" customFormat="1" ht="40.5" customHeight="1" x14ac:dyDescent="0.2">
      <c r="B9" s="42" t="s">
        <v>135</v>
      </c>
      <c r="C9" s="43" t="s">
        <v>132</v>
      </c>
      <c r="D9" s="44" t="s">
        <v>15</v>
      </c>
      <c r="E9" s="42" t="s">
        <v>16</v>
      </c>
    </row>
    <row r="10" spans="1:5" ht="15" customHeight="1" x14ac:dyDescent="0.25">
      <c r="B10" s="88" t="s">
        <v>136</v>
      </c>
      <c r="C10" s="46" t="s">
        <v>17</v>
      </c>
      <c r="D10" s="47">
        <v>1</v>
      </c>
      <c r="E10" s="48">
        <v>1.3586956521739131E-4</v>
      </c>
    </row>
    <row r="11" spans="1:5" ht="15" customHeight="1" x14ac:dyDescent="0.25">
      <c r="B11" s="89"/>
      <c r="C11" s="46" t="s">
        <v>19</v>
      </c>
      <c r="D11" s="47">
        <v>1</v>
      </c>
      <c r="E11" s="48">
        <v>1.3586956521739131E-4</v>
      </c>
    </row>
    <row r="12" spans="1:5" ht="15" customHeight="1" x14ac:dyDescent="0.25">
      <c r="B12" s="89"/>
      <c r="C12" s="46" t="s">
        <v>33</v>
      </c>
      <c r="D12" s="47">
        <v>1</v>
      </c>
      <c r="E12" s="48">
        <v>1.3586956521739131E-4</v>
      </c>
    </row>
    <row r="13" spans="1:5" ht="15" customHeight="1" x14ac:dyDescent="0.25">
      <c r="B13" s="89"/>
      <c r="C13" s="46" t="s">
        <v>20</v>
      </c>
      <c r="D13" s="47">
        <v>3</v>
      </c>
      <c r="E13" s="48">
        <v>4.0760869565217389E-4</v>
      </c>
    </row>
    <row r="14" spans="1:5" ht="15" customHeight="1" x14ac:dyDescent="0.25">
      <c r="B14" s="90"/>
      <c r="C14" s="49" t="s">
        <v>63</v>
      </c>
      <c r="D14" s="50">
        <v>6</v>
      </c>
      <c r="E14" s="51">
        <v>8.1521739130434778E-4</v>
      </c>
    </row>
    <row r="15" spans="1:5" ht="15" customHeight="1" x14ac:dyDescent="0.25">
      <c r="B15" s="88" t="s">
        <v>137</v>
      </c>
      <c r="C15" s="46" t="s">
        <v>17</v>
      </c>
      <c r="D15" s="47">
        <v>29</v>
      </c>
      <c r="E15" s="48">
        <v>3.9402173913043476E-3</v>
      </c>
    </row>
    <row r="16" spans="1:5" ht="15" customHeight="1" x14ac:dyDescent="0.25">
      <c r="B16" s="89"/>
      <c r="C16" s="46" t="s">
        <v>21</v>
      </c>
      <c r="D16" s="47">
        <v>4</v>
      </c>
      <c r="E16" s="48">
        <v>5.4347826086956522E-4</v>
      </c>
    </row>
    <row r="17" spans="2:5" ht="15" customHeight="1" x14ac:dyDescent="0.25">
      <c r="B17" s="89"/>
      <c r="C17" s="46" t="s">
        <v>19</v>
      </c>
      <c r="D17" s="47">
        <v>9</v>
      </c>
      <c r="E17" s="48">
        <v>1.2228260869565218E-3</v>
      </c>
    </row>
    <row r="18" spans="2:5" ht="15" customHeight="1" x14ac:dyDescent="0.25">
      <c r="B18" s="89"/>
      <c r="C18" s="46" t="s">
        <v>22</v>
      </c>
      <c r="D18" s="47">
        <v>1</v>
      </c>
      <c r="E18" s="48">
        <v>1.3586956521739131E-4</v>
      </c>
    </row>
    <row r="19" spans="2:5" ht="15" customHeight="1" x14ac:dyDescent="0.25">
      <c r="B19" s="89"/>
      <c r="C19" s="46" t="s">
        <v>29</v>
      </c>
      <c r="D19" s="47">
        <v>2</v>
      </c>
      <c r="E19" s="48">
        <v>2.7173913043478261E-4</v>
      </c>
    </row>
    <row r="20" spans="2:5" ht="15" customHeight="1" x14ac:dyDescent="0.25">
      <c r="B20" s="89"/>
      <c r="C20" s="46" t="s">
        <v>24</v>
      </c>
      <c r="D20" s="47">
        <v>2</v>
      </c>
      <c r="E20" s="48">
        <v>2.7173913043478261E-4</v>
      </c>
    </row>
    <row r="21" spans="2:5" ht="15" customHeight="1" x14ac:dyDescent="0.25">
      <c r="B21" s="89"/>
      <c r="C21" s="46" t="s">
        <v>25</v>
      </c>
      <c r="D21" s="47">
        <v>2</v>
      </c>
      <c r="E21" s="48">
        <v>2.7173913043478261E-4</v>
      </c>
    </row>
    <row r="22" spans="2:5" ht="15" customHeight="1" x14ac:dyDescent="0.25">
      <c r="B22" s="89"/>
      <c r="C22" s="46" t="s">
        <v>20</v>
      </c>
      <c r="D22" s="47">
        <v>4</v>
      </c>
      <c r="E22" s="48">
        <v>5.4347826086956522E-4</v>
      </c>
    </row>
    <row r="23" spans="2:5" ht="15" customHeight="1" x14ac:dyDescent="0.25">
      <c r="B23" s="89"/>
      <c r="C23" s="46" t="s">
        <v>18</v>
      </c>
      <c r="D23" s="47">
        <v>4</v>
      </c>
      <c r="E23" s="48">
        <v>5.4347826086956522E-4</v>
      </c>
    </row>
    <row r="24" spans="2:5" ht="15" customHeight="1" x14ac:dyDescent="0.25">
      <c r="B24" s="89"/>
      <c r="C24" s="46" t="s">
        <v>28</v>
      </c>
      <c r="D24" s="47">
        <v>1</v>
      </c>
      <c r="E24" s="48">
        <v>1.3586956521739131E-4</v>
      </c>
    </row>
    <row r="25" spans="2:5" ht="15" customHeight="1" x14ac:dyDescent="0.25">
      <c r="B25" s="89"/>
      <c r="C25" s="46" t="s">
        <v>38</v>
      </c>
      <c r="D25" s="47">
        <v>1</v>
      </c>
      <c r="E25" s="48">
        <v>1.3586956521739131E-4</v>
      </c>
    </row>
    <row r="26" spans="2:5" ht="15" customHeight="1" x14ac:dyDescent="0.25">
      <c r="B26" s="90"/>
      <c r="C26" s="49" t="s">
        <v>63</v>
      </c>
      <c r="D26" s="50">
        <v>59</v>
      </c>
      <c r="E26" s="51">
        <v>8.0163043478260875E-3</v>
      </c>
    </row>
    <row r="27" spans="2:5" ht="15" customHeight="1" x14ac:dyDescent="0.25">
      <c r="B27" s="88" t="s">
        <v>138</v>
      </c>
      <c r="C27" s="46" t="s">
        <v>46</v>
      </c>
      <c r="D27" s="47">
        <v>1</v>
      </c>
      <c r="E27" s="48">
        <v>1.3586956521739131E-4</v>
      </c>
    </row>
    <row r="28" spans="2:5" ht="15" customHeight="1" x14ac:dyDescent="0.25">
      <c r="B28" s="89"/>
      <c r="C28" s="46" t="s">
        <v>36</v>
      </c>
      <c r="D28" s="47">
        <v>2</v>
      </c>
      <c r="E28" s="48">
        <v>2.7173913043478261E-4</v>
      </c>
    </row>
    <row r="29" spans="2:5" ht="15" customHeight="1" x14ac:dyDescent="0.25">
      <c r="B29" s="89"/>
      <c r="C29" s="46" t="s">
        <v>17</v>
      </c>
      <c r="D29" s="47">
        <v>7</v>
      </c>
      <c r="E29" s="48">
        <v>9.5108695652173917E-4</v>
      </c>
    </row>
    <row r="30" spans="2:5" ht="15" customHeight="1" x14ac:dyDescent="0.25">
      <c r="B30" s="89"/>
      <c r="C30" s="46" t="s">
        <v>26</v>
      </c>
      <c r="D30" s="47">
        <v>1</v>
      </c>
      <c r="E30" s="48">
        <v>1.3586956521739131E-4</v>
      </c>
    </row>
    <row r="31" spans="2:5" ht="15" customHeight="1" x14ac:dyDescent="0.25">
      <c r="B31" s="89"/>
      <c r="C31" s="46" t="s">
        <v>19</v>
      </c>
      <c r="D31" s="47">
        <v>1</v>
      </c>
      <c r="E31" s="48">
        <v>1.3586956521739131E-4</v>
      </c>
    </row>
    <row r="32" spans="2:5" ht="15" customHeight="1" x14ac:dyDescent="0.25">
      <c r="B32" s="89"/>
      <c r="C32" s="46" t="s">
        <v>22</v>
      </c>
      <c r="D32" s="47">
        <v>1</v>
      </c>
      <c r="E32" s="48">
        <v>1.3586956521739131E-4</v>
      </c>
    </row>
    <row r="33" spans="2:5" ht="15" customHeight="1" x14ac:dyDescent="0.25">
      <c r="B33" s="89"/>
      <c r="C33" s="46" t="s">
        <v>34</v>
      </c>
      <c r="D33" s="47">
        <v>1</v>
      </c>
      <c r="E33" s="48">
        <v>1.3586956521739131E-4</v>
      </c>
    </row>
    <row r="34" spans="2:5" ht="15" customHeight="1" x14ac:dyDescent="0.25">
      <c r="B34" s="89"/>
      <c r="C34" s="46" t="s">
        <v>20</v>
      </c>
      <c r="D34" s="47">
        <v>1</v>
      </c>
      <c r="E34" s="48">
        <v>1.3586956521739131E-4</v>
      </c>
    </row>
    <row r="35" spans="2:5" ht="15" customHeight="1" x14ac:dyDescent="0.25">
      <c r="B35" s="89"/>
      <c r="C35" s="46" t="s">
        <v>41</v>
      </c>
      <c r="D35" s="47">
        <v>1</v>
      </c>
      <c r="E35" s="48">
        <v>1.3586956521739131E-4</v>
      </c>
    </row>
    <row r="36" spans="2:5" ht="15" customHeight="1" x14ac:dyDescent="0.25">
      <c r="B36" s="89"/>
      <c r="C36" s="46" t="s">
        <v>18</v>
      </c>
      <c r="D36" s="47">
        <v>6</v>
      </c>
      <c r="E36" s="48">
        <v>8.1521739130434778E-4</v>
      </c>
    </row>
    <row r="37" spans="2:5" ht="15" customHeight="1" x14ac:dyDescent="0.25">
      <c r="B37" s="90"/>
      <c r="C37" s="49" t="s">
        <v>63</v>
      </c>
      <c r="D37" s="50">
        <v>22</v>
      </c>
      <c r="E37" s="51">
        <v>2.9891304347826088E-3</v>
      </c>
    </row>
    <row r="38" spans="2:5" ht="15" customHeight="1" x14ac:dyDescent="0.25">
      <c r="B38" s="88" t="s">
        <v>139</v>
      </c>
      <c r="C38" s="46" t="s">
        <v>27</v>
      </c>
      <c r="D38" s="47">
        <v>1</v>
      </c>
      <c r="E38" s="48">
        <v>1.3586956521739131E-4</v>
      </c>
    </row>
    <row r="39" spans="2:5" ht="15" customHeight="1" x14ac:dyDescent="0.25">
      <c r="B39" s="89"/>
      <c r="C39" s="46" t="s">
        <v>17</v>
      </c>
      <c r="D39" s="47">
        <v>17</v>
      </c>
      <c r="E39" s="48">
        <v>2.3097826086956523E-3</v>
      </c>
    </row>
    <row r="40" spans="2:5" ht="15" customHeight="1" x14ac:dyDescent="0.25">
      <c r="B40" s="89"/>
      <c r="C40" s="46" t="s">
        <v>21</v>
      </c>
      <c r="D40" s="47">
        <v>11</v>
      </c>
      <c r="E40" s="48">
        <v>1.4945652173913044E-3</v>
      </c>
    </row>
    <row r="41" spans="2:5" ht="15" customHeight="1" x14ac:dyDescent="0.25">
      <c r="B41" s="89"/>
      <c r="C41" s="46" t="s">
        <v>59</v>
      </c>
      <c r="D41" s="47">
        <v>1</v>
      </c>
      <c r="E41" s="48">
        <v>1.3586956521739131E-4</v>
      </c>
    </row>
    <row r="42" spans="2:5" ht="15" customHeight="1" x14ac:dyDescent="0.25">
      <c r="B42" s="89"/>
      <c r="C42" s="46" t="s">
        <v>19</v>
      </c>
      <c r="D42" s="47">
        <v>3</v>
      </c>
      <c r="E42" s="48">
        <v>4.0760869565217389E-4</v>
      </c>
    </row>
    <row r="43" spans="2:5" ht="15" customHeight="1" x14ac:dyDescent="0.25">
      <c r="B43" s="89"/>
      <c r="C43" s="46" t="s">
        <v>33</v>
      </c>
      <c r="D43" s="47">
        <v>2</v>
      </c>
      <c r="E43" s="48">
        <v>2.7173913043478261E-4</v>
      </c>
    </row>
    <row r="44" spans="2:5" ht="15" customHeight="1" x14ac:dyDescent="0.25">
      <c r="B44" s="89"/>
      <c r="C44" s="46" t="s">
        <v>24</v>
      </c>
      <c r="D44" s="47">
        <v>2</v>
      </c>
      <c r="E44" s="48">
        <v>2.7173913043478261E-4</v>
      </c>
    </row>
    <row r="45" spans="2:5" ht="15" customHeight="1" x14ac:dyDescent="0.25">
      <c r="B45" s="89"/>
      <c r="C45" s="46" t="s">
        <v>31</v>
      </c>
      <c r="D45" s="47">
        <v>1</v>
      </c>
      <c r="E45" s="48">
        <v>1.3586956521739131E-4</v>
      </c>
    </row>
    <row r="46" spans="2:5" ht="15" customHeight="1" x14ac:dyDescent="0.25">
      <c r="B46" s="89"/>
      <c r="C46" s="46" t="s">
        <v>25</v>
      </c>
      <c r="D46" s="47">
        <v>2</v>
      </c>
      <c r="E46" s="48">
        <v>2.7173913043478261E-4</v>
      </c>
    </row>
    <row r="47" spans="2:5" ht="15" customHeight="1" x14ac:dyDescent="0.25">
      <c r="B47" s="89"/>
      <c r="C47" s="46" t="s">
        <v>20</v>
      </c>
      <c r="D47" s="47">
        <v>4</v>
      </c>
      <c r="E47" s="48">
        <v>5.4347826086956522E-4</v>
      </c>
    </row>
    <row r="48" spans="2:5" ht="15" customHeight="1" x14ac:dyDescent="0.25">
      <c r="B48" s="89"/>
      <c r="C48" s="46" t="s">
        <v>18</v>
      </c>
      <c r="D48" s="47">
        <v>15</v>
      </c>
      <c r="E48" s="48">
        <v>2.0380434782608695E-3</v>
      </c>
    </row>
    <row r="49" spans="2:5" ht="15" customHeight="1" x14ac:dyDescent="0.25">
      <c r="B49" s="89"/>
      <c r="C49" s="46" t="s">
        <v>28</v>
      </c>
      <c r="D49" s="47">
        <v>1</v>
      </c>
      <c r="E49" s="48">
        <v>1.3586956521739131E-4</v>
      </c>
    </row>
    <row r="50" spans="2:5" ht="15" customHeight="1" x14ac:dyDescent="0.25">
      <c r="B50" s="89"/>
      <c r="C50" s="46" t="s">
        <v>32</v>
      </c>
      <c r="D50" s="47">
        <v>1</v>
      </c>
      <c r="E50" s="48">
        <v>1.3586956521739131E-4</v>
      </c>
    </row>
    <row r="51" spans="2:5" ht="15" customHeight="1" x14ac:dyDescent="0.25">
      <c r="B51" s="89"/>
      <c r="C51" s="46" t="s">
        <v>40</v>
      </c>
      <c r="D51" s="47">
        <v>2</v>
      </c>
      <c r="E51" s="48">
        <v>2.7173913043478261E-4</v>
      </c>
    </row>
    <row r="52" spans="2:5" ht="15" customHeight="1" x14ac:dyDescent="0.25">
      <c r="B52" s="90"/>
      <c r="C52" s="49" t="s">
        <v>63</v>
      </c>
      <c r="D52" s="50">
        <v>63</v>
      </c>
      <c r="E52" s="51">
        <v>8.5597826086956513E-3</v>
      </c>
    </row>
    <row r="53" spans="2:5" ht="15" customHeight="1" x14ac:dyDescent="0.25">
      <c r="B53" s="88" t="s">
        <v>140</v>
      </c>
      <c r="C53" s="46" t="s">
        <v>36</v>
      </c>
      <c r="D53" s="47">
        <v>1</v>
      </c>
      <c r="E53" s="48">
        <v>1.3586956521739131E-4</v>
      </c>
    </row>
    <row r="54" spans="2:5" ht="15" customHeight="1" x14ac:dyDescent="0.25">
      <c r="B54" s="89"/>
      <c r="C54" s="46" t="s">
        <v>27</v>
      </c>
      <c r="D54" s="47">
        <v>2</v>
      </c>
      <c r="E54" s="48">
        <v>2.7173913043478261E-4</v>
      </c>
    </row>
    <row r="55" spans="2:5" ht="15" customHeight="1" x14ac:dyDescent="0.25">
      <c r="B55" s="89"/>
      <c r="C55" s="46" t="s">
        <v>17</v>
      </c>
      <c r="D55" s="47">
        <v>34</v>
      </c>
      <c r="E55" s="48">
        <v>4.6195652173913046E-3</v>
      </c>
    </row>
    <row r="56" spans="2:5" ht="15" customHeight="1" x14ac:dyDescent="0.25">
      <c r="B56" s="89"/>
      <c r="C56" s="46" t="s">
        <v>21</v>
      </c>
      <c r="D56" s="47">
        <v>13</v>
      </c>
      <c r="E56" s="48">
        <v>1.766304347826087E-3</v>
      </c>
    </row>
    <row r="57" spans="2:5" ht="15" customHeight="1" x14ac:dyDescent="0.25">
      <c r="B57" s="89"/>
      <c r="C57" s="46" t="s">
        <v>23</v>
      </c>
      <c r="D57" s="47">
        <v>2</v>
      </c>
      <c r="E57" s="48">
        <v>2.7173913043478261E-4</v>
      </c>
    </row>
    <row r="58" spans="2:5" ht="15" customHeight="1" x14ac:dyDescent="0.25">
      <c r="B58" s="89"/>
      <c r="C58" s="46" t="s">
        <v>26</v>
      </c>
      <c r="D58" s="47">
        <v>3</v>
      </c>
      <c r="E58" s="48">
        <v>4.0760869565217389E-4</v>
      </c>
    </row>
    <row r="59" spans="2:5" ht="15" customHeight="1" x14ac:dyDescent="0.25">
      <c r="B59" s="89"/>
      <c r="C59" s="46" t="s">
        <v>44</v>
      </c>
      <c r="D59" s="47">
        <v>1</v>
      </c>
      <c r="E59" s="48">
        <v>1.3586956521739131E-4</v>
      </c>
    </row>
    <row r="60" spans="2:5" ht="15" customHeight="1" x14ac:dyDescent="0.25">
      <c r="B60" s="89"/>
      <c r="C60" s="46" t="s">
        <v>19</v>
      </c>
      <c r="D60" s="47">
        <v>5</v>
      </c>
      <c r="E60" s="48">
        <v>6.793478260869565E-4</v>
      </c>
    </row>
    <row r="61" spans="2:5" ht="15" customHeight="1" x14ac:dyDescent="0.25">
      <c r="B61" s="89"/>
      <c r="C61" s="46" t="s">
        <v>22</v>
      </c>
      <c r="D61" s="47">
        <v>8</v>
      </c>
      <c r="E61" s="48">
        <v>1.0869565217391304E-3</v>
      </c>
    </row>
    <row r="62" spans="2:5" ht="15" customHeight="1" x14ac:dyDescent="0.25">
      <c r="B62" s="89"/>
      <c r="C62" s="46" t="s">
        <v>37</v>
      </c>
      <c r="D62" s="47">
        <v>3</v>
      </c>
      <c r="E62" s="48">
        <v>4.0760869565217389E-4</v>
      </c>
    </row>
    <row r="63" spans="2:5" ht="15" customHeight="1" x14ac:dyDescent="0.25">
      <c r="B63" s="89"/>
      <c r="C63" s="46" t="s">
        <v>29</v>
      </c>
      <c r="D63" s="47">
        <v>2</v>
      </c>
      <c r="E63" s="48">
        <v>2.7173913043478261E-4</v>
      </c>
    </row>
    <row r="64" spans="2:5" ht="15" customHeight="1" x14ac:dyDescent="0.25">
      <c r="B64" s="89"/>
      <c r="C64" s="46" t="s">
        <v>33</v>
      </c>
      <c r="D64" s="47">
        <v>1</v>
      </c>
      <c r="E64" s="48">
        <v>1.3586956521739131E-4</v>
      </c>
    </row>
    <row r="65" spans="2:5" ht="15" customHeight="1" x14ac:dyDescent="0.25">
      <c r="B65" s="89"/>
      <c r="C65" s="46" t="s">
        <v>47</v>
      </c>
      <c r="D65" s="47">
        <v>1</v>
      </c>
      <c r="E65" s="48">
        <v>1.3586956521739131E-4</v>
      </c>
    </row>
    <row r="66" spans="2:5" ht="15" customHeight="1" x14ac:dyDescent="0.25">
      <c r="B66" s="89"/>
      <c r="C66" s="46" t="s">
        <v>34</v>
      </c>
      <c r="D66" s="47">
        <v>1</v>
      </c>
      <c r="E66" s="48">
        <v>1.3586956521739131E-4</v>
      </c>
    </row>
    <row r="67" spans="2:5" ht="15" customHeight="1" x14ac:dyDescent="0.25">
      <c r="B67" s="89"/>
      <c r="C67" s="46" t="s">
        <v>24</v>
      </c>
      <c r="D67" s="47">
        <v>5</v>
      </c>
      <c r="E67" s="48">
        <v>6.793478260869565E-4</v>
      </c>
    </row>
    <row r="68" spans="2:5" ht="15" customHeight="1" x14ac:dyDescent="0.25">
      <c r="B68" s="89"/>
      <c r="C68" s="46" t="s">
        <v>31</v>
      </c>
      <c r="D68" s="47">
        <v>2</v>
      </c>
      <c r="E68" s="48">
        <v>2.7173913043478261E-4</v>
      </c>
    </row>
    <row r="69" spans="2:5" ht="15" customHeight="1" x14ac:dyDescent="0.25">
      <c r="B69" s="89"/>
      <c r="C69" s="46" t="s">
        <v>25</v>
      </c>
      <c r="D69" s="47">
        <v>3</v>
      </c>
      <c r="E69" s="48">
        <v>4.0760869565217389E-4</v>
      </c>
    </row>
    <row r="70" spans="2:5" ht="15" customHeight="1" x14ac:dyDescent="0.25">
      <c r="B70" s="89"/>
      <c r="C70" s="46" t="s">
        <v>20</v>
      </c>
      <c r="D70" s="47">
        <v>5</v>
      </c>
      <c r="E70" s="48">
        <v>6.793478260869565E-4</v>
      </c>
    </row>
    <row r="71" spans="2:5" ht="15" customHeight="1" x14ac:dyDescent="0.25">
      <c r="B71" s="89"/>
      <c r="C71" s="46" t="s">
        <v>39</v>
      </c>
      <c r="D71" s="47">
        <v>1</v>
      </c>
      <c r="E71" s="48">
        <v>1.3586956521739131E-4</v>
      </c>
    </row>
    <row r="72" spans="2:5" ht="15" customHeight="1" x14ac:dyDescent="0.25">
      <c r="B72" s="89"/>
      <c r="C72" s="46" t="s">
        <v>30</v>
      </c>
      <c r="D72" s="47">
        <v>1</v>
      </c>
      <c r="E72" s="48">
        <v>1.3586956521739131E-4</v>
      </c>
    </row>
    <row r="73" spans="2:5" ht="15" customHeight="1" x14ac:dyDescent="0.25">
      <c r="B73" s="89"/>
      <c r="C73" s="46" t="s">
        <v>18</v>
      </c>
      <c r="D73" s="47">
        <v>13</v>
      </c>
      <c r="E73" s="48">
        <v>1.766304347826087E-3</v>
      </c>
    </row>
    <row r="74" spans="2:5" ht="15" customHeight="1" x14ac:dyDescent="0.25">
      <c r="B74" s="89"/>
      <c r="C74" s="46" t="s">
        <v>38</v>
      </c>
      <c r="D74" s="47">
        <v>2</v>
      </c>
      <c r="E74" s="48">
        <v>2.7173913043478261E-4</v>
      </c>
    </row>
    <row r="75" spans="2:5" ht="15" customHeight="1" x14ac:dyDescent="0.25">
      <c r="B75" s="89"/>
      <c r="C75" s="46" t="s">
        <v>32</v>
      </c>
      <c r="D75" s="47">
        <v>1</v>
      </c>
      <c r="E75" s="48">
        <v>1.3586956521739131E-4</v>
      </c>
    </row>
    <row r="76" spans="2:5" ht="15" customHeight="1" x14ac:dyDescent="0.25">
      <c r="B76" s="90"/>
      <c r="C76" s="49" t="s">
        <v>63</v>
      </c>
      <c r="D76" s="50">
        <v>110</v>
      </c>
      <c r="E76" s="51">
        <v>1.4945652173913044E-2</v>
      </c>
    </row>
    <row r="77" spans="2:5" ht="15" customHeight="1" x14ac:dyDescent="0.25">
      <c r="B77" s="88" t="s">
        <v>141</v>
      </c>
      <c r="C77" s="46" t="s">
        <v>27</v>
      </c>
      <c r="D77" s="47">
        <v>1</v>
      </c>
      <c r="E77" s="48">
        <v>1.3586956521739131E-4</v>
      </c>
    </row>
    <row r="78" spans="2:5" ht="15" customHeight="1" x14ac:dyDescent="0.25">
      <c r="B78" s="89"/>
      <c r="C78" s="46" t="s">
        <v>17</v>
      </c>
      <c r="D78" s="47">
        <v>22</v>
      </c>
      <c r="E78" s="48">
        <v>2.9891304347826088E-3</v>
      </c>
    </row>
    <row r="79" spans="2:5" ht="15" customHeight="1" x14ac:dyDescent="0.25">
      <c r="B79" s="89"/>
      <c r="C79" s="46" t="s">
        <v>21</v>
      </c>
      <c r="D79" s="47">
        <v>11</v>
      </c>
      <c r="E79" s="48">
        <v>1.4945652173913044E-3</v>
      </c>
    </row>
    <row r="80" spans="2:5" ht="15" customHeight="1" x14ac:dyDescent="0.25">
      <c r="B80" s="89"/>
      <c r="C80" s="46" t="s">
        <v>23</v>
      </c>
      <c r="D80" s="47">
        <v>4</v>
      </c>
      <c r="E80" s="48">
        <v>5.4347826086956522E-4</v>
      </c>
    </row>
    <row r="81" spans="2:5" ht="15" customHeight="1" x14ac:dyDescent="0.25">
      <c r="B81" s="89"/>
      <c r="C81" s="46" t="s">
        <v>26</v>
      </c>
      <c r="D81" s="47">
        <v>1</v>
      </c>
      <c r="E81" s="48">
        <v>1.3586956521739131E-4</v>
      </c>
    </row>
    <row r="82" spans="2:5" ht="15" customHeight="1" x14ac:dyDescent="0.25">
      <c r="B82" s="89"/>
      <c r="C82" s="46" t="s">
        <v>19</v>
      </c>
      <c r="D82" s="47">
        <v>7</v>
      </c>
      <c r="E82" s="48">
        <v>9.5108695652173917E-4</v>
      </c>
    </row>
    <row r="83" spans="2:5" ht="15" customHeight="1" x14ac:dyDescent="0.25">
      <c r="B83" s="89"/>
      <c r="C83" s="46" t="s">
        <v>22</v>
      </c>
      <c r="D83" s="47">
        <v>2</v>
      </c>
      <c r="E83" s="48">
        <v>2.7173913043478261E-4</v>
      </c>
    </row>
    <row r="84" spans="2:5" ht="15" customHeight="1" x14ac:dyDescent="0.25">
      <c r="B84" s="89"/>
      <c r="C84" s="46" t="s">
        <v>37</v>
      </c>
      <c r="D84" s="47">
        <v>2</v>
      </c>
      <c r="E84" s="48">
        <v>2.7173913043478261E-4</v>
      </c>
    </row>
    <row r="85" spans="2:5" ht="15" customHeight="1" x14ac:dyDescent="0.25">
      <c r="B85" s="89"/>
      <c r="C85" s="46" t="s">
        <v>29</v>
      </c>
      <c r="D85" s="47">
        <v>2</v>
      </c>
      <c r="E85" s="48">
        <v>2.7173913043478261E-4</v>
      </c>
    </row>
    <row r="86" spans="2:5" ht="15" customHeight="1" x14ac:dyDescent="0.25">
      <c r="B86" s="89"/>
      <c r="C86" s="46" t="s">
        <v>47</v>
      </c>
      <c r="D86" s="47">
        <v>2</v>
      </c>
      <c r="E86" s="48">
        <v>2.7173913043478261E-4</v>
      </c>
    </row>
    <row r="87" spans="2:5" ht="15" customHeight="1" x14ac:dyDescent="0.25">
      <c r="B87" s="89"/>
      <c r="C87" s="46" t="s">
        <v>42</v>
      </c>
      <c r="D87" s="47">
        <v>1</v>
      </c>
      <c r="E87" s="48">
        <v>1.3586956521739131E-4</v>
      </c>
    </row>
    <row r="88" spans="2:5" ht="15" customHeight="1" x14ac:dyDescent="0.25">
      <c r="B88" s="89"/>
      <c r="C88" s="46" t="s">
        <v>24</v>
      </c>
      <c r="D88" s="47">
        <v>1</v>
      </c>
      <c r="E88" s="48">
        <v>1.3586956521739131E-4</v>
      </c>
    </row>
    <row r="89" spans="2:5" ht="15" customHeight="1" x14ac:dyDescent="0.25">
      <c r="B89" s="89"/>
      <c r="C89" s="46" t="s">
        <v>31</v>
      </c>
      <c r="D89" s="47">
        <v>2</v>
      </c>
      <c r="E89" s="48">
        <v>2.7173913043478261E-4</v>
      </c>
    </row>
    <row r="90" spans="2:5" ht="15" customHeight="1" x14ac:dyDescent="0.25">
      <c r="B90" s="89"/>
      <c r="C90" s="46" t="s">
        <v>25</v>
      </c>
      <c r="D90" s="47">
        <v>2</v>
      </c>
      <c r="E90" s="48">
        <v>2.7173913043478261E-4</v>
      </c>
    </row>
    <row r="91" spans="2:5" ht="15" customHeight="1" x14ac:dyDescent="0.25">
      <c r="B91" s="89"/>
      <c r="C91" s="46" t="s">
        <v>39</v>
      </c>
      <c r="D91" s="47">
        <v>1</v>
      </c>
      <c r="E91" s="48">
        <v>1.3586956521739131E-4</v>
      </c>
    </row>
    <row r="92" spans="2:5" ht="15" customHeight="1" x14ac:dyDescent="0.25">
      <c r="B92" s="89"/>
      <c r="C92" s="46" t="s">
        <v>30</v>
      </c>
      <c r="D92" s="47">
        <v>2</v>
      </c>
      <c r="E92" s="48">
        <v>2.7173913043478261E-4</v>
      </c>
    </row>
    <row r="93" spans="2:5" ht="15" customHeight="1" x14ac:dyDescent="0.25">
      <c r="B93" s="89"/>
      <c r="C93" s="46" t="s">
        <v>18</v>
      </c>
      <c r="D93" s="47">
        <v>17</v>
      </c>
      <c r="E93" s="48">
        <v>2.3097826086956523E-3</v>
      </c>
    </row>
    <row r="94" spans="2:5" ht="15" customHeight="1" x14ac:dyDescent="0.25">
      <c r="B94" s="89"/>
      <c r="C94" s="46" t="s">
        <v>32</v>
      </c>
      <c r="D94" s="47">
        <v>1</v>
      </c>
      <c r="E94" s="48">
        <v>1.3586956521739131E-4</v>
      </c>
    </row>
    <row r="95" spans="2:5" ht="15" customHeight="1" x14ac:dyDescent="0.25">
      <c r="B95" s="90"/>
      <c r="C95" s="49" t="s">
        <v>63</v>
      </c>
      <c r="D95" s="50">
        <v>81</v>
      </c>
      <c r="E95" s="51">
        <v>1.1005434782608696E-2</v>
      </c>
    </row>
    <row r="96" spans="2:5" ht="15" customHeight="1" x14ac:dyDescent="0.25">
      <c r="B96" s="88" t="s">
        <v>142</v>
      </c>
      <c r="C96" s="46" t="s">
        <v>36</v>
      </c>
      <c r="D96" s="47">
        <v>2</v>
      </c>
      <c r="E96" s="48">
        <v>2.7173913043478261E-4</v>
      </c>
    </row>
    <row r="97" spans="2:5" ht="15" customHeight="1" x14ac:dyDescent="0.25">
      <c r="B97" s="89"/>
      <c r="C97" s="46" t="s">
        <v>27</v>
      </c>
      <c r="D97" s="47">
        <v>2</v>
      </c>
      <c r="E97" s="48">
        <v>2.7173913043478261E-4</v>
      </c>
    </row>
    <row r="98" spans="2:5" ht="15" customHeight="1" x14ac:dyDescent="0.25">
      <c r="B98" s="89"/>
      <c r="C98" s="46" t="s">
        <v>17</v>
      </c>
      <c r="D98" s="47">
        <v>26</v>
      </c>
      <c r="E98" s="48">
        <v>3.5326086956521739E-3</v>
      </c>
    </row>
    <row r="99" spans="2:5" ht="15" customHeight="1" x14ac:dyDescent="0.25">
      <c r="B99" s="89"/>
      <c r="C99" s="46" t="s">
        <v>21</v>
      </c>
      <c r="D99" s="47">
        <v>11</v>
      </c>
      <c r="E99" s="48">
        <v>1.4945652173913044E-3</v>
      </c>
    </row>
    <row r="100" spans="2:5" ht="15" customHeight="1" x14ac:dyDescent="0.25">
      <c r="B100" s="89"/>
      <c r="C100" s="46" t="s">
        <v>54</v>
      </c>
      <c r="D100" s="47">
        <v>1</v>
      </c>
      <c r="E100" s="48">
        <v>1.3586956521739131E-4</v>
      </c>
    </row>
    <row r="101" spans="2:5" ht="15" customHeight="1" x14ac:dyDescent="0.25">
      <c r="B101" s="89"/>
      <c r="C101" s="46" t="s">
        <v>26</v>
      </c>
      <c r="D101" s="47">
        <v>3</v>
      </c>
      <c r="E101" s="48">
        <v>4.0760869565217389E-4</v>
      </c>
    </row>
    <row r="102" spans="2:5" ht="15" customHeight="1" x14ac:dyDescent="0.25">
      <c r="B102" s="89"/>
      <c r="C102" s="46" t="s">
        <v>19</v>
      </c>
      <c r="D102" s="47">
        <v>8</v>
      </c>
      <c r="E102" s="48">
        <v>1.0869565217391304E-3</v>
      </c>
    </row>
    <row r="103" spans="2:5" ht="15" customHeight="1" x14ac:dyDescent="0.25">
      <c r="B103" s="89"/>
      <c r="C103" s="46" t="s">
        <v>22</v>
      </c>
      <c r="D103" s="47">
        <v>8</v>
      </c>
      <c r="E103" s="48">
        <v>1.0869565217391304E-3</v>
      </c>
    </row>
    <row r="104" spans="2:5" ht="15" customHeight="1" x14ac:dyDescent="0.25">
      <c r="B104" s="89"/>
      <c r="C104" s="46" t="s">
        <v>37</v>
      </c>
      <c r="D104" s="47">
        <v>2</v>
      </c>
      <c r="E104" s="48">
        <v>2.7173913043478261E-4</v>
      </c>
    </row>
    <row r="105" spans="2:5" ht="15" customHeight="1" x14ac:dyDescent="0.25">
      <c r="B105" s="89"/>
      <c r="C105" s="46" t="s">
        <v>29</v>
      </c>
      <c r="D105" s="47">
        <v>2</v>
      </c>
      <c r="E105" s="48">
        <v>2.7173913043478261E-4</v>
      </c>
    </row>
    <row r="106" spans="2:5" ht="15" customHeight="1" x14ac:dyDescent="0.25">
      <c r="B106" s="89"/>
      <c r="C106" s="46" t="s">
        <v>33</v>
      </c>
      <c r="D106" s="47">
        <v>1</v>
      </c>
      <c r="E106" s="48">
        <v>1.3586956521739131E-4</v>
      </c>
    </row>
    <row r="107" spans="2:5" ht="15" customHeight="1" x14ac:dyDescent="0.25">
      <c r="B107" s="89"/>
      <c r="C107" s="46" t="s">
        <v>35</v>
      </c>
      <c r="D107" s="47">
        <v>2</v>
      </c>
      <c r="E107" s="48">
        <v>2.7173913043478261E-4</v>
      </c>
    </row>
    <row r="108" spans="2:5" ht="15" customHeight="1" x14ac:dyDescent="0.25">
      <c r="B108" s="89"/>
      <c r="C108" s="46" t="s">
        <v>34</v>
      </c>
      <c r="D108" s="47">
        <v>4</v>
      </c>
      <c r="E108" s="48">
        <v>5.4347826086956522E-4</v>
      </c>
    </row>
    <row r="109" spans="2:5" ht="15" customHeight="1" x14ac:dyDescent="0.25">
      <c r="B109" s="89"/>
      <c r="C109" s="46" t="s">
        <v>24</v>
      </c>
      <c r="D109" s="47">
        <v>1</v>
      </c>
      <c r="E109" s="48">
        <v>1.3586956521739131E-4</v>
      </c>
    </row>
    <row r="110" spans="2:5" ht="15" customHeight="1" x14ac:dyDescent="0.25">
      <c r="B110" s="89"/>
      <c r="C110" s="46" t="s">
        <v>49</v>
      </c>
      <c r="D110" s="47">
        <v>1</v>
      </c>
      <c r="E110" s="48">
        <v>1.3586956521739131E-4</v>
      </c>
    </row>
    <row r="111" spans="2:5" ht="15" customHeight="1" x14ac:dyDescent="0.25">
      <c r="B111" s="89"/>
      <c r="C111" s="46" t="s">
        <v>25</v>
      </c>
      <c r="D111" s="47">
        <v>8</v>
      </c>
      <c r="E111" s="48">
        <v>1.0869565217391304E-3</v>
      </c>
    </row>
    <row r="112" spans="2:5" ht="15" customHeight="1" x14ac:dyDescent="0.25">
      <c r="B112" s="89"/>
      <c r="C112" s="46" t="s">
        <v>20</v>
      </c>
      <c r="D112" s="47">
        <v>12</v>
      </c>
      <c r="E112" s="48">
        <v>1.6304347826086956E-3</v>
      </c>
    </row>
    <row r="113" spans="2:5" ht="15" customHeight="1" x14ac:dyDescent="0.25">
      <c r="B113" s="89"/>
      <c r="C113" s="46" t="s">
        <v>30</v>
      </c>
      <c r="D113" s="47">
        <v>2</v>
      </c>
      <c r="E113" s="48">
        <v>2.7173913043478261E-4</v>
      </c>
    </row>
    <row r="114" spans="2:5" ht="15" customHeight="1" x14ac:dyDescent="0.25">
      <c r="B114" s="89"/>
      <c r="C114" s="46" t="s">
        <v>18</v>
      </c>
      <c r="D114" s="47">
        <v>21</v>
      </c>
      <c r="E114" s="48">
        <v>2.8532608695652174E-3</v>
      </c>
    </row>
    <row r="115" spans="2:5" ht="15" customHeight="1" x14ac:dyDescent="0.25">
      <c r="B115" s="89"/>
      <c r="C115" s="46" t="s">
        <v>28</v>
      </c>
      <c r="D115" s="47">
        <v>1</v>
      </c>
      <c r="E115" s="48">
        <v>1.3586956521739131E-4</v>
      </c>
    </row>
    <row r="116" spans="2:5" ht="15" customHeight="1" x14ac:dyDescent="0.25">
      <c r="B116" s="89"/>
      <c r="C116" s="46" t="s">
        <v>38</v>
      </c>
      <c r="D116" s="47">
        <v>1</v>
      </c>
      <c r="E116" s="48">
        <v>1.3586956521739131E-4</v>
      </c>
    </row>
    <row r="117" spans="2:5" ht="15" customHeight="1" x14ac:dyDescent="0.25">
      <c r="B117" s="89"/>
      <c r="C117" s="46" t="s">
        <v>32</v>
      </c>
      <c r="D117" s="47">
        <v>1</v>
      </c>
      <c r="E117" s="48">
        <v>1.3586956521739131E-4</v>
      </c>
    </row>
    <row r="118" spans="2:5" ht="15" customHeight="1" x14ac:dyDescent="0.25">
      <c r="B118" s="89"/>
      <c r="C118" s="46" t="s">
        <v>56</v>
      </c>
      <c r="D118" s="47">
        <v>1</v>
      </c>
      <c r="E118" s="48">
        <v>1.3586956521739131E-4</v>
      </c>
    </row>
    <row r="119" spans="2:5" ht="15" customHeight="1" x14ac:dyDescent="0.25">
      <c r="B119" s="90"/>
      <c r="C119" s="49" t="s">
        <v>63</v>
      </c>
      <c r="D119" s="50">
        <v>121</v>
      </c>
      <c r="E119" s="51">
        <v>1.6440217391304347E-2</v>
      </c>
    </row>
    <row r="120" spans="2:5" ht="15" customHeight="1" x14ac:dyDescent="0.25">
      <c r="B120" s="88" t="s">
        <v>143</v>
      </c>
      <c r="C120" s="46" t="s">
        <v>46</v>
      </c>
      <c r="D120" s="47">
        <v>3</v>
      </c>
      <c r="E120" s="48">
        <v>4.0760869565217389E-4</v>
      </c>
    </row>
    <row r="121" spans="2:5" ht="15" customHeight="1" x14ac:dyDescent="0.25">
      <c r="B121" s="89"/>
      <c r="C121" s="46" t="s">
        <v>36</v>
      </c>
      <c r="D121" s="47">
        <v>5</v>
      </c>
      <c r="E121" s="48">
        <v>6.793478260869565E-4</v>
      </c>
    </row>
    <row r="122" spans="2:5" ht="15" customHeight="1" x14ac:dyDescent="0.25">
      <c r="B122" s="89"/>
      <c r="C122" s="46" t="s">
        <v>27</v>
      </c>
      <c r="D122" s="47">
        <v>11</v>
      </c>
      <c r="E122" s="48">
        <v>1.4945652173913044E-3</v>
      </c>
    </row>
    <row r="123" spans="2:5" ht="15" customHeight="1" x14ac:dyDescent="0.25">
      <c r="B123" s="89"/>
      <c r="C123" s="46" t="s">
        <v>17</v>
      </c>
      <c r="D123" s="47">
        <v>162</v>
      </c>
      <c r="E123" s="48">
        <v>2.2010869565217393E-2</v>
      </c>
    </row>
    <row r="124" spans="2:5" ht="15" customHeight="1" x14ac:dyDescent="0.25">
      <c r="B124" s="89"/>
      <c r="C124" s="46" t="s">
        <v>21</v>
      </c>
      <c r="D124" s="47">
        <v>49</v>
      </c>
      <c r="E124" s="48">
        <v>6.6576086956521736E-3</v>
      </c>
    </row>
    <row r="125" spans="2:5" ht="15" customHeight="1" x14ac:dyDescent="0.25">
      <c r="B125" s="89"/>
      <c r="C125" s="46" t="s">
        <v>23</v>
      </c>
      <c r="D125" s="47">
        <v>17</v>
      </c>
      <c r="E125" s="48">
        <v>2.3097826086956523E-3</v>
      </c>
    </row>
    <row r="126" spans="2:5" ht="15" customHeight="1" x14ac:dyDescent="0.25">
      <c r="B126" s="89"/>
      <c r="C126" s="46" t="s">
        <v>26</v>
      </c>
      <c r="D126" s="47">
        <v>9</v>
      </c>
      <c r="E126" s="48">
        <v>1.2228260869565218E-3</v>
      </c>
    </row>
    <row r="127" spans="2:5" ht="15" customHeight="1" x14ac:dyDescent="0.25">
      <c r="B127" s="89"/>
      <c r="C127" s="46" t="s">
        <v>44</v>
      </c>
      <c r="D127" s="47">
        <v>2</v>
      </c>
      <c r="E127" s="48">
        <v>2.7173913043478261E-4</v>
      </c>
    </row>
    <row r="128" spans="2:5" ht="15" customHeight="1" x14ac:dyDescent="0.25">
      <c r="B128" s="89"/>
      <c r="C128" s="46" t="s">
        <v>19</v>
      </c>
      <c r="D128" s="47">
        <v>48</v>
      </c>
      <c r="E128" s="48">
        <v>6.5217391304347823E-3</v>
      </c>
    </row>
    <row r="129" spans="2:5" ht="15" customHeight="1" x14ac:dyDescent="0.25">
      <c r="B129" s="89"/>
      <c r="C129" s="46" t="s">
        <v>22</v>
      </c>
      <c r="D129" s="47">
        <v>18</v>
      </c>
      <c r="E129" s="48">
        <v>2.4456521739130437E-3</v>
      </c>
    </row>
    <row r="130" spans="2:5" ht="15" customHeight="1" x14ac:dyDescent="0.25">
      <c r="B130" s="89"/>
      <c r="C130" s="46" t="s">
        <v>37</v>
      </c>
      <c r="D130" s="47">
        <v>2</v>
      </c>
      <c r="E130" s="48">
        <v>2.7173913043478261E-4</v>
      </c>
    </row>
    <row r="131" spans="2:5" ht="15" customHeight="1" x14ac:dyDescent="0.25">
      <c r="B131" s="89"/>
      <c r="C131" s="46" t="s">
        <v>29</v>
      </c>
      <c r="D131" s="47">
        <v>11</v>
      </c>
      <c r="E131" s="48">
        <v>1.4945652173913044E-3</v>
      </c>
    </row>
    <row r="132" spans="2:5" ht="15" customHeight="1" x14ac:dyDescent="0.25">
      <c r="B132" s="89"/>
      <c r="C132" s="46" t="s">
        <v>33</v>
      </c>
      <c r="D132" s="47">
        <v>7</v>
      </c>
      <c r="E132" s="48">
        <v>9.5108695652173917E-4</v>
      </c>
    </row>
    <row r="133" spans="2:5" ht="15" customHeight="1" x14ac:dyDescent="0.25">
      <c r="B133" s="89"/>
      <c r="C133" s="46" t="s">
        <v>47</v>
      </c>
      <c r="D133" s="47">
        <v>3</v>
      </c>
      <c r="E133" s="48">
        <v>4.0760869565217389E-4</v>
      </c>
    </row>
    <row r="134" spans="2:5" ht="15" customHeight="1" x14ac:dyDescent="0.25">
      <c r="B134" s="89"/>
      <c r="C134" s="46" t="s">
        <v>35</v>
      </c>
      <c r="D134" s="47">
        <v>8</v>
      </c>
      <c r="E134" s="48">
        <v>1.0869565217391304E-3</v>
      </c>
    </row>
    <row r="135" spans="2:5" ht="15" customHeight="1" x14ac:dyDescent="0.25">
      <c r="B135" s="89"/>
      <c r="C135" s="46" t="s">
        <v>48</v>
      </c>
      <c r="D135" s="47">
        <v>1</v>
      </c>
      <c r="E135" s="48">
        <v>1.3586956521739131E-4</v>
      </c>
    </row>
    <row r="136" spans="2:5" ht="15" customHeight="1" x14ac:dyDescent="0.25">
      <c r="B136" s="89"/>
      <c r="C136" s="46" t="s">
        <v>42</v>
      </c>
      <c r="D136" s="47">
        <v>2</v>
      </c>
      <c r="E136" s="48">
        <v>2.7173913043478261E-4</v>
      </c>
    </row>
    <row r="137" spans="2:5" ht="15" customHeight="1" x14ac:dyDescent="0.25">
      <c r="B137" s="89"/>
      <c r="C137" s="46" t="s">
        <v>57</v>
      </c>
      <c r="D137" s="47">
        <v>2</v>
      </c>
      <c r="E137" s="48">
        <v>2.7173913043478261E-4</v>
      </c>
    </row>
    <row r="138" spans="2:5" ht="15" customHeight="1" x14ac:dyDescent="0.25">
      <c r="B138" s="89"/>
      <c r="C138" s="46" t="s">
        <v>34</v>
      </c>
      <c r="D138" s="47">
        <v>6</v>
      </c>
      <c r="E138" s="48">
        <v>8.1521739130434778E-4</v>
      </c>
    </row>
    <row r="139" spans="2:5" ht="15" customHeight="1" x14ac:dyDescent="0.25">
      <c r="B139" s="89"/>
      <c r="C139" s="46" t="s">
        <v>24</v>
      </c>
      <c r="D139" s="47">
        <v>11</v>
      </c>
      <c r="E139" s="48">
        <v>1.4945652173913044E-3</v>
      </c>
    </row>
    <row r="140" spans="2:5" ht="15" customHeight="1" x14ac:dyDescent="0.25">
      <c r="B140" s="89"/>
      <c r="C140" s="46" t="s">
        <v>31</v>
      </c>
      <c r="D140" s="47">
        <v>1</v>
      </c>
      <c r="E140" s="48">
        <v>1.3586956521739131E-4</v>
      </c>
    </row>
    <row r="141" spans="2:5" ht="15" customHeight="1" x14ac:dyDescent="0.25">
      <c r="B141" s="89"/>
      <c r="C141" s="46" t="s">
        <v>49</v>
      </c>
      <c r="D141" s="47">
        <v>2</v>
      </c>
      <c r="E141" s="48">
        <v>2.7173913043478261E-4</v>
      </c>
    </row>
    <row r="142" spans="2:5" ht="15" customHeight="1" x14ac:dyDescent="0.25">
      <c r="B142" s="89"/>
      <c r="C142" s="46" t="s">
        <v>25</v>
      </c>
      <c r="D142" s="47">
        <v>6</v>
      </c>
      <c r="E142" s="48">
        <v>8.1521739130434778E-4</v>
      </c>
    </row>
    <row r="143" spans="2:5" ht="15" customHeight="1" x14ac:dyDescent="0.25">
      <c r="B143" s="89"/>
      <c r="C143" s="46" t="s">
        <v>43</v>
      </c>
      <c r="D143" s="47">
        <v>2</v>
      </c>
      <c r="E143" s="48">
        <v>2.7173913043478261E-4</v>
      </c>
    </row>
    <row r="144" spans="2:5" ht="15" customHeight="1" x14ac:dyDescent="0.25">
      <c r="B144" s="89"/>
      <c r="C144" s="46" t="s">
        <v>20</v>
      </c>
      <c r="D144" s="47">
        <v>46</v>
      </c>
      <c r="E144" s="48">
        <v>6.2500000000000003E-3</v>
      </c>
    </row>
    <row r="145" spans="2:5" ht="15" customHeight="1" x14ac:dyDescent="0.25">
      <c r="B145" s="89"/>
      <c r="C145" s="46" t="s">
        <v>41</v>
      </c>
      <c r="D145" s="47">
        <v>5</v>
      </c>
      <c r="E145" s="48">
        <v>6.793478260869565E-4</v>
      </c>
    </row>
    <row r="146" spans="2:5" ht="15" customHeight="1" x14ac:dyDescent="0.25">
      <c r="B146" s="89"/>
      <c r="C146" s="46" t="s">
        <v>50</v>
      </c>
      <c r="D146" s="47">
        <v>2</v>
      </c>
      <c r="E146" s="48">
        <v>2.7173913043478261E-4</v>
      </c>
    </row>
    <row r="147" spans="2:5" ht="15" customHeight="1" x14ac:dyDescent="0.25">
      <c r="B147" s="89"/>
      <c r="C147" s="46" t="s">
        <v>39</v>
      </c>
      <c r="D147" s="47">
        <v>1</v>
      </c>
      <c r="E147" s="48">
        <v>1.3586956521739131E-4</v>
      </c>
    </row>
    <row r="148" spans="2:5" ht="15" customHeight="1" x14ac:dyDescent="0.25">
      <c r="B148" s="89"/>
      <c r="C148" s="46" t="s">
        <v>30</v>
      </c>
      <c r="D148" s="47">
        <v>9</v>
      </c>
      <c r="E148" s="48">
        <v>1.2228260869565218E-3</v>
      </c>
    </row>
    <row r="149" spans="2:5" ht="15" customHeight="1" x14ac:dyDescent="0.25">
      <c r="B149" s="89"/>
      <c r="C149" s="46" t="s">
        <v>18</v>
      </c>
      <c r="D149" s="47">
        <v>113</v>
      </c>
      <c r="E149" s="48">
        <v>1.5353260869565217E-2</v>
      </c>
    </row>
    <row r="150" spans="2:5" ht="15" customHeight="1" x14ac:dyDescent="0.25">
      <c r="B150" s="89"/>
      <c r="C150" s="46" t="s">
        <v>28</v>
      </c>
      <c r="D150" s="47">
        <v>9</v>
      </c>
      <c r="E150" s="48">
        <v>1.2228260869565218E-3</v>
      </c>
    </row>
    <row r="151" spans="2:5" ht="15" customHeight="1" x14ac:dyDescent="0.25">
      <c r="B151" s="89"/>
      <c r="C151" s="46" t="s">
        <v>38</v>
      </c>
      <c r="D151" s="47">
        <v>5</v>
      </c>
      <c r="E151" s="48">
        <v>6.793478260869565E-4</v>
      </c>
    </row>
    <row r="152" spans="2:5" ht="15" customHeight="1" x14ac:dyDescent="0.25">
      <c r="B152" s="89"/>
      <c r="C152" s="46" t="s">
        <v>32</v>
      </c>
      <c r="D152" s="47">
        <v>7</v>
      </c>
      <c r="E152" s="48">
        <v>9.5108695652173917E-4</v>
      </c>
    </row>
    <row r="153" spans="2:5" ht="15" customHeight="1" x14ac:dyDescent="0.25">
      <c r="B153" s="89"/>
      <c r="C153" s="46" t="s">
        <v>40</v>
      </c>
      <c r="D153" s="47">
        <v>2</v>
      </c>
      <c r="E153" s="48">
        <v>2.7173913043478261E-4</v>
      </c>
    </row>
    <row r="154" spans="2:5" ht="15" customHeight="1" x14ac:dyDescent="0.25">
      <c r="B154" s="89"/>
      <c r="C154" s="46" t="s">
        <v>56</v>
      </c>
      <c r="D154" s="47">
        <v>1</v>
      </c>
      <c r="E154" s="48">
        <v>1.3586956521739131E-4</v>
      </c>
    </row>
    <row r="155" spans="2:5" ht="15" customHeight="1" x14ac:dyDescent="0.25">
      <c r="B155" s="90"/>
      <c r="C155" s="49" t="s">
        <v>63</v>
      </c>
      <c r="D155" s="50">
        <v>588</v>
      </c>
      <c r="E155" s="51">
        <v>7.9891304347826084E-2</v>
      </c>
    </row>
    <row r="156" spans="2:5" ht="15" customHeight="1" x14ac:dyDescent="0.25">
      <c r="B156" s="88" t="s">
        <v>144</v>
      </c>
      <c r="C156" s="46" t="s">
        <v>46</v>
      </c>
      <c r="D156" s="47">
        <v>1</v>
      </c>
      <c r="E156" s="48">
        <v>1.3586956521739131E-4</v>
      </c>
    </row>
    <row r="157" spans="2:5" ht="15" customHeight="1" x14ac:dyDescent="0.25">
      <c r="B157" s="89"/>
      <c r="C157" s="46" t="s">
        <v>36</v>
      </c>
      <c r="D157" s="47">
        <v>7</v>
      </c>
      <c r="E157" s="48">
        <v>9.5108695652173917E-4</v>
      </c>
    </row>
    <row r="158" spans="2:5" ht="15" customHeight="1" x14ac:dyDescent="0.25">
      <c r="B158" s="89"/>
      <c r="C158" s="46" t="s">
        <v>27</v>
      </c>
      <c r="D158" s="47">
        <v>9</v>
      </c>
      <c r="E158" s="48">
        <v>1.2228260869565218E-3</v>
      </c>
    </row>
    <row r="159" spans="2:5" ht="15" customHeight="1" x14ac:dyDescent="0.25">
      <c r="B159" s="89"/>
      <c r="C159" s="46" t="s">
        <v>17</v>
      </c>
      <c r="D159" s="47">
        <v>251</v>
      </c>
      <c r="E159" s="48">
        <v>3.4103260869565215E-2</v>
      </c>
    </row>
    <row r="160" spans="2:5" ht="15" customHeight="1" x14ac:dyDescent="0.25">
      <c r="B160" s="89"/>
      <c r="C160" s="46" t="s">
        <v>21</v>
      </c>
      <c r="D160" s="47">
        <v>79</v>
      </c>
      <c r="E160" s="48">
        <v>1.0733695652173914E-2</v>
      </c>
    </row>
    <row r="161" spans="2:5" ht="15" customHeight="1" x14ac:dyDescent="0.25">
      <c r="B161" s="89"/>
      <c r="C161" s="46" t="s">
        <v>51</v>
      </c>
      <c r="D161" s="47">
        <v>1</v>
      </c>
      <c r="E161" s="48">
        <v>1.3586956521739131E-4</v>
      </c>
    </row>
    <row r="162" spans="2:5" ht="15" customHeight="1" x14ac:dyDescent="0.25">
      <c r="B162" s="89"/>
      <c r="C162" s="46" t="s">
        <v>54</v>
      </c>
      <c r="D162" s="47">
        <v>1</v>
      </c>
      <c r="E162" s="48">
        <v>1.3586956521739131E-4</v>
      </c>
    </row>
    <row r="163" spans="2:5" ht="15" customHeight="1" x14ac:dyDescent="0.25">
      <c r="B163" s="89"/>
      <c r="C163" s="46" t="s">
        <v>23</v>
      </c>
      <c r="D163" s="47">
        <v>22</v>
      </c>
      <c r="E163" s="48">
        <v>2.9891304347826088E-3</v>
      </c>
    </row>
    <row r="164" spans="2:5" ht="15" customHeight="1" x14ac:dyDescent="0.25">
      <c r="B164" s="89"/>
      <c r="C164" s="46" t="s">
        <v>26</v>
      </c>
      <c r="D164" s="47">
        <v>20</v>
      </c>
      <c r="E164" s="48">
        <v>2.717391304347826E-3</v>
      </c>
    </row>
    <row r="165" spans="2:5" ht="15" customHeight="1" x14ac:dyDescent="0.25">
      <c r="B165" s="89"/>
      <c r="C165" s="46" t="s">
        <v>44</v>
      </c>
      <c r="D165" s="47">
        <v>5</v>
      </c>
      <c r="E165" s="48">
        <v>6.793478260869565E-4</v>
      </c>
    </row>
    <row r="166" spans="2:5" ht="15" customHeight="1" x14ac:dyDescent="0.25">
      <c r="B166" s="89"/>
      <c r="C166" s="46" t="s">
        <v>19</v>
      </c>
      <c r="D166" s="47">
        <v>165</v>
      </c>
      <c r="E166" s="48">
        <v>2.2418478260869564E-2</v>
      </c>
    </row>
    <row r="167" spans="2:5" ht="15" customHeight="1" x14ac:dyDescent="0.25">
      <c r="B167" s="89"/>
      <c r="C167" s="46" t="s">
        <v>22</v>
      </c>
      <c r="D167" s="47">
        <v>102</v>
      </c>
      <c r="E167" s="48">
        <v>1.3858695652173913E-2</v>
      </c>
    </row>
    <row r="168" spans="2:5" ht="15" customHeight="1" x14ac:dyDescent="0.25">
      <c r="B168" s="89"/>
      <c r="C168" s="46" t="s">
        <v>37</v>
      </c>
      <c r="D168" s="47">
        <v>8</v>
      </c>
      <c r="E168" s="48">
        <v>1.0869565217391304E-3</v>
      </c>
    </row>
    <row r="169" spans="2:5" ht="15" customHeight="1" x14ac:dyDescent="0.25">
      <c r="B169" s="89"/>
      <c r="C169" s="46" t="s">
        <v>29</v>
      </c>
      <c r="D169" s="47">
        <v>13</v>
      </c>
      <c r="E169" s="48">
        <v>1.766304347826087E-3</v>
      </c>
    </row>
    <row r="170" spans="2:5" ht="15" customHeight="1" x14ac:dyDescent="0.25">
      <c r="B170" s="89"/>
      <c r="C170" s="46" t="s">
        <v>33</v>
      </c>
      <c r="D170" s="47">
        <v>16</v>
      </c>
      <c r="E170" s="48">
        <v>2.1739130434782609E-3</v>
      </c>
    </row>
    <row r="171" spans="2:5" ht="15" customHeight="1" x14ac:dyDescent="0.25">
      <c r="B171" s="89"/>
      <c r="C171" s="46" t="s">
        <v>47</v>
      </c>
      <c r="D171" s="47">
        <v>1</v>
      </c>
      <c r="E171" s="48">
        <v>1.3586956521739131E-4</v>
      </c>
    </row>
    <row r="172" spans="2:5" ht="15" customHeight="1" x14ac:dyDescent="0.25">
      <c r="B172" s="89"/>
      <c r="C172" s="46" t="s">
        <v>52</v>
      </c>
      <c r="D172" s="47">
        <v>2</v>
      </c>
      <c r="E172" s="48">
        <v>2.7173913043478261E-4</v>
      </c>
    </row>
    <row r="173" spans="2:5" ht="15" customHeight="1" x14ac:dyDescent="0.25">
      <c r="B173" s="89"/>
      <c r="C173" s="46" t="s">
        <v>35</v>
      </c>
      <c r="D173" s="47">
        <v>8</v>
      </c>
      <c r="E173" s="48">
        <v>1.0869565217391304E-3</v>
      </c>
    </row>
    <row r="174" spans="2:5" ht="15" customHeight="1" x14ac:dyDescent="0.25">
      <c r="B174" s="89"/>
      <c r="C174" s="46" t="s">
        <v>45</v>
      </c>
      <c r="D174" s="47">
        <v>4</v>
      </c>
      <c r="E174" s="48">
        <v>5.4347826086956522E-4</v>
      </c>
    </row>
    <row r="175" spans="2:5" ht="15" customHeight="1" x14ac:dyDescent="0.25">
      <c r="B175" s="89"/>
      <c r="C175" s="46" t="s">
        <v>48</v>
      </c>
      <c r="D175" s="47">
        <v>4</v>
      </c>
      <c r="E175" s="48">
        <v>5.4347826086956522E-4</v>
      </c>
    </row>
    <row r="176" spans="2:5" ht="15" customHeight="1" x14ac:dyDescent="0.25">
      <c r="B176" s="89"/>
      <c r="C176" s="46" t="s">
        <v>42</v>
      </c>
      <c r="D176" s="47">
        <v>5</v>
      </c>
      <c r="E176" s="48">
        <v>6.793478260869565E-4</v>
      </c>
    </row>
    <row r="177" spans="2:5" ht="15" customHeight="1" x14ac:dyDescent="0.25">
      <c r="B177" s="89"/>
      <c r="C177" s="46" t="s">
        <v>57</v>
      </c>
      <c r="D177" s="47">
        <v>1</v>
      </c>
      <c r="E177" s="48">
        <v>1.3586956521739131E-4</v>
      </c>
    </row>
    <row r="178" spans="2:5" ht="15" customHeight="1" x14ac:dyDescent="0.25">
      <c r="B178" s="89"/>
      <c r="C178" s="46" t="s">
        <v>34</v>
      </c>
      <c r="D178" s="47">
        <v>10</v>
      </c>
      <c r="E178" s="48">
        <v>1.358695652173913E-3</v>
      </c>
    </row>
    <row r="179" spans="2:5" ht="15" customHeight="1" x14ac:dyDescent="0.25">
      <c r="B179" s="89"/>
      <c r="C179" s="46" t="s">
        <v>24</v>
      </c>
      <c r="D179" s="47">
        <v>27</v>
      </c>
      <c r="E179" s="48">
        <v>3.6684782608695653E-3</v>
      </c>
    </row>
    <row r="180" spans="2:5" ht="15" customHeight="1" x14ac:dyDescent="0.25">
      <c r="B180" s="89"/>
      <c r="C180" s="46" t="s">
        <v>31</v>
      </c>
      <c r="D180" s="47">
        <v>13</v>
      </c>
      <c r="E180" s="48">
        <v>1.766304347826087E-3</v>
      </c>
    </row>
    <row r="181" spans="2:5" ht="15" customHeight="1" x14ac:dyDescent="0.25">
      <c r="B181" s="89"/>
      <c r="C181" s="46" t="s">
        <v>49</v>
      </c>
      <c r="D181" s="47">
        <v>2</v>
      </c>
      <c r="E181" s="48">
        <v>2.7173913043478261E-4</v>
      </c>
    </row>
    <row r="182" spans="2:5" ht="15" customHeight="1" x14ac:dyDescent="0.25">
      <c r="B182" s="89"/>
      <c r="C182" s="46" t="s">
        <v>25</v>
      </c>
      <c r="D182" s="47">
        <v>24</v>
      </c>
      <c r="E182" s="48">
        <v>3.2608695652173911E-3</v>
      </c>
    </row>
    <row r="183" spans="2:5" ht="15" customHeight="1" x14ac:dyDescent="0.25">
      <c r="B183" s="89"/>
      <c r="C183" s="46" t="s">
        <v>43</v>
      </c>
      <c r="D183" s="47">
        <v>4</v>
      </c>
      <c r="E183" s="48">
        <v>5.4347826086956522E-4</v>
      </c>
    </row>
    <row r="184" spans="2:5" ht="15" customHeight="1" x14ac:dyDescent="0.25">
      <c r="B184" s="89"/>
      <c r="C184" s="46" t="s">
        <v>20</v>
      </c>
      <c r="D184" s="47">
        <v>78</v>
      </c>
      <c r="E184" s="48">
        <v>1.0597826086956521E-2</v>
      </c>
    </row>
    <row r="185" spans="2:5" ht="15" customHeight="1" x14ac:dyDescent="0.25">
      <c r="B185" s="89"/>
      <c r="C185" s="46" t="s">
        <v>41</v>
      </c>
      <c r="D185" s="47">
        <v>7</v>
      </c>
      <c r="E185" s="48">
        <v>9.5108695652173917E-4</v>
      </c>
    </row>
    <row r="186" spans="2:5" ht="15" customHeight="1" x14ac:dyDescent="0.25">
      <c r="B186" s="89"/>
      <c r="C186" s="46" t="s">
        <v>50</v>
      </c>
      <c r="D186" s="47">
        <v>1</v>
      </c>
      <c r="E186" s="48">
        <v>1.3586956521739131E-4</v>
      </c>
    </row>
    <row r="187" spans="2:5" ht="15" customHeight="1" x14ac:dyDescent="0.25">
      <c r="B187" s="89"/>
      <c r="C187" s="46" t="s">
        <v>39</v>
      </c>
      <c r="D187" s="47">
        <v>2</v>
      </c>
      <c r="E187" s="48">
        <v>2.7173913043478261E-4</v>
      </c>
    </row>
    <row r="188" spans="2:5" ht="15" customHeight="1" x14ac:dyDescent="0.25">
      <c r="B188" s="89"/>
      <c r="C188" s="46" t="s">
        <v>53</v>
      </c>
      <c r="D188" s="47">
        <v>1</v>
      </c>
      <c r="E188" s="48">
        <v>1.3586956521739131E-4</v>
      </c>
    </row>
    <row r="189" spans="2:5" ht="15" customHeight="1" x14ac:dyDescent="0.25">
      <c r="B189" s="89"/>
      <c r="C189" s="46" t="s">
        <v>30</v>
      </c>
      <c r="D189" s="47">
        <v>14</v>
      </c>
      <c r="E189" s="48">
        <v>1.9021739130434783E-3</v>
      </c>
    </row>
    <row r="190" spans="2:5" ht="15" customHeight="1" x14ac:dyDescent="0.25">
      <c r="B190" s="89"/>
      <c r="C190" s="46" t="s">
        <v>18</v>
      </c>
      <c r="D190" s="47">
        <v>163</v>
      </c>
      <c r="E190" s="48">
        <v>2.2146739130434783E-2</v>
      </c>
    </row>
    <row r="191" spans="2:5" ht="15" customHeight="1" x14ac:dyDescent="0.25">
      <c r="B191" s="89"/>
      <c r="C191" s="46" t="s">
        <v>28</v>
      </c>
      <c r="D191" s="47">
        <v>14</v>
      </c>
      <c r="E191" s="48">
        <v>1.9021739130434783E-3</v>
      </c>
    </row>
    <row r="192" spans="2:5" ht="15" customHeight="1" x14ac:dyDescent="0.25">
      <c r="B192" s="89"/>
      <c r="C192" s="46" t="s">
        <v>38</v>
      </c>
      <c r="D192" s="47">
        <v>6</v>
      </c>
      <c r="E192" s="48">
        <v>8.1521739130434778E-4</v>
      </c>
    </row>
    <row r="193" spans="2:5" ht="15" customHeight="1" x14ac:dyDescent="0.25">
      <c r="B193" s="89"/>
      <c r="C193" s="46" t="s">
        <v>32</v>
      </c>
      <c r="D193" s="47">
        <v>7</v>
      </c>
      <c r="E193" s="48">
        <v>9.5108695652173917E-4</v>
      </c>
    </row>
    <row r="194" spans="2:5" ht="15" customHeight="1" x14ac:dyDescent="0.25">
      <c r="B194" s="89"/>
      <c r="C194" s="46" t="s">
        <v>40</v>
      </c>
      <c r="D194" s="47">
        <v>8</v>
      </c>
      <c r="E194" s="48">
        <v>1.0869565217391304E-3</v>
      </c>
    </row>
    <row r="195" spans="2:5" ht="15" customHeight="1" x14ac:dyDescent="0.25">
      <c r="B195" s="90"/>
      <c r="C195" s="49" t="s">
        <v>63</v>
      </c>
      <c r="D195" s="50">
        <v>1106</v>
      </c>
      <c r="E195" s="51">
        <v>0.15027173913043479</v>
      </c>
    </row>
    <row r="196" spans="2:5" ht="15" customHeight="1" x14ac:dyDescent="0.25">
      <c r="B196" s="88" t="s">
        <v>145</v>
      </c>
      <c r="C196" s="46" t="s">
        <v>27</v>
      </c>
      <c r="D196" s="47">
        <v>2</v>
      </c>
      <c r="E196" s="48">
        <v>2.7173913043478261E-4</v>
      </c>
    </row>
    <row r="197" spans="2:5" ht="15" customHeight="1" x14ac:dyDescent="0.25">
      <c r="B197" s="89"/>
      <c r="C197" s="46" t="s">
        <v>17</v>
      </c>
      <c r="D197" s="47">
        <v>21</v>
      </c>
      <c r="E197" s="48">
        <v>2.8532608695652174E-3</v>
      </c>
    </row>
    <row r="198" spans="2:5" ht="15" customHeight="1" x14ac:dyDescent="0.25">
      <c r="B198" s="89"/>
      <c r="C198" s="46" t="s">
        <v>21</v>
      </c>
      <c r="D198" s="47">
        <v>7</v>
      </c>
      <c r="E198" s="48">
        <v>9.5108695652173917E-4</v>
      </c>
    </row>
    <row r="199" spans="2:5" ht="15" customHeight="1" x14ac:dyDescent="0.25">
      <c r="B199" s="89"/>
      <c r="C199" s="46" t="s">
        <v>23</v>
      </c>
      <c r="D199" s="47">
        <v>1</v>
      </c>
      <c r="E199" s="48">
        <v>1.3586956521739131E-4</v>
      </c>
    </row>
    <row r="200" spans="2:5" ht="15" customHeight="1" x14ac:dyDescent="0.25">
      <c r="B200" s="89"/>
      <c r="C200" s="46" t="s">
        <v>26</v>
      </c>
      <c r="D200" s="47">
        <v>4</v>
      </c>
      <c r="E200" s="48">
        <v>5.4347826086956522E-4</v>
      </c>
    </row>
    <row r="201" spans="2:5" ht="15" customHeight="1" x14ac:dyDescent="0.25">
      <c r="B201" s="89"/>
      <c r="C201" s="46" t="s">
        <v>44</v>
      </c>
      <c r="D201" s="47">
        <v>1</v>
      </c>
      <c r="E201" s="48">
        <v>1.3586956521739131E-4</v>
      </c>
    </row>
    <row r="202" spans="2:5" ht="15" customHeight="1" x14ac:dyDescent="0.25">
      <c r="B202" s="89"/>
      <c r="C202" s="46" t="s">
        <v>19</v>
      </c>
      <c r="D202" s="47">
        <v>10</v>
      </c>
      <c r="E202" s="48">
        <v>1.358695652173913E-3</v>
      </c>
    </row>
    <row r="203" spans="2:5" ht="15" customHeight="1" x14ac:dyDescent="0.25">
      <c r="B203" s="89"/>
      <c r="C203" s="46" t="s">
        <v>22</v>
      </c>
      <c r="D203" s="47">
        <v>4</v>
      </c>
      <c r="E203" s="48">
        <v>5.4347826086956522E-4</v>
      </c>
    </row>
    <row r="204" spans="2:5" ht="15" customHeight="1" x14ac:dyDescent="0.25">
      <c r="B204" s="89"/>
      <c r="C204" s="46" t="s">
        <v>29</v>
      </c>
      <c r="D204" s="47">
        <v>1</v>
      </c>
      <c r="E204" s="48">
        <v>1.3586956521739131E-4</v>
      </c>
    </row>
    <row r="205" spans="2:5" ht="15" customHeight="1" x14ac:dyDescent="0.25">
      <c r="B205" s="89"/>
      <c r="C205" s="46" t="s">
        <v>33</v>
      </c>
      <c r="D205" s="47">
        <v>1</v>
      </c>
      <c r="E205" s="48">
        <v>1.3586956521739131E-4</v>
      </c>
    </row>
    <row r="206" spans="2:5" ht="15" customHeight="1" x14ac:dyDescent="0.25">
      <c r="B206" s="89"/>
      <c r="C206" s="46" t="s">
        <v>35</v>
      </c>
      <c r="D206" s="47">
        <v>1</v>
      </c>
      <c r="E206" s="48">
        <v>1.3586956521739131E-4</v>
      </c>
    </row>
    <row r="207" spans="2:5" ht="15" customHeight="1" x14ac:dyDescent="0.25">
      <c r="B207" s="89"/>
      <c r="C207" s="46" t="s">
        <v>42</v>
      </c>
      <c r="D207" s="47">
        <v>1</v>
      </c>
      <c r="E207" s="48">
        <v>1.3586956521739131E-4</v>
      </c>
    </row>
    <row r="208" spans="2:5" ht="15" customHeight="1" x14ac:dyDescent="0.25">
      <c r="B208" s="89"/>
      <c r="C208" s="46" t="s">
        <v>34</v>
      </c>
      <c r="D208" s="47">
        <v>1</v>
      </c>
      <c r="E208" s="48">
        <v>1.3586956521739131E-4</v>
      </c>
    </row>
    <row r="209" spans="2:5" ht="15" customHeight="1" x14ac:dyDescent="0.25">
      <c r="B209" s="89"/>
      <c r="C209" s="46" t="s">
        <v>24</v>
      </c>
      <c r="D209" s="47">
        <v>1</v>
      </c>
      <c r="E209" s="48">
        <v>1.3586956521739131E-4</v>
      </c>
    </row>
    <row r="210" spans="2:5" ht="15" customHeight="1" x14ac:dyDescent="0.25">
      <c r="B210" s="89"/>
      <c r="C210" s="46" t="s">
        <v>31</v>
      </c>
      <c r="D210" s="47">
        <v>3</v>
      </c>
      <c r="E210" s="48">
        <v>4.0760869565217389E-4</v>
      </c>
    </row>
    <row r="211" spans="2:5" ht="15" customHeight="1" x14ac:dyDescent="0.25">
      <c r="B211" s="89"/>
      <c r="C211" s="46" t="s">
        <v>25</v>
      </c>
      <c r="D211" s="47">
        <v>3</v>
      </c>
      <c r="E211" s="48">
        <v>4.0760869565217389E-4</v>
      </c>
    </row>
    <row r="212" spans="2:5" ht="15" customHeight="1" x14ac:dyDescent="0.25">
      <c r="B212" s="89"/>
      <c r="C212" s="46" t="s">
        <v>20</v>
      </c>
      <c r="D212" s="47">
        <v>6</v>
      </c>
      <c r="E212" s="48">
        <v>8.1521739130434778E-4</v>
      </c>
    </row>
    <row r="213" spans="2:5" ht="15" customHeight="1" x14ac:dyDescent="0.25">
      <c r="B213" s="89"/>
      <c r="C213" s="46" t="s">
        <v>41</v>
      </c>
      <c r="D213" s="47">
        <v>1</v>
      </c>
      <c r="E213" s="48">
        <v>1.3586956521739131E-4</v>
      </c>
    </row>
    <row r="214" spans="2:5" ht="15" customHeight="1" x14ac:dyDescent="0.25">
      <c r="B214" s="89"/>
      <c r="C214" s="46" t="s">
        <v>39</v>
      </c>
      <c r="D214" s="47">
        <v>1</v>
      </c>
      <c r="E214" s="48">
        <v>1.3586956521739131E-4</v>
      </c>
    </row>
    <row r="215" spans="2:5" ht="15" customHeight="1" x14ac:dyDescent="0.25">
      <c r="B215" s="89"/>
      <c r="C215" s="46" t="s">
        <v>30</v>
      </c>
      <c r="D215" s="47">
        <v>1</v>
      </c>
      <c r="E215" s="48">
        <v>1.3586956521739131E-4</v>
      </c>
    </row>
    <row r="216" spans="2:5" ht="15" customHeight="1" x14ac:dyDescent="0.25">
      <c r="B216" s="89"/>
      <c r="C216" s="46" t="s">
        <v>18</v>
      </c>
      <c r="D216" s="47">
        <v>17</v>
      </c>
      <c r="E216" s="48">
        <v>2.3097826086956523E-3</v>
      </c>
    </row>
    <row r="217" spans="2:5" ht="15" customHeight="1" x14ac:dyDescent="0.25">
      <c r="B217" s="90"/>
      <c r="C217" s="49" t="s">
        <v>63</v>
      </c>
      <c r="D217" s="50">
        <v>88</v>
      </c>
      <c r="E217" s="51">
        <v>1.1956521739130435E-2</v>
      </c>
    </row>
    <row r="218" spans="2:5" ht="15" customHeight="1" x14ac:dyDescent="0.25">
      <c r="B218" s="88" t="s">
        <v>146</v>
      </c>
      <c r="C218" s="46" t="s">
        <v>36</v>
      </c>
      <c r="D218" s="47">
        <v>1</v>
      </c>
      <c r="E218" s="48">
        <v>1.3586956521739131E-4</v>
      </c>
    </row>
    <row r="219" spans="2:5" ht="15" customHeight="1" x14ac:dyDescent="0.25">
      <c r="B219" s="89"/>
      <c r="C219" s="46" t="s">
        <v>27</v>
      </c>
      <c r="D219" s="47">
        <v>3</v>
      </c>
      <c r="E219" s="48">
        <v>4.0760869565217389E-4</v>
      </c>
    </row>
    <row r="220" spans="2:5" ht="15" customHeight="1" x14ac:dyDescent="0.25">
      <c r="B220" s="89"/>
      <c r="C220" s="46" t="s">
        <v>17</v>
      </c>
      <c r="D220" s="47">
        <v>40</v>
      </c>
      <c r="E220" s="48">
        <v>5.434782608695652E-3</v>
      </c>
    </row>
    <row r="221" spans="2:5" ht="15" customHeight="1" x14ac:dyDescent="0.25">
      <c r="B221" s="89"/>
      <c r="C221" s="46" t="s">
        <v>21</v>
      </c>
      <c r="D221" s="47">
        <v>18</v>
      </c>
      <c r="E221" s="48">
        <v>2.4456521739130437E-3</v>
      </c>
    </row>
    <row r="222" spans="2:5" ht="15" customHeight="1" x14ac:dyDescent="0.25">
      <c r="B222" s="89"/>
      <c r="C222" s="46" t="s">
        <v>59</v>
      </c>
      <c r="D222" s="47">
        <v>1</v>
      </c>
      <c r="E222" s="48">
        <v>1.3586956521739131E-4</v>
      </c>
    </row>
    <row r="223" spans="2:5" ht="15" customHeight="1" x14ac:dyDescent="0.25">
      <c r="B223" s="89"/>
      <c r="C223" s="46" t="s">
        <v>23</v>
      </c>
      <c r="D223" s="47">
        <v>5</v>
      </c>
      <c r="E223" s="48">
        <v>6.793478260869565E-4</v>
      </c>
    </row>
    <row r="224" spans="2:5" ht="15" customHeight="1" x14ac:dyDescent="0.25">
      <c r="B224" s="89"/>
      <c r="C224" s="46" t="s">
        <v>26</v>
      </c>
      <c r="D224" s="47">
        <v>2</v>
      </c>
      <c r="E224" s="48">
        <v>2.7173913043478261E-4</v>
      </c>
    </row>
    <row r="225" spans="2:5" ht="15" customHeight="1" x14ac:dyDescent="0.25">
      <c r="B225" s="89"/>
      <c r="C225" s="46" t="s">
        <v>44</v>
      </c>
      <c r="D225" s="47">
        <v>1</v>
      </c>
      <c r="E225" s="48">
        <v>1.3586956521739131E-4</v>
      </c>
    </row>
    <row r="226" spans="2:5" ht="15" customHeight="1" x14ac:dyDescent="0.25">
      <c r="B226" s="89"/>
      <c r="C226" s="46" t="s">
        <v>19</v>
      </c>
      <c r="D226" s="47">
        <v>19</v>
      </c>
      <c r="E226" s="48">
        <v>2.5815217391304346E-3</v>
      </c>
    </row>
    <row r="227" spans="2:5" ht="15" customHeight="1" x14ac:dyDescent="0.25">
      <c r="B227" s="89"/>
      <c r="C227" s="46" t="s">
        <v>22</v>
      </c>
      <c r="D227" s="47">
        <v>12</v>
      </c>
      <c r="E227" s="48">
        <v>1.6304347826086956E-3</v>
      </c>
    </row>
    <row r="228" spans="2:5" ht="15" customHeight="1" x14ac:dyDescent="0.25">
      <c r="B228" s="89"/>
      <c r="C228" s="46" t="s">
        <v>37</v>
      </c>
      <c r="D228" s="47">
        <v>2</v>
      </c>
      <c r="E228" s="48">
        <v>2.7173913043478261E-4</v>
      </c>
    </row>
    <row r="229" spans="2:5" ht="15" customHeight="1" x14ac:dyDescent="0.25">
      <c r="B229" s="89"/>
      <c r="C229" s="46" t="s">
        <v>29</v>
      </c>
      <c r="D229" s="47">
        <v>4</v>
      </c>
      <c r="E229" s="48">
        <v>5.4347826086956522E-4</v>
      </c>
    </row>
    <row r="230" spans="2:5" ht="15" customHeight="1" x14ac:dyDescent="0.25">
      <c r="B230" s="89"/>
      <c r="C230" s="46" t="s">
        <v>33</v>
      </c>
      <c r="D230" s="47">
        <v>2</v>
      </c>
      <c r="E230" s="48">
        <v>2.7173913043478261E-4</v>
      </c>
    </row>
    <row r="231" spans="2:5" ht="15" customHeight="1" x14ac:dyDescent="0.25">
      <c r="B231" s="89"/>
      <c r="C231" s="46" t="s">
        <v>47</v>
      </c>
      <c r="D231" s="47">
        <v>1</v>
      </c>
      <c r="E231" s="48">
        <v>1.3586956521739131E-4</v>
      </c>
    </row>
    <row r="232" spans="2:5" ht="15" customHeight="1" x14ac:dyDescent="0.25">
      <c r="B232" s="89"/>
      <c r="C232" s="46" t="s">
        <v>60</v>
      </c>
      <c r="D232" s="47">
        <v>1</v>
      </c>
      <c r="E232" s="48">
        <v>1.3586956521739131E-4</v>
      </c>
    </row>
    <row r="233" spans="2:5" ht="15" customHeight="1" x14ac:dyDescent="0.25">
      <c r="B233" s="89"/>
      <c r="C233" s="46" t="s">
        <v>35</v>
      </c>
      <c r="D233" s="47">
        <v>3</v>
      </c>
      <c r="E233" s="48">
        <v>4.0760869565217389E-4</v>
      </c>
    </row>
    <row r="234" spans="2:5" ht="15" customHeight="1" x14ac:dyDescent="0.25">
      <c r="B234" s="89"/>
      <c r="C234" s="46" t="s">
        <v>48</v>
      </c>
      <c r="D234" s="47">
        <v>3</v>
      </c>
      <c r="E234" s="48">
        <v>4.0760869565217389E-4</v>
      </c>
    </row>
    <row r="235" spans="2:5" ht="15" customHeight="1" x14ac:dyDescent="0.25">
      <c r="B235" s="89"/>
      <c r="C235" s="46" t="s">
        <v>42</v>
      </c>
      <c r="D235" s="47">
        <v>1</v>
      </c>
      <c r="E235" s="48">
        <v>1.3586956521739131E-4</v>
      </c>
    </row>
    <row r="236" spans="2:5" ht="15" customHeight="1" x14ac:dyDescent="0.25">
      <c r="B236" s="89"/>
      <c r="C236" s="46" t="s">
        <v>34</v>
      </c>
      <c r="D236" s="47">
        <v>4</v>
      </c>
      <c r="E236" s="48">
        <v>5.4347826086956522E-4</v>
      </c>
    </row>
    <row r="237" spans="2:5" ht="15" customHeight="1" x14ac:dyDescent="0.25">
      <c r="B237" s="89"/>
      <c r="C237" s="46" t="s">
        <v>24</v>
      </c>
      <c r="D237" s="47">
        <v>8</v>
      </c>
      <c r="E237" s="48">
        <v>1.0869565217391304E-3</v>
      </c>
    </row>
    <row r="238" spans="2:5" ht="15" customHeight="1" x14ac:dyDescent="0.25">
      <c r="B238" s="89"/>
      <c r="C238" s="46" t="s">
        <v>61</v>
      </c>
      <c r="D238" s="47">
        <v>1</v>
      </c>
      <c r="E238" s="48">
        <v>1.3586956521739131E-4</v>
      </c>
    </row>
    <row r="239" spans="2:5" ht="15" customHeight="1" x14ac:dyDescent="0.25">
      <c r="B239" s="89"/>
      <c r="C239" s="46" t="s">
        <v>31</v>
      </c>
      <c r="D239" s="47">
        <v>2</v>
      </c>
      <c r="E239" s="48">
        <v>2.7173913043478261E-4</v>
      </c>
    </row>
    <row r="240" spans="2:5" ht="15" customHeight="1" x14ac:dyDescent="0.25">
      <c r="B240" s="89"/>
      <c r="C240" s="46" t="s">
        <v>49</v>
      </c>
      <c r="D240" s="47">
        <v>1</v>
      </c>
      <c r="E240" s="48">
        <v>1.3586956521739131E-4</v>
      </c>
    </row>
    <row r="241" spans="2:5" ht="15" customHeight="1" x14ac:dyDescent="0.25">
      <c r="B241" s="89"/>
      <c r="C241" s="46" t="s">
        <v>25</v>
      </c>
      <c r="D241" s="47">
        <v>7</v>
      </c>
      <c r="E241" s="48">
        <v>9.5108695652173917E-4</v>
      </c>
    </row>
    <row r="242" spans="2:5" ht="15" customHeight="1" x14ac:dyDescent="0.25">
      <c r="B242" s="89"/>
      <c r="C242" s="46" t="s">
        <v>20</v>
      </c>
      <c r="D242" s="47">
        <v>16</v>
      </c>
      <c r="E242" s="48">
        <v>2.1739130434782609E-3</v>
      </c>
    </row>
    <row r="243" spans="2:5" ht="15" customHeight="1" x14ac:dyDescent="0.25">
      <c r="B243" s="89"/>
      <c r="C243" s="46" t="s">
        <v>39</v>
      </c>
      <c r="D243" s="47">
        <v>4</v>
      </c>
      <c r="E243" s="48">
        <v>5.4347826086956522E-4</v>
      </c>
    </row>
    <row r="244" spans="2:5" ht="15" customHeight="1" x14ac:dyDescent="0.25">
      <c r="B244" s="89"/>
      <c r="C244" s="46" t="s">
        <v>30</v>
      </c>
      <c r="D244" s="47">
        <v>3</v>
      </c>
      <c r="E244" s="48">
        <v>4.0760869565217389E-4</v>
      </c>
    </row>
    <row r="245" spans="2:5" ht="15" customHeight="1" x14ac:dyDescent="0.25">
      <c r="B245" s="89"/>
      <c r="C245" s="46" t="s">
        <v>18</v>
      </c>
      <c r="D245" s="47">
        <v>38</v>
      </c>
      <c r="E245" s="48">
        <v>5.1630434782608692E-3</v>
      </c>
    </row>
    <row r="246" spans="2:5" ht="15" customHeight="1" x14ac:dyDescent="0.25">
      <c r="B246" s="89"/>
      <c r="C246" s="46" t="s">
        <v>28</v>
      </c>
      <c r="D246" s="47">
        <v>1</v>
      </c>
      <c r="E246" s="48">
        <v>1.3586956521739131E-4</v>
      </c>
    </row>
    <row r="247" spans="2:5" ht="15" customHeight="1" x14ac:dyDescent="0.25">
      <c r="B247" s="89"/>
      <c r="C247" s="46" t="s">
        <v>38</v>
      </c>
      <c r="D247" s="47">
        <v>1</v>
      </c>
      <c r="E247" s="48">
        <v>1.3586956521739131E-4</v>
      </c>
    </row>
    <row r="248" spans="2:5" ht="15" customHeight="1" x14ac:dyDescent="0.25">
      <c r="B248" s="89"/>
      <c r="C248" s="46" t="s">
        <v>32</v>
      </c>
      <c r="D248" s="47">
        <v>4</v>
      </c>
      <c r="E248" s="48">
        <v>5.4347826086956522E-4</v>
      </c>
    </row>
    <row r="249" spans="2:5" ht="15" customHeight="1" x14ac:dyDescent="0.25">
      <c r="B249" s="90"/>
      <c r="C249" s="49" t="s">
        <v>63</v>
      </c>
      <c r="D249" s="50">
        <v>209</v>
      </c>
      <c r="E249" s="51">
        <v>2.8396739130434782E-2</v>
      </c>
    </row>
    <row r="250" spans="2:5" ht="15" customHeight="1" x14ac:dyDescent="0.25">
      <c r="B250" s="88" t="s">
        <v>147</v>
      </c>
      <c r="C250" s="46" t="s">
        <v>27</v>
      </c>
      <c r="D250" s="47">
        <v>6</v>
      </c>
      <c r="E250" s="48">
        <v>8.1521739130434778E-4</v>
      </c>
    </row>
    <row r="251" spans="2:5" ht="15" customHeight="1" x14ac:dyDescent="0.25">
      <c r="B251" s="89"/>
      <c r="C251" s="46" t="s">
        <v>17</v>
      </c>
      <c r="D251" s="47">
        <v>59</v>
      </c>
      <c r="E251" s="48">
        <v>8.0163043478260875E-3</v>
      </c>
    </row>
    <row r="252" spans="2:5" ht="15" customHeight="1" x14ac:dyDescent="0.25">
      <c r="B252" s="89"/>
      <c r="C252" s="46" t="s">
        <v>21</v>
      </c>
      <c r="D252" s="47">
        <v>39</v>
      </c>
      <c r="E252" s="48">
        <v>5.2989130434782606E-3</v>
      </c>
    </row>
    <row r="253" spans="2:5" ht="15" customHeight="1" x14ac:dyDescent="0.25">
      <c r="B253" s="89"/>
      <c r="C253" s="46" t="s">
        <v>54</v>
      </c>
      <c r="D253" s="47">
        <v>1</v>
      </c>
      <c r="E253" s="48">
        <v>1.3586956521739131E-4</v>
      </c>
    </row>
    <row r="254" spans="2:5" ht="15" customHeight="1" x14ac:dyDescent="0.25">
      <c r="B254" s="89"/>
      <c r="C254" s="46" t="s">
        <v>23</v>
      </c>
      <c r="D254" s="47">
        <v>12</v>
      </c>
      <c r="E254" s="48">
        <v>1.6304347826086956E-3</v>
      </c>
    </row>
    <row r="255" spans="2:5" ht="15" customHeight="1" x14ac:dyDescent="0.25">
      <c r="B255" s="89"/>
      <c r="C255" s="46" t="s">
        <v>26</v>
      </c>
      <c r="D255" s="47">
        <v>4</v>
      </c>
      <c r="E255" s="48">
        <v>5.4347826086956522E-4</v>
      </c>
    </row>
    <row r="256" spans="2:5" ht="15" customHeight="1" x14ac:dyDescent="0.25">
      <c r="B256" s="89"/>
      <c r="C256" s="46" t="s">
        <v>44</v>
      </c>
      <c r="D256" s="47">
        <v>5</v>
      </c>
      <c r="E256" s="48">
        <v>6.793478260869565E-4</v>
      </c>
    </row>
    <row r="257" spans="2:5" ht="15" customHeight="1" x14ac:dyDescent="0.25">
      <c r="B257" s="89"/>
      <c r="C257" s="46" t="s">
        <v>19</v>
      </c>
      <c r="D257" s="47">
        <v>20</v>
      </c>
      <c r="E257" s="48">
        <v>2.717391304347826E-3</v>
      </c>
    </row>
    <row r="258" spans="2:5" ht="15" customHeight="1" x14ac:dyDescent="0.25">
      <c r="B258" s="89"/>
      <c r="C258" s="46" t="s">
        <v>22</v>
      </c>
      <c r="D258" s="47">
        <v>14</v>
      </c>
      <c r="E258" s="48">
        <v>1.9021739130434783E-3</v>
      </c>
    </row>
    <row r="259" spans="2:5" ht="15" customHeight="1" x14ac:dyDescent="0.25">
      <c r="B259" s="89"/>
      <c r="C259" s="46" t="s">
        <v>29</v>
      </c>
      <c r="D259" s="47">
        <v>12</v>
      </c>
      <c r="E259" s="48">
        <v>1.6304347826086956E-3</v>
      </c>
    </row>
    <row r="260" spans="2:5" ht="15" customHeight="1" x14ac:dyDescent="0.25">
      <c r="B260" s="89"/>
      <c r="C260" s="46" t="s">
        <v>33</v>
      </c>
      <c r="D260" s="47">
        <v>3</v>
      </c>
      <c r="E260" s="48">
        <v>4.0760869565217389E-4</v>
      </c>
    </row>
    <row r="261" spans="2:5" ht="15" customHeight="1" x14ac:dyDescent="0.25">
      <c r="B261" s="89"/>
      <c r="C261" s="46" t="s">
        <v>35</v>
      </c>
      <c r="D261" s="47">
        <v>5</v>
      </c>
      <c r="E261" s="48">
        <v>6.793478260869565E-4</v>
      </c>
    </row>
    <row r="262" spans="2:5" ht="15" customHeight="1" x14ac:dyDescent="0.25">
      <c r="B262" s="89"/>
      <c r="C262" s="46" t="s">
        <v>48</v>
      </c>
      <c r="D262" s="47">
        <v>2</v>
      </c>
      <c r="E262" s="48">
        <v>2.7173913043478261E-4</v>
      </c>
    </row>
    <row r="263" spans="2:5" ht="15" customHeight="1" x14ac:dyDescent="0.25">
      <c r="B263" s="89"/>
      <c r="C263" s="46" t="s">
        <v>42</v>
      </c>
      <c r="D263" s="47">
        <v>1</v>
      </c>
      <c r="E263" s="48">
        <v>1.3586956521739131E-4</v>
      </c>
    </row>
    <row r="264" spans="2:5" ht="15" customHeight="1" x14ac:dyDescent="0.25">
      <c r="B264" s="89"/>
      <c r="C264" s="46" t="s">
        <v>34</v>
      </c>
      <c r="D264" s="47">
        <v>3</v>
      </c>
      <c r="E264" s="48">
        <v>4.0760869565217389E-4</v>
      </c>
    </row>
    <row r="265" spans="2:5" ht="15" customHeight="1" x14ac:dyDescent="0.25">
      <c r="B265" s="89"/>
      <c r="C265" s="46" t="s">
        <v>24</v>
      </c>
      <c r="D265" s="47">
        <v>4</v>
      </c>
      <c r="E265" s="48">
        <v>5.4347826086956522E-4</v>
      </c>
    </row>
    <row r="266" spans="2:5" ht="15" customHeight="1" x14ac:dyDescent="0.25">
      <c r="B266" s="89"/>
      <c r="C266" s="46" t="s">
        <v>31</v>
      </c>
      <c r="D266" s="47">
        <v>2</v>
      </c>
      <c r="E266" s="48">
        <v>2.7173913043478261E-4</v>
      </c>
    </row>
    <row r="267" spans="2:5" ht="15" customHeight="1" x14ac:dyDescent="0.25">
      <c r="B267" s="89"/>
      <c r="C267" s="46" t="s">
        <v>25</v>
      </c>
      <c r="D267" s="47">
        <v>6</v>
      </c>
      <c r="E267" s="48">
        <v>8.1521739130434778E-4</v>
      </c>
    </row>
    <row r="268" spans="2:5" ht="15" customHeight="1" x14ac:dyDescent="0.25">
      <c r="B268" s="89"/>
      <c r="C268" s="46" t="s">
        <v>20</v>
      </c>
      <c r="D268" s="47">
        <v>28</v>
      </c>
      <c r="E268" s="48">
        <v>3.8043478260869567E-3</v>
      </c>
    </row>
    <row r="269" spans="2:5" ht="15" customHeight="1" x14ac:dyDescent="0.25">
      <c r="B269" s="89"/>
      <c r="C269" s="46" t="s">
        <v>41</v>
      </c>
      <c r="D269" s="47">
        <v>2</v>
      </c>
      <c r="E269" s="48">
        <v>2.7173913043478261E-4</v>
      </c>
    </row>
    <row r="270" spans="2:5" ht="15" customHeight="1" x14ac:dyDescent="0.25">
      <c r="B270" s="89"/>
      <c r="C270" s="46" t="s">
        <v>50</v>
      </c>
      <c r="D270" s="47">
        <v>1</v>
      </c>
      <c r="E270" s="48">
        <v>1.3586956521739131E-4</v>
      </c>
    </row>
    <row r="271" spans="2:5" ht="15" customHeight="1" x14ac:dyDescent="0.25">
      <c r="B271" s="89"/>
      <c r="C271" s="46" t="s">
        <v>39</v>
      </c>
      <c r="D271" s="47">
        <v>3</v>
      </c>
      <c r="E271" s="48">
        <v>4.0760869565217389E-4</v>
      </c>
    </row>
    <row r="272" spans="2:5" ht="15" customHeight="1" x14ac:dyDescent="0.25">
      <c r="B272" s="89"/>
      <c r="C272" s="46" t="s">
        <v>30</v>
      </c>
      <c r="D272" s="47">
        <v>2</v>
      </c>
      <c r="E272" s="48">
        <v>2.7173913043478261E-4</v>
      </c>
    </row>
    <row r="273" spans="2:5" ht="15" customHeight="1" x14ac:dyDescent="0.25">
      <c r="B273" s="89"/>
      <c r="C273" s="46" t="s">
        <v>18</v>
      </c>
      <c r="D273" s="47">
        <v>67</v>
      </c>
      <c r="E273" s="48">
        <v>9.1032608695652169E-3</v>
      </c>
    </row>
    <row r="274" spans="2:5" ht="15" customHeight="1" x14ac:dyDescent="0.25">
      <c r="B274" s="89"/>
      <c r="C274" s="46" t="s">
        <v>28</v>
      </c>
      <c r="D274" s="47">
        <v>2</v>
      </c>
      <c r="E274" s="48">
        <v>2.7173913043478261E-4</v>
      </c>
    </row>
    <row r="275" spans="2:5" ht="15" customHeight="1" x14ac:dyDescent="0.25">
      <c r="B275" s="89"/>
      <c r="C275" s="46" t="s">
        <v>38</v>
      </c>
      <c r="D275" s="47">
        <v>1</v>
      </c>
      <c r="E275" s="48">
        <v>1.3586956521739131E-4</v>
      </c>
    </row>
    <row r="276" spans="2:5" ht="15" customHeight="1" x14ac:dyDescent="0.25">
      <c r="B276" s="89"/>
      <c r="C276" s="46" t="s">
        <v>32</v>
      </c>
      <c r="D276" s="47">
        <v>3</v>
      </c>
      <c r="E276" s="48">
        <v>4.0760869565217389E-4</v>
      </c>
    </row>
    <row r="277" spans="2:5" ht="15" customHeight="1" x14ac:dyDescent="0.25">
      <c r="B277" s="89"/>
      <c r="C277" s="46" t="s">
        <v>40</v>
      </c>
      <c r="D277" s="47">
        <v>1</v>
      </c>
      <c r="E277" s="48">
        <v>1.3586956521739131E-4</v>
      </c>
    </row>
    <row r="278" spans="2:5" ht="15" customHeight="1" x14ac:dyDescent="0.25">
      <c r="B278" s="90"/>
      <c r="C278" s="49" t="s">
        <v>63</v>
      </c>
      <c r="D278" s="50">
        <v>308</v>
      </c>
      <c r="E278" s="51">
        <v>4.1847826086956523E-2</v>
      </c>
    </row>
    <row r="279" spans="2:5" ht="15" customHeight="1" x14ac:dyDescent="0.25">
      <c r="B279" s="88" t="s">
        <v>148</v>
      </c>
      <c r="C279" s="46" t="s">
        <v>46</v>
      </c>
      <c r="D279" s="47">
        <v>6</v>
      </c>
      <c r="E279" s="48">
        <v>8.1521739130434778E-4</v>
      </c>
    </row>
    <row r="280" spans="2:5" ht="15" customHeight="1" x14ac:dyDescent="0.25">
      <c r="B280" s="89"/>
      <c r="C280" s="46" t="s">
        <v>58</v>
      </c>
      <c r="D280" s="47">
        <v>1</v>
      </c>
      <c r="E280" s="48">
        <v>1.3586956521739131E-4</v>
      </c>
    </row>
    <row r="281" spans="2:5" ht="15" customHeight="1" x14ac:dyDescent="0.25">
      <c r="B281" s="89"/>
      <c r="C281" s="46" t="s">
        <v>36</v>
      </c>
      <c r="D281" s="47">
        <v>14</v>
      </c>
      <c r="E281" s="48">
        <v>1.9021739130434783E-3</v>
      </c>
    </row>
    <row r="282" spans="2:5" ht="15" customHeight="1" x14ac:dyDescent="0.25">
      <c r="B282" s="89"/>
      <c r="C282" s="46" t="s">
        <v>27</v>
      </c>
      <c r="D282" s="47">
        <v>29</v>
      </c>
      <c r="E282" s="48">
        <v>3.9402173913043476E-3</v>
      </c>
    </row>
    <row r="283" spans="2:5" ht="15" customHeight="1" x14ac:dyDescent="0.25">
      <c r="B283" s="89"/>
      <c r="C283" s="46" t="s">
        <v>17</v>
      </c>
      <c r="D283" s="47">
        <v>499</v>
      </c>
      <c r="E283" s="48">
        <v>6.7798913043478265E-2</v>
      </c>
    </row>
    <row r="284" spans="2:5" ht="15" customHeight="1" x14ac:dyDescent="0.25">
      <c r="B284" s="89"/>
      <c r="C284" s="46" t="s">
        <v>21</v>
      </c>
      <c r="D284" s="47">
        <v>170</v>
      </c>
      <c r="E284" s="48">
        <v>2.309782608695652E-2</v>
      </c>
    </row>
    <row r="285" spans="2:5" ht="15" customHeight="1" x14ac:dyDescent="0.25">
      <c r="B285" s="89"/>
      <c r="C285" s="46" t="s">
        <v>51</v>
      </c>
      <c r="D285" s="47">
        <v>4</v>
      </c>
      <c r="E285" s="48">
        <v>5.4347826086956522E-4</v>
      </c>
    </row>
    <row r="286" spans="2:5" ht="15" customHeight="1" x14ac:dyDescent="0.25">
      <c r="B286" s="89"/>
      <c r="C286" s="46" t="s">
        <v>54</v>
      </c>
      <c r="D286" s="47">
        <v>2</v>
      </c>
      <c r="E286" s="48">
        <v>2.7173913043478261E-4</v>
      </c>
    </row>
    <row r="287" spans="2:5" ht="15" customHeight="1" x14ac:dyDescent="0.25">
      <c r="B287" s="89"/>
      <c r="C287" s="46" t="s">
        <v>23</v>
      </c>
      <c r="D287" s="47">
        <v>70</v>
      </c>
      <c r="E287" s="48">
        <v>9.5108695652173919E-3</v>
      </c>
    </row>
    <row r="288" spans="2:5" ht="15" customHeight="1" x14ac:dyDescent="0.25">
      <c r="B288" s="89"/>
      <c r="C288" s="46" t="s">
        <v>26</v>
      </c>
      <c r="D288" s="47">
        <v>47</v>
      </c>
      <c r="E288" s="48">
        <v>6.3858695652173917E-3</v>
      </c>
    </row>
    <row r="289" spans="2:5" ht="15" customHeight="1" x14ac:dyDescent="0.25">
      <c r="B289" s="89"/>
      <c r="C289" s="46" t="s">
        <v>44</v>
      </c>
      <c r="D289" s="47">
        <v>9</v>
      </c>
      <c r="E289" s="48">
        <v>1.2228260869565218E-3</v>
      </c>
    </row>
    <row r="290" spans="2:5" ht="15" customHeight="1" x14ac:dyDescent="0.25">
      <c r="B290" s="89"/>
      <c r="C290" s="46" t="s">
        <v>19</v>
      </c>
      <c r="D290" s="47">
        <v>346</v>
      </c>
      <c r="E290" s="48">
        <v>4.7010869565217391E-2</v>
      </c>
    </row>
    <row r="291" spans="2:5" ht="15" customHeight="1" x14ac:dyDescent="0.25">
      <c r="B291" s="89"/>
      <c r="C291" s="46" t="s">
        <v>22</v>
      </c>
      <c r="D291" s="47">
        <v>173</v>
      </c>
      <c r="E291" s="48">
        <v>2.3505434782608695E-2</v>
      </c>
    </row>
    <row r="292" spans="2:5" ht="15" customHeight="1" x14ac:dyDescent="0.25">
      <c r="B292" s="89"/>
      <c r="C292" s="46" t="s">
        <v>37</v>
      </c>
      <c r="D292" s="47">
        <v>19</v>
      </c>
      <c r="E292" s="48">
        <v>2.5815217391304346E-3</v>
      </c>
    </row>
    <row r="293" spans="2:5" ht="15" customHeight="1" x14ac:dyDescent="0.25">
      <c r="B293" s="89"/>
      <c r="C293" s="46" t="s">
        <v>29</v>
      </c>
      <c r="D293" s="47">
        <v>18</v>
      </c>
      <c r="E293" s="48">
        <v>2.4456521739130437E-3</v>
      </c>
    </row>
    <row r="294" spans="2:5" ht="15" customHeight="1" x14ac:dyDescent="0.25">
      <c r="B294" s="89"/>
      <c r="C294" s="46" t="s">
        <v>33</v>
      </c>
      <c r="D294" s="47">
        <v>23</v>
      </c>
      <c r="E294" s="48">
        <v>3.1250000000000002E-3</v>
      </c>
    </row>
    <row r="295" spans="2:5" ht="15" customHeight="1" x14ac:dyDescent="0.25">
      <c r="B295" s="89"/>
      <c r="C295" s="46" t="s">
        <v>47</v>
      </c>
      <c r="D295" s="47">
        <v>3</v>
      </c>
      <c r="E295" s="48">
        <v>4.0760869565217389E-4</v>
      </c>
    </row>
    <row r="296" spans="2:5" ht="15" customHeight="1" x14ac:dyDescent="0.25">
      <c r="B296" s="89"/>
      <c r="C296" s="46" t="s">
        <v>52</v>
      </c>
      <c r="D296" s="47">
        <v>1</v>
      </c>
      <c r="E296" s="48">
        <v>1.3586956521739131E-4</v>
      </c>
    </row>
    <row r="297" spans="2:5" ht="15" customHeight="1" x14ac:dyDescent="0.25">
      <c r="B297" s="89"/>
      <c r="C297" s="46" t="s">
        <v>35</v>
      </c>
      <c r="D297" s="47">
        <v>23</v>
      </c>
      <c r="E297" s="48">
        <v>3.1250000000000002E-3</v>
      </c>
    </row>
    <row r="298" spans="2:5" ht="15" customHeight="1" x14ac:dyDescent="0.25">
      <c r="B298" s="89"/>
      <c r="C298" s="46" t="s">
        <v>45</v>
      </c>
      <c r="D298" s="47">
        <v>9</v>
      </c>
      <c r="E298" s="48">
        <v>1.2228260869565218E-3</v>
      </c>
    </row>
    <row r="299" spans="2:5" ht="15" customHeight="1" x14ac:dyDescent="0.25">
      <c r="B299" s="89"/>
      <c r="C299" s="46" t="s">
        <v>48</v>
      </c>
      <c r="D299" s="47">
        <v>4</v>
      </c>
      <c r="E299" s="48">
        <v>5.4347826086956522E-4</v>
      </c>
    </row>
    <row r="300" spans="2:5" ht="15" customHeight="1" x14ac:dyDescent="0.25">
      <c r="B300" s="89"/>
      <c r="C300" s="46" t="s">
        <v>42</v>
      </c>
      <c r="D300" s="47">
        <v>6</v>
      </c>
      <c r="E300" s="48">
        <v>8.1521739130434778E-4</v>
      </c>
    </row>
    <row r="301" spans="2:5" ht="15" customHeight="1" x14ac:dyDescent="0.25">
      <c r="B301" s="89"/>
      <c r="C301" s="46" t="s">
        <v>57</v>
      </c>
      <c r="D301" s="47">
        <v>1</v>
      </c>
      <c r="E301" s="48">
        <v>1.3586956521739131E-4</v>
      </c>
    </row>
    <row r="302" spans="2:5" ht="15" customHeight="1" x14ac:dyDescent="0.25">
      <c r="B302" s="89"/>
      <c r="C302" s="46" t="s">
        <v>34</v>
      </c>
      <c r="D302" s="47">
        <v>20</v>
      </c>
      <c r="E302" s="48">
        <v>2.717391304347826E-3</v>
      </c>
    </row>
    <row r="303" spans="2:5" ht="15" customHeight="1" x14ac:dyDescent="0.25">
      <c r="B303" s="89"/>
      <c r="C303" s="46" t="s">
        <v>24</v>
      </c>
      <c r="D303" s="47">
        <v>42</v>
      </c>
      <c r="E303" s="48">
        <v>5.7065217391304348E-3</v>
      </c>
    </row>
    <row r="304" spans="2:5" ht="15" customHeight="1" x14ac:dyDescent="0.25">
      <c r="B304" s="89"/>
      <c r="C304" s="46" t="s">
        <v>55</v>
      </c>
      <c r="D304" s="47">
        <v>3</v>
      </c>
      <c r="E304" s="48">
        <v>4.0760869565217389E-4</v>
      </c>
    </row>
    <row r="305" spans="2:5" ht="15" customHeight="1" x14ac:dyDescent="0.25">
      <c r="B305" s="89"/>
      <c r="C305" s="46" t="s">
        <v>31</v>
      </c>
      <c r="D305" s="47">
        <v>31</v>
      </c>
      <c r="E305" s="48">
        <v>4.2119565217391304E-3</v>
      </c>
    </row>
    <row r="306" spans="2:5" ht="15" customHeight="1" x14ac:dyDescent="0.25">
      <c r="B306" s="89"/>
      <c r="C306" s="46" t="s">
        <v>25</v>
      </c>
      <c r="D306" s="47">
        <v>47</v>
      </c>
      <c r="E306" s="48">
        <v>6.3858695652173917E-3</v>
      </c>
    </row>
    <row r="307" spans="2:5" ht="15" customHeight="1" x14ac:dyDescent="0.25">
      <c r="B307" s="89"/>
      <c r="C307" s="46" t="s">
        <v>43</v>
      </c>
      <c r="D307" s="47">
        <v>17</v>
      </c>
      <c r="E307" s="48">
        <v>2.3097826086956523E-3</v>
      </c>
    </row>
    <row r="308" spans="2:5" ht="15" customHeight="1" x14ac:dyDescent="0.25">
      <c r="B308" s="89"/>
      <c r="C308" s="46" t="s">
        <v>20</v>
      </c>
      <c r="D308" s="47">
        <v>235</v>
      </c>
      <c r="E308" s="48">
        <v>3.192934782608696E-2</v>
      </c>
    </row>
    <row r="309" spans="2:5" ht="15" customHeight="1" x14ac:dyDescent="0.25">
      <c r="B309" s="89"/>
      <c r="C309" s="46" t="s">
        <v>41</v>
      </c>
      <c r="D309" s="47">
        <v>9</v>
      </c>
      <c r="E309" s="48">
        <v>1.2228260869565218E-3</v>
      </c>
    </row>
    <row r="310" spans="2:5" ht="15" customHeight="1" x14ac:dyDescent="0.25">
      <c r="B310" s="89"/>
      <c r="C310" s="46" t="s">
        <v>50</v>
      </c>
      <c r="D310" s="47">
        <v>1</v>
      </c>
      <c r="E310" s="48">
        <v>1.3586956521739131E-4</v>
      </c>
    </row>
    <row r="311" spans="2:5" ht="15" customHeight="1" x14ac:dyDescent="0.25">
      <c r="B311" s="89"/>
      <c r="C311" s="46" t="s">
        <v>39</v>
      </c>
      <c r="D311" s="47">
        <v>17</v>
      </c>
      <c r="E311" s="48">
        <v>2.3097826086956523E-3</v>
      </c>
    </row>
    <row r="312" spans="2:5" ht="15" customHeight="1" x14ac:dyDescent="0.25">
      <c r="B312" s="89"/>
      <c r="C312" s="46" t="s">
        <v>53</v>
      </c>
      <c r="D312" s="47">
        <v>4</v>
      </c>
      <c r="E312" s="48">
        <v>5.4347826086956522E-4</v>
      </c>
    </row>
    <row r="313" spans="2:5" ht="15" customHeight="1" x14ac:dyDescent="0.25">
      <c r="B313" s="89"/>
      <c r="C313" s="46" t="s">
        <v>30</v>
      </c>
      <c r="D313" s="47">
        <v>41</v>
      </c>
      <c r="E313" s="48">
        <v>5.5706521739130434E-3</v>
      </c>
    </row>
    <row r="314" spans="2:5" ht="15" customHeight="1" x14ac:dyDescent="0.25">
      <c r="B314" s="89"/>
      <c r="C314" s="46" t="s">
        <v>18</v>
      </c>
      <c r="D314" s="47">
        <v>491</v>
      </c>
      <c r="E314" s="48">
        <v>6.6711956521739127E-2</v>
      </c>
    </row>
    <row r="315" spans="2:5" ht="15" customHeight="1" x14ac:dyDescent="0.25">
      <c r="B315" s="89"/>
      <c r="C315" s="46" t="s">
        <v>28</v>
      </c>
      <c r="D315" s="47">
        <v>31</v>
      </c>
      <c r="E315" s="48">
        <v>4.2119565217391304E-3</v>
      </c>
    </row>
    <row r="316" spans="2:5" ht="15" customHeight="1" x14ac:dyDescent="0.25">
      <c r="B316" s="89"/>
      <c r="C316" s="46" t="s">
        <v>38</v>
      </c>
      <c r="D316" s="47">
        <v>20</v>
      </c>
      <c r="E316" s="48">
        <v>2.717391304347826E-3</v>
      </c>
    </row>
    <row r="317" spans="2:5" ht="15" customHeight="1" x14ac:dyDescent="0.25">
      <c r="B317" s="89"/>
      <c r="C317" s="46" t="s">
        <v>32</v>
      </c>
      <c r="D317" s="47">
        <v>40</v>
      </c>
      <c r="E317" s="48">
        <v>5.434782608695652E-3</v>
      </c>
    </row>
    <row r="318" spans="2:5" ht="15" customHeight="1" x14ac:dyDescent="0.25">
      <c r="B318" s="89"/>
      <c r="C318" s="46" t="s">
        <v>40</v>
      </c>
      <c r="D318" s="47">
        <v>14</v>
      </c>
      <c r="E318" s="48">
        <v>1.9021739130434783E-3</v>
      </c>
    </row>
    <row r="319" spans="2:5" ht="15" customHeight="1" x14ac:dyDescent="0.25">
      <c r="B319" s="90"/>
      <c r="C319" s="49" t="s">
        <v>63</v>
      </c>
      <c r="D319" s="50">
        <v>2540</v>
      </c>
      <c r="E319" s="51">
        <v>0.34510869565217389</v>
      </c>
    </row>
    <row r="320" spans="2:5" ht="15" customHeight="1" x14ac:dyDescent="0.25">
      <c r="B320" s="88" t="s">
        <v>149</v>
      </c>
      <c r="C320" s="46" t="s">
        <v>36</v>
      </c>
      <c r="D320" s="47">
        <v>3</v>
      </c>
      <c r="E320" s="48">
        <v>4.0760869565217389E-4</v>
      </c>
    </row>
    <row r="321" spans="2:5" ht="15" customHeight="1" x14ac:dyDescent="0.25">
      <c r="B321" s="89"/>
      <c r="C321" s="46" t="s">
        <v>27</v>
      </c>
      <c r="D321" s="47">
        <v>1</v>
      </c>
      <c r="E321" s="48">
        <v>1.3586956521739131E-4</v>
      </c>
    </row>
    <row r="322" spans="2:5" ht="15" customHeight="1" x14ac:dyDescent="0.25">
      <c r="B322" s="89"/>
      <c r="C322" s="46" t="s">
        <v>17</v>
      </c>
      <c r="D322" s="47">
        <v>16</v>
      </c>
      <c r="E322" s="48">
        <v>2.1739130434782609E-3</v>
      </c>
    </row>
    <row r="323" spans="2:5" ht="15" customHeight="1" x14ac:dyDescent="0.25">
      <c r="B323" s="89"/>
      <c r="C323" s="46" t="s">
        <v>21</v>
      </c>
      <c r="D323" s="47">
        <v>2</v>
      </c>
      <c r="E323" s="48">
        <v>2.7173913043478261E-4</v>
      </c>
    </row>
    <row r="324" spans="2:5" ht="15" customHeight="1" x14ac:dyDescent="0.25">
      <c r="B324" s="89"/>
      <c r="C324" s="46" t="s">
        <v>23</v>
      </c>
      <c r="D324" s="47">
        <v>3</v>
      </c>
      <c r="E324" s="48">
        <v>4.0760869565217389E-4</v>
      </c>
    </row>
    <row r="325" spans="2:5" ht="15" customHeight="1" x14ac:dyDescent="0.25">
      <c r="B325" s="89"/>
      <c r="C325" s="46" t="s">
        <v>19</v>
      </c>
      <c r="D325" s="47">
        <v>12</v>
      </c>
      <c r="E325" s="48">
        <v>1.6304347826086956E-3</v>
      </c>
    </row>
    <row r="326" spans="2:5" ht="15" customHeight="1" x14ac:dyDescent="0.25">
      <c r="B326" s="89"/>
      <c r="C326" s="46" t="s">
        <v>22</v>
      </c>
      <c r="D326" s="47">
        <v>2</v>
      </c>
      <c r="E326" s="48">
        <v>2.7173913043478261E-4</v>
      </c>
    </row>
    <row r="327" spans="2:5" ht="15" customHeight="1" x14ac:dyDescent="0.25">
      <c r="B327" s="89"/>
      <c r="C327" s="46" t="s">
        <v>29</v>
      </c>
      <c r="D327" s="47">
        <v>1</v>
      </c>
      <c r="E327" s="48">
        <v>1.3586956521739131E-4</v>
      </c>
    </row>
    <row r="328" spans="2:5" ht="15" customHeight="1" x14ac:dyDescent="0.25">
      <c r="B328" s="89"/>
      <c r="C328" s="46" t="s">
        <v>47</v>
      </c>
      <c r="D328" s="47">
        <v>1</v>
      </c>
      <c r="E328" s="48">
        <v>1.3586956521739131E-4</v>
      </c>
    </row>
    <row r="329" spans="2:5" ht="15" customHeight="1" x14ac:dyDescent="0.25">
      <c r="B329" s="89"/>
      <c r="C329" s="46" t="s">
        <v>35</v>
      </c>
      <c r="D329" s="47">
        <v>1</v>
      </c>
      <c r="E329" s="48">
        <v>1.3586956521739131E-4</v>
      </c>
    </row>
    <row r="330" spans="2:5" ht="15" customHeight="1" x14ac:dyDescent="0.25">
      <c r="B330" s="89"/>
      <c r="C330" s="46" t="s">
        <v>34</v>
      </c>
      <c r="D330" s="47">
        <v>1</v>
      </c>
      <c r="E330" s="48">
        <v>1.3586956521739131E-4</v>
      </c>
    </row>
    <row r="331" spans="2:5" ht="15" customHeight="1" x14ac:dyDescent="0.25">
      <c r="B331" s="89"/>
      <c r="C331" s="46" t="s">
        <v>24</v>
      </c>
      <c r="D331" s="47">
        <v>2</v>
      </c>
      <c r="E331" s="48">
        <v>2.7173913043478261E-4</v>
      </c>
    </row>
    <row r="332" spans="2:5" ht="15" customHeight="1" x14ac:dyDescent="0.25">
      <c r="B332" s="89"/>
      <c r="C332" s="46" t="s">
        <v>31</v>
      </c>
      <c r="D332" s="47">
        <v>1</v>
      </c>
      <c r="E332" s="48">
        <v>1.3586956521739131E-4</v>
      </c>
    </row>
    <row r="333" spans="2:5" ht="15" customHeight="1" x14ac:dyDescent="0.25">
      <c r="B333" s="89"/>
      <c r="C333" s="46" t="s">
        <v>43</v>
      </c>
      <c r="D333" s="47">
        <v>1</v>
      </c>
      <c r="E333" s="48">
        <v>1.3586956521739131E-4</v>
      </c>
    </row>
    <row r="334" spans="2:5" ht="15" customHeight="1" x14ac:dyDescent="0.25">
      <c r="B334" s="89"/>
      <c r="C334" s="46" t="s">
        <v>20</v>
      </c>
      <c r="D334" s="47">
        <v>2</v>
      </c>
      <c r="E334" s="48">
        <v>2.7173913043478261E-4</v>
      </c>
    </row>
    <row r="335" spans="2:5" ht="15" customHeight="1" x14ac:dyDescent="0.25">
      <c r="B335" s="89"/>
      <c r="C335" s="46" t="s">
        <v>30</v>
      </c>
      <c r="D335" s="47">
        <v>3</v>
      </c>
      <c r="E335" s="48">
        <v>4.0760869565217389E-4</v>
      </c>
    </row>
    <row r="336" spans="2:5" ht="15" customHeight="1" x14ac:dyDescent="0.25">
      <c r="B336" s="89"/>
      <c r="C336" s="46" t="s">
        <v>18</v>
      </c>
      <c r="D336" s="47">
        <v>20</v>
      </c>
      <c r="E336" s="48">
        <v>2.717391304347826E-3</v>
      </c>
    </row>
    <row r="337" spans="2:5" ht="15" customHeight="1" x14ac:dyDescent="0.25">
      <c r="B337" s="89"/>
      <c r="C337" s="46" t="s">
        <v>32</v>
      </c>
      <c r="D337" s="47">
        <v>2</v>
      </c>
      <c r="E337" s="48">
        <v>2.7173913043478261E-4</v>
      </c>
    </row>
    <row r="338" spans="2:5" ht="15" customHeight="1" x14ac:dyDescent="0.25">
      <c r="B338" s="89"/>
      <c r="C338" s="46" t="s">
        <v>40</v>
      </c>
      <c r="D338" s="47">
        <v>2</v>
      </c>
      <c r="E338" s="48">
        <v>2.7173913043478261E-4</v>
      </c>
    </row>
    <row r="339" spans="2:5" ht="15" customHeight="1" x14ac:dyDescent="0.25">
      <c r="B339" s="90"/>
      <c r="C339" s="49" t="s">
        <v>63</v>
      </c>
      <c r="D339" s="50">
        <v>76</v>
      </c>
      <c r="E339" s="51">
        <v>1.0326086956521738E-2</v>
      </c>
    </row>
    <row r="340" spans="2:5" ht="15" customHeight="1" x14ac:dyDescent="0.25">
      <c r="B340" s="88" t="s">
        <v>150</v>
      </c>
      <c r="C340" s="46" t="s">
        <v>46</v>
      </c>
      <c r="D340" s="47">
        <v>3</v>
      </c>
      <c r="E340" s="48">
        <v>4.0760869565217389E-4</v>
      </c>
    </row>
    <row r="341" spans="2:5" ht="15" customHeight="1" x14ac:dyDescent="0.25">
      <c r="B341" s="89"/>
      <c r="C341" s="46" t="s">
        <v>36</v>
      </c>
      <c r="D341" s="47">
        <v>1</v>
      </c>
      <c r="E341" s="48">
        <v>1.3586956521739131E-4</v>
      </c>
    </row>
    <row r="342" spans="2:5" ht="15" customHeight="1" x14ac:dyDescent="0.25">
      <c r="B342" s="89"/>
      <c r="C342" s="46" t="s">
        <v>27</v>
      </c>
      <c r="D342" s="47">
        <v>5</v>
      </c>
      <c r="E342" s="48">
        <v>6.793478260869565E-4</v>
      </c>
    </row>
    <row r="343" spans="2:5" ht="15" customHeight="1" x14ac:dyDescent="0.25">
      <c r="B343" s="89"/>
      <c r="C343" s="46" t="s">
        <v>17</v>
      </c>
      <c r="D343" s="47">
        <v>101</v>
      </c>
      <c r="E343" s="48">
        <v>1.3722826086956522E-2</v>
      </c>
    </row>
    <row r="344" spans="2:5" ht="15" customHeight="1" x14ac:dyDescent="0.25">
      <c r="B344" s="89"/>
      <c r="C344" s="46" t="s">
        <v>21</v>
      </c>
      <c r="D344" s="47">
        <v>35</v>
      </c>
      <c r="E344" s="48">
        <v>4.755434782608696E-3</v>
      </c>
    </row>
    <row r="345" spans="2:5" ht="15" customHeight="1" x14ac:dyDescent="0.25">
      <c r="B345" s="89"/>
      <c r="C345" s="46" t="s">
        <v>51</v>
      </c>
      <c r="D345" s="47">
        <v>1</v>
      </c>
      <c r="E345" s="48">
        <v>1.3586956521739131E-4</v>
      </c>
    </row>
    <row r="346" spans="2:5" ht="15" customHeight="1" x14ac:dyDescent="0.25">
      <c r="B346" s="89"/>
      <c r="C346" s="46" t="s">
        <v>54</v>
      </c>
      <c r="D346" s="47">
        <v>1</v>
      </c>
      <c r="E346" s="48">
        <v>1.3586956521739131E-4</v>
      </c>
    </row>
    <row r="347" spans="2:5" ht="15" customHeight="1" x14ac:dyDescent="0.25">
      <c r="B347" s="89"/>
      <c r="C347" s="46" t="s">
        <v>23</v>
      </c>
      <c r="D347" s="47">
        <v>9</v>
      </c>
      <c r="E347" s="48">
        <v>1.2228260869565218E-3</v>
      </c>
    </row>
    <row r="348" spans="2:5" ht="15" customHeight="1" x14ac:dyDescent="0.25">
      <c r="B348" s="89"/>
      <c r="C348" s="46" t="s">
        <v>26</v>
      </c>
      <c r="D348" s="47">
        <v>6</v>
      </c>
      <c r="E348" s="48">
        <v>8.1521739130434778E-4</v>
      </c>
    </row>
    <row r="349" spans="2:5" ht="15" customHeight="1" x14ac:dyDescent="0.25">
      <c r="B349" s="89"/>
      <c r="C349" s="46" t="s">
        <v>44</v>
      </c>
      <c r="D349" s="47">
        <v>1</v>
      </c>
      <c r="E349" s="48">
        <v>1.3586956521739131E-4</v>
      </c>
    </row>
    <row r="350" spans="2:5" ht="15" customHeight="1" x14ac:dyDescent="0.25">
      <c r="B350" s="89"/>
      <c r="C350" s="46" t="s">
        <v>19</v>
      </c>
      <c r="D350" s="47">
        <v>50</v>
      </c>
      <c r="E350" s="48">
        <v>6.793478260869565E-3</v>
      </c>
    </row>
    <row r="351" spans="2:5" ht="15" customHeight="1" x14ac:dyDescent="0.25">
      <c r="B351" s="89"/>
      <c r="C351" s="46" t="s">
        <v>22</v>
      </c>
      <c r="D351" s="47">
        <v>23</v>
      </c>
      <c r="E351" s="48">
        <v>3.1250000000000002E-3</v>
      </c>
    </row>
    <row r="352" spans="2:5" ht="15" customHeight="1" x14ac:dyDescent="0.25">
      <c r="B352" s="89"/>
      <c r="C352" s="46" t="s">
        <v>37</v>
      </c>
      <c r="D352" s="47">
        <v>5</v>
      </c>
      <c r="E352" s="48">
        <v>6.793478260869565E-4</v>
      </c>
    </row>
    <row r="353" spans="2:5" ht="15" customHeight="1" x14ac:dyDescent="0.25">
      <c r="B353" s="89"/>
      <c r="C353" s="46" t="s">
        <v>29</v>
      </c>
      <c r="D353" s="47">
        <v>8</v>
      </c>
      <c r="E353" s="48">
        <v>1.0869565217391304E-3</v>
      </c>
    </row>
    <row r="354" spans="2:5" ht="15" customHeight="1" x14ac:dyDescent="0.25">
      <c r="B354" s="89"/>
      <c r="C354" s="46" t="s">
        <v>33</v>
      </c>
      <c r="D354" s="47">
        <v>8</v>
      </c>
      <c r="E354" s="48">
        <v>1.0869565217391304E-3</v>
      </c>
    </row>
    <row r="355" spans="2:5" ht="15" customHeight="1" x14ac:dyDescent="0.25">
      <c r="B355" s="89"/>
      <c r="C355" s="46" t="s">
        <v>47</v>
      </c>
      <c r="D355" s="47">
        <v>2</v>
      </c>
      <c r="E355" s="48">
        <v>2.7173913043478261E-4</v>
      </c>
    </row>
    <row r="356" spans="2:5" ht="15" customHeight="1" x14ac:dyDescent="0.25">
      <c r="B356" s="89"/>
      <c r="C356" s="46" t="s">
        <v>52</v>
      </c>
      <c r="D356" s="47">
        <v>1</v>
      </c>
      <c r="E356" s="48">
        <v>1.3586956521739131E-4</v>
      </c>
    </row>
    <row r="357" spans="2:5" ht="15" customHeight="1" x14ac:dyDescent="0.25">
      <c r="B357" s="89"/>
      <c r="C357" s="46" t="s">
        <v>35</v>
      </c>
      <c r="D357" s="47">
        <v>4</v>
      </c>
      <c r="E357" s="48">
        <v>5.4347826086956522E-4</v>
      </c>
    </row>
    <row r="358" spans="2:5" ht="15" customHeight="1" x14ac:dyDescent="0.25">
      <c r="B358" s="89"/>
      <c r="C358" s="46" t="s">
        <v>45</v>
      </c>
      <c r="D358" s="47">
        <v>1</v>
      </c>
      <c r="E358" s="48">
        <v>1.3586956521739131E-4</v>
      </c>
    </row>
    <row r="359" spans="2:5" ht="15" customHeight="1" x14ac:dyDescent="0.25">
      <c r="B359" s="89"/>
      <c r="C359" s="46" t="s">
        <v>42</v>
      </c>
      <c r="D359" s="47">
        <v>7</v>
      </c>
      <c r="E359" s="48">
        <v>9.5108695652173917E-4</v>
      </c>
    </row>
    <row r="360" spans="2:5" ht="15" customHeight="1" x14ac:dyDescent="0.25">
      <c r="B360" s="89"/>
      <c r="C360" s="46" t="s">
        <v>34</v>
      </c>
      <c r="D360" s="47">
        <v>2</v>
      </c>
      <c r="E360" s="48">
        <v>2.7173913043478261E-4</v>
      </c>
    </row>
    <row r="361" spans="2:5" ht="15" customHeight="1" x14ac:dyDescent="0.25">
      <c r="B361" s="89"/>
      <c r="C361" s="46" t="s">
        <v>24</v>
      </c>
      <c r="D361" s="47">
        <v>17</v>
      </c>
      <c r="E361" s="48">
        <v>2.3097826086956523E-3</v>
      </c>
    </row>
    <row r="362" spans="2:5" ht="15" customHeight="1" x14ac:dyDescent="0.25">
      <c r="B362" s="89"/>
      <c r="C362" s="46" t="s">
        <v>55</v>
      </c>
      <c r="D362" s="47">
        <v>1</v>
      </c>
      <c r="E362" s="48">
        <v>1.3586956521739131E-4</v>
      </c>
    </row>
    <row r="363" spans="2:5" ht="15" customHeight="1" x14ac:dyDescent="0.25">
      <c r="B363" s="89"/>
      <c r="C363" s="46" t="s">
        <v>31</v>
      </c>
      <c r="D363" s="47">
        <v>5</v>
      </c>
      <c r="E363" s="48">
        <v>6.793478260869565E-4</v>
      </c>
    </row>
    <row r="364" spans="2:5" ht="15" customHeight="1" x14ac:dyDescent="0.25">
      <c r="B364" s="89"/>
      <c r="C364" s="46" t="s">
        <v>49</v>
      </c>
      <c r="D364" s="47">
        <v>1</v>
      </c>
      <c r="E364" s="48">
        <v>1.3586956521739131E-4</v>
      </c>
    </row>
    <row r="365" spans="2:5" ht="15" customHeight="1" x14ac:dyDescent="0.25">
      <c r="B365" s="89"/>
      <c r="C365" s="46" t="s">
        <v>25</v>
      </c>
      <c r="D365" s="47">
        <v>12</v>
      </c>
      <c r="E365" s="48">
        <v>1.6304347826086956E-3</v>
      </c>
    </row>
    <row r="366" spans="2:5" ht="15" customHeight="1" x14ac:dyDescent="0.25">
      <c r="B366" s="89"/>
      <c r="C366" s="46" t="s">
        <v>43</v>
      </c>
      <c r="D366" s="47">
        <v>1</v>
      </c>
      <c r="E366" s="48">
        <v>1.3586956521739131E-4</v>
      </c>
    </row>
    <row r="367" spans="2:5" ht="15" customHeight="1" x14ac:dyDescent="0.25">
      <c r="B367" s="89"/>
      <c r="C367" s="46" t="s">
        <v>20</v>
      </c>
      <c r="D367" s="47">
        <v>31</v>
      </c>
      <c r="E367" s="48">
        <v>4.2119565217391304E-3</v>
      </c>
    </row>
    <row r="368" spans="2:5" ht="15" customHeight="1" x14ac:dyDescent="0.25">
      <c r="B368" s="89"/>
      <c r="C368" s="46" t="s">
        <v>41</v>
      </c>
      <c r="D368" s="47">
        <v>2</v>
      </c>
      <c r="E368" s="48">
        <v>2.7173913043478261E-4</v>
      </c>
    </row>
    <row r="369" spans="2:5" ht="15" customHeight="1" x14ac:dyDescent="0.25">
      <c r="B369" s="89"/>
      <c r="C369" s="46" t="s">
        <v>50</v>
      </c>
      <c r="D369" s="47">
        <v>1</v>
      </c>
      <c r="E369" s="48">
        <v>1.3586956521739131E-4</v>
      </c>
    </row>
    <row r="370" spans="2:5" ht="15" customHeight="1" x14ac:dyDescent="0.25">
      <c r="B370" s="89"/>
      <c r="C370" s="46" t="s">
        <v>39</v>
      </c>
      <c r="D370" s="47">
        <v>6</v>
      </c>
      <c r="E370" s="48">
        <v>8.1521739130434778E-4</v>
      </c>
    </row>
    <row r="371" spans="2:5" ht="15" customHeight="1" x14ac:dyDescent="0.25">
      <c r="B371" s="89"/>
      <c r="C371" s="46" t="s">
        <v>30</v>
      </c>
      <c r="D371" s="47">
        <v>3</v>
      </c>
      <c r="E371" s="48">
        <v>4.0760869565217389E-4</v>
      </c>
    </row>
    <row r="372" spans="2:5" ht="15" customHeight="1" x14ac:dyDescent="0.25">
      <c r="B372" s="89"/>
      <c r="C372" s="46" t="s">
        <v>18</v>
      </c>
      <c r="D372" s="47">
        <v>85</v>
      </c>
      <c r="E372" s="48">
        <v>1.154891304347826E-2</v>
      </c>
    </row>
    <row r="373" spans="2:5" ht="15" customHeight="1" x14ac:dyDescent="0.25">
      <c r="B373" s="89"/>
      <c r="C373" s="46" t="s">
        <v>28</v>
      </c>
      <c r="D373" s="47">
        <v>1</v>
      </c>
      <c r="E373" s="48">
        <v>1.3586956521739131E-4</v>
      </c>
    </row>
    <row r="374" spans="2:5" ht="15" customHeight="1" x14ac:dyDescent="0.25">
      <c r="B374" s="89"/>
      <c r="C374" s="46" t="s">
        <v>38</v>
      </c>
      <c r="D374" s="47">
        <v>2</v>
      </c>
      <c r="E374" s="48">
        <v>2.7173913043478261E-4</v>
      </c>
    </row>
    <row r="375" spans="2:5" ht="15" customHeight="1" x14ac:dyDescent="0.25">
      <c r="B375" s="89"/>
      <c r="C375" s="46" t="s">
        <v>32</v>
      </c>
      <c r="D375" s="47">
        <v>2</v>
      </c>
      <c r="E375" s="48">
        <v>2.7173913043478261E-4</v>
      </c>
    </row>
    <row r="376" spans="2:5" ht="15" customHeight="1" x14ac:dyDescent="0.25">
      <c r="B376" s="89"/>
      <c r="C376" s="46" t="s">
        <v>40</v>
      </c>
      <c r="D376" s="47">
        <v>2</v>
      </c>
      <c r="E376" s="48">
        <v>2.7173913043478261E-4</v>
      </c>
    </row>
    <row r="377" spans="2:5" ht="15" customHeight="1" x14ac:dyDescent="0.25">
      <c r="B377" s="90"/>
      <c r="C377" s="49" t="s">
        <v>63</v>
      </c>
      <c r="D377" s="50">
        <v>446</v>
      </c>
      <c r="E377" s="51">
        <v>6.0597826086956519E-2</v>
      </c>
    </row>
    <row r="378" spans="2:5" ht="15" customHeight="1" x14ac:dyDescent="0.25">
      <c r="B378" s="88" t="s">
        <v>151</v>
      </c>
      <c r="C378" s="46" t="s">
        <v>46</v>
      </c>
      <c r="D378" s="47">
        <v>4</v>
      </c>
      <c r="E378" s="48">
        <v>5.4347826086956522E-4</v>
      </c>
    </row>
    <row r="379" spans="2:5" ht="15" customHeight="1" x14ac:dyDescent="0.25">
      <c r="B379" s="89"/>
      <c r="C379" s="46" t="s">
        <v>58</v>
      </c>
      <c r="D379" s="47">
        <v>1</v>
      </c>
      <c r="E379" s="48">
        <v>1.3586956521739131E-4</v>
      </c>
    </row>
    <row r="380" spans="2:5" ht="15" customHeight="1" x14ac:dyDescent="0.25">
      <c r="B380" s="89"/>
      <c r="C380" s="46" t="s">
        <v>36</v>
      </c>
      <c r="D380" s="47">
        <v>9</v>
      </c>
      <c r="E380" s="48">
        <v>1.2228260869565218E-3</v>
      </c>
    </row>
    <row r="381" spans="2:5" ht="15" customHeight="1" x14ac:dyDescent="0.25">
      <c r="B381" s="89"/>
      <c r="C381" s="46" t="s">
        <v>27</v>
      </c>
      <c r="D381" s="47">
        <v>26</v>
      </c>
      <c r="E381" s="48">
        <v>3.5326086956521739E-3</v>
      </c>
    </row>
    <row r="382" spans="2:5" ht="15" customHeight="1" x14ac:dyDescent="0.25">
      <c r="B382" s="89"/>
      <c r="C382" s="46" t="s">
        <v>17</v>
      </c>
      <c r="D382" s="47">
        <v>299</v>
      </c>
      <c r="E382" s="48">
        <v>4.0625000000000001E-2</v>
      </c>
    </row>
    <row r="383" spans="2:5" ht="15" customHeight="1" x14ac:dyDescent="0.25">
      <c r="B383" s="89"/>
      <c r="C383" s="46" t="s">
        <v>21</v>
      </c>
      <c r="D383" s="47">
        <v>58</v>
      </c>
      <c r="E383" s="48">
        <v>7.8804347826086953E-3</v>
      </c>
    </row>
    <row r="384" spans="2:5" ht="15" customHeight="1" x14ac:dyDescent="0.25">
      <c r="B384" s="89"/>
      <c r="C384" s="46" t="s">
        <v>51</v>
      </c>
      <c r="D384" s="47">
        <v>2</v>
      </c>
      <c r="E384" s="48">
        <v>2.7173913043478261E-4</v>
      </c>
    </row>
    <row r="385" spans="2:5" ht="15" customHeight="1" x14ac:dyDescent="0.25">
      <c r="B385" s="89"/>
      <c r="C385" s="46" t="s">
        <v>23</v>
      </c>
      <c r="D385" s="47">
        <v>24</v>
      </c>
      <c r="E385" s="48">
        <v>3.2608695652173911E-3</v>
      </c>
    </row>
    <row r="386" spans="2:5" ht="15" customHeight="1" x14ac:dyDescent="0.25">
      <c r="B386" s="89"/>
      <c r="C386" s="46" t="s">
        <v>26</v>
      </c>
      <c r="D386" s="47">
        <v>20</v>
      </c>
      <c r="E386" s="48">
        <v>2.717391304347826E-3</v>
      </c>
    </row>
    <row r="387" spans="2:5" ht="15" customHeight="1" x14ac:dyDescent="0.25">
      <c r="B387" s="89"/>
      <c r="C387" s="46" t="s">
        <v>44</v>
      </c>
      <c r="D387" s="47">
        <v>3</v>
      </c>
      <c r="E387" s="48">
        <v>4.0760869565217389E-4</v>
      </c>
    </row>
    <row r="388" spans="2:5" ht="15" customHeight="1" x14ac:dyDescent="0.25">
      <c r="B388" s="89"/>
      <c r="C388" s="46" t="s">
        <v>19</v>
      </c>
      <c r="D388" s="47">
        <v>152</v>
      </c>
      <c r="E388" s="48">
        <v>2.0652173913043477E-2</v>
      </c>
    </row>
    <row r="389" spans="2:5" ht="15" customHeight="1" x14ac:dyDescent="0.25">
      <c r="B389" s="89"/>
      <c r="C389" s="46" t="s">
        <v>22</v>
      </c>
      <c r="D389" s="47">
        <v>52</v>
      </c>
      <c r="E389" s="48">
        <v>7.0652173913043478E-3</v>
      </c>
    </row>
    <row r="390" spans="2:5" ht="15" customHeight="1" x14ac:dyDescent="0.25">
      <c r="B390" s="89"/>
      <c r="C390" s="46" t="s">
        <v>37</v>
      </c>
      <c r="D390" s="47">
        <v>4</v>
      </c>
      <c r="E390" s="48">
        <v>5.4347826086956522E-4</v>
      </c>
    </row>
    <row r="391" spans="2:5" ht="15" customHeight="1" x14ac:dyDescent="0.25">
      <c r="B391" s="89"/>
      <c r="C391" s="46" t="s">
        <v>29</v>
      </c>
      <c r="D391" s="47">
        <v>17</v>
      </c>
      <c r="E391" s="48">
        <v>2.3097826086956523E-3</v>
      </c>
    </row>
    <row r="392" spans="2:5" ht="15" customHeight="1" x14ac:dyDescent="0.25">
      <c r="B392" s="89"/>
      <c r="C392" s="46" t="s">
        <v>33</v>
      </c>
      <c r="D392" s="47">
        <v>7</v>
      </c>
      <c r="E392" s="48">
        <v>9.5108695652173917E-4</v>
      </c>
    </row>
    <row r="393" spans="2:5" ht="15" customHeight="1" x14ac:dyDescent="0.25">
      <c r="B393" s="89"/>
      <c r="C393" s="46" t="s">
        <v>52</v>
      </c>
      <c r="D393" s="47">
        <v>2</v>
      </c>
      <c r="E393" s="48">
        <v>2.7173913043478261E-4</v>
      </c>
    </row>
    <row r="394" spans="2:5" ht="15" customHeight="1" x14ac:dyDescent="0.25">
      <c r="B394" s="89"/>
      <c r="C394" s="46" t="s">
        <v>35</v>
      </c>
      <c r="D394" s="47">
        <v>4</v>
      </c>
      <c r="E394" s="48">
        <v>5.4347826086956522E-4</v>
      </c>
    </row>
    <row r="395" spans="2:5" ht="15" customHeight="1" x14ac:dyDescent="0.25">
      <c r="B395" s="89"/>
      <c r="C395" s="46" t="s">
        <v>45</v>
      </c>
      <c r="D395" s="47">
        <v>5</v>
      </c>
      <c r="E395" s="48">
        <v>6.793478260869565E-4</v>
      </c>
    </row>
    <row r="396" spans="2:5" ht="15" customHeight="1" x14ac:dyDescent="0.25">
      <c r="B396" s="89"/>
      <c r="C396" s="46" t="s">
        <v>42</v>
      </c>
      <c r="D396" s="47">
        <v>5</v>
      </c>
      <c r="E396" s="48">
        <v>6.793478260869565E-4</v>
      </c>
    </row>
    <row r="397" spans="2:5" ht="15" customHeight="1" x14ac:dyDescent="0.25">
      <c r="B397" s="89"/>
      <c r="C397" s="46" t="s">
        <v>34</v>
      </c>
      <c r="D397" s="47">
        <v>8</v>
      </c>
      <c r="E397" s="48">
        <v>1.0869565217391304E-3</v>
      </c>
    </row>
    <row r="398" spans="2:5" ht="15" customHeight="1" x14ac:dyDescent="0.25">
      <c r="B398" s="89"/>
      <c r="C398" s="46" t="s">
        <v>24</v>
      </c>
      <c r="D398" s="47">
        <v>21</v>
      </c>
      <c r="E398" s="48">
        <v>2.8532608695652174E-3</v>
      </c>
    </row>
    <row r="399" spans="2:5" ht="15" customHeight="1" x14ac:dyDescent="0.25">
      <c r="B399" s="89"/>
      <c r="C399" s="46" t="s">
        <v>61</v>
      </c>
      <c r="D399" s="47">
        <v>1</v>
      </c>
      <c r="E399" s="48">
        <v>1.3586956521739131E-4</v>
      </c>
    </row>
    <row r="400" spans="2:5" ht="15" customHeight="1" x14ac:dyDescent="0.25">
      <c r="B400" s="89"/>
      <c r="C400" s="46" t="s">
        <v>55</v>
      </c>
      <c r="D400" s="47">
        <v>1</v>
      </c>
      <c r="E400" s="48">
        <v>1.3586956521739131E-4</v>
      </c>
    </row>
    <row r="401" spans="2:5" ht="15" customHeight="1" x14ac:dyDescent="0.25">
      <c r="B401" s="89"/>
      <c r="C401" s="46" t="s">
        <v>31</v>
      </c>
      <c r="D401" s="47">
        <v>21</v>
      </c>
      <c r="E401" s="48">
        <v>2.8532608695652174E-3</v>
      </c>
    </row>
    <row r="402" spans="2:5" ht="15" customHeight="1" x14ac:dyDescent="0.25">
      <c r="B402" s="89"/>
      <c r="C402" s="46" t="s">
        <v>49</v>
      </c>
      <c r="D402" s="47">
        <v>2</v>
      </c>
      <c r="E402" s="48">
        <v>2.7173913043478261E-4</v>
      </c>
    </row>
    <row r="403" spans="2:5" ht="15" customHeight="1" x14ac:dyDescent="0.25">
      <c r="B403" s="89"/>
      <c r="C403" s="46" t="s">
        <v>25</v>
      </c>
      <c r="D403" s="47">
        <v>13</v>
      </c>
      <c r="E403" s="48">
        <v>1.766304347826087E-3</v>
      </c>
    </row>
    <row r="404" spans="2:5" ht="15" customHeight="1" x14ac:dyDescent="0.25">
      <c r="B404" s="89"/>
      <c r="C404" s="46" t="s">
        <v>62</v>
      </c>
      <c r="D404" s="47">
        <v>1</v>
      </c>
      <c r="E404" s="48">
        <v>1.3586956521739131E-4</v>
      </c>
    </row>
    <row r="405" spans="2:5" ht="15" customHeight="1" x14ac:dyDescent="0.25">
      <c r="B405" s="89"/>
      <c r="C405" s="46" t="s">
        <v>43</v>
      </c>
      <c r="D405" s="47">
        <v>4</v>
      </c>
      <c r="E405" s="48">
        <v>5.4347826086956522E-4</v>
      </c>
    </row>
    <row r="406" spans="2:5" ht="15" customHeight="1" x14ac:dyDescent="0.25">
      <c r="B406" s="89"/>
      <c r="C406" s="46" t="s">
        <v>20</v>
      </c>
      <c r="D406" s="47">
        <v>125</v>
      </c>
      <c r="E406" s="48">
        <v>1.6983695652173912E-2</v>
      </c>
    </row>
    <row r="407" spans="2:5" ht="15" customHeight="1" x14ac:dyDescent="0.25">
      <c r="B407" s="89"/>
      <c r="C407" s="46" t="s">
        <v>41</v>
      </c>
      <c r="D407" s="47">
        <v>7</v>
      </c>
      <c r="E407" s="48">
        <v>9.5108695652173917E-4</v>
      </c>
    </row>
    <row r="408" spans="2:5" ht="15" customHeight="1" x14ac:dyDescent="0.25">
      <c r="B408" s="89"/>
      <c r="C408" s="46" t="s">
        <v>50</v>
      </c>
      <c r="D408" s="47">
        <v>1</v>
      </c>
      <c r="E408" s="48">
        <v>1.3586956521739131E-4</v>
      </c>
    </row>
    <row r="409" spans="2:5" ht="15" customHeight="1" x14ac:dyDescent="0.25">
      <c r="B409" s="89"/>
      <c r="C409" s="46" t="s">
        <v>39</v>
      </c>
      <c r="D409" s="47">
        <v>3</v>
      </c>
      <c r="E409" s="48">
        <v>4.0760869565217389E-4</v>
      </c>
    </row>
    <row r="410" spans="2:5" ht="15" customHeight="1" x14ac:dyDescent="0.25">
      <c r="B410" s="89"/>
      <c r="C410" s="46" t="s">
        <v>53</v>
      </c>
      <c r="D410" s="47">
        <v>2</v>
      </c>
      <c r="E410" s="48">
        <v>2.7173913043478261E-4</v>
      </c>
    </row>
    <row r="411" spans="2:5" ht="15" customHeight="1" x14ac:dyDescent="0.25">
      <c r="B411" s="89"/>
      <c r="C411" s="46" t="s">
        <v>30</v>
      </c>
      <c r="D411" s="47">
        <v>8</v>
      </c>
      <c r="E411" s="48">
        <v>1.0869565217391304E-3</v>
      </c>
    </row>
    <row r="412" spans="2:5" ht="15" customHeight="1" x14ac:dyDescent="0.25">
      <c r="B412" s="89"/>
      <c r="C412" s="46" t="s">
        <v>18</v>
      </c>
      <c r="D412" s="47">
        <v>260</v>
      </c>
      <c r="E412" s="48">
        <v>3.5326086956521736E-2</v>
      </c>
    </row>
    <row r="413" spans="2:5" ht="15" customHeight="1" x14ac:dyDescent="0.25">
      <c r="B413" s="89"/>
      <c r="C413" s="46" t="s">
        <v>28</v>
      </c>
      <c r="D413" s="47">
        <v>27</v>
      </c>
      <c r="E413" s="48">
        <v>3.6684782608695653E-3</v>
      </c>
    </row>
    <row r="414" spans="2:5" ht="15" customHeight="1" x14ac:dyDescent="0.25">
      <c r="B414" s="89"/>
      <c r="C414" s="46" t="s">
        <v>38</v>
      </c>
      <c r="D414" s="47">
        <v>3</v>
      </c>
      <c r="E414" s="48">
        <v>4.0760869565217389E-4</v>
      </c>
    </row>
    <row r="415" spans="2:5" ht="15" customHeight="1" x14ac:dyDescent="0.25">
      <c r="B415" s="89"/>
      <c r="C415" s="46" t="s">
        <v>32</v>
      </c>
      <c r="D415" s="47">
        <v>13</v>
      </c>
      <c r="E415" s="48">
        <v>1.766304347826087E-3</v>
      </c>
    </row>
    <row r="416" spans="2:5" ht="15" customHeight="1" x14ac:dyDescent="0.25">
      <c r="B416" s="89"/>
      <c r="C416" s="46" t="s">
        <v>40</v>
      </c>
      <c r="D416" s="47">
        <v>8</v>
      </c>
      <c r="E416" s="48">
        <v>1.0869565217391304E-3</v>
      </c>
    </row>
    <row r="417" spans="2:5" ht="15" customHeight="1" x14ac:dyDescent="0.25">
      <c r="B417" s="89"/>
      <c r="C417" s="46" t="s">
        <v>56</v>
      </c>
      <c r="D417" s="47">
        <v>2</v>
      </c>
      <c r="E417" s="48">
        <v>2.7173913043478261E-4</v>
      </c>
    </row>
    <row r="418" spans="2:5" ht="15" customHeight="1" x14ac:dyDescent="0.25">
      <c r="B418" s="90"/>
      <c r="C418" s="49" t="s">
        <v>63</v>
      </c>
      <c r="D418" s="50">
        <v>1225</v>
      </c>
      <c r="E418" s="51">
        <v>0.16644021739130435</v>
      </c>
    </row>
    <row r="419" spans="2:5" ht="15" customHeight="1" x14ac:dyDescent="0.25">
      <c r="B419" s="88" t="s">
        <v>152</v>
      </c>
      <c r="C419" s="46" t="s">
        <v>17</v>
      </c>
      <c r="D419" s="47">
        <v>9</v>
      </c>
      <c r="E419" s="48">
        <v>1.2228260869565218E-3</v>
      </c>
    </row>
    <row r="420" spans="2:5" ht="15" customHeight="1" x14ac:dyDescent="0.25">
      <c r="B420" s="89"/>
      <c r="C420" s="46" t="s">
        <v>21</v>
      </c>
      <c r="D420" s="47">
        <v>1</v>
      </c>
      <c r="E420" s="48">
        <v>1.3586956521739131E-4</v>
      </c>
    </row>
    <row r="421" spans="2:5" ht="15" customHeight="1" x14ac:dyDescent="0.25">
      <c r="B421" s="89"/>
      <c r="C421" s="46" t="s">
        <v>26</v>
      </c>
      <c r="D421" s="47">
        <v>1</v>
      </c>
      <c r="E421" s="48">
        <v>1.3586956521739131E-4</v>
      </c>
    </row>
    <row r="422" spans="2:5" ht="15" customHeight="1" x14ac:dyDescent="0.25">
      <c r="B422" s="89"/>
      <c r="C422" s="46" t="s">
        <v>19</v>
      </c>
      <c r="D422" s="47">
        <v>2</v>
      </c>
      <c r="E422" s="48">
        <v>2.7173913043478261E-4</v>
      </c>
    </row>
    <row r="423" spans="2:5" ht="15" customHeight="1" x14ac:dyDescent="0.25">
      <c r="B423" s="89"/>
      <c r="C423" s="46" t="s">
        <v>25</v>
      </c>
      <c r="D423" s="47">
        <v>1</v>
      </c>
      <c r="E423" s="48">
        <v>1.3586956521739131E-4</v>
      </c>
    </row>
    <row r="424" spans="2:5" ht="15" customHeight="1" x14ac:dyDescent="0.25">
      <c r="B424" s="89"/>
      <c r="C424" s="46" t="s">
        <v>18</v>
      </c>
      <c r="D424" s="47">
        <v>2</v>
      </c>
      <c r="E424" s="48">
        <v>2.7173913043478261E-4</v>
      </c>
    </row>
    <row r="425" spans="2:5" ht="15" customHeight="1" x14ac:dyDescent="0.25">
      <c r="B425" s="90"/>
      <c r="C425" s="49" t="s">
        <v>63</v>
      </c>
      <c r="D425" s="50">
        <v>16</v>
      </c>
      <c r="E425" s="51">
        <v>2.1739130434782609E-3</v>
      </c>
    </row>
    <row r="426" spans="2:5" ht="15" customHeight="1" x14ac:dyDescent="0.25">
      <c r="B426" s="88" t="s">
        <v>153</v>
      </c>
      <c r="C426" s="46" t="s">
        <v>36</v>
      </c>
      <c r="D426" s="47">
        <v>1</v>
      </c>
      <c r="E426" s="48">
        <v>1.3586956521739131E-4</v>
      </c>
    </row>
    <row r="427" spans="2:5" ht="15" customHeight="1" x14ac:dyDescent="0.25">
      <c r="B427" s="89"/>
      <c r="C427" s="46" t="s">
        <v>17</v>
      </c>
      <c r="D427" s="47">
        <v>8</v>
      </c>
      <c r="E427" s="48">
        <v>1.0869565217391304E-3</v>
      </c>
    </row>
    <row r="428" spans="2:5" ht="15" customHeight="1" x14ac:dyDescent="0.25">
      <c r="B428" s="89"/>
      <c r="C428" s="46" t="s">
        <v>21</v>
      </c>
      <c r="D428" s="47">
        <v>1</v>
      </c>
      <c r="E428" s="48">
        <v>1.3586956521739131E-4</v>
      </c>
    </row>
    <row r="429" spans="2:5" ht="15" customHeight="1" x14ac:dyDescent="0.25">
      <c r="B429" s="89"/>
      <c r="C429" s="46" t="s">
        <v>19</v>
      </c>
      <c r="D429" s="47">
        <v>1</v>
      </c>
      <c r="E429" s="48">
        <v>1.3586956521739131E-4</v>
      </c>
    </row>
    <row r="430" spans="2:5" ht="15" customHeight="1" x14ac:dyDescent="0.25">
      <c r="B430" s="89"/>
      <c r="C430" s="46" t="s">
        <v>22</v>
      </c>
      <c r="D430" s="47">
        <v>1</v>
      </c>
      <c r="E430" s="48">
        <v>1.3586956521739131E-4</v>
      </c>
    </row>
    <row r="431" spans="2:5" ht="15" customHeight="1" x14ac:dyDescent="0.25">
      <c r="B431" s="89"/>
      <c r="C431" s="46" t="s">
        <v>33</v>
      </c>
      <c r="D431" s="47">
        <v>1</v>
      </c>
      <c r="E431" s="48">
        <v>1.3586956521739131E-4</v>
      </c>
    </row>
    <row r="432" spans="2:5" ht="15" customHeight="1" x14ac:dyDescent="0.25">
      <c r="B432" s="89"/>
      <c r="C432" s="46" t="s">
        <v>42</v>
      </c>
      <c r="D432" s="47">
        <v>1</v>
      </c>
      <c r="E432" s="48">
        <v>1.3586956521739131E-4</v>
      </c>
    </row>
    <row r="433" spans="2:5" ht="15" customHeight="1" x14ac:dyDescent="0.25">
      <c r="B433" s="89"/>
      <c r="C433" s="46" t="s">
        <v>20</v>
      </c>
      <c r="D433" s="47">
        <v>1</v>
      </c>
      <c r="E433" s="48">
        <v>1.3586956521739131E-4</v>
      </c>
    </row>
    <row r="434" spans="2:5" ht="15" customHeight="1" x14ac:dyDescent="0.25">
      <c r="B434" s="89"/>
      <c r="C434" s="46" t="s">
        <v>18</v>
      </c>
      <c r="D434" s="47">
        <v>6</v>
      </c>
      <c r="E434" s="48">
        <v>8.1521739130434778E-4</v>
      </c>
    </row>
    <row r="435" spans="2:5" ht="15" customHeight="1" x14ac:dyDescent="0.25">
      <c r="B435" s="89"/>
      <c r="C435" s="46" t="s">
        <v>28</v>
      </c>
      <c r="D435" s="47">
        <v>1</v>
      </c>
      <c r="E435" s="48">
        <v>1.3586956521739131E-4</v>
      </c>
    </row>
    <row r="436" spans="2:5" ht="15" customHeight="1" x14ac:dyDescent="0.25">
      <c r="B436" s="89"/>
      <c r="C436" s="46" t="s">
        <v>32</v>
      </c>
      <c r="D436" s="47">
        <v>1</v>
      </c>
      <c r="E436" s="48">
        <v>1.3586956521739131E-4</v>
      </c>
    </row>
    <row r="437" spans="2:5" ht="15" customHeight="1" x14ac:dyDescent="0.25">
      <c r="B437" s="90"/>
      <c r="C437" s="49" t="s">
        <v>63</v>
      </c>
      <c r="D437" s="50">
        <v>23</v>
      </c>
      <c r="E437" s="51">
        <v>3.1250000000000002E-3</v>
      </c>
    </row>
    <row r="438" spans="2:5" ht="15" customHeight="1" x14ac:dyDescent="0.25">
      <c r="B438" s="88" t="s">
        <v>154</v>
      </c>
      <c r="C438" s="46" t="s">
        <v>17</v>
      </c>
      <c r="D438" s="47">
        <v>5</v>
      </c>
      <c r="E438" s="48">
        <v>6.793478260869565E-4</v>
      </c>
    </row>
    <row r="439" spans="2:5" ht="15" customHeight="1" x14ac:dyDescent="0.25">
      <c r="B439" s="89"/>
      <c r="C439" s="46" t="s">
        <v>21</v>
      </c>
      <c r="D439" s="47">
        <v>1</v>
      </c>
      <c r="E439" s="48">
        <v>1.3586956521739131E-4</v>
      </c>
    </row>
    <row r="440" spans="2:5" ht="15" customHeight="1" x14ac:dyDescent="0.25">
      <c r="B440" s="89"/>
      <c r="C440" s="46" t="s">
        <v>25</v>
      </c>
      <c r="D440" s="47">
        <v>1</v>
      </c>
      <c r="E440" s="48">
        <v>1.3586956521739131E-4</v>
      </c>
    </row>
    <row r="441" spans="2:5" ht="15" customHeight="1" x14ac:dyDescent="0.25">
      <c r="B441" s="89"/>
      <c r="C441" s="46" t="s">
        <v>30</v>
      </c>
      <c r="D441" s="47">
        <v>1</v>
      </c>
      <c r="E441" s="48">
        <v>1.3586956521739131E-4</v>
      </c>
    </row>
    <row r="442" spans="2:5" ht="15" customHeight="1" x14ac:dyDescent="0.25">
      <c r="B442" s="89"/>
      <c r="C442" s="46" t="s">
        <v>18</v>
      </c>
      <c r="D442" s="47">
        <v>3</v>
      </c>
      <c r="E442" s="48">
        <v>4.0760869565217389E-4</v>
      </c>
    </row>
    <row r="443" spans="2:5" ht="15" customHeight="1" x14ac:dyDescent="0.25">
      <c r="B443" s="89"/>
      <c r="C443" s="46" t="s">
        <v>38</v>
      </c>
      <c r="D443" s="47">
        <v>1</v>
      </c>
      <c r="E443" s="48">
        <v>1.3586956521739131E-4</v>
      </c>
    </row>
    <row r="444" spans="2:5" ht="15" customHeight="1" x14ac:dyDescent="0.25">
      <c r="B444" s="90"/>
      <c r="C444" s="49" t="s">
        <v>63</v>
      </c>
      <c r="D444" s="50">
        <v>12</v>
      </c>
      <c r="E444" s="51">
        <v>1.6304347826086956E-3</v>
      </c>
    </row>
    <row r="445" spans="2:5" ht="15" customHeight="1" x14ac:dyDescent="0.25">
      <c r="B445" s="88" t="s">
        <v>155</v>
      </c>
      <c r="C445" s="46" t="s">
        <v>17</v>
      </c>
      <c r="D445" s="47">
        <v>1</v>
      </c>
      <c r="E445" s="48">
        <v>1.3586956521739131E-4</v>
      </c>
    </row>
    <row r="446" spans="2:5" ht="15" customHeight="1" x14ac:dyDescent="0.25">
      <c r="B446" s="89"/>
      <c r="C446" s="46" t="s">
        <v>21</v>
      </c>
      <c r="D446" s="47">
        <v>1</v>
      </c>
      <c r="E446" s="48">
        <v>1.3586956521739131E-4</v>
      </c>
    </row>
    <row r="447" spans="2:5" ht="15" customHeight="1" x14ac:dyDescent="0.25">
      <c r="B447" s="89"/>
      <c r="C447" s="46" t="s">
        <v>26</v>
      </c>
      <c r="D447" s="47">
        <v>1</v>
      </c>
      <c r="E447" s="48">
        <v>1.3586956521739131E-4</v>
      </c>
    </row>
    <row r="448" spans="2:5" ht="15" customHeight="1" x14ac:dyDescent="0.25">
      <c r="B448" s="89"/>
      <c r="C448" s="46" t="s">
        <v>19</v>
      </c>
      <c r="D448" s="47">
        <v>1</v>
      </c>
      <c r="E448" s="48">
        <v>1.3586956521739131E-4</v>
      </c>
    </row>
    <row r="449" spans="2:5" ht="15" customHeight="1" x14ac:dyDescent="0.25">
      <c r="B449" s="89"/>
      <c r="C449" s="46" t="s">
        <v>18</v>
      </c>
      <c r="D449" s="47">
        <v>1</v>
      </c>
      <c r="E449" s="48">
        <v>1.3586956521739131E-4</v>
      </c>
    </row>
    <row r="450" spans="2:5" ht="15" customHeight="1" x14ac:dyDescent="0.25">
      <c r="B450" s="90"/>
      <c r="C450" s="49" t="s">
        <v>63</v>
      </c>
      <c r="D450" s="50">
        <v>5</v>
      </c>
      <c r="E450" s="51">
        <v>6.793478260869565E-4</v>
      </c>
    </row>
    <row r="451" spans="2:5" ht="15" customHeight="1" x14ac:dyDescent="0.25">
      <c r="B451" s="88" t="s">
        <v>156</v>
      </c>
      <c r="C451" s="46" t="s">
        <v>46</v>
      </c>
      <c r="D451" s="47">
        <v>2</v>
      </c>
      <c r="E451" s="48">
        <v>2.7173913043478261E-4</v>
      </c>
    </row>
    <row r="452" spans="2:5" ht="15" customHeight="1" x14ac:dyDescent="0.25">
      <c r="B452" s="89"/>
      <c r="C452" s="46" t="s">
        <v>17</v>
      </c>
      <c r="D452" s="47">
        <v>16</v>
      </c>
      <c r="E452" s="48">
        <v>2.1739130434782609E-3</v>
      </c>
    </row>
    <row r="453" spans="2:5" ht="15" customHeight="1" x14ac:dyDescent="0.25">
      <c r="B453" s="89"/>
      <c r="C453" s="46" t="s">
        <v>21</v>
      </c>
      <c r="D453" s="47">
        <v>5</v>
      </c>
      <c r="E453" s="48">
        <v>6.793478260869565E-4</v>
      </c>
    </row>
    <row r="454" spans="2:5" ht="15" customHeight="1" x14ac:dyDescent="0.25">
      <c r="B454" s="89"/>
      <c r="C454" s="46" t="s">
        <v>19</v>
      </c>
      <c r="D454" s="47">
        <v>17</v>
      </c>
      <c r="E454" s="48">
        <v>2.3097826086956523E-3</v>
      </c>
    </row>
    <row r="455" spans="2:5" ht="15" customHeight="1" x14ac:dyDescent="0.25">
      <c r="B455" s="89"/>
      <c r="C455" s="46" t="s">
        <v>22</v>
      </c>
      <c r="D455" s="47">
        <v>4</v>
      </c>
      <c r="E455" s="48">
        <v>5.4347826086956522E-4</v>
      </c>
    </row>
    <row r="456" spans="2:5" ht="15" customHeight="1" x14ac:dyDescent="0.25">
      <c r="B456" s="89"/>
      <c r="C456" s="46" t="s">
        <v>33</v>
      </c>
      <c r="D456" s="47">
        <v>1</v>
      </c>
      <c r="E456" s="48">
        <v>1.3586956521739131E-4</v>
      </c>
    </row>
    <row r="457" spans="2:5" ht="15" customHeight="1" x14ac:dyDescent="0.25">
      <c r="B457" s="89"/>
      <c r="C457" s="46" t="s">
        <v>47</v>
      </c>
      <c r="D457" s="47">
        <v>1</v>
      </c>
      <c r="E457" s="48">
        <v>1.3586956521739131E-4</v>
      </c>
    </row>
    <row r="458" spans="2:5" ht="15" customHeight="1" x14ac:dyDescent="0.25">
      <c r="B458" s="89"/>
      <c r="C458" s="46" t="s">
        <v>35</v>
      </c>
      <c r="D458" s="47">
        <v>1</v>
      </c>
      <c r="E458" s="48">
        <v>1.3586956521739131E-4</v>
      </c>
    </row>
    <row r="459" spans="2:5" ht="15" customHeight="1" x14ac:dyDescent="0.25">
      <c r="B459" s="89"/>
      <c r="C459" s="46" t="s">
        <v>45</v>
      </c>
      <c r="D459" s="47">
        <v>1</v>
      </c>
      <c r="E459" s="48">
        <v>1.3586956521739131E-4</v>
      </c>
    </row>
    <row r="460" spans="2:5" ht="15" customHeight="1" x14ac:dyDescent="0.25">
      <c r="B460" s="89"/>
      <c r="C460" s="46" t="s">
        <v>42</v>
      </c>
      <c r="D460" s="47">
        <v>1</v>
      </c>
      <c r="E460" s="48">
        <v>1.3586956521739131E-4</v>
      </c>
    </row>
    <row r="461" spans="2:5" ht="15" customHeight="1" x14ac:dyDescent="0.25">
      <c r="B461" s="89"/>
      <c r="C461" s="46" t="s">
        <v>34</v>
      </c>
      <c r="D461" s="47">
        <v>2</v>
      </c>
      <c r="E461" s="48">
        <v>2.7173913043478261E-4</v>
      </c>
    </row>
    <row r="462" spans="2:5" ht="15" customHeight="1" x14ac:dyDescent="0.25">
      <c r="B462" s="89"/>
      <c r="C462" s="46" t="s">
        <v>24</v>
      </c>
      <c r="D462" s="47">
        <v>2</v>
      </c>
      <c r="E462" s="48">
        <v>2.7173913043478261E-4</v>
      </c>
    </row>
    <row r="463" spans="2:5" ht="15" customHeight="1" x14ac:dyDescent="0.25">
      <c r="B463" s="89"/>
      <c r="C463" s="46" t="s">
        <v>31</v>
      </c>
      <c r="D463" s="47">
        <v>1</v>
      </c>
      <c r="E463" s="48">
        <v>1.3586956521739131E-4</v>
      </c>
    </row>
    <row r="464" spans="2:5" ht="15" customHeight="1" x14ac:dyDescent="0.25">
      <c r="B464" s="89"/>
      <c r="C464" s="46" t="s">
        <v>49</v>
      </c>
      <c r="D464" s="47">
        <v>1</v>
      </c>
      <c r="E464" s="48">
        <v>1.3586956521739131E-4</v>
      </c>
    </row>
    <row r="465" spans="2:5" ht="15" customHeight="1" x14ac:dyDescent="0.25">
      <c r="B465" s="89"/>
      <c r="C465" s="46" t="s">
        <v>20</v>
      </c>
      <c r="D465" s="47">
        <v>10</v>
      </c>
      <c r="E465" s="48">
        <v>1.358695652173913E-3</v>
      </c>
    </row>
    <row r="466" spans="2:5" ht="15" customHeight="1" x14ac:dyDescent="0.25">
      <c r="B466" s="89"/>
      <c r="C466" s="46" t="s">
        <v>50</v>
      </c>
      <c r="D466" s="47">
        <v>1</v>
      </c>
      <c r="E466" s="48">
        <v>1.3586956521739131E-4</v>
      </c>
    </row>
    <row r="467" spans="2:5" ht="15" customHeight="1" x14ac:dyDescent="0.25">
      <c r="B467" s="89"/>
      <c r="C467" s="46" t="s">
        <v>30</v>
      </c>
      <c r="D467" s="47">
        <v>1</v>
      </c>
      <c r="E467" s="48">
        <v>1.3586956521739131E-4</v>
      </c>
    </row>
    <row r="468" spans="2:5" ht="15" customHeight="1" x14ac:dyDescent="0.25">
      <c r="B468" s="89"/>
      <c r="C468" s="46" t="s">
        <v>18</v>
      </c>
      <c r="D468" s="47">
        <v>10</v>
      </c>
      <c r="E468" s="48">
        <v>1.358695652173913E-3</v>
      </c>
    </row>
    <row r="469" spans="2:5" ht="15" customHeight="1" x14ac:dyDescent="0.25">
      <c r="B469" s="89"/>
      <c r="C469" s="46" t="s">
        <v>28</v>
      </c>
      <c r="D469" s="47">
        <v>2</v>
      </c>
      <c r="E469" s="48">
        <v>2.7173913043478261E-4</v>
      </c>
    </row>
    <row r="470" spans="2:5" ht="15" customHeight="1" x14ac:dyDescent="0.25">
      <c r="B470" s="89"/>
      <c r="C470" s="46" t="s">
        <v>32</v>
      </c>
      <c r="D470" s="47">
        <v>2</v>
      </c>
      <c r="E470" s="48">
        <v>2.7173913043478261E-4</v>
      </c>
    </row>
    <row r="471" spans="2:5" ht="15" customHeight="1" x14ac:dyDescent="0.25">
      <c r="B471" s="89"/>
      <c r="C471" s="46" t="s">
        <v>40</v>
      </c>
      <c r="D471" s="47">
        <v>1</v>
      </c>
      <c r="E471" s="48">
        <v>1.3586956521739131E-4</v>
      </c>
    </row>
    <row r="472" spans="2:5" ht="15" customHeight="1" x14ac:dyDescent="0.25">
      <c r="B472" s="89"/>
      <c r="C472" s="46" t="s">
        <v>56</v>
      </c>
      <c r="D472" s="47">
        <v>1</v>
      </c>
      <c r="E472" s="48">
        <v>1.3586956521739131E-4</v>
      </c>
    </row>
    <row r="473" spans="2:5" ht="15" customHeight="1" x14ac:dyDescent="0.25">
      <c r="B473" s="90"/>
      <c r="C473" s="49" t="s">
        <v>63</v>
      </c>
      <c r="D473" s="50">
        <v>83</v>
      </c>
      <c r="E473" s="51">
        <v>1.1277173913043479E-2</v>
      </c>
    </row>
    <row r="474" spans="2:5" ht="15" customHeight="1" x14ac:dyDescent="0.25">
      <c r="B474" s="88" t="s">
        <v>157</v>
      </c>
      <c r="C474" s="46" t="s">
        <v>46</v>
      </c>
      <c r="D474" s="47">
        <v>1</v>
      </c>
      <c r="E474" s="48">
        <v>1.3586956521739131E-4</v>
      </c>
    </row>
    <row r="475" spans="2:5" ht="15" customHeight="1" x14ac:dyDescent="0.25">
      <c r="B475" s="89"/>
      <c r="C475" s="46" t="s">
        <v>36</v>
      </c>
      <c r="D475" s="47">
        <v>1</v>
      </c>
      <c r="E475" s="48">
        <v>1.3586956521739131E-4</v>
      </c>
    </row>
    <row r="476" spans="2:5" ht="15" customHeight="1" x14ac:dyDescent="0.25">
      <c r="B476" s="89"/>
      <c r="C476" s="46" t="s">
        <v>27</v>
      </c>
      <c r="D476" s="47">
        <v>3</v>
      </c>
      <c r="E476" s="48">
        <v>4.0760869565217389E-4</v>
      </c>
    </row>
    <row r="477" spans="2:5" ht="15" customHeight="1" x14ac:dyDescent="0.25">
      <c r="B477" s="89"/>
      <c r="C477" s="46" t="s">
        <v>17</v>
      </c>
      <c r="D477" s="47">
        <v>39</v>
      </c>
      <c r="E477" s="48">
        <v>5.2989130434782606E-3</v>
      </c>
    </row>
    <row r="478" spans="2:5" ht="15" customHeight="1" x14ac:dyDescent="0.25">
      <c r="B478" s="89"/>
      <c r="C478" s="46" t="s">
        <v>21</v>
      </c>
      <c r="D478" s="47">
        <v>8</v>
      </c>
      <c r="E478" s="48">
        <v>1.0869565217391304E-3</v>
      </c>
    </row>
    <row r="479" spans="2:5" ht="15" customHeight="1" x14ac:dyDescent="0.25">
      <c r="B479" s="89"/>
      <c r="C479" s="46" t="s">
        <v>23</v>
      </c>
      <c r="D479" s="47">
        <v>6</v>
      </c>
      <c r="E479" s="48">
        <v>8.1521739130434778E-4</v>
      </c>
    </row>
    <row r="480" spans="2:5" ht="15" customHeight="1" x14ac:dyDescent="0.25">
      <c r="B480" s="89"/>
      <c r="C480" s="46" t="s">
        <v>26</v>
      </c>
      <c r="D480" s="47">
        <v>1</v>
      </c>
      <c r="E480" s="48">
        <v>1.3586956521739131E-4</v>
      </c>
    </row>
    <row r="481" spans="2:5" ht="15" customHeight="1" x14ac:dyDescent="0.25">
      <c r="B481" s="89"/>
      <c r="C481" s="46" t="s">
        <v>19</v>
      </c>
      <c r="D481" s="47">
        <v>17</v>
      </c>
      <c r="E481" s="48">
        <v>2.3097826086956523E-3</v>
      </c>
    </row>
    <row r="482" spans="2:5" ht="15" customHeight="1" x14ac:dyDescent="0.25">
      <c r="B482" s="89"/>
      <c r="C482" s="46" t="s">
        <v>22</v>
      </c>
      <c r="D482" s="47">
        <v>2</v>
      </c>
      <c r="E482" s="48">
        <v>2.7173913043478261E-4</v>
      </c>
    </row>
    <row r="483" spans="2:5" ht="15" customHeight="1" x14ac:dyDescent="0.25">
      <c r="B483" s="89"/>
      <c r="C483" s="46" t="s">
        <v>29</v>
      </c>
      <c r="D483" s="47">
        <v>1</v>
      </c>
      <c r="E483" s="48">
        <v>1.3586956521739131E-4</v>
      </c>
    </row>
    <row r="484" spans="2:5" ht="15" customHeight="1" x14ac:dyDescent="0.25">
      <c r="B484" s="89"/>
      <c r="C484" s="46" t="s">
        <v>33</v>
      </c>
      <c r="D484" s="47">
        <v>1</v>
      </c>
      <c r="E484" s="48">
        <v>1.3586956521739131E-4</v>
      </c>
    </row>
    <row r="485" spans="2:5" ht="15" customHeight="1" x14ac:dyDescent="0.25">
      <c r="B485" s="89"/>
      <c r="C485" s="46" t="s">
        <v>52</v>
      </c>
      <c r="D485" s="47">
        <v>1</v>
      </c>
      <c r="E485" s="48">
        <v>1.3586956521739131E-4</v>
      </c>
    </row>
    <row r="486" spans="2:5" ht="15" customHeight="1" x14ac:dyDescent="0.25">
      <c r="B486" s="89"/>
      <c r="C486" s="46" t="s">
        <v>45</v>
      </c>
      <c r="D486" s="47">
        <v>3</v>
      </c>
      <c r="E486" s="48">
        <v>4.0760869565217389E-4</v>
      </c>
    </row>
    <row r="487" spans="2:5" ht="15" customHeight="1" x14ac:dyDescent="0.25">
      <c r="B487" s="89"/>
      <c r="C487" s="46" t="s">
        <v>42</v>
      </c>
      <c r="D487" s="47">
        <v>1</v>
      </c>
      <c r="E487" s="48">
        <v>1.3586956521739131E-4</v>
      </c>
    </row>
    <row r="488" spans="2:5" ht="15" customHeight="1" x14ac:dyDescent="0.25">
      <c r="B488" s="89"/>
      <c r="C488" s="46" t="s">
        <v>34</v>
      </c>
      <c r="D488" s="47">
        <v>1</v>
      </c>
      <c r="E488" s="48">
        <v>1.3586956521739131E-4</v>
      </c>
    </row>
    <row r="489" spans="2:5" ht="15" customHeight="1" x14ac:dyDescent="0.25">
      <c r="B489" s="89"/>
      <c r="C489" s="46" t="s">
        <v>24</v>
      </c>
      <c r="D489" s="47">
        <v>4</v>
      </c>
      <c r="E489" s="48">
        <v>5.4347826086956522E-4</v>
      </c>
    </row>
    <row r="490" spans="2:5" ht="15" customHeight="1" x14ac:dyDescent="0.25">
      <c r="B490" s="89"/>
      <c r="C490" s="46" t="s">
        <v>55</v>
      </c>
      <c r="D490" s="47">
        <v>1</v>
      </c>
      <c r="E490" s="48">
        <v>1.3586956521739131E-4</v>
      </c>
    </row>
    <row r="491" spans="2:5" ht="15" customHeight="1" x14ac:dyDescent="0.25">
      <c r="B491" s="89"/>
      <c r="C491" s="46" t="s">
        <v>31</v>
      </c>
      <c r="D491" s="47">
        <v>3</v>
      </c>
      <c r="E491" s="48">
        <v>4.0760869565217389E-4</v>
      </c>
    </row>
    <row r="492" spans="2:5" ht="15" customHeight="1" x14ac:dyDescent="0.25">
      <c r="B492" s="89"/>
      <c r="C492" s="46" t="s">
        <v>25</v>
      </c>
      <c r="D492" s="47">
        <v>5</v>
      </c>
      <c r="E492" s="48">
        <v>6.793478260869565E-4</v>
      </c>
    </row>
    <row r="493" spans="2:5" ht="15" customHeight="1" x14ac:dyDescent="0.25">
      <c r="B493" s="89"/>
      <c r="C493" s="46" t="s">
        <v>20</v>
      </c>
      <c r="D493" s="47">
        <v>12</v>
      </c>
      <c r="E493" s="48">
        <v>1.6304347826086956E-3</v>
      </c>
    </row>
    <row r="494" spans="2:5" ht="15" customHeight="1" x14ac:dyDescent="0.25">
      <c r="B494" s="89"/>
      <c r="C494" s="46" t="s">
        <v>50</v>
      </c>
      <c r="D494" s="47">
        <v>1</v>
      </c>
      <c r="E494" s="48">
        <v>1.3586956521739131E-4</v>
      </c>
    </row>
    <row r="495" spans="2:5" ht="15" customHeight="1" x14ac:dyDescent="0.25">
      <c r="B495" s="89"/>
      <c r="C495" s="46" t="s">
        <v>39</v>
      </c>
      <c r="D495" s="47">
        <v>1</v>
      </c>
      <c r="E495" s="48">
        <v>1.3586956521739131E-4</v>
      </c>
    </row>
    <row r="496" spans="2:5" ht="15" customHeight="1" x14ac:dyDescent="0.25">
      <c r="B496" s="89"/>
      <c r="C496" s="46" t="s">
        <v>30</v>
      </c>
      <c r="D496" s="47">
        <v>1</v>
      </c>
      <c r="E496" s="48">
        <v>1.3586956521739131E-4</v>
      </c>
    </row>
    <row r="497" spans="2:5" ht="15" customHeight="1" x14ac:dyDescent="0.25">
      <c r="B497" s="89"/>
      <c r="C497" s="46" t="s">
        <v>18</v>
      </c>
      <c r="D497" s="47">
        <v>35</v>
      </c>
      <c r="E497" s="48">
        <v>4.755434782608696E-3</v>
      </c>
    </row>
    <row r="498" spans="2:5" ht="15" customHeight="1" x14ac:dyDescent="0.25">
      <c r="B498" s="89"/>
      <c r="C498" s="46" t="s">
        <v>28</v>
      </c>
      <c r="D498" s="47">
        <v>4</v>
      </c>
      <c r="E498" s="48">
        <v>5.4347826086956522E-4</v>
      </c>
    </row>
    <row r="499" spans="2:5" ht="15" customHeight="1" x14ac:dyDescent="0.25">
      <c r="B499" s="89"/>
      <c r="C499" s="46" t="s">
        <v>38</v>
      </c>
      <c r="D499" s="47">
        <v>1</v>
      </c>
      <c r="E499" s="48">
        <v>1.3586956521739131E-4</v>
      </c>
    </row>
    <row r="500" spans="2:5" ht="15" customHeight="1" x14ac:dyDescent="0.25">
      <c r="B500" s="89"/>
      <c r="C500" s="46" t="s">
        <v>32</v>
      </c>
      <c r="D500" s="47">
        <v>1</v>
      </c>
      <c r="E500" s="48">
        <v>1.3586956521739131E-4</v>
      </c>
    </row>
    <row r="501" spans="2:5" ht="15" customHeight="1" x14ac:dyDescent="0.25">
      <c r="B501" s="90"/>
      <c r="C501" s="49" t="s">
        <v>63</v>
      </c>
      <c r="D501" s="50">
        <v>155</v>
      </c>
      <c r="E501" s="51">
        <v>2.1059782608695652E-2</v>
      </c>
    </row>
    <row r="502" spans="2:5" ht="15" customHeight="1" x14ac:dyDescent="0.25">
      <c r="B502" s="88" t="s">
        <v>158</v>
      </c>
      <c r="C502" s="46" t="s">
        <v>36</v>
      </c>
      <c r="D502" s="47">
        <v>1</v>
      </c>
      <c r="E502" s="48">
        <v>1.3586956521739131E-4</v>
      </c>
    </row>
    <row r="503" spans="2:5" ht="15" customHeight="1" x14ac:dyDescent="0.25">
      <c r="B503" s="89"/>
      <c r="C503" s="46" t="s">
        <v>27</v>
      </c>
      <c r="D503" s="47">
        <v>1</v>
      </c>
      <c r="E503" s="48">
        <v>1.3586956521739131E-4</v>
      </c>
    </row>
    <row r="504" spans="2:5" ht="15" customHeight="1" x14ac:dyDescent="0.25">
      <c r="B504" s="89"/>
      <c r="C504" s="46" t="s">
        <v>60</v>
      </c>
      <c r="D504" s="47">
        <v>1</v>
      </c>
      <c r="E504" s="48">
        <v>1.3586956521739131E-4</v>
      </c>
    </row>
    <row r="505" spans="2:5" ht="15" customHeight="1" x14ac:dyDescent="0.25">
      <c r="B505" s="89"/>
      <c r="C505" s="46" t="s">
        <v>24</v>
      </c>
      <c r="D505" s="47">
        <v>1</v>
      </c>
      <c r="E505" s="48">
        <v>1.3586956521739131E-4</v>
      </c>
    </row>
    <row r="506" spans="2:5" ht="15" customHeight="1" x14ac:dyDescent="0.25">
      <c r="B506" s="89"/>
      <c r="C506" s="46" t="s">
        <v>20</v>
      </c>
      <c r="D506" s="47">
        <v>1</v>
      </c>
      <c r="E506" s="48">
        <v>1.3586956521739131E-4</v>
      </c>
    </row>
    <row r="507" spans="2:5" ht="15" customHeight="1" x14ac:dyDescent="0.25">
      <c r="B507" s="89"/>
      <c r="C507" s="46" t="s">
        <v>18</v>
      </c>
      <c r="D507" s="47">
        <v>3</v>
      </c>
      <c r="E507" s="48">
        <v>4.0760869565217389E-4</v>
      </c>
    </row>
    <row r="508" spans="2:5" ht="15" customHeight="1" x14ac:dyDescent="0.25">
      <c r="B508" s="90"/>
      <c r="C508" s="49" t="s">
        <v>63</v>
      </c>
      <c r="D508" s="50">
        <v>8</v>
      </c>
      <c r="E508" s="51">
        <v>1.0869565217391304E-3</v>
      </c>
    </row>
    <row r="509" spans="2:5" ht="15" customHeight="1" x14ac:dyDescent="0.25">
      <c r="B509" s="88" t="s">
        <v>159</v>
      </c>
      <c r="C509" s="46" t="s">
        <v>36</v>
      </c>
      <c r="D509" s="47">
        <v>1</v>
      </c>
      <c r="E509" s="48">
        <v>1.3586956521739131E-4</v>
      </c>
    </row>
    <row r="510" spans="2:5" ht="15" customHeight="1" x14ac:dyDescent="0.25">
      <c r="B510" s="89"/>
      <c r="C510" s="46" t="s">
        <v>27</v>
      </c>
      <c r="D510" s="47">
        <v>1</v>
      </c>
      <c r="E510" s="48">
        <v>1.3586956521739131E-4</v>
      </c>
    </row>
    <row r="511" spans="2:5" ht="15" customHeight="1" x14ac:dyDescent="0.25">
      <c r="B511" s="89"/>
      <c r="C511" s="46" t="s">
        <v>17</v>
      </c>
      <c r="D511" s="47">
        <v>2</v>
      </c>
      <c r="E511" s="48">
        <v>2.7173913043478261E-4</v>
      </c>
    </row>
    <row r="512" spans="2:5" ht="15" customHeight="1" x14ac:dyDescent="0.25">
      <c r="B512" s="89"/>
      <c r="C512" s="46" t="s">
        <v>35</v>
      </c>
      <c r="D512" s="47">
        <v>1</v>
      </c>
      <c r="E512" s="48">
        <v>1.3586956521739131E-4</v>
      </c>
    </row>
    <row r="513" spans="2:5" ht="15" customHeight="1" x14ac:dyDescent="0.25">
      <c r="B513" s="89"/>
      <c r="C513" s="46" t="s">
        <v>20</v>
      </c>
      <c r="D513" s="47">
        <v>1</v>
      </c>
      <c r="E513" s="48">
        <v>1.3586956521739131E-4</v>
      </c>
    </row>
    <row r="514" spans="2:5" ht="15" customHeight="1" x14ac:dyDescent="0.25">
      <c r="B514" s="89"/>
      <c r="C514" s="46" t="s">
        <v>18</v>
      </c>
      <c r="D514" s="47">
        <v>4</v>
      </c>
      <c r="E514" s="48">
        <v>5.4347826086956522E-4</v>
      </c>
    </row>
    <row r="515" spans="2:5" ht="15" customHeight="1" x14ac:dyDescent="0.25">
      <c r="B515" s="90"/>
      <c r="C515" s="49" t="s">
        <v>63</v>
      </c>
      <c r="D515" s="50">
        <v>10</v>
      </c>
      <c r="E515" s="51">
        <v>1.358695652173913E-3</v>
      </c>
    </row>
    <row r="516" spans="2:5" ht="15" customHeight="1" x14ac:dyDescent="0.25">
      <c r="B516" s="92" t="s">
        <v>63</v>
      </c>
      <c r="C516" s="93"/>
      <c r="D516" s="52">
        <v>7360</v>
      </c>
      <c r="E516" s="53">
        <v>1</v>
      </c>
    </row>
    <row r="518" spans="2:5" ht="15" customHeight="1" x14ac:dyDescent="0.25">
      <c r="B518" s="30" t="s">
        <v>64</v>
      </c>
    </row>
    <row r="519" spans="2:5" ht="15" customHeight="1" x14ac:dyDescent="0.25">
      <c r="B519" s="31" t="s">
        <v>65</v>
      </c>
    </row>
    <row r="520" spans="2:5" ht="15" customHeight="1" x14ac:dyDescent="0.25">
      <c r="B520" s="32" t="s">
        <v>66</v>
      </c>
    </row>
    <row r="521" spans="2:5" ht="15" customHeight="1" x14ac:dyDescent="0.25">
      <c r="B521" s="30" t="s">
        <v>67</v>
      </c>
    </row>
    <row r="522" spans="2:5" ht="15" customHeight="1" x14ac:dyDescent="0.25">
      <c r="B522" s="30" t="s">
        <v>68</v>
      </c>
    </row>
  </sheetData>
  <mergeCells count="26">
    <mergeCell ref="B509:B515"/>
    <mergeCell ref="B516:C516"/>
    <mergeCell ref="B426:B437"/>
    <mergeCell ref="B438:B444"/>
    <mergeCell ref="B445:B450"/>
    <mergeCell ref="B451:B473"/>
    <mergeCell ref="B474:B501"/>
    <mergeCell ref="B502:B508"/>
    <mergeCell ref="B419:B425"/>
    <mergeCell ref="B77:B95"/>
    <mergeCell ref="B96:B119"/>
    <mergeCell ref="B120:B155"/>
    <mergeCell ref="B156:B195"/>
    <mergeCell ref="B196:B217"/>
    <mergeCell ref="B218:B249"/>
    <mergeCell ref="B250:B278"/>
    <mergeCell ref="B279:B319"/>
    <mergeCell ref="B320:B339"/>
    <mergeCell ref="B340:B377"/>
    <mergeCell ref="B378:B418"/>
    <mergeCell ref="B53:B76"/>
    <mergeCell ref="B7:E8"/>
    <mergeCell ref="B10:B14"/>
    <mergeCell ref="B15:B26"/>
    <mergeCell ref="B27:B37"/>
    <mergeCell ref="B38:B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52" max="4" man="1"/>
    <brk id="95" max="4" man="1"/>
    <brk id="119" max="4" man="1"/>
    <brk id="155" max="4" man="1"/>
    <brk id="195" max="4" man="1"/>
    <brk id="217" max="4" man="1"/>
    <brk id="249" max="4" man="1"/>
    <brk id="278" max="4" man="1"/>
    <brk id="319" max="4" man="1"/>
    <brk id="339" max="4" man="1"/>
    <brk id="377" max="4" man="1"/>
    <brk id="418" max="4" man="1"/>
    <brk id="450" max="4" man="1"/>
    <brk id="473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46"/>
  <sheetViews>
    <sheetView view="pageBreakPreview" zoomScale="85" zoomScaleNormal="145" zoomScaleSheetLayoutView="85" workbookViewId="0"/>
  </sheetViews>
  <sheetFormatPr baseColWidth="10" defaultColWidth="35" defaultRowHeight="15" customHeight="1" x14ac:dyDescent="0.25"/>
  <cols>
    <col min="1" max="1" width="1" style="45" customWidth="1"/>
    <col min="2" max="2" width="22.85546875" style="54" customWidth="1"/>
    <col min="3" max="3" width="31.42578125" style="54" customWidth="1"/>
    <col min="4" max="4" width="14.28515625" style="54" customWidth="1"/>
    <col min="5" max="5" width="32.5703125" style="54" customWidth="1"/>
    <col min="6" max="16384" width="35" style="45"/>
  </cols>
  <sheetData>
    <row r="1" spans="1:5" s="33" customFormat="1" ht="12" customHeight="1" x14ac:dyDescent="0.2">
      <c r="B1" s="34"/>
      <c r="C1" s="35"/>
      <c r="D1" s="35"/>
      <c r="E1" s="35"/>
    </row>
    <row r="2" spans="1:5" s="33" customFormat="1" ht="15" customHeight="1" x14ac:dyDescent="0.2">
      <c r="C2" s="36"/>
    </row>
    <row r="3" spans="1:5" s="33" customFormat="1" ht="15" customHeight="1" x14ac:dyDescent="0.2">
      <c r="C3" s="36"/>
    </row>
    <row r="4" spans="1:5" s="33" customFormat="1" ht="30" customHeight="1" x14ac:dyDescent="0.2">
      <c r="C4" s="36"/>
      <c r="D4" s="37"/>
    </row>
    <row r="5" spans="1:5" s="33" customFormat="1" ht="15" customHeight="1" x14ac:dyDescent="0.2">
      <c r="C5" s="36"/>
      <c r="D5" s="37"/>
    </row>
    <row r="6" spans="1:5" s="38" customFormat="1" ht="24" customHeight="1" x14ac:dyDescent="0.2">
      <c r="B6" s="39"/>
      <c r="C6" s="40"/>
      <c r="D6" s="40"/>
      <c r="E6" s="40"/>
    </row>
    <row r="7" spans="1:5" s="38" customFormat="1" ht="26.25" customHeight="1" x14ac:dyDescent="0.3">
      <c r="A7" s="41"/>
      <c r="B7" s="91"/>
      <c r="C7" s="91"/>
      <c r="D7" s="91"/>
      <c r="E7" s="91"/>
    </row>
    <row r="8" spans="1:5" s="38" customFormat="1" ht="33" customHeight="1" x14ac:dyDescent="0.3">
      <c r="A8" s="41"/>
      <c r="B8" s="91"/>
      <c r="C8" s="91"/>
      <c r="D8" s="91"/>
      <c r="E8" s="91"/>
    </row>
    <row r="9" spans="1:5" s="14" customFormat="1" ht="40.5" customHeight="1" x14ac:dyDescent="0.2">
      <c r="B9" s="42" t="s">
        <v>70</v>
      </c>
      <c r="C9" s="43" t="s">
        <v>160</v>
      </c>
      <c r="D9" s="44" t="s">
        <v>15</v>
      </c>
      <c r="E9" s="42" t="s">
        <v>16</v>
      </c>
    </row>
    <row r="10" spans="1:5" ht="15" customHeight="1" x14ac:dyDescent="0.25">
      <c r="B10" s="88" t="s">
        <v>95</v>
      </c>
      <c r="C10" s="46" t="s">
        <v>139</v>
      </c>
      <c r="D10" s="47">
        <v>1</v>
      </c>
      <c r="E10" s="48">
        <v>1.3586956521739131E-4</v>
      </c>
    </row>
    <row r="11" spans="1:5" s="40" customFormat="1" ht="15" customHeight="1" x14ac:dyDescent="0.25">
      <c r="A11" s="45"/>
      <c r="B11" s="89"/>
      <c r="C11" s="46" t="s">
        <v>141</v>
      </c>
      <c r="D11" s="47">
        <v>2</v>
      </c>
      <c r="E11" s="48">
        <v>2.7173913043478261E-4</v>
      </c>
    </row>
    <row r="12" spans="1:5" s="40" customFormat="1" ht="15" customHeight="1" x14ac:dyDescent="0.25">
      <c r="A12" s="45"/>
      <c r="B12" s="89"/>
      <c r="C12" s="46" t="s">
        <v>144</v>
      </c>
      <c r="D12" s="47">
        <v>13</v>
      </c>
      <c r="E12" s="48">
        <v>1.766304347826087E-3</v>
      </c>
    </row>
    <row r="13" spans="1:5" s="40" customFormat="1" ht="15" customHeight="1" x14ac:dyDescent="0.25">
      <c r="A13" s="45"/>
      <c r="B13" s="89"/>
      <c r="C13" s="46" t="s">
        <v>145</v>
      </c>
      <c r="D13" s="47">
        <v>2</v>
      </c>
      <c r="E13" s="48">
        <v>2.7173913043478261E-4</v>
      </c>
    </row>
    <row r="14" spans="1:5" ht="15" customHeight="1" x14ac:dyDescent="0.25">
      <c r="B14" s="89"/>
      <c r="C14" s="46" t="s">
        <v>146</v>
      </c>
      <c r="D14" s="47">
        <v>2</v>
      </c>
      <c r="E14" s="48">
        <v>2.7173913043478261E-4</v>
      </c>
    </row>
    <row r="15" spans="1:5" ht="15" customHeight="1" x14ac:dyDescent="0.25">
      <c r="B15" s="89"/>
      <c r="C15" s="46" t="s">
        <v>147</v>
      </c>
      <c r="D15" s="47">
        <v>2</v>
      </c>
      <c r="E15" s="48">
        <v>2.7173913043478261E-4</v>
      </c>
    </row>
    <row r="16" spans="1:5" ht="15" customHeight="1" x14ac:dyDescent="0.25">
      <c r="B16" s="89"/>
      <c r="C16" s="46" t="s">
        <v>148</v>
      </c>
      <c r="D16" s="47">
        <v>25</v>
      </c>
      <c r="E16" s="48">
        <v>3.3967391304347825E-3</v>
      </c>
    </row>
    <row r="17" spans="2:5" ht="15" customHeight="1" x14ac:dyDescent="0.25">
      <c r="B17" s="89"/>
      <c r="C17" s="46" t="s">
        <v>149</v>
      </c>
      <c r="D17" s="47">
        <v>1</v>
      </c>
      <c r="E17" s="48">
        <v>1.3586956521739131E-4</v>
      </c>
    </row>
    <row r="18" spans="2:5" ht="15" customHeight="1" x14ac:dyDescent="0.25">
      <c r="B18" s="89"/>
      <c r="C18" s="46" t="s">
        <v>150</v>
      </c>
      <c r="D18" s="47">
        <v>5</v>
      </c>
      <c r="E18" s="48">
        <v>6.793478260869565E-4</v>
      </c>
    </row>
    <row r="19" spans="2:5" ht="15" customHeight="1" x14ac:dyDescent="0.25">
      <c r="B19" s="89"/>
      <c r="C19" s="46" t="s">
        <v>151</v>
      </c>
      <c r="D19" s="47">
        <v>20</v>
      </c>
      <c r="E19" s="48">
        <v>2.717391304347826E-3</v>
      </c>
    </row>
    <row r="20" spans="2:5" ht="15" customHeight="1" x14ac:dyDescent="0.25">
      <c r="B20" s="89"/>
      <c r="C20" s="46" t="s">
        <v>156</v>
      </c>
      <c r="D20" s="47">
        <v>1</v>
      </c>
      <c r="E20" s="48">
        <v>1.3586956521739131E-4</v>
      </c>
    </row>
    <row r="21" spans="2:5" ht="15" customHeight="1" x14ac:dyDescent="0.25">
      <c r="B21" s="89"/>
      <c r="C21" s="46" t="s">
        <v>157</v>
      </c>
      <c r="D21" s="47">
        <v>1</v>
      </c>
      <c r="E21" s="48">
        <v>1.3586956521739131E-4</v>
      </c>
    </row>
    <row r="22" spans="2:5" ht="15" customHeight="1" x14ac:dyDescent="0.25">
      <c r="B22" s="90"/>
      <c r="C22" s="49" t="s">
        <v>63</v>
      </c>
      <c r="D22" s="50">
        <v>75</v>
      </c>
      <c r="E22" s="51">
        <v>1.0190217391304348E-2</v>
      </c>
    </row>
    <row r="23" spans="2:5" ht="15" customHeight="1" x14ac:dyDescent="0.25">
      <c r="B23" s="88" t="s">
        <v>78</v>
      </c>
      <c r="C23" s="46" t="s">
        <v>138</v>
      </c>
      <c r="D23" s="47">
        <v>2</v>
      </c>
      <c r="E23" s="48">
        <v>2.7173913043478261E-4</v>
      </c>
    </row>
    <row r="24" spans="2:5" ht="15" customHeight="1" x14ac:dyDescent="0.25">
      <c r="B24" s="89"/>
      <c r="C24" s="46" t="s">
        <v>140</v>
      </c>
      <c r="D24" s="47">
        <v>5</v>
      </c>
      <c r="E24" s="48">
        <v>6.793478260869565E-4</v>
      </c>
    </row>
    <row r="25" spans="2:5" ht="15" customHeight="1" x14ac:dyDescent="0.25">
      <c r="B25" s="89"/>
      <c r="C25" s="46" t="s">
        <v>141</v>
      </c>
      <c r="D25" s="47">
        <v>2</v>
      </c>
      <c r="E25" s="48">
        <v>2.7173913043478261E-4</v>
      </c>
    </row>
    <row r="26" spans="2:5" ht="15" customHeight="1" x14ac:dyDescent="0.25">
      <c r="B26" s="89"/>
      <c r="C26" s="46" t="s">
        <v>142</v>
      </c>
      <c r="D26" s="47">
        <v>5</v>
      </c>
      <c r="E26" s="48">
        <v>6.793478260869565E-4</v>
      </c>
    </row>
    <row r="27" spans="2:5" ht="15" customHeight="1" x14ac:dyDescent="0.25">
      <c r="B27" s="89"/>
      <c r="C27" s="46" t="s">
        <v>143</v>
      </c>
      <c r="D27" s="47">
        <v>19</v>
      </c>
      <c r="E27" s="48">
        <v>2.5815217391304346E-3</v>
      </c>
    </row>
    <row r="28" spans="2:5" ht="15" customHeight="1" x14ac:dyDescent="0.25">
      <c r="B28" s="89"/>
      <c r="C28" s="46" t="s">
        <v>144</v>
      </c>
      <c r="D28" s="47">
        <v>29</v>
      </c>
      <c r="E28" s="48">
        <v>3.9402173913043476E-3</v>
      </c>
    </row>
    <row r="29" spans="2:5" ht="15" customHeight="1" x14ac:dyDescent="0.25">
      <c r="B29" s="89"/>
      <c r="C29" s="46" t="s">
        <v>145</v>
      </c>
      <c r="D29" s="47">
        <v>4</v>
      </c>
      <c r="E29" s="48">
        <v>5.4347826086956522E-4</v>
      </c>
    </row>
    <row r="30" spans="2:5" ht="15" customHeight="1" x14ac:dyDescent="0.25">
      <c r="B30" s="89"/>
      <c r="C30" s="46" t="s">
        <v>146</v>
      </c>
      <c r="D30" s="47">
        <v>4</v>
      </c>
      <c r="E30" s="48">
        <v>5.4347826086956522E-4</v>
      </c>
    </row>
    <row r="31" spans="2:5" ht="15" customHeight="1" x14ac:dyDescent="0.25">
      <c r="B31" s="89"/>
      <c r="C31" s="46" t="s">
        <v>147</v>
      </c>
      <c r="D31" s="47">
        <v>6</v>
      </c>
      <c r="E31" s="48">
        <v>8.1521739130434778E-4</v>
      </c>
    </row>
    <row r="32" spans="2:5" ht="15" customHeight="1" x14ac:dyDescent="0.25">
      <c r="B32" s="89"/>
      <c r="C32" s="46" t="s">
        <v>148</v>
      </c>
      <c r="D32" s="47">
        <v>84</v>
      </c>
      <c r="E32" s="48">
        <v>1.141304347826087E-2</v>
      </c>
    </row>
    <row r="33" spans="2:5" ht="15" customHeight="1" x14ac:dyDescent="0.25">
      <c r="B33" s="89"/>
      <c r="C33" s="46" t="s">
        <v>149</v>
      </c>
      <c r="D33" s="47">
        <v>2</v>
      </c>
      <c r="E33" s="48">
        <v>2.7173913043478261E-4</v>
      </c>
    </row>
    <row r="34" spans="2:5" ht="15" customHeight="1" x14ac:dyDescent="0.25">
      <c r="B34" s="89"/>
      <c r="C34" s="46" t="s">
        <v>150</v>
      </c>
      <c r="D34" s="47">
        <v>12</v>
      </c>
      <c r="E34" s="48">
        <v>1.6304347826086956E-3</v>
      </c>
    </row>
    <row r="35" spans="2:5" ht="15" customHeight="1" x14ac:dyDescent="0.25">
      <c r="B35" s="89"/>
      <c r="C35" s="46" t="s">
        <v>151</v>
      </c>
      <c r="D35" s="47">
        <v>28</v>
      </c>
      <c r="E35" s="48">
        <v>3.8043478260869567E-3</v>
      </c>
    </row>
    <row r="36" spans="2:5" ht="15" customHeight="1" x14ac:dyDescent="0.25">
      <c r="B36" s="89"/>
      <c r="C36" s="46" t="s">
        <v>152</v>
      </c>
      <c r="D36" s="47">
        <v>1</v>
      </c>
      <c r="E36" s="48">
        <v>1.3586956521739131E-4</v>
      </c>
    </row>
    <row r="37" spans="2:5" ht="15" customHeight="1" x14ac:dyDescent="0.25">
      <c r="B37" s="89"/>
      <c r="C37" s="46" t="s">
        <v>155</v>
      </c>
      <c r="D37" s="47">
        <v>1</v>
      </c>
      <c r="E37" s="48">
        <v>1.3586956521739131E-4</v>
      </c>
    </row>
    <row r="38" spans="2:5" ht="15" customHeight="1" x14ac:dyDescent="0.25">
      <c r="B38" s="89"/>
      <c r="C38" s="46" t="s">
        <v>156</v>
      </c>
      <c r="D38" s="47">
        <v>3</v>
      </c>
      <c r="E38" s="48">
        <v>4.0760869565217389E-4</v>
      </c>
    </row>
    <row r="39" spans="2:5" ht="15" customHeight="1" x14ac:dyDescent="0.25">
      <c r="B39" s="89"/>
      <c r="C39" s="46" t="s">
        <v>157</v>
      </c>
      <c r="D39" s="47">
        <v>2</v>
      </c>
      <c r="E39" s="48">
        <v>2.7173913043478261E-4</v>
      </c>
    </row>
    <row r="40" spans="2:5" ht="15" customHeight="1" x14ac:dyDescent="0.25">
      <c r="B40" s="90"/>
      <c r="C40" s="49" t="s">
        <v>63</v>
      </c>
      <c r="D40" s="50">
        <v>209</v>
      </c>
      <c r="E40" s="51">
        <v>2.8396739130434782E-2</v>
      </c>
    </row>
    <row r="41" spans="2:5" ht="15" customHeight="1" x14ac:dyDescent="0.25">
      <c r="B41" s="88" t="s">
        <v>81</v>
      </c>
      <c r="C41" s="46" t="s">
        <v>137</v>
      </c>
      <c r="D41" s="47">
        <v>1</v>
      </c>
      <c r="E41" s="48">
        <v>1.3586956521739131E-4</v>
      </c>
    </row>
    <row r="42" spans="2:5" ht="15" customHeight="1" x14ac:dyDescent="0.25">
      <c r="B42" s="89"/>
      <c r="C42" s="46" t="s">
        <v>138</v>
      </c>
      <c r="D42" s="47">
        <v>2</v>
      </c>
      <c r="E42" s="48">
        <v>2.7173913043478261E-4</v>
      </c>
    </row>
    <row r="43" spans="2:5" ht="15" customHeight="1" x14ac:dyDescent="0.25">
      <c r="B43" s="89"/>
      <c r="C43" s="46" t="s">
        <v>139</v>
      </c>
      <c r="D43" s="47">
        <v>3</v>
      </c>
      <c r="E43" s="48">
        <v>4.0760869565217389E-4</v>
      </c>
    </row>
    <row r="44" spans="2:5" ht="15" customHeight="1" x14ac:dyDescent="0.25">
      <c r="B44" s="89"/>
      <c r="C44" s="46" t="s">
        <v>140</v>
      </c>
      <c r="D44" s="47">
        <v>2</v>
      </c>
      <c r="E44" s="48">
        <v>2.7173913043478261E-4</v>
      </c>
    </row>
    <row r="45" spans="2:5" ht="15" customHeight="1" x14ac:dyDescent="0.25">
      <c r="B45" s="89"/>
      <c r="C45" s="46" t="s">
        <v>141</v>
      </c>
      <c r="D45" s="47">
        <v>4</v>
      </c>
      <c r="E45" s="48">
        <v>5.4347826086956522E-4</v>
      </c>
    </row>
    <row r="46" spans="2:5" ht="15" customHeight="1" x14ac:dyDescent="0.25">
      <c r="B46" s="89"/>
      <c r="C46" s="46" t="s">
        <v>142</v>
      </c>
      <c r="D46" s="47">
        <v>3</v>
      </c>
      <c r="E46" s="48">
        <v>4.0760869565217389E-4</v>
      </c>
    </row>
    <row r="47" spans="2:5" ht="15" customHeight="1" x14ac:dyDescent="0.25">
      <c r="B47" s="89"/>
      <c r="C47" s="46" t="s">
        <v>143</v>
      </c>
      <c r="D47" s="47">
        <v>12</v>
      </c>
      <c r="E47" s="48">
        <v>1.6304347826086956E-3</v>
      </c>
    </row>
    <row r="48" spans="2:5" ht="15" customHeight="1" x14ac:dyDescent="0.25">
      <c r="B48" s="89"/>
      <c r="C48" s="46" t="s">
        <v>144</v>
      </c>
      <c r="D48" s="47">
        <v>20</v>
      </c>
      <c r="E48" s="48">
        <v>2.717391304347826E-3</v>
      </c>
    </row>
    <row r="49" spans="2:5" ht="15" customHeight="1" x14ac:dyDescent="0.25">
      <c r="B49" s="89"/>
      <c r="C49" s="46" t="s">
        <v>145</v>
      </c>
      <c r="D49" s="47">
        <v>3</v>
      </c>
      <c r="E49" s="48">
        <v>4.0760869565217389E-4</v>
      </c>
    </row>
    <row r="50" spans="2:5" ht="15" customHeight="1" x14ac:dyDescent="0.25">
      <c r="B50" s="89"/>
      <c r="C50" s="46" t="s">
        <v>146</v>
      </c>
      <c r="D50" s="47">
        <v>3</v>
      </c>
      <c r="E50" s="48">
        <v>4.0760869565217389E-4</v>
      </c>
    </row>
    <row r="51" spans="2:5" ht="15" customHeight="1" x14ac:dyDescent="0.25">
      <c r="B51" s="89"/>
      <c r="C51" s="46" t="s">
        <v>147</v>
      </c>
      <c r="D51" s="47">
        <v>11</v>
      </c>
      <c r="E51" s="48">
        <v>1.4945652173913044E-3</v>
      </c>
    </row>
    <row r="52" spans="2:5" ht="15" customHeight="1" x14ac:dyDescent="0.25">
      <c r="B52" s="89"/>
      <c r="C52" s="46" t="s">
        <v>148</v>
      </c>
      <c r="D52" s="47">
        <v>48</v>
      </c>
      <c r="E52" s="48">
        <v>6.5217391304347823E-3</v>
      </c>
    </row>
    <row r="53" spans="2:5" ht="15" customHeight="1" x14ac:dyDescent="0.25">
      <c r="B53" s="89"/>
      <c r="C53" s="46" t="s">
        <v>149</v>
      </c>
      <c r="D53" s="47">
        <v>1</v>
      </c>
      <c r="E53" s="48">
        <v>1.3586956521739131E-4</v>
      </c>
    </row>
    <row r="54" spans="2:5" ht="15" customHeight="1" x14ac:dyDescent="0.25">
      <c r="B54" s="89"/>
      <c r="C54" s="46" t="s">
        <v>150</v>
      </c>
      <c r="D54" s="47">
        <v>5</v>
      </c>
      <c r="E54" s="48">
        <v>6.793478260869565E-4</v>
      </c>
    </row>
    <row r="55" spans="2:5" ht="15" customHeight="1" x14ac:dyDescent="0.25">
      <c r="B55" s="89"/>
      <c r="C55" s="46" t="s">
        <v>151</v>
      </c>
      <c r="D55" s="47">
        <v>34</v>
      </c>
      <c r="E55" s="48">
        <v>4.6195652173913046E-3</v>
      </c>
    </row>
    <row r="56" spans="2:5" ht="15" customHeight="1" x14ac:dyDescent="0.25">
      <c r="B56" s="89"/>
      <c r="C56" s="46" t="s">
        <v>153</v>
      </c>
      <c r="D56" s="47">
        <v>1</v>
      </c>
      <c r="E56" s="48">
        <v>1.3586956521739131E-4</v>
      </c>
    </row>
    <row r="57" spans="2:5" ht="15" customHeight="1" x14ac:dyDescent="0.25">
      <c r="B57" s="89"/>
      <c r="C57" s="46" t="s">
        <v>157</v>
      </c>
      <c r="D57" s="47">
        <v>4</v>
      </c>
      <c r="E57" s="48">
        <v>5.4347826086956522E-4</v>
      </c>
    </row>
    <row r="58" spans="2:5" ht="15" customHeight="1" x14ac:dyDescent="0.25">
      <c r="B58" s="89"/>
      <c r="C58" s="46" t="s">
        <v>158</v>
      </c>
      <c r="D58" s="47">
        <v>1</v>
      </c>
      <c r="E58" s="48">
        <v>1.3586956521739131E-4</v>
      </c>
    </row>
    <row r="59" spans="2:5" ht="15" customHeight="1" x14ac:dyDescent="0.25">
      <c r="B59" s="90"/>
      <c r="C59" s="49" t="s">
        <v>63</v>
      </c>
      <c r="D59" s="50">
        <v>158</v>
      </c>
      <c r="E59" s="51">
        <v>2.1467391304347827E-2</v>
      </c>
    </row>
    <row r="60" spans="2:5" ht="15" customHeight="1" x14ac:dyDescent="0.25">
      <c r="B60" s="88" t="s">
        <v>102</v>
      </c>
      <c r="C60" s="46" t="s">
        <v>140</v>
      </c>
      <c r="D60" s="47">
        <v>1</v>
      </c>
      <c r="E60" s="48">
        <v>1.3586956521739131E-4</v>
      </c>
    </row>
    <row r="61" spans="2:5" ht="15" customHeight="1" x14ac:dyDescent="0.25">
      <c r="B61" s="89"/>
      <c r="C61" s="46" t="s">
        <v>143</v>
      </c>
      <c r="D61" s="47">
        <v>4</v>
      </c>
      <c r="E61" s="48">
        <v>5.4347826086956522E-4</v>
      </c>
    </row>
    <row r="62" spans="2:5" ht="15" customHeight="1" x14ac:dyDescent="0.25">
      <c r="B62" s="89"/>
      <c r="C62" s="46" t="s">
        <v>144</v>
      </c>
      <c r="D62" s="47">
        <v>6</v>
      </c>
      <c r="E62" s="48">
        <v>8.1521739130434778E-4</v>
      </c>
    </row>
    <row r="63" spans="2:5" ht="15" customHeight="1" x14ac:dyDescent="0.25">
      <c r="B63" s="89"/>
      <c r="C63" s="46" t="s">
        <v>145</v>
      </c>
      <c r="D63" s="47">
        <v>1</v>
      </c>
      <c r="E63" s="48">
        <v>1.3586956521739131E-4</v>
      </c>
    </row>
    <row r="64" spans="2:5" ht="15" customHeight="1" x14ac:dyDescent="0.25">
      <c r="B64" s="89"/>
      <c r="C64" s="46" t="s">
        <v>146</v>
      </c>
      <c r="D64" s="47">
        <v>1</v>
      </c>
      <c r="E64" s="48">
        <v>1.3586956521739131E-4</v>
      </c>
    </row>
    <row r="65" spans="2:5" ht="15" customHeight="1" x14ac:dyDescent="0.25">
      <c r="B65" s="89"/>
      <c r="C65" s="46" t="s">
        <v>147</v>
      </c>
      <c r="D65" s="47">
        <v>5</v>
      </c>
      <c r="E65" s="48">
        <v>6.793478260869565E-4</v>
      </c>
    </row>
    <row r="66" spans="2:5" ht="15" customHeight="1" x14ac:dyDescent="0.25">
      <c r="B66" s="89"/>
      <c r="C66" s="46" t="s">
        <v>148</v>
      </c>
      <c r="D66" s="47">
        <v>11</v>
      </c>
      <c r="E66" s="48">
        <v>1.4945652173913044E-3</v>
      </c>
    </row>
    <row r="67" spans="2:5" ht="15" customHeight="1" x14ac:dyDescent="0.25">
      <c r="B67" s="89"/>
      <c r="C67" s="46" t="s">
        <v>150</v>
      </c>
      <c r="D67" s="47">
        <v>1</v>
      </c>
      <c r="E67" s="48">
        <v>1.3586956521739131E-4</v>
      </c>
    </row>
    <row r="68" spans="2:5" ht="15" customHeight="1" x14ac:dyDescent="0.25">
      <c r="B68" s="89"/>
      <c r="C68" s="46" t="s">
        <v>151</v>
      </c>
      <c r="D68" s="47">
        <v>5</v>
      </c>
      <c r="E68" s="48">
        <v>6.793478260869565E-4</v>
      </c>
    </row>
    <row r="69" spans="2:5" ht="15" customHeight="1" x14ac:dyDescent="0.25">
      <c r="B69" s="90"/>
      <c r="C69" s="49" t="s">
        <v>63</v>
      </c>
      <c r="D69" s="50">
        <v>35</v>
      </c>
      <c r="E69" s="51">
        <v>4.755434782608696E-3</v>
      </c>
    </row>
    <row r="70" spans="2:5" ht="15" customHeight="1" x14ac:dyDescent="0.25">
      <c r="B70" s="88" t="s">
        <v>112</v>
      </c>
      <c r="C70" s="46" t="s">
        <v>146</v>
      </c>
      <c r="D70" s="47">
        <v>2</v>
      </c>
      <c r="E70" s="48">
        <v>2.7173913043478261E-4</v>
      </c>
    </row>
    <row r="71" spans="2:5" ht="15" customHeight="1" x14ac:dyDescent="0.25">
      <c r="B71" s="89"/>
      <c r="C71" s="46" t="s">
        <v>151</v>
      </c>
      <c r="D71" s="47">
        <v>1</v>
      </c>
      <c r="E71" s="48">
        <v>1.3586956521739131E-4</v>
      </c>
    </row>
    <row r="72" spans="2:5" ht="15" customHeight="1" x14ac:dyDescent="0.25">
      <c r="B72" s="89"/>
      <c r="C72" s="46" t="s">
        <v>158</v>
      </c>
      <c r="D72" s="47">
        <v>1</v>
      </c>
      <c r="E72" s="48">
        <v>1.3586956521739131E-4</v>
      </c>
    </row>
    <row r="73" spans="2:5" ht="15" customHeight="1" x14ac:dyDescent="0.25">
      <c r="B73" s="90"/>
      <c r="C73" s="49" t="s">
        <v>63</v>
      </c>
      <c r="D73" s="50">
        <v>4</v>
      </c>
      <c r="E73" s="51">
        <v>5.4347826086956522E-4</v>
      </c>
    </row>
    <row r="74" spans="2:5" ht="15" customHeight="1" x14ac:dyDescent="0.25">
      <c r="B74" s="88" t="s">
        <v>110</v>
      </c>
      <c r="C74" s="46" t="s">
        <v>141</v>
      </c>
      <c r="D74" s="47">
        <v>1</v>
      </c>
      <c r="E74" s="48">
        <v>1.3586956521739131E-4</v>
      </c>
    </row>
    <row r="75" spans="2:5" ht="15" customHeight="1" x14ac:dyDescent="0.25">
      <c r="B75" s="89"/>
      <c r="C75" s="46" t="s">
        <v>143</v>
      </c>
      <c r="D75" s="47">
        <v>1</v>
      </c>
      <c r="E75" s="48">
        <v>1.3586956521739131E-4</v>
      </c>
    </row>
    <row r="76" spans="2:5" ht="15" customHeight="1" x14ac:dyDescent="0.25">
      <c r="B76" s="89"/>
      <c r="C76" s="46" t="s">
        <v>144</v>
      </c>
      <c r="D76" s="47">
        <v>2</v>
      </c>
      <c r="E76" s="48">
        <v>2.7173913043478261E-4</v>
      </c>
    </row>
    <row r="77" spans="2:5" ht="15" customHeight="1" x14ac:dyDescent="0.25">
      <c r="B77" s="89"/>
      <c r="C77" s="46" t="s">
        <v>148</v>
      </c>
      <c r="D77" s="47">
        <v>1</v>
      </c>
      <c r="E77" s="48">
        <v>1.3586956521739131E-4</v>
      </c>
    </row>
    <row r="78" spans="2:5" ht="15" customHeight="1" x14ac:dyDescent="0.25">
      <c r="B78" s="89"/>
      <c r="C78" s="46" t="s">
        <v>151</v>
      </c>
      <c r="D78" s="47">
        <v>1</v>
      </c>
      <c r="E78" s="48">
        <v>1.3586956521739131E-4</v>
      </c>
    </row>
    <row r="79" spans="2:5" ht="15" customHeight="1" x14ac:dyDescent="0.25">
      <c r="B79" s="89"/>
      <c r="C79" s="46" t="s">
        <v>154</v>
      </c>
      <c r="D79" s="47">
        <v>1</v>
      </c>
      <c r="E79" s="48">
        <v>1.3586956521739131E-4</v>
      </c>
    </row>
    <row r="80" spans="2:5" ht="15" customHeight="1" x14ac:dyDescent="0.25">
      <c r="B80" s="89"/>
      <c r="C80" s="46" t="s">
        <v>157</v>
      </c>
      <c r="D80" s="47">
        <v>1</v>
      </c>
      <c r="E80" s="48">
        <v>1.3586956521739131E-4</v>
      </c>
    </row>
    <row r="81" spans="2:5" ht="15" customHeight="1" x14ac:dyDescent="0.25">
      <c r="B81" s="90"/>
      <c r="C81" s="49" t="s">
        <v>63</v>
      </c>
      <c r="D81" s="50">
        <v>8</v>
      </c>
      <c r="E81" s="51">
        <v>1.0869565217391304E-3</v>
      </c>
    </row>
    <row r="82" spans="2:5" ht="15" customHeight="1" x14ac:dyDescent="0.25">
      <c r="B82" s="88" t="s">
        <v>161</v>
      </c>
      <c r="C82" s="46" t="s">
        <v>143</v>
      </c>
      <c r="D82" s="47">
        <v>2</v>
      </c>
      <c r="E82" s="48">
        <v>2.7173913043478261E-4</v>
      </c>
    </row>
    <row r="83" spans="2:5" ht="15" customHeight="1" x14ac:dyDescent="0.25">
      <c r="B83" s="90"/>
      <c r="C83" s="49" t="s">
        <v>63</v>
      </c>
      <c r="D83" s="50">
        <v>2</v>
      </c>
      <c r="E83" s="51">
        <v>2.7173913043478261E-4</v>
      </c>
    </row>
    <row r="84" spans="2:5" ht="15" customHeight="1" x14ac:dyDescent="0.25">
      <c r="B84" s="88" t="s">
        <v>71</v>
      </c>
      <c r="C84" s="46" t="s">
        <v>162</v>
      </c>
      <c r="D84" s="47">
        <v>1</v>
      </c>
      <c r="E84" s="48">
        <v>1.3586956521739131E-4</v>
      </c>
    </row>
    <row r="85" spans="2:5" ht="15" customHeight="1" x14ac:dyDescent="0.25">
      <c r="B85" s="89"/>
      <c r="C85" s="46" t="s">
        <v>137</v>
      </c>
      <c r="D85" s="47">
        <v>10</v>
      </c>
      <c r="E85" s="48">
        <v>1.358695652173913E-3</v>
      </c>
    </row>
    <row r="86" spans="2:5" ht="15" customHeight="1" x14ac:dyDescent="0.25">
      <c r="B86" s="89"/>
      <c r="C86" s="46" t="s">
        <v>138</v>
      </c>
      <c r="D86" s="47">
        <v>2</v>
      </c>
      <c r="E86" s="48">
        <v>2.7173913043478261E-4</v>
      </c>
    </row>
    <row r="87" spans="2:5" ht="15" customHeight="1" x14ac:dyDescent="0.25">
      <c r="B87" s="89"/>
      <c r="C87" s="46" t="s">
        <v>139</v>
      </c>
      <c r="D87" s="47">
        <v>3</v>
      </c>
      <c r="E87" s="48">
        <v>4.0760869565217389E-4</v>
      </c>
    </row>
    <row r="88" spans="2:5" ht="15" customHeight="1" x14ac:dyDescent="0.25">
      <c r="B88" s="89"/>
      <c r="C88" s="46" t="s">
        <v>140</v>
      </c>
      <c r="D88" s="47">
        <v>12</v>
      </c>
      <c r="E88" s="48">
        <v>1.6304347826086956E-3</v>
      </c>
    </row>
    <row r="89" spans="2:5" ht="15" customHeight="1" x14ac:dyDescent="0.25">
      <c r="B89" s="89"/>
      <c r="C89" s="46" t="s">
        <v>141</v>
      </c>
      <c r="D89" s="47">
        <v>9</v>
      </c>
      <c r="E89" s="48">
        <v>1.2228260869565218E-3</v>
      </c>
    </row>
    <row r="90" spans="2:5" ht="15" customHeight="1" x14ac:dyDescent="0.25">
      <c r="B90" s="89"/>
      <c r="C90" s="46" t="s">
        <v>142</v>
      </c>
      <c r="D90" s="47">
        <v>15</v>
      </c>
      <c r="E90" s="48">
        <v>2.0380434782608695E-3</v>
      </c>
    </row>
    <row r="91" spans="2:5" ht="15" customHeight="1" x14ac:dyDescent="0.25">
      <c r="B91" s="89"/>
      <c r="C91" s="46" t="s">
        <v>143</v>
      </c>
      <c r="D91" s="47">
        <v>60</v>
      </c>
      <c r="E91" s="48">
        <v>8.152173913043478E-3</v>
      </c>
    </row>
    <row r="92" spans="2:5" ht="15" customHeight="1" x14ac:dyDescent="0.25">
      <c r="B92" s="89"/>
      <c r="C92" s="46" t="s">
        <v>144</v>
      </c>
      <c r="D92" s="47">
        <v>261</v>
      </c>
      <c r="E92" s="48">
        <v>3.5461956521739134E-2</v>
      </c>
    </row>
    <row r="93" spans="2:5" ht="15" customHeight="1" x14ac:dyDescent="0.25">
      <c r="B93" s="89"/>
      <c r="C93" s="46" t="s">
        <v>145</v>
      </c>
      <c r="D93" s="47">
        <v>14</v>
      </c>
      <c r="E93" s="48">
        <v>1.9021739130434783E-3</v>
      </c>
    </row>
    <row r="94" spans="2:5" ht="15" customHeight="1" x14ac:dyDescent="0.25">
      <c r="B94" s="89"/>
      <c r="C94" s="46" t="s">
        <v>146</v>
      </c>
      <c r="D94" s="47">
        <v>32</v>
      </c>
      <c r="E94" s="48">
        <v>4.3478260869565218E-3</v>
      </c>
    </row>
    <row r="95" spans="2:5" ht="15" customHeight="1" x14ac:dyDescent="0.25">
      <c r="B95" s="89"/>
      <c r="C95" s="46" t="s">
        <v>147</v>
      </c>
      <c r="D95" s="47">
        <v>31</v>
      </c>
      <c r="E95" s="48">
        <v>4.2119565217391304E-3</v>
      </c>
    </row>
    <row r="96" spans="2:5" ht="15" customHeight="1" x14ac:dyDescent="0.25">
      <c r="B96" s="89"/>
      <c r="C96" s="46" t="s">
        <v>148</v>
      </c>
      <c r="D96" s="47">
        <v>507</v>
      </c>
      <c r="E96" s="48">
        <v>6.8885869565217389E-2</v>
      </c>
    </row>
    <row r="97" spans="2:5" ht="15" customHeight="1" x14ac:dyDescent="0.25">
      <c r="B97" s="89"/>
      <c r="C97" s="46" t="s">
        <v>149</v>
      </c>
      <c r="D97" s="47">
        <v>13</v>
      </c>
      <c r="E97" s="48">
        <v>1.766304347826087E-3</v>
      </c>
    </row>
    <row r="98" spans="2:5" ht="15" customHeight="1" x14ac:dyDescent="0.25">
      <c r="B98" s="89"/>
      <c r="C98" s="46" t="s">
        <v>150</v>
      </c>
      <c r="D98" s="47">
        <v>66</v>
      </c>
      <c r="E98" s="48">
        <v>8.9673913043478264E-3</v>
      </c>
    </row>
    <row r="99" spans="2:5" ht="15" customHeight="1" x14ac:dyDescent="0.25">
      <c r="B99" s="89"/>
      <c r="C99" s="46" t="s">
        <v>151</v>
      </c>
      <c r="D99" s="47">
        <v>192</v>
      </c>
      <c r="E99" s="48">
        <v>2.6086956521739129E-2</v>
      </c>
    </row>
    <row r="100" spans="2:5" ht="15" customHeight="1" x14ac:dyDescent="0.25">
      <c r="B100" s="89"/>
      <c r="C100" s="46" t="s">
        <v>152</v>
      </c>
      <c r="D100" s="47">
        <v>2</v>
      </c>
      <c r="E100" s="48">
        <v>2.7173913043478261E-4</v>
      </c>
    </row>
    <row r="101" spans="2:5" ht="15" customHeight="1" x14ac:dyDescent="0.25">
      <c r="B101" s="89"/>
      <c r="C101" s="46" t="s">
        <v>153</v>
      </c>
      <c r="D101" s="47">
        <v>1</v>
      </c>
      <c r="E101" s="48">
        <v>1.3586956521739131E-4</v>
      </c>
    </row>
    <row r="102" spans="2:5" ht="15" customHeight="1" x14ac:dyDescent="0.25">
      <c r="B102" s="89"/>
      <c r="C102" s="46" t="s">
        <v>155</v>
      </c>
      <c r="D102" s="47">
        <v>1</v>
      </c>
      <c r="E102" s="48">
        <v>1.3586956521739131E-4</v>
      </c>
    </row>
    <row r="103" spans="2:5" ht="15" customHeight="1" x14ac:dyDescent="0.25">
      <c r="B103" s="89"/>
      <c r="C103" s="46" t="s">
        <v>156</v>
      </c>
      <c r="D103" s="47">
        <v>21</v>
      </c>
      <c r="E103" s="48">
        <v>2.8532608695652174E-3</v>
      </c>
    </row>
    <row r="104" spans="2:5" ht="15" customHeight="1" x14ac:dyDescent="0.25">
      <c r="B104" s="89"/>
      <c r="C104" s="46" t="s">
        <v>157</v>
      </c>
      <c r="D104" s="47">
        <v>18</v>
      </c>
      <c r="E104" s="48">
        <v>2.4456521739130437E-3</v>
      </c>
    </row>
    <row r="105" spans="2:5" ht="15" customHeight="1" x14ac:dyDescent="0.25">
      <c r="B105" s="90"/>
      <c r="C105" s="49" t="s">
        <v>63</v>
      </c>
      <c r="D105" s="50">
        <v>1271</v>
      </c>
      <c r="E105" s="51">
        <v>0.17269021739130436</v>
      </c>
    </row>
    <row r="106" spans="2:5" ht="15" customHeight="1" x14ac:dyDescent="0.25">
      <c r="B106" s="88" t="s">
        <v>74</v>
      </c>
      <c r="C106" s="46" t="s">
        <v>137</v>
      </c>
      <c r="D106" s="47">
        <v>2</v>
      </c>
      <c r="E106" s="48">
        <v>2.7173913043478261E-4</v>
      </c>
    </row>
    <row r="107" spans="2:5" ht="15" customHeight="1" x14ac:dyDescent="0.25">
      <c r="B107" s="89"/>
      <c r="C107" s="46" t="s">
        <v>138</v>
      </c>
      <c r="D107" s="47">
        <v>2</v>
      </c>
      <c r="E107" s="48">
        <v>2.7173913043478261E-4</v>
      </c>
    </row>
    <row r="108" spans="2:5" ht="15" customHeight="1" x14ac:dyDescent="0.25">
      <c r="B108" s="89"/>
      <c r="C108" s="46" t="s">
        <v>139</v>
      </c>
      <c r="D108" s="47">
        <v>3</v>
      </c>
      <c r="E108" s="48">
        <v>4.0760869565217389E-4</v>
      </c>
    </row>
    <row r="109" spans="2:5" ht="15" customHeight="1" x14ac:dyDescent="0.25">
      <c r="B109" s="89"/>
      <c r="C109" s="46" t="s">
        <v>140</v>
      </c>
      <c r="D109" s="47">
        <v>2</v>
      </c>
      <c r="E109" s="48">
        <v>2.7173913043478261E-4</v>
      </c>
    </row>
    <row r="110" spans="2:5" ht="15" customHeight="1" x14ac:dyDescent="0.25">
      <c r="B110" s="89"/>
      <c r="C110" s="46" t="s">
        <v>141</v>
      </c>
      <c r="D110" s="47">
        <v>7</v>
      </c>
      <c r="E110" s="48">
        <v>9.5108695652173917E-4</v>
      </c>
    </row>
    <row r="111" spans="2:5" ht="15" customHeight="1" x14ac:dyDescent="0.25">
      <c r="B111" s="89"/>
      <c r="C111" s="46" t="s">
        <v>142</v>
      </c>
      <c r="D111" s="47">
        <v>5</v>
      </c>
      <c r="E111" s="48">
        <v>6.793478260869565E-4</v>
      </c>
    </row>
    <row r="112" spans="2:5" ht="15" customHeight="1" x14ac:dyDescent="0.25">
      <c r="B112" s="89"/>
      <c r="C112" s="46" t="s">
        <v>143</v>
      </c>
      <c r="D112" s="47">
        <v>33</v>
      </c>
      <c r="E112" s="48">
        <v>4.4836956521739132E-3</v>
      </c>
    </row>
    <row r="113" spans="2:5" ht="15" customHeight="1" x14ac:dyDescent="0.25">
      <c r="B113" s="89"/>
      <c r="C113" s="46" t="s">
        <v>144</v>
      </c>
      <c r="D113" s="47">
        <v>65</v>
      </c>
      <c r="E113" s="48">
        <v>8.8315217391304341E-3</v>
      </c>
    </row>
    <row r="114" spans="2:5" ht="15" customHeight="1" x14ac:dyDescent="0.25">
      <c r="B114" s="89"/>
      <c r="C114" s="46" t="s">
        <v>145</v>
      </c>
      <c r="D114" s="47">
        <v>1</v>
      </c>
      <c r="E114" s="48">
        <v>1.3586956521739131E-4</v>
      </c>
    </row>
    <row r="115" spans="2:5" ht="15" customHeight="1" x14ac:dyDescent="0.25">
      <c r="B115" s="89"/>
      <c r="C115" s="46" t="s">
        <v>146</v>
      </c>
      <c r="D115" s="47">
        <v>14</v>
      </c>
      <c r="E115" s="48">
        <v>1.9021739130434783E-3</v>
      </c>
    </row>
    <row r="116" spans="2:5" ht="15" customHeight="1" x14ac:dyDescent="0.25">
      <c r="B116" s="89"/>
      <c r="C116" s="46" t="s">
        <v>147</v>
      </c>
      <c r="D116" s="47">
        <v>20</v>
      </c>
      <c r="E116" s="48">
        <v>2.717391304347826E-3</v>
      </c>
    </row>
    <row r="117" spans="2:5" ht="15" customHeight="1" x14ac:dyDescent="0.25">
      <c r="B117" s="89"/>
      <c r="C117" s="46" t="s">
        <v>148</v>
      </c>
      <c r="D117" s="47">
        <v>210</v>
      </c>
      <c r="E117" s="48">
        <v>2.8532608695652172E-2</v>
      </c>
    </row>
    <row r="118" spans="2:5" ht="15" customHeight="1" x14ac:dyDescent="0.25">
      <c r="B118" s="89"/>
      <c r="C118" s="46" t="s">
        <v>149</v>
      </c>
      <c r="D118" s="47">
        <v>7</v>
      </c>
      <c r="E118" s="48">
        <v>9.5108695652173917E-4</v>
      </c>
    </row>
    <row r="119" spans="2:5" ht="15" customHeight="1" x14ac:dyDescent="0.25">
      <c r="B119" s="89"/>
      <c r="C119" s="46" t="s">
        <v>150</v>
      </c>
      <c r="D119" s="47">
        <v>36</v>
      </c>
      <c r="E119" s="48">
        <v>4.8913043478260873E-3</v>
      </c>
    </row>
    <row r="120" spans="2:5" ht="15" customHeight="1" x14ac:dyDescent="0.25">
      <c r="B120" s="89"/>
      <c r="C120" s="46" t="s">
        <v>151</v>
      </c>
      <c r="D120" s="47">
        <v>109</v>
      </c>
      <c r="E120" s="48">
        <v>1.4809782608695652E-2</v>
      </c>
    </row>
    <row r="121" spans="2:5" ht="15" customHeight="1" x14ac:dyDescent="0.25">
      <c r="B121" s="89"/>
      <c r="C121" s="46" t="s">
        <v>152</v>
      </c>
      <c r="D121" s="47">
        <v>2</v>
      </c>
      <c r="E121" s="48">
        <v>2.7173913043478261E-4</v>
      </c>
    </row>
    <row r="122" spans="2:5" ht="15" customHeight="1" x14ac:dyDescent="0.25">
      <c r="B122" s="89"/>
      <c r="C122" s="46" t="s">
        <v>153</v>
      </c>
      <c r="D122" s="47">
        <v>2</v>
      </c>
      <c r="E122" s="48">
        <v>2.7173913043478261E-4</v>
      </c>
    </row>
    <row r="123" spans="2:5" ht="15" customHeight="1" x14ac:dyDescent="0.25">
      <c r="B123" s="89"/>
      <c r="C123" s="46" t="s">
        <v>154</v>
      </c>
      <c r="D123" s="47">
        <v>2</v>
      </c>
      <c r="E123" s="48">
        <v>2.7173913043478261E-4</v>
      </c>
    </row>
    <row r="124" spans="2:5" ht="15" customHeight="1" x14ac:dyDescent="0.25">
      <c r="B124" s="89"/>
      <c r="C124" s="46" t="s">
        <v>156</v>
      </c>
      <c r="D124" s="47">
        <v>4</v>
      </c>
      <c r="E124" s="48">
        <v>5.4347826086956522E-4</v>
      </c>
    </row>
    <row r="125" spans="2:5" ht="15" customHeight="1" x14ac:dyDescent="0.25">
      <c r="B125" s="89"/>
      <c r="C125" s="46" t="s">
        <v>157</v>
      </c>
      <c r="D125" s="47">
        <v>11</v>
      </c>
      <c r="E125" s="48">
        <v>1.4945652173913044E-3</v>
      </c>
    </row>
    <row r="126" spans="2:5" ht="15" customHeight="1" x14ac:dyDescent="0.25">
      <c r="B126" s="89"/>
      <c r="C126" s="46" t="s">
        <v>158</v>
      </c>
      <c r="D126" s="47">
        <v>1</v>
      </c>
      <c r="E126" s="48">
        <v>1.3586956521739131E-4</v>
      </c>
    </row>
    <row r="127" spans="2:5" ht="15" customHeight="1" x14ac:dyDescent="0.25">
      <c r="B127" s="89"/>
      <c r="C127" s="46" t="s">
        <v>159</v>
      </c>
      <c r="D127" s="47">
        <v>2</v>
      </c>
      <c r="E127" s="48">
        <v>2.7173913043478261E-4</v>
      </c>
    </row>
    <row r="128" spans="2:5" ht="15" customHeight="1" x14ac:dyDescent="0.25">
      <c r="B128" s="90"/>
      <c r="C128" s="49" t="s">
        <v>63</v>
      </c>
      <c r="D128" s="50">
        <v>540</v>
      </c>
      <c r="E128" s="51">
        <v>7.3369565217391311E-2</v>
      </c>
    </row>
    <row r="129" spans="2:5" ht="15" customHeight="1" x14ac:dyDescent="0.25">
      <c r="B129" s="88" t="s">
        <v>163</v>
      </c>
      <c r="C129" s="46" t="s">
        <v>144</v>
      </c>
      <c r="D129" s="47">
        <v>2</v>
      </c>
      <c r="E129" s="48">
        <v>2.7173913043478261E-4</v>
      </c>
    </row>
    <row r="130" spans="2:5" ht="15" customHeight="1" x14ac:dyDescent="0.25">
      <c r="B130" s="90"/>
      <c r="C130" s="49" t="s">
        <v>63</v>
      </c>
      <c r="D130" s="50">
        <v>2</v>
      </c>
      <c r="E130" s="51">
        <v>2.7173913043478261E-4</v>
      </c>
    </row>
    <row r="131" spans="2:5" ht="15" customHeight="1" x14ac:dyDescent="0.25">
      <c r="B131" s="88" t="s">
        <v>75</v>
      </c>
      <c r="C131" s="46" t="s">
        <v>137</v>
      </c>
      <c r="D131" s="47">
        <v>4</v>
      </c>
      <c r="E131" s="48">
        <v>5.4347826086956522E-4</v>
      </c>
    </row>
    <row r="132" spans="2:5" ht="15" customHeight="1" x14ac:dyDescent="0.25">
      <c r="B132" s="89"/>
      <c r="C132" s="46" t="s">
        <v>139</v>
      </c>
      <c r="D132" s="47">
        <v>11</v>
      </c>
      <c r="E132" s="48">
        <v>1.4945652173913044E-3</v>
      </c>
    </row>
    <row r="133" spans="2:5" ht="15" customHeight="1" x14ac:dyDescent="0.25">
      <c r="B133" s="89"/>
      <c r="C133" s="46" t="s">
        <v>140</v>
      </c>
      <c r="D133" s="47">
        <v>13</v>
      </c>
      <c r="E133" s="48">
        <v>1.766304347826087E-3</v>
      </c>
    </row>
    <row r="134" spans="2:5" ht="15" customHeight="1" x14ac:dyDescent="0.25">
      <c r="B134" s="89"/>
      <c r="C134" s="46" t="s">
        <v>141</v>
      </c>
      <c r="D134" s="47">
        <v>11</v>
      </c>
      <c r="E134" s="48">
        <v>1.4945652173913044E-3</v>
      </c>
    </row>
    <row r="135" spans="2:5" ht="15" customHeight="1" x14ac:dyDescent="0.25">
      <c r="B135" s="89"/>
      <c r="C135" s="46" t="s">
        <v>142</v>
      </c>
      <c r="D135" s="47">
        <v>12</v>
      </c>
      <c r="E135" s="48">
        <v>1.6304347826086956E-3</v>
      </c>
    </row>
    <row r="136" spans="2:5" ht="15" customHeight="1" x14ac:dyDescent="0.25">
      <c r="B136" s="89"/>
      <c r="C136" s="46" t="s">
        <v>143</v>
      </c>
      <c r="D136" s="47">
        <v>50</v>
      </c>
      <c r="E136" s="48">
        <v>6.793478260869565E-3</v>
      </c>
    </row>
    <row r="137" spans="2:5" ht="15" customHeight="1" x14ac:dyDescent="0.25">
      <c r="B137" s="89"/>
      <c r="C137" s="46" t="s">
        <v>144</v>
      </c>
      <c r="D137" s="47">
        <v>79</v>
      </c>
      <c r="E137" s="48">
        <v>1.0733695652173914E-2</v>
      </c>
    </row>
    <row r="138" spans="2:5" ht="15" customHeight="1" x14ac:dyDescent="0.25">
      <c r="B138" s="89"/>
      <c r="C138" s="46" t="s">
        <v>145</v>
      </c>
      <c r="D138" s="47">
        <v>7</v>
      </c>
      <c r="E138" s="48">
        <v>9.5108695652173917E-4</v>
      </c>
    </row>
    <row r="139" spans="2:5" ht="15" customHeight="1" x14ac:dyDescent="0.25">
      <c r="B139" s="89"/>
      <c r="C139" s="46" t="s">
        <v>146</v>
      </c>
      <c r="D139" s="47">
        <v>18</v>
      </c>
      <c r="E139" s="48">
        <v>2.4456521739130437E-3</v>
      </c>
    </row>
    <row r="140" spans="2:5" ht="15" customHeight="1" x14ac:dyDescent="0.25">
      <c r="B140" s="89"/>
      <c r="C140" s="46" t="s">
        <v>147</v>
      </c>
      <c r="D140" s="47">
        <v>39</v>
      </c>
      <c r="E140" s="48">
        <v>5.2989130434782606E-3</v>
      </c>
    </row>
    <row r="141" spans="2:5" ht="15" customHeight="1" x14ac:dyDescent="0.25">
      <c r="B141" s="89"/>
      <c r="C141" s="46" t="s">
        <v>148</v>
      </c>
      <c r="D141" s="47">
        <v>171</v>
      </c>
      <c r="E141" s="48">
        <v>2.3233695652173914E-2</v>
      </c>
    </row>
    <row r="142" spans="2:5" ht="15" customHeight="1" x14ac:dyDescent="0.25">
      <c r="B142" s="89"/>
      <c r="C142" s="46" t="s">
        <v>149</v>
      </c>
      <c r="D142" s="47">
        <v>2</v>
      </c>
      <c r="E142" s="48">
        <v>2.7173913043478261E-4</v>
      </c>
    </row>
    <row r="143" spans="2:5" ht="15" customHeight="1" x14ac:dyDescent="0.25">
      <c r="B143" s="89"/>
      <c r="C143" s="46" t="s">
        <v>150</v>
      </c>
      <c r="D143" s="47">
        <v>35</v>
      </c>
      <c r="E143" s="48">
        <v>4.755434782608696E-3</v>
      </c>
    </row>
    <row r="144" spans="2:5" ht="15" customHeight="1" x14ac:dyDescent="0.25">
      <c r="B144" s="89"/>
      <c r="C144" s="46" t="s">
        <v>151</v>
      </c>
      <c r="D144" s="47">
        <v>58</v>
      </c>
      <c r="E144" s="48">
        <v>7.8804347826086953E-3</v>
      </c>
    </row>
    <row r="145" spans="2:5" ht="15" customHeight="1" x14ac:dyDescent="0.25">
      <c r="B145" s="89"/>
      <c r="C145" s="46" t="s">
        <v>152</v>
      </c>
      <c r="D145" s="47">
        <v>1</v>
      </c>
      <c r="E145" s="48">
        <v>1.3586956521739131E-4</v>
      </c>
    </row>
    <row r="146" spans="2:5" ht="15" customHeight="1" x14ac:dyDescent="0.25">
      <c r="B146" s="89"/>
      <c r="C146" s="46" t="s">
        <v>153</v>
      </c>
      <c r="D146" s="47">
        <v>1</v>
      </c>
      <c r="E146" s="48">
        <v>1.3586956521739131E-4</v>
      </c>
    </row>
    <row r="147" spans="2:5" ht="15" customHeight="1" x14ac:dyDescent="0.25">
      <c r="B147" s="89"/>
      <c r="C147" s="46" t="s">
        <v>154</v>
      </c>
      <c r="D147" s="47">
        <v>1</v>
      </c>
      <c r="E147" s="48">
        <v>1.3586956521739131E-4</v>
      </c>
    </row>
    <row r="148" spans="2:5" ht="15" customHeight="1" x14ac:dyDescent="0.25">
      <c r="B148" s="89"/>
      <c r="C148" s="46" t="s">
        <v>155</v>
      </c>
      <c r="D148" s="47">
        <v>1</v>
      </c>
      <c r="E148" s="48">
        <v>1.3586956521739131E-4</v>
      </c>
    </row>
    <row r="149" spans="2:5" ht="15" customHeight="1" x14ac:dyDescent="0.25">
      <c r="B149" s="89"/>
      <c r="C149" s="46" t="s">
        <v>156</v>
      </c>
      <c r="D149" s="47">
        <v>6</v>
      </c>
      <c r="E149" s="48">
        <v>8.1521739130434778E-4</v>
      </c>
    </row>
    <row r="150" spans="2:5" ht="15" customHeight="1" x14ac:dyDescent="0.25">
      <c r="B150" s="89"/>
      <c r="C150" s="46" t="s">
        <v>157</v>
      </c>
      <c r="D150" s="47">
        <v>8</v>
      </c>
      <c r="E150" s="48">
        <v>1.0869565217391304E-3</v>
      </c>
    </row>
    <row r="151" spans="2:5" ht="15" customHeight="1" x14ac:dyDescent="0.25">
      <c r="B151" s="90"/>
      <c r="C151" s="49" t="s">
        <v>63</v>
      </c>
      <c r="D151" s="50">
        <v>528</v>
      </c>
      <c r="E151" s="51">
        <v>7.1739130434782611E-2</v>
      </c>
    </row>
    <row r="152" spans="2:5" ht="15" customHeight="1" x14ac:dyDescent="0.25">
      <c r="B152" s="88" t="s">
        <v>96</v>
      </c>
      <c r="C152" s="46" t="s">
        <v>142</v>
      </c>
      <c r="D152" s="47">
        <v>2</v>
      </c>
      <c r="E152" s="48">
        <v>2.7173913043478261E-4</v>
      </c>
    </row>
    <row r="153" spans="2:5" ht="15" customHeight="1" x14ac:dyDescent="0.25">
      <c r="B153" s="89"/>
      <c r="C153" s="46" t="s">
        <v>143</v>
      </c>
      <c r="D153" s="47">
        <v>9</v>
      </c>
      <c r="E153" s="48">
        <v>1.2228260869565218E-3</v>
      </c>
    </row>
    <row r="154" spans="2:5" ht="15" customHeight="1" x14ac:dyDescent="0.25">
      <c r="B154" s="89"/>
      <c r="C154" s="46" t="s">
        <v>144</v>
      </c>
      <c r="D154" s="47">
        <v>10</v>
      </c>
      <c r="E154" s="48">
        <v>1.358695652173913E-3</v>
      </c>
    </row>
    <row r="155" spans="2:5" ht="15" customHeight="1" x14ac:dyDescent="0.25">
      <c r="B155" s="89"/>
      <c r="C155" s="46" t="s">
        <v>145</v>
      </c>
      <c r="D155" s="47">
        <v>1</v>
      </c>
      <c r="E155" s="48">
        <v>1.3586956521739131E-4</v>
      </c>
    </row>
    <row r="156" spans="2:5" ht="15" customHeight="1" x14ac:dyDescent="0.25">
      <c r="B156" s="89"/>
      <c r="C156" s="46" t="s">
        <v>146</v>
      </c>
      <c r="D156" s="47">
        <v>3</v>
      </c>
      <c r="E156" s="48">
        <v>4.0760869565217389E-4</v>
      </c>
    </row>
    <row r="157" spans="2:5" ht="15" customHeight="1" x14ac:dyDescent="0.25">
      <c r="B157" s="89"/>
      <c r="C157" s="46" t="s">
        <v>147</v>
      </c>
      <c r="D157" s="47">
        <v>5</v>
      </c>
      <c r="E157" s="48">
        <v>6.793478260869565E-4</v>
      </c>
    </row>
    <row r="158" spans="2:5" ht="15" customHeight="1" x14ac:dyDescent="0.25">
      <c r="B158" s="89"/>
      <c r="C158" s="46" t="s">
        <v>148</v>
      </c>
      <c r="D158" s="47">
        <v>29</v>
      </c>
      <c r="E158" s="48">
        <v>3.9402173913043476E-3</v>
      </c>
    </row>
    <row r="159" spans="2:5" ht="15" customHeight="1" x14ac:dyDescent="0.25">
      <c r="B159" s="89"/>
      <c r="C159" s="46" t="s">
        <v>149</v>
      </c>
      <c r="D159" s="47">
        <v>1</v>
      </c>
      <c r="E159" s="48">
        <v>1.3586956521739131E-4</v>
      </c>
    </row>
    <row r="160" spans="2:5" ht="15" customHeight="1" x14ac:dyDescent="0.25">
      <c r="B160" s="89"/>
      <c r="C160" s="46" t="s">
        <v>150</v>
      </c>
      <c r="D160" s="47">
        <v>4</v>
      </c>
      <c r="E160" s="48">
        <v>5.4347826086956522E-4</v>
      </c>
    </row>
    <row r="161" spans="2:5" ht="15" customHeight="1" x14ac:dyDescent="0.25">
      <c r="B161" s="89"/>
      <c r="C161" s="46" t="s">
        <v>151</v>
      </c>
      <c r="D161" s="47">
        <v>5</v>
      </c>
      <c r="E161" s="48">
        <v>6.793478260869565E-4</v>
      </c>
    </row>
    <row r="162" spans="2:5" ht="15" customHeight="1" x14ac:dyDescent="0.25">
      <c r="B162" s="89"/>
      <c r="C162" s="46" t="s">
        <v>156</v>
      </c>
      <c r="D162" s="47">
        <v>1</v>
      </c>
      <c r="E162" s="48">
        <v>1.3586956521739131E-4</v>
      </c>
    </row>
    <row r="163" spans="2:5" ht="15" customHeight="1" x14ac:dyDescent="0.25">
      <c r="B163" s="89"/>
      <c r="C163" s="46" t="s">
        <v>159</v>
      </c>
      <c r="D163" s="47">
        <v>1</v>
      </c>
      <c r="E163" s="48">
        <v>1.3586956521739131E-4</v>
      </c>
    </row>
    <row r="164" spans="2:5" ht="15" customHeight="1" x14ac:dyDescent="0.25">
      <c r="B164" s="90"/>
      <c r="C164" s="49" t="s">
        <v>63</v>
      </c>
      <c r="D164" s="50">
        <v>71</v>
      </c>
      <c r="E164" s="51">
        <v>9.6467391304347824E-3</v>
      </c>
    </row>
    <row r="165" spans="2:5" ht="15" customHeight="1" x14ac:dyDescent="0.25">
      <c r="B165" s="88" t="s">
        <v>103</v>
      </c>
      <c r="C165" s="46" t="s">
        <v>140</v>
      </c>
      <c r="D165" s="47">
        <v>4</v>
      </c>
      <c r="E165" s="48">
        <v>5.4347826086956522E-4</v>
      </c>
    </row>
    <row r="166" spans="2:5" ht="15" customHeight="1" x14ac:dyDescent="0.25">
      <c r="B166" s="89"/>
      <c r="C166" s="46" t="s">
        <v>143</v>
      </c>
      <c r="D166" s="47">
        <v>4</v>
      </c>
      <c r="E166" s="48">
        <v>5.4347826086956522E-4</v>
      </c>
    </row>
    <row r="167" spans="2:5" ht="15" customHeight="1" x14ac:dyDescent="0.25">
      <c r="B167" s="89"/>
      <c r="C167" s="46" t="s">
        <v>144</v>
      </c>
      <c r="D167" s="47">
        <v>1</v>
      </c>
      <c r="E167" s="48">
        <v>1.3586956521739131E-4</v>
      </c>
    </row>
    <row r="168" spans="2:5" ht="15" customHeight="1" x14ac:dyDescent="0.25">
      <c r="B168" s="89"/>
      <c r="C168" s="46" t="s">
        <v>145</v>
      </c>
      <c r="D168" s="47">
        <v>1</v>
      </c>
      <c r="E168" s="48">
        <v>1.3586956521739131E-4</v>
      </c>
    </row>
    <row r="169" spans="2:5" ht="15" customHeight="1" x14ac:dyDescent="0.25">
      <c r="B169" s="89"/>
      <c r="C169" s="46" t="s">
        <v>148</v>
      </c>
      <c r="D169" s="47">
        <v>9</v>
      </c>
      <c r="E169" s="48">
        <v>1.2228260869565218E-3</v>
      </c>
    </row>
    <row r="170" spans="2:5" ht="15" customHeight="1" x14ac:dyDescent="0.25">
      <c r="B170" s="89"/>
      <c r="C170" s="46" t="s">
        <v>149</v>
      </c>
      <c r="D170" s="47">
        <v>3</v>
      </c>
      <c r="E170" s="48">
        <v>4.0760869565217389E-4</v>
      </c>
    </row>
    <row r="171" spans="2:5" ht="15" customHeight="1" x14ac:dyDescent="0.25">
      <c r="B171" s="89"/>
      <c r="C171" s="46" t="s">
        <v>150</v>
      </c>
      <c r="D171" s="47">
        <v>2</v>
      </c>
      <c r="E171" s="48">
        <v>2.7173913043478261E-4</v>
      </c>
    </row>
    <row r="172" spans="2:5" ht="15" customHeight="1" x14ac:dyDescent="0.25">
      <c r="B172" s="89"/>
      <c r="C172" s="46" t="s">
        <v>151</v>
      </c>
      <c r="D172" s="47">
        <v>5</v>
      </c>
      <c r="E172" s="48">
        <v>6.793478260869565E-4</v>
      </c>
    </row>
    <row r="173" spans="2:5" ht="15" customHeight="1" x14ac:dyDescent="0.25">
      <c r="B173" s="89"/>
      <c r="C173" s="46" t="s">
        <v>153</v>
      </c>
      <c r="D173" s="47">
        <v>2</v>
      </c>
      <c r="E173" s="48">
        <v>2.7173913043478261E-4</v>
      </c>
    </row>
    <row r="174" spans="2:5" ht="15" customHeight="1" x14ac:dyDescent="0.25">
      <c r="B174" s="89"/>
      <c r="C174" s="46" t="s">
        <v>157</v>
      </c>
      <c r="D174" s="47">
        <v>2</v>
      </c>
      <c r="E174" s="48">
        <v>2.7173913043478261E-4</v>
      </c>
    </row>
    <row r="175" spans="2:5" ht="15" customHeight="1" x14ac:dyDescent="0.25">
      <c r="B175" s="90"/>
      <c r="C175" s="49" t="s">
        <v>63</v>
      </c>
      <c r="D175" s="50">
        <v>33</v>
      </c>
      <c r="E175" s="51">
        <v>4.4836956521739132E-3</v>
      </c>
    </row>
    <row r="176" spans="2:5" ht="15" customHeight="1" x14ac:dyDescent="0.25">
      <c r="B176" s="88" t="s">
        <v>108</v>
      </c>
      <c r="C176" s="46" t="s">
        <v>142</v>
      </c>
      <c r="D176" s="47">
        <v>1</v>
      </c>
      <c r="E176" s="48">
        <v>1.3586956521739131E-4</v>
      </c>
    </row>
    <row r="177" spans="2:5" ht="15" customHeight="1" x14ac:dyDescent="0.25">
      <c r="B177" s="89"/>
      <c r="C177" s="46" t="s">
        <v>143</v>
      </c>
      <c r="D177" s="47">
        <v>2</v>
      </c>
      <c r="E177" s="48">
        <v>2.7173913043478261E-4</v>
      </c>
    </row>
    <row r="178" spans="2:5" ht="15" customHeight="1" x14ac:dyDescent="0.25">
      <c r="B178" s="89"/>
      <c r="C178" s="46" t="s">
        <v>144</v>
      </c>
      <c r="D178" s="47">
        <v>2</v>
      </c>
      <c r="E178" s="48">
        <v>2.7173913043478261E-4</v>
      </c>
    </row>
    <row r="179" spans="2:5" ht="15" customHeight="1" x14ac:dyDescent="0.25">
      <c r="B179" s="89"/>
      <c r="C179" s="46" t="s">
        <v>147</v>
      </c>
      <c r="D179" s="47">
        <v>2</v>
      </c>
      <c r="E179" s="48">
        <v>2.7173913043478261E-4</v>
      </c>
    </row>
    <row r="180" spans="2:5" ht="15" customHeight="1" x14ac:dyDescent="0.25">
      <c r="B180" s="89"/>
      <c r="C180" s="46" t="s">
        <v>148</v>
      </c>
      <c r="D180" s="47">
        <v>3</v>
      </c>
      <c r="E180" s="48">
        <v>4.0760869565217389E-4</v>
      </c>
    </row>
    <row r="181" spans="2:5" ht="15" customHeight="1" x14ac:dyDescent="0.25">
      <c r="B181" s="89"/>
      <c r="C181" s="46" t="s">
        <v>150</v>
      </c>
      <c r="D181" s="47">
        <v>2</v>
      </c>
      <c r="E181" s="48">
        <v>2.7173913043478261E-4</v>
      </c>
    </row>
    <row r="182" spans="2:5" ht="15" customHeight="1" x14ac:dyDescent="0.25">
      <c r="B182" s="89"/>
      <c r="C182" s="46" t="s">
        <v>151</v>
      </c>
      <c r="D182" s="47">
        <v>2</v>
      </c>
      <c r="E182" s="48">
        <v>2.7173913043478261E-4</v>
      </c>
    </row>
    <row r="183" spans="2:5" ht="15" customHeight="1" x14ac:dyDescent="0.25">
      <c r="B183" s="89"/>
      <c r="C183" s="46" t="s">
        <v>156</v>
      </c>
      <c r="D183" s="47">
        <v>1</v>
      </c>
      <c r="E183" s="48">
        <v>1.3586956521739131E-4</v>
      </c>
    </row>
    <row r="184" spans="2:5" ht="15" customHeight="1" x14ac:dyDescent="0.25">
      <c r="B184" s="89"/>
      <c r="C184" s="46" t="s">
        <v>157</v>
      </c>
      <c r="D184" s="47">
        <v>1</v>
      </c>
      <c r="E184" s="48">
        <v>1.3586956521739131E-4</v>
      </c>
    </row>
    <row r="185" spans="2:5" ht="15" customHeight="1" x14ac:dyDescent="0.25">
      <c r="B185" s="90"/>
      <c r="C185" s="49" t="s">
        <v>63</v>
      </c>
      <c r="D185" s="50">
        <v>16</v>
      </c>
      <c r="E185" s="51">
        <v>2.1739130434782609E-3</v>
      </c>
    </row>
    <row r="186" spans="2:5" ht="15" customHeight="1" x14ac:dyDescent="0.25">
      <c r="B186" s="88" t="s">
        <v>84</v>
      </c>
      <c r="C186" s="46" t="s">
        <v>137</v>
      </c>
      <c r="D186" s="47">
        <v>3</v>
      </c>
      <c r="E186" s="48">
        <v>4.0760869565217389E-4</v>
      </c>
    </row>
    <row r="187" spans="2:5" ht="15" customHeight="1" x14ac:dyDescent="0.25">
      <c r="B187" s="89"/>
      <c r="C187" s="46" t="s">
        <v>139</v>
      </c>
      <c r="D187" s="47">
        <v>2</v>
      </c>
      <c r="E187" s="48">
        <v>2.7173913043478261E-4</v>
      </c>
    </row>
    <row r="188" spans="2:5" ht="15" customHeight="1" x14ac:dyDescent="0.25">
      <c r="B188" s="89"/>
      <c r="C188" s="46" t="s">
        <v>140</v>
      </c>
      <c r="D188" s="47">
        <v>2</v>
      </c>
      <c r="E188" s="48">
        <v>2.7173913043478261E-4</v>
      </c>
    </row>
    <row r="189" spans="2:5" ht="15" customHeight="1" x14ac:dyDescent="0.25">
      <c r="B189" s="89"/>
      <c r="C189" s="46" t="s">
        <v>141</v>
      </c>
      <c r="D189" s="47">
        <v>5</v>
      </c>
      <c r="E189" s="48">
        <v>6.793478260869565E-4</v>
      </c>
    </row>
    <row r="190" spans="2:5" ht="15" customHeight="1" x14ac:dyDescent="0.25">
      <c r="B190" s="89"/>
      <c r="C190" s="46" t="s">
        <v>142</v>
      </c>
      <c r="D190" s="47">
        <v>5</v>
      </c>
      <c r="E190" s="48">
        <v>6.793478260869565E-4</v>
      </c>
    </row>
    <row r="191" spans="2:5" ht="15" customHeight="1" x14ac:dyDescent="0.25">
      <c r="B191" s="89"/>
      <c r="C191" s="46" t="s">
        <v>143</v>
      </c>
      <c r="D191" s="47">
        <v>13</v>
      </c>
      <c r="E191" s="48">
        <v>1.766304347826087E-3</v>
      </c>
    </row>
    <row r="192" spans="2:5" ht="15" customHeight="1" x14ac:dyDescent="0.25">
      <c r="B192" s="89"/>
      <c r="C192" s="46" t="s">
        <v>144</v>
      </c>
      <c r="D192" s="47">
        <v>18</v>
      </c>
      <c r="E192" s="48">
        <v>2.4456521739130437E-3</v>
      </c>
    </row>
    <row r="193" spans="2:5" ht="15" customHeight="1" x14ac:dyDescent="0.25">
      <c r="B193" s="89"/>
      <c r="C193" s="46" t="s">
        <v>145</v>
      </c>
      <c r="D193" s="47">
        <v>3</v>
      </c>
      <c r="E193" s="48">
        <v>4.0760869565217389E-4</v>
      </c>
    </row>
    <row r="194" spans="2:5" ht="15" customHeight="1" x14ac:dyDescent="0.25">
      <c r="B194" s="89"/>
      <c r="C194" s="46" t="s">
        <v>146</v>
      </c>
      <c r="D194" s="47">
        <v>4</v>
      </c>
      <c r="E194" s="48">
        <v>5.4347826086956522E-4</v>
      </c>
    </row>
    <row r="195" spans="2:5" ht="15" customHeight="1" x14ac:dyDescent="0.25">
      <c r="B195" s="89"/>
      <c r="C195" s="46" t="s">
        <v>147</v>
      </c>
      <c r="D195" s="47">
        <v>5</v>
      </c>
      <c r="E195" s="48">
        <v>6.793478260869565E-4</v>
      </c>
    </row>
    <row r="196" spans="2:5" ht="15" customHeight="1" x14ac:dyDescent="0.25">
      <c r="B196" s="89"/>
      <c r="C196" s="46" t="s">
        <v>148</v>
      </c>
      <c r="D196" s="47">
        <v>44</v>
      </c>
      <c r="E196" s="48">
        <v>5.9782608695652176E-3</v>
      </c>
    </row>
    <row r="197" spans="2:5" ht="15" customHeight="1" x14ac:dyDescent="0.25">
      <c r="B197" s="89"/>
      <c r="C197" s="46" t="s">
        <v>149</v>
      </c>
      <c r="D197" s="47">
        <v>1</v>
      </c>
      <c r="E197" s="48">
        <v>1.3586956521739131E-4</v>
      </c>
    </row>
    <row r="198" spans="2:5" ht="15" customHeight="1" x14ac:dyDescent="0.25">
      <c r="B198" s="89"/>
      <c r="C198" s="46" t="s">
        <v>150</v>
      </c>
      <c r="D198" s="47">
        <v>8</v>
      </c>
      <c r="E198" s="48">
        <v>1.0869565217391304E-3</v>
      </c>
    </row>
    <row r="199" spans="2:5" ht="15" customHeight="1" x14ac:dyDescent="0.25">
      <c r="B199" s="89"/>
      <c r="C199" s="46" t="s">
        <v>151</v>
      </c>
      <c r="D199" s="47">
        <v>25</v>
      </c>
      <c r="E199" s="48">
        <v>3.3967391304347825E-3</v>
      </c>
    </row>
    <row r="200" spans="2:5" ht="15" customHeight="1" x14ac:dyDescent="0.25">
      <c r="B200" s="89"/>
      <c r="C200" s="46" t="s">
        <v>152</v>
      </c>
      <c r="D200" s="47">
        <v>3</v>
      </c>
      <c r="E200" s="48">
        <v>4.0760869565217389E-4</v>
      </c>
    </row>
    <row r="201" spans="2:5" ht="15" customHeight="1" x14ac:dyDescent="0.25">
      <c r="B201" s="89"/>
      <c r="C201" s="46" t="s">
        <v>156</v>
      </c>
      <c r="D201" s="47">
        <v>2</v>
      </c>
      <c r="E201" s="48">
        <v>2.7173913043478261E-4</v>
      </c>
    </row>
    <row r="202" spans="2:5" ht="15" customHeight="1" x14ac:dyDescent="0.25">
      <c r="B202" s="89"/>
      <c r="C202" s="46" t="s">
        <v>157</v>
      </c>
      <c r="D202" s="47">
        <v>1</v>
      </c>
      <c r="E202" s="48">
        <v>1.3586956521739131E-4</v>
      </c>
    </row>
    <row r="203" spans="2:5" ht="15" customHeight="1" x14ac:dyDescent="0.25">
      <c r="B203" s="90"/>
      <c r="C203" s="49" t="s">
        <v>63</v>
      </c>
      <c r="D203" s="50">
        <v>144</v>
      </c>
      <c r="E203" s="51">
        <v>1.9565217391304349E-2</v>
      </c>
    </row>
    <row r="204" spans="2:5" ht="15" customHeight="1" x14ac:dyDescent="0.25">
      <c r="B204" s="88" t="s">
        <v>76</v>
      </c>
      <c r="C204" s="46" t="s">
        <v>138</v>
      </c>
      <c r="D204" s="47">
        <v>2</v>
      </c>
      <c r="E204" s="48">
        <v>2.7173913043478261E-4</v>
      </c>
    </row>
    <row r="205" spans="2:5" ht="15" customHeight="1" x14ac:dyDescent="0.25">
      <c r="B205" s="89"/>
      <c r="C205" s="46" t="s">
        <v>139</v>
      </c>
      <c r="D205" s="47">
        <v>7</v>
      </c>
      <c r="E205" s="48">
        <v>9.5108695652173917E-4</v>
      </c>
    </row>
    <row r="206" spans="2:5" ht="15" customHeight="1" x14ac:dyDescent="0.25">
      <c r="B206" s="89"/>
      <c r="C206" s="46" t="s">
        <v>140</v>
      </c>
      <c r="D206" s="47">
        <v>4</v>
      </c>
      <c r="E206" s="48">
        <v>5.4347826086956522E-4</v>
      </c>
    </row>
    <row r="207" spans="2:5" ht="15" customHeight="1" x14ac:dyDescent="0.25">
      <c r="B207" s="89"/>
      <c r="C207" s="46" t="s">
        <v>141</v>
      </c>
      <c r="D207" s="47">
        <v>3</v>
      </c>
      <c r="E207" s="48">
        <v>4.0760869565217389E-4</v>
      </c>
    </row>
    <row r="208" spans="2:5" ht="15" customHeight="1" x14ac:dyDescent="0.25">
      <c r="B208" s="89"/>
      <c r="C208" s="46" t="s">
        <v>142</v>
      </c>
      <c r="D208" s="47">
        <v>9</v>
      </c>
      <c r="E208" s="48">
        <v>1.2228260869565218E-3</v>
      </c>
    </row>
    <row r="209" spans="2:5" ht="15" customHeight="1" x14ac:dyDescent="0.25">
      <c r="B209" s="89"/>
      <c r="C209" s="46" t="s">
        <v>143</v>
      </c>
      <c r="D209" s="47">
        <v>42</v>
      </c>
      <c r="E209" s="48">
        <v>5.7065217391304348E-3</v>
      </c>
    </row>
    <row r="210" spans="2:5" ht="15" customHeight="1" x14ac:dyDescent="0.25">
      <c r="B210" s="89"/>
      <c r="C210" s="46" t="s">
        <v>144</v>
      </c>
      <c r="D210" s="47">
        <v>57</v>
      </c>
      <c r="E210" s="48">
        <v>7.7445652173913047E-3</v>
      </c>
    </row>
    <row r="211" spans="2:5" ht="15" customHeight="1" x14ac:dyDescent="0.25">
      <c r="B211" s="89"/>
      <c r="C211" s="46" t="s">
        <v>145</v>
      </c>
      <c r="D211" s="47">
        <v>10</v>
      </c>
      <c r="E211" s="48">
        <v>1.358695652173913E-3</v>
      </c>
    </row>
    <row r="212" spans="2:5" ht="15" customHeight="1" x14ac:dyDescent="0.25">
      <c r="B212" s="89"/>
      <c r="C212" s="46" t="s">
        <v>146</v>
      </c>
      <c r="D212" s="47">
        <v>12</v>
      </c>
      <c r="E212" s="48">
        <v>1.6304347826086956E-3</v>
      </c>
    </row>
    <row r="213" spans="2:5" ht="15" customHeight="1" x14ac:dyDescent="0.25">
      <c r="B213" s="89"/>
      <c r="C213" s="46" t="s">
        <v>147</v>
      </c>
      <c r="D213" s="47">
        <v>25</v>
      </c>
      <c r="E213" s="48">
        <v>3.3967391304347825E-3</v>
      </c>
    </row>
    <row r="214" spans="2:5" ht="15" customHeight="1" x14ac:dyDescent="0.25">
      <c r="B214" s="89"/>
      <c r="C214" s="46" t="s">
        <v>148</v>
      </c>
      <c r="D214" s="47">
        <v>174</v>
      </c>
      <c r="E214" s="48">
        <v>2.3641304347826086E-2</v>
      </c>
    </row>
    <row r="215" spans="2:5" ht="15" customHeight="1" x14ac:dyDescent="0.25">
      <c r="B215" s="89"/>
      <c r="C215" s="46" t="s">
        <v>149</v>
      </c>
      <c r="D215" s="47">
        <v>5</v>
      </c>
      <c r="E215" s="48">
        <v>6.793478260869565E-4</v>
      </c>
    </row>
    <row r="216" spans="2:5" ht="15" customHeight="1" x14ac:dyDescent="0.25">
      <c r="B216" s="89"/>
      <c r="C216" s="46" t="s">
        <v>150</v>
      </c>
      <c r="D216" s="47">
        <v>32</v>
      </c>
      <c r="E216" s="48">
        <v>4.3478260869565218E-3</v>
      </c>
    </row>
    <row r="217" spans="2:5" ht="15" customHeight="1" x14ac:dyDescent="0.25">
      <c r="B217" s="89"/>
      <c r="C217" s="46" t="s">
        <v>151</v>
      </c>
      <c r="D217" s="47">
        <v>86</v>
      </c>
      <c r="E217" s="48">
        <v>1.1684782608695652E-2</v>
      </c>
    </row>
    <row r="218" spans="2:5" ht="15" customHeight="1" x14ac:dyDescent="0.25">
      <c r="B218" s="89"/>
      <c r="C218" s="46" t="s">
        <v>155</v>
      </c>
      <c r="D218" s="47">
        <v>1</v>
      </c>
      <c r="E218" s="48">
        <v>1.3586956521739131E-4</v>
      </c>
    </row>
    <row r="219" spans="2:5" ht="15" customHeight="1" x14ac:dyDescent="0.25">
      <c r="B219" s="89"/>
      <c r="C219" s="46" t="s">
        <v>156</v>
      </c>
      <c r="D219" s="47">
        <v>6</v>
      </c>
      <c r="E219" s="48">
        <v>8.1521739130434778E-4</v>
      </c>
    </row>
    <row r="220" spans="2:5" ht="15" customHeight="1" x14ac:dyDescent="0.25">
      <c r="B220" s="89"/>
      <c r="C220" s="46" t="s">
        <v>157</v>
      </c>
      <c r="D220" s="47">
        <v>11</v>
      </c>
      <c r="E220" s="48">
        <v>1.4945652173913044E-3</v>
      </c>
    </row>
    <row r="221" spans="2:5" ht="15" customHeight="1" x14ac:dyDescent="0.25">
      <c r="B221" s="89"/>
      <c r="C221" s="46" t="s">
        <v>159</v>
      </c>
      <c r="D221" s="47">
        <v>1</v>
      </c>
      <c r="E221" s="48">
        <v>1.3586956521739131E-4</v>
      </c>
    </row>
    <row r="222" spans="2:5" ht="15" customHeight="1" x14ac:dyDescent="0.25">
      <c r="B222" s="90"/>
      <c r="C222" s="49" t="s">
        <v>63</v>
      </c>
      <c r="D222" s="50">
        <v>487</v>
      </c>
      <c r="E222" s="51">
        <v>6.6168478260869565E-2</v>
      </c>
    </row>
    <row r="223" spans="2:5" ht="15" customHeight="1" x14ac:dyDescent="0.25">
      <c r="B223" s="88" t="s">
        <v>164</v>
      </c>
      <c r="C223" s="46" t="s">
        <v>162</v>
      </c>
      <c r="D223" s="47">
        <v>1</v>
      </c>
      <c r="E223" s="48">
        <v>1.3586956521739131E-4</v>
      </c>
    </row>
    <row r="224" spans="2:5" ht="15" customHeight="1" x14ac:dyDescent="0.25">
      <c r="B224" s="89"/>
      <c r="C224" s="46" t="s">
        <v>139</v>
      </c>
      <c r="D224" s="47">
        <v>2</v>
      </c>
      <c r="E224" s="48">
        <v>2.7173913043478261E-4</v>
      </c>
    </row>
    <row r="225" spans="2:5" ht="15" customHeight="1" x14ac:dyDescent="0.25">
      <c r="B225" s="89"/>
      <c r="C225" s="46" t="s">
        <v>140</v>
      </c>
      <c r="D225" s="47">
        <v>2</v>
      </c>
      <c r="E225" s="48">
        <v>2.7173913043478261E-4</v>
      </c>
    </row>
    <row r="226" spans="2:5" ht="15" customHeight="1" x14ac:dyDescent="0.25">
      <c r="B226" s="89"/>
      <c r="C226" s="46" t="s">
        <v>142</v>
      </c>
      <c r="D226" s="47">
        <v>2</v>
      </c>
      <c r="E226" s="48">
        <v>2.7173913043478261E-4</v>
      </c>
    </row>
    <row r="227" spans="2:5" ht="15" customHeight="1" x14ac:dyDescent="0.25">
      <c r="B227" s="89"/>
      <c r="C227" s="46" t="s">
        <v>143</v>
      </c>
      <c r="D227" s="47">
        <v>14</v>
      </c>
      <c r="E227" s="48">
        <v>1.9021739130434783E-3</v>
      </c>
    </row>
    <row r="228" spans="2:5" ht="15" customHeight="1" x14ac:dyDescent="0.25">
      <c r="B228" s="89"/>
      <c r="C228" s="46" t="s">
        <v>144</v>
      </c>
      <c r="D228" s="47">
        <v>26</v>
      </c>
      <c r="E228" s="48">
        <v>3.5326086956521739E-3</v>
      </c>
    </row>
    <row r="229" spans="2:5" ht="15" customHeight="1" x14ac:dyDescent="0.25">
      <c r="B229" s="89"/>
      <c r="C229" s="46" t="s">
        <v>145</v>
      </c>
      <c r="D229" s="47">
        <v>1</v>
      </c>
      <c r="E229" s="48">
        <v>1.3586956521739131E-4</v>
      </c>
    </row>
    <row r="230" spans="2:5" ht="15" customHeight="1" x14ac:dyDescent="0.25">
      <c r="B230" s="89"/>
      <c r="C230" s="46" t="s">
        <v>146</v>
      </c>
      <c r="D230" s="47">
        <v>2</v>
      </c>
      <c r="E230" s="48">
        <v>2.7173913043478261E-4</v>
      </c>
    </row>
    <row r="231" spans="2:5" ht="15" customHeight="1" x14ac:dyDescent="0.25">
      <c r="B231" s="89"/>
      <c r="C231" s="46" t="s">
        <v>147</v>
      </c>
      <c r="D231" s="47">
        <v>6</v>
      </c>
      <c r="E231" s="48">
        <v>8.1521739130434778E-4</v>
      </c>
    </row>
    <row r="232" spans="2:5" ht="15" customHeight="1" x14ac:dyDescent="0.25">
      <c r="B232" s="89"/>
      <c r="C232" s="46" t="s">
        <v>148</v>
      </c>
      <c r="D232" s="47">
        <v>46</v>
      </c>
      <c r="E232" s="48">
        <v>6.2500000000000003E-3</v>
      </c>
    </row>
    <row r="233" spans="2:5" ht="15" customHeight="1" x14ac:dyDescent="0.25">
      <c r="B233" s="89"/>
      <c r="C233" s="46" t="s">
        <v>149</v>
      </c>
      <c r="D233" s="47">
        <v>2</v>
      </c>
      <c r="E233" s="48">
        <v>2.7173913043478261E-4</v>
      </c>
    </row>
    <row r="234" spans="2:5" ht="15" customHeight="1" x14ac:dyDescent="0.25">
      <c r="B234" s="89"/>
      <c r="C234" s="46" t="s">
        <v>150</v>
      </c>
      <c r="D234" s="47">
        <v>16</v>
      </c>
      <c r="E234" s="48">
        <v>2.1739130434782609E-3</v>
      </c>
    </row>
    <row r="235" spans="2:5" ht="15" customHeight="1" x14ac:dyDescent="0.25">
      <c r="B235" s="89"/>
      <c r="C235" s="46" t="s">
        <v>151</v>
      </c>
      <c r="D235" s="47">
        <v>23</v>
      </c>
      <c r="E235" s="48">
        <v>3.1250000000000002E-3</v>
      </c>
    </row>
    <row r="236" spans="2:5" ht="15" customHeight="1" x14ac:dyDescent="0.25">
      <c r="B236" s="89"/>
      <c r="C236" s="46" t="s">
        <v>153</v>
      </c>
      <c r="D236" s="47">
        <v>2</v>
      </c>
      <c r="E236" s="48">
        <v>2.7173913043478261E-4</v>
      </c>
    </row>
    <row r="237" spans="2:5" ht="15" customHeight="1" x14ac:dyDescent="0.25">
      <c r="B237" s="89"/>
      <c r="C237" s="46" t="s">
        <v>156</v>
      </c>
      <c r="D237" s="47">
        <v>1</v>
      </c>
      <c r="E237" s="48">
        <v>1.3586956521739131E-4</v>
      </c>
    </row>
    <row r="238" spans="2:5" ht="15" customHeight="1" x14ac:dyDescent="0.25">
      <c r="B238" s="89"/>
      <c r="C238" s="46" t="s">
        <v>157</v>
      </c>
      <c r="D238" s="47">
        <v>2</v>
      </c>
      <c r="E238" s="48">
        <v>2.7173913043478261E-4</v>
      </c>
    </row>
    <row r="239" spans="2:5" ht="15" customHeight="1" x14ac:dyDescent="0.25">
      <c r="B239" s="90"/>
      <c r="C239" s="49" t="s">
        <v>63</v>
      </c>
      <c r="D239" s="50">
        <v>148</v>
      </c>
      <c r="E239" s="51">
        <v>2.0108695652173911E-2</v>
      </c>
    </row>
    <row r="240" spans="2:5" ht="15" customHeight="1" x14ac:dyDescent="0.25">
      <c r="B240" s="88" t="s">
        <v>80</v>
      </c>
      <c r="C240" s="46" t="s">
        <v>137</v>
      </c>
      <c r="D240" s="47">
        <v>2</v>
      </c>
      <c r="E240" s="48">
        <v>2.7173913043478261E-4</v>
      </c>
    </row>
    <row r="241" spans="2:5" ht="15" customHeight="1" x14ac:dyDescent="0.25">
      <c r="B241" s="89"/>
      <c r="C241" s="46" t="s">
        <v>140</v>
      </c>
      <c r="D241" s="47">
        <v>3</v>
      </c>
      <c r="E241" s="48">
        <v>4.0760869565217389E-4</v>
      </c>
    </row>
    <row r="242" spans="2:5" ht="15" customHeight="1" x14ac:dyDescent="0.25">
      <c r="B242" s="89"/>
      <c r="C242" s="46" t="s">
        <v>141</v>
      </c>
      <c r="D242" s="47">
        <v>3</v>
      </c>
      <c r="E242" s="48">
        <v>4.0760869565217389E-4</v>
      </c>
    </row>
    <row r="243" spans="2:5" ht="15" customHeight="1" x14ac:dyDescent="0.25">
      <c r="B243" s="89"/>
      <c r="C243" s="46" t="s">
        <v>142</v>
      </c>
      <c r="D243" s="47">
        <v>2</v>
      </c>
      <c r="E243" s="48">
        <v>2.7173913043478261E-4</v>
      </c>
    </row>
    <row r="244" spans="2:5" ht="15" customHeight="1" x14ac:dyDescent="0.25">
      <c r="B244" s="89"/>
      <c r="C244" s="46" t="s">
        <v>143</v>
      </c>
      <c r="D244" s="47">
        <v>14</v>
      </c>
      <c r="E244" s="48">
        <v>1.9021739130434783E-3</v>
      </c>
    </row>
    <row r="245" spans="2:5" ht="15" customHeight="1" x14ac:dyDescent="0.25">
      <c r="B245" s="89"/>
      <c r="C245" s="46" t="s">
        <v>144</v>
      </c>
      <c r="D245" s="47">
        <v>23</v>
      </c>
      <c r="E245" s="48">
        <v>3.1250000000000002E-3</v>
      </c>
    </row>
    <row r="246" spans="2:5" ht="15" customHeight="1" x14ac:dyDescent="0.25">
      <c r="B246" s="89"/>
      <c r="C246" s="46" t="s">
        <v>145</v>
      </c>
      <c r="D246" s="47">
        <v>2</v>
      </c>
      <c r="E246" s="48">
        <v>2.7173913043478261E-4</v>
      </c>
    </row>
    <row r="247" spans="2:5" ht="15" customHeight="1" x14ac:dyDescent="0.25">
      <c r="B247" s="89"/>
      <c r="C247" s="46" t="s">
        <v>146</v>
      </c>
      <c r="D247" s="47">
        <v>6</v>
      </c>
      <c r="E247" s="48">
        <v>8.1521739130434778E-4</v>
      </c>
    </row>
    <row r="248" spans="2:5" ht="15" customHeight="1" x14ac:dyDescent="0.25">
      <c r="B248" s="89"/>
      <c r="C248" s="46" t="s">
        <v>147</v>
      </c>
      <c r="D248" s="47">
        <v>14</v>
      </c>
      <c r="E248" s="48">
        <v>1.9021739130434783E-3</v>
      </c>
    </row>
    <row r="249" spans="2:5" ht="15" customHeight="1" x14ac:dyDescent="0.25">
      <c r="B249" s="89"/>
      <c r="C249" s="46" t="s">
        <v>148</v>
      </c>
      <c r="D249" s="47">
        <v>36</v>
      </c>
      <c r="E249" s="48">
        <v>4.8913043478260873E-3</v>
      </c>
    </row>
    <row r="250" spans="2:5" ht="15" customHeight="1" x14ac:dyDescent="0.25">
      <c r="B250" s="89"/>
      <c r="C250" s="46" t="s">
        <v>149</v>
      </c>
      <c r="D250" s="47">
        <v>1</v>
      </c>
      <c r="E250" s="48">
        <v>1.3586956521739131E-4</v>
      </c>
    </row>
    <row r="251" spans="2:5" ht="15" customHeight="1" x14ac:dyDescent="0.25">
      <c r="B251" s="89"/>
      <c r="C251" s="46" t="s">
        <v>150</v>
      </c>
      <c r="D251" s="47">
        <v>15</v>
      </c>
      <c r="E251" s="48">
        <v>2.0380434782608695E-3</v>
      </c>
    </row>
    <row r="252" spans="2:5" ht="15" customHeight="1" x14ac:dyDescent="0.25">
      <c r="B252" s="89"/>
      <c r="C252" s="46" t="s">
        <v>151</v>
      </c>
      <c r="D252" s="47">
        <v>32</v>
      </c>
      <c r="E252" s="48">
        <v>4.3478260869565218E-3</v>
      </c>
    </row>
    <row r="253" spans="2:5" ht="15" customHeight="1" x14ac:dyDescent="0.25">
      <c r="B253" s="89"/>
      <c r="C253" s="46" t="s">
        <v>153</v>
      </c>
      <c r="D253" s="47">
        <v>1</v>
      </c>
      <c r="E253" s="48">
        <v>1.3586956521739131E-4</v>
      </c>
    </row>
    <row r="254" spans="2:5" ht="15" customHeight="1" x14ac:dyDescent="0.25">
      <c r="B254" s="89"/>
      <c r="C254" s="46" t="s">
        <v>156</v>
      </c>
      <c r="D254" s="47">
        <v>3</v>
      </c>
      <c r="E254" s="48">
        <v>4.0760869565217389E-4</v>
      </c>
    </row>
    <row r="255" spans="2:5" ht="15" customHeight="1" x14ac:dyDescent="0.25">
      <c r="B255" s="89"/>
      <c r="C255" s="46" t="s">
        <v>157</v>
      </c>
      <c r="D255" s="47">
        <v>4</v>
      </c>
      <c r="E255" s="48">
        <v>5.4347826086956522E-4</v>
      </c>
    </row>
    <row r="256" spans="2:5" ht="15" customHeight="1" x14ac:dyDescent="0.25">
      <c r="B256" s="90"/>
      <c r="C256" s="49" t="s">
        <v>63</v>
      </c>
      <c r="D256" s="50">
        <v>161</v>
      </c>
      <c r="E256" s="51">
        <v>2.1874999999999999E-2</v>
      </c>
    </row>
    <row r="257" spans="2:5" ht="15" customHeight="1" x14ac:dyDescent="0.25">
      <c r="B257" s="88" t="s">
        <v>109</v>
      </c>
      <c r="C257" s="46" t="s">
        <v>141</v>
      </c>
      <c r="D257" s="47">
        <v>1</v>
      </c>
      <c r="E257" s="48">
        <v>1.3586956521739131E-4</v>
      </c>
    </row>
    <row r="258" spans="2:5" ht="15" customHeight="1" x14ac:dyDescent="0.25">
      <c r="B258" s="89"/>
      <c r="C258" s="46" t="s">
        <v>148</v>
      </c>
      <c r="D258" s="47">
        <v>3</v>
      </c>
      <c r="E258" s="48">
        <v>4.0760869565217389E-4</v>
      </c>
    </row>
    <row r="259" spans="2:5" ht="15" customHeight="1" x14ac:dyDescent="0.25">
      <c r="B259" s="89"/>
      <c r="C259" s="46" t="s">
        <v>150</v>
      </c>
      <c r="D259" s="47">
        <v>1</v>
      </c>
      <c r="E259" s="48">
        <v>1.3586956521739131E-4</v>
      </c>
    </row>
    <row r="260" spans="2:5" ht="15" customHeight="1" x14ac:dyDescent="0.25">
      <c r="B260" s="89"/>
      <c r="C260" s="46" t="s">
        <v>151</v>
      </c>
      <c r="D260" s="47">
        <v>4</v>
      </c>
      <c r="E260" s="48">
        <v>5.4347826086956522E-4</v>
      </c>
    </row>
    <row r="261" spans="2:5" ht="15" customHeight="1" x14ac:dyDescent="0.25">
      <c r="B261" s="90"/>
      <c r="C261" s="49" t="s">
        <v>63</v>
      </c>
      <c r="D261" s="50">
        <v>9</v>
      </c>
      <c r="E261" s="51">
        <v>1.2228260869565218E-3</v>
      </c>
    </row>
    <row r="262" spans="2:5" ht="15" customHeight="1" x14ac:dyDescent="0.25">
      <c r="B262" s="88" t="s">
        <v>82</v>
      </c>
      <c r="C262" s="46" t="s">
        <v>137</v>
      </c>
      <c r="D262" s="47">
        <v>2</v>
      </c>
      <c r="E262" s="48">
        <v>2.7173913043478261E-4</v>
      </c>
    </row>
    <row r="263" spans="2:5" ht="15" customHeight="1" x14ac:dyDescent="0.25">
      <c r="B263" s="89"/>
      <c r="C263" s="46" t="s">
        <v>139</v>
      </c>
      <c r="D263" s="47">
        <v>2</v>
      </c>
      <c r="E263" s="48">
        <v>2.7173913043478261E-4</v>
      </c>
    </row>
    <row r="264" spans="2:5" ht="15" customHeight="1" x14ac:dyDescent="0.25">
      <c r="B264" s="89"/>
      <c r="C264" s="46" t="s">
        <v>140</v>
      </c>
      <c r="D264" s="47">
        <v>5</v>
      </c>
      <c r="E264" s="48">
        <v>6.793478260869565E-4</v>
      </c>
    </row>
    <row r="265" spans="2:5" ht="15" customHeight="1" x14ac:dyDescent="0.25">
      <c r="B265" s="89"/>
      <c r="C265" s="46" t="s">
        <v>141</v>
      </c>
      <c r="D265" s="47">
        <v>1</v>
      </c>
      <c r="E265" s="48">
        <v>1.3586956521739131E-4</v>
      </c>
    </row>
    <row r="266" spans="2:5" ht="15" customHeight="1" x14ac:dyDescent="0.25">
      <c r="B266" s="89"/>
      <c r="C266" s="46" t="s">
        <v>142</v>
      </c>
      <c r="D266" s="47">
        <v>1</v>
      </c>
      <c r="E266" s="48">
        <v>1.3586956521739131E-4</v>
      </c>
    </row>
    <row r="267" spans="2:5" ht="15" customHeight="1" x14ac:dyDescent="0.25">
      <c r="B267" s="89"/>
      <c r="C267" s="46" t="s">
        <v>143</v>
      </c>
      <c r="D267" s="47">
        <v>11</v>
      </c>
      <c r="E267" s="48">
        <v>1.4945652173913044E-3</v>
      </c>
    </row>
    <row r="268" spans="2:5" ht="15" customHeight="1" x14ac:dyDescent="0.25">
      <c r="B268" s="89"/>
      <c r="C268" s="46" t="s">
        <v>144</v>
      </c>
      <c r="D268" s="47">
        <v>27</v>
      </c>
      <c r="E268" s="48">
        <v>3.6684782608695653E-3</v>
      </c>
    </row>
    <row r="269" spans="2:5" ht="15" customHeight="1" x14ac:dyDescent="0.25">
      <c r="B269" s="89"/>
      <c r="C269" s="46" t="s">
        <v>145</v>
      </c>
      <c r="D269" s="47">
        <v>1</v>
      </c>
      <c r="E269" s="48">
        <v>1.3586956521739131E-4</v>
      </c>
    </row>
    <row r="270" spans="2:5" ht="15" customHeight="1" x14ac:dyDescent="0.25">
      <c r="B270" s="89"/>
      <c r="C270" s="46" t="s">
        <v>146</v>
      </c>
      <c r="D270" s="47">
        <v>8</v>
      </c>
      <c r="E270" s="48">
        <v>1.0869565217391304E-3</v>
      </c>
    </row>
    <row r="271" spans="2:5" ht="15" customHeight="1" x14ac:dyDescent="0.25">
      <c r="B271" s="89"/>
      <c r="C271" s="46" t="s">
        <v>147</v>
      </c>
      <c r="D271" s="47">
        <v>4</v>
      </c>
      <c r="E271" s="48">
        <v>5.4347826086956522E-4</v>
      </c>
    </row>
    <row r="272" spans="2:5" ht="15" customHeight="1" x14ac:dyDescent="0.25">
      <c r="B272" s="89"/>
      <c r="C272" s="46" t="s">
        <v>148</v>
      </c>
      <c r="D272" s="47">
        <v>41</v>
      </c>
      <c r="E272" s="48">
        <v>5.5706521739130434E-3</v>
      </c>
    </row>
    <row r="273" spans="2:5" ht="15" customHeight="1" x14ac:dyDescent="0.25">
      <c r="B273" s="89"/>
      <c r="C273" s="46" t="s">
        <v>149</v>
      </c>
      <c r="D273" s="47">
        <v>2</v>
      </c>
      <c r="E273" s="48">
        <v>2.7173913043478261E-4</v>
      </c>
    </row>
    <row r="274" spans="2:5" ht="15" customHeight="1" x14ac:dyDescent="0.25">
      <c r="B274" s="89"/>
      <c r="C274" s="46" t="s">
        <v>150</v>
      </c>
      <c r="D274" s="47">
        <v>17</v>
      </c>
      <c r="E274" s="48">
        <v>2.3097826086956523E-3</v>
      </c>
    </row>
    <row r="275" spans="2:5" ht="15" customHeight="1" x14ac:dyDescent="0.25">
      <c r="B275" s="89"/>
      <c r="C275" s="46" t="s">
        <v>151</v>
      </c>
      <c r="D275" s="47">
        <v>21</v>
      </c>
      <c r="E275" s="48">
        <v>2.8532608695652174E-3</v>
      </c>
    </row>
    <row r="276" spans="2:5" ht="15" customHeight="1" x14ac:dyDescent="0.25">
      <c r="B276" s="89"/>
      <c r="C276" s="46" t="s">
        <v>156</v>
      </c>
      <c r="D276" s="47">
        <v>2</v>
      </c>
      <c r="E276" s="48">
        <v>2.7173913043478261E-4</v>
      </c>
    </row>
    <row r="277" spans="2:5" ht="15" customHeight="1" x14ac:dyDescent="0.25">
      <c r="B277" s="89"/>
      <c r="C277" s="46" t="s">
        <v>157</v>
      </c>
      <c r="D277" s="47">
        <v>4</v>
      </c>
      <c r="E277" s="48">
        <v>5.4347826086956522E-4</v>
      </c>
    </row>
    <row r="278" spans="2:5" ht="15" customHeight="1" x14ac:dyDescent="0.25">
      <c r="B278" s="89"/>
      <c r="C278" s="46" t="s">
        <v>158</v>
      </c>
      <c r="D278" s="47">
        <v>1</v>
      </c>
      <c r="E278" s="48">
        <v>1.3586956521739131E-4</v>
      </c>
    </row>
    <row r="279" spans="2:5" ht="15" customHeight="1" x14ac:dyDescent="0.25">
      <c r="B279" s="90"/>
      <c r="C279" s="49" t="s">
        <v>63</v>
      </c>
      <c r="D279" s="50">
        <v>150</v>
      </c>
      <c r="E279" s="51">
        <v>2.0380434782608696E-2</v>
      </c>
    </row>
    <row r="280" spans="2:5" ht="15" customHeight="1" x14ac:dyDescent="0.25">
      <c r="B280" s="88" t="s">
        <v>72</v>
      </c>
      <c r="C280" s="46" t="s">
        <v>162</v>
      </c>
      <c r="D280" s="47">
        <v>3</v>
      </c>
      <c r="E280" s="48">
        <v>4.0760869565217389E-4</v>
      </c>
    </row>
    <row r="281" spans="2:5" ht="15" customHeight="1" x14ac:dyDescent="0.25">
      <c r="B281" s="89"/>
      <c r="C281" s="46" t="s">
        <v>137</v>
      </c>
      <c r="D281" s="47">
        <v>4</v>
      </c>
      <c r="E281" s="48">
        <v>5.4347826086956522E-4</v>
      </c>
    </row>
    <row r="282" spans="2:5" ht="15" customHeight="1" x14ac:dyDescent="0.25">
      <c r="B282" s="89"/>
      <c r="C282" s="46" t="s">
        <v>138</v>
      </c>
      <c r="D282" s="47">
        <v>1</v>
      </c>
      <c r="E282" s="48">
        <v>1.3586956521739131E-4</v>
      </c>
    </row>
    <row r="283" spans="2:5" ht="15" customHeight="1" x14ac:dyDescent="0.25">
      <c r="B283" s="89"/>
      <c r="C283" s="46" t="s">
        <v>139</v>
      </c>
      <c r="D283" s="47">
        <v>5</v>
      </c>
      <c r="E283" s="48">
        <v>6.793478260869565E-4</v>
      </c>
    </row>
    <row r="284" spans="2:5" ht="15" customHeight="1" x14ac:dyDescent="0.25">
      <c r="B284" s="89"/>
      <c r="C284" s="46" t="s">
        <v>140</v>
      </c>
      <c r="D284" s="47">
        <v>6</v>
      </c>
      <c r="E284" s="48">
        <v>8.1521739130434778E-4</v>
      </c>
    </row>
    <row r="285" spans="2:5" ht="15" customHeight="1" x14ac:dyDescent="0.25">
      <c r="B285" s="89"/>
      <c r="C285" s="46" t="s">
        <v>141</v>
      </c>
      <c r="D285" s="47">
        <v>2</v>
      </c>
      <c r="E285" s="48">
        <v>2.7173913043478261E-4</v>
      </c>
    </row>
    <row r="286" spans="2:5" ht="15" customHeight="1" x14ac:dyDescent="0.25">
      <c r="B286" s="89"/>
      <c r="C286" s="46" t="s">
        <v>142</v>
      </c>
      <c r="D286" s="47">
        <v>14</v>
      </c>
      <c r="E286" s="48">
        <v>1.9021739130434783E-3</v>
      </c>
    </row>
    <row r="287" spans="2:5" ht="15" customHeight="1" x14ac:dyDescent="0.25">
      <c r="B287" s="89"/>
      <c r="C287" s="46" t="s">
        <v>143</v>
      </c>
      <c r="D287" s="47">
        <v>58</v>
      </c>
      <c r="E287" s="48">
        <v>7.8804347826086953E-3</v>
      </c>
    </row>
    <row r="288" spans="2:5" ht="15" customHeight="1" x14ac:dyDescent="0.25">
      <c r="B288" s="89"/>
      <c r="C288" s="46" t="s">
        <v>144</v>
      </c>
      <c r="D288" s="47">
        <v>87</v>
      </c>
      <c r="E288" s="48">
        <v>1.1820652173913043E-2</v>
      </c>
    </row>
    <row r="289" spans="2:5" ht="15" customHeight="1" x14ac:dyDescent="0.25">
      <c r="B289" s="89"/>
      <c r="C289" s="46" t="s">
        <v>145</v>
      </c>
      <c r="D289" s="47">
        <v>9</v>
      </c>
      <c r="E289" s="48">
        <v>1.2228260869565218E-3</v>
      </c>
    </row>
    <row r="290" spans="2:5" ht="15" customHeight="1" x14ac:dyDescent="0.25">
      <c r="B290" s="89"/>
      <c r="C290" s="46" t="s">
        <v>146</v>
      </c>
      <c r="D290" s="47">
        <v>19</v>
      </c>
      <c r="E290" s="48">
        <v>2.5815217391304346E-3</v>
      </c>
    </row>
    <row r="291" spans="2:5" ht="15" customHeight="1" x14ac:dyDescent="0.25">
      <c r="B291" s="89"/>
      <c r="C291" s="46" t="s">
        <v>147</v>
      </c>
      <c r="D291" s="47">
        <v>33</v>
      </c>
      <c r="E291" s="48">
        <v>4.4836956521739132E-3</v>
      </c>
    </row>
    <row r="292" spans="2:5" ht="15" customHeight="1" x14ac:dyDescent="0.25">
      <c r="B292" s="89"/>
      <c r="C292" s="46" t="s">
        <v>148</v>
      </c>
      <c r="D292" s="47">
        <v>262</v>
      </c>
      <c r="E292" s="48">
        <v>3.5597826086956524E-2</v>
      </c>
    </row>
    <row r="293" spans="2:5" ht="15" customHeight="1" x14ac:dyDescent="0.25">
      <c r="B293" s="89"/>
      <c r="C293" s="46" t="s">
        <v>149</v>
      </c>
      <c r="D293" s="47">
        <v>4</v>
      </c>
      <c r="E293" s="48">
        <v>5.4347826086956522E-4</v>
      </c>
    </row>
    <row r="294" spans="2:5" ht="15" customHeight="1" x14ac:dyDescent="0.25">
      <c r="B294" s="89"/>
      <c r="C294" s="46" t="s">
        <v>150</v>
      </c>
      <c r="D294" s="47">
        <v>36</v>
      </c>
      <c r="E294" s="48">
        <v>4.8913043478260873E-3</v>
      </c>
    </row>
    <row r="295" spans="2:5" ht="15" customHeight="1" x14ac:dyDescent="0.25">
      <c r="B295" s="89"/>
      <c r="C295" s="46" t="s">
        <v>151</v>
      </c>
      <c r="D295" s="47">
        <v>144</v>
      </c>
      <c r="E295" s="48">
        <v>1.9565217391304349E-2</v>
      </c>
    </row>
    <row r="296" spans="2:5" ht="15" customHeight="1" x14ac:dyDescent="0.25">
      <c r="B296" s="89"/>
      <c r="C296" s="46" t="s">
        <v>153</v>
      </c>
      <c r="D296" s="47">
        <v>1</v>
      </c>
      <c r="E296" s="48">
        <v>1.3586956521739131E-4</v>
      </c>
    </row>
    <row r="297" spans="2:5" ht="15" customHeight="1" x14ac:dyDescent="0.25">
      <c r="B297" s="89"/>
      <c r="C297" s="46" t="s">
        <v>156</v>
      </c>
      <c r="D297" s="47">
        <v>8</v>
      </c>
      <c r="E297" s="48">
        <v>1.0869565217391304E-3</v>
      </c>
    </row>
    <row r="298" spans="2:5" ht="15" customHeight="1" x14ac:dyDescent="0.25">
      <c r="B298" s="89"/>
      <c r="C298" s="46" t="s">
        <v>157</v>
      </c>
      <c r="D298" s="47">
        <v>14</v>
      </c>
      <c r="E298" s="48">
        <v>1.9021739130434783E-3</v>
      </c>
    </row>
    <row r="299" spans="2:5" ht="15" customHeight="1" x14ac:dyDescent="0.25">
      <c r="B299" s="89"/>
      <c r="C299" s="46" t="s">
        <v>158</v>
      </c>
      <c r="D299" s="47">
        <v>2</v>
      </c>
      <c r="E299" s="48">
        <v>2.7173913043478261E-4</v>
      </c>
    </row>
    <row r="300" spans="2:5" ht="15" customHeight="1" x14ac:dyDescent="0.25">
      <c r="B300" s="89"/>
      <c r="C300" s="46" t="s">
        <v>159</v>
      </c>
      <c r="D300" s="47">
        <v>1</v>
      </c>
      <c r="E300" s="48">
        <v>1.3586956521739131E-4</v>
      </c>
    </row>
    <row r="301" spans="2:5" ht="15" customHeight="1" x14ac:dyDescent="0.25">
      <c r="B301" s="90"/>
      <c r="C301" s="49" t="s">
        <v>63</v>
      </c>
      <c r="D301" s="50">
        <v>713</v>
      </c>
      <c r="E301" s="51">
        <v>9.6875000000000003E-2</v>
      </c>
    </row>
    <row r="302" spans="2:5" ht="15" customHeight="1" x14ac:dyDescent="0.25">
      <c r="B302" s="88" t="s">
        <v>165</v>
      </c>
      <c r="C302" s="46" t="s">
        <v>162</v>
      </c>
      <c r="D302" s="47">
        <v>1</v>
      </c>
      <c r="E302" s="48">
        <v>1.3586956521739131E-4</v>
      </c>
    </row>
    <row r="303" spans="2:5" ht="15" customHeight="1" x14ac:dyDescent="0.25">
      <c r="B303" s="89"/>
      <c r="C303" s="46" t="s">
        <v>137</v>
      </c>
      <c r="D303" s="47">
        <v>12</v>
      </c>
      <c r="E303" s="48">
        <v>1.6304347826086956E-3</v>
      </c>
    </row>
    <row r="304" spans="2:5" ht="15" customHeight="1" x14ac:dyDescent="0.25">
      <c r="B304" s="89"/>
      <c r="C304" s="46" t="s">
        <v>138</v>
      </c>
      <c r="D304" s="47">
        <v>7</v>
      </c>
      <c r="E304" s="48">
        <v>9.5108695652173917E-4</v>
      </c>
    </row>
    <row r="305" spans="2:5" ht="15" customHeight="1" x14ac:dyDescent="0.25">
      <c r="B305" s="89"/>
      <c r="C305" s="46" t="s">
        <v>139</v>
      </c>
      <c r="D305" s="47">
        <v>6</v>
      </c>
      <c r="E305" s="48">
        <v>8.1521739130434778E-4</v>
      </c>
    </row>
    <row r="306" spans="2:5" ht="15" customHeight="1" x14ac:dyDescent="0.25">
      <c r="B306" s="89"/>
      <c r="C306" s="46" t="s">
        <v>140</v>
      </c>
      <c r="D306" s="47">
        <v>13</v>
      </c>
      <c r="E306" s="48">
        <v>1.766304347826087E-3</v>
      </c>
    </row>
    <row r="307" spans="2:5" ht="15" customHeight="1" x14ac:dyDescent="0.25">
      <c r="B307" s="89"/>
      <c r="C307" s="46" t="s">
        <v>141</v>
      </c>
      <c r="D307" s="47">
        <v>5</v>
      </c>
      <c r="E307" s="48">
        <v>6.793478260869565E-4</v>
      </c>
    </row>
    <row r="308" spans="2:5" ht="15" customHeight="1" x14ac:dyDescent="0.25">
      <c r="B308" s="89"/>
      <c r="C308" s="46" t="s">
        <v>142</v>
      </c>
      <c r="D308" s="47">
        <v>8</v>
      </c>
      <c r="E308" s="48">
        <v>1.0869565217391304E-3</v>
      </c>
    </row>
    <row r="309" spans="2:5" ht="15" customHeight="1" x14ac:dyDescent="0.25">
      <c r="B309" s="89"/>
      <c r="C309" s="46" t="s">
        <v>143</v>
      </c>
      <c r="D309" s="47">
        <v>52</v>
      </c>
      <c r="E309" s="48">
        <v>7.0652173913043478E-3</v>
      </c>
    </row>
    <row r="310" spans="2:5" ht="15" customHeight="1" x14ac:dyDescent="0.25">
      <c r="B310" s="89"/>
      <c r="C310" s="46" t="s">
        <v>144</v>
      </c>
      <c r="D310" s="47">
        <v>121</v>
      </c>
      <c r="E310" s="48">
        <v>1.6440217391304347E-2</v>
      </c>
    </row>
    <row r="311" spans="2:5" ht="15" customHeight="1" x14ac:dyDescent="0.25">
      <c r="B311" s="89"/>
      <c r="C311" s="46" t="s">
        <v>145</v>
      </c>
      <c r="D311" s="47">
        <v>13</v>
      </c>
      <c r="E311" s="48">
        <v>1.766304347826087E-3</v>
      </c>
    </row>
    <row r="312" spans="2:5" ht="15" customHeight="1" x14ac:dyDescent="0.25">
      <c r="B312" s="89"/>
      <c r="C312" s="46" t="s">
        <v>146</v>
      </c>
      <c r="D312" s="47">
        <v>15</v>
      </c>
      <c r="E312" s="48">
        <v>2.0380434782608695E-3</v>
      </c>
    </row>
    <row r="313" spans="2:5" ht="15" customHeight="1" x14ac:dyDescent="0.25">
      <c r="B313" s="89"/>
      <c r="C313" s="46" t="s">
        <v>147</v>
      </c>
      <c r="D313" s="47">
        <v>22</v>
      </c>
      <c r="E313" s="48">
        <v>2.9891304347826088E-3</v>
      </c>
    </row>
    <row r="314" spans="2:5" ht="15" customHeight="1" x14ac:dyDescent="0.25">
      <c r="B314" s="89"/>
      <c r="C314" s="46" t="s">
        <v>148</v>
      </c>
      <c r="D314" s="47">
        <v>221</v>
      </c>
      <c r="E314" s="48">
        <v>3.0027173913043478E-2</v>
      </c>
    </row>
    <row r="315" spans="2:5" ht="15" customHeight="1" x14ac:dyDescent="0.25">
      <c r="B315" s="89"/>
      <c r="C315" s="46" t="s">
        <v>149</v>
      </c>
      <c r="D315" s="47">
        <v>8</v>
      </c>
      <c r="E315" s="48">
        <v>1.0869565217391304E-3</v>
      </c>
    </row>
    <row r="316" spans="2:5" ht="15" customHeight="1" x14ac:dyDescent="0.25">
      <c r="B316" s="89"/>
      <c r="C316" s="46" t="s">
        <v>150</v>
      </c>
      <c r="D316" s="47">
        <v>40</v>
      </c>
      <c r="E316" s="48">
        <v>5.434782608695652E-3</v>
      </c>
    </row>
    <row r="317" spans="2:5" ht="15" customHeight="1" x14ac:dyDescent="0.25">
      <c r="B317" s="89"/>
      <c r="C317" s="46" t="s">
        <v>151</v>
      </c>
      <c r="D317" s="47">
        <v>121</v>
      </c>
      <c r="E317" s="48">
        <v>1.6440217391304347E-2</v>
      </c>
    </row>
    <row r="318" spans="2:5" ht="15" customHeight="1" x14ac:dyDescent="0.25">
      <c r="B318" s="89"/>
      <c r="C318" s="46" t="s">
        <v>152</v>
      </c>
      <c r="D318" s="47">
        <v>2</v>
      </c>
      <c r="E318" s="48">
        <v>2.7173913043478261E-4</v>
      </c>
    </row>
    <row r="319" spans="2:5" ht="15" customHeight="1" x14ac:dyDescent="0.25">
      <c r="B319" s="89"/>
      <c r="C319" s="46" t="s">
        <v>153</v>
      </c>
      <c r="D319" s="47">
        <v>4</v>
      </c>
      <c r="E319" s="48">
        <v>5.4347826086956522E-4</v>
      </c>
    </row>
    <row r="320" spans="2:5" ht="15" customHeight="1" x14ac:dyDescent="0.25">
      <c r="B320" s="89"/>
      <c r="C320" s="46" t="s">
        <v>154</v>
      </c>
      <c r="D320" s="47">
        <v>1</v>
      </c>
      <c r="E320" s="48">
        <v>1.3586956521739131E-4</v>
      </c>
    </row>
    <row r="321" spans="2:5" ht="15" customHeight="1" x14ac:dyDescent="0.25">
      <c r="B321" s="89"/>
      <c r="C321" s="46" t="s">
        <v>155</v>
      </c>
      <c r="D321" s="47">
        <v>1</v>
      </c>
      <c r="E321" s="48">
        <v>1.3586956521739131E-4</v>
      </c>
    </row>
    <row r="322" spans="2:5" ht="15" customHeight="1" x14ac:dyDescent="0.25">
      <c r="B322" s="89"/>
      <c r="C322" s="46" t="s">
        <v>156</v>
      </c>
      <c r="D322" s="47">
        <v>7</v>
      </c>
      <c r="E322" s="48">
        <v>9.5108695652173917E-4</v>
      </c>
    </row>
    <row r="323" spans="2:5" ht="15" customHeight="1" x14ac:dyDescent="0.25">
      <c r="B323" s="89"/>
      <c r="C323" s="46" t="s">
        <v>157</v>
      </c>
      <c r="D323" s="47">
        <v>15</v>
      </c>
      <c r="E323" s="48">
        <v>2.0380434782608695E-3</v>
      </c>
    </row>
    <row r="324" spans="2:5" ht="15" customHeight="1" x14ac:dyDescent="0.25">
      <c r="B324" s="89"/>
      <c r="C324" s="46" t="s">
        <v>159</v>
      </c>
      <c r="D324" s="47">
        <v>1</v>
      </c>
      <c r="E324" s="48">
        <v>1.3586956521739131E-4</v>
      </c>
    </row>
    <row r="325" spans="2:5" ht="15" customHeight="1" x14ac:dyDescent="0.25">
      <c r="B325" s="90"/>
      <c r="C325" s="49" t="s">
        <v>63</v>
      </c>
      <c r="D325" s="50">
        <v>696</v>
      </c>
      <c r="E325" s="51">
        <v>9.4565217391304343E-2</v>
      </c>
    </row>
    <row r="326" spans="2:5" ht="15" customHeight="1" x14ac:dyDescent="0.25">
      <c r="B326" s="88" t="s">
        <v>166</v>
      </c>
      <c r="C326" s="46" t="s">
        <v>143</v>
      </c>
      <c r="D326" s="47">
        <v>3</v>
      </c>
      <c r="E326" s="48">
        <v>4.0760869565217389E-4</v>
      </c>
    </row>
    <row r="327" spans="2:5" ht="15" customHeight="1" x14ac:dyDescent="0.25">
      <c r="B327" s="89"/>
      <c r="C327" s="46" t="s">
        <v>144</v>
      </c>
      <c r="D327" s="47">
        <v>4</v>
      </c>
      <c r="E327" s="48">
        <v>5.4347826086956522E-4</v>
      </c>
    </row>
    <row r="328" spans="2:5" ht="15" customHeight="1" x14ac:dyDescent="0.25">
      <c r="B328" s="89"/>
      <c r="C328" s="46" t="s">
        <v>145</v>
      </c>
      <c r="D328" s="47">
        <v>3</v>
      </c>
      <c r="E328" s="48">
        <v>4.0760869565217389E-4</v>
      </c>
    </row>
    <row r="329" spans="2:5" ht="15" customHeight="1" x14ac:dyDescent="0.25">
      <c r="B329" s="89"/>
      <c r="C329" s="46" t="s">
        <v>146</v>
      </c>
      <c r="D329" s="47">
        <v>5</v>
      </c>
      <c r="E329" s="48">
        <v>6.793478260869565E-4</v>
      </c>
    </row>
    <row r="330" spans="2:5" ht="15" customHeight="1" x14ac:dyDescent="0.25">
      <c r="B330" s="89"/>
      <c r="C330" s="46" t="s">
        <v>147</v>
      </c>
      <c r="D330" s="47">
        <v>3</v>
      </c>
      <c r="E330" s="48">
        <v>4.0760869565217389E-4</v>
      </c>
    </row>
    <row r="331" spans="2:5" ht="15" customHeight="1" x14ac:dyDescent="0.25">
      <c r="B331" s="89"/>
      <c r="C331" s="46" t="s">
        <v>148</v>
      </c>
      <c r="D331" s="47">
        <v>10</v>
      </c>
      <c r="E331" s="48">
        <v>1.358695652173913E-3</v>
      </c>
    </row>
    <row r="332" spans="2:5" ht="15" customHeight="1" x14ac:dyDescent="0.25">
      <c r="B332" s="89"/>
      <c r="C332" s="46" t="s">
        <v>149</v>
      </c>
      <c r="D332" s="47">
        <v>2</v>
      </c>
      <c r="E332" s="48">
        <v>2.7173913043478261E-4</v>
      </c>
    </row>
    <row r="333" spans="2:5" ht="15" customHeight="1" x14ac:dyDescent="0.25">
      <c r="B333" s="89"/>
      <c r="C333" s="46" t="s">
        <v>150</v>
      </c>
      <c r="D333" s="47">
        <v>2</v>
      </c>
      <c r="E333" s="48">
        <v>2.7173913043478261E-4</v>
      </c>
    </row>
    <row r="334" spans="2:5" ht="15" customHeight="1" x14ac:dyDescent="0.25">
      <c r="B334" s="89"/>
      <c r="C334" s="46" t="s">
        <v>151</v>
      </c>
      <c r="D334" s="47">
        <v>10</v>
      </c>
      <c r="E334" s="48">
        <v>1.358695652173913E-3</v>
      </c>
    </row>
    <row r="335" spans="2:5" ht="15" customHeight="1" x14ac:dyDescent="0.25">
      <c r="B335" s="89"/>
      <c r="C335" s="46" t="s">
        <v>153</v>
      </c>
      <c r="D335" s="47">
        <v>1</v>
      </c>
      <c r="E335" s="48">
        <v>1.3586956521739131E-4</v>
      </c>
    </row>
    <row r="336" spans="2:5" ht="15" customHeight="1" x14ac:dyDescent="0.25">
      <c r="B336" s="90"/>
      <c r="C336" s="49" t="s">
        <v>63</v>
      </c>
      <c r="D336" s="50">
        <v>43</v>
      </c>
      <c r="E336" s="51">
        <v>5.8423913043478262E-3</v>
      </c>
    </row>
    <row r="337" spans="2:5" ht="15" customHeight="1" x14ac:dyDescent="0.25">
      <c r="B337" s="88" t="s">
        <v>97</v>
      </c>
      <c r="C337" s="46" t="s">
        <v>140</v>
      </c>
      <c r="D337" s="47">
        <v>2</v>
      </c>
      <c r="E337" s="48">
        <v>2.7173913043478261E-4</v>
      </c>
    </row>
    <row r="338" spans="2:5" ht="15" customHeight="1" x14ac:dyDescent="0.25">
      <c r="B338" s="89"/>
      <c r="C338" s="46" t="s">
        <v>141</v>
      </c>
      <c r="D338" s="47">
        <v>1</v>
      </c>
      <c r="E338" s="48">
        <v>1.3586956521739131E-4</v>
      </c>
    </row>
    <row r="339" spans="2:5" ht="15" customHeight="1" x14ac:dyDescent="0.25">
      <c r="B339" s="89"/>
      <c r="C339" s="46" t="s">
        <v>143</v>
      </c>
      <c r="D339" s="47">
        <v>6</v>
      </c>
      <c r="E339" s="48">
        <v>8.1521739130434778E-4</v>
      </c>
    </row>
    <row r="340" spans="2:5" ht="15" customHeight="1" x14ac:dyDescent="0.25">
      <c r="B340" s="89"/>
      <c r="C340" s="46" t="s">
        <v>144</v>
      </c>
      <c r="D340" s="47">
        <v>6</v>
      </c>
      <c r="E340" s="48">
        <v>8.1521739130434778E-4</v>
      </c>
    </row>
    <row r="341" spans="2:5" ht="15" customHeight="1" x14ac:dyDescent="0.25">
      <c r="B341" s="89"/>
      <c r="C341" s="46" t="s">
        <v>145</v>
      </c>
      <c r="D341" s="47">
        <v>1</v>
      </c>
      <c r="E341" s="48">
        <v>1.3586956521739131E-4</v>
      </c>
    </row>
    <row r="342" spans="2:5" ht="15" customHeight="1" x14ac:dyDescent="0.25">
      <c r="B342" s="89"/>
      <c r="C342" s="46" t="s">
        <v>147</v>
      </c>
      <c r="D342" s="47">
        <v>5</v>
      </c>
      <c r="E342" s="48">
        <v>6.793478260869565E-4</v>
      </c>
    </row>
    <row r="343" spans="2:5" ht="15" customHeight="1" x14ac:dyDescent="0.25">
      <c r="B343" s="89"/>
      <c r="C343" s="46" t="s">
        <v>148</v>
      </c>
      <c r="D343" s="47">
        <v>18</v>
      </c>
      <c r="E343" s="48">
        <v>2.4456521739130437E-3</v>
      </c>
    </row>
    <row r="344" spans="2:5" ht="15" customHeight="1" x14ac:dyDescent="0.25">
      <c r="B344" s="89"/>
      <c r="C344" s="46" t="s">
        <v>149</v>
      </c>
      <c r="D344" s="47">
        <v>1</v>
      </c>
      <c r="E344" s="48">
        <v>1.3586956521739131E-4</v>
      </c>
    </row>
    <row r="345" spans="2:5" ht="15" customHeight="1" x14ac:dyDescent="0.25">
      <c r="B345" s="89"/>
      <c r="C345" s="46" t="s">
        <v>150</v>
      </c>
      <c r="D345" s="47">
        <v>4</v>
      </c>
      <c r="E345" s="48">
        <v>5.4347826086956522E-4</v>
      </c>
    </row>
    <row r="346" spans="2:5" ht="15" customHeight="1" x14ac:dyDescent="0.25">
      <c r="B346" s="89"/>
      <c r="C346" s="46" t="s">
        <v>151</v>
      </c>
      <c r="D346" s="47">
        <v>9</v>
      </c>
      <c r="E346" s="48">
        <v>1.2228260869565218E-3</v>
      </c>
    </row>
    <row r="347" spans="2:5" ht="15" customHeight="1" x14ac:dyDescent="0.25">
      <c r="B347" s="89"/>
      <c r="C347" s="46" t="s">
        <v>157</v>
      </c>
      <c r="D347" s="47">
        <v>3</v>
      </c>
      <c r="E347" s="48">
        <v>4.0760869565217389E-4</v>
      </c>
    </row>
    <row r="348" spans="2:5" ht="15" customHeight="1" x14ac:dyDescent="0.25">
      <c r="B348" s="90"/>
      <c r="C348" s="49" t="s">
        <v>63</v>
      </c>
      <c r="D348" s="50">
        <v>56</v>
      </c>
      <c r="E348" s="51">
        <v>7.6086956521739134E-3</v>
      </c>
    </row>
    <row r="349" spans="2:5" ht="15" customHeight="1" x14ac:dyDescent="0.25">
      <c r="B349" s="88" t="s">
        <v>100</v>
      </c>
      <c r="C349" s="46" t="s">
        <v>139</v>
      </c>
      <c r="D349" s="47">
        <v>2</v>
      </c>
      <c r="E349" s="48">
        <v>2.7173913043478261E-4</v>
      </c>
    </row>
    <row r="350" spans="2:5" ht="15" customHeight="1" x14ac:dyDescent="0.25">
      <c r="B350" s="89"/>
      <c r="C350" s="46" t="s">
        <v>143</v>
      </c>
      <c r="D350" s="47">
        <v>2</v>
      </c>
      <c r="E350" s="48">
        <v>2.7173913043478261E-4</v>
      </c>
    </row>
    <row r="351" spans="2:5" ht="15" customHeight="1" x14ac:dyDescent="0.25">
      <c r="B351" s="89"/>
      <c r="C351" s="46" t="s">
        <v>144</v>
      </c>
      <c r="D351" s="47">
        <v>8</v>
      </c>
      <c r="E351" s="48">
        <v>1.0869565217391304E-3</v>
      </c>
    </row>
    <row r="352" spans="2:5" ht="15" customHeight="1" x14ac:dyDescent="0.25">
      <c r="B352" s="89"/>
      <c r="C352" s="46" t="s">
        <v>147</v>
      </c>
      <c r="D352" s="47">
        <v>1</v>
      </c>
      <c r="E352" s="48">
        <v>1.3586956521739131E-4</v>
      </c>
    </row>
    <row r="353" spans="2:5" ht="15" customHeight="1" x14ac:dyDescent="0.25">
      <c r="B353" s="89"/>
      <c r="C353" s="46" t="s">
        <v>148</v>
      </c>
      <c r="D353" s="47">
        <v>14</v>
      </c>
      <c r="E353" s="48">
        <v>1.9021739130434783E-3</v>
      </c>
    </row>
    <row r="354" spans="2:5" ht="15" customHeight="1" x14ac:dyDescent="0.25">
      <c r="B354" s="89"/>
      <c r="C354" s="46" t="s">
        <v>149</v>
      </c>
      <c r="D354" s="47">
        <v>2</v>
      </c>
      <c r="E354" s="48">
        <v>2.7173913043478261E-4</v>
      </c>
    </row>
    <row r="355" spans="2:5" ht="15" customHeight="1" x14ac:dyDescent="0.25">
      <c r="B355" s="89"/>
      <c r="C355" s="46" t="s">
        <v>150</v>
      </c>
      <c r="D355" s="47">
        <v>2</v>
      </c>
      <c r="E355" s="48">
        <v>2.7173913043478261E-4</v>
      </c>
    </row>
    <row r="356" spans="2:5" ht="15" customHeight="1" x14ac:dyDescent="0.25">
      <c r="B356" s="89"/>
      <c r="C356" s="46" t="s">
        <v>151</v>
      </c>
      <c r="D356" s="47">
        <v>8</v>
      </c>
      <c r="E356" s="48">
        <v>1.0869565217391304E-3</v>
      </c>
    </row>
    <row r="357" spans="2:5" ht="15" customHeight="1" x14ac:dyDescent="0.25">
      <c r="B357" s="89"/>
      <c r="C357" s="46" t="s">
        <v>156</v>
      </c>
      <c r="D357" s="47">
        <v>1</v>
      </c>
      <c r="E357" s="48">
        <v>1.3586956521739131E-4</v>
      </c>
    </row>
    <row r="358" spans="2:5" ht="15" customHeight="1" x14ac:dyDescent="0.25">
      <c r="B358" s="90"/>
      <c r="C358" s="49" t="s">
        <v>63</v>
      </c>
      <c r="D358" s="50">
        <v>40</v>
      </c>
      <c r="E358" s="51">
        <v>5.434782608695652E-3</v>
      </c>
    </row>
    <row r="359" spans="2:5" ht="15" customHeight="1" x14ac:dyDescent="0.25">
      <c r="B359" s="88" t="s">
        <v>105</v>
      </c>
      <c r="C359" s="46" t="s">
        <v>140</v>
      </c>
      <c r="D359" s="47">
        <v>1</v>
      </c>
      <c r="E359" s="48">
        <v>1.3586956521739131E-4</v>
      </c>
    </row>
    <row r="360" spans="2:5" ht="15" customHeight="1" x14ac:dyDescent="0.25">
      <c r="B360" s="89"/>
      <c r="C360" s="46" t="s">
        <v>141</v>
      </c>
      <c r="D360" s="47">
        <v>2</v>
      </c>
      <c r="E360" s="48">
        <v>2.7173913043478261E-4</v>
      </c>
    </row>
    <row r="361" spans="2:5" ht="15" customHeight="1" x14ac:dyDescent="0.25">
      <c r="B361" s="89"/>
      <c r="C361" s="46" t="s">
        <v>143</v>
      </c>
      <c r="D361" s="47">
        <v>4</v>
      </c>
      <c r="E361" s="48">
        <v>5.4347826086956522E-4</v>
      </c>
    </row>
    <row r="362" spans="2:5" ht="15" customHeight="1" x14ac:dyDescent="0.25">
      <c r="B362" s="89"/>
      <c r="C362" s="46" t="s">
        <v>144</v>
      </c>
      <c r="D362" s="47">
        <v>5</v>
      </c>
      <c r="E362" s="48">
        <v>6.793478260869565E-4</v>
      </c>
    </row>
    <row r="363" spans="2:5" ht="15" customHeight="1" x14ac:dyDescent="0.25">
      <c r="B363" s="89"/>
      <c r="C363" s="46" t="s">
        <v>146</v>
      </c>
      <c r="D363" s="47">
        <v>4</v>
      </c>
      <c r="E363" s="48">
        <v>5.4347826086956522E-4</v>
      </c>
    </row>
    <row r="364" spans="2:5" ht="15" customHeight="1" x14ac:dyDescent="0.25">
      <c r="B364" s="89"/>
      <c r="C364" s="46" t="s">
        <v>147</v>
      </c>
      <c r="D364" s="47">
        <v>2</v>
      </c>
      <c r="E364" s="48">
        <v>2.7173913043478261E-4</v>
      </c>
    </row>
    <row r="365" spans="2:5" ht="15" customHeight="1" x14ac:dyDescent="0.25">
      <c r="B365" s="89"/>
      <c r="C365" s="46" t="s">
        <v>148</v>
      </c>
      <c r="D365" s="47">
        <v>7</v>
      </c>
      <c r="E365" s="48">
        <v>9.5108695652173917E-4</v>
      </c>
    </row>
    <row r="366" spans="2:5" ht="15" customHeight="1" x14ac:dyDescent="0.25">
      <c r="B366" s="89"/>
      <c r="C366" s="46" t="s">
        <v>149</v>
      </c>
      <c r="D366" s="47">
        <v>1</v>
      </c>
      <c r="E366" s="48">
        <v>1.3586956521739131E-4</v>
      </c>
    </row>
    <row r="367" spans="2:5" ht="15" customHeight="1" x14ac:dyDescent="0.25">
      <c r="B367" s="89"/>
      <c r="C367" s="46" t="s">
        <v>150</v>
      </c>
      <c r="D367" s="47">
        <v>2</v>
      </c>
      <c r="E367" s="48">
        <v>2.7173913043478261E-4</v>
      </c>
    </row>
    <row r="368" spans="2:5" ht="15" customHeight="1" x14ac:dyDescent="0.25">
      <c r="B368" s="89"/>
      <c r="C368" s="46" t="s">
        <v>151</v>
      </c>
      <c r="D368" s="47">
        <v>1</v>
      </c>
      <c r="E368" s="48">
        <v>1.3586956521739131E-4</v>
      </c>
    </row>
    <row r="369" spans="2:5" ht="15" customHeight="1" x14ac:dyDescent="0.25">
      <c r="B369" s="89"/>
      <c r="C369" s="46" t="s">
        <v>154</v>
      </c>
      <c r="D369" s="47">
        <v>1</v>
      </c>
      <c r="E369" s="48">
        <v>1.3586956521739131E-4</v>
      </c>
    </row>
    <row r="370" spans="2:5" ht="15" customHeight="1" x14ac:dyDescent="0.25">
      <c r="B370" s="89"/>
      <c r="C370" s="46" t="s">
        <v>156</v>
      </c>
      <c r="D370" s="47">
        <v>1</v>
      </c>
      <c r="E370" s="48">
        <v>1.3586956521739131E-4</v>
      </c>
    </row>
    <row r="371" spans="2:5" ht="15" customHeight="1" x14ac:dyDescent="0.25">
      <c r="B371" s="90"/>
      <c r="C371" s="49" t="s">
        <v>63</v>
      </c>
      <c r="D371" s="50">
        <v>31</v>
      </c>
      <c r="E371" s="51">
        <v>4.2119565217391304E-3</v>
      </c>
    </row>
    <row r="372" spans="2:5" ht="15" customHeight="1" x14ac:dyDescent="0.25">
      <c r="B372" s="88" t="s">
        <v>107</v>
      </c>
      <c r="C372" s="46" t="s">
        <v>142</v>
      </c>
      <c r="D372" s="47">
        <v>1</v>
      </c>
      <c r="E372" s="48">
        <v>1.3586956521739131E-4</v>
      </c>
    </row>
    <row r="373" spans="2:5" ht="15" customHeight="1" x14ac:dyDescent="0.25">
      <c r="B373" s="89"/>
      <c r="C373" s="46" t="s">
        <v>143</v>
      </c>
      <c r="D373" s="47">
        <v>2</v>
      </c>
      <c r="E373" s="48">
        <v>2.7173913043478261E-4</v>
      </c>
    </row>
    <row r="374" spans="2:5" ht="15" customHeight="1" x14ac:dyDescent="0.25">
      <c r="B374" s="89"/>
      <c r="C374" s="46" t="s">
        <v>144</v>
      </c>
      <c r="D374" s="47">
        <v>3</v>
      </c>
      <c r="E374" s="48">
        <v>4.0760869565217389E-4</v>
      </c>
    </row>
    <row r="375" spans="2:5" ht="15" customHeight="1" x14ac:dyDescent="0.25">
      <c r="B375" s="89"/>
      <c r="C375" s="46" t="s">
        <v>146</v>
      </c>
      <c r="D375" s="47">
        <v>1</v>
      </c>
      <c r="E375" s="48">
        <v>1.3586956521739131E-4</v>
      </c>
    </row>
    <row r="376" spans="2:5" ht="15" customHeight="1" x14ac:dyDescent="0.25">
      <c r="B376" s="89"/>
      <c r="C376" s="46" t="s">
        <v>148</v>
      </c>
      <c r="D376" s="47">
        <v>7</v>
      </c>
      <c r="E376" s="48">
        <v>9.5108695652173917E-4</v>
      </c>
    </row>
    <row r="377" spans="2:5" ht="15" customHeight="1" x14ac:dyDescent="0.25">
      <c r="B377" s="89"/>
      <c r="C377" s="46" t="s">
        <v>150</v>
      </c>
      <c r="D377" s="47">
        <v>3</v>
      </c>
      <c r="E377" s="48">
        <v>4.0760869565217389E-4</v>
      </c>
    </row>
    <row r="378" spans="2:5" ht="15" customHeight="1" x14ac:dyDescent="0.25">
      <c r="B378" s="89"/>
      <c r="C378" s="46" t="s">
        <v>151</v>
      </c>
      <c r="D378" s="47">
        <v>4</v>
      </c>
      <c r="E378" s="48">
        <v>5.4347826086956522E-4</v>
      </c>
    </row>
    <row r="379" spans="2:5" ht="15" customHeight="1" x14ac:dyDescent="0.25">
      <c r="B379" s="89"/>
      <c r="C379" s="46" t="s">
        <v>156</v>
      </c>
      <c r="D379" s="47">
        <v>1</v>
      </c>
      <c r="E379" s="48">
        <v>1.3586956521739131E-4</v>
      </c>
    </row>
    <row r="380" spans="2:5" ht="15" customHeight="1" x14ac:dyDescent="0.25">
      <c r="B380" s="89"/>
      <c r="C380" s="46" t="s">
        <v>157</v>
      </c>
      <c r="D380" s="47">
        <v>1</v>
      </c>
      <c r="E380" s="48">
        <v>1.3586956521739131E-4</v>
      </c>
    </row>
    <row r="381" spans="2:5" ht="15" customHeight="1" x14ac:dyDescent="0.25">
      <c r="B381" s="90"/>
      <c r="C381" s="49" t="s">
        <v>63</v>
      </c>
      <c r="D381" s="50">
        <v>23</v>
      </c>
      <c r="E381" s="51">
        <v>3.1250000000000002E-3</v>
      </c>
    </row>
    <row r="382" spans="2:5" ht="15" customHeight="1" x14ac:dyDescent="0.25">
      <c r="B382" s="88" t="s">
        <v>88</v>
      </c>
      <c r="C382" s="46" t="s">
        <v>138</v>
      </c>
      <c r="D382" s="47">
        <v>1</v>
      </c>
      <c r="E382" s="48">
        <v>1.3586956521739131E-4</v>
      </c>
    </row>
    <row r="383" spans="2:5" ht="15" customHeight="1" x14ac:dyDescent="0.25">
      <c r="B383" s="89"/>
      <c r="C383" s="46" t="s">
        <v>140</v>
      </c>
      <c r="D383" s="47">
        <v>4</v>
      </c>
      <c r="E383" s="48">
        <v>5.4347826086956522E-4</v>
      </c>
    </row>
    <row r="384" spans="2:5" ht="15" customHeight="1" x14ac:dyDescent="0.25">
      <c r="B384" s="89"/>
      <c r="C384" s="46" t="s">
        <v>141</v>
      </c>
      <c r="D384" s="47">
        <v>2</v>
      </c>
      <c r="E384" s="48">
        <v>2.7173913043478261E-4</v>
      </c>
    </row>
    <row r="385" spans="2:5" ht="15" customHeight="1" x14ac:dyDescent="0.25">
      <c r="B385" s="89"/>
      <c r="C385" s="46" t="s">
        <v>142</v>
      </c>
      <c r="D385" s="47">
        <v>6</v>
      </c>
      <c r="E385" s="48">
        <v>8.1521739130434778E-4</v>
      </c>
    </row>
    <row r="386" spans="2:5" ht="15" customHeight="1" x14ac:dyDescent="0.25">
      <c r="B386" s="89"/>
      <c r="C386" s="46" t="s">
        <v>143</v>
      </c>
      <c r="D386" s="47">
        <v>8</v>
      </c>
      <c r="E386" s="48">
        <v>1.0869565217391304E-3</v>
      </c>
    </row>
    <row r="387" spans="2:5" ht="15" customHeight="1" x14ac:dyDescent="0.25">
      <c r="B387" s="89"/>
      <c r="C387" s="46" t="s">
        <v>144</v>
      </c>
      <c r="D387" s="47">
        <v>18</v>
      </c>
      <c r="E387" s="48">
        <v>2.4456521739130437E-3</v>
      </c>
    </row>
    <row r="388" spans="2:5" ht="15" customHeight="1" x14ac:dyDescent="0.25">
      <c r="B388" s="89"/>
      <c r="C388" s="46" t="s">
        <v>145</v>
      </c>
      <c r="D388" s="47">
        <v>1</v>
      </c>
      <c r="E388" s="48">
        <v>1.3586956521739131E-4</v>
      </c>
    </row>
    <row r="389" spans="2:5" ht="15" customHeight="1" x14ac:dyDescent="0.25">
      <c r="B389" s="89"/>
      <c r="C389" s="46" t="s">
        <v>146</v>
      </c>
      <c r="D389" s="47">
        <v>6</v>
      </c>
      <c r="E389" s="48">
        <v>8.1521739130434778E-4</v>
      </c>
    </row>
    <row r="390" spans="2:5" ht="15" customHeight="1" x14ac:dyDescent="0.25">
      <c r="B390" s="89"/>
      <c r="C390" s="46" t="s">
        <v>147</v>
      </c>
      <c r="D390" s="47">
        <v>3</v>
      </c>
      <c r="E390" s="48">
        <v>4.0760869565217389E-4</v>
      </c>
    </row>
    <row r="391" spans="2:5" ht="15" customHeight="1" x14ac:dyDescent="0.25">
      <c r="B391" s="89"/>
      <c r="C391" s="46" t="s">
        <v>148</v>
      </c>
      <c r="D391" s="47">
        <v>39</v>
      </c>
      <c r="E391" s="48">
        <v>5.2989130434782606E-3</v>
      </c>
    </row>
    <row r="392" spans="2:5" ht="15" customHeight="1" x14ac:dyDescent="0.25">
      <c r="B392" s="89"/>
      <c r="C392" s="46" t="s">
        <v>149</v>
      </c>
      <c r="D392" s="47">
        <v>1</v>
      </c>
      <c r="E392" s="48">
        <v>1.3586956521739131E-4</v>
      </c>
    </row>
    <row r="393" spans="2:5" ht="15" customHeight="1" x14ac:dyDescent="0.25">
      <c r="B393" s="89"/>
      <c r="C393" s="46" t="s">
        <v>150</v>
      </c>
      <c r="D393" s="47">
        <v>7</v>
      </c>
      <c r="E393" s="48">
        <v>9.5108695652173917E-4</v>
      </c>
    </row>
    <row r="394" spans="2:5" ht="15" customHeight="1" x14ac:dyDescent="0.25">
      <c r="B394" s="89"/>
      <c r="C394" s="46" t="s">
        <v>151</v>
      </c>
      <c r="D394" s="47">
        <v>12</v>
      </c>
      <c r="E394" s="48">
        <v>1.6304347826086956E-3</v>
      </c>
    </row>
    <row r="395" spans="2:5" ht="15" customHeight="1" x14ac:dyDescent="0.25">
      <c r="B395" s="89"/>
      <c r="C395" s="46" t="s">
        <v>156</v>
      </c>
      <c r="D395" s="47">
        <v>2</v>
      </c>
      <c r="E395" s="48">
        <v>2.7173913043478261E-4</v>
      </c>
    </row>
    <row r="396" spans="2:5" ht="15" customHeight="1" x14ac:dyDescent="0.25">
      <c r="B396" s="89"/>
      <c r="C396" s="46" t="s">
        <v>157</v>
      </c>
      <c r="D396" s="47">
        <v>1</v>
      </c>
      <c r="E396" s="48">
        <v>1.3586956521739131E-4</v>
      </c>
    </row>
    <row r="397" spans="2:5" ht="15" customHeight="1" x14ac:dyDescent="0.25">
      <c r="B397" s="90"/>
      <c r="C397" s="49" t="s">
        <v>63</v>
      </c>
      <c r="D397" s="50">
        <v>111</v>
      </c>
      <c r="E397" s="51">
        <v>1.5081521739130434E-2</v>
      </c>
    </row>
    <row r="398" spans="2:5" ht="15" customHeight="1" x14ac:dyDescent="0.25">
      <c r="B398" s="88" t="s">
        <v>87</v>
      </c>
      <c r="C398" s="46" t="s">
        <v>141</v>
      </c>
      <c r="D398" s="47">
        <v>3</v>
      </c>
      <c r="E398" s="48">
        <v>4.0760869565217389E-4</v>
      </c>
    </row>
    <row r="399" spans="2:5" ht="15" customHeight="1" x14ac:dyDescent="0.25">
      <c r="B399" s="89"/>
      <c r="C399" s="46" t="s">
        <v>143</v>
      </c>
      <c r="D399" s="47">
        <v>11</v>
      </c>
      <c r="E399" s="48">
        <v>1.4945652173913044E-3</v>
      </c>
    </row>
    <row r="400" spans="2:5" ht="15" customHeight="1" x14ac:dyDescent="0.25">
      <c r="B400" s="89"/>
      <c r="C400" s="46" t="s">
        <v>144</v>
      </c>
      <c r="D400" s="47">
        <v>17</v>
      </c>
      <c r="E400" s="48">
        <v>2.3097826086956523E-3</v>
      </c>
    </row>
    <row r="401" spans="2:5" ht="15" customHeight="1" x14ac:dyDescent="0.25">
      <c r="B401" s="89"/>
      <c r="C401" s="46" t="s">
        <v>146</v>
      </c>
      <c r="D401" s="47">
        <v>5</v>
      </c>
      <c r="E401" s="48">
        <v>6.793478260869565E-4</v>
      </c>
    </row>
    <row r="402" spans="2:5" ht="15" customHeight="1" x14ac:dyDescent="0.25">
      <c r="B402" s="89"/>
      <c r="C402" s="46" t="s">
        <v>147</v>
      </c>
      <c r="D402" s="47">
        <v>7</v>
      </c>
      <c r="E402" s="48">
        <v>9.5108695652173917E-4</v>
      </c>
    </row>
    <row r="403" spans="2:5" ht="15" customHeight="1" x14ac:dyDescent="0.25">
      <c r="B403" s="89"/>
      <c r="C403" s="46" t="s">
        <v>148</v>
      </c>
      <c r="D403" s="47">
        <v>52</v>
      </c>
      <c r="E403" s="48">
        <v>7.0652173913043478E-3</v>
      </c>
    </row>
    <row r="404" spans="2:5" ht="15" customHeight="1" x14ac:dyDescent="0.25">
      <c r="B404" s="89"/>
      <c r="C404" s="46" t="s">
        <v>149</v>
      </c>
      <c r="D404" s="47">
        <v>2</v>
      </c>
      <c r="E404" s="48">
        <v>2.7173913043478261E-4</v>
      </c>
    </row>
    <row r="405" spans="2:5" ht="15" customHeight="1" x14ac:dyDescent="0.25">
      <c r="B405" s="89"/>
      <c r="C405" s="46" t="s">
        <v>150</v>
      </c>
      <c r="D405" s="47">
        <v>5</v>
      </c>
      <c r="E405" s="48">
        <v>6.793478260869565E-4</v>
      </c>
    </row>
    <row r="406" spans="2:5" ht="15" customHeight="1" x14ac:dyDescent="0.25">
      <c r="B406" s="89"/>
      <c r="C406" s="46" t="s">
        <v>151</v>
      </c>
      <c r="D406" s="47">
        <v>14</v>
      </c>
      <c r="E406" s="48">
        <v>1.9021739130434783E-3</v>
      </c>
    </row>
    <row r="407" spans="2:5" ht="15" customHeight="1" x14ac:dyDescent="0.25">
      <c r="B407" s="89"/>
      <c r="C407" s="46" t="s">
        <v>157</v>
      </c>
      <c r="D407" s="47">
        <v>3</v>
      </c>
      <c r="E407" s="48">
        <v>4.0760869565217389E-4</v>
      </c>
    </row>
    <row r="408" spans="2:5" ht="15" customHeight="1" x14ac:dyDescent="0.25">
      <c r="B408" s="90"/>
      <c r="C408" s="49" t="s">
        <v>63</v>
      </c>
      <c r="D408" s="50">
        <v>119</v>
      </c>
      <c r="E408" s="51">
        <v>1.6168478260869566E-2</v>
      </c>
    </row>
    <row r="409" spans="2:5" ht="15" customHeight="1" x14ac:dyDescent="0.25">
      <c r="B409" s="88" t="s">
        <v>91</v>
      </c>
      <c r="C409" s="46" t="s">
        <v>137</v>
      </c>
      <c r="D409" s="47">
        <v>3</v>
      </c>
      <c r="E409" s="48">
        <v>4.0760869565217389E-4</v>
      </c>
    </row>
    <row r="410" spans="2:5" ht="15" customHeight="1" x14ac:dyDescent="0.25">
      <c r="B410" s="89"/>
      <c r="C410" s="46" t="s">
        <v>139</v>
      </c>
      <c r="D410" s="47">
        <v>1</v>
      </c>
      <c r="E410" s="48">
        <v>1.3586956521739131E-4</v>
      </c>
    </row>
    <row r="411" spans="2:5" ht="15" customHeight="1" x14ac:dyDescent="0.25">
      <c r="B411" s="89"/>
      <c r="C411" s="46" t="s">
        <v>140</v>
      </c>
      <c r="D411" s="47">
        <v>2</v>
      </c>
      <c r="E411" s="48">
        <v>2.7173913043478261E-4</v>
      </c>
    </row>
    <row r="412" spans="2:5" ht="15" customHeight="1" x14ac:dyDescent="0.25">
      <c r="B412" s="89"/>
      <c r="C412" s="46" t="s">
        <v>141</v>
      </c>
      <c r="D412" s="47">
        <v>1</v>
      </c>
      <c r="E412" s="48">
        <v>1.3586956521739131E-4</v>
      </c>
    </row>
    <row r="413" spans="2:5" ht="15" customHeight="1" x14ac:dyDescent="0.25">
      <c r="B413" s="89"/>
      <c r="C413" s="46" t="s">
        <v>143</v>
      </c>
      <c r="D413" s="47">
        <v>9</v>
      </c>
      <c r="E413" s="48">
        <v>1.2228260869565218E-3</v>
      </c>
    </row>
    <row r="414" spans="2:5" ht="15" customHeight="1" x14ac:dyDescent="0.25">
      <c r="B414" s="89"/>
      <c r="C414" s="46" t="s">
        <v>144</v>
      </c>
      <c r="D414" s="47">
        <v>15</v>
      </c>
      <c r="E414" s="48">
        <v>2.0380434782608695E-3</v>
      </c>
    </row>
    <row r="415" spans="2:5" ht="15" customHeight="1" x14ac:dyDescent="0.25">
      <c r="B415" s="89"/>
      <c r="C415" s="46" t="s">
        <v>146</v>
      </c>
      <c r="D415" s="47">
        <v>3</v>
      </c>
      <c r="E415" s="48">
        <v>4.0760869565217389E-4</v>
      </c>
    </row>
    <row r="416" spans="2:5" ht="15" customHeight="1" x14ac:dyDescent="0.25">
      <c r="B416" s="89"/>
      <c r="C416" s="46" t="s">
        <v>147</v>
      </c>
      <c r="D416" s="47">
        <v>3</v>
      </c>
      <c r="E416" s="48">
        <v>4.0760869565217389E-4</v>
      </c>
    </row>
    <row r="417" spans="2:5" ht="15" customHeight="1" x14ac:dyDescent="0.25">
      <c r="B417" s="89"/>
      <c r="C417" s="46" t="s">
        <v>148</v>
      </c>
      <c r="D417" s="47">
        <v>33</v>
      </c>
      <c r="E417" s="48">
        <v>4.4836956521739132E-3</v>
      </c>
    </row>
    <row r="418" spans="2:5" ht="15" customHeight="1" x14ac:dyDescent="0.25">
      <c r="B418" s="89"/>
      <c r="C418" s="46" t="s">
        <v>150</v>
      </c>
      <c r="D418" s="47">
        <v>2</v>
      </c>
      <c r="E418" s="48">
        <v>2.7173913043478261E-4</v>
      </c>
    </row>
    <row r="419" spans="2:5" ht="15" customHeight="1" x14ac:dyDescent="0.25">
      <c r="B419" s="89"/>
      <c r="C419" s="46" t="s">
        <v>151</v>
      </c>
      <c r="D419" s="47">
        <v>16</v>
      </c>
      <c r="E419" s="48">
        <v>2.1739130434782609E-3</v>
      </c>
    </row>
    <row r="420" spans="2:5" ht="15" customHeight="1" x14ac:dyDescent="0.25">
      <c r="B420" s="89"/>
      <c r="C420" s="46" t="s">
        <v>153</v>
      </c>
      <c r="D420" s="47">
        <v>2</v>
      </c>
      <c r="E420" s="48">
        <v>2.7173913043478261E-4</v>
      </c>
    </row>
    <row r="421" spans="2:5" ht="15" customHeight="1" x14ac:dyDescent="0.25">
      <c r="B421" s="89"/>
      <c r="C421" s="46" t="s">
        <v>154</v>
      </c>
      <c r="D421" s="47">
        <v>1</v>
      </c>
      <c r="E421" s="48">
        <v>1.3586956521739131E-4</v>
      </c>
    </row>
    <row r="422" spans="2:5" ht="15" customHeight="1" x14ac:dyDescent="0.25">
      <c r="B422" s="89"/>
      <c r="C422" s="46" t="s">
        <v>156</v>
      </c>
      <c r="D422" s="47">
        <v>1</v>
      </c>
      <c r="E422" s="48">
        <v>1.3586956521739131E-4</v>
      </c>
    </row>
    <row r="423" spans="2:5" ht="15" customHeight="1" x14ac:dyDescent="0.25">
      <c r="B423" s="89"/>
      <c r="C423" s="46" t="s">
        <v>157</v>
      </c>
      <c r="D423" s="47">
        <v>1</v>
      </c>
      <c r="E423" s="48">
        <v>1.3586956521739131E-4</v>
      </c>
    </row>
    <row r="424" spans="2:5" ht="15" customHeight="1" x14ac:dyDescent="0.25">
      <c r="B424" s="90"/>
      <c r="C424" s="49" t="s">
        <v>63</v>
      </c>
      <c r="D424" s="50">
        <v>93</v>
      </c>
      <c r="E424" s="51">
        <v>1.2635869565217391E-2</v>
      </c>
    </row>
    <row r="425" spans="2:5" ht="15" customHeight="1" x14ac:dyDescent="0.25">
      <c r="B425" s="88" t="s">
        <v>98</v>
      </c>
      <c r="C425" s="46" t="s">
        <v>138</v>
      </c>
      <c r="D425" s="47">
        <v>1</v>
      </c>
      <c r="E425" s="48">
        <v>1.3586956521739131E-4</v>
      </c>
    </row>
    <row r="426" spans="2:5" ht="15" customHeight="1" x14ac:dyDescent="0.25">
      <c r="B426" s="89"/>
      <c r="C426" s="46" t="s">
        <v>140</v>
      </c>
      <c r="D426" s="47">
        <v>1</v>
      </c>
      <c r="E426" s="48">
        <v>1.3586956521739131E-4</v>
      </c>
    </row>
    <row r="427" spans="2:5" ht="15" customHeight="1" x14ac:dyDescent="0.25">
      <c r="B427" s="89"/>
      <c r="C427" s="46" t="s">
        <v>142</v>
      </c>
      <c r="D427" s="47">
        <v>2</v>
      </c>
      <c r="E427" s="48">
        <v>2.7173913043478261E-4</v>
      </c>
    </row>
    <row r="428" spans="2:5" ht="15" customHeight="1" x14ac:dyDescent="0.25">
      <c r="B428" s="89"/>
      <c r="C428" s="46" t="s">
        <v>143</v>
      </c>
      <c r="D428" s="47">
        <v>5</v>
      </c>
      <c r="E428" s="48">
        <v>6.793478260869565E-4</v>
      </c>
    </row>
    <row r="429" spans="2:5" ht="15" customHeight="1" x14ac:dyDescent="0.25">
      <c r="B429" s="89"/>
      <c r="C429" s="46" t="s">
        <v>144</v>
      </c>
      <c r="D429" s="47">
        <v>7</v>
      </c>
      <c r="E429" s="48">
        <v>9.5108695652173917E-4</v>
      </c>
    </row>
    <row r="430" spans="2:5" ht="15" customHeight="1" x14ac:dyDescent="0.25">
      <c r="B430" s="89"/>
      <c r="C430" s="46" t="s">
        <v>146</v>
      </c>
      <c r="D430" s="47">
        <v>1</v>
      </c>
      <c r="E430" s="48">
        <v>1.3586956521739131E-4</v>
      </c>
    </row>
    <row r="431" spans="2:5" ht="15" customHeight="1" x14ac:dyDescent="0.25">
      <c r="B431" s="89"/>
      <c r="C431" s="46" t="s">
        <v>148</v>
      </c>
      <c r="D431" s="47">
        <v>14</v>
      </c>
      <c r="E431" s="48">
        <v>1.9021739130434783E-3</v>
      </c>
    </row>
    <row r="432" spans="2:5" ht="15" customHeight="1" x14ac:dyDescent="0.25">
      <c r="B432" s="89"/>
      <c r="C432" s="46" t="s">
        <v>149</v>
      </c>
      <c r="D432" s="47">
        <v>2</v>
      </c>
      <c r="E432" s="48">
        <v>2.7173913043478261E-4</v>
      </c>
    </row>
    <row r="433" spans="2:5" ht="15" customHeight="1" x14ac:dyDescent="0.25">
      <c r="B433" s="89"/>
      <c r="C433" s="46" t="s">
        <v>150</v>
      </c>
      <c r="D433" s="47">
        <v>1</v>
      </c>
      <c r="E433" s="48">
        <v>1.3586956521739131E-4</v>
      </c>
    </row>
    <row r="434" spans="2:5" ht="15" customHeight="1" x14ac:dyDescent="0.25">
      <c r="B434" s="89"/>
      <c r="C434" s="46" t="s">
        <v>151</v>
      </c>
      <c r="D434" s="47">
        <v>8</v>
      </c>
      <c r="E434" s="48">
        <v>1.0869565217391304E-3</v>
      </c>
    </row>
    <row r="435" spans="2:5" ht="15" customHeight="1" x14ac:dyDescent="0.25">
      <c r="B435" s="89"/>
      <c r="C435" s="46" t="s">
        <v>153</v>
      </c>
      <c r="D435" s="47">
        <v>1</v>
      </c>
      <c r="E435" s="48">
        <v>1.3586956521739131E-4</v>
      </c>
    </row>
    <row r="436" spans="2:5" ht="15" customHeight="1" x14ac:dyDescent="0.25">
      <c r="B436" s="89"/>
      <c r="C436" s="46" t="s">
        <v>158</v>
      </c>
      <c r="D436" s="47">
        <v>1</v>
      </c>
      <c r="E436" s="48">
        <v>1.3586956521739131E-4</v>
      </c>
    </row>
    <row r="437" spans="2:5" ht="15" customHeight="1" x14ac:dyDescent="0.25">
      <c r="B437" s="89"/>
      <c r="C437" s="46" t="s">
        <v>159</v>
      </c>
      <c r="D437" s="47">
        <v>1</v>
      </c>
      <c r="E437" s="48">
        <v>1.3586956521739131E-4</v>
      </c>
    </row>
    <row r="438" spans="2:5" ht="15" customHeight="1" x14ac:dyDescent="0.25">
      <c r="B438" s="90"/>
      <c r="C438" s="49" t="s">
        <v>63</v>
      </c>
      <c r="D438" s="50">
        <v>45</v>
      </c>
      <c r="E438" s="51">
        <v>6.114130434782609E-3</v>
      </c>
    </row>
    <row r="439" spans="2:5" ht="15" customHeight="1" x14ac:dyDescent="0.25">
      <c r="B439" s="88" t="s">
        <v>104</v>
      </c>
      <c r="C439" s="46" t="s">
        <v>138</v>
      </c>
      <c r="D439" s="47">
        <v>1</v>
      </c>
      <c r="E439" s="48">
        <v>1.3586956521739131E-4</v>
      </c>
    </row>
    <row r="440" spans="2:5" ht="15" customHeight="1" x14ac:dyDescent="0.25">
      <c r="B440" s="89"/>
      <c r="C440" s="46" t="s">
        <v>143</v>
      </c>
      <c r="D440" s="47">
        <v>5</v>
      </c>
      <c r="E440" s="48">
        <v>6.793478260869565E-4</v>
      </c>
    </row>
    <row r="441" spans="2:5" ht="15" customHeight="1" x14ac:dyDescent="0.25">
      <c r="B441" s="89"/>
      <c r="C441" s="46" t="s">
        <v>144</v>
      </c>
      <c r="D441" s="47">
        <v>7</v>
      </c>
      <c r="E441" s="48">
        <v>9.5108695652173917E-4</v>
      </c>
    </row>
    <row r="442" spans="2:5" ht="15" customHeight="1" x14ac:dyDescent="0.25">
      <c r="B442" s="89"/>
      <c r="C442" s="46" t="s">
        <v>145</v>
      </c>
      <c r="D442" s="47">
        <v>1</v>
      </c>
      <c r="E442" s="48">
        <v>1.3586956521739131E-4</v>
      </c>
    </row>
    <row r="443" spans="2:5" ht="15" customHeight="1" x14ac:dyDescent="0.25">
      <c r="B443" s="89"/>
      <c r="C443" s="46" t="s">
        <v>147</v>
      </c>
      <c r="D443" s="47">
        <v>2</v>
      </c>
      <c r="E443" s="48">
        <v>2.7173913043478261E-4</v>
      </c>
    </row>
    <row r="444" spans="2:5" ht="15" customHeight="1" x14ac:dyDescent="0.25">
      <c r="B444" s="89"/>
      <c r="C444" s="46" t="s">
        <v>148</v>
      </c>
      <c r="D444" s="47">
        <v>8</v>
      </c>
      <c r="E444" s="48">
        <v>1.0869565217391304E-3</v>
      </c>
    </row>
    <row r="445" spans="2:5" ht="15" customHeight="1" x14ac:dyDescent="0.25">
      <c r="B445" s="89"/>
      <c r="C445" s="46" t="s">
        <v>150</v>
      </c>
      <c r="D445" s="47">
        <v>2</v>
      </c>
      <c r="E445" s="48">
        <v>2.7173913043478261E-4</v>
      </c>
    </row>
    <row r="446" spans="2:5" ht="15" customHeight="1" x14ac:dyDescent="0.25">
      <c r="B446" s="89"/>
      <c r="C446" s="46" t="s">
        <v>151</v>
      </c>
      <c r="D446" s="47">
        <v>6</v>
      </c>
      <c r="E446" s="48">
        <v>8.1521739130434778E-4</v>
      </c>
    </row>
    <row r="447" spans="2:5" ht="15" customHeight="1" x14ac:dyDescent="0.25">
      <c r="B447" s="90"/>
      <c r="C447" s="49" t="s">
        <v>63</v>
      </c>
      <c r="D447" s="50">
        <v>32</v>
      </c>
      <c r="E447" s="51">
        <v>4.3478260869565218E-3</v>
      </c>
    </row>
    <row r="448" spans="2:5" ht="15" customHeight="1" x14ac:dyDescent="0.25">
      <c r="B448" s="88" t="s">
        <v>111</v>
      </c>
      <c r="C448" s="46" t="s">
        <v>140</v>
      </c>
      <c r="D448" s="47">
        <v>1</v>
      </c>
      <c r="E448" s="48">
        <v>1.3586956521739131E-4</v>
      </c>
    </row>
    <row r="449" spans="2:5" ht="15" customHeight="1" x14ac:dyDescent="0.25">
      <c r="B449" s="89"/>
      <c r="C449" s="46" t="s">
        <v>144</v>
      </c>
      <c r="D449" s="47">
        <v>1</v>
      </c>
      <c r="E449" s="48">
        <v>1.3586956521739131E-4</v>
      </c>
    </row>
    <row r="450" spans="2:5" ht="15" customHeight="1" x14ac:dyDescent="0.25">
      <c r="B450" s="89"/>
      <c r="C450" s="46" t="s">
        <v>146</v>
      </c>
      <c r="D450" s="47">
        <v>1</v>
      </c>
      <c r="E450" s="48">
        <v>1.3586956521739131E-4</v>
      </c>
    </row>
    <row r="451" spans="2:5" ht="15" customHeight="1" x14ac:dyDescent="0.25">
      <c r="B451" s="89"/>
      <c r="C451" s="46" t="s">
        <v>147</v>
      </c>
      <c r="D451" s="47">
        <v>1</v>
      </c>
      <c r="E451" s="48">
        <v>1.3586956521739131E-4</v>
      </c>
    </row>
    <row r="452" spans="2:5" ht="15" customHeight="1" x14ac:dyDescent="0.25">
      <c r="B452" s="89"/>
      <c r="C452" s="46" t="s">
        <v>148</v>
      </c>
      <c r="D452" s="47">
        <v>1</v>
      </c>
      <c r="E452" s="48">
        <v>1.3586956521739131E-4</v>
      </c>
    </row>
    <row r="453" spans="2:5" ht="15" customHeight="1" x14ac:dyDescent="0.25">
      <c r="B453" s="89"/>
      <c r="C453" s="46" t="s">
        <v>151</v>
      </c>
      <c r="D453" s="47">
        <v>1</v>
      </c>
      <c r="E453" s="48">
        <v>1.3586956521739131E-4</v>
      </c>
    </row>
    <row r="454" spans="2:5" ht="15" customHeight="1" x14ac:dyDescent="0.25">
      <c r="B454" s="89"/>
      <c r="C454" s="46" t="s">
        <v>157</v>
      </c>
      <c r="D454" s="47">
        <v>2</v>
      </c>
      <c r="E454" s="48">
        <v>2.7173913043478261E-4</v>
      </c>
    </row>
    <row r="455" spans="2:5" ht="15" customHeight="1" x14ac:dyDescent="0.25">
      <c r="B455" s="90"/>
      <c r="C455" s="49" t="s">
        <v>63</v>
      </c>
      <c r="D455" s="50">
        <v>8</v>
      </c>
      <c r="E455" s="51">
        <v>1.0869565217391304E-3</v>
      </c>
    </row>
    <row r="456" spans="2:5" ht="15" customHeight="1" x14ac:dyDescent="0.25">
      <c r="B456" s="88" t="s">
        <v>79</v>
      </c>
      <c r="C456" s="46" t="s">
        <v>137</v>
      </c>
      <c r="D456" s="47">
        <v>2</v>
      </c>
      <c r="E456" s="48">
        <v>2.7173913043478261E-4</v>
      </c>
    </row>
    <row r="457" spans="2:5" ht="15" customHeight="1" x14ac:dyDescent="0.25">
      <c r="B457" s="89"/>
      <c r="C457" s="46" t="s">
        <v>139</v>
      </c>
      <c r="D457" s="47">
        <v>2</v>
      </c>
      <c r="E457" s="48">
        <v>2.7173913043478261E-4</v>
      </c>
    </row>
    <row r="458" spans="2:5" ht="15" customHeight="1" x14ac:dyDescent="0.25">
      <c r="B458" s="89"/>
      <c r="C458" s="46" t="s">
        <v>140</v>
      </c>
      <c r="D458" s="47">
        <v>4</v>
      </c>
      <c r="E458" s="48">
        <v>5.4347826086956522E-4</v>
      </c>
    </row>
    <row r="459" spans="2:5" ht="15" customHeight="1" x14ac:dyDescent="0.25">
      <c r="B459" s="89"/>
      <c r="C459" s="46" t="s">
        <v>141</v>
      </c>
      <c r="D459" s="47">
        <v>3</v>
      </c>
      <c r="E459" s="48">
        <v>4.0760869565217389E-4</v>
      </c>
    </row>
    <row r="460" spans="2:5" ht="15" customHeight="1" x14ac:dyDescent="0.25">
      <c r="B460" s="89"/>
      <c r="C460" s="46" t="s">
        <v>142</v>
      </c>
      <c r="D460" s="47">
        <v>8</v>
      </c>
      <c r="E460" s="48">
        <v>1.0869565217391304E-3</v>
      </c>
    </row>
    <row r="461" spans="2:5" ht="15" customHeight="1" x14ac:dyDescent="0.25">
      <c r="B461" s="89"/>
      <c r="C461" s="46" t="s">
        <v>143</v>
      </c>
      <c r="D461" s="47">
        <v>7</v>
      </c>
      <c r="E461" s="48">
        <v>9.5108695652173917E-4</v>
      </c>
    </row>
    <row r="462" spans="2:5" ht="15" customHeight="1" x14ac:dyDescent="0.25">
      <c r="B462" s="89"/>
      <c r="C462" s="46" t="s">
        <v>144</v>
      </c>
      <c r="D462" s="47">
        <v>26</v>
      </c>
      <c r="E462" s="48">
        <v>3.5326086956521739E-3</v>
      </c>
    </row>
    <row r="463" spans="2:5" ht="15" customHeight="1" x14ac:dyDescent="0.25">
      <c r="B463" s="89"/>
      <c r="C463" s="46" t="s">
        <v>145</v>
      </c>
      <c r="D463" s="47">
        <v>4</v>
      </c>
      <c r="E463" s="48">
        <v>5.4347826086956522E-4</v>
      </c>
    </row>
    <row r="464" spans="2:5" ht="15" customHeight="1" x14ac:dyDescent="0.25">
      <c r="B464" s="89"/>
      <c r="C464" s="46" t="s">
        <v>146</v>
      </c>
      <c r="D464" s="47">
        <v>11</v>
      </c>
      <c r="E464" s="48">
        <v>1.4945652173913044E-3</v>
      </c>
    </row>
    <row r="465" spans="2:5" ht="15" customHeight="1" x14ac:dyDescent="0.25">
      <c r="B465" s="89"/>
      <c r="C465" s="46" t="s">
        <v>147</v>
      </c>
      <c r="D465" s="47">
        <v>9</v>
      </c>
      <c r="E465" s="48">
        <v>1.2228260869565218E-3</v>
      </c>
    </row>
    <row r="466" spans="2:5" ht="15" customHeight="1" x14ac:dyDescent="0.25">
      <c r="B466" s="89"/>
      <c r="C466" s="46" t="s">
        <v>148</v>
      </c>
      <c r="D466" s="47">
        <v>64</v>
      </c>
      <c r="E466" s="48">
        <v>8.6956521739130436E-3</v>
      </c>
    </row>
    <row r="467" spans="2:5" ht="15" customHeight="1" x14ac:dyDescent="0.25">
      <c r="B467" s="89"/>
      <c r="C467" s="46" t="s">
        <v>150</v>
      </c>
      <c r="D467" s="47">
        <v>18</v>
      </c>
      <c r="E467" s="48">
        <v>2.4456521739130437E-3</v>
      </c>
    </row>
    <row r="468" spans="2:5" ht="15" customHeight="1" x14ac:dyDescent="0.25">
      <c r="B468" s="89"/>
      <c r="C468" s="46" t="s">
        <v>151</v>
      </c>
      <c r="D468" s="47">
        <v>16</v>
      </c>
      <c r="E468" s="48">
        <v>2.1739130434782609E-3</v>
      </c>
    </row>
    <row r="469" spans="2:5" ht="15" customHeight="1" x14ac:dyDescent="0.25">
      <c r="B469" s="89"/>
      <c r="C469" s="46" t="s">
        <v>152</v>
      </c>
      <c r="D469" s="47">
        <v>1</v>
      </c>
      <c r="E469" s="48">
        <v>1.3586956521739131E-4</v>
      </c>
    </row>
    <row r="470" spans="2:5" ht="15" customHeight="1" x14ac:dyDescent="0.25">
      <c r="B470" s="89"/>
      <c r="C470" s="46" t="s">
        <v>154</v>
      </c>
      <c r="D470" s="47">
        <v>1</v>
      </c>
      <c r="E470" s="48">
        <v>1.3586956521739131E-4</v>
      </c>
    </row>
    <row r="471" spans="2:5" ht="15" customHeight="1" x14ac:dyDescent="0.25">
      <c r="B471" s="89"/>
      <c r="C471" s="46" t="s">
        <v>157</v>
      </c>
      <c r="D471" s="47">
        <v>6</v>
      </c>
      <c r="E471" s="48">
        <v>8.1521739130434778E-4</v>
      </c>
    </row>
    <row r="472" spans="2:5" ht="15" customHeight="1" x14ac:dyDescent="0.25">
      <c r="B472" s="90"/>
      <c r="C472" s="49" t="s">
        <v>63</v>
      </c>
      <c r="D472" s="50">
        <v>182</v>
      </c>
      <c r="E472" s="51">
        <v>2.4728260869565217E-2</v>
      </c>
    </row>
    <row r="473" spans="2:5" ht="15" customHeight="1" x14ac:dyDescent="0.25">
      <c r="B473" s="88" t="s">
        <v>89</v>
      </c>
      <c r="C473" s="46" t="s">
        <v>137</v>
      </c>
      <c r="D473" s="47">
        <v>2</v>
      </c>
      <c r="E473" s="48">
        <v>2.7173913043478261E-4</v>
      </c>
    </row>
    <row r="474" spans="2:5" ht="15" customHeight="1" x14ac:dyDescent="0.25">
      <c r="B474" s="89"/>
      <c r="C474" s="46" t="s">
        <v>140</v>
      </c>
      <c r="D474" s="47">
        <v>2</v>
      </c>
      <c r="E474" s="48">
        <v>2.7173913043478261E-4</v>
      </c>
    </row>
    <row r="475" spans="2:5" ht="15" customHeight="1" x14ac:dyDescent="0.25">
      <c r="B475" s="89"/>
      <c r="C475" s="46" t="s">
        <v>141</v>
      </c>
      <c r="D475" s="47">
        <v>1</v>
      </c>
      <c r="E475" s="48">
        <v>1.3586956521739131E-4</v>
      </c>
    </row>
    <row r="476" spans="2:5" ht="15" customHeight="1" x14ac:dyDescent="0.25">
      <c r="B476" s="89"/>
      <c r="C476" s="46" t="s">
        <v>142</v>
      </c>
      <c r="D476" s="47">
        <v>1</v>
      </c>
      <c r="E476" s="48">
        <v>1.3586956521739131E-4</v>
      </c>
    </row>
    <row r="477" spans="2:5" ht="15" customHeight="1" x14ac:dyDescent="0.25">
      <c r="B477" s="89"/>
      <c r="C477" s="46" t="s">
        <v>143</v>
      </c>
      <c r="D477" s="47">
        <v>9</v>
      </c>
      <c r="E477" s="48">
        <v>1.2228260869565218E-3</v>
      </c>
    </row>
    <row r="478" spans="2:5" ht="15" customHeight="1" x14ac:dyDescent="0.25">
      <c r="B478" s="89"/>
      <c r="C478" s="46" t="s">
        <v>144</v>
      </c>
      <c r="D478" s="47">
        <v>15</v>
      </c>
      <c r="E478" s="48">
        <v>2.0380434782608695E-3</v>
      </c>
    </row>
    <row r="479" spans="2:5" ht="15" customHeight="1" x14ac:dyDescent="0.25">
      <c r="B479" s="89"/>
      <c r="C479" s="46" t="s">
        <v>145</v>
      </c>
      <c r="D479" s="47">
        <v>1</v>
      </c>
      <c r="E479" s="48">
        <v>1.3586956521739131E-4</v>
      </c>
    </row>
    <row r="480" spans="2:5" ht="15" customHeight="1" x14ac:dyDescent="0.25">
      <c r="B480" s="89"/>
      <c r="C480" s="46" t="s">
        <v>147</v>
      </c>
      <c r="D480" s="47">
        <v>3</v>
      </c>
      <c r="E480" s="48">
        <v>4.0760869565217389E-4</v>
      </c>
    </row>
    <row r="481" spans="2:5" ht="15" customHeight="1" x14ac:dyDescent="0.25">
      <c r="B481" s="89"/>
      <c r="C481" s="46" t="s">
        <v>148</v>
      </c>
      <c r="D481" s="47">
        <v>30</v>
      </c>
      <c r="E481" s="48">
        <v>4.076086956521739E-3</v>
      </c>
    </row>
    <row r="482" spans="2:5" ht="15" customHeight="1" x14ac:dyDescent="0.25">
      <c r="B482" s="89"/>
      <c r="C482" s="46" t="s">
        <v>149</v>
      </c>
      <c r="D482" s="47">
        <v>1</v>
      </c>
      <c r="E482" s="48">
        <v>1.3586956521739131E-4</v>
      </c>
    </row>
    <row r="483" spans="2:5" ht="15" customHeight="1" x14ac:dyDescent="0.25">
      <c r="B483" s="89"/>
      <c r="C483" s="46" t="s">
        <v>150</v>
      </c>
      <c r="D483" s="47">
        <v>10</v>
      </c>
      <c r="E483" s="48">
        <v>1.358695652173913E-3</v>
      </c>
    </row>
    <row r="484" spans="2:5" ht="15" customHeight="1" x14ac:dyDescent="0.25">
      <c r="B484" s="89"/>
      <c r="C484" s="46" t="s">
        <v>151</v>
      </c>
      <c r="D484" s="47">
        <v>22</v>
      </c>
      <c r="E484" s="48">
        <v>2.9891304347826088E-3</v>
      </c>
    </row>
    <row r="485" spans="2:5" ht="15" customHeight="1" x14ac:dyDescent="0.25">
      <c r="B485" s="89"/>
      <c r="C485" s="46" t="s">
        <v>154</v>
      </c>
      <c r="D485" s="47">
        <v>1</v>
      </c>
      <c r="E485" s="48">
        <v>1.3586956521739131E-4</v>
      </c>
    </row>
    <row r="486" spans="2:5" ht="15" customHeight="1" x14ac:dyDescent="0.25">
      <c r="B486" s="89"/>
      <c r="C486" s="46" t="s">
        <v>157</v>
      </c>
      <c r="D486" s="47">
        <v>5</v>
      </c>
      <c r="E486" s="48">
        <v>6.793478260869565E-4</v>
      </c>
    </row>
    <row r="487" spans="2:5" ht="15" customHeight="1" x14ac:dyDescent="0.25">
      <c r="B487" s="90"/>
      <c r="C487" s="49" t="s">
        <v>63</v>
      </c>
      <c r="D487" s="50">
        <v>103</v>
      </c>
      <c r="E487" s="51">
        <v>1.3994565217391305E-2</v>
      </c>
    </row>
    <row r="488" spans="2:5" ht="15" customHeight="1" x14ac:dyDescent="0.25">
      <c r="B488" s="88" t="s">
        <v>106</v>
      </c>
      <c r="C488" s="46" t="s">
        <v>144</v>
      </c>
      <c r="D488" s="47">
        <v>5</v>
      </c>
      <c r="E488" s="48">
        <v>6.793478260869565E-4</v>
      </c>
    </row>
    <row r="489" spans="2:5" ht="15" customHeight="1" x14ac:dyDescent="0.25">
      <c r="B489" s="89"/>
      <c r="C489" s="46" t="s">
        <v>148</v>
      </c>
      <c r="D489" s="47">
        <v>13</v>
      </c>
      <c r="E489" s="48">
        <v>1.766304347826087E-3</v>
      </c>
    </row>
    <row r="490" spans="2:5" ht="15" customHeight="1" x14ac:dyDescent="0.25">
      <c r="B490" s="89"/>
      <c r="C490" s="46" t="s">
        <v>150</v>
      </c>
      <c r="D490" s="47">
        <v>1</v>
      </c>
      <c r="E490" s="48">
        <v>1.3586956521739131E-4</v>
      </c>
    </row>
    <row r="491" spans="2:5" ht="15" customHeight="1" x14ac:dyDescent="0.25">
      <c r="B491" s="89"/>
      <c r="C491" s="46" t="s">
        <v>151</v>
      </c>
      <c r="D491" s="47">
        <v>8</v>
      </c>
      <c r="E491" s="48">
        <v>1.0869565217391304E-3</v>
      </c>
    </row>
    <row r="492" spans="2:5" ht="15" customHeight="1" x14ac:dyDescent="0.25">
      <c r="B492" s="89"/>
      <c r="C492" s="46" t="s">
        <v>156</v>
      </c>
      <c r="D492" s="47">
        <v>1</v>
      </c>
      <c r="E492" s="48">
        <v>1.3586956521739131E-4</v>
      </c>
    </row>
    <row r="493" spans="2:5" ht="15" customHeight="1" x14ac:dyDescent="0.25">
      <c r="B493" s="89"/>
      <c r="C493" s="46" t="s">
        <v>157</v>
      </c>
      <c r="D493" s="47">
        <v>3</v>
      </c>
      <c r="E493" s="48">
        <v>4.0760869565217389E-4</v>
      </c>
    </row>
    <row r="494" spans="2:5" ht="15" customHeight="1" x14ac:dyDescent="0.25">
      <c r="B494" s="90"/>
      <c r="C494" s="49" t="s">
        <v>63</v>
      </c>
      <c r="D494" s="50">
        <v>31</v>
      </c>
      <c r="E494" s="51">
        <v>4.2119565217391304E-3</v>
      </c>
    </row>
    <row r="495" spans="2:5" ht="15" customHeight="1" x14ac:dyDescent="0.25">
      <c r="B495" s="88" t="s">
        <v>90</v>
      </c>
      <c r="C495" s="46" t="s">
        <v>137</v>
      </c>
      <c r="D495" s="47">
        <v>1</v>
      </c>
      <c r="E495" s="48">
        <v>1.3586956521739131E-4</v>
      </c>
    </row>
    <row r="496" spans="2:5" ht="15" customHeight="1" x14ac:dyDescent="0.25">
      <c r="B496" s="89"/>
      <c r="C496" s="46" t="s">
        <v>139</v>
      </c>
      <c r="D496" s="47">
        <v>1</v>
      </c>
      <c r="E496" s="48">
        <v>1.3586956521739131E-4</v>
      </c>
    </row>
    <row r="497" spans="2:5" ht="15" customHeight="1" x14ac:dyDescent="0.25">
      <c r="B497" s="89"/>
      <c r="C497" s="46" t="s">
        <v>142</v>
      </c>
      <c r="D497" s="47">
        <v>1</v>
      </c>
      <c r="E497" s="48">
        <v>1.3586956521739131E-4</v>
      </c>
    </row>
    <row r="498" spans="2:5" ht="15" customHeight="1" x14ac:dyDescent="0.25">
      <c r="B498" s="89"/>
      <c r="C498" s="46" t="s">
        <v>143</v>
      </c>
      <c r="D498" s="47">
        <v>9</v>
      </c>
      <c r="E498" s="48">
        <v>1.2228260869565218E-3</v>
      </c>
    </row>
    <row r="499" spans="2:5" ht="15" customHeight="1" x14ac:dyDescent="0.25">
      <c r="B499" s="89"/>
      <c r="C499" s="46" t="s">
        <v>144</v>
      </c>
      <c r="D499" s="47">
        <v>14</v>
      </c>
      <c r="E499" s="48">
        <v>1.9021739130434783E-3</v>
      </c>
    </row>
    <row r="500" spans="2:5" ht="15" customHeight="1" x14ac:dyDescent="0.25">
      <c r="B500" s="89"/>
      <c r="C500" s="46" t="s">
        <v>146</v>
      </c>
      <c r="D500" s="47">
        <v>1</v>
      </c>
      <c r="E500" s="48">
        <v>1.3586956521739131E-4</v>
      </c>
    </row>
    <row r="501" spans="2:5" ht="15" customHeight="1" x14ac:dyDescent="0.25">
      <c r="B501" s="89"/>
      <c r="C501" s="46" t="s">
        <v>147</v>
      </c>
      <c r="D501" s="47">
        <v>2</v>
      </c>
      <c r="E501" s="48">
        <v>2.7173913043478261E-4</v>
      </c>
    </row>
    <row r="502" spans="2:5" ht="15" customHeight="1" x14ac:dyDescent="0.25">
      <c r="B502" s="89"/>
      <c r="C502" s="46" t="s">
        <v>148</v>
      </c>
      <c r="D502" s="47">
        <v>31</v>
      </c>
      <c r="E502" s="48">
        <v>4.2119565217391304E-3</v>
      </c>
    </row>
    <row r="503" spans="2:5" ht="15" customHeight="1" x14ac:dyDescent="0.25">
      <c r="B503" s="89"/>
      <c r="C503" s="46" t="s">
        <v>150</v>
      </c>
      <c r="D503" s="47">
        <v>1</v>
      </c>
      <c r="E503" s="48">
        <v>1.3586956521739131E-4</v>
      </c>
    </row>
    <row r="504" spans="2:5" ht="15" customHeight="1" x14ac:dyDescent="0.25">
      <c r="B504" s="89"/>
      <c r="C504" s="46" t="s">
        <v>151</v>
      </c>
      <c r="D504" s="47">
        <v>29</v>
      </c>
      <c r="E504" s="48">
        <v>3.9402173913043476E-3</v>
      </c>
    </row>
    <row r="505" spans="2:5" ht="15" customHeight="1" x14ac:dyDescent="0.25">
      <c r="B505" s="89"/>
      <c r="C505" s="46" t="s">
        <v>153</v>
      </c>
      <c r="D505" s="47">
        <v>1</v>
      </c>
      <c r="E505" s="48">
        <v>1.3586956521739131E-4</v>
      </c>
    </row>
    <row r="506" spans="2:5" ht="15" customHeight="1" x14ac:dyDescent="0.25">
      <c r="B506" s="89"/>
      <c r="C506" s="46" t="s">
        <v>156</v>
      </c>
      <c r="D506" s="47">
        <v>2</v>
      </c>
      <c r="E506" s="48">
        <v>2.7173913043478261E-4</v>
      </c>
    </row>
    <row r="507" spans="2:5" ht="15" customHeight="1" x14ac:dyDescent="0.25">
      <c r="B507" s="89"/>
      <c r="C507" s="46" t="s">
        <v>157</v>
      </c>
      <c r="D507" s="47">
        <v>4</v>
      </c>
      <c r="E507" s="48">
        <v>5.4347826086956522E-4</v>
      </c>
    </row>
    <row r="508" spans="2:5" ht="15" customHeight="1" x14ac:dyDescent="0.25">
      <c r="B508" s="90"/>
      <c r="C508" s="49" t="s">
        <v>63</v>
      </c>
      <c r="D508" s="50">
        <v>97</v>
      </c>
      <c r="E508" s="51">
        <v>1.3179347826086957E-2</v>
      </c>
    </row>
    <row r="509" spans="2:5" ht="15" customHeight="1" x14ac:dyDescent="0.25">
      <c r="B509" s="88" t="s">
        <v>86</v>
      </c>
      <c r="C509" s="46" t="s">
        <v>137</v>
      </c>
      <c r="D509" s="47">
        <v>1</v>
      </c>
      <c r="E509" s="48">
        <v>1.3586956521739131E-4</v>
      </c>
    </row>
    <row r="510" spans="2:5" ht="15" customHeight="1" x14ac:dyDescent="0.25">
      <c r="B510" s="89"/>
      <c r="C510" s="46" t="s">
        <v>139</v>
      </c>
      <c r="D510" s="47">
        <v>2</v>
      </c>
      <c r="E510" s="48">
        <v>2.7173913043478261E-4</v>
      </c>
    </row>
    <row r="511" spans="2:5" ht="15" customHeight="1" x14ac:dyDescent="0.25">
      <c r="B511" s="89"/>
      <c r="C511" s="46" t="s">
        <v>140</v>
      </c>
      <c r="D511" s="47">
        <v>2</v>
      </c>
      <c r="E511" s="48">
        <v>2.7173913043478261E-4</v>
      </c>
    </row>
    <row r="512" spans="2:5" ht="15" customHeight="1" x14ac:dyDescent="0.25">
      <c r="B512" s="89"/>
      <c r="C512" s="46" t="s">
        <v>141</v>
      </c>
      <c r="D512" s="47">
        <v>1</v>
      </c>
      <c r="E512" s="48">
        <v>1.3586956521739131E-4</v>
      </c>
    </row>
    <row r="513" spans="2:5" ht="15" customHeight="1" x14ac:dyDescent="0.25">
      <c r="B513" s="89"/>
      <c r="C513" s="46" t="s">
        <v>142</v>
      </c>
      <c r="D513" s="47">
        <v>4</v>
      </c>
      <c r="E513" s="48">
        <v>5.4347826086956522E-4</v>
      </c>
    </row>
    <row r="514" spans="2:5" ht="15" customHeight="1" x14ac:dyDescent="0.25">
      <c r="B514" s="89"/>
      <c r="C514" s="46" t="s">
        <v>143</v>
      </c>
      <c r="D514" s="47">
        <v>19</v>
      </c>
      <c r="E514" s="48">
        <v>2.5815217391304346E-3</v>
      </c>
    </row>
    <row r="515" spans="2:5" ht="15" customHeight="1" x14ac:dyDescent="0.25">
      <c r="B515" s="89"/>
      <c r="C515" s="46" t="s">
        <v>144</v>
      </c>
      <c r="D515" s="47">
        <v>11</v>
      </c>
      <c r="E515" s="48">
        <v>1.4945652173913044E-3</v>
      </c>
    </row>
    <row r="516" spans="2:5" ht="15" customHeight="1" x14ac:dyDescent="0.25">
      <c r="B516" s="89"/>
      <c r="C516" s="46" t="s">
        <v>146</v>
      </c>
      <c r="D516" s="47">
        <v>3</v>
      </c>
      <c r="E516" s="48">
        <v>4.0760869565217389E-4</v>
      </c>
    </row>
    <row r="517" spans="2:5" ht="15" customHeight="1" x14ac:dyDescent="0.25">
      <c r="B517" s="89"/>
      <c r="C517" s="46" t="s">
        <v>147</v>
      </c>
      <c r="D517" s="47">
        <v>7</v>
      </c>
      <c r="E517" s="48">
        <v>9.5108695652173917E-4</v>
      </c>
    </row>
    <row r="518" spans="2:5" ht="15" customHeight="1" x14ac:dyDescent="0.25">
      <c r="B518" s="89"/>
      <c r="C518" s="46" t="s">
        <v>148</v>
      </c>
      <c r="D518" s="47">
        <v>41</v>
      </c>
      <c r="E518" s="48">
        <v>5.5706521739130434E-3</v>
      </c>
    </row>
    <row r="519" spans="2:5" ht="15" customHeight="1" x14ac:dyDescent="0.25">
      <c r="B519" s="89"/>
      <c r="C519" s="46" t="s">
        <v>149</v>
      </c>
      <c r="D519" s="47">
        <v>2</v>
      </c>
      <c r="E519" s="48">
        <v>2.7173913043478261E-4</v>
      </c>
    </row>
    <row r="520" spans="2:5" ht="15" customHeight="1" x14ac:dyDescent="0.25">
      <c r="B520" s="89"/>
      <c r="C520" s="46" t="s">
        <v>150</v>
      </c>
      <c r="D520" s="47">
        <v>7</v>
      </c>
      <c r="E520" s="48">
        <v>9.5108695652173917E-4</v>
      </c>
    </row>
    <row r="521" spans="2:5" ht="15" customHeight="1" x14ac:dyDescent="0.25">
      <c r="B521" s="89"/>
      <c r="C521" s="46" t="s">
        <v>151</v>
      </c>
      <c r="D521" s="47">
        <v>13</v>
      </c>
      <c r="E521" s="48">
        <v>1.766304347826087E-3</v>
      </c>
    </row>
    <row r="522" spans="2:5" ht="15" customHeight="1" x14ac:dyDescent="0.25">
      <c r="B522" s="89"/>
      <c r="C522" s="46" t="s">
        <v>157</v>
      </c>
      <c r="D522" s="47">
        <v>6</v>
      </c>
      <c r="E522" s="48">
        <v>8.1521739130434778E-4</v>
      </c>
    </row>
    <row r="523" spans="2:5" ht="15" customHeight="1" x14ac:dyDescent="0.25">
      <c r="B523" s="89"/>
      <c r="C523" s="46" t="s">
        <v>158</v>
      </c>
      <c r="D523" s="47">
        <v>1</v>
      </c>
      <c r="E523" s="48">
        <v>1.3586956521739131E-4</v>
      </c>
    </row>
    <row r="524" spans="2:5" ht="15" customHeight="1" x14ac:dyDescent="0.25">
      <c r="B524" s="89"/>
      <c r="C524" s="46" t="s">
        <v>159</v>
      </c>
      <c r="D524" s="47">
        <v>1</v>
      </c>
      <c r="E524" s="48">
        <v>1.3586956521739131E-4</v>
      </c>
    </row>
    <row r="525" spans="2:5" ht="15" customHeight="1" x14ac:dyDescent="0.25">
      <c r="B525" s="90"/>
      <c r="C525" s="49" t="s">
        <v>63</v>
      </c>
      <c r="D525" s="50">
        <v>121</v>
      </c>
      <c r="E525" s="51">
        <v>1.6440217391304347E-2</v>
      </c>
    </row>
    <row r="526" spans="2:5" ht="15" customHeight="1" x14ac:dyDescent="0.25">
      <c r="B526" s="88" t="s">
        <v>77</v>
      </c>
      <c r="C526" s="46" t="s">
        <v>137</v>
      </c>
      <c r="D526" s="47">
        <v>4</v>
      </c>
      <c r="E526" s="48">
        <v>5.4347826086956522E-4</v>
      </c>
    </row>
    <row r="527" spans="2:5" ht="15" customHeight="1" x14ac:dyDescent="0.25">
      <c r="B527" s="89"/>
      <c r="C527" s="46" t="s">
        <v>139</v>
      </c>
      <c r="D527" s="47">
        <v>4</v>
      </c>
      <c r="E527" s="48">
        <v>5.4347826086956522E-4</v>
      </c>
    </row>
    <row r="528" spans="2:5" ht="15" customHeight="1" x14ac:dyDescent="0.25">
      <c r="B528" s="89"/>
      <c r="C528" s="46" t="s">
        <v>140</v>
      </c>
      <c r="D528" s="47">
        <v>8</v>
      </c>
      <c r="E528" s="48">
        <v>1.0869565217391304E-3</v>
      </c>
    </row>
    <row r="529" spans="2:5" ht="15" customHeight="1" x14ac:dyDescent="0.25">
      <c r="B529" s="89"/>
      <c r="C529" s="46" t="s">
        <v>141</v>
      </c>
      <c r="D529" s="47">
        <v>3</v>
      </c>
      <c r="E529" s="48">
        <v>4.0760869565217389E-4</v>
      </c>
    </row>
    <row r="530" spans="2:5" ht="15" customHeight="1" x14ac:dyDescent="0.25">
      <c r="B530" s="89"/>
      <c r="C530" s="46" t="s">
        <v>142</v>
      </c>
      <c r="D530" s="47">
        <v>4</v>
      </c>
      <c r="E530" s="48">
        <v>5.4347826086956522E-4</v>
      </c>
    </row>
    <row r="531" spans="2:5" ht="15" customHeight="1" x14ac:dyDescent="0.25">
      <c r="B531" s="89"/>
      <c r="C531" s="46" t="s">
        <v>143</v>
      </c>
      <c r="D531" s="47">
        <v>46</v>
      </c>
      <c r="E531" s="48">
        <v>6.2500000000000003E-3</v>
      </c>
    </row>
    <row r="532" spans="2:5" ht="15" customHeight="1" x14ac:dyDescent="0.25">
      <c r="B532" s="89"/>
      <c r="C532" s="46" t="s">
        <v>144</v>
      </c>
      <c r="D532" s="47">
        <v>31</v>
      </c>
      <c r="E532" s="48">
        <v>4.2119565217391304E-3</v>
      </c>
    </row>
    <row r="533" spans="2:5" ht="15" customHeight="1" x14ac:dyDescent="0.25">
      <c r="B533" s="89"/>
      <c r="C533" s="46" t="s">
        <v>145</v>
      </c>
      <c r="D533" s="47">
        <v>1</v>
      </c>
      <c r="E533" s="48">
        <v>1.3586956521739131E-4</v>
      </c>
    </row>
    <row r="534" spans="2:5" ht="15" customHeight="1" x14ac:dyDescent="0.25">
      <c r="B534" s="89"/>
      <c r="C534" s="46" t="s">
        <v>146</v>
      </c>
      <c r="D534" s="47">
        <v>9</v>
      </c>
      <c r="E534" s="48">
        <v>1.2228260869565218E-3</v>
      </c>
    </row>
    <row r="535" spans="2:5" ht="15" customHeight="1" x14ac:dyDescent="0.25">
      <c r="B535" s="89"/>
      <c r="C535" s="46" t="s">
        <v>147</v>
      </c>
      <c r="D535" s="47">
        <v>17</v>
      </c>
      <c r="E535" s="48">
        <v>2.3097826086956523E-3</v>
      </c>
    </row>
    <row r="536" spans="2:5" ht="15" customHeight="1" x14ac:dyDescent="0.25">
      <c r="B536" s="89"/>
      <c r="C536" s="46" t="s">
        <v>148</v>
      </c>
      <c r="D536" s="47">
        <v>66</v>
      </c>
      <c r="E536" s="48">
        <v>8.9673913043478264E-3</v>
      </c>
    </row>
    <row r="537" spans="2:5" ht="15" customHeight="1" x14ac:dyDescent="0.25">
      <c r="B537" s="89"/>
      <c r="C537" s="46" t="s">
        <v>149</v>
      </c>
      <c r="D537" s="47">
        <v>4</v>
      </c>
      <c r="E537" s="48">
        <v>5.4347826086956522E-4</v>
      </c>
    </row>
    <row r="538" spans="2:5" ht="15" customHeight="1" x14ac:dyDescent="0.25">
      <c r="B538" s="89"/>
      <c r="C538" s="46" t="s">
        <v>150</v>
      </c>
      <c r="D538" s="47">
        <v>21</v>
      </c>
      <c r="E538" s="48">
        <v>2.8532608695652174E-3</v>
      </c>
    </row>
    <row r="539" spans="2:5" ht="15" customHeight="1" x14ac:dyDescent="0.25">
      <c r="B539" s="89"/>
      <c r="C539" s="46" t="s">
        <v>151</v>
      </c>
      <c r="D539" s="47">
        <v>62</v>
      </c>
      <c r="E539" s="48">
        <v>8.4239130434782608E-3</v>
      </c>
    </row>
    <row r="540" spans="2:5" ht="15" customHeight="1" x14ac:dyDescent="0.25">
      <c r="B540" s="89"/>
      <c r="C540" s="46" t="s">
        <v>154</v>
      </c>
      <c r="D540" s="47">
        <v>2</v>
      </c>
      <c r="E540" s="48">
        <v>2.7173913043478261E-4</v>
      </c>
    </row>
    <row r="541" spans="2:5" ht="15" customHeight="1" x14ac:dyDescent="0.25">
      <c r="B541" s="89"/>
      <c r="C541" s="46" t="s">
        <v>156</v>
      </c>
      <c r="D541" s="47">
        <v>5</v>
      </c>
      <c r="E541" s="48">
        <v>6.793478260869565E-4</v>
      </c>
    </row>
    <row r="542" spans="2:5" ht="15" customHeight="1" x14ac:dyDescent="0.25">
      <c r="B542" s="89"/>
      <c r="C542" s="46" t="s">
        <v>157</v>
      </c>
      <c r="D542" s="47">
        <v>8</v>
      </c>
      <c r="E542" s="48">
        <v>1.0869565217391304E-3</v>
      </c>
    </row>
    <row r="543" spans="2:5" ht="15" customHeight="1" x14ac:dyDescent="0.25">
      <c r="B543" s="90"/>
      <c r="C543" s="49" t="s">
        <v>63</v>
      </c>
      <c r="D543" s="50">
        <v>295</v>
      </c>
      <c r="E543" s="51">
        <v>4.0081521739130432E-2</v>
      </c>
    </row>
    <row r="544" spans="2:5" ht="15" customHeight="1" x14ac:dyDescent="0.25">
      <c r="B544" s="88" t="s">
        <v>101</v>
      </c>
      <c r="C544" s="46" t="s">
        <v>140</v>
      </c>
      <c r="D544" s="47">
        <v>2</v>
      </c>
      <c r="E544" s="48">
        <v>2.7173913043478261E-4</v>
      </c>
    </row>
    <row r="545" spans="2:5" ht="15" customHeight="1" x14ac:dyDescent="0.25">
      <c r="B545" s="89"/>
      <c r="C545" s="46" t="s">
        <v>141</v>
      </c>
      <c r="D545" s="47">
        <v>1</v>
      </c>
      <c r="E545" s="48">
        <v>1.3586956521739131E-4</v>
      </c>
    </row>
    <row r="546" spans="2:5" ht="15" customHeight="1" x14ac:dyDescent="0.25">
      <c r="B546" s="89"/>
      <c r="C546" s="46" t="s">
        <v>142</v>
      </c>
      <c r="D546" s="47">
        <v>1</v>
      </c>
      <c r="E546" s="48">
        <v>1.3586956521739131E-4</v>
      </c>
    </row>
    <row r="547" spans="2:5" ht="15" customHeight="1" x14ac:dyDescent="0.25">
      <c r="B547" s="89"/>
      <c r="C547" s="46" t="s">
        <v>143</v>
      </c>
      <c r="D547" s="47">
        <v>1</v>
      </c>
      <c r="E547" s="48">
        <v>1.3586956521739131E-4</v>
      </c>
    </row>
    <row r="548" spans="2:5" ht="15" customHeight="1" x14ac:dyDescent="0.25">
      <c r="B548" s="89"/>
      <c r="C548" s="46" t="s">
        <v>144</v>
      </c>
      <c r="D548" s="47">
        <v>10</v>
      </c>
      <c r="E548" s="48">
        <v>1.358695652173913E-3</v>
      </c>
    </row>
    <row r="549" spans="2:5" ht="15" customHeight="1" x14ac:dyDescent="0.25">
      <c r="B549" s="89"/>
      <c r="C549" s="46" t="s">
        <v>148</v>
      </c>
      <c r="D549" s="47">
        <v>12</v>
      </c>
      <c r="E549" s="48">
        <v>1.6304347826086956E-3</v>
      </c>
    </row>
    <row r="550" spans="2:5" ht="15" customHeight="1" x14ac:dyDescent="0.25">
      <c r="B550" s="89"/>
      <c r="C550" s="46" t="s">
        <v>150</v>
      </c>
      <c r="D550" s="47">
        <v>2</v>
      </c>
      <c r="E550" s="48">
        <v>2.7173913043478261E-4</v>
      </c>
    </row>
    <row r="551" spans="2:5" ht="15" customHeight="1" x14ac:dyDescent="0.25">
      <c r="B551" s="89"/>
      <c r="C551" s="46" t="s">
        <v>151</v>
      </c>
      <c r="D551" s="47">
        <v>7</v>
      </c>
      <c r="E551" s="48">
        <v>9.5108695652173917E-4</v>
      </c>
    </row>
    <row r="552" spans="2:5" ht="15" customHeight="1" x14ac:dyDescent="0.25">
      <c r="B552" s="89"/>
      <c r="C552" s="46" t="s">
        <v>157</v>
      </c>
      <c r="D552" s="47">
        <v>1</v>
      </c>
      <c r="E552" s="48">
        <v>1.3586956521739131E-4</v>
      </c>
    </row>
    <row r="553" spans="2:5" ht="15" customHeight="1" x14ac:dyDescent="0.25">
      <c r="B553" s="90"/>
      <c r="C553" s="49" t="s">
        <v>63</v>
      </c>
      <c r="D553" s="50">
        <v>37</v>
      </c>
      <c r="E553" s="51">
        <v>5.0271739130434779E-3</v>
      </c>
    </row>
    <row r="554" spans="2:5" ht="15" customHeight="1" x14ac:dyDescent="0.25">
      <c r="B554" s="88" t="s">
        <v>94</v>
      </c>
      <c r="C554" s="46" t="s">
        <v>139</v>
      </c>
      <c r="D554" s="47">
        <v>2</v>
      </c>
      <c r="E554" s="48">
        <v>2.7173913043478261E-4</v>
      </c>
    </row>
    <row r="555" spans="2:5" ht="15" customHeight="1" x14ac:dyDescent="0.25">
      <c r="B555" s="89"/>
      <c r="C555" s="46" t="s">
        <v>140</v>
      </c>
      <c r="D555" s="47">
        <v>1</v>
      </c>
      <c r="E555" s="48">
        <v>1.3586956521739131E-4</v>
      </c>
    </row>
    <row r="556" spans="2:5" ht="15" customHeight="1" x14ac:dyDescent="0.25">
      <c r="B556" s="89"/>
      <c r="C556" s="46" t="s">
        <v>141</v>
      </c>
      <c r="D556" s="47">
        <v>1</v>
      </c>
      <c r="E556" s="48">
        <v>1.3586956521739131E-4</v>
      </c>
    </row>
    <row r="557" spans="2:5" ht="15" customHeight="1" x14ac:dyDescent="0.25">
      <c r="B557" s="89"/>
      <c r="C557" s="46" t="s">
        <v>142</v>
      </c>
      <c r="D557" s="47">
        <v>2</v>
      </c>
      <c r="E557" s="48">
        <v>2.7173913043478261E-4</v>
      </c>
    </row>
    <row r="558" spans="2:5" ht="15" customHeight="1" x14ac:dyDescent="0.25">
      <c r="B558" s="89"/>
      <c r="C558" s="46" t="s">
        <v>143</v>
      </c>
      <c r="D558" s="47">
        <v>5</v>
      </c>
      <c r="E558" s="48">
        <v>6.793478260869565E-4</v>
      </c>
    </row>
    <row r="559" spans="2:5" ht="15" customHeight="1" x14ac:dyDescent="0.25">
      <c r="B559" s="89"/>
      <c r="C559" s="46" t="s">
        <v>144</v>
      </c>
      <c r="D559" s="47">
        <v>14</v>
      </c>
      <c r="E559" s="48">
        <v>1.9021739130434783E-3</v>
      </c>
    </row>
    <row r="560" spans="2:5" ht="15" customHeight="1" x14ac:dyDescent="0.25">
      <c r="B560" s="89"/>
      <c r="C560" s="46" t="s">
        <v>146</v>
      </c>
      <c r="D560" s="47">
        <v>1</v>
      </c>
      <c r="E560" s="48">
        <v>1.3586956521739131E-4</v>
      </c>
    </row>
    <row r="561" spans="2:5" ht="15" customHeight="1" x14ac:dyDescent="0.25">
      <c r="B561" s="89"/>
      <c r="C561" s="46" t="s">
        <v>147</v>
      </c>
      <c r="D561" s="47">
        <v>1</v>
      </c>
      <c r="E561" s="48">
        <v>1.3586956521739131E-4</v>
      </c>
    </row>
    <row r="562" spans="2:5" ht="15" customHeight="1" x14ac:dyDescent="0.25">
      <c r="B562" s="89"/>
      <c r="C562" s="46" t="s">
        <v>148</v>
      </c>
      <c r="D562" s="47">
        <v>28</v>
      </c>
      <c r="E562" s="48">
        <v>3.8043478260869567E-3</v>
      </c>
    </row>
    <row r="563" spans="2:5" ht="15" customHeight="1" x14ac:dyDescent="0.25">
      <c r="B563" s="89"/>
      <c r="C563" s="46" t="s">
        <v>149</v>
      </c>
      <c r="D563" s="47">
        <v>1</v>
      </c>
      <c r="E563" s="48">
        <v>1.3586956521739131E-4</v>
      </c>
    </row>
    <row r="564" spans="2:5" ht="15" customHeight="1" x14ac:dyDescent="0.25">
      <c r="B564" s="89"/>
      <c r="C564" s="46" t="s">
        <v>150</v>
      </c>
      <c r="D564" s="47">
        <v>4</v>
      </c>
      <c r="E564" s="48">
        <v>5.4347826086956522E-4</v>
      </c>
    </row>
    <row r="565" spans="2:5" ht="15" customHeight="1" x14ac:dyDescent="0.25">
      <c r="B565" s="89"/>
      <c r="C565" s="46" t="s">
        <v>151</v>
      </c>
      <c r="D565" s="47">
        <v>11</v>
      </c>
      <c r="E565" s="48">
        <v>1.4945652173913044E-3</v>
      </c>
    </row>
    <row r="566" spans="2:5" ht="15" customHeight="1" x14ac:dyDescent="0.25">
      <c r="B566" s="89"/>
      <c r="C566" s="46" t="s">
        <v>152</v>
      </c>
      <c r="D566" s="47">
        <v>1</v>
      </c>
      <c r="E566" s="48">
        <v>1.3586956521739131E-4</v>
      </c>
    </row>
    <row r="567" spans="2:5" ht="15" customHeight="1" x14ac:dyDescent="0.25">
      <c r="B567" s="89"/>
      <c r="C567" s="46" t="s">
        <v>153</v>
      </c>
      <c r="D567" s="47">
        <v>1</v>
      </c>
      <c r="E567" s="48">
        <v>1.3586956521739131E-4</v>
      </c>
    </row>
    <row r="568" spans="2:5" ht="15" customHeight="1" x14ac:dyDescent="0.25">
      <c r="B568" s="89"/>
      <c r="C568" s="46" t="s">
        <v>156</v>
      </c>
      <c r="D568" s="47">
        <v>1</v>
      </c>
      <c r="E568" s="48">
        <v>1.3586956521739131E-4</v>
      </c>
    </row>
    <row r="569" spans="2:5" ht="15" customHeight="1" x14ac:dyDescent="0.25">
      <c r="B569" s="89"/>
      <c r="C569" s="46" t="s">
        <v>157</v>
      </c>
      <c r="D569" s="47">
        <v>4</v>
      </c>
      <c r="E569" s="48">
        <v>5.4347826086956522E-4</v>
      </c>
    </row>
    <row r="570" spans="2:5" ht="15" customHeight="1" x14ac:dyDescent="0.25">
      <c r="B570" s="90"/>
      <c r="C570" s="49" t="s">
        <v>63</v>
      </c>
      <c r="D570" s="50">
        <v>78</v>
      </c>
      <c r="E570" s="51">
        <v>1.0597826086956521E-2</v>
      </c>
    </row>
    <row r="571" spans="2:5" ht="15" customHeight="1" x14ac:dyDescent="0.25">
      <c r="B571" s="88" t="s">
        <v>167</v>
      </c>
      <c r="C571" s="46" t="s">
        <v>137</v>
      </c>
      <c r="D571" s="47">
        <v>3</v>
      </c>
      <c r="E571" s="48">
        <v>4.0760869565217389E-4</v>
      </c>
    </row>
    <row r="572" spans="2:5" ht="15" customHeight="1" x14ac:dyDescent="0.25">
      <c r="B572" s="89"/>
      <c r="C572" s="46" t="s">
        <v>139</v>
      </c>
      <c r="D572" s="47">
        <v>2</v>
      </c>
      <c r="E572" s="48">
        <v>2.7173913043478261E-4</v>
      </c>
    </row>
    <row r="573" spans="2:5" ht="15" customHeight="1" x14ac:dyDescent="0.25">
      <c r="B573" s="89"/>
      <c r="C573" s="46" t="s">
        <v>141</v>
      </c>
      <c r="D573" s="47">
        <v>4</v>
      </c>
      <c r="E573" s="48">
        <v>5.4347826086956522E-4</v>
      </c>
    </row>
    <row r="574" spans="2:5" ht="15" customHeight="1" x14ac:dyDescent="0.25">
      <c r="B574" s="89"/>
      <c r="C574" s="46" t="s">
        <v>142</v>
      </c>
      <c r="D574" s="47">
        <v>1</v>
      </c>
      <c r="E574" s="48">
        <v>1.3586956521739131E-4</v>
      </c>
    </row>
    <row r="575" spans="2:5" ht="15" customHeight="1" x14ac:dyDescent="0.25">
      <c r="B575" s="89"/>
      <c r="C575" s="46" t="s">
        <v>143</v>
      </c>
      <c r="D575" s="47">
        <v>12</v>
      </c>
      <c r="E575" s="48">
        <v>1.6304347826086956E-3</v>
      </c>
    </row>
    <row r="576" spans="2:5" ht="15" customHeight="1" x14ac:dyDescent="0.25">
      <c r="B576" s="89"/>
      <c r="C576" s="46" t="s">
        <v>144</v>
      </c>
      <c r="D576" s="47">
        <v>7</v>
      </c>
      <c r="E576" s="48">
        <v>9.5108695652173917E-4</v>
      </c>
    </row>
    <row r="577" spans="2:5" ht="15" customHeight="1" x14ac:dyDescent="0.25">
      <c r="B577" s="89"/>
      <c r="C577" s="46" t="s">
        <v>145</v>
      </c>
      <c r="D577" s="47">
        <v>2</v>
      </c>
      <c r="E577" s="48">
        <v>2.7173913043478261E-4</v>
      </c>
    </row>
    <row r="578" spans="2:5" ht="15" customHeight="1" x14ac:dyDescent="0.25">
      <c r="B578" s="89"/>
      <c r="C578" s="46" t="s">
        <v>146</v>
      </c>
      <c r="D578" s="47">
        <v>1</v>
      </c>
      <c r="E578" s="48">
        <v>1.3586956521739131E-4</v>
      </c>
    </row>
    <row r="579" spans="2:5" ht="15" customHeight="1" x14ac:dyDescent="0.25">
      <c r="B579" s="89"/>
      <c r="C579" s="46" t="s">
        <v>147</v>
      </c>
      <c r="D579" s="47">
        <v>3</v>
      </c>
      <c r="E579" s="48">
        <v>4.0760869565217389E-4</v>
      </c>
    </row>
    <row r="580" spans="2:5" ht="15" customHeight="1" x14ac:dyDescent="0.25">
      <c r="B580" s="89"/>
      <c r="C580" s="46" t="s">
        <v>148</v>
      </c>
      <c r="D580" s="47">
        <v>28</v>
      </c>
      <c r="E580" s="48">
        <v>3.8043478260869567E-3</v>
      </c>
    </row>
    <row r="581" spans="2:5" ht="15" customHeight="1" x14ac:dyDescent="0.25">
      <c r="B581" s="89"/>
      <c r="C581" s="46" t="s">
        <v>150</v>
      </c>
      <c r="D581" s="47">
        <v>5</v>
      </c>
      <c r="E581" s="48">
        <v>6.793478260869565E-4</v>
      </c>
    </row>
    <row r="582" spans="2:5" ht="15" customHeight="1" x14ac:dyDescent="0.25">
      <c r="B582" s="89"/>
      <c r="C582" s="46" t="s">
        <v>151</v>
      </c>
      <c r="D582" s="47">
        <v>12</v>
      </c>
      <c r="E582" s="48">
        <v>1.6304347826086956E-3</v>
      </c>
    </row>
    <row r="583" spans="2:5" ht="15" customHeight="1" x14ac:dyDescent="0.25">
      <c r="B583" s="89"/>
      <c r="C583" s="46" t="s">
        <v>157</v>
      </c>
      <c r="D583" s="47">
        <v>2</v>
      </c>
      <c r="E583" s="48">
        <v>2.7173913043478261E-4</v>
      </c>
    </row>
    <row r="584" spans="2:5" ht="15" customHeight="1" x14ac:dyDescent="0.25">
      <c r="B584" s="90"/>
      <c r="C584" s="49" t="s">
        <v>63</v>
      </c>
      <c r="D584" s="50">
        <v>82</v>
      </c>
      <c r="E584" s="51">
        <v>1.1141304347826087E-2</v>
      </c>
    </row>
    <row r="585" spans="2:5" ht="15" customHeight="1" x14ac:dyDescent="0.25">
      <c r="B585" s="88" t="s">
        <v>85</v>
      </c>
      <c r="C585" s="46" t="s">
        <v>137</v>
      </c>
      <c r="D585" s="47">
        <v>2</v>
      </c>
      <c r="E585" s="48">
        <v>2.7173913043478261E-4</v>
      </c>
    </row>
    <row r="586" spans="2:5" ht="15" customHeight="1" x14ac:dyDescent="0.25">
      <c r="B586" s="89"/>
      <c r="C586" s="46" t="s">
        <v>140</v>
      </c>
      <c r="D586" s="47">
        <v>3</v>
      </c>
      <c r="E586" s="48">
        <v>4.0760869565217389E-4</v>
      </c>
    </row>
    <row r="587" spans="2:5" ht="15" customHeight="1" x14ac:dyDescent="0.25">
      <c r="B587" s="89"/>
      <c r="C587" s="46" t="s">
        <v>141</v>
      </c>
      <c r="D587" s="47">
        <v>1</v>
      </c>
      <c r="E587" s="48">
        <v>1.3586956521739131E-4</v>
      </c>
    </row>
    <row r="588" spans="2:5" ht="15" customHeight="1" x14ac:dyDescent="0.25">
      <c r="B588" s="89"/>
      <c r="C588" s="46" t="s">
        <v>142</v>
      </c>
      <c r="D588" s="47">
        <v>4</v>
      </c>
      <c r="E588" s="48">
        <v>5.4347826086956522E-4</v>
      </c>
    </row>
    <row r="589" spans="2:5" ht="15" customHeight="1" x14ac:dyDescent="0.25">
      <c r="B589" s="89"/>
      <c r="C589" s="46" t="s">
        <v>143</v>
      </c>
      <c r="D589" s="47">
        <v>13</v>
      </c>
      <c r="E589" s="48">
        <v>1.766304347826087E-3</v>
      </c>
    </row>
    <row r="590" spans="2:5" ht="15" customHeight="1" x14ac:dyDescent="0.25">
      <c r="B590" s="89"/>
      <c r="C590" s="46" t="s">
        <v>144</v>
      </c>
      <c r="D590" s="47">
        <v>18</v>
      </c>
      <c r="E590" s="48">
        <v>2.4456521739130437E-3</v>
      </c>
    </row>
    <row r="591" spans="2:5" ht="15" customHeight="1" x14ac:dyDescent="0.25">
      <c r="B591" s="89"/>
      <c r="C591" s="46" t="s">
        <v>145</v>
      </c>
      <c r="D591" s="47">
        <v>1</v>
      </c>
      <c r="E591" s="48">
        <v>1.3586956521739131E-4</v>
      </c>
    </row>
    <row r="592" spans="2:5" ht="15" customHeight="1" x14ac:dyDescent="0.25">
      <c r="B592" s="89"/>
      <c r="C592" s="46" t="s">
        <v>146</v>
      </c>
      <c r="D592" s="47">
        <v>7</v>
      </c>
      <c r="E592" s="48">
        <v>9.5108695652173917E-4</v>
      </c>
    </row>
    <row r="593" spans="2:5" ht="15" customHeight="1" x14ac:dyDescent="0.25">
      <c r="B593" s="89"/>
      <c r="C593" s="46" t="s">
        <v>147</v>
      </c>
      <c r="D593" s="47">
        <v>5</v>
      </c>
      <c r="E593" s="48">
        <v>6.793478260869565E-4</v>
      </c>
    </row>
    <row r="594" spans="2:5" ht="15" customHeight="1" x14ac:dyDescent="0.25">
      <c r="B594" s="89"/>
      <c r="C594" s="46" t="s">
        <v>148</v>
      </c>
      <c r="D594" s="47">
        <v>37</v>
      </c>
      <c r="E594" s="48">
        <v>5.0271739130434779E-3</v>
      </c>
    </row>
    <row r="595" spans="2:5" ht="15" customHeight="1" x14ac:dyDescent="0.25">
      <c r="B595" s="89"/>
      <c r="C595" s="46" t="s">
        <v>149</v>
      </c>
      <c r="D595" s="47">
        <v>1</v>
      </c>
      <c r="E595" s="48">
        <v>1.3586956521739131E-4</v>
      </c>
    </row>
    <row r="596" spans="2:5" ht="15" customHeight="1" x14ac:dyDescent="0.25">
      <c r="B596" s="89"/>
      <c r="C596" s="46" t="s">
        <v>150</v>
      </c>
      <c r="D596" s="47">
        <v>9</v>
      </c>
      <c r="E596" s="48">
        <v>1.2228260869565218E-3</v>
      </c>
    </row>
    <row r="597" spans="2:5" ht="15" customHeight="1" x14ac:dyDescent="0.25">
      <c r="B597" s="89"/>
      <c r="C597" s="46" t="s">
        <v>151</v>
      </c>
      <c r="D597" s="47">
        <v>22</v>
      </c>
      <c r="E597" s="48">
        <v>2.9891304347826088E-3</v>
      </c>
    </row>
    <row r="598" spans="2:5" ht="15" customHeight="1" x14ac:dyDescent="0.25">
      <c r="B598" s="89"/>
      <c r="C598" s="46" t="s">
        <v>152</v>
      </c>
      <c r="D598" s="47">
        <v>3</v>
      </c>
      <c r="E598" s="48">
        <v>4.0760869565217389E-4</v>
      </c>
    </row>
    <row r="599" spans="2:5" ht="15" customHeight="1" x14ac:dyDescent="0.25">
      <c r="B599" s="89"/>
      <c r="C599" s="46" t="s">
        <v>153</v>
      </c>
      <c r="D599" s="47">
        <v>1</v>
      </c>
      <c r="E599" s="48">
        <v>1.3586956521739131E-4</v>
      </c>
    </row>
    <row r="600" spans="2:5" ht="15" customHeight="1" x14ac:dyDescent="0.25">
      <c r="B600" s="89"/>
      <c r="C600" s="46" t="s">
        <v>157</v>
      </c>
      <c r="D600" s="47">
        <v>2</v>
      </c>
      <c r="E600" s="48">
        <v>2.7173913043478261E-4</v>
      </c>
    </row>
    <row r="601" spans="2:5" ht="15" customHeight="1" x14ac:dyDescent="0.25">
      <c r="B601" s="89"/>
      <c r="C601" s="46" t="s">
        <v>159</v>
      </c>
      <c r="D601" s="47">
        <v>1</v>
      </c>
      <c r="E601" s="48">
        <v>1.3586956521739131E-4</v>
      </c>
    </row>
    <row r="602" spans="2:5" ht="15" customHeight="1" x14ac:dyDescent="0.25">
      <c r="B602" s="90"/>
      <c r="C602" s="49" t="s">
        <v>63</v>
      </c>
      <c r="D602" s="50">
        <v>130</v>
      </c>
      <c r="E602" s="51">
        <v>1.7663043478260868E-2</v>
      </c>
    </row>
    <row r="603" spans="2:5" ht="15" customHeight="1" x14ac:dyDescent="0.25">
      <c r="B603" s="88" t="s">
        <v>92</v>
      </c>
      <c r="C603" s="46" t="s">
        <v>139</v>
      </c>
      <c r="D603" s="47">
        <v>1</v>
      </c>
      <c r="E603" s="48">
        <v>1.3586956521739131E-4</v>
      </c>
    </row>
    <row r="604" spans="2:5" ht="15" customHeight="1" x14ac:dyDescent="0.25">
      <c r="B604" s="89"/>
      <c r="C604" s="46" t="s">
        <v>140</v>
      </c>
      <c r="D604" s="47">
        <v>1</v>
      </c>
      <c r="E604" s="48">
        <v>1.3586956521739131E-4</v>
      </c>
    </row>
    <row r="605" spans="2:5" ht="15" customHeight="1" x14ac:dyDescent="0.25">
      <c r="B605" s="89"/>
      <c r="C605" s="46" t="s">
        <v>141</v>
      </c>
      <c r="D605" s="47">
        <v>1</v>
      </c>
      <c r="E605" s="48">
        <v>1.3586956521739131E-4</v>
      </c>
    </row>
    <row r="606" spans="2:5" ht="15" customHeight="1" x14ac:dyDescent="0.25">
      <c r="B606" s="89"/>
      <c r="C606" s="46" t="s">
        <v>142</v>
      </c>
      <c r="D606" s="47">
        <v>1</v>
      </c>
      <c r="E606" s="48">
        <v>1.3586956521739131E-4</v>
      </c>
    </row>
    <row r="607" spans="2:5" ht="15" customHeight="1" x14ac:dyDescent="0.25">
      <c r="B607" s="89"/>
      <c r="C607" s="46" t="s">
        <v>143</v>
      </c>
      <c r="D607" s="47">
        <v>7</v>
      </c>
      <c r="E607" s="48">
        <v>9.5108695652173917E-4</v>
      </c>
    </row>
    <row r="608" spans="2:5" ht="15" customHeight="1" x14ac:dyDescent="0.25">
      <c r="B608" s="89"/>
      <c r="C608" s="46" t="s">
        <v>144</v>
      </c>
      <c r="D608" s="47">
        <v>7</v>
      </c>
      <c r="E608" s="48">
        <v>9.5108695652173917E-4</v>
      </c>
    </row>
    <row r="609" spans="2:5" ht="15" customHeight="1" x14ac:dyDescent="0.25">
      <c r="B609" s="89"/>
      <c r="C609" s="46" t="s">
        <v>146</v>
      </c>
      <c r="D609" s="47">
        <v>4</v>
      </c>
      <c r="E609" s="48">
        <v>5.4347826086956522E-4</v>
      </c>
    </row>
    <row r="610" spans="2:5" ht="15" customHeight="1" x14ac:dyDescent="0.25">
      <c r="B610" s="89"/>
      <c r="C610" s="46" t="s">
        <v>147</v>
      </c>
      <c r="D610" s="47">
        <v>3</v>
      </c>
      <c r="E610" s="48">
        <v>4.0760869565217389E-4</v>
      </c>
    </row>
    <row r="611" spans="2:5" ht="15" customHeight="1" x14ac:dyDescent="0.25">
      <c r="B611" s="89"/>
      <c r="C611" s="46" t="s">
        <v>148</v>
      </c>
      <c r="D611" s="47">
        <v>41</v>
      </c>
      <c r="E611" s="48">
        <v>5.5706521739130434E-3</v>
      </c>
    </row>
    <row r="612" spans="2:5" ht="15" customHeight="1" x14ac:dyDescent="0.25">
      <c r="B612" s="89"/>
      <c r="C612" s="46" t="s">
        <v>149</v>
      </c>
      <c r="D612" s="47">
        <v>2</v>
      </c>
      <c r="E612" s="48">
        <v>2.7173913043478261E-4</v>
      </c>
    </row>
    <row r="613" spans="2:5" ht="15" customHeight="1" x14ac:dyDescent="0.25">
      <c r="B613" s="89"/>
      <c r="C613" s="46" t="s">
        <v>150</v>
      </c>
      <c r="D613" s="47">
        <v>2</v>
      </c>
      <c r="E613" s="48">
        <v>2.7173913043478261E-4</v>
      </c>
    </row>
    <row r="614" spans="2:5" ht="15" customHeight="1" x14ac:dyDescent="0.25">
      <c r="B614" s="89"/>
      <c r="C614" s="46" t="s">
        <v>151</v>
      </c>
      <c r="D614" s="47">
        <v>12</v>
      </c>
      <c r="E614" s="48">
        <v>1.6304347826086956E-3</v>
      </c>
    </row>
    <row r="615" spans="2:5" ht="15" customHeight="1" x14ac:dyDescent="0.25">
      <c r="B615" s="89"/>
      <c r="C615" s="46" t="s">
        <v>153</v>
      </c>
      <c r="D615" s="47">
        <v>1</v>
      </c>
      <c r="E615" s="48">
        <v>1.3586956521739131E-4</v>
      </c>
    </row>
    <row r="616" spans="2:5" ht="15" customHeight="1" x14ac:dyDescent="0.25">
      <c r="B616" s="89"/>
      <c r="C616" s="46" t="s">
        <v>156</v>
      </c>
      <c r="D616" s="47">
        <v>2</v>
      </c>
      <c r="E616" s="48">
        <v>2.7173913043478261E-4</v>
      </c>
    </row>
    <row r="617" spans="2:5" ht="15" customHeight="1" x14ac:dyDescent="0.25">
      <c r="B617" s="89"/>
      <c r="C617" s="46" t="s">
        <v>157</v>
      </c>
      <c r="D617" s="47">
        <v>1</v>
      </c>
      <c r="E617" s="48">
        <v>1.3586956521739131E-4</v>
      </c>
    </row>
    <row r="618" spans="2:5" ht="15" customHeight="1" x14ac:dyDescent="0.25">
      <c r="B618" s="90"/>
      <c r="C618" s="49" t="s">
        <v>63</v>
      </c>
      <c r="D618" s="50">
        <v>86</v>
      </c>
      <c r="E618" s="51">
        <v>1.1684782608695652E-2</v>
      </c>
    </row>
    <row r="619" spans="2:5" ht="15" customHeight="1" x14ac:dyDescent="0.25">
      <c r="B619" s="88" t="s">
        <v>116</v>
      </c>
      <c r="C619" s="46" t="s">
        <v>138</v>
      </c>
      <c r="D619" s="47">
        <v>1</v>
      </c>
      <c r="E619" s="48">
        <v>1.3586956521739131E-4</v>
      </c>
    </row>
    <row r="620" spans="2:5" ht="15" customHeight="1" x14ac:dyDescent="0.25">
      <c r="B620" s="89"/>
      <c r="C620" s="46" t="s">
        <v>159</v>
      </c>
      <c r="D620" s="47">
        <v>1</v>
      </c>
      <c r="E620" s="48">
        <v>1.3586956521739131E-4</v>
      </c>
    </row>
    <row r="621" spans="2:5" ht="15" customHeight="1" x14ac:dyDescent="0.25">
      <c r="B621" s="90"/>
      <c r="C621" s="49" t="s">
        <v>63</v>
      </c>
      <c r="D621" s="50">
        <v>2</v>
      </c>
      <c r="E621" s="51">
        <v>2.7173913043478261E-4</v>
      </c>
    </row>
    <row r="622" spans="2:5" ht="15" customHeight="1" x14ac:dyDescent="0.25">
      <c r="B622" s="88" t="s">
        <v>32</v>
      </c>
      <c r="C622" s="46" t="s">
        <v>137</v>
      </c>
      <c r="D622" s="47">
        <v>1</v>
      </c>
      <c r="E622" s="48">
        <v>1.3586956521739131E-4</v>
      </c>
    </row>
    <row r="623" spans="2:5" ht="15" customHeight="1" x14ac:dyDescent="0.25">
      <c r="B623" s="89"/>
      <c r="C623" s="46" t="s">
        <v>139</v>
      </c>
      <c r="D623" s="47">
        <v>1</v>
      </c>
      <c r="E623" s="48">
        <v>1.3586956521739131E-4</v>
      </c>
    </row>
    <row r="624" spans="2:5" ht="15" customHeight="1" x14ac:dyDescent="0.25">
      <c r="B624" s="89"/>
      <c r="C624" s="46" t="s">
        <v>140</v>
      </c>
      <c r="D624" s="47">
        <v>2</v>
      </c>
      <c r="E624" s="48">
        <v>2.7173913043478261E-4</v>
      </c>
    </row>
    <row r="625" spans="2:5" ht="15" customHeight="1" x14ac:dyDescent="0.25">
      <c r="B625" s="89"/>
      <c r="C625" s="46" t="s">
        <v>142</v>
      </c>
      <c r="D625" s="47">
        <v>1</v>
      </c>
      <c r="E625" s="48">
        <v>1.3586956521739131E-4</v>
      </c>
    </row>
    <row r="626" spans="2:5" ht="15" customHeight="1" x14ac:dyDescent="0.25">
      <c r="B626" s="89"/>
      <c r="C626" s="46" t="s">
        <v>143</v>
      </c>
      <c r="D626" s="47">
        <v>5</v>
      </c>
      <c r="E626" s="48">
        <v>6.793478260869565E-4</v>
      </c>
    </row>
    <row r="627" spans="2:5" ht="15" customHeight="1" x14ac:dyDescent="0.25">
      <c r="B627" s="89"/>
      <c r="C627" s="46" t="s">
        <v>144</v>
      </c>
      <c r="D627" s="47">
        <v>8</v>
      </c>
      <c r="E627" s="48">
        <v>1.0869565217391304E-3</v>
      </c>
    </row>
    <row r="628" spans="2:5" ht="15" customHeight="1" x14ac:dyDescent="0.25">
      <c r="B628" s="89"/>
      <c r="C628" s="46" t="s">
        <v>146</v>
      </c>
      <c r="D628" s="47">
        <v>1</v>
      </c>
      <c r="E628" s="48">
        <v>1.3586956521739131E-4</v>
      </c>
    </row>
    <row r="629" spans="2:5" ht="15" customHeight="1" x14ac:dyDescent="0.25">
      <c r="B629" s="89"/>
      <c r="C629" s="46" t="s">
        <v>147</v>
      </c>
      <c r="D629" s="47">
        <v>1</v>
      </c>
      <c r="E629" s="48">
        <v>1.3586956521739131E-4</v>
      </c>
    </row>
    <row r="630" spans="2:5" ht="15" customHeight="1" x14ac:dyDescent="0.25">
      <c r="B630" s="89"/>
      <c r="C630" s="46" t="s">
        <v>148</v>
      </c>
      <c r="D630" s="47">
        <v>21</v>
      </c>
      <c r="E630" s="48">
        <v>2.8532608695652174E-3</v>
      </c>
    </row>
    <row r="631" spans="2:5" ht="15" customHeight="1" x14ac:dyDescent="0.25">
      <c r="B631" s="89"/>
      <c r="C631" s="46" t="s">
        <v>150</v>
      </c>
      <c r="D631" s="47">
        <v>3</v>
      </c>
      <c r="E631" s="48">
        <v>4.0760869565217389E-4</v>
      </c>
    </row>
    <row r="632" spans="2:5" ht="15" customHeight="1" x14ac:dyDescent="0.25">
      <c r="B632" s="89"/>
      <c r="C632" s="46" t="s">
        <v>151</v>
      </c>
      <c r="D632" s="47">
        <v>5</v>
      </c>
      <c r="E632" s="48">
        <v>6.793478260869565E-4</v>
      </c>
    </row>
    <row r="633" spans="2:5" ht="15" customHeight="1" x14ac:dyDescent="0.25">
      <c r="B633" s="89"/>
      <c r="C633" s="46" t="s">
        <v>154</v>
      </c>
      <c r="D633" s="47">
        <v>1</v>
      </c>
      <c r="E633" s="48">
        <v>1.3586956521739131E-4</v>
      </c>
    </row>
    <row r="634" spans="2:5" ht="15" customHeight="1" x14ac:dyDescent="0.25">
      <c r="B634" s="89"/>
      <c r="C634" s="46" t="s">
        <v>157</v>
      </c>
      <c r="D634" s="47">
        <v>2</v>
      </c>
      <c r="E634" s="48">
        <v>2.7173913043478261E-4</v>
      </c>
    </row>
    <row r="635" spans="2:5" ht="15" customHeight="1" x14ac:dyDescent="0.25">
      <c r="B635" s="90"/>
      <c r="C635" s="49" t="s">
        <v>63</v>
      </c>
      <c r="D635" s="50">
        <v>52</v>
      </c>
      <c r="E635" s="51">
        <v>7.0652173913043478E-3</v>
      </c>
    </row>
    <row r="636" spans="2:5" ht="15" customHeight="1" x14ac:dyDescent="0.25">
      <c r="B636" s="88" t="s">
        <v>113</v>
      </c>
      <c r="C636" s="46" t="s">
        <v>149</v>
      </c>
      <c r="D636" s="47">
        <v>1</v>
      </c>
      <c r="E636" s="48">
        <v>1.3586956521739131E-4</v>
      </c>
    </row>
    <row r="637" spans="2:5" ht="15" customHeight="1" x14ac:dyDescent="0.25">
      <c r="B637" s="89"/>
      <c r="C637" s="46" t="s">
        <v>151</v>
      </c>
      <c r="D637" s="47">
        <v>1</v>
      </c>
      <c r="E637" s="48">
        <v>1.3586956521739131E-4</v>
      </c>
    </row>
    <row r="638" spans="2:5" ht="15" customHeight="1" x14ac:dyDescent="0.25">
      <c r="B638" s="89"/>
      <c r="C638" s="46" t="s">
        <v>157</v>
      </c>
      <c r="D638" s="47">
        <v>1</v>
      </c>
      <c r="E638" s="48">
        <v>1.3586956521739131E-4</v>
      </c>
    </row>
    <row r="639" spans="2:5" ht="15" customHeight="1" x14ac:dyDescent="0.25">
      <c r="B639" s="90"/>
      <c r="C639" s="49" t="s">
        <v>63</v>
      </c>
      <c r="D639" s="50">
        <v>3</v>
      </c>
      <c r="E639" s="51">
        <v>4.0760869565217389E-4</v>
      </c>
    </row>
    <row r="640" spans="2:5" ht="15" customHeight="1" x14ac:dyDescent="0.25">
      <c r="B640" s="92" t="s">
        <v>63</v>
      </c>
      <c r="C640" s="93"/>
      <c r="D640" s="52">
        <v>7360</v>
      </c>
      <c r="E640" s="53">
        <v>1</v>
      </c>
    </row>
    <row r="642" spans="2:2" ht="15" customHeight="1" x14ac:dyDescent="0.25">
      <c r="B642" s="30" t="s">
        <v>64</v>
      </c>
    </row>
    <row r="643" spans="2:2" ht="15" customHeight="1" x14ac:dyDescent="0.25">
      <c r="B643" s="31" t="s">
        <v>65</v>
      </c>
    </row>
    <row r="644" spans="2:2" ht="15" customHeight="1" x14ac:dyDescent="0.25">
      <c r="B644" s="32" t="s">
        <v>66</v>
      </c>
    </row>
    <row r="645" spans="2:2" ht="15" customHeight="1" x14ac:dyDescent="0.25">
      <c r="B645" s="30" t="s">
        <v>67</v>
      </c>
    </row>
    <row r="646" spans="2:2" ht="15" customHeight="1" x14ac:dyDescent="0.25">
      <c r="B646" s="30" t="s">
        <v>68</v>
      </c>
    </row>
  </sheetData>
  <mergeCells count="49">
    <mergeCell ref="B640:C640"/>
    <mergeCell ref="B571:B584"/>
    <mergeCell ref="B585:B602"/>
    <mergeCell ref="B603:B618"/>
    <mergeCell ref="B619:B621"/>
    <mergeCell ref="B622:B635"/>
    <mergeCell ref="B636:B639"/>
    <mergeCell ref="B554:B570"/>
    <mergeCell ref="B409:B424"/>
    <mergeCell ref="B425:B438"/>
    <mergeCell ref="B439:B447"/>
    <mergeCell ref="B448:B455"/>
    <mergeCell ref="B456:B472"/>
    <mergeCell ref="B473:B487"/>
    <mergeCell ref="B488:B494"/>
    <mergeCell ref="B495:B508"/>
    <mergeCell ref="B509:B525"/>
    <mergeCell ref="B526:B543"/>
    <mergeCell ref="B544:B553"/>
    <mergeCell ref="B398:B408"/>
    <mergeCell ref="B240:B256"/>
    <mergeCell ref="B257:B261"/>
    <mergeCell ref="B262:B279"/>
    <mergeCell ref="B280:B301"/>
    <mergeCell ref="B302:B325"/>
    <mergeCell ref="B326:B336"/>
    <mergeCell ref="B337:B348"/>
    <mergeCell ref="B349:B358"/>
    <mergeCell ref="B359:B371"/>
    <mergeCell ref="B372:B381"/>
    <mergeCell ref="B382:B397"/>
    <mergeCell ref="B223:B239"/>
    <mergeCell ref="B74:B81"/>
    <mergeCell ref="B82:B83"/>
    <mergeCell ref="B84:B105"/>
    <mergeCell ref="B106:B128"/>
    <mergeCell ref="B129:B130"/>
    <mergeCell ref="B131:B151"/>
    <mergeCell ref="B152:B164"/>
    <mergeCell ref="B165:B175"/>
    <mergeCell ref="B176:B185"/>
    <mergeCell ref="B186:B203"/>
    <mergeCell ref="B204:B222"/>
    <mergeCell ref="B70:B73"/>
    <mergeCell ref="B7:E8"/>
    <mergeCell ref="B10:B22"/>
    <mergeCell ref="B23:B40"/>
    <mergeCell ref="B41:B59"/>
    <mergeCell ref="B60:B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40" max="4" man="1"/>
    <brk id="83" max="4" man="1"/>
    <brk id="105" max="4" man="1"/>
    <brk id="130" max="4" man="1"/>
    <brk id="164" max="4" man="1"/>
    <brk id="203" max="4" man="1"/>
    <brk id="239" max="4" man="1"/>
    <brk id="279" max="4" man="1"/>
    <brk id="301" max="4" man="1"/>
    <brk id="336" max="4" man="1"/>
    <brk id="371" max="4" man="1"/>
    <brk id="408" max="4" man="1"/>
    <brk id="447" max="4" man="1"/>
    <brk id="487" max="4" man="1"/>
    <brk id="525" max="4" man="1"/>
    <brk id="553" max="4" man="1"/>
    <brk id="584" max="4" man="1"/>
    <brk id="62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12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4" t="s">
        <v>215</v>
      </c>
      <c r="C7" s="94"/>
      <c r="D7" s="94"/>
    </row>
    <row r="8" spans="1:4" s="14" customFormat="1" ht="15" customHeight="1" x14ac:dyDescent="0.2">
      <c r="B8" s="94"/>
      <c r="C8" s="94"/>
      <c r="D8" s="94"/>
    </row>
    <row r="9" spans="1:4" s="14" customFormat="1" ht="33" customHeight="1" x14ac:dyDescent="0.2">
      <c r="B9" s="94"/>
      <c r="C9" s="94"/>
      <c r="D9" s="94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169</v>
      </c>
      <c r="C11" s="19" t="s">
        <v>15</v>
      </c>
      <c r="D11" s="20" t="s">
        <v>16</v>
      </c>
    </row>
    <row r="12" spans="1:4" ht="15" customHeight="1" x14ac:dyDescent="0.25">
      <c r="B12" s="22" t="s">
        <v>216</v>
      </c>
      <c r="C12" s="23">
        <v>4563</v>
      </c>
      <c r="D12" s="24">
        <v>0.61997282608695647</v>
      </c>
    </row>
    <row r="13" spans="1:4" ht="15" customHeight="1" x14ac:dyDescent="0.25">
      <c r="B13" s="22" t="s">
        <v>217</v>
      </c>
      <c r="C13" s="23">
        <v>2797</v>
      </c>
      <c r="D13" s="24">
        <v>0.38002717391304347</v>
      </c>
    </row>
    <row r="14" spans="1:4" x14ac:dyDescent="0.25">
      <c r="B14" s="26" t="s">
        <v>172</v>
      </c>
      <c r="C14" s="27">
        <v>7360</v>
      </c>
      <c r="D14" s="28">
        <v>1</v>
      </c>
    </row>
    <row r="15" spans="1:4" s="25" customFormat="1" ht="15.75" x14ac:dyDescent="0.25">
      <c r="A15" s="21"/>
      <c r="C15" s="72"/>
      <c r="D15" s="72"/>
    </row>
    <row r="16" spans="1:4" s="25" customFormat="1" ht="15.75" x14ac:dyDescent="0.25">
      <c r="A16" s="21"/>
      <c r="B16" s="30" t="s">
        <v>64</v>
      </c>
      <c r="C16" s="72"/>
      <c r="D16" s="72"/>
    </row>
    <row r="17" spans="2:4" x14ac:dyDescent="0.25">
      <c r="B17" s="31" t="s">
        <v>65</v>
      </c>
      <c r="C17" s="73"/>
      <c r="D17" s="73"/>
    </row>
    <row r="18" spans="2:4" x14ac:dyDescent="0.25">
      <c r="B18" s="32" t="s">
        <v>66</v>
      </c>
      <c r="C18" s="74"/>
      <c r="D18" s="74"/>
    </row>
    <row r="19" spans="2:4" x14ac:dyDescent="0.25">
      <c r="B19" s="30" t="s">
        <v>67</v>
      </c>
    </row>
    <row r="20" spans="2:4" x14ac:dyDescent="0.25">
      <c r="B20" s="30" t="s">
        <v>68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5"/>
  <sheetViews>
    <sheetView showGridLines="0" view="pageBreakPreview" zoomScaleNormal="175" zoomScaleSheetLayoutView="100" workbookViewId="0">
      <selection activeCell="I10" sqref="I10"/>
    </sheetView>
  </sheetViews>
  <sheetFormatPr baseColWidth="10" defaultRowHeight="11.25" x14ac:dyDescent="0.2"/>
  <cols>
    <col min="1" max="1" width="5.7109375" style="14" customWidth="1"/>
    <col min="2" max="2" width="19" style="38" customWidth="1"/>
    <col min="3" max="3" width="14.7109375" style="38" customWidth="1"/>
    <col min="4" max="4" width="23.5703125" style="67" customWidth="1"/>
    <col min="5" max="5" width="15.140625" style="38" bestFit="1" customWidth="1"/>
    <col min="6" max="6" width="5.7109375" style="14" customWidth="1"/>
    <col min="7" max="16384" width="11.42578125" style="14"/>
  </cols>
  <sheetData>
    <row r="1" spans="1:6" s="55" customFormat="1" ht="15" x14ac:dyDescent="0.25">
      <c r="B1" s="33"/>
      <c r="C1" s="38"/>
    </row>
    <row r="2" spans="1:6" s="38" customFormat="1" x14ac:dyDescent="0.2">
      <c r="B2" s="56"/>
    </row>
    <row r="3" spans="1:6" ht="15" customHeight="1" x14ac:dyDescent="0.2">
      <c r="B3" s="57"/>
      <c r="C3" s="15"/>
      <c r="D3" s="14"/>
      <c r="F3" s="38"/>
    </row>
    <row r="4" spans="1:6" ht="30" customHeight="1" x14ac:dyDescent="0.2">
      <c r="B4" s="57"/>
      <c r="C4" s="15"/>
      <c r="D4" s="14"/>
      <c r="F4" s="38"/>
    </row>
    <row r="5" spans="1:6" ht="15" customHeight="1" x14ac:dyDescent="0.2">
      <c r="B5" s="57"/>
      <c r="C5" s="15"/>
      <c r="D5" s="14"/>
      <c r="F5" s="38"/>
    </row>
    <row r="6" spans="1:6" s="38" customFormat="1" x14ac:dyDescent="0.2">
      <c r="B6" s="34"/>
      <c r="C6" s="40"/>
    </row>
    <row r="7" spans="1:6" s="38" customFormat="1" x14ac:dyDescent="0.2">
      <c r="A7" s="33"/>
      <c r="B7" s="56"/>
      <c r="C7" s="33"/>
    </row>
    <row r="8" spans="1:6" s="55" customFormat="1" ht="15" customHeight="1" x14ac:dyDescent="0.25">
      <c r="B8" s="98" t="s">
        <v>168</v>
      </c>
      <c r="C8" s="98"/>
      <c r="D8" s="98"/>
      <c r="E8" s="98"/>
    </row>
    <row r="9" spans="1:6" s="55" customFormat="1" ht="15" customHeight="1" x14ac:dyDescent="0.25">
      <c r="A9" s="58"/>
      <c r="B9" s="98"/>
      <c r="C9" s="98"/>
      <c r="D9" s="98"/>
      <c r="E9" s="98"/>
      <c r="F9" s="59"/>
    </row>
    <row r="10" spans="1:6" s="55" customFormat="1" ht="15" customHeight="1" x14ac:dyDescent="0.25">
      <c r="A10" s="58"/>
      <c r="B10" s="99"/>
      <c r="C10" s="99"/>
      <c r="D10" s="99"/>
      <c r="E10" s="99"/>
      <c r="F10" s="58"/>
    </row>
    <row r="11" spans="1:6" s="55" customFormat="1" ht="36.950000000000003" customHeight="1" x14ac:dyDescent="0.25">
      <c r="B11" s="60" t="s">
        <v>70</v>
      </c>
      <c r="C11" s="60" t="s">
        <v>169</v>
      </c>
      <c r="D11" s="60" t="s">
        <v>15</v>
      </c>
      <c r="E11" s="60" t="s">
        <v>16</v>
      </c>
    </row>
    <row r="12" spans="1:6" ht="15" customHeight="1" x14ac:dyDescent="0.2">
      <c r="B12" s="95" t="s">
        <v>95</v>
      </c>
      <c r="C12" s="61" t="s">
        <v>170</v>
      </c>
      <c r="D12" s="23">
        <v>51</v>
      </c>
      <c r="E12" s="24">
        <v>6.9293478260869564E-3</v>
      </c>
    </row>
    <row r="13" spans="1:6" ht="15" customHeight="1" x14ac:dyDescent="0.2">
      <c r="B13" s="96"/>
      <c r="C13" s="61" t="s">
        <v>171</v>
      </c>
      <c r="D13" s="23">
        <v>24</v>
      </c>
      <c r="E13" s="24">
        <v>3.2608695652173911E-3</v>
      </c>
    </row>
    <row r="14" spans="1:6" ht="15" customHeight="1" x14ac:dyDescent="0.2">
      <c r="B14" s="97"/>
      <c r="C14" s="62" t="s">
        <v>63</v>
      </c>
      <c r="D14" s="63">
        <v>75</v>
      </c>
      <c r="E14" s="64">
        <v>1.0190217391304348E-2</v>
      </c>
    </row>
    <row r="15" spans="1:6" ht="15" customHeight="1" x14ac:dyDescent="0.2">
      <c r="B15" s="95" t="s">
        <v>78</v>
      </c>
      <c r="C15" s="61" t="s">
        <v>170</v>
      </c>
      <c r="D15" s="23">
        <v>141</v>
      </c>
      <c r="E15" s="24">
        <v>1.9157608695652174E-2</v>
      </c>
    </row>
    <row r="16" spans="1:6" ht="15" customHeight="1" x14ac:dyDescent="0.2">
      <c r="B16" s="96"/>
      <c r="C16" s="61" t="s">
        <v>171</v>
      </c>
      <c r="D16" s="23">
        <v>68</v>
      </c>
      <c r="E16" s="24">
        <v>9.2391304347826091E-3</v>
      </c>
    </row>
    <row r="17" spans="1:6" s="38" customFormat="1" ht="15" customHeight="1" x14ac:dyDescent="0.2">
      <c r="A17" s="14"/>
      <c r="B17" s="97"/>
      <c r="C17" s="62" t="s">
        <v>63</v>
      </c>
      <c r="D17" s="63">
        <v>209</v>
      </c>
      <c r="E17" s="64">
        <v>2.8396739130434782E-2</v>
      </c>
      <c r="F17" s="14"/>
    </row>
    <row r="18" spans="1:6" s="38" customFormat="1" ht="15" customHeight="1" x14ac:dyDescent="0.2">
      <c r="A18" s="14"/>
      <c r="B18" s="95" t="s">
        <v>81</v>
      </c>
      <c r="C18" s="61" t="s">
        <v>170</v>
      </c>
      <c r="D18" s="23">
        <v>106</v>
      </c>
      <c r="E18" s="24">
        <v>1.4402173913043478E-2</v>
      </c>
      <c r="F18" s="14"/>
    </row>
    <row r="19" spans="1:6" s="38" customFormat="1" ht="15" customHeight="1" x14ac:dyDescent="0.2">
      <c r="A19" s="14"/>
      <c r="B19" s="96"/>
      <c r="C19" s="61" t="s">
        <v>171</v>
      </c>
      <c r="D19" s="23">
        <v>52</v>
      </c>
      <c r="E19" s="24">
        <v>7.0652173913043478E-3</v>
      </c>
      <c r="F19" s="14"/>
    </row>
    <row r="20" spans="1:6" s="38" customFormat="1" ht="15" customHeight="1" x14ac:dyDescent="0.2">
      <c r="A20" s="14"/>
      <c r="B20" s="97"/>
      <c r="C20" s="62" t="s">
        <v>63</v>
      </c>
      <c r="D20" s="63">
        <v>158</v>
      </c>
      <c r="E20" s="64">
        <v>2.1467391304347827E-2</v>
      </c>
      <c r="F20" s="14"/>
    </row>
    <row r="21" spans="1:6" s="38" customFormat="1" ht="15" customHeight="1" x14ac:dyDescent="0.2">
      <c r="A21" s="14"/>
      <c r="B21" s="95" t="s">
        <v>102</v>
      </c>
      <c r="C21" s="61" t="s">
        <v>170</v>
      </c>
      <c r="D21" s="23">
        <v>25</v>
      </c>
      <c r="E21" s="24">
        <v>3.3967391304347825E-3</v>
      </c>
      <c r="F21" s="14"/>
    </row>
    <row r="22" spans="1:6" ht="13.5" x14ac:dyDescent="0.2">
      <c r="B22" s="96"/>
      <c r="C22" s="61" t="s">
        <v>171</v>
      </c>
      <c r="D22" s="23">
        <v>10</v>
      </c>
      <c r="E22" s="24">
        <v>1.358695652173913E-3</v>
      </c>
    </row>
    <row r="23" spans="1:6" ht="13.5" x14ac:dyDescent="0.2">
      <c r="B23" s="97"/>
      <c r="C23" s="62" t="s">
        <v>63</v>
      </c>
      <c r="D23" s="63">
        <v>35</v>
      </c>
      <c r="E23" s="64">
        <v>4.755434782608696E-3</v>
      </c>
    </row>
    <row r="24" spans="1:6" ht="13.5" x14ac:dyDescent="0.2">
      <c r="B24" s="95" t="s">
        <v>112</v>
      </c>
      <c r="C24" s="61" t="s">
        <v>170</v>
      </c>
      <c r="D24" s="23">
        <v>3</v>
      </c>
      <c r="E24" s="24">
        <v>4.0760869565217389E-4</v>
      </c>
    </row>
    <row r="25" spans="1:6" ht="13.5" x14ac:dyDescent="0.2">
      <c r="B25" s="96"/>
      <c r="C25" s="61" t="s">
        <v>171</v>
      </c>
      <c r="D25" s="23">
        <v>1</v>
      </c>
      <c r="E25" s="24">
        <v>1.3586956521739131E-4</v>
      </c>
    </row>
    <row r="26" spans="1:6" ht="13.5" x14ac:dyDescent="0.2">
      <c r="B26" s="97"/>
      <c r="C26" s="62" t="s">
        <v>63</v>
      </c>
      <c r="D26" s="63">
        <v>4</v>
      </c>
      <c r="E26" s="64">
        <v>5.4347826086956522E-4</v>
      </c>
    </row>
    <row r="27" spans="1:6" ht="13.5" x14ac:dyDescent="0.2">
      <c r="B27" s="95" t="s">
        <v>110</v>
      </c>
      <c r="C27" s="61" t="s">
        <v>170</v>
      </c>
      <c r="D27" s="23">
        <v>4</v>
      </c>
      <c r="E27" s="24">
        <v>5.4347826086956522E-4</v>
      </c>
    </row>
    <row r="28" spans="1:6" ht="13.5" x14ac:dyDescent="0.2">
      <c r="B28" s="96"/>
      <c r="C28" s="61" t="s">
        <v>171</v>
      </c>
      <c r="D28" s="23">
        <v>4</v>
      </c>
      <c r="E28" s="24">
        <v>5.4347826086956522E-4</v>
      </c>
    </row>
    <row r="29" spans="1:6" ht="13.5" x14ac:dyDescent="0.2">
      <c r="B29" s="97"/>
      <c r="C29" s="62" t="s">
        <v>63</v>
      </c>
      <c r="D29" s="63">
        <v>8</v>
      </c>
      <c r="E29" s="64">
        <v>1.0869565217391304E-3</v>
      </c>
    </row>
    <row r="30" spans="1:6" ht="13.5" x14ac:dyDescent="0.2">
      <c r="B30" s="95" t="s">
        <v>161</v>
      </c>
      <c r="C30" s="61" t="s">
        <v>170</v>
      </c>
      <c r="D30" s="23">
        <v>2</v>
      </c>
      <c r="E30" s="24">
        <v>2.7173913043478261E-4</v>
      </c>
    </row>
    <row r="31" spans="1:6" ht="13.5" x14ac:dyDescent="0.2">
      <c r="B31" s="97"/>
      <c r="C31" s="62" t="s">
        <v>63</v>
      </c>
      <c r="D31" s="63">
        <v>2</v>
      </c>
      <c r="E31" s="64">
        <v>2.7173913043478261E-4</v>
      </c>
    </row>
    <row r="32" spans="1:6" ht="13.5" x14ac:dyDescent="0.2">
      <c r="B32" s="95" t="s">
        <v>71</v>
      </c>
      <c r="C32" s="61" t="s">
        <v>170</v>
      </c>
      <c r="D32" s="23">
        <v>816</v>
      </c>
      <c r="E32" s="24">
        <v>0.1108695652173913</v>
      </c>
    </row>
    <row r="33" spans="2:5" ht="13.5" x14ac:dyDescent="0.2">
      <c r="B33" s="96"/>
      <c r="C33" s="61" t="s">
        <v>171</v>
      </c>
      <c r="D33" s="23">
        <v>455</v>
      </c>
      <c r="E33" s="24">
        <v>6.182065217391304E-2</v>
      </c>
    </row>
    <row r="34" spans="2:5" ht="13.5" x14ac:dyDescent="0.2">
      <c r="B34" s="97"/>
      <c r="C34" s="62" t="s">
        <v>63</v>
      </c>
      <c r="D34" s="63">
        <v>1271</v>
      </c>
      <c r="E34" s="64">
        <v>0.17269021739130436</v>
      </c>
    </row>
    <row r="35" spans="2:5" ht="13.5" x14ac:dyDescent="0.2">
      <c r="B35" s="95" t="s">
        <v>74</v>
      </c>
      <c r="C35" s="61" t="s">
        <v>170</v>
      </c>
      <c r="D35" s="23">
        <v>349</v>
      </c>
      <c r="E35" s="24">
        <v>4.7418478260869562E-2</v>
      </c>
    </row>
    <row r="36" spans="2:5" ht="13.5" x14ac:dyDescent="0.2">
      <c r="B36" s="96"/>
      <c r="C36" s="61" t="s">
        <v>171</v>
      </c>
      <c r="D36" s="23">
        <v>191</v>
      </c>
      <c r="E36" s="24">
        <v>2.5951086956521738E-2</v>
      </c>
    </row>
    <row r="37" spans="2:5" ht="13.5" x14ac:dyDescent="0.2">
      <c r="B37" s="97"/>
      <c r="C37" s="62" t="s">
        <v>63</v>
      </c>
      <c r="D37" s="63">
        <v>540</v>
      </c>
      <c r="E37" s="64">
        <v>7.3369565217391311E-2</v>
      </c>
    </row>
    <row r="38" spans="2:5" ht="13.5" x14ac:dyDescent="0.2">
      <c r="B38" s="95" t="s">
        <v>163</v>
      </c>
      <c r="C38" s="61" t="s">
        <v>171</v>
      </c>
      <c r="D38" s="23">
        <v>2</v>
      </c>
      <c r="E38" s="24">
        <v>2.7173913043478261E-4</v>
      </c>
    </row>
    <row r="39" spans="2:5" ht="13.5" x14ac:dyDescent="0.2">
      <c r="B39" s="97"/>
      <c r="C39" s="62" t="s">
        <v>63</v>
      </c>
      <c r="D39" s="63">
        <v>2</v>
      </c>
      <c r="E39" s="64">
        <v>2.7173913043478261E-4</v>
      </c>
    </row>
    <row r="40" spans="2:5" ht="13.5" x14ac:dyDescent="0.2">
      <c r="B40" s="95" t="s">
        <v>75</v>
      </c>
      <c r="C40" s="61" t="s">
        <v>170</v>
      </c>
      <c r="D40" s="23">
        <v>316</v>
      </c>
      <c r="E40" s="24">
        <v>4.2934782608695654E-2</v>
      </c>
    </row>
    <row r="41" spans="2:5" ht="13.5" x14ac:dyDescent="0.2">
      <c r="B41" s="96"/>
      <c r="C41" s="61" t="s">
        <v>171</v>
      </c>
      <c r="D41" s="23">
        <v>212</v>
      </c>
      <c r="E41" s="24">
        <v>2.8804347826086957E-2</v>
      </c>
    </row>
    <row r="42" spans="2:5" ht="13.5" x14ac:dyDescent="0.2">
      <c r="B42" s="97"/>
      <c r="C42" s="62" t="s">
        <v>63</v>
      </c>
      <c r="D42" s="63">
        <v>528</v>
      </c>
      <c r="E42" s="64">
        <v>7.1739130434782611E-2</v>
      </c>
    </row>
    <row r="43" spans="2:5" ht="13.5" x14ac:dyDescent="0.2">
      <c r="B43" s="95" t="s">
        <v>96</v>
      </c>
      <c r="C43" s="61" t="s">
        <v>170</v>
      </c>
      <c r="D43" s="23">
        <v>45</v>
      </c>
      <c r="E43" s="24">
        <v>6.114130434782609E-3</v>
      </c>
    </row>
    <row r="44" spans="2:5" ht="13.5" x14ac:dyDescent="0.2">
      <c r="B44" s="96"/>
      <c r="C44" s="61" t="s">
        <v>171</v>
      </c>
      <c r="D44" s="23">
        <v>26</v>
      </c>
      <c r="E44" s="24">
        <v>3.5326086956521739E-3</v>
      </c>
    </row>
    <row r="45" spans="2:5" ht="13.5" x14ac:dyDescent="0.2">
      <c r="B45" s="97"/>
      <c r="C45" s="62" t="s">
        <v>63</v>
      </c>
      <c r="D45" s="63">
        <v>71</v>
      </c>
      <c r="E45" s="64">
        <v>9.6467391304347824E-3</v>
      </c>
    </row>
    <row r="46" spans="2:5" ht="13.5" x14ac:dyDescent="0.2">
      <c r="B46" s="95" t="s">
        <v>103</v>
      </c>
      <c r="C46" s="61" t="s">
        <v>170</v>
      </c>
      <c r="D46" s="23">
        <v>13</v>
      </c>
      <c r="E46" s="24">
        <v>1.766304347826087E-3</v>
      </c>
    </row>
    <row r="47" spans="2:5" ht="13.5" x14ac:dyDescent="0.2">
      <c r="B47" s="96"/>
      <c r="C47" s="61" t="s">
        <v>171</v>
      </c>
      <c r="D47" s="23">
        <v>20</v>
      </c>
      <c r="E47" s="24">
        <v>2.717391304347826E-3</v>
      </c>
    </row>
    <row r="48" spans="2:5" ht="13.5" x14ac:dyDescent="0.2">
      <c r="B48" s="97"/>
      <c r="C48" s="62" t="s">
        <v>63</v>
      </c>
      <c r="D48" s="63">
        <v>33</v>
      </c>
      <c r="E48" s="64">
        <v>4.4836956521739132E-3</v>
      </c>
    </row>
    <row r="49" spans="2:5" ht="13.5" x14ac:dyDescent="0.2">
      <c r="B49" s="95" t="s">
        <v>108</v>
      </c>
      <c r="C49" s="61" t="s">
        <v>170</v>
      </c>
      <c r="D49" s="23">
        <v>13</v>
      </c>
      <c r="E49" s="24">
        <v>1.766304347826087E-3</v>
      </c>
    </row>
    <row r="50" spans="2:5" ht="13.5" x14ac:dyDescent="0.2">
      <c r="B50" s="96"/>
      <c r="C50" s="61" t="s">
        <v>171</v>
      </c>
      <c r="D50" s="23">
        <v>3</v>
      </c>
      <c r="E50" s="24">
        <v>4.0760869565217389E-4</v>
      </c>
    </row>
    <row r="51" spans="2:5" ht="13.5" x14ac:dyDescent="0.2">
      <c r="B51" s="97"/>
      <c r="C51" s="62" t="s">
        <v>63</v>
      </c>
      <c r="D51" s="63">
        <v>16</v>
      </c>
      <c r="E51" s="64">
        <v>2.1739130434782609E-3</v>
      </c>
    </row>
    <row r="52" spans="2:5" ht="13.5" x14ac:dyDescent="0.2">
      <c r="B52" s="95" t="s">
        <v>84</v>
      </c>
      <c r="C52" s="61" t="s">
        <v>170</v>
      </c>
      <c r="D52" s="23">
        <v>94</v>
      </c>
      <c r="E52" s="24">
        <v>1.2771739130434783E-2</v>
      </c>
    </row>
    <row r="53" spans="2:5" ht="13.5" x14ac:dyDescent="0.2">
      <c r="B53" s="96"/>
      <c r="C53" s="61" t="s">
        <v>171</v>
      </c>
      <c r="D53" s="23">
        <v>50</v>
      </c>
      <c r="E53" s="24">
        <v>6.793478260869565E-3</v>
      </c>
    </row>
    <row r="54" spans="2:5" ht="13.5" x14ac:dyDescent="0.2">
      <c r="B54" s="97"/>
      <c r="C54" s="62" t="s">
        <v>63</v>
      </c>
      <c r="D54" s="63">
        <v>144</v>
      </c>
      <c r="E54" s="64">
        <v>1.9565217391304349E-2</v>
      </c>
    </row>
    <row r="55" spans="2:5" ht="13.5" x14ac:dyDescent="0.2">
      <c r="B55" s="95" t="s">
        <v>76</v>
      </c>
      <c r="C55" s="61" t="s">
        <v>170</v>
      </c>
      <c r="D55" s="23">
        <v>311</v>
      </c>
      <c r="E55" s="24">
        <v>4.2255434782608695E-2</v>
      </c>
    </row>
    <row r="56" spans="2:5" ht="13.5" x14ac:dyDescent="0.2">
      <c r="B56" s="96"/>
      <c r="C56" s="61" t="s">
        <v>171</v>
      </c>
      <c r="D56" s="23">
        <v>176</v>
      </c>
      <c r="E56" s="24">
        <v>2.391304347826087E-2</v>
      </c>
    </row>
    <row r="57" spans="2:5" ht="13.5" x14ac:dyDescent="0.2">
      <c r="B57" s="97"/>
      <c r="C57" s="62" t="s">
        <v>63</v>
      </c>
      <c r="D57" s="63">
        <v>487</v>
      </c>
      <c r="E57" s="64">
        <v>6.6168478260869565E-2</v>
      </c>
    </row>
    <row r="58" spans="2:5" ht="13.5" x14ac:dyDescent="0.2">
      <c r="B58" s="95" t="s">
        <v>164</v>
      </c>
      <c r="C58" s="61" t="s">
        <v>170</v>
      </c>
      <c r="D58" s="23">
        <v>89</v>
      </c>
      <c r="E58" s="24">
        <v>1.2092391304347826E-2</v>
      </c>
    </row>
    <row r="59" spans="2:5" ht="13.5" x14ac:dyDescent="0.2">
      <c r="B59" s="96"/>
      <c r="C59" s="61" t="s">
        <v>171</v>
      </c>
      <c r="D59" s="23">
        <v>59</v>
      </c>
      <c r="E59" s="24">
        <v>8.0163043478260875E-3</v>
      </c>
    </row>
    <row r="60" spans="2:5" ht="13.5" x14ac:dyDescent="0.2">
      <c r="B60" s="97"/>
      <c r="C60" s="62" t="s">
        <v>63</v>
      </c>
      <c r="D60" s="63">
        <v>148</v>
      </c>
      <c r="E60" s="64">
        <v>2.0108695652173911E-2</v>
      </c>
    </row>
    <row r="61" spans="2:5" ht="13.5" x14ac:dyDescent="0.2">
      <c r="B61" s="95" t="s">
        <v>80</v>
      </c>
      <c r="C61" s="61" t="s">
        <v>170</v>
      </c>
      <c r="D61" s="23">
        <v>83</v>
      </c>
      <c r="E61" s="24">
        <v>1.1277173913043479E-2</v>
      </c>
    </row>
    <row r="62" spans="2:5" ht="13.5" x14ac:dyDescent="0.2">
      <c r="B62" s="96"/>
      <c r="C62" s="61" t="s">
        <v>171</v>
      </c>
      <c r="D62" s="23">
        <v>78</v>
      </c>
      <c r="E62" s="24">
        <v>1.0597826086956521E-2</v>
      </c>
    </row>
    <row r="63" spans="2:5" ht="13.5" x14ac:dyDescent="0.2">
      <c r="B63" s="97"/>
      <c r="C63" s="62" t="s">
        <v>63</v>
      </c>
      <c r="D63" s="63">
        <v>161</v>
      </c>
      <c r="E63" s="64">
        <v>2.1874999999999999E-2</v>
      </c>
    </row>
    <row r="64" spans="2:5" ht="13.5" x14ac:dyDescent="0.2">
      <c r="B64" s="95" t="s">
        <v>109</v>
      </c>
      <c r="C64" s="61" t="s">
        <v>170</v>
      </c>
      <c r="D64" s="23">
        <v>3</v>
      </c>
      <c r="E64" s="24">
        <v>4.0760869565217389E-4</v>
      </c>
    </row>
    <row r="65" spans="2:5" ht="13.5" x14ac:dyDescent="0.2">
      <c r="B65" s="96"/>
      <c r="C65" s="61" t="s">
        <v>171</v>
      </c>
      <c r="D65" s="23">
        <v>6</v>
      </c>
      <c r="E65" s="24">
        <v>8.1521739130434778E-4</v>
      </c>
    </row>
    <row r="66" spans="2:5" ht="13.5" x14ac:dyDescent="0.2">
      <c r="B66" s="97"/>
      <c r="C66" s="62" t="s">
        <v>63</v>
      </c>
      <c r="D66" s="63">
        <v>9</v>
      </c>
      <c r="E66" s="64">
        <v>1.2228260869565218E-3</v>
      </c>
    </row>
    <row r="67" spans="2:5" ht="13.5" x14ac:dyDescent="0.2">
      <c r="B67" s="95" t="s">
        <v>82</v>
      </c>
      <c r="C67" s="61" t="s">
        <v>170</v>
      </c>
      <c r="D67" s="23">
        <v>90</v>
      </c>
      <c r="E67" s="24">
        <v>1.2228260869565218E-2</v>
      </c>
    </row>
    <row r="68" spans="2:5" ht="13.5" x14ac:dyDescent="0.2">
      <c r="B68" s="96"/>
      <c r="C68" s="61" t="s">
        <v>171</v>
      </c>
      <c r="D68" s="23">
        <v>60</v>
      </c>
      <c r="E68" s="24">
        <v>8.152173913043478E-3</v>
      </c>
    </row>
    <row r="69" spans="2:5" ht="13.5" x14ac:dyDescent="0.2">
      <c r="B69" s="97"/>
      <c r="C69" s="62" t="s">
        <v>63</v>
      </c>
      <c r="D69" s="63">
        <v>150</v>
      </c>
      <c r="E69" s="64">
        <v>2.0380434782608696E-2</v>
      </c>
    </row>
    <row r="70" spans="2:5" ht="13.5" x14ac:dyDescent="0.2">
      <c r="B70" s="95" t="s">
        <v>72</v>
      </c>
      <c r="C70" s="61" t="s">
        <v>170</v>
      </c>
      <c r="D70" s="23">
        <v>421</v>
      </c>
      <c r="E70" s="24">
        <v>5.7201086956521742E-2</v>
      </c>
    </row>
    <row r="71" spans="2:5" ht="13.5" x14ac:dyDescent="0.2">
      <c r="B71" s="96"/>
      <c r="C71" s="61" t="s">
        <v>171</v>
      </c>
      <c r="D71" s="23">
        <v>292</v>
      </c>
      <c r="E71" s="24">
        <v>3.9673913043478261E-2</v>
      </c>
    </row>
    <row r="72" spans="2:5" ht="13.5" x14ac:dyDescent="0.2">
      <c r="B72" s="97"/>
      <c r="C72" s="62" t="s">
        <v>63</v>
      </c>
      <c r="D72" s="63">
        <v>713</v>
      </c>
      <c r="E72" s="64">
        <v>9.6875000000000003E-2</v>
      </c>
    </row>
    <row r="73" spans="2:5" ht="13.5" x14ac:dyDescent="0.2">
      <c r="B73" s="95" t="s">
        <v>165</v>
      </c>
      <c r="C73" s="61" t="s">
        <v>170</v>
      </c>
      <c r="D73" s="23">
        <v>397</v>
      </c>
      <c r="E73" s="24">
        <v>5.3940217391304349E-2</v>
      </c>
    </row>
    <row r="74" spans="2:5" ht="13.5" x14ac:dyDescent="0.2">
      <c r="B74" s="96"/>
      <c r="C74" s="61" t="s">
        <v>171</v>
      </c>
      <c r="D74" s="23">
        <v>299</v>
      </c>
      <c r="E74" s="24">
        <v>4.0625000000000001E-2</v>
      </c>
    </row>
    <row r="75" spans="2:5" ht="13.5" x14ac:dyDescent="0.2">
      <c r="B75" s="97"/>
      <c r="C75" s="62" t="s">
        <v>63</v>
      </c>
      <c r="D75" s="63">
        <v>696</v>
      </c>
      <c r="E75" s="64">
        <v>9.4565217391304343E-2</v>
      </c>
    </row>
    <row r="76" spans="2:5" ht="13.5" x14ac:dyDescent="0.2">
      <c r="B76" s="95" t="s">
        <v>166</v>
      </c>
      <c r="C76" s="61" t="s">
        <v>170</v>
      </c>
      <c r="D76" s="23">
        <v>22</v>
      </c>
      <c r="E76" s="24">
        <v>2.9891304347826088E-3</v>
      </c>
    </row>
    <row r="77" spans="2:5" ht="13.5" x14ac:dyDescent="0.2">
      <c r="B77" s="96"/>
      <c r="C77" s="61" t="s">
        <v>171</v>
      </c>
      <c r="D77" s="23">
        <v>21</v>
      </c>
      <c r="E77" s="24">
        <v>2.8532608695652174E-3</v>
      </c>
    </row>
    <row r="78" spans="2:5" ht="13.5" x14ac:dyDescent="0.2">
      <c r="B78" s="97"/>
      <c r="C78" s="62" t="s">
        <v>63</v>
      </c>
      <c r="D78" s="63">
        <v>43</v>
      </c>
      <c r="E78" s="64">
        <v>5.8423913043478262E-3</v>
      </c>
    </row>
    <row r="79" spans="2:5" ht="13.5" x14ac:dyDescent="0.2">
      <c r="B79" s="95" t="s">
        <v>97</v>
      </c>
      <c r="C79" s="61" t="s">
        <v>170</v>
      </c>
      <c r="D79" s="23">
        <v>39</v>
      </c>
      <c r="E79" s="24">
        <v>5.2989130434782606E-3</v>
      </c>
    </row>
    <row r="80" spans="2:5" ht="13.5" x14ac:dyDescent="0.2">
      <c r="B80" s="96"/>
      <c r="C80" s="61" t="s">
        <v>171</v>
      </c>
      <c r="D80" s="23">
        <v>17</v>
      </c>
      <c r="E80" s="24">
        <v>2.3097826086956523E-3</v>
      </c>
    </row>
    <row r="81" spans="2:5" ht="13.5" x14ac:dyDescent="0.2">
      <c r="B81" s="97"/>
      <c r="C81" s="62" t="s">
        <v>63</v>
      </c>
      <c r="D81" s="63">
        <v>56</v>
      </c>
      <c r="E81" s="64">
        <v>7.6086956521739134E-3</v>
      </c>
    </row>
    <row r="82" spans="2:5" ht="13.5" x14ac:dyDescent="0.2">
      <c r="B82" s="95" t="s">
        <v>100</v>
      </c>
      <c r="C82" s="61" t="s">
        <v>170</v>
      </c>
      <c r="D82" s="23">
        <v>20</v>
      </c>
      <c r="E82" s="24">
        <v>2.717391304347826E-3</v>
      </c>
    </row>
    <row r="83" spans="2:5" ht="13.5" x14ac:dyDescent="0.2">
      <c r="B83" s="96"/>
      <c r="C83" s="61" t="s">
        <v>171</v>
      </c>
      <c r="D83" s="23">
        <v>20</v>
      </c>
      <c r="E83" s="24">
        <v>2.717391304347826E-3</v>
      </c>
    </row>
    <row r="84" spans="2:5" ht="13.5" x14ac:dyDescent="0.2">
      <c r="B84" s="97"/>
      <c r="C84" s="62" t="s">
        <v>63</v>
      </c>
      <c r="D84" s="63">
        <v>40</v>
      </c>
      <c r="E84" s="64">
        <v>5.434782608695652E-3</v>
      </c>
    </row>
    <row r="85" spans="2:5" ht="13.5" x14ac:dyDescent="0.2">
      <c r="B85" s="95" t="s">
        <v>105</v>
      </c>
      <c r="C85" s="61" t="s">
        <v>170</v>
      </c>
      <c r="D85" s="23">
        <v>22</v>
      </c>
      <c r="E85" s="24">
        <v>2.9891304347826088E-3</v>
      </c>
    </row>
    <row r="86" spans="2:5" ht="13.5" x14ac:dyDescent="0.2">
      <c r="B86" s="96"/>
      <c r="C86" s="61" t="s">
        <v>171</v>
      </c>
      <c r="D86" s="23">
        <v>9</v>
      </c>
      <c r="E86" s="24">
        <v>1.2228260869565218E-3</v>
      </c>
    </row>
    <row r="87" spans="2:5" ht="13.5" x14ac:dyDescent="0.2">
      <c r="B87" s="97"/>
      <c r="C87" s="62" t="s">
        <v>63</v>
      </c>
      <c r="D87" s="63">
        <v>31</v>
      </c>
      <c r="E87" s="64">
        <v>4.2119565217391304E-3</v>
      </c>
    </row>
    <row r="88" spans="2:5" ht="13.5" x14ac:dyDescent="0.2">
      <c r="B88" s="95" t="s">
        <v>107</v>
      </c>
      <c r="C88" s="61" t="s">
        <v>170</v>
      </c>
      <c r="D88" s="23">
        <v>14</v>
      </c>
      <c r="E88" s="24">
        <v>1.9021739130434783E-3</v>
      </c>
    </row>
    <row r="89" spans="2:5" ht="13.5" x14ac:dyDescent="0.2">
      <c r="B89" s="96"/>
      <c r="C89" s="61" t="s">
        <v>171</v>
      </c>
      <c r="D89" s="23">
        <v>9</v>
      </c>
      <c r="E89" s="24">
        <v>1.2228260869565218E-3</v>
      </c>
    </row>
    <row r="90" spans="2:5" ht="13.5" x14ac:dyDescent="0.2">
      <c r="B90" s="97"/>
      <c r="C90" s="62" t="s">
        <v>63</v>
      </c>
      <c r="D90" s="63">
        <v>23</v>
      </c>
      <c r="E90" s="64">
        <v>3.1250000000000002E-3</v>
      </c>
    </row>
    <row r="91" spans="2:5" ht="13.5" x14ac:dyDescent="0.2">
      <c r="B91" s="95" t="s">
        <v>88</v>
      </c>
      <c r="C91" s="61" t="s">
        <v>170</v>
      </c>
      <c r="D91" s="23">
        <v>75</v>
      </c>
      <c r="E91" s="24">
        <v>1.0190217391304348E-2</v>
      </c>
    </row>
    <row r="92" spans="2:5" ht="13.5" x14ac:dyDescent="0.2">
      <c r="B92" s="96"/>
      <c r="C92" s="61" t="s">
        <v>171</v>
      </c>
      <c r="D92" s="23">
        <v>36</v>
      </c>
      <c r="E92" s="24">
        <v>4.8913043478260873E-3</v>
      </c>
    </row>
    <row r="93" spans="2:5" ht="13.5" x14ac:dyDescent="0.2">
      <c r="B93" s="97"/>
      <c r="C93" s="62" t="s">
        <v>63</v>
      </c>
      <c r="D93" s="63">
        <v>111</v>
      </c>
      <c r="E93" s="64">
        <v>1.5081521739130434E-2</v>
      </c>
    </row>
    <row r="94" spans="2:5" ht="13.5" x14ac:dyDescent="0.2">
      <c r="B94" s="95" t="s">
        <v>87</v>
      </c>
      <c r="C94" s="61" t="s">
        <v>170</v>
      </c>
      <c r="D94" s="23">
        <v>86</v>
      </c>
      <c r="E94" s="24">
        <v>1.1684782608695652E-2</v>
      </c>
    </row>
    <row r="95" spans="2:5" ht="13.5" x14ac:dyDescent="0.2">
      <c r="B95" s="96"/>
      <c r="C95" s="61" t="s">
        <v>171</v>
      </c>
      <c r="D95" s="23">
        <v>33</v>
      </c>
      <c r="E95" s="24">
        <v>4.4836956521739132E-3</v>
      </c>
    </row>
    <row r="96" spans="2:5" ht="13.5" x14ac:dyDescent="0.2">
      <c r="B96" s="97"/>
      <c r="C96" s="62" t="s">
        <v>63</v>
      </c>
      <c r="D96" s="63">
        <v>119</v>
      </c>
      <c r="E96" s="64">
        <v>1.6168478260869566E-2</v>
      </c>
    </row>
    <row r="97" spans="2:5" ht="13.5" x14ac:dyDescent="0.2">
      <c r="B97" s="95" t="s">
        <v>91</v>
      </c>
      <c r="C97" s="61" t="s">
        <v>170</v>
      </c>
      <c r="D97" s="23">
        <v>56</v>
      </c>
      <c r="E97" s="24">
        <v>7.6086956521739134E-3</v>
      </c>
    </row>
    <row r="98" spans="2:5" ht="13.5" x14ac:dyDescent="0.2">
      <c r="B98" s="96"/>
      <c r="C98" s="61" t="s">
        <v>171</v>
      </c>
      <c r="D98" s="23">
        <v>37</v>
      </c>
      <c r="E98" s="24">
        <v>5.0271739130434779E-3</v>
      </c>
    </row>
    <row r="99" spans="2:5" ht="13.5" x14ac:dyDescent="0.2">
      <c r="B99" s="97"/>
      <c r="C99" s="62" t="s">
        <v>63</v>
      </c>
      <c r="D99" s="63">
        <v>93</v>
      </c>
      <c r="E99" s="64">
        <v>1.2635869565217391E-2</v>
      </c>
    </row>
    <row r="100" spans="2:5" ht="13.5" x14ac:dyDescent="0.2">
      <c r="B100" s="95" t="s">
        <v>98</v>
      </c>
      <c r="C100" s="61" t="s">
        <v>170</v>
      </c>
      <c r="D100" s="23">
        <v>34</v>
      </c>
      <c r="E100" s="24">
        <v>4.6195652173913046E-3</v>
      </c>
    </row>
    <row r="101" spans="2:5" ht="13.5" x14ac:dyDescent="0.2">
      <c r="B101" s="96"/>
      <c r="C101" s="61" t="s">
        <v>171</v>
      </c>
      <c r="D101" s="23">
        <v>11</v>
      </c>
      <c r="E101" s="24">
        <v>1.4945652173913044E-3</v>
      </c>
    </row>
    <row r="102" spans="2:5" ht="13.5" x14ac:dyDescent="0.2">
      <c r="B102" s="97"/>
      <c r="C102" s="62" t="s">
        <v>63</v>
      </c>
      <c r="D102" s="63">
        <v>45</v>
      </c>
      <c r="E102" s="64">
        <v>6.114130434782609E-3</v>
      </c>
    </row>
    <row r="103" spans="2:5" ht="13.5" x14ac:dyDescent="0.2">
      <c r="B103" s="95" t="s">
        <v>104</v>
      </c>
      <c r="C103" s="61" t="s">
        <v>170</v>
      </c>
      <c r="D103" s="23">
        <v>20</v>
      </c>
      <c r="E103" s="24">
        <v>2.717391304347826E-3</v>
      </c>
    </row>
    <row r="104" spans="2:5" ht="13.5" x14ac:dyDescent="0.2">
      <c r="B104" s="96"/>
      <c r="C104" s="61" t="s">
        <v>171</v>
      </c>
      <c r="D104" s="23">
        <v>12</v>
      </c>
      <c r="E104" s="24">
        <v>1.6304347826086956E-3</v>
      </c>
    </row>
    <row r="105" spans="2:5" ht="13.5" x14ac:dyDescent="0.2">
      <c r="B105" s="97"/>
      <c r="C105" s="62" t="s">
        <v>63</v>
      </c>
      <c r="D105" s="63">
        <v>32</v>
      </c>
      <c r="E105" s="64">
        <v>4.3478260869565218E-3</v>
      </c>
    </row>
    <row r="106" spans="2:5" ht="13.5" x14ac:dyDescent="0.2">
      <c r="B106" s="95" t="s">
        <v>111</v>
      </c>
      <c r="C106" s="61" t="s">
        <v>170</v>
      </c>
      <c r="D106" s="23">
        <v>7</v>
      </c>
      <c r="E106" s="24">
        <v>9.5108695652173917E-4</v>
      </c>
    </row>
    <row r="107" spans="2:5" ht="13.5" x14ac:dyDescent="0.2">
      <c r="B107" s="96"/>
      <c r="C107" s="61" t="s">
        <v>171</v>
      </c>
      <c r="D107" s="23">
        <v>1</v>
      </c>
      <c r="E107" s="24">
        <v>1.3586956521739131E-4</v>
      </c>
    </row>
    <row r="108" spans="2:5" ht="13.5" x14ac:dyDescent="0.2">
      <c r="B108" s="97"/>
      <c r="C108" s="62" t="s">
        <v>63</v>
      </c>
      <c r="D108" s="63">
        <v>8</v>
      </c>
      <c r="E108" s="64">
        <v>1.0869565217391304E-3</v>
      </c>
    </row>
    <row r="109" spans="2:5" ht="13.5" x14ac:dyDescent="0.2">
      <c r="B109" s="95" t="s">
        <v>79</v>
      </c>
      <c r="C109" s="61" t="s">
        <v>170</v>
      </c>
      <c r="D109" s="23">
        <v>128</v>
      </c>
      <c r="E109" s="24">
        <v>1.7391304347826087E-2</v>
      </c>
    </row>
    <row r="110" spans="2:5" ht="13.5" x14ac:dyDescent="0.2">
      <c r="B110" s="96"/>
      <c r="C110" s="61" t="s">
        <v>171</v>
      </c>
      <c r="D110" s="23">
        <v>54</v>
      </c>
      <c r="E110" s="24">
        <v>7.3369565217391306E-3</v>
      </c>
    </row>
    <row r="111" spans="2:5" ht="13.5" x14ac:dyDescent="0.2">
      <c r="B111" s="97"/>
      <c r="C111" s="62" t="s">
        <v>63</v>
      </c>
      <c r="D111" s="63">
        <v>182</v>
      </c>
      <c r="E111" s="64">
        <v>2.4728260869565217E-2</v>
      </c>
    </row>
    <row r="112" spans="2:5" ht="13.5" x14ac:dyDescent="0.2">
      <c r="B112" s="95" t="s">
        <v>89</v>
      </c>
      <c r="C112" s="61" t="s">
        <v>170</v>
      </c>
      <c r="D112" s="23">
        <v>61</v>
      </c>
      <c r="E112" s="24">
        <v>8.2880434782608703E-3</v>
      </c>
    </row>
    <row r="113" spans="2:5" ht="13.5" x14ac:dyDescent="0.2">
      <c r="B113" s="96"/>
      <c r="C113" s="61" t="s">
        <v>171</v>
      </c>
      <c r="D113" s="23">
        <v>42</v>
      </c>
      <c r="E113" s="24">
        <v>5.7065217391304348E-3</v>
      </c>
    </row>
    <row r="114" spans="2:5" ht="13.5" x14ac:dyDescent="0.2">
      <c r="B114" s="97"/>
      <c r="C114" s="62" t="s">
        <v>63</v>
      </c>
      <c r="D114" s="63">
        <v>103</v>
      </c>
      <c r="E114" s="64">
        <v>1.3994565217391305E-2</v>
      </c>
    </row>
    <row r="115" spans="2:5" ht="13.5" x14ac:dyDescent="0.2">
      <c r="B115" s="95" t="s">
        <v>106</v>
      </c>
      <c r="C115" s="61" t="s">
        <v>170</v>
      </c>
      <c r="D115" s="23">
        <v>21</v>
      </c>
      <c r="E115" s="24">
        <v>2.8532608695652174E-3</v>
      </c>
    </row>
    <row r="116" spans="2:5" ht="13.5" x14ac:dyDescent="0.2">
      <c r="B116" s="96"/>
      <c r="C116" s="61" t="s">
        <v>171</v>
      </c>
      <c r="D116" s="23">
        <v>10</v>
      </c>
      <c r="E116" s="24">
        <v>1.358695652173913E-3</v>
      </c>
    </row>
    <row r="117" spans="2:5" ht="13.5" x14ac:dyDescent="0.2">
      <c r="B117" s="97"/>
      <c r="C117" s="62" t="s">
        <v>63</v>
      </c>
      <c r="D117" s="63">
        <v>31</v>
      </c>
      <c r="E117" s="64">
        <v>4.2119565217391304E-3</v>
      </c>
    </row>
    <row r="118" spans="2:5" ht="13.5" x14ac:dyDescent="0.2">
      <c r="B118" s="95" t="s">
        <v>90</v>
      </c>
      <c r="C118" s="61" t="s">
        <v>170</v>
      </c>
      <c r="D118" s="23">
        <v>65</v>
      </c>
      <c r="E118" s="24">
        <v>8.8315217391304341E-3</v>
      </c>
    </row>
    <row r="119" spans="2:5" ht="13.5" x14ac:dyDescent="0.2">
      <c r="B119" s="96"/>
      <c r="C119" s="61" t="s">
        <v>171</v>
      </c>
      <c r="D119" s="23">
        <v>32</v>
      </c>
      <c r="E119" s="24">
        <v>4.3478260869565218E-3</v>
      </c>
    </row>
    <row r="120" spans="2:5" ht="13.5" x14ac:dyDescent="0.2">
      <c r="B120" s="97"/>
      <c r="C120" s="62" t="s">
        <v>63</v>
      </c>
      <c r="D120" s="63">
        <v>97</v>
      </c>
      <c r="E120" s="64">
        <v>1.3179347826086957E-2</v>
      </c>
    </row>
    <row r="121" spans="2:5" ht="13.5" x14ac:dyDescent="0.2">
      <c r="B121" s="95" t="s">
        <v>86</v>
      </c>
      <c r="C121" s="61" t="s">
        <v>170</v>
      </c>
      <c r="D121" s="23">
        <v>79</v>
      </c>
      <c r="E121" s="24">
        <v>1.0733695652173914E-2</v>
      </c>
    </row>
    <row r="122" spans="2:5" ht="13.5" x14ac:dyDescent="0.2">
      <c r="B122" s="96"/>
      <c r="C122" s="61" t="s">
        <v>171</v>
      </c>
      <c r="D122" s="23">
        <v>42</v>
      </c>
      <c r="E122" s="24">
        <v>5.7065217391304348E-3</v>
      </c>
    </row>
    <row r="123" spans="2:5" ht="13.5" x14ac:dyDescent="0.2">
      <c r="B123" s="97"/>
      <c r="C123" s="62" t="s">
        <v>63</v>
      </c>
      <c r="D123" s="63">
        <v>121</v>
      </c>
      <c r="E123" s="64">
        <v>1.6440217391304347E-2</v>
      </c>
    </row>
    <row r="124" spans="2:5" ht="13.5" x14ac:dyDescent="0.2">
      <c r="B124" s="95" t="s">
        <v>77</v>
      </c>
      <c r="C124" s="61" t="s">
        <v>170</v>
      </c>
      <c r="D124" s="23">
        <v>149</v>
      </c>
      <c r="E124" s="24">
        <v>2.0244565217391305E-2</v>
      </c>
    </row>
    <row r="125" spans="2:5" ht="13.5" x14ac:dyDescent="0.2">
      <c r="B125" s="96"/>
      <c r="C125" s="61" t="s">
        <v>171</v>
      </c>
      <c r="D125" s="23">
        <v>146</v>
      </c>
      <c r="E125" s="24">
        <v>1.983695652173913E-2</v>
      </c>
    </row>
    <row r="126" spans="2:5" ht="13.5" x14ac:dyDescent="0.2">
      <c r="B126" s="97"/>
      <c r="C126" s="62" t="s">
        <v>63</v>
      </c>
      <c r="D126" s="63">
        <v>295</v>
      </c>
      <c r="E126" s="64">
        <v>4.0081521739130432E-2</v>
      </c>
    </row>
    <row r="127" spans="2:5" ht="13.5" x14ac:dyDescent="0.2">
      <c r="B127" s="95" t="s">
        <v>101</v>
      </c>
      <c r="C127" s="61" t="s">
        <v>170</v>
      </c>
      <c r="D127" s="23">
        <v>20</v>
      </c>
      <c r="E127" s="24">
        <v>2.717391304347826E-3</v>
      </c>
    </row>
    <row r="128" spans="2:5" ht="13.5" x14ac:dyDescent="0.2">
      <c r="B128" s="96"/>
      <c r="C128" s="61" t="s">
        <v>171</v>
      </c>
      <c r="D128" s="23">
        <v>17</v>
      </c>
      <c r="E128" s="24">
        <v>2.3097826086956523E-3</v>
      </c>
    </row>
    <row r="129" spans="2:5" ht="13.5" x14ac:dyDescent="0.2">
      <c r="B129" s="97"/>
      <c r="C129" s="62" t="s">
        <v>63</v>
      </c>
      <c r="D129" s="63">
        <v>37</v>
      </c>
      <c r="E129" s="64">
        <v>5.0271739130434779E-3</v>
      </c>
    </row>
    <row r="130" spans="2:5" ht="13.5" x14ac:dyDescent="0.2">
      <c r="B130" s="95" t="s">
        <v>94</v>
      </c>
      <c r="C130" s="61" t="s">
        <v>170</v>
      </c>
      <c r="D130" s="23">
        <v>53</v>
      </c>
      <c r="E130" s="24">
        <v>7.2010869565217392E-3</v>
      </c>
    </row>
    <row r="131" spans="2:5" ht="13.5" x14ac:dyDescent="0.2">
      <c r="B131" s="96"/>
      <c r="C131" s="61" t="s">
        <v>171</v>
      </c>
      <c r="D131" s="23">
        <v>25</v>
      </c>
      <c r="E131" s="24">
        <v>3.3967391304347825E-3</v>
      </c>
    </row>
    <row r="132" spans="2:5" ht="13.5" x14ac:dyDescent="0.2">
      <c r="B132" s="97"/>
      <c r="C132" s="62" t="s">
        <v>63</v>
      </c>
      <c r="D132" s="63">
        <v>78</v>
      </c>
      <c r="E132" s="64">
        <v>1.0597826086956521E-2</v>
      </c>
    </row>
    <row r="133" spans="2:5" ht="13.5" x14ac:dyDescent="0.2">
      <c r="B133" s="95" t="s">
        <v>167</v>
      </c>
      <c r="C133" s="61" t="s">
        <v>170</v>
      </c>
      <c r="D133" s="23">
        <v>48</v>
      </c>
      <c r="E133" s="24">
        <v>6.5217391304347823E-3</v>
      </c>
    </row>
    <row r="134" spans="2:5" ht="13.5" x14ac:dyDescent="0.2">
      <c r="B134" s="96"/>
      <c r="C134" s="61" t="s">
        <v>171</v>
      </c>
      <c r="D134" s="23">
        <v>34</v>
      </c>
      <c r="E134" s="24">
        <v>4.6195652173913046E-3</v>
      </c>
    </row>
    <row r="135" spans="2:5" ht="13.5" x14ac:dyDescent="0.2">
      <c r="B135" s="97"/>
      <c r="C135" s="62" t="s">
        <v>63</v>
      </c>
      <c r="D135" s="63">
        <v>82</v>
      </c>
      <c r="E135" s="64">
        <v>1.1141304347826087E-2</v>
      </c>
    </row>
    <row r="136" spans="2:5" ht="13.5" x14ac:dyDescent="0.2">
      <c r="B136" s="95" t="s">
        <v>85</v>
      </c>
      <c r="C136" s="61" t="s">
        <v>170</v>
      </c>
      <c r="D136" s="23">
        <v>66</v>
      </c>
      <c r="E136" s="24">
        <v>8.9673913043478264E-3</v>
      </c>
    </row>
    <row r="137" spans="2:5" ht="13.5" x14ac:dyDescent="0.2">
      <c r="B137" s="96"/>
      <c r="C137" s="61" t="s">
        <v>171</v>
      </c>
      <c r="D137" s="23">
        <v>64</v>
      </c>
      <c r="E137" s="24">
        <v>8.6956521739130436E-3</v>
      </c>
    </row>
    <row r="138" spans="2:5" ht="13.5" x14ac:dyDescent="0.2">
      <c r="B138" s="97"/>
      <c r="C138" s="62" t="s">
        <v>63</v>
      </c>
      <c r="D138" s="63">
        <v>130</v>
      </c>
      <c r="E138" s="64">
        <v>1.7663043478260868E-2</v>
      </c>
    </row>
    <row r="139" spans="2:5" ht="13.5" x14ac:dyDescent="0.2">
      <c r="B139" s="95" t="s">
        <v>92</v>
      </c>
      <c r="C139" s="61" t="s">
        <v>170</v>
      </c>
      <c r="D139" s="23">
        <v>66</v>
      </c>
      <c r="E139" s="24">
        <v>8.9673913043478264E-3</v>
      </c>
    </row>
    <row r="140" spans="2:5" ht="13.5" x14ac:dyDescent="0.2">
      <c r="B140" s="96"/>
      <c r="C140" s="61" t="s">
        <v>171</v>
      </c>
      <c r="D140" s="23">
        <v>20</v>
      </c>
      <c r="E140" s="24">
        <v>2.717391304347826E-3</v>
      </c>
    </row>
    <row r="141" spans="2:5" ht="13.5" x14ac:dyDescent="0.2">
      <c r="B141" s="97"/>
      <c r="C141" s="62" t="s">
        <v>63</v>
      </c>
      <c r="D141" s="63">
        <v>86</v>
      </c>
      <c r="E141" s="64">
        <v>1.1684782608695652E-2</v>
      </c>
    </row>
    <row r="142" spans="2:5" ht="13.5" x14ac:dyDescent="0.2">
      <c r="B142" s="95" t="s">
        <v>116</v>
      </c>
      <c r="C142" s="61" t="s">
        <v>170</v>
      </c>
      <c r="D142" s="23">
        <v>2</v>
      </c>
      <c r="E142" s="24">
        <v>2.7173913043478261E-4</v>
      </c>
    </row>
    <row r="143" spans="2:5" ht="13.5" x14ac:dyDescent="0.2">
      <c r="B143" s="97"/>
      <c r="C143" s="62" t="s">
        <v>63</v>
      </c>
      <c r="D143" s="63">
        <v>2</v>
      </c>
      <c r="E143" s="64">
        <v>2.7173913043478261E-4</v>
      </c>
    </row>
    <row r="144" spans="2:5" ht="13.5" x14ac:dyDescent="0.2">
      <c r="B144" s="95" t="s">
        <v>32</v>
      </c>
      <c r="C144" s="61" t="s">
        <v>170</v>
      </c>
      <c r="D144" s="23">
        <v>38</v>
      </c>
      <c r="E144" s="24">
        <v>5.1630434782608692E-3</v>
      </c>
    </row>
    <row r="145" spans="2:5" ht="13.5" x14ac:dyDescent="0.2">
      <c r="B145" s="96"/>
      <c r="C145" s="61" t="s">
        <v>171</v>
      </c>
      <c r="D145" s="23">
        <v>14</v>
      </c>
      <c r="E145" s="24">
        <v>1.9021739130434783E-3</v>
      </c>
    </row>
    <row r="146" spans="2:5" ht="13.5" x14ac:dyDescent="0.2">
      <c r="B146" s="97"/>
      <c r="C146" s="62" t="s">
        <v>63</v>
      </c>
      <c r="D146" s="63">
        <v>52</v>
      </c>
      <c r="E146" s="64">
        <v>7.0652173913043478E-3</v>
      </c>
    </row>
    <row r="147" spans="2:5" ht="13.5" x14ac:dyDescent="0.2">
      <c r="B147" s="95" t="s">
        <v>113</v>
      </c>
      <c r="C147" s="61" t="s">
        <v>171</v>
      </c>
      <c r="D147" s="23">
        <v>3</v>
      </c>
      <c r="E147" s="24">
        <v>4.0760869565217389E-4</v>
      </c>
    </row>
    <row r="148" spans="2:5" ht="13.5" x14ac:dyDescent="0.2">
      <c r="B148" s="97"/>
      <c r="C148" s="62" t="s">
        <v>63</v>
      </c>
      <c r="D148" s="63">
        <v>3</v>
      </c>
      <c r="E148" s="64">
        <v>4.0760869565217389E-4</v>
      </c>
    </row>
    <row r="149" spans="2:5" ht="13.5" x14ac:dyDescent="0.2">
      <c r="B149" s="92" t="s">
        <v>172</v>
      </c>
      <c r="C149" s="93"/>
      <c r="D149" s="65">
        <v>7360</v>
      </c>
      <c r="E149" s="66">
        <v>1</v>
      </c>
    </row>
    <row r="151" spans="2:5" x14ac:dyDescent="0.2">
      <c r="B151" s="30" t="s">
        <v>64</v>
      </c>
    </row>
    <row r="152" spans="2:5" x14ac:dyDescent="0.2">
      <c r="B152" s="31" t="s">
        <v>65</v>
      </c>
    </row>
    <row r="153" spans="2:5" x14ac:dyDescent="0.2">
      <c r="B153" s="32" t="s">
        <v>66</v>
      </c>
    </row>
    <row r="154" spans="2:5" x14ac:dyDescent="0.2">
      <c r="B154" s="30" t="s">
        <v>67</v>
      </c>
    </row>
    <row r="155" spans="2:5" x14ac:dyDescent="0.2">
      <c r="B155" s="30" t="s">
        <v>68</v>
      </c>
    </row>
  </sheetData>
  <mergeCells count="49">
    <mergeCell ref="B149:C149"/>
    <mergeCell ref="B133:B135"/>
    <mergeCell ref="B136:B138"/>
    <mergeCell ref="B139:B141"/>
    <mergeCell ref="B142:B143"/>
    <mergeCell ref="B144:B146"/>
    <mergeCell ref="B147:B148"/>
    <mergeCell ref="B130:B132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27:B129"/>
    <mergeCell ref="B94:B96"/>
    <mergeCell ref="B61:B63"/>
    <mergeCell ref="B64:B6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58:B60"/>
    <mergeCell ref="B27:B29"/>
    <mergeCell ref="B30:B31"/>
    <mergeCell ref="B32:B34"/>
    <mergeCell ref="B35:B37"/>
    <mergeCell ref="B38:B39"/>
    <mergeCell ref="B40:B42"/>
    <mergeCell ref="B43:B45"/>
    <mergeCell ref="B46:B48"/>
    <mergeCell ref="B49:B51"/>
    <mergeCell ref="B52:B54"/>
    <mergeCell ref="B55:B57"/>
    <mergeCell ref="B24:B26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3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K10" sqref="K10"/>
    </sheetView>
  </sheetViews>
  <sheetFormatPr baseColWidth="10" defaultRowHeight="11.25" x14ac:dyDescent="0.2"/>
  <cols>
    <col min="1" max="1" width="5.7109375" style="14" customWidth="1"/>
    <col min="2" max="2" width="19" style="38" customWidth="1"/>
    <col min="3" max="3" width="17.28515625" style="38" customWidth="1"/>
    <col min="4" max="4" width="17.28515625" style="67" customWidth="1"/>
    <col min="5" max="5" width="16.7109375" style="67" customWidth="1"/>
    <col min="6" max="6" width="16.7109375" style="38" customWidth="1"/>
    <col min="7" max="7" width="5.7109375" style="14" customWidth="1"/>
    <col min="8" max="16384" width="11.42578125" style="14"/>
  </cols>
  <sheetData>
    <row r="1" spans="1:7" s="55" customFormat="1" ht="15" x14ac:dyDescent="0.25">
      <c r="B1" s="33"/>
      <c r="C1" s="38"/>
    </row>
    <row r="2" spans="1:7" s="38" customFormat="1" x14ac:dyDescent="0.2">
      <c r="B2" s="56"/>
    </row>
    <row r="3" spans="1:7" ht="15" customHeight="1" x14ac:dyDescent="0.2">
      <c r="B3" s="57"/>
      <c r="C3" s="15"/>
      <c r="D3" s="14"/>
      <c r="E3" s="14"/>
      <c r="G3" s="38"/>
    </row>
    <row r="4" spans="1:7" ht="30" customHeight="1" x14ac:dyDescent="0.2">
      <c r="B4" s="57"/>
      <c r="C4" s="15"/>
      <c r="D4" s="14"/>
      <c r="E4" s="14"/>
      <c r="G4" s="38"/>
    </row>
    <row r="5" spans="1:7" ht="15" customHeight="1" x14ac:dyDescent="0.2">
      <c r="B5" s="57"/>
      <c r="C5" s="15"/>
      <c r="D5" s="14"/>
      <c r="E5" s="14"/>
      <c r="G5" s="38"/>
    </row>
    <row r="6" spans="1:7" s="38" customFormat="1" x14ac:dyDescent="0.2">
      <c r="B6" s="34"/>
      <c r="C6" s="40"/>
    </row>
    <row r="7" spans="1:7" s="38" customFormat="1" x14ac:dyDescent="0.2">
      <c r="A7" s="33"/>
      <c r="B7" s="56"/>
      <c r="C7" s="33"/>
    </row>
    <row r="8" spans="1:7" s="55" customFormat="1" ht="15" customHeight="1" x14ac:dyDescent="0.25">
      <c r="B8" s="98" t="s">
        <v>173</v>
      </c>
      <c r="C8" s="98"/>
      <c r="D8" s="98"/>
      <c r="E8" s="98"/>
      <c r="F8" s="98"/>
    </row>
    <row r="9" spans="1:7" s="55" customFormat="1" ht="15" customHeight="1" x14ac:dyDescent="0.25">
      <c r="A9" s="58"/>
      <c r="B9" s="98"/>
      <c r="C9" s="98"/>
      <c r="D9" s="98"/>
      <c r="E9" s="98"/>
      <c r="F9" s="98"/>
      <c r="G9" s="59"/>
    </row>
    <row r="10" spans="1:7" s="55" customFormat="1" ht="15" customHeight="1" x14ac:dyDescent="0.25">
      <c r="A10" s="58"/>
      <c r="B10" s="99"/>
      <c r="C10" s="99"/>
      <c r="D10" s="99"/>
      <c r="E10" s="99"/>
      <c r="F10" s="99"/>
      <c r="G10" s="58"/>
    </row>
    <row r="11" spans="1:7" s="55" customFormat="1" ht="36.950000000000003" customHeight="1" x14ac:dyDescent="0.25">
      <c r="B11" s="60" t="s">
        <v>169</v>
      </c>
      <c r="C11" s="60" t="s">
        <v>174</v>
      </c>
      <c r="D11" s="60" t="s">
        <v>15</v>
      </c>
      <c r="E11" s="60" t="s">
        <v>175</v>
      </c>
      <c r="F11" s="60" t="s">
        <v>176</v>
      </c>
    </row>
    <row r="12" spans="1:7" ht="15" customHeight="1" x14ac:dyDescent="0.2">
      <c r="B12" s="95" t="s">
        <v>170</v>
      </c>
      <c r="C12" s="61" t="s">
        <v>177</v>
      </c>
      <c r="D12" s="23">
        <v>3</v>
      </c>
      <c r="E12" s="68">
        <v>6.5746219592373442E-4</v>
      </c>
      <c r="F12" s="24">
        <f t="shared" ref="F12:F28" si="0">D12/$D$28</f>
        <v>4.0760869565217389E-4</v>
      </c>
    </row>
    <row r="13" spans="1:7" ht="15" customHeight="1" x14ac:dyDescent="0.2">
      <c r="B13" s="96"/>
      <c r="C13" s="61" t="s">
        <v>178</v>
      </c>
      <c r="D13" s="23">
        <v>72</v>
      </c>
      <c r="E13" s="68">
        <v>1.5779092702169626E-2</v>
      </c>
      <c r="F13" s="24">
        <f t="shared" si="0"/>
        <v>9.7826086956521747E-3</v>
      </c>
    </row>
    <row r="14" spans="1:7" ht="15" customHeight="1" x14ac:dyDescent="0.2">
      <c r="B14" s="96"/>
      <c r="C14" s="61" t="s">
        <v>179</v>
      </c>
      <c r="D14" s="23">
        <v>1002</v>
      </c>
      <c r="E14" s="68">
        <v>0.21959237343852728</v>
      </c>
      <c r="F14" s="24">
        <f t="shared" si="0"/>
        <v>0.13614130434782609</v>
      </c>
    </row>
    <row r="15" spans="1:7" ht="15" customHeight="1" x14ac:dyDescent="0.2">
      <c r="B15" s="96"/>
      <c r="C15" s="61" t="s">
        <v>180</v>
      </c>
      <c r="D15" s="23">
        <v>1755</v>
      </c>
      <c r="E15" s="68">
        <v>0.38461538461538464</v>
      </c>
      <c r="F15" s="24">
        <f t="shared" si="0"/>
        <v>0.23845108695652173</v>
      </c>
    </row>
    <row r="16" spans="1:7" ht="15" customHeight="1" x14ac:dyDescent="0.2">
      <c r="B16" s="96"/>
      <c r="C16" s="61" t="s">
        <v>181</v>
      </c>
      <c r="D16" s="23">
        <v>1217</v>
      </c>
      <c r="E16" s="68">
        <v>0.26671049747972825</v>
      </c>
      <c r="F16" s="24">
        <f t="shared" si="0"/>
        <v>0.16535326086956523</v>
      </c>
    </row>
    <row r="17" spans="1:7" s="38" customFormat="1" ht="15" customHeight="1" x14ac:dyDescent="0.2">
      <c r="A17" s="14"/>
      <c r="B17" s="96"/>
      <c r="C17" s="61" t="s">
        <v>182</v>
      </c>
      <c r="D17" s="23">
        <v>461</v>
      </c>
      <c r="E17" s="68">
        <v>0.10103002410694718</v>
      </c>
      <c r="F17" s="24">
        <f t="shared" si="0"/>
        <v>6.2635869565217397E-2</v>
      </c>
      <c r="G17" s="14"/>
    </row>
    <row r="18" spans="1:7" s="38" customFormat="1" ht="15" customHeight="1" x14ac:dyDescent="0.2">
      <c r="A18" s="14"/>
      <c r="B18" s="96"/>
      <c r="C18" s="61" t="s">
        <v>183</v>
      </c>
      <c r="D18" s="23">
        <v>42</v>
      </c>
      <c r="E18" s="68">
        <v>9.204470742932281E-3</v>
      </c>
      <c r="F18" s="24">
        <f t="shared" si="0"/>
        <v>5.7065217391304348E-3</v>
      </c>
      <c r="G18" s="14"/>
    </row>
    <row r="19" spans="1:7" s="38" customFormat="1" ht="15" customHeight="1" x14ac:dyDescent="0.2">
      <c r="A19" s="14"/>
      <c r="B19" s="97"/>
      <c r="C19" s="61" t="s">
        <v>184</v>
      </c>
      <c r="D19" s="23">
        <v>11</v>
      </c>
      <c r="E19" s="68">
        <v>2.4106947183870262E-3</v>
      </c>
      <c r="F19" s="24">
        <f t="shared" si="0"/>
        <v>1.4945652173913044E-3</v>
      </c>
      <c r="G19" s="14"/>
    </row>
    <row r="20" spans="1:7" s="38" customFormat="1" ht="15" customHeight="1" x14ac:dyDescent="0.2">
      <c r="A20" s="14"/>
      <c r="B20" s="95" t="s">
        <v>171</v>
      </c>
      <c r="C20" s="61" t="s">
        <v>177</v>
      </c>
      <c r="D20" s="23">
        <v>3</v>
      </c>
      <c r="E20" s="69">
        <v>1.0725777618877368E-3</v>
      </c>
      <c r="F20" s="24">
        <f t="shared" si="0"/>
        <v>4.0760869565217389E-4</v>
      </c>
      <c r="G20" s="14"/>
    </row>
    <row r="21" spans="1:7" s="38" customFormat="1" ht="15" customHeight="1" x14ac:dyDescent="0.2">
      <c r="A21" s="14"/>
      <c r="B21" s="96"/>
      <c r="C21" s="61" t="s">
        <v>178</v>
      </c>
      <c r="D21" s="23">
        <v>55</v>
      </c>
      <c r="E21" s="69">
        <v>1.966392563460851E-2</v>
      </c>
      <c r="F21" s="24">
        <f t="shared" si="0"/>
        <v>7.472826086956522E-3</v>
      </c>
      <c r="G21" s="14"/>
    </row>
    <row r="22" spans="1:7" ht="13.5" x14ac:dyDescent="0.2">
      <c r="B22" s="96"/>
      <c r="C22" s="61" t="s">
        <v>179</v>
      </c>
      <c r="D22" s="23">
        <v>433</v>
      </c>
      <c r="E22" s="69">
        <v>0.15480872363246334</v>
      </c>
      <c r="F22" s="24">
        <f t="shared" si="0"/>
        <v>5.8831521739130435E-2</v>
      </c>
    </row>
    <row r="23" spans="1:7" ht="13.5" x14ac:dyDescent="0.2">
      <c r="B23" s="96"/>
      <c r="C23" s="61" t="s">
        <v>180</v>
      </c>
      <c r="D23" s="23">
        <v>1029</v>
      </c>
      <c r="E23" s="69">
        <v>0.36789417232749372</v>
      </c>
      <c r="F23" s="24">
        <f t="shared" si="0"/>
        <v>0.13980978260869564</v>
      </c>
    </row>
    <row r="24" spans="1:7" ht="27" x14ac:dyDescent="0.2">
      <c r="B24" s="96"/>
      <c r="C24" s="61" t="s">
        <v>181</v>
      </c>
      <c r="D24" s="23">
        <v>845</v>
      </c>
      <c r="E24" s="69">
        <v>0.30210940293171257</v>
      </c>
      <c r="F24" s="24">
        <f t="shared" si="0"/>
        <v>0.11480978260869565</v>
      </c>
    </row>
    <row r="25" spans="1:7" ht="13.5" x14ac:dyDescent="0.2">
      <c r="B25" s="96"/>
      <c r="C25" s="61" t="s">
        <v>182</v>
      </c>
      <c r="D25" s="23">
        <v>390</v>
      </c>
      <c r="E25" s="69">
        <v>0.13943510904540579</v>
      </c>
      <c r="F25" s="24">
        <f t="shared" si="0"/>
        <v>5.2989130434782608E-2</v>
      </c>
    </row>
    <row r="26" spans="1:7" ht="13.5" x14ac:dyDescent="0.2">
      <c r="B26" s="96"/>
      <c r="C26" s="61" t="s">
        <v>183</v>
      </c>
      <c r="D26" s="23">
        <v>31</v>
      </c>
      <c r="E26" s="69">
        <v>1.1083303539506614E-2</v>
      </c>
      <c r="F26" s="24">
        <f t="shared" si="0"/>
        <v>4.2119565217391304E-3</v>
      </c>
    </row>
    <row r="27" spans="1:7" ht="13.5" x14ac:dyDescent="0.2">
      <c r="B27" s="97"/>
      <c r="C27" s="61" t="s">
        <v>184</v>
      </c>
      <c r="D27" s="23">
        <v>11</v>
      </c>
      <c r="E27" s="69">
        <v>3.9327851269217017E-3</v>
      </c>
      <c r="F27" s="24">
        <f t="shared" si="0"/>
        <v>1.4945652173913044E-3</v>
      </c>
    </row>
    <row r="28" spans="1:7" ht="13.5" x14ac:dyDescent="0.2">
      <c r="B28" s="70" t="s">
        <v>63</v>
      </c>
      <c r="C28" s="70"/>
      <c r="D28" s="65">
        <v>7360</v>
      </c>
      <c r="E28" s="66"/>
      <c r="F28" s="66">
        <f t="shared" si="0"/>
        <v>1</v>
      </c>
    </row>
    <row r="30" spans="1:7" x14ac:dyDescent="0.2">
      <c r="B30" s="30" t="s">
        <v>64</v>
      </c>
    </row>
    <row r="31" spans="1:7" x14ac:dyDescent="0.2">
      <c r="B31" s="31" t="s">
        <v>65</v>
      </c>
    </row>
    <row r="32" spans="1:7" x14ac:dyDescent="0.2">
      <c r="B32" s="32" t="s">
        <v>66</v>
      </c>
    </row>
    <row r="33" spans="2:2" x14ac:dyDescent="0.2">
      <c r="B33" s="30" t="s">
        <v>67</v>
      </c>
    </row>
    <row r="34" spans="2:2" x14ac:dyDescent="0.2">
      <c r="B34" s="30" t="s">
        <v>68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0"/>
  <sheetViews>
    <sheetView showGridLines="0" tabSelected="1" zoomScaleNormal="100" zoomScaleSheetLayoutView="115" workbookViewId="0">
      <selection activeCell="P23" sqref="P23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12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185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186</v>
      </c>
      <c r="C11" s="19" t="s">
        <v>15</v>
      </c>
      <c r="D11" s="20" t="s">
        <v>16</v>
      </c>
    </row>
    <row r="12" spans="1:4" ht="15" customHeight="1" x14ac:dyDescent="0.25">
      <c r="B12" s="22" t="s">
        <v>187</v>
      </c>
      <c r="C12" s="23">
        <v>4154</v>
      </c>
      <c r="D12" s="24">
        <f t="shared" ref="D12:D32" si="0">C12/$C$32</f>
        <v>0.56440217391304348</v>
      </c>
    </row>
    <row r="13" spans="1:4" x14ac:dyDescent="0.25">
      <c r="B13" s="22" t="s">
        <v>188</v>
      </c>
      <c r="C13" s="23">
        <v>1602</v>
      </c>
      <c r="D13" s="24">
        <f t="shared" si="0"/>
        <v>0.21766304347826088</v>
      </c>
    </row>
    <row r="14" spans="1:4" s="25" customFormat="1" ht="15.75" x14ac:dyDescent="0.25">
      <c r="A14" s="21"/>
      <c r="B14" s="22" t="s">
        <v>189</v>
      </c>
      <c r="C14" s="23">
        <v>423</v>
      </c>
      <c r="D14" s="24">
        <f t="shared" si="0"/>
        <v>5.7472826086956523E-2</v>
      </c>
    </row>
    <row r="15" spans="1:4" s="25" customFormat="1" ht="15.75" x14ac:dyDescent="0.25">
      <c r="A15" s="21"/>
      <c r="B15" s="22" t="s">
        <v>190</v>
      </c>
      <c r="C15" s="23">
        <v>381</v>
      </c>
      <c r="D15" s="24">
        <f t="shared" si="0"/>
        <v>5.1766304347826086E-2</v>
      </c>
    </row>
    <row r="16" spans="1:4" x14ac:dyDescent="0.25">
      <c r="B16" s="22" t="s">
        <v>191</v>
      </c>
      <c r="C16" s="23">
        <v>165</v>
      </c>
      <c r="D16" s="24">
        <f t="shared" si="0"/>
        <v>2.2418478260869564E-2</v>
      </c>
    </row>
    <row r="17" spans="2:4" x14ac:dyDescent="0.25">
      <c r="B17" s="22" t="s">
        <v>192</v>
      </c>
      <c r="C17" s="23">
        <v>150</v>
      </c>
      <c r="D17" s="24">
        <f t="shared" si="0"/>
        <v>2.0380434782608696E-2</v>
      </c>
    </row>
    <row r="18" spans="2:4" x14ac:dyDescent="0.25">
      <c r="B18" s="22" t="s">
        <v>193</v>
      </c>
      <c r="C18" s="23">
        <v>115</v>
      </c>
      <c r="D18" s="24">
        <f t="shared" si="0"/>
        <v>1.5625E-2</v>
      </c>
    </row>
    <row r="19" spans="2:4" x14ac:dyDescent="0.25">
      <c r="B19" s="22" t="s">
        <v>194</v>
      </c>
      <c r="C19" s="23">
        <v>97</v>
      </c>
      <c r="D19" s="24">
        <f t="shared" si="0"/>
        <v>1.3179347826086957E-2</v>
      </c>
    </row>
    <row r="20" spans="2:4" x14ac:dyDescent="0.25">
      <c r="B20" s="22" t="s">
        <v>195</v>
      </c>
      <c r="C20" s="23">
        <v>56</v>
      </c>
      <c r="D20" s="24">
        <f t="shared" si="0"/>
        <v>7.6086956521739134E-3</v>
      </c>
    </row>
    <row r="21" spans="2:4" x14ac:dyDescent="0.25">
      <c r="B21" s="22" t="s">
        <v>196</v>
      </c>
      <c r="C21" s="23">
        <v>55</v>
      </c>
      <c r="D21" s="24">
        <f t="shared" si="0"/>
        <v>7.472826086956522E-3</v>
      </c>
    </row>
    <row r="22" spans="2:4" x14ac:dyDescent="0.25">
      <c r="B22" s="22" t="s">
        <v>197</v>
      </c>
      <c r="C22" s="23">
        <v>42</v>
      </c>
      <c r="D22" s="24">
        <f t="shared" si="0"/>
        <v>5.7065217391304348E-3</v>
      </c>
    </row>
    <row r="23" spans="2:4" x14ac:dyDescent="0.25">
      <c r="B23" s="22" t="s">
        <v>198</v>
      </c>
      <c r="C23" s="23">
        <v>29</v>
      </c>
      <c r="D23" s="24">
        <f t="shared" si="0"/>
        <v>3.9402173913043476E-3</v>
      </c>
    </row>
    <row r="24" spans="2:4" x14ac:dyDescent="0.25">
      <c r="B24" s="22" t="s">
        <v>199</v>
      </c>
      <c r="C24" s="23">
        <v>20</v>
      </c>
      <c r="D24" s="24">
        <f t="shared" si="0"/>
        <v>2.717391304347826E-3</v>
      </c>
    </row>
    <row r="25" spans="2:4" x14ac:dyDescent="0.25">
      <c r="B25" s="22" t="s">
        <v>200</v>
      </c>
      <c r="C25" s="23">
        <v>19</v>
      </c>
      <c r="D25" s="24">
        <f t="shared" si="0"/>
        <v>2.5815217391304346E-3</v>
      </c>
    </row>
    <row r="26" spans="2:4" x14ac:dyDescent="0.25">
      <c r="B26" s="22" t="s">
        <v>201</v>
      </c>
      <c r="C26" s="23">
        <v>17</v>
      </c>
      <c r="D26" s="24">
        <f t="shared" si="0"/>
        <v>2.3097826086956523E-3</v>
      </c>
    </row>
    <row r="27" spans="2:4" x14ac:dyDescent="0.25">
      <c r="B27" s="22" t="s">
        <v>202</v>
      </c>
      <c r="C27" s="23">
        <v>15</v>
      </c>
      <c r="D27" s="24">
        <f t="shared" si="0"/>
        <v>2.0380434782608695E-3</v>
      </c>
    </row>
    <row r="28" spans="2:4" x14ac:dyDescent="0.25">
      <c r="B28" s="22" t="s">
        <v>203</v>
      </c>
      <c r="C28" s="23">
        <v>13</v>
      </c>
      <c r="D28" s="24">
        <f t="shared" si="0"/>
        <v>1.766304347826087E-3</v>
      </c>
    </row>
    <row r="29" spans="2:4" x14ac:dyDescent="0.25">
      <c r="B29" s="22" t="s">
        <v>204</v>
      </c>
      <c r="C29" s="23">
        <v>4</v>
      </c>
      <c r="D29" s="24">
        <f t="shared" si="0"/>
        <v>5.4347826086956522E-4</v>
      </c>
    </row>
    <row r="30" spans="2:4" x14ac:dyDescent="0.25">
      <c r="B30" s="22" t="s">
        <v>205</v>
      </c>
      <c r="C30" s="23">
        <v>2</v>
      </c>
      <c r="D30" s="24">
        <f t="shared" si="0"/>
        <v>2.7173913043478261E-4</v>
      </c>
    </row>
    <row r="31" spans="2:4" x14ac:dyDescent="0.25">
      <c r="B31" s="22" t="s">
        <v>206</v>
      </c>
      <c r="C31" s="23">
        <v>1</v>
      </c>
      <c r="D31" s="24">
        <f t="shared" si="0"/>
        <v>1.3586956521739131E-4</v>
      </c>
    </row>
    <row r="32" spans="2:4" x14ac:dyDescent="0.25">
      <c r="B32" s="26" t="s">
        <v>63</v>
      </c>
      <c r="C32" s="27">
        <v>7360</v>
      </c>
      <c r="D32" s="28">
        <f t="shared" si="0"/>
        <v>1</v>
      </c>
    </row>
    <row r="34" spans="1:1" x14ac:dyDescent="0.25">
      <c r="A34" s="71" t="s">
        <v>207</v>
      </c>
    </row>
    <row r="35" spans="1:1" x14ac:dyDescent="0.25">
      <c r="A35" s="71" t="s">
        <v>65</v>
      </c>
    </row>
    <row r="36" spans="1:1" x14ac:dyDescent="0.25">
      <c r="A36" s="71" t="s">
        <v>66</v>
      </c>
    </row>
    <row r="37" spans="1:1" x14ac:dyDescent="0.25">
      <c r="A37" s="71" t="s">
        <v>67</v>
      </c>
    </row>
    <row r="38" spans="1:1" x14ac:dyDescent="0.25">
      <c r="A38" s="71" t="s">
        <v>68</v>
      </c>
    </row>
    <row r="39" spans="1:1" x14ac:dyDescent="0.25">
      <c r="A39" s="71"/>
    </row>
    <row r="40" spans="1:1" x14ac:dyDescent="0.25">
      <c r="A40" s="7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Aguascalientes_EdoUsa</vt:lpstr>
      <vt:lpstr>Aguascalientes_Cons_2018</vt:lpstr>
      <vt:lpstr>AguascalientesXCons2018</vt:lpstr>
      <vt:lpstr>Aguascalientes_EdoMun</vt:lpstr>
      <vt:lpstr>Aguascalientes_USAMuni2018</vt:lpstr>
      <vt:lpstr>Aguascalientes_MUNICIPIO</vt:lpstr>
      <vt:lpstr>Aguascalientes_educ_gral</vt:lpstr>
      <vt:lpstr>Aguascalientes_NivelE_Cons</vt:lpstr>
      <vt:lpstr>Aguascalientes_EducCons</vt:lpstr>
      <vt:lpstr>Aguascalientes_GenGral</vt:lpstr>
      <vt:lpstr>Aguascalientes_GENERO</vt:lpstr>
      <vt:lpstr>Aguascalientes_Gen_Edad</vt:lpstr>
      <vt:lpstr>Aguascalientes_ocup_gral</vt:lpstr>
      <vt:lpstr>Aguascalientes_EducCons!Área_de_impresión</vt:lpstr>
      <vt:lpstr>Aguascalientes_MUNICIPIO!Área_de_impresión</vt:lpstr>
      <vt:lpstr>Aguascalientes_NivelE_Cons!Área_de_impresión</vt:lpstr>
      <vt:lpstr>Aguascalientes_USAMuni2018!Área_de_impresión</vt:lpstr>
      <vt:lpstr>Aguascalientes_Cons_2018!Títulos_a_imprimir</vt:lpstr>
      <vt:lpstr>Aguascalientes_EdoMun!Títulos_a_imprimir</vt:lpstr>
      <vt:lpstr>Aguascalientes_EdoUsa!Títulos_a_imprimir</vt:lpstr>
      <vt:lpstr>Aguascalientes_educ_gral!Títulos_a_imprimir</vt:lpstr>
      <vt:lpstr>Aguascalientes_EducCons!Títulos_a_imprimir</vt:lpstr>
      <vt:lpstr>Aguascalientes_Gen_Edad!Títulos_a_imprimir</vt:lpstr>
      <vt:lpstr>Aguascalientes_GENERO!Títulos_a_imprimir</vt:lpstr>
      <vt:lpstr>Aguascalientes_GenGral!Títulos_a_imprimir</vt:lpstr>
      <vt:lpstr>Aguascalientes_MUNICIPIO!Títulos_a_imprimir</vt:lpstr>
      <vt:lpstr>Aguascalientes_NivelE_Cons!Títulos_a_imprimir</vt:lpstr>
      <vt:lpstr>Aguascalientes_ocup_gral!Títulos_a_imprimir</vt:lpstr>
      <vt:lpstr>Aguascalientes_USAMuni2018!Títulos_a_imprimir</vt:lpstr>
      <vt:lpstr>AguascalientesXCons2018!Títulos_a_imprimir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2019-12-18T22:21:20Z</cp:lastPrinted>
  <dcterms:created xsi:type="dcterms:W3CDTF">2019-12-17T21:51:29Z</dcterms:created>
  <dcterms:modified xsi:type="dcterms:W3CDTF">2019-12-19T17:56:39Z</dcterms:modified>
</cp:coreProperties>
</file>