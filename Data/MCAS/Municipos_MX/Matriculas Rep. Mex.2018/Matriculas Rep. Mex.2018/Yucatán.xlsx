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Yucatán_EdoUsa" sheetId="2" r:id="rId2"/>
    <sheet name="Yucatán_Cons_2018" sheetId="8" r:id="rId3"/>
    <sheet name="YucatánXCons2018" sheetId="10" r:id="rId4"/>
    <sheet name="Yucatán_EdoMun" sheetId="11" r:id="rId5"/>
    <sheet name="Yucatán_USAMuni2018" sheetId="14" r:id="rId6"/>
    <sheet name="Yucatán_MUNICIPIO" sheetId="13" r:id="rId7"/>
    <sheet name="Yucatán_educ_gral" sheetId="3" r:id="rId8"/>
    <sheet name="Yucatán_NivelE_Cons" sheetId="5" r:id="rId9"/>
    <sheet name="Yucatán_EducCons" sheetId="4" r:id="rId10"/>
    <sheet name="Yucatán_GenGral" sheetId="7" r:id="rId11"/>
    <sheet name="Yucatán_GENERO" sheetId="9" r:id="rId12"/>
    <sheet name="Yucatán_Gen_Edad" sheetId="6" r:id="rId13"/>
    <sheet name="Yucatán_ocup_gral" sheetId="12" r:id="rId14"/>
  </sheets>
  <definedNames>
    <definedName name="_xlnm._FilterDatabase" localSheetId="2" hidden="1">Yucatán_Cons_2018!$B$11:$D$12</definedName>
    <definedName name="_xlnm._FilterDatabase" localSheetId="4" hidden="1">Yucatán_EdoMun!$B$11:$D$12</definedName>
    <definedName name="_xlnm._FilterDatabase" localSheetId="1" hidden="1">Yucatán_EdoUsa!$B$11:$D$53</definedName>
    <definedName name="_xlnm._FilterDatabase" localSheetId="7" hidden="1">Yucatán_educ_gral!$B$11:$D$12</definedName>
    <definedName name="_xlnm._FilterDatabase" localSheetId="9" hidden="1">Yucatán_EducCons!$B$9:$E$9</definedName>
    <definedName name="_xlnm._FilterDatabase" localSheetId="10" hidden="1">Yucatán_GenGral!$B$11:$D$12</definedName>
    <definedName name="_xlnm._FilterDatabase" localSheetId="6" hidden="1">Yucatán_MUNICIPIO!$B$9:$E$9</definedName>
    <definedName name="_xlnm._FilterDatabase" localSheetId="8" hidden="1">Yucatán_NivelE_Cons!$B$9:$E$9</definedName>
    <definedName name="_xlnm._FilterDatabase" localSheetId="13" hidden="1">Yucatán_ocup_gral!$B$11:$D$12</definedName>
    <definedName name="_xlnm._FilterDatabase" localSheetId="5" hidden="1">Yucatán_USAMuni2018!$B$9:$E$9</definedName>
    <definedName name="_xlnm._FilterDatabase" localSheetId="3" hidden="1">YucatánXCons2018!$B$11:$D$12</definedName>
    <definedName name="_xlnm.Print_Area" localSheetId="9">Yucatán_EducCons!$A$1:$E$408</definedName>
    <definedName name="_xlnm.Print_Area" localSheetId="6">Yucatán_MUNICIPIO!$A$1:$E$505</definedName>
    <definedName name="_xlnm.Print_Area" localSheetId="8">Yucatán_NivelE_Cons!$A$1:$E$287</definedName>
    <definedName name="_xlnm.Print_Area" localSheetId="5">Yucatán_USAMuni2018!$A$1:$E$387</definedName>
    <definedName name="_xlnm.Print_Titles" localSheetId="2">Yucatán_Cons_2018!$1:$11</definedName>
    <definedName name="_xlnm.Print_Titles" localSheetId="4">Yucatán_EdoMun!$1:$11</definedName>
    <definedName name="_xlnm.Print_Titles" localSheetId="1">Yucatán_EdoUsa!$1:$11</definedName>
    <definedName name="_xlnm.Print_Titles" localSheetId="7">Yucatán_educ_gral!$1:$11</definedName>
    <definedName name="_xlnm.Print_Titles" localSheetId="9">Yucatán_EducCons!$1:$9</definedName>
    <definedName name="_xlnm.Print_Titles" localSheetId="12">Yucatán_Gen_Edad!$1:$11</definedName>
    <definedName name="_xlnm.Print_Titles" localSheetId="11">Yucatán_GENERO!$1:$11</definedName>
    <definedName name="_xlnm.Print_Titles" localSheetId="10">Yucatán_GenGral!$1:$11</definedName>
    <definedName name="_xlnm.Print_Titles" localSheetId="6">Yucatán_MUNICIPIO!$1:$9</definedName>
    <definedName name="_xlnm.Print_Titles" localSheetId="8">Yucatán_NivelE_Cons!$1:$9</definedName>
    <definedName name="_xlnm.Print_Titles" localSheetId="13">Yucatán_ocup_gral!$1:$11</definedName>
    <definedName name="_xlnm.Print_Titles" localSheetId="5">Yucatán_USAMuni2018!$1:$9</definedName>
    <definedName name="_xlnm.Print_Titles" localSheetId="3">YucatánXCons2018!$1:$11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15" i="10"/>
  <c r="D19" i="10"/>
  <c r="C22" i="10"/>
  <c r="D12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  <c r="D13" i="10"/>
  <c r="D20" i="10"/>
  <c r="D16" i="10"/>
</calcChain>
</file>

<file path=xl/sharedStrings.xml><?xml version="1.0" encoding="utf-8"?>
<sst xmlns="http://schemas.openxmlformats.org/spreadsheetml/2006/main" count="2257" uniqueCount="291">
  <si>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</si>
  <si>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</si>
  <si>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</si>
  <si>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</si>
  <si>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</si>
  <si>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</si>
  <si>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</si>
  <si>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</si>
  <si>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</si>
  <si>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</si>
  <si>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</si>
  <si>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</si>
  <si>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</si>
  <si>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</si>
  <si>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</si>
  <si>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</si>
  <si>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</si>
  <si>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Yucatán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</si>
  <si>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</si>
  <si>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</si>
  <si>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</si>
  <si>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</si>
  <si>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</si>
  <si>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</si>
  <si>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West Virginia</t>
  </si>
  <si>
    <t>Virginia</t>
  </si>
  <si>
    <t>New Mexico</t>
  </si>
  <si>
    <t>Massachusetts</t>
  </si>
  <si>
    <t>Hawaii</t>
  </si>
  <si>
    <t>District of Columbia</t>
  </si>
  <si>
    <t>Connecticut</t>
  </si>
  <si>
    <t>Oklahoma</t>
  </si>
  <si>
    <t>Mississippi</t>
  </si>
  <si>
    <t>Michigan</t>
  </si>
  <si>
    <t>Iowa</t>
  </si>
  <si>
    <t>Pennsylvania</t>
  </si>
  <si>
    <t>Ohio</t>
  </si>
  <si>
    <t>Maryland</t>
  </si>
  <si>
    <t>Wisconsin</t>
  </si>
  <si>
    <t>Tennessee</t>
  </si>
  <si>
    <t>Minnesota</t>
  </si>
  <si>
    <t>Kentucky</t>
  </si>
  <si>
    <t>South Carolina</t>
  </si>
  <si>
    <t>Nebraska</t>
  </si>
  <si>
    <t>New Jersey</t>
  </si>
  <si>
    <t>Kansas</t>
  </si>
  <si>
    <t>Arizona</t>
  </si>
  <si>
    <t>Idaho</t>
  </si>
  <si>
    <t>Missouri</t>
  </si>
  <si>
    <t>Georgia</t>
  </si>
  <si>
    <t>New York</t>
  </si>
  <si>
    <t>Alabama</t>
  </si>
  <si>
    <t>Louisiana</t>
  </si>
  <si>
    <t>North Carolina</t>
  </si>
  <si>
    <t>Indiana</t>
  </si>
  <si>
    <t>Arkansas</t>
  </si>
  <si>
    <t>Illinois</t>
  </si>
  <si>
    <t>Utah</t>
  </si>
  <si>
    <t>Florida</t>
  </si>
  <si>
    <t>Nevada</t>
  </si>
  <si>
    <t>Washington</t>
  </si>
  <si>
    <t>Colorado</t>
  </si>
  <si>
    <t>Oregon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</si>
  <si>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</si>
  <si>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</si>
  <si>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</si>
  <si>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</si>
  <si>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</si>
  <si>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YUCATÁN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</si>
  <si>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</si>
  <si>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</si>
  <si>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</si>
  <si>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</si>
  <si>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</si>
  <si>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</si>
  <si>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</si>
  <si>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</si>
  <si>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</si>
  <si>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</si>
  <si>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</si>
  <si>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</si>
  <si>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</si>
  <si>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</si>
  <si>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</si>
  <si>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</si>
  <si>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</si>
  <si>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</si>
  <si>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</si>
  <si>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</si>
  <si>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</si>
  <si>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</si>
  <si>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</si>
  <si>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</si>
  <si>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</si>
  <si>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</si>
  <si>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</si>
  <si>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</si>
  <si>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YUCATÁN POR NIVEL DE EDUCACIÓN, 2016.</t>
  </si>
  <si>
    <t>Yuma</t>
  </si>
  <si>
    <t>Tucson</t>
  </si>
  <si>
    <t>Seattle</t>
  </si>
  <si>
    <t>Santa Ana</t>
  </si>
  <si>
    <t>San Jose</t>
  </si>
  <si>
    <t>Menores de edad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</si>
  <si>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</si>
  <si>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</si>
  <si>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</si>
  <si>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</si>
  <si>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</si>
  <si>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</si>
  <si>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</si>
  <si>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</si>
  <si>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</si>
  <si>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</si>
  <si>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</si>
  <si>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</si>
  <si>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</si>
  <si>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</si>
  <si>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</si>
  <si>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</si>
  <si>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</si>
  <si>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</si>
  <si>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</si>
  <si>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</si>
  <si>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</si>
  <si>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</si>
  <si>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</si>
  <si>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</si>
  <si>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</si>
  <si>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</si>
  <si>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</si>
  <si>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</si>
  <si>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</si>
  <si>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</si>
  <si>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Dallas</t>
  </si>
  <si>
    <t>Chicago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</si>
  <si>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</si>
  <si>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</si>
  <si>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</si>
  <si>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</si>
  <si>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</si>
  <si>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</si>
  <si>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</si>
  <si>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</si>
  <si>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</si>
  <si>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</si>
  <si>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</si>
  <si>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</si>
  <si>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</si>
  <si>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</si>
  <si>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</si>
  <si>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</si>
  <si>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</si>
  <si>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</si>
  <si>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</si>
  <si>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</si>
  <si>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</si>
  <si>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</si>
  <si>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</si>
  <si>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YUCATÁN POR GÉNERO Y EDAD EN EE.UU.</t>
  </si>
  <si>
    <t>TOTAL</t>
  </si>
  <si>
    <t>MUJER</t>
  </si>
  <si>
    <t>HOMBRE</t>
  </si>
  <si>
    <t>MATRÍCULAS CONSULARES EXPEDIDAS A ORIGINARIOS DE YUCATÁN POR GÉNERO EN EE.UU DURANTE EL 2016.</t>
  </si>
  <si>
    <t>Presidio</t>
  </si>
  <si>
    <t>Nogales</t>
  </si>
  <si>
    <t>Eagle Pass</t>
  </si>
  <si>
    <t>Douglas</t>
  </si>
  <si>
    <t>Del Río</t>
  </si>
  <si>
    <t>Caléxico</t>
  </si>
  <si>
    <t>Mcallen</t>
  </si>
  <si>
    <t>Indianápolis</t>
  </si>
  <si>
    <t>San José</t>
  </si>
  <si>
    <t>Los Ángeles</t>
  </si>
  <si>
    <t>MATRÍCULAS CONSULARES DE ALTA SEGURIDAD EXPEDIDAS DURANTE EL 2018 A ORIGINARIOS DE YUCATÁN EN LOS CONSULADOS DE MÉXICO EN EE.UU.</t>
  </si>
  <si>
    <t>MATRÍCULAS CONSULARES EXPEDIDAS A ORIGINARIOS DE YUCATÁN POR GÉNERO Y CONSULADO DE MÉXICO 2018.</t>
  </si>
  <si>
    <t>Yobaín</t>
  </si>
  <si>
    <t>Yaxkukul</t>
  </si>
  <si>
    <t>Ucú</t>
  </si>
  <si>
    <t>Tixpéhual</t>
  </si>
  <si>
    <t>Ticumuy</t>
  </si>
  <si>
    <t>San Felipe</t>
  </si>
  <si>
    <t>Samahil</t>
  </si>
  <si>
    <t>Panabá</t>
  </si>
  <si>
    <t>Yaxcabá</t>
  </si>
  <si>
    <t>Tinum</t>
  </si>
  <si>
    <t>Temozón</t>
  </si>
  <si>
    <t>Tahdziú</t>
  </si>
  <si>
    <t>Suma</t>
  </si>
  <si>
    <t>Sacalum</t>
  </si>
  <si>
    <t>Kinchil</t>
  </si>
  <si>
    <t>Cuzamá</t>
  </si>
  <si>
    <t>Chemax</t>
  </si>
  <si>
    <t>Bokobá</t>
  </si>
  <si>
    <t>Teya</t>
  </si>
  <si>
    <t>Sinanché</t>
  </si>
  <si>
    <t>Quintana Roo</t>
  </si>
  <si>
    <t>Maxcanú</t>
  </si>
  <si>
    <t>Homún</t>
  </si>
  <si>
    <t>Dzemul</t>
  </si>
  <si>
    <t>Chikindzonot</t>
  </si>
  <si>
    <t>Chichimilá</t>
  </si>
  <si>
    <t>Cantamayec</t>
  </si>
  <si>
    <t>Calotmul</t>
  </si>
  <si>
    <t>Xocchel</t>
  </si>
  <si>
    <t>Opichén</t>
  </si>
  <si>
    <t>Espita</t>
  </si>
  <si>
    <t>Dzidzantún</t>
  </si>
  <si>
    <t>Conkal</t>
  </si>
  <si>
    <t>Chicxulub Pueblo</t>
  </si>
  <si>
    <t>Chacsinkín</t>
  </si>
  <si>
    <t>Umán</t>
  </si>
  <si>
    <t>Telchac Pueblo</t>
  </si>
  <si>
    <t>Sucilá</t>
  </si>
  <si>
    <t>Mayapán</t>
  </si>
  <si>
    <t>Kantunil</t>
  </si>
  <si>
    <t>Kanasín</t>
  </si>
  <si>
    <t>Tecoh</t>
  </si>
  <si>
    <t>Mocochá</t>
  </si>
  <si>
    <t>Hunucmá</t>
  </si>
  <si>
    <t>Chocholá</t>
  </si>
  <si>
    <t>Tahmek</t>
  </si>
  <si>
    <t>Seyé</t>
  </si>
  <si>
    <t>Hocabá</t>
  </si>
  <si>
    <t>Halachó</t>
  </si>
  <si>
    <t>Baca</t>
  </si>
  <si>
    <t>Cacalchén</t>
  </si>
  <si>
    <t>Temax</t>
  </si>
  <si>
    <t>Tekantó</t>
  </si>
  <si>
    <t>Muxupip</t>
  </si>
  <si>
    <t>Chapab</t>
  </si>
  <si>
    <t>Abalá</t>
  </si>
  <si>
    <t>Tixmehuac</t>
  </si>
  <si>
    <t>Acanceh</t>
  </si>
  <si>
    <t>Tixkokob</t>
  </si>
  <si>
    <t>Tekit</t>
  </si>
  <si>
    <t>Dzoncauich</t>
  </si>
  <si>
    <t>Tetiz</t>
  </si>
  <si>
    <t>Mama</t>
  </si>
  <si>
    <t>Tzucacab</t>
  </si>
  <si>
    <t>Valladolid</t>
  </si>
  <si>
    <t>Tizimín</t>
  </si>
  <si>
    <t>Sotuta</t>
  </si>
  <si>
    <t>Teabo</t>
  </si>
  <si>
    <t>Chumayel</t>
  </si>
  <si>
    <t>Huhí</t>
  </si>
  <si>
    <t>Progreso</t>
  </si>
  <si>
    <t>Cansahcab</t>
  </si>
  <si>
    <t>Buctzotz</t>
  </si>
  <si>
    <t>Santa Elena</t>
  </si>
  <si>
    <t>Maní</t>
  </si>
  <si>
    <t>Dzán</t>
  </si>
  <si>
    <t>Izamal</t>
  </si>
  <si>
    <t>Hoctún</t>
  </si>
  <si>
    <t>Tunkás</t>
  </si>
  <si>
    <t>Akil</t>
  </si>
  <si>
    <t>Cenotillo</t>
  </si>
  <si>
    <t>Ticul</t>
  </si>
  <si>
    <t>Tekax</t>
  </si>
  <si>
    <t>Muna</t>
  </si>
  <si>
    <t>Motul</t>
  </si>
  <si>
    <t>Peto</t>
  </si>
  <si>
    <t>Oxkutzcab</t>
  </si>
  <si>
    <t>Mérida</t>
  </si>
  <si>
    <t>Municipio de origen</t>
  </si>
  <si>
    <t>MATRÍCULAS CONSULARES DE ALTA SEGURIDAD EXPEDIDAS POR MUNICIPIO A ORIGINARIOS DEL ESTADO DE YUCATÁN EN LOS CONSULADOS DE MÉXICO EN EE.UU. 2018</t>
  </si>
  <si>
    <t>Tamaño de la muestra: 826,856</t>
  </si>
  <si>
    <t>Planchador(a)</t>
  </si>
  <si>
    <t>Carnicero</t>
  </si>
  <si>
    <t>Cajero(a)</t>
  </si>
  <si>
    <t>Panadero(a)</t>
  </si>
  <si>
    <t>Chofer</t>
  </si>
  <si>
    <t>Operario(a)</t>
  </si>
  <si>
    <t>Profesionista</t>
  </si>
  <si>
    <t>Jubilado(a)</t>
  </si>
  <si>
    <t>Comerciante</t>
  </si>
  <si>
    <t>Albañil</t>
  </si>
  <si>
    <t>Jardinero(a)</t>
  </si>
  <si>
    <t>Pintor(a)</t>
  </si>
  <si>
    <t>Mesero(a)</t>
  </si>
  <si>
    <t>Campesino(a)</t>
  </si>
  <si>
    <t>Otro</t>
  </si>
  <si>
    <t>Obrero(a)</t>
  </si>
  <si>
    <t>Estudiante</t>
  </si>
  <si>
    <t>Cocinero(a)</t>
  </si>
  <si>
    <t>Hogar</t>
  </si>
  <si>
    <t>Empleado(a)</t>
  </si>
  <si>
    <t>Ocupación</t>
  </si>
  <si>
    <t>MATRÍCULAS CONSULARES EXPEDIDAS EN EE.UU. A ORIGINARIOS DE YUCATÁN POR PERFIL OCUPACIONAL, 2018.</t>
  </si>
  <si>
    <t>Municipio de Origen</t>
  </si>
  <si>
    <t>Timucuy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</si>
</sst>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21" fillId="3" borderId="0" xfId="0" applyFont="1" applyFill="1"/>
    <xf numFmtId="0" fontId="21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21" fillId="3" borderId="0" xfId="0" applyFont="1" applyFill="1" applyBorder="1"/>
    <xf numFmtId="0" fontId="21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0" fillId="3" borderId="0" xfId="0" applyFont="1" applyFill="1" applyAlignment="1">
      <alignment horizont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19050</xdr:colOff>
      <xdr:row>2</xdr:row>
      <xdr:rowOff>161925</xdr:rowOff>
    </xdr:from>
    <xdr:to>
      <xdr:col>7</xdr:col>
      <xdr:colOff>20250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48300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YUCATÁN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YUCATÁN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YUCATÁN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YUCATÁN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1288676</xdr:colOff>
      <xdr:row>2</xdr:row>
      <xdr:rowOff>145677</xdr:rowOff>
    </xdr:from>
    <xdr:to>
      <xdr:col>4</xdr:col>
      <xdr:colOff>2051876</xdr:colOff>
      <xdr:row>3</xdr:row>
      <xdr:rowOff>372777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27911" y="49305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142875</xdr:colOff>
      <xdr:row>2</xdr:row>
      <xdr:rowOff>180975</xdr:rowOff>
    </xdr:from>
    <xdr:to>
      <xdr:col>6</xdr:col>
      <xdr:colOff>525075</xdr:colOff>
      <xdr:row>4</xdr:row>
      <xdr:rowOff>27075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53050" y="5143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171450</xdr:colOff>
      <xdr:row>2</xdr:row>
      <xdr:rowOff>114300</xdr:rowOff>
    </xdr:from>
    <xdr:to>
      <xdr:col>7</xdr:col>
      <xdr:colOff>553650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53175" y="4476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D11" sqref="D1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Yucatán_EdoUsa!A1" display="1. Por Estados de USA"/>
    <hyperlink ref="A8:D8" location="Yucatán_Cons_2018!A1" display="2. Por Circunscripción Consular"/>
    <hyperlink ref="B9:D9" location="YucatánXCons2018!A1" display="2.1 Top ten por circunscripción consular"/>
    <hyperlink ref="B12:D12" location="Yucatán_EdoMun!A1" display="3.1 Municipio general"/>
    <hyperlink ref="B13:D13" location="Yucatán_USAMuni2018!A1" display="3.2 Por Estado de USA"/>
    <hyperlink ref="B14:D14" location="Yucatán_MUNICIPIO!A1" display="3.3 Por Circunscripción Consular"/>
    <hyperlink ref="B17:D17" location="Yucatán_educ_gral!A1" display="4.1 Educación general"/>
    <hyperlink ref="B18:D18" location="Yucatán_NivelE_Cons!A1" display="4.2 Por Estado de USA"/>
    <hyperlink ref="B19:D19" location="Yucatán_EducCons!A1" display="4.3 Por Circunscripción Consular"/>
    <hyperlink ref="B22:D22" location="Yucatán_GenGral!A1" display="5.1 Género General"/>
    <hyperlink ref="B23:D23" location="Yucatán_GENERO!A1" display="5.2 Por Circunscripción Consular"/>
    <hyperlink ref="A25:D25" location="Yucatán_Gen_Edad!A1" display="6. Por estructura de Edad"/>
    <hyperlink ref="A27:D27" location="Yucatán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H12" sqref="H1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68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67</v>
      </c>
      <c r="C11" s="31" t="s">
        <v>66</v>
      </c>
      <c r="D11" s="30" t="s">
        <v>65</v>
      </c>
    </row>
    <row r="12" spans="1:4" x14ac:dyDescent="0.25">
      <c r="B12" s="27" t="s">
        <v>64</v>
      </c>
      <c r="C12" s="26">
        <v>1596</v>
      </c>
      <c r="D12" s="25">
        <v>0.66251556662515565</v>
      </c>
    </row>
    <row r="13" spans="1:4" s="28" customFormat="1" ht="15.75" x14ac:dyDescent="0.25">
      <c r="A13" s="17"/>
      <c r="B13" s="27" t="s">
        <v>63</v>
      </c>
      <c r="C13" s="26">
        <v>170</v>
      </c>
      <c r="D13" s="25">
        <v>7.0568700705687007E-2</v>
      </c>
    </row>
    <row r="14" spans="1:4" s="28" customFormat="1" ht="15.75" x14ac:dyDescent="0.25">
      <c r="A14" s="17"/>
      <c r="B14" s="27" t="s">
        <v>62</v>
      </c>
      <c r="C14" s="26">
        <v>161</v>
      </c>
      <c r="D14" s="25">
        <v>6.6832710668327105E-2</v>
      </c>
    </row>
    <row r="15" spans="1:4" x14ac:dyDescent="0.25">
      <c r="B15" s="27" t="s">
        <v>61</v>
      </c>
      <c r="C15" s="26">
        <v>69</v>
      </c>
      <c r="D15" s="25">
        <v>2.8642590286425903E-2</v>
      </c>
    </row>
    <row r="16" spans="1:4" x14ac:dyDescent="0.25">
      <c r="B16" s="27" t="s">
        <v>60</v>
      </c>
      <c r="C16" s="26">
        <v>64</v>
      </c>
      <c r="D16" s="25">
        <v>2.6567040265670402E-2</v>
      </c>
    </row>
    <row r="17" spans="2:4" x14ac:dyDescent="0.25">
      <c r="B17" s="27" t="s">
        <v>59</v>
      </c>
      <c r="C17" s="26">
        <v>52</v>
      </c>
      <c r="D17" s="25">
        <v>2.1585720215857203E-2</v>
      </c>
    </row>
    <row r="18" spans="2:4" x14ac:dyDescent="0.25">
      <c r="B18" s="27" t="s">
        <v>58</v>
      </c>
      <c r="C18" s="26">
        <v>47</v>
      </c>
      <c r="D18" s="25">
        <v>1.9510170195101702E-2</v>
      </c>
    </row>
    <row r="19" spans="2:4" x14ac:dyDescent="0.25">
      <c r="B19" s="27" t="s">
        <v>57</v>
      </c>
      <c r="C19" s="26">
        <v>42</v>
      </c>
      <c r="D19" s="25">
        <v>1.7434620174346202E-2</v>
      </c>
    </row>
    <row r="20" spans="2:4" x14ac:dyDescent="0.25">
      <c r="B20" s="27" t="s">
        <v>56</v>
      </c>
      <c r="C20" s="26">
        <v>29</v>
      </c>
      <c r="D20" s="25">
        <v>1.2038190120381901E-2</v>
      </c>
    </row>
    <row r="21" spans="2:4" x14ac:dyDescent="0.25">
      <c r="B21" s="27" t="s">
        <v>55</v>
      </c>
      <c r="C21" s="26">
        <v>23</v>
      </c>
      <c r="D21" s="25">
        <v>9.5475300954753015E-3</v>
      </c>
    </row>
    <row r="22" spans="2:4" x14ac:dyDescent="0.25">
      <c r="B22" s="27" t="s">
        <v>54</v>
      </c>
      <c r="C22" s="26">
        <v>15</v>
      </c>
      <c r="D22" s="25">
        <v>6.2266500622665004E-3</v>
      </c>
    </row>
    <row r="23" spans="2:4" x14ac:dyDescent="0.25">
      <c r="B23" s="27" t="s">
        <v>53</v>
      </c>
      <c r="C23" s="26">
        <v>13</v>
      </c>
      <c r="D23" s="25">
        <v>5.3964300539643007E-3</v>
      </c>
    </row>
    <row r="24" spans="2:4" x14ac:dyDescent="0.25">
      <c r="B24" s="27" t="s">
        <v>52</v>
      </c>
      <c r="C24" s="26">
        <v>11</v>
      </c>
      <c r="D24" s="25">
        <v>4.5662100456621002E-3</v>
      </c>
    </row>
    <row r="25" spans="2:4" x14ac:dyDescent="0.25">
      <c r="B25" s="27" t="s">
        <v>51</v>
      </c>
      <c r="C25" s="26">
        <v>10</v>
      </c>
      <c r="D25" s="25">
        <v>4.1511000415110008E-3</v>
      </c>
    </row>
    <row r="26" spans="2:4" x14ac:dyDescent="0.25">
      <c r="B26" s="27" t="s">
        <v>50</v>
      </c>
      <c r="C26" s="26">
        <v>10</v>
      </c>
      <c r="D26" s="25">
        <v>4.1511000415110008E-3</v>
      </c>
    </row>
    <row r="27" spans="2:4" x14ac:dyDescent="0.25">
      <c r="B27" s="27" t="s">
        <v>49</v>
      </c>
      <c r="C27" s="26">
        <v>9</v>
      </c>
      <c r="D27" s="25">
        <v>3.7359900373599006E-3</v>
      </c>
    </row>
    <row r="28" spans="2:4" x14ac:dyDescent="0.25">
      <c r="B28" s="27" t="s">
        <v>48</v>
      </c>
      <c r="C28" s="26">
        <v>9</v>
      </c>
      <c r="D28" s="25">
        <v>3.7359900373599006E-3</v>
      </c>
    </row>
    <row r="29" spans="2:4" x14ac:dyDescent="0.25">
      <c r="B29" s="27" t="s">
        <v>47</v>
      </c>
      <c r="C29" s="26">
        <v>8</v>
      </c>
      <c r="D29" s="25">
        <v>3.3208800332088003E-3</v>
      </c>
    </row>
    <row r="30" spans="2:4" x14ac:dyDescent="0.25">
      <c r="B30" s="27" t="s">
        <v>46</v>
      </c>
      <c r="C30" s="26">
        <v>7</v>
      </c>
      <c r="D30" s="25">
        <v>2.9057700290577005E-3</v>
      </c>
    </row>
    <row r="31" spans="2:4" x14ac:dyDescent="0.25">
      <c r="B31" s="27" t="s">
        <v>45</v>
      </c>
      <c r="C31" s="26">
        <v>7</v>
      </c>
      <c r="D31" s="25">
        <v>2.9057700290577005E-3</v>
      </c>
    </row>
    <row r="32" spans="2:4" x14ac:dyDescent="0.25">
      <c r="B32" s="27" t="s">
        <v>44</v>
      </c>
      <c r="C32" s="26">
        <v>7</v>
      </c>
      <c r="D32" s="25">
        <v>2.9057700290577005E-3</v>
      </c>
    </row>
    <row r="33" spans="2:4" x14ac:dyDescent="0.25">
      <c r="B33" s="27" t="s">
        <v>43</v>
      </c>
      <c r="C33" s="26">
        <v>5</v>
      </c>
      <c r="D33" s="25">
        <v>2.0755500207555004E-3</v>
      </c>
    </row>
    <row r="34" spans="2:4" x14ac:dyDescent="0.25">
      <c r="B34" s="27" t="s">
        <v>42</v>
      </c>
      <c r="C34" s="26">
        <v>5</v>
      </c>
      <c r="D34" s="25">
        <v>2.0755500207555004E-3</v>
      </c>
    </row>
    <row r="35" spans="2:4" x14ac:dyDescent="0.25">
      <c r="B35" s="27" t="s">
        <v>41</v>
      </c>
      <c r="C35" s="26">
        <v>4</v>
      </c>
      <c r="D35" s="25">
        <v>1.6604400166044002E-3</v>
      </c>
    </row>
    <row r="36" spans="2:4" x14ac:dyDescent="0.25">
      <c r="B36" s="27" t="s">
        <v>40</v>
      </c>
      <c r="C36" s="26">
        <v>4</v>
      </c>
      <c r="D36" s="25">
        <v>1.6604400166044002E-3</v>
      </c>
    </row>
    <row r="37" spans="2:4" x14ac:dyDescent="0.25">
      <c r="B37" s="27" t="s">
        <v>39</v>
      </c>
      <c r="C37" s="26">
        <v>4</v>
      </c>
      <c r="D37" s="25">
        <v>1.6604400166044002E-3</v>
      </c>
    </row>
    <row r="38" spans="2:4" x14ac:dyDescent="0.25">
      <c r="B38" s="27" t="s">
        <v>38</v>
      </c>
      <c r="C38" s="26">
        <v>4</v>
      </c>
      <c r="D38" s="25">
        <v>1.6604400166044002E-3</v>
      </c>
    </row>
    <row r="39" spans="2:4" x14ac:dyDescent="0.25">
      <c r="B39" s="27" t="s">
        <v>37</v>
      </c>
      <c r="C39" s="26">
        <v>3</v>
      </c>
      <c r="D39" s="25">
        <v>1.2453300124533001E-3</v>
      </c>
    </row>
    <row r="40" spans="2:4" x14ac:dyDescent="0.25">
      <c r="B40" s="27" t="s">
        <v>36</v>
      </c>
      <c r="C40" s="26">
        <v>3</v>
      </c>
      <c r="D40" s="25">
        <v>1.2453300124533001E-3</v>
      </c>
    </row>
    <row r="41" spans="2:4" x14ac:dyDescent="0.25">
      <c r="B41" s="27" t="s">
        <v>35</v>
      </c>
      <c r="C41" s="26">
        <v>3</v>
      </c>
      <c r="D41" s="25">
        <v>1.2453300124533001E-3</v>
      </c>
    </row>
    <row r="42" spans="2:4" x14ac:dyDescent="0.25">
      <c r="B42" s="27" t="s">
        <v>34</v>
      </c>
      <c r="C42" s="26">
        <v>2</v>
      </c>
      <c r="D42" s="25">
        <v>8.3022000830220008E-4</v>
      </c>
    </row>
    <row r="43" spans="2:4" x14ac:dyDescent="0.25">
      <c r="B43" s="27" t="s">
        <v>33</v>
      </c>
      <c r="C43" s="26">
        <v>2</v>
      </c>
      <c r="D43" s="25">
        <v>8.3022000830220008E-4</v>
      </c>
    </row>
    <row r="44" spans="2:4" x14ac:dyDescent="0.25">
      <c r="B44" s="27" t="s">
        <v>32</v>
      </c>
      <c r="C44" s="26">
        <v>2</v>
      </c>
      <c r="D44" s="25">
        <v>8.3022000830220008E-4</v>
      </c>
    </row>
    <row r="45" spans="2:4" x14ac:dyDescent="0.25">
      <c r="B45" s="27" t="s">
        <v>31</v>
      </c>
      <c r="C45" s="26">
        <v>2</v>
      </c>
      <c r="D45" s="25">
        <v>8.3022000830220008E-4</v>
      </c>
    </row>
    <row r="46" spans="2:4" x14ac:dyDescent="0.25">
      <c r="B46" s="27" t="s">
        <v>30</v>
      </c>
      <c r="C46" s="26">
        <v>1</v>
      </c>
      <c r="D46" s="25">
        <v>4.1511000415110004E-4</v>
      </c>
    </row>
    <row r="47" spans="2:4" x14ac:dyDescent="0.25">
      <c r="B47" s="27" t="s">
        <v>29</v>
      </c>
      <c r="C47" s="26">
        <v>1</v>
      </c>
      <c r="D47" s="25">
        <v>4.1511000415110004E-4</v>
      </c>
    </row>
    <row r="48" spans="2:4" x14ac:dyDescent="0.25">
      <c r="B48" s="27" t="s">
        <v>28</v>
      </c>
      <c r="C48" s="26">
        <v>1</v>
      </c>
      <c r="D48" s="25">
        <v>4.1511000415110004E-4</v>
      </c>
    </row>
    <row r="49" spans="2:4" x14ac:dyDescent="0.25">
      <c r="B49" s="27" t="s">
        <v>27</v>
      </c>
      <c r="C49" s="26">
        <v>1</v>
      </c>
      <c r="D49" s="25">
        <v>4.1511000415110004E-4</v>
      </c>
    </row>
    <row r="50" spans="2:4" x14ac:dyDescent="0.25">
      <c r="B50" s="27" t="s">
        <v>26</v>
      </c>
      <c r="C50" s="26">
        <v>1</v>
      </c>
      <c r="D50" s="25">
        <v>4.1511000415110004E-4</v>
      </c>
    </row>
    <row r="51" spans="2:4" x14ac:dyDescent="0.25">
      <c r="B51" s="27" t="s">
        <v>25</v>
      </c>
      <c r="C51" s="26">
        <v>1</v>
      </c>
      <c r="D51" s="25">
        <v>4.1511000415110004E-4</v>
      </c>
    </row>
    <row r="52" spans="2:4" x14ac:dyDescent="0.25">
      <c r="B52" s="27" t="s">
        <v>24</v>
      </c>
      <c r="C52" s="26">
        <v>1</v>
      </c>
      <c r="D52" s="25">
        <v>4.1511000415110004E-4</v>
      </c>
    </row>
    <row r="53" spans="2:4" ht="15" customHeight="1" x14ac:dyDescent="0.25">
      <c r="B53" s="24" t="s">
        <v>23</v>
      </c>
      <c r="C53" s="23">
        <v>2409</v>
      </c>
      <c r="D53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F15" sqref="F1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174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142</v>
      </c>
      <c r="C11" s="31" t="s">
        <v>66</v>
      </c>
      <c r="D11" s="30" t="s">
        <v>65</v>
      </c>
    </row>
    <row r="12" spans="1:4" ht="15" customHeight="1" x14ac:dyDescent="0.25">
      <c r="B12" s="27" t="s">
        <v>104</v>
      </c>
      <c r="C12" s="26">
        <v>820</v>
      </c>
      <c r="D12" s="25">
        <f t="shared" ref="D12:D43" si="0">C12/$C$62</f>
        <v>0.34039020340390203</v>
      </c>
    </row>
    <row r="13" spans="1:4" x14ac:dyDescent="0.25">
      <c r="B13" s="27" t="s">
        <v>173</v>
      </c>
      <c r="C13" s="26">
        <v>447</v>
      </c>
      <c r="D13" s="25">
        <f t="shared" si="0"/>
        <v>0.18555417185554171</v>
      </c>
    </row>
    <row r="14" spans="1:4" s="28" customFormat="1" ht="15.75" x14ac:dyDescent="0.25">
      <c r="A14" s="17"/>
      <c r="B14" s="27" t="s">
        <v>112</v>
      </c>
      <c r="C14" s="26">
        <v>194</v>
      </c>
      <c r="D14" s="25">
        <f t="shared" si="0"/>
        <v>8.0531340805313406E-2</v>
      </c>
    </row>
    <row r="15" spans="1:4" s="28" customFormat="1" ht="15.75" x14ac:dyDescent="0.25">
      <c r="A15" s="17"/>
      <c r="B15" s="27" t="s">
        <v>114</v>
      </c>
      <c r="C15" s="26">
        <v>135</v>
      </c>
      <c r="D15" s="25">
        <f t="shared" si="0"/>
        <v>5.6039850560398508E-2</v>
      </c>
    </row>
    <row r="16" spans="1:4" x14ac:dyDescent="0.25">
      <c r="B16" s="27" t="s">
        <v>134</v>
      </c>
      <c r="C16" s="26">
        <v>101</v>
      </c>
      <c r="D16" s="25">
        <f t="shared" si="0"/>
        <v>4.1926110419261108E-2</v>
      </c>
    </row>
    <row r="17" spans="2:4" x14ac:dyDescent="0.25">
      <c r="B17" s="27" t="s">
        <v>133</v>
      </c>
      <c r="C17" s="26">
        <v>69</v>
      </c>
      <c r="D17" s="25">
        <f t="shared" si="0"/>
        <v>2.8642590286425903E-2</v>
      </c>
    </row>
    <row r="18" spans="2:4" x14ac:dyDescent="0.25">
      <c r="B18" s="27" t="s">
        <v>106</v>
      </c>
      <c r="C18" s="26">
        <v>64</v>
      </c>
      <c r="D18" s="25">
        <f t="shared" si="0"/>
        <v>2.6567040265670402E-2</v>
      </c>
    </row>
    <row r="19" spans="2:4" x14ac:dyDescent="0.25">
      <c r="B19" s="27" t="s">
        <v>124</v>
      </c>
      <c r="C19" s="26">
        <v>53</v>
      </c>
      <c r="D19" s="25">
        <f t="shared" si="0"/>
        <v>2.2000830220008302E-2</v>
      </c>
    </row>
    <row r="20" spans="2:4" x14ac:dyDescent="0.25">
      <c r="B20" s="27" t="s">
        <v>101</v>
      </c>
      <c r="C20" s="26">
        <v>48</v>
      </c>
      <c r="D20" s="25">
        <f t="shared" si="0"/>
        <v>1.9925280199252802E-2</v>
      </c>
    </row>
    <row r="21" spans="2:4" x14ac:dyDescent="0.25">
      <c r="B21" s="27" t="s">
        <v>128</v>
      </c>
      <c r="C21" s="26">
        <v>44</v>
      </c>
      <c r="D21" s="25">
        <f t="shared" si="0"/>
        <v>1.8264840182648401E-2</v>
      </c>
    </row>
    <row r="22" spans="2:4" x14ac:dyDescent="0.25">
      <c r="B22" s="27" t="s">
        <v>172</v>
      </c>
      <c r="C22" s="26">
        <v>43</v>
      </c>
      <c r="D22" s="25">
        <f t="shared" si="0"/>
        <v>1.7849730178497301E-2</v>
      </c>
    </row>
    <row r="23" spans="2:4" x14ac:dyDescent="0.25">
      <c r="B23" s="27" t="s">
        <v>108</v>
      </c>
      <c r="C23" s="26">
        <v>41</v>
      </c>
      <c r="D23" s="25">
        <f t="shared" si="0"/>
        <v>1.7019510170195103E-2</v>
      </c>
    </row>
    <row r="24" spans="2:4" x14ac:dyDescent="0.25">
      <c r="B24" s="27" t="s">
        <v>135</v>
      </c>
      <c r="C24" s="26">
        <v>35</v>
      </c>
      <c r="D24" s="25">
        <f t="shared" si="0"/>
        <v>1.4528850145288501E-2</v>
      </c>
    </row>
    <row r="25" spans="2:4" x14ac:dyDescent="0.25">
      <c r="B25" s="27" t="s">
        <v>100</v>
      </c>
      <c r="C25" s="26">
        <v>31</v>
      </c>
      <c r="D25" s="25">
        <f t="shared" si="0"/>
        <v>1.2868410128684102E-2</v>
      </c>
    </row>
    <row r="26" spans="2:4" x14ac:dyDescent="0.25">
      <c r="B26" s="27" t="s">
        <v>123</v>
      </c>
      <c r="C26" s="26">
        <v>26</v>
      </c>
      <c r="D26" s="25">
        <f t="shared" si="0"/>
        <v>1.0792860107928601E-2</v>
      </c>
    </row>
    <row r="27" spans="2:4" x14ac:dyDescent="0.25">
      <c r="B27" s="27" t="s">
        <v>120</v>
      </c>
      <c r="C27" s="26">
        <v>26</v>
      </c>
      <c r="D27" s="25">
        <f t="shared" si="0"/>
        <v>1.0792860107928601E-2</v>
      </c>
    </row>
    <row r="28" spans="2:4" x14ac:dyDescent="0.25">
      <c r="B28" s="27" t="s">
        <v>140</v>
      </c>
      <c r="C28" s="26">
        <v>22</v>
      </c>
      <c r="D28" s="25">
        <f t="shared" si="0"/>
        <v>9.1324200913242004E-3</v>
      </c>
    </row>
    <row r="29" spans="2:4" x14ac:dyDescent="0.25">
      <c r="B29" s="27" t="s">
        <v>115</v>
      </c>
      <c r="C29" s="26">
        <v>22</v>
      </c>
      <c r="D29" s="25">
        <f t="shared" si="0"/>
        <v>9.1324200913242004E-3</v>
      </c>
    </row>
    <row r="30" spans="2:4" x14ac:dyDescent="0.25">
      <c r="B30" s="27" t="s">
        <v>110</v>
      </c>
      <c r="C30" s="26">
        <v>22</v>
      </c>
      <c r="D30" s="25">
        <f t="shared" si="0"/>
        <v>9.1324200913242004E-3</v>
      </c>
    </row>
    <row r="31" spans="2:4" x14ac:dyDescent="0.25">
      <c r="B31" s="27" t="s">
        <v>117</v>
      </c>
      <c r="C31" s="26">
        <v>18</v>
      </c>
      <c r="D31" s="25">
        <f t="shared" si="0"/>
        <v>7.4719800747198011E-3</v>
      </c>
    </row>
    <row r="32" spans="2:4" x14ac:dyDescent="0.25">
      <c r="B32" s="27" t="s">
        <v>111</v>
      </c>
      <c r="C32" s="26">
        <v>18</v>
      </c>
      <c r="D32" s="25">
        <f t="shared" si="0"/>
        <v>7.4719800747198011E-3</v>
      </c>
    </row>
    <row r="33" spans="2:4" x14ac:dyDescent="0.25">
      <c r="B33" s="27" t="s">
        <v>171</v>
      </c>
      <c r="C33" s="26">
        <v>16</v>
      </c>
      <c r="D33" s="25">
        <f t="shared" si="0"/>
        <v>6.6417600664176006E-3</v>
      </c>
    </row>
    <row r="34" spans="2:4" x14ac:dyDescent="0.25">
      <c r="B34" s="27" t="s">
        <v>126</v>
      </c>
      <c r="C34" s="26">
        <v>16</v>
      </c>
      <c r="D34" s="25">
        <f t="shared" si="0"/>
        <v>6.6417600664176006E-3</v>
      </c>
    </row>
    <row r="35" spans="2:4" x14ac:dyDescent="0.25">
      <c r="B35" s="27" t="s">
        <v>118</v>
      </c>
      <c r="C35" s="26">
        <v>13</v>
      </c>
      <c r="D35" s="25">
        <f t="shared" si="0"/>
        <v>5.3964300539643007E-3</v>
      </c>
    </row>
    <row r="36" spans="2:4" x14ac:dyDescent="0.25">
      <c r="B36" s="27" t="s">
        <v>139</v>
      </c>
      <c r="C36" s="26">
        <v>10</v>
      </c>
      <c r="D36" s="25">
        <f t="shared" si="0"/>
        <v>4.1511000415110008E-3</v>
      </c>
    </row>
    <row r="37" spans="2:4" x14ac:dyDescent="0.25">
      <c r="B37" s="27" t="s">
        <v>129</v>
      </c>
      <c r="C37" s="26">
        <v>10</v>
      </c>
      <c r="D37" s="25">
        <f t="shared" si="0"/>
        <v>4.1511000415110008E-3</v>
      </c>
    </row>
    <row r="38" spans="2:4" x14ac:dyDescent="0.25">
      <c r="B38" s="27" t="s">
        <v>138</v>
      </c>
      <c r="C38" s="26">
        <v>8</v>
      </c>
      <c r="D38" s="25">
        <f t="shared" si="0"/>
        <v>3.3208800332088003E-3</v>
      </c>
    </row>
    <row r="39" spans="2:4" x14ac:dyDescent="0.25">
      <c r="B39" s="27" t="s">
        <v>116</v>
      </c>
      <c r="C39" s="26">
        <v>7</v>
      </c>
      <c r="D39" s="25">
        <f t="shared" si="0"/>
        <v>2.9057700290577005E-3</v>
      </c>
    </row>
    <row r="40" spans="2:4" x14ac:dyDescent="0.25">
      <c r="B40" s="27" t="s">
        <v>105</v>
      </c>
      <c r="C40" s="26">
        <v>7</v>
      </c>
      <c r="D40" s="25">
        <f t="shared" si="0"/>
        <v>2.9057700290577005E-3</v>
      </c>
    </row>
    <row r="41" spans="2:4" x14ac:dyDescent="0.25">
      <c r="B41" s="27" t="s">
        <v>60</v>
      </c>
      <c r="C41" s="26">
        <v>6</v>
      </c>
      <c r="D41" s="25">
        <f t="shared" si="0"/>
        <v>2.4906600249066002E-3</v>
      </c>
    </row>
    <row r="42" spans="2:4" x14ac:dyDescent="0.25">
      <c r="B42" s="27" t="s">
        <v>136</v>
      </c>
      <c r="C42" s="26">
        <v>4</v>
      </c>
      <c r="D42" s="25">
        <f t="shared" si="0"/>
        <v>1.6604400166044002E-3</v>
      </c>
    </row>
    <row r="43" spans="2:4" x14ac:dyDescent="0.25">
      <c r="B43" s="27" t="s">
        <v>119</v>
      </c>
      <c r="C43" s="26">
        <v>4</v>
      </c>
      <c r="D43" s="25">
        <f t="shared" si="0"/>
        <v>1.6604400166044002E-3</v>
      </c>
    </row>
    <row r="44" spans="2:4" x14ac:dyDescent="0.25">
      <c r="B44" s="27" t="s">
        <v>109</v>
      </c>
      <c r="C44" s="26">
        <v>4</v>
      </c>
      <c r="D44" s="25">
        <f t="shared" ref="D44:D75" si="1">C44/$C$62</f>
        <v>1.6604400166044002E-3</v>
      </c>
    </row>
    <row r="45" spans="2:4" x14ac:dyDescent="0.25">
      <c r="B45" s="27" t="s">
        <v>98</v>
      </c>
      <c r="C45" s="26">
        <v>4</v>
      </c>
      <c r="D45" s="25">
        <f t="shared" si="1"/>
        <v>1.6604400166044002E-3</v>
      </c>
    </row>
    <row r="46" spans="2:4" x14ac:dyDescent="0.25">
      <c r="B46" s="27" t="s">
        <v>131</v>
      </c>
      <c r="C46" s="26">
        <v>3</v>
      </c>
      <c r="D46" s="25">
        <f t="shared" si="1"/>
        <v>1.2453300124533001E-3</v>
      </c>
    </row>
    <row r="47" spans="2:4" x14ac:dyDescent="0.25">
      <c r="B47" s="27" t="s">
        <v>130</v>
      </c>
      <c r="C47" s="26">
        <v>3</v>
      </c>
      <c r="D47" s="25">
        <f t="shared" si="1"/>
        <v>1.2453300124533001E-3</v>
      </c>
    </row>
    <row r="48" spans="2:4" x14ac:dyDescent="0.25">
      <c r="B48" s="27" t="s">
        <v>170</v>
      </c>
      <c r="C48" s="26">
        <v>3</v>
      </c>
      <c r="D48" s="25">
        <f t="shared" si="1"/>
        <v>1.2453300124533001E-3</v>
      </c>
    </row>
    <row r="49" spans="2:4" x14ac:dyDescent="0.25">
      <c r="B49" s="27" t="s">
        <v>107</v>
      </c>
      <c r="C49" s="26">
        <v>3</v>
      </c>
      <c r="D49" s="25">
        <f t="shared" si="1"/>
        <v>1.2453300124533001E-3</v>
      </c>
    </row>
    <row r="50" spans="2:4" x14ac:dyDescent="0.25">
      <c r="B50" s="27" t="s">
        <v>132</v>
      </c>
      <c r="C50" s="26">
        <v>2</v>
      </c>
      <c r="D50" s="25">
        <f t="shared" si="1"/>
        <v>8.3022000830220008E-4</v>
      </c>
    </row>
    <row r="51" spans="2:4" x14ac:dyDescent="0.25">
      <c r="B51" s="27" t="s">
        <v>125</v>
      </c>
      <c r="C51" s="26">
        <v>2</v>
      </c>
      <c r="D51" s="25">
        <f t="shared" si="1"/>
        <v>8.3022000830220008E-4</v>
      </c>
    </row>
    <row r="52" spans="2:4" x14ac:dyDescent="0.25">
      <c r="B52" s="27" t="s">
        <v>99</v>
      </c>
      <c r="C52" s="26">
        <v>2</v>
      </c>
      <c r="D52" s="25">
        <f t="shared" si="1"/>
        <v>8.3022000830220008E-4</v>
      </c>
    </row>
    <row r="53" spans="2:4" x14ac:dyDescent="0.25">
      <c r="B53" s="27" t="s">
        <v>141</v>
      </c>
      <c r="C53" s="26">
        <v>1</v>
      </c>
      <c r="D53" s="25">
        <f t="shared" si="1"/>
        <v>4.1511000415110004E-4</v>
      </c>
    </row>
    <row r="54" spans="2:4" x14ac:dyDescent="0.25">
      <c r="B54" s="27" t="s">
        <v>137</v>
      </c>
      <c r="C54" s="26">
        <v>1</v>
      </c>
      <c r="D54" s="25">
        <f t="shared" si="1"/>
        <v>4.1511000415110004E-4</v>
      </c>
    </row>
    <row r="55" spans="2:4" x14ac:dyDescent="0.25">
      <c r="B55" s="27" t="s">
        <v>113</v>
      </c>
      <c r="C55" s="26">
        <v>1</v>
      </c>
      <c r="D55" s="25">
        <f t="shared" si="1"/>
        <v>4.1511000415110004E-4</v>
      </c>
    </row>
    <row r="56" spans="2:4" x14ac:dyDescent="0.25">
      <c r="B56" s="27" t="s">
        <v>169</v>
      </c>
      <c r="C56" s="26">
        <v>0</v>
      </c>
      <c r="D56" s="25">
        <f t="shared" si="1"/>
        <v>0</v>
      </c>
    </row>
    <row r="57" spans="2:4" x14ac:dyDescent="0.25">
      <c r="B57" s="27" t="s">
        <v>168</v>
      </c>
      <c r="C57" s="26">
        <v>0</v>
      </c>
      <c r="D57" s="25">
        <f t="shared" si="1"/>
        <v>0</v>
      </c>
    </row>
    <row r="58" spans="2:4" x14ac:dyDescent="0.25">
      <c r="B58" s="27" t="s">
        <v>167</v>
      </c>
      <c r="C58" s="26">
        <v>0</v>
      </c>
      <c r="D58" s="25">
        <f t="shared" si="1"/>
        <v>0</v>
      </c>
    </row>
    <row r="59" spans="2:4" x14ac:dyDescent="0.25">
      <c r="B59" s="27" t="s">
        <v>166</v>
      </c>
      <c r="C59" s="26">
        <v>0</v>
      </c>
      <c r="D59" s="25">
        <f t="shared" si="1"/>
        <v>0</v>
      </c>
    </row>
    <row r="60" spans="2:4" x14ac:dyDescent="0.25">
      <c r="B60" s="27" t="s">
        <v>165</v>
      </c>
      <c r="C60" s="26">
        <v>0</v>
      </c>
      <c r="D60" s="25">
        <f t="shared" si="1"/>
        <v>0</v>
      </c>
    </row>
    <row r="61" spans="2:4" x14ac:dyDescent="0.25">
      <c r="B61" s="27" t="s">
        <v>164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2409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8" sqref="H1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174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142</v>
      </c>
      <c r="C11" s="31" t="s">
        <v>66</v>
      </c>
      <c r="D11" s="30" t="s">
        <v>65</v>
      </c>
    </row>
    <row r="12" spans="1:4" ht="15" customHeight="1" x14ac:dyDescent="0.25">
      <c r="B12" s="27" t="s">
        <v>104</v>
      </c>
      <c r="C12" s="26">
        <v>820</v>
      </c>
      <c r="D12" s="25">
        <f t="shared" ref="D12:D22" si="0">C12/$C$22</f>
        <v>0.41518987341772151</v>
      </c>
    </row>
    <row r="13" spans="1:4" x14ac:dyDescent="0.25">
      <c r="B13" s="27" t="s">
        <v>173</v>
      </c>
      <c r="C13" s="26">
        <v>447</v>
      </c>
      <c r="D13" s="25">
        <f t="shared" si="0"/>
        <v>0.22632911392405064</v>
      </c>
    </row>
    <row r="14" spans="1:4" s="28" customFormat="1" ht="15.75" x14ac:dyDescent="0.25">
      <c r="A14" s="17"/>
      <c r="B14" s="27" t="s">
        <v>112</v>
      </c>
      <c r="C14" s="26">
        <v>194</v>
      </c>
      <c r="D14" s="25">
        <f t="shared" si="0"/>
        <v>9.8227848101265822E-2</v>
      </c>
    </row>
    <row r="15" spans="1:4" s="28" customFormat="1" ht="15.75" x14ac:dyDescent="0.25">
      <c r="A15" s="17"/>
      <c r="B15" s="27" t="s">
        <v>114</v>
      </c>
      <c r="C15" s="26">
        <v>135</v>
      </c>
      <c r="D15" s="25">
        <f t="shared" si="0"/>
        <v>6.8354430379746839E-2</v>
      </c>
    </row>
    <row r="16" spans="1:4" x14ac:dyDescent="0.25">
      <c r="B16" s="27" t="s">
        <v>134</v>
      </c>
      <c r="C16" s="26">
        <v>101</v>
      </c>
      <c r="D16" s="25">
        <f t="shared" si="0"/>
        <v>5.1139240506329113E-2</v>
      </c>
    </row>
    <row r="17" spans="2:4" x14ac:dyDescent="0.25">
      <c r="B17" s="27" t="s">
        <v>133</v>
      </c>
      <c r="C17" s="26">
        <v>69</v>
      </c>
      <c r="D17" s="25">
        <f t="shared" si="0"/>
        <v>3.4936708860759495E-2</v>
      </c>
    </row>
    <row r="18" spans="2:4" x14ac:dyDescent="0.25">
      <c r="B18" s="27" t="s">
        <v>106</v>
      </c>
      <c r="C18" s="26">
        <v>64</v>
      </c>
      <c r="D18" s="25">
        <f t="shared" si="0"/>
        <v>3.2405063291139242E-2</v>
      </c>
    </row>
    <row r="19" spans="2:4" x14ac:dyDescent="0.25">
      <c r="B19" s="27" t="s">
        <v>124</v>
      </c>
      <c r="C19" s="26">
        <v>53</v>
      </c>
      <c r="D19" s="25">
        <f t="shared" si="0"/>
        <v>2.6835443037974683E-2</v>
      </c>
    </row>
    <row r="20" spans="2:4" x14ac:dyDescent="0.25">
      <c r="B20" s="27" t="s">
        <v>101</v>
      </c>
      <c r="C20" s="26">
        <v>48</v>
      </c>
      <c r="D20" s="25">
        <f t="shared" si="0"/>
        <v>2.430379746835443E-2</v>
      </c>
    </row>
    <row r="21" spans="2:4" x14ac:dyDescent="0.25">
      <c r="B21" s="27" t="s">
        <v>128</v>
      </c>
      <c r="C21" s="26">
        <v>44</v>
      </c>
      <c r="D21" s="25">
        <f t="shared" si="0"/>
        <v>2.2278481012658228E-2</v>
      </c>
    </row>
    <row r="22" spans="2:4" x14ac:dyDescent="0.25">
      <c r="B22" s="24" t="s">
        <v>23</v>
      </c>
      <c r="C22" s="23">
        <f>SUM(C12:C21)</f>
        <v>1975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06"/>
  <sheetViews>
    <sheetView showGridLines="0" zoomScaleNormal="100" zoomScaleSheetLayoutView="115" workbookViewId="0">
      <selection activeCell="H12" sqref="H1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265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264</v>
      </c>
      <c r="C11" s="31" t="s">
        <v>66</v>
      </c>
      <c r="D11" s="30" t="s">
        <v>65</v>
      </c>
    </row>
    <row r="12" spans="1:4" ht="15" customHeight="1" x14ac:dyDescent="0.25">
      <c r="B12" s="27" t="s">
        <v>263</v>
      </c>
      <c r="C12" s="26">
        <v>518</v>
      </c>
      <c r="D12" s="25">
        <v>0.21502698215026983</v>
      </c>
    </row>
    <row r="13" spans="1:4" x14ac:dyDescent="0.25">
      <c r="B13" s="27" t="s">
        <v>262</v>
      </c>
      <c r="C13" s="26">
        <v>423</v>
      </c>
      <c r="D13" s="25">
        <v>0.17559153175591533</v>
      </c>
    </row>
    <row r="14" spans="1:4" s="28" customFormat="1" ht="15.75" x14ac:dyDescent="0.25">
      <c r="A14" s="17"/>
      <c r="B14" s="27" t="s">
        <v>261</v>
      </c>
      <c r="C14" s="26">
        <v>154</v>
      </c>
      <c r="D14" s="25">
        <v>6.3926940639269403E-2</v>
      </c>
    </row>
    <row r="15" spans="1:4" s="28" customFormat="1" ht="15.75" x14ac:dyDescent="0.25">
      <c r="A15" s="17"/>
      <c r="B15" s="27" t="s">
        <v>260</v>
      </c>
      <c r="C15" s="26">
        <v>129</v>
      </c>
      <c r="D15" s="25">
        <v>5.3549190535491904E-2</v>
      </c>
    </row>
    <row r="16" spans="1:4" x14ac:dyDescent="0.25">
      <c r="B16" s="27" t="s">
        <v>259</v>
      </c>
      <c r="C16" s="26">
        <v>124</v>
      </c>
      <c r="D16" s="25">
        <v>5.1473640514736407E-2</v>
      </c>
    </row>
    <row r="17" spans="2:4" x14ac:dyDescent="0.25">
      <c r="B17" s="27" t="s">
        <v>258</v>
      </c>
      <c r="C17" s="26">
        <v>121</v>
      </c>
      <c r="D17" s="25">
        <v>5.0228310502283102E-2</v>
      </c>
    </row>
    <row r="18" spans="2:4" x14ac:dyDescent="0.25">
      <c r="B18" s="27" t="s">
        <v>257</v>
      </c>
      <c r="C18" s="26">
        <v>67</v>
      </c>
      <c r="D18" s="25">
        <v>2.7812370278123704E-2</v>
      </c>
    </row>
    <row r="19" spans="2:4" x14ac:dyDescent="0.25">
      <c r="B19" s="27" t="s">
        <v>256</v>
      </c>
      <c r="C19" s="26">
        <v>59</v>
      </c>
      <c r="D19" s="25">
        <v>2.4491490244914902E-2</v>
      </c>
    </row>
    <row r="20" spans="2:4" x14ac:dyDescent="0.25">
      <c r="B20" s="27" t="s">
        <v>255</v>
      </c>
      <c r="C20" s="26">
        <v>51</v>
      </c>
      <c r="D20" s="25">
        <v>2.1170610211706103E-2</v>
      </c>
    </row>
    <row r="21" spans="2:4" x14ac:dyDescent="0.25">
      <c r="B21" s="27" t="s">
        <v>254</v>
      </c>
      <c r="C21" s="26">
        <v>48</v>
      </c>
      <c r="D21" s="25">
        <v>1.9925280199252802E-2</v>
      </c>
    </row>
    <row r="22" spans="2:4" x14ac:dyDescent="0.25">
      <c r="B22" s="27" t="s">
        <v>253</v>
      </c>
      <c r="C22" s="26">
        <v>38</v>
      </c>
      <c r="D22" s="25">
        <v>1.5774180157741801E-2</v>
      </c>
    </row>
    <row r="23" spans="2:4" x14ac:dyDescent="0.25">
      <c r="B23" s="27" t="s">
        <v>252</v>
      </c>
      <c r="C23" s="26">
        <v>34</v>
      </c>
      <c r="D23" s="25">
        <v>1.4113740141137402E-2</v>
      </c>
    </row>
    <row r="24" spans="2:4" x14ac:dyDescent="0.25">
      <c r="B24" s="27" t="s">
        <v>251</v>
      </c>
      <c r="C24" s="26">
        <v>31</v>
      </c>
      <c r="D24" s="25">
        <v>1.2868410128684102E-2</v>
      </c>
    </row>
    <row r="25" spans="2:4" x14ac:dyDescent="0.25">
      <c r="B25" s="27" t="s">
        <v>250</v>
      </c>
      <c r="C25" s="26">
        <v>30</v>
      </c>
      <c r="D25" s="25">
        <v>1.2453300124533001E-2</v>
      </c>
    </row>
    <row r="26" spans="2:4" x14ac:dyDescent="0.25">
      <c r="B26" s="27" t="s">
        <v>249</v>
      </c>
      <c r="C26" s="26">
        <v>30</v>
      </c>
      <c r="D26" s="25">
        <v>1.2453300124533001E-2</v>
      </c>
    </row>
    <row r="27" spans="2:4" x14ac:dyDescent="0.25">
      <c r="B27" s="27" t="s">
        <v>248</v>
      </c>
      <c r="C27" s="26">
        <v>26</v>
      </c>
      <c r="D27" s="25">
        <v>1.0792860107928601E-2</v>
      </c>
    </row>
    <row r="28" spans="2:4" x14ac:dyDescent="0.25">
      <c r="B28" s="27" t="s">
        <v>247</v>
      </c>
      <c r="C28" s="26">
        <v>26</v>
      </c>
      <c r="D28" s="25">
        <v>1.0792860107928601E-2</v>
      </c>
    </row>
    <row r="29" spans="2:4" x14ac:dyDescent="0.25">
      <c r="B29" s="27" t="s">
        <v>246</v>
      </c>
      <c r="C29" s="26">
        <v>25</v>
      </c>
      <c r="D29" s="25">
        <v>1.03777501037775E-2</v>
      </c>
    </row>
    <row r="30" spans="2:4" x14ac:dyDescent="0.25">
      <c r="B30" s="27" t="s">
        <v>245</v>
      </c>
      <c r="C30" s="26">
        <v>24</v>
      </c>
      <c r="D30" s="25">
        <v>9.9626400996264009E-3</v>
      </c>
    </row>
    <row r="31" spans="2:4" x14ac:dyDescent="0.25">
      <c r="B31" s="27" t="s">
        <v>244</v>
      </c>
      <c r="C31" s="26">
        <v>23</v>
      </c>
      <c r="D31" s="25">
        <v>9.5475300954753015E-3</v>
      </c>
    </row>
    <row r="32" spans="2:4" x14ac:dyDescent="0.25">
      <c r="B32" s="27" t="s">
        <v>243</v>
      </c>
      <c r="C32" s="26">
        <v>23</v>
      </c>
      <c r="D32" s="25">
        <v>9.5475300954753015E-3</v>
      </c>
    </row>
    <row r="33" spans="2:4" x14ac:dyDescent="0.25">
      <c r="B33" s="27" t="s">
        <v>242</v>
      </c>
      <c r="C33" s="26">
        <v>20</v>
      </c>
      <c r="D33" s="25">
        <v>8.3022000830220016E-3</v>
      </c>
    </row>
    <row r="34" spans="2:4" x14ac:dyDescent="0.25">
      <c r="B34" s="27" t="s">
        <v>241</v>
      </c>
      <c r="C34" s="26">
        <v>19</v>
      </c>
      <c r="D34" s="25">
        <v>7.8870900788709005E-3</v>
      </c>
    </row>
    <row r="35" spans="2:4" x14ac:dyDescent="0.25">
      <c r="B35" s="27" t="s">
        <v>240</v>
      </c>
      <c r="C35" s="26">
        <v>19</v>
      </c>
      <c r="D35" s="25">
        <v>7.8870900788709005E-3</v>
      </c>
    </row>
    <row r="36" spans="2:4" x14ac:dyDescent="0.25">
      <c r="B36" s="27" t="s">
        <v>239</v>
      </c>
      <c r="C36" s="26">
        <v>17</v>
      </c>
      <c r="D36" s="25">
        <v>7.0568700705687009E-3</v>
      </c>
    </row>
    <row r="37" spans="2:4" x14ac:dyDescent="0.25">
      <c r="B37" s="27" t="s">
        <v>238</v>
      </c>
      <c r="C37" s="26">
        <v>16</v>
      </c>
      <c r="D37" s="25">
        <v>6.6417600664176006E-3</v>
      </c>
    </row>
    <row r="38" spans="2:4" x14ac:dyDescent="0.25">
      <c r="B38" s="27" t="s">
        <v>237</v>
      </c>
      <c r="C38" s="26">
        <v>16</v>
      </c>
      <c r="D38" s="25">
        <v>6.6417600664176006E-3</v>
      </c>
    </row>
    <row r="39" spans="2:4" x14ac:dyDescent="0.25">
      <c r="B39" s="27" t="s">
        <v>236</v>
      </c>
      <c r="C39" s="26">
        <v>15</v>
      </c>
      <c r="D39" s="25">
        <v>6.2266500622665004E-3</v>
      </c>
    </row>
    <row r="40" spans="2:4" x14ac:dyDescent="0.25">
      <c r="B40" s="27" t="s">
        <v>235</v>
      </c>
      <c r="C40" s="26">
        <v>13</v>
      </c>
      <c r="D40" s="25">
        <v>5.3964300539643007E-3</v>
      </c>
    </row>
    <row r="41" spans="2:4" x14ac:dyDescent="0.25">
      <c r="B41" s="27" t="s">
        <v>234</v>
      </c>
      <c r="C41" s="26">
        <v>13</v>
      </c>
      <c r="D41" s="25">
        <v>5.3964300539643007E-3</v>
      </c>
    </row>
    <row r="42" spans="2:4" x14ac:dyDescent="0.25">
      <c r="B42" s="27" t="s">
        <v>233</v>
      </c>
      <c r="C42" s="26">
        <v>11</v>
      </c>
      <c r="D42" s="25">
        <v>4.5662100456621002E-3</v>
      </c>
    </row>
    <row r="43" spans="2:4" x14ac:dyDescent="0.25">
      <c r="B43" s="27" t="s">
        <v>232</v>
      </c>
      <c r="C43" s="26">
        <v>11</v>
      </c>
      <c r="D43" s="25">
        <v>4.5662100456621002E-3</v>
      </c>
    </row>
    <row r="44" spans="2:4" x14ac:dyDescent="0.25">
      <c r="B44" s="27" t="s">
        <v>231</v>
      </c>
      <c r="C44" s="26">
        <v>10</v>
      </c>
      <c r="D44" s="25">
        <v>4.1511000415110008E-3</v>
      </c>
    </row>
    <row r="45" spans="2:4" x14ac:dyDescent="0.25">
      <c r="B45" s="27" t="s">
        <v>230</v>
      </c>
      <c r="C45" s="26">
        <v>10</v>
      </c>
      <c r="D45" s="25">
        <v>4.1511000415110008E-3</v>
      </c>
    </row>
    <row r="46" spans="2:4" x14ac:dyDescent="0.25">
      <c r="B46" s="27" t="s">
        <v>229</v>
      </c>
      <c r="C46" s="26">
        <v>10</v>
      </c>
      <c r="D46" s="25">
        <v>4.1511000415110008E-3</v>
      </c>
    </row>
    <row r="47" spans="2:4" x14ac:dyDescent="0.25">
      <c r="B47" s="27" t="s">
        <v>228</v>
      </c>
      <c r="C47" s="26">
        <v>10</v>
      </c>
      <c r="D47" s="25">
        <v>4.1511000415110008E-3</v>
      </c>
    </row>
    <row r="48" spans="2:4" x14ac:dyDescent="0.25">
      <c r="B48" s="27" t="s">
        <v>227</v>
      </c>
      <c r="C48" s="26">
        <v>10</v>
      </c>
      <c r="D48" s="25">
        <v>4.1511000415110008E-3</v>
      </c>
    </row>
    <row r="49" spans="2:4" x14ac:dyDescent="0.25">
      <c r="B49" s="27" t="s">
        <v>226</v>
      </c>
      <c r="C49" s="26">
        <v>9</v>
      </c>
      <c r="D49" s="25">
        <v>3.7359900373599006E-3</v>
      </c>
    </row>
    <row r="50" spans="2:4" x14ac:dyDescent="0.25">
      <c r="B50" s="27" t="s">
        <v>225</v>
      </c>
      <c r="C50" s="26">
        <v>8</v>
      </c>
      <c r="D50" s="25">
        <v>3.3208800332088003E-3</v>
      </c>
    </row>
    <row r="51" spans="2:4" x14ac:dyDescent="0.25">
      <c r="B51" s="27" t="s">
        <v>224</v>
      </c>
      <c r="C51" s="26">
        <v>7</v>
      </c>
      <c r="D51" s="25">
        <v>2.9057700290577005E-3</v>
      </c>
    </row>
    <row r="52" spans="2:4" x14ac:dyDescent="0.25">
      <c r="B52" s="27" t="s">
        <v>223</v>
      </c>
      <c r="C52" s="26">
        <v>7</v>
      </c>
      <c r="D52" s="25">
        <v>2.9057700290577005E-3</v>
      </c>
    </row>
    <row r="53" spans="2:4" x14ac:dyDescent="0.25">
      <c r="B53" s="27" t="s">
        <v>222</v>
      </c>
      <c r="C53" s="26">
        <v>7</v>
      </c>
      <c r="D53" s="25">
        <v>2.9057700290577005E-3</v>
      </c>
    </row>
    <row r="54" spans="2:4" x14ac:dyDescent="0.25">
      <c r="B54" s="27" t="s">
        <v>221</v>
      </c>
      <c r="C54" s="26">
        <v>7</v>
      </c>
      <c r="D54" s="25">
        <v>2.9057700290577005E-3</v>
      </c>
    </row>
    <row r="55" spans="2:4" x14ac:dyDescent="0.25">
      <c r="B55" s="27" t="s">
        <v>220</v>
      </c>
      <c r="C55" s="26">
        <v>6</v>
      </c>
      <c r="D55" s="25">
        <v>2.4906600249066002E-3</v>
      </c>
    </row>
    <row r="56" spans="2:4" x14ac:dyDescent="0.25">
      <c r="B56" s="27" t="s">
        <v>219</v>
      </c>
      <c r="C56" s="26">
        <v>6</v>
      </c>
      <c r="D56" s="25">
        <v>2.4906600249066002E-3</v>
      </c>
    </row>
    <row r="57" spans="2:4" x14ac:dyDescent="0.25">
      <c r="B57" s="27" t="s">
        <v>218</v>
      </c>
      <c r="C57" s="26">
        <v>6</v>
      </c>
      <c r="D57" s="25">
        <v>2.4906600249066002E-3</v>
      </c>
    </row>
    <row r="58" spans="2:4" x14ac:dyDescent="0.25">
      <c r="B58" s="27" t="s">
        <v>217</v>
      </c>
      <c r="C58" s="26">
        <v>6</v>
      </c>
      <c r="D58" s="25">
        <v>2.4906600249066002E-3</v>
      </c>
    </row>
    <row r="59" spans="2:4" x14ac:dyDescent="0.25">
      <c r="B59" s="27" t="s">
        <v>216</v>
      </c>
      <c r="C59" s="26">
        <v>5</v>
      </c>
      <c r="D59" s="25">
        <v>2.0755500207555004E-3</v>
      </c>
    </row>
    <row r="60" spans="2:4" x14ac:dyDescent="0.25">
      <c r="B60" s="27" t="s">
        <v>215</v>
      </c>
      <c r="C60" s="26">
        <v>5</v>
      </c>
      <c r="D60" s="25">
        <v>2.0755500207555004E-3</v>
      </c>
    </row>
    <row r="61" spans="2:4" x14ac:dyDescent="0.25">
      <c r="B61" s="27" t="s">
        <v>214</v>
      </c>
      <c r="C61" s="26">
        <v>5</v>
      </c>
      <c r="D61" s="25">
        <v>2.0755500207555004E-3</v>
      </c>
    </row>
    <row r="62" spans="2:4" x14ac:dyDescent="0.25">
      <c r="B62" s="27" t="s">
        <v>213</v>
      </c>
      <c r="C62" s="26">
        <v>5</v>
      </c>
      <c r="D62" s="25">
        <v>2.0755500207555004E-3</v>
      </c>
    </row>
    <row r="63" spans="2:4" x14ac:dyDescent="0.25">
      <c r="B63" s="27" t="s">
        <v>212</v>
      </c>
      <c r="C63" s="26">
        <v>5</v>
      </c>
      <c r="D63" s="25">
        <v>2.0755500207555004E-3</v>
      </c>
    </row>
    <row r="64" spans="2:4" x14ac:dyDescent="0.25">
      <c r="B64" s="27" t="s">
        <v>211</v>
      </c>
      <c r="C64" s="26">
        <v>5</v>
      </c>
      <c r="D64" s="25">
        <v>2.0755500207555004E-3</v>
      </c>
    </row>
    <row r="65" spans="2:4" x14ac:dyDescent="0.25">
      <c r="B65" s="27" t="s">
        <v>210</v>
      </c>
      <c r="C65" s="26">
        <v>4</v>
      </c>
      <c r="D65" s="25">
        <v>1.6604400166044002E-3</v>
      </c>
    </row>
    <row r="66" spans="2:4" x14ac:dyDescent="0.25">
      <c r="B66" s="27" t="s">
        <v>209</v>
      </c>
      <c r="C66" s="26">
        <v>4</v>
      </c>
      <c r="D66" s="25">
        <v>1.6604400166044002E-3</v>
      </c>
    </row>
    <row r="67" spans="2:4" x14ac:dyDescent="0.25">
      <c r="B67" s="27" t="s">
        <v>208</v>
      </c>
      <c r="C67" s="26">
        <v>4</v>
      </c>
      <c r="D67" s="25">
        <v>1.6604400166044002E-3</v>
      </c>
    </row>
    <row r="68" spans="2:4" x14ac:dyDescent="0.25">
      <c r="B68" s="27" t="s">
        <v>207</v>
      </c>
      <c r="C68" s="26">
        <v>4</v>
      </c>
      <c r="D68" s="25">
        <v>1.6604400166044002E-3</v>
      </c>
    </row>
    <row r="69" spans="2:4" x14ac:dyDescent="0.25">
      <c r="B69" s="27" t="s">
        <v>206</v>
      </c>
      <c r="C69" s="26">
        <v>4</v>
      </c>
      <c r="D69" s="25">
        <v>1.6604400166044002E-3</v>
      </c>
    </row>
    <row r="70" spans="2:4" x14ac:dyDescent="0.25">
      <c r="B70" s="27" t="s">
        <v>205</v>
      </c>
      <c r="C70" s="26">
        <v>4</v>
      </c>
      <c r="D70" s="25">
        <v>1.6604400166044002E-3</v>
      </c>
    </row>
    <row r="71" spans="2:4" x14ac:dyDescent="0.25">
      <c r="B71" s="27" t="s">
        <v>204</v>
      </c>
      <c r="C71" s="26">
        <v>4</v>
      </c>
      <c r="D71" s="25">
        <v>1.6604400166044002E-3</v>
      </c>
    </row>
    <row r="72" spans="2:4" x14ac:dyDescent="0.25">
      <c r="B72" s="27" t="s">
        <v>203</v>
      </c>
      <c r="C72" s="26">
        <v>3</v>
      </c>
      <c r="D72" s="25">
        <v>1.2453300124533001E-3</v>
      </c>
    </row>
    <row r="73" spans="2:4" x14ac:dyDescent="0.25">
      <c r="B73" s="27" t="s">
        <v>202</v>
      </c>
      <c r="C73" s="26">
        <v>3</v>
      </c>
      <c r="D73" s="25">
        <v>1.2453300124533001E-3</v>
      </c>
    </row>
    <row r="74" spans="2:4" x14ac:dyDescent="0.25">
      <c r="B74" s="27" t="s">
        <v>201</v>
      </c>
      <c r="C74" s="26">
        <v>3</v>
      </c>
      <c r="D74" s="25">
        <v>1.2453300124533001E-3</v>
      </c>
    </row>
    <row r="75" spans="2:4" x14ac:dyDescent="0.25">
      <c r="B75" s="27" t="s">
        <v>200</v>
      </c>
      <c r="C75" s="26">
        <v>3</v>
      </c>
      <c r="D75" s="25">
        <v>1.2453300124533001E-3</v>
      </c>
    </row>
    <row r="76" spans="2:4" x14ac:dyDescent="0.25">
      <c r="B76" s="27" t="s">
        <v>199</v>
      </c>
      <c r="C76" s="26">
        <v>3</v>
      </c>
      <c r="D76" s="25">
        <v>1.2453300124533001E-3</v>
      </c>
    </row>
    <row r="77" spans="2:4" x14ac:dyDescent="0.25">
      <c r="B77" s="27" t="s">
        <v>198</v>
      </c>
      <c r="C77" s="26">
        <v>3</v>
      </c>
      <c r="D77" s="25">
        <v>1.2453300124533001E-3</v>
      </c>
    </row>
    <row r="78" spans="2:4" x14ac:dyDescent="0.25">
      <c r="B78" s="27" t="s">
        <v>197</v>
      </c>
      <c r="C78" s="26">
        <v>3</v>
      </c>
      <c r="D78" s="25">
        <v>1.2453300124533001E-3</v>
      </c>
    </row>
    <row r="79" spans="2:4" x14ac:dyDescent="0.25">
      <c r="B79" s="27" t="s">
        <v>196</v>
      </c>
      <c r="C79" s="26">
        <v>3</v>
      </c>
      <c r="D79" s="25">
        <v>1.2453300124533001E-3</v>
      </c>
    </row>
    <row r="80" spans="2:4" x14ac:dyDescent="0.25">
      <c r="B80" s="27" t="s">
        <v>195</v>
      </c>
      <c r="C80" s="26">
        <v>3</v>
      </c>
      <c r="D80" s="25">
        <v>1.2453300124533001E-3</v>
      </c>
    </row>
    <row r="81" spans="2:4" x14ac:dyDescent="0.25">
      <c r="B81" s="27" t="s">
        <v>194</v>
      </c>
      <c r="C81" s="26">
        <v>3</v>
      </c>
      <c r="D81" s="25">
        <v>1.2453300124533001E-3</v>
      </c>
    </row>
    <row r="82" spans="2:4" x14ac:dyDescent="0.25">
      <c r="B82" s="27" t="s">
        <v>193</v>
      </c>
      <c r="C82" s="26">
        <v>2</v>
      </c>
      <c r="D82" s="25">
        <v>8.3022000830220008E-4</v>
      </c>
    </row>
    <row r="83" spans="2:4" x14ac:dyDescent="0.25">
      <c r="B83" s="27" t="s">
        <v>192</v>
      </c>
      <c r="C83" s="26">
        <v>2</v>
      </c>
      <c r="D83" s="25">
        <v>8.3022000830220008E-4</v>
      </c>
    </row>
    <row r="84" spans="2:4" x14ac:dyDescent="0.25">
      <c r="B84" s="27" t="s">
        <v>191</v>
      </c>
      <c r="C84" s="26">
        <v>2</v>
      </c>
      <c r="D84" s="25">
        <v>8.3022000830220008E-4</v>
      </c>
    </row>
    <row r="85" spans="2:4" x14ac:dyDescent="0.25">
      <c r="B85" s="27" t="s">
        <v>190</v>
      </c>
      <c r="C85" s="26">
        <v>2</v>
      </c>
      <c r="D85" s="25">
        <v>8.3022000830220008E-4</v>
      </c>
    </row>
    <row r="86" spans="2:4" x14ac:dyDescent="0.25">
      <c r="B86" s="27" t="s">
        <v>189</v>
      </c>
      <c r="C86" s="26">
        <v>2</v>
      </c>
      <c r="D86" s="25">
        <v>8.3022000830220008E-4</v>
      </c>
    </row>
    <row r="87" spans="2:4" x14ac:dyDescent="0.25">
      <c r="B87" s="27" t="s">
        <v>188</v>
      </c>
      <c r="C87" s="26">
        <v>2</v>
      </c>
      <c r="D87" s="25">
        <v>8.3022000830220008E-4</v>
      </c>
    </row>
    <row r="88" spans="2:4" x14ac:dyDescent="0.25">
      <c r="B88" s="27" t="s">
        <v>187</v>
      </c>
      <c r="C88" s="26">
        <v>2</v>
      </c>
      <c r="D88" s="25">
        <v>8.3022000830220008E-4</v>
      </c>
    </row>
    <row r="89" spans="2:4" x14ac:dyDescent="0.25">
      <c r="B89" s="27" t="s">
        <v>186</v>
      </c>
      <c r="C89" s="26">
        <v>2</v>
      </c>
      <c r="D89" s="25">
        <v>8.3022000830220008E-4</v>
      </c>
    </row>
    <row r="90" spans="2:4" x14ac:dyDescent="0.25">
      <c r="B90" s="27" t="s">
        <v>185</v>
      </c>
      <c r="C90" s="26">
        <v>2</v>
      </c>
      <c r="D90" s="25">
        <v>8.3022000830220008E-4</v>
      </c>
    </row>
    <row r="91" spans="2:4" x14ac:dyDescent="0.25">
      <c r="B91" s="27" t="s">
        <v>184</v>
      </c>
      <c r="C91" s="26">
        <v>2</v>
      </c>
      <c r="D91" s="25">
        <v>8.3022000830220008E-4</v>
      </c>
    </row>
    <row r="92" spans="2:4" x14ac:dyDescent="0.25">
      <c r="B92" s="27" t="s">
        <v>183</v>
      </c>
      <c r="C92" s="26">
        <v>1</v>
      </c>
      <c r="D92" s="25">
        <v>4.1511000415110004E-4</v>
      </c>
    </row>
    <row r="93" spans="2:4" x14ac:dyDescent="0.25">
      <c r="B93" s="27" t="s">
        <v>182</v>
      </c>
      <c r="C93" s="26">
        <v>1</v>
      </c>
      <c r="D93" s="25">
        <v>4.1511000415110004E-4</v>
      </c>
    </row>
    <row r="94" spans="2:4" x14ac:dyDescent="0.25">
      <c r="B94" s="27" t="s">
        <v>181</v>
      </c>
      <c r="C94" s="26">
        <v>1</v>
      </c>
      <c r="D94" s="25">
        <v>4.1511000415110004E-4</v>
      </c>
    </row>
    <row r="95" spans="2:4" x14ac:dyDescent="0.25">
      <c r="B95" s="27" t="s">
        <v>180</v>
      </c>
      <c r="C95" s="26">
        <v>1</v>
      </c>
      <c r="D95" s="25">
        <v>4.1511000415110004E-4</v>
      </c>
    </row>
    <row r="96" spans="2:4" x14ac:dyDescent="0.25">
      <c r="B96" s="27" t="s">
        <v>179</v>
      </c>
      <c r="C96" s="26">
        <v>1</v>
      </c>
      <c r="D96" s="25">
        <v>4.1511000415110004E-4</v>
      </c>
    </row>
    <row r="97" spans="2:4" x14ac:dyDescent="0.25">
      <c r="B97" s="27" t="s">
        <v>178</v>
      </c>
      <c r="C97" s="26">
        <v>1</v>
      </c>
      <c r="D97" s="25">
        <v>4.1511000415110004E-4</v>
      </c>
    </row>
    <row r="98" spans="2:4" x14ac:dyDescent="0.25">
      <c r="B98" s="27" t="s">
        <v>177</v>
      </c>
      <c r="C98" s="26">
        <v>1</v>
      </c>
      <c r="D98" s="25">
        <v>4.1511000415110004E-4</v>
      </c>
    </row>
    <row r="99" spans="2:4" x14ac:dyDescent="0.25">
      <c r="B99" s="27" t="s">
        <v>176</v>
      </c>
      <c r="C99" s="26">
        <v>1</v>
      </c>
      <c r="D99" s="25">
        <v>4.1511000415110004E-4</v>
      </c>
    </row>
    <row r="100" spans="2:4" x14ac:dyDescent="0.25">
      <c r="B100" s="24" t="s">
        <v>23</v>
      </c>
      <c r="C100" s="23">
        <v>2409</v>
      </c>
      <c r="D100" s="22">
        <v>1</v>
      </c>
    </row>
    <row r="102" spans="2:4" x14ac:dyDescent="0.25">
      <c r="B102" s="19" t="s">
        <v>22</v>
      </c>
    </row>
    <row r="103" spans="2:4" x14ac:dyDescent="0.25">
      <c r="B103" s="21" t="s">
        <v>21</v>
      </c>
    </row>
    <row r="104" spans="2:4" x14ac:dyDescent="0.25">
      <c r="B104" s="20" t="s">
        <v>20</v>
      </c>
    </row>
    <row r="105" spans="2:4" x14ac:dyDescent="0.25">
      <c r="B105" s="19" t="s">
        <v>19</v>
      </c>
    </row>
    <row r="106" spans="2:4" x14ac:dyDescent="0.25">
      <c r="B106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87"/>
  <sheetViews>
    <sheetView zoomScale="145" zoomScaleNormal="145" zoomScaleSheetLayoutView="85" workbookViewId="0">
      <selection activeCell="F10" sqref="F10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87"/>
      <c r="C7" s="87"/>
      <c r="D7" s="87"/>
      <c r="E7" s="87"/>
    </row>
    <row r="8" spans="1:5" s="50" customFormat="1" ht="33" customHeight="1" x14ac:dyDescent="0.3">
      <c r="A8" s="51"/>
      <c r="B8" s="87"/>
      <c r="C8" s="87"/>
      <c r="D8" s="87"/>
      <c r="E8" s="87"/>
    </row>
    <row r="9" spans="1:5" s="29" customFormat="1" ht="40.5" customHeight="1" x14ac:dyDescent="0.2">
      <c r="B9" s="47" t="s">
        <v>143</v>
      </c>
      <c r="C9" s="49" t="s">
        <v>289</v>
      </c>
      <c r="D9" s="48" t="s">
        <v>66</v>
      </c>
      <c r="E9" s="47" t="s">
        <v>65</v>
      </c>
    </row>
    <row r="10" spans="1:5" s="52" customFormat="1" ht="15" customHeight="1" x14ac:dyDescent="0.25">
      <c r="A10" s="37"/>
      <c r="B10" s="88" t="s">
        <v>51</v>
      </c>
      <c r="C10" s="46" t="s">
        <v>203</v>
      </c>
      <c r="D10" s="45">
        <v>1</v>
      </c>
      <c r="E10" s="44">
        <v>4.1511000415110004E-4</v>
      </c>
    </row>
    <row r="11" spans="1:5" ht="15" customHeight="1" x14ac:dyDescent="0.25">
      <c r="B11" s="89"/>
      <c r="C11" s="46" t="s">
        <v>263</v>
      </c>
      <c r="D11" s="45">
        <v>2</v>
      </c>
      <c r="E11" s="44">
        <v>8.3022000830220008E-4</v>
      </c>
    </row>
    <row r="12" spans="1:5" ht="15" customHeight="1" x14ac:dyDescent="0.25">
      <c r="B12" s="89"/>
      <c r="C12" s="46" t="s">
        <v>260</v>
      </c>
      <c r="D12" s="45">
        <v>1</v>
      </c>
      <c r="E12" s="44">
        <v>4.1511000415110004E-4</v>
      </c>
    </row>
    <row r="13" spans="1:5" ht="15" customHeight="1" x14ac:dyDescent="0.25">
      <c r="B13" s="89"/>
      <c r="C13" s="46" t="s">
        <v>243</v>
      </c>
      <c r="D13" s="45">
        <v>1</v>
      </c>
      <c r="E13" s="44">
        <v>4.1511000415110004E-4</v>
      </c>
    </row>
    <row r="14" spans="1:5" ht="15" customHeight="1" x14ac:dyDescent="0.25">
      <c r="B14" s="89"/>
      <c r="C14" s="46" t="s">
        <v>258</v>
      </c>
      <c r="D14" s="45">
        <v>5</v>
      </c>
      <c r="E14" s="44">
        <v>2.0755500207555004E-3</v>
      </c>
    </row>
    <row r="15" spans="1:5" ht="15" customHeight="1" x14ac:dyDescent="0.25">
      <c r="B15" s="90"/>
      <c r="C15" s="43" t="s">
        <v>23</v>
      </c>
      <c r="D15" s="42">
        <v>10</v>
      </c>
      <c r="E15" s="41">
        <v>4.1511000415110008E-3</v>
      </c>
    </row>
    <row r="16" spans="1:5" ht="15" customHeight="1" x14ac:dyDescent="0.25">
      <c r="B16" s="88" t="s">
        <v>46</v>
      </c>
      <c r="C16" s="46" t="s">
        <v>263</v>
      </c>
      <c r="D16" s="45">
        <v>5</v>
      </c>
      <c r="E16" s="44">
        <v>2.0755500207555004E-3</v>
      </c>
    </row>
    <row r="17" spans="2:5" ht="15" customHeight="1" x14ac:dyDescent="0.25">
      <c r="B17" s="89"/>
      <c r="C17" s="46" t="s">
        <v>261</v>
      </c>
      <c r="D17" s="45">
        <v>1</v>
      </c>
      <c r="E17" s="44">
        <v>4.1511000415110004E-4</v>
      </c>
    </row>
    <row r="18" spans="2:5" ht="15" customHeight="1" x14ac:dyDescent="0.25">
      <c r="B18" s="89"/>
      <c r="C18" s="46" t="s">
        <v>246</v>
      </c>
      <c r="D18" s="45">
        <v>1</v>
      </c>
      <c r="E18" s="44">
        <v>4.1511000415110004E-4</v>
      </c>
    </row>
    <row r="19" spans="2:5" ht="15" customHeight="1" x14ac:dyDescent="0.25">
      <c r="B19" s="90"/>
      <c r="C19" s="43" t="s">
        <v>23</v>
      </c>
      <c r="D19" s="42">
        <v>7</v>
      </c>
      <c r="E19" s="41">
        <v>2.9057700290577005E-3</v>
      </c>
    </row>
    <row r="20" spans="2:5" ht="15" customHeight="1" x14ac:dyDescent="0.25">
      <c r="B20" s="88" t="s">
        <v>55</v>
      </c>
      <c r="C20" s="46" t="s">
        <v>224</v>
      </c>
      <c r="D20" s="45">
        <v>1</v>
      </c>
      <c r="E20" s="44">
        <v>4.1511000415110004E-4</v>
      </c>
    </row>
    <row r="21" spans="2:5" ht="15" customHeight="1" x14ac:dyDescent="0.25">
      <c r="B21" s="89"/>
      <c r="C21" s="46" t="s">
        <v>263</v>
      </c>
      <c r="D21" s="45">
        <v>1</v>
      </c>
      <c r="E21" s="44">
        <v>4.1511000415110004E-4</v>
      </c>
    </row>
    <row r="22" spans="2:5" ht="15" customHeight="1" x14ac:dyDescent="0.25">
      <c r="B22" s="89"/>
      <c r="C22" s="46" t="s">
        <v>262</v>
      </c>
      <c r="D22" s="45">
        <v>2</v>
      </c>
      <c r="E22" s="44">
        <v>8.3022000830220008E-4</v>
      </c>
    </row>
    <row r="23" spans="2:5" ht="15" customHeight="1" x14ac:dyDescent="0.25">
      <c r="B23" s="89"/>
      <c r="C23" s="46" t="s">
        <v>258</v>
      </c>
      <c r="D23" s="45">
        <v>17</v>
      </c>
      <c r="E23" s="44">
        <v>7.0568700705687009E-3</v>
      </c>
    </row>
    <row r="24" spans="2:5" ht="15" customHeight="1" x14ac:dyDescent="0.25">
      <c r="B24" s="89"/>
      <c r="C24" s="46" t="s">
        <v>239</v>
      </c>
      <c r="D24" s="45">
        <v>2</v>
      </c>
      <c r="E24" s="44">
        <v>8.3022000830220008E-4</v>
      </c>
    </row>
    <row r="25" spans="2:5" ht="15" customHeight="1" x14ac:dyDescent="0.25">
      <c r="B25" s="90"/>
      <c r="C25" s="43" t="s">
        <v>23</v>
      </c>
      <c r="D25" s="42">
        <v>23</v>
      </c>
      <c r="E25" s="41">
        <v>9.5475300954753015E-3</v>
      </c>
    </row>
    <row r="26" spans="2:5" ht="15" customHeight="1" x14ac:dyDescent="0.25">
      <c r="B26" s="88" t="s">
        <v>64</v>
      </c>
      <c r="C26" s="46" t="s">
        <v>231</v>
      </c>
      <c r="D26" s="45">
        <v>8</v>
      </c>
      <c r="E26" s="44">
        <v>3.3208800332088003E-3</v>
      </c>
    </row>
    <row r="27" spans="2:5" ht="15" customHeight="1" x14ac:dyDescent="0.25">
      <c r="B27" s="89"/>
      <c r="C27" s="46" t="s">
        <v>233</v>
      </c>
      <c r="D27" s="45">
        <v>9</v>
      </c>
      <c r="E27" s="44">
        <v>3.7359900373599006E-3</v>
      </c>
    </row>
    <row r="28" spans="2:5" ht="15" customHeight="1" x14ac:dyDescent="0.25">
      <c r="B28" s="89"/>
      <c r="C28" s="46" t="s">
        <v>255</v>
      </c>
      <c r="D28" s="45">
        <v>44</v>
      </c>
      <c r="E28" s="44">
        <v>1.8264840182648401E-2</v>
      </c>
    </row>
    <row r="29" spans="2:5" ht="15" customHeight="1" x14ac:dyDescent="0.25">
      <c r="B29" s="89"/>
      <c r="C29" s="46" t="s">
        <v>225</v>
      </c>
      <c r="D29" s="45">
        <v>5</v>
      </c>
      <c r="E29" s="44">
        <v>2.0755500207555004E-3</v>
      </c>
    </row>
    <row r="30" spans="2:5" ht="15" customHeight="1" x14ac:dyDescent="0.25">
      <c r="B30" s="89"/>
      <c r="C30" s="46" t="s">
        <v>193</v>
      </c>
      <c r="D30" s="45">
        <v>2</v>
      </c>
      <c r="E30" s="44">
        <v>8.3022000830220008E-4</v>
      </c>
    </row>
    <row r="31" spans="2:5" ht="15" customHeight="1" x14ac:dyDescent="0.25">
      <c r="B31" s="89"/>
      <c r="C31" s="46" t="s">
        <v>248</v>
      </c>
      <c r="D31" s="45">
        <v>5</v>
      </c>
      <c r="E31" s="44">
        <v>2.0755500207555004E-3</v>
      </c>
    </row>
    <row r="32" spans="2:5" ht="15" customHeight="1" x14ac:dyDescent="0.25">
      <c r="B32" s="89"/>
      <c r="C32" s="46" t="s">
        <v>226</v>
      </c>
      <c r="D32" s="45">
        <v>9</v>
      </c>
      <c r="E32" s="44">
        <v>3.7359900373599006E-3</v>
      </c>
    </row>
    <row r="33" spans="2:5" ht="15" customHeight="1" x14ac:dyDescent="0.25">
      <c r="B33" s="89"/>
      <c r="C33" s="46" t="s">
        <v>203</v>
      </c>
      <c r="D33" s="45">
        <v>1</v>
      </c>
      <c r="E33" s="44">
        <v>4.1511000415110004E-4</v>
      </c>
    </row>
    <row r="34" spans="2:5" ht="15" customHeight="1" x14ac:dyDescent="0.25">
      <c r="B34" s="89"/>
      <c r="C34" s="46" t="s">
        <v>247</v>
      </c>
      <c r="D34" s="45">
        <v>12</v>
      </c>
      <c r="E34" s="44">
        <v>4.9813200498132005E-3</v>
      </c>
    </row>
    <row r="35" spans="2:5" ht="15" customHeight="1" x14ac:dyDescent="0.25">
      <c r="B35" s="89"/>
      <c r="C35" s="46" t="s">
        <v>202</v>
      </c>
      <c r="D35" s="45">
        <v>2</v>
      </c>
      <c r="E35" s="44">
        <v>8.3022000830220008E-4</v>
      </c>
    </row>
    <row r="36" spans="2:5" ht="15" customHeight="1" x14ac:dyDescent="0.25">
      <c r="B36" s="89"/>
      <c r="C36" s="46" t="s">
        <v>256</v>
      </c>
      <c r="D36" s="45">
        <v>24</v>
      </c>
      <c r="E36" s="44">
        <v>9.9626400996264009E-3</v>
      </c>
    </row>
    <row r="37" spans="2:5" ht="15" customHeight="1" x14ac:dyDescent="0.25">
      <c r="B37" s="89"/>
      <c r="C37" s="46" t="s">
        <v>210</v>
      </c>
      <c r="D37" s="45">
        <v>3</v>
      </c>
      <c r="E37" s="44">
        <v>1.2453300124533001E-3</v>
      </c>
    </row>
    <row r="38" spans="2:5" ht="15" customHeight="1" x14ac:dyDescent="0.25">
      <c r="B38" s="89"/>
      <c r="C38" s="46" t="s">
        <v>230</v>
      </c>
      <c r="D38" s="45">
        <v>2</v>
      </c>
      <c r="E38" s="44">
        <v>8.3022000830220008E-4</v>
      </c>
    </row>
    <row r="39" spans="2:5" ht="15" customHeight="1" x14ac:dyDescent="0.25">
      <c r="B39" s="89"/>
      <c r="C39" s="46" t="s">
        <v>192</v>
      </c>
      <c r="D39" s="45">
        <v>1</v>
      </c>
      <c r="E39" s="44">
        <v>4.1511000415110004E-4</v>
      </c>
    </row>
    <row r="40" spans="2:5" ht="15" customHeight="1" x14ac:dyDescent="0.25">
      <c r="B40" s="89"/>
      <c r="C40" s="46" t="s">
        <v>201</v>
      </c>
      <c r="D40" s="45">
        <v>1</v>
      </c>
      <c r="E40" s="44">
        <v>4.1511000415110004E-4</v>
      </c>
    </row>
    <row r="41" spans="2:5" ht="15" customHeight="1" x14ac:dyDescent="0.25">
      <c r="B41" s="89"/>
      <c r="C41" s="46" t="s">
        <v>209</v>
      </c>
      <c r="D41" s="45">
        <v>2</v>
      </c>
      <c r="E41" s="44">
        <v>8.3022000830220008E-4</v>
      </c>
    </row>
    <row r="42" spans="2:5" ht="15" customHeight="1" x14ac:dyDescent="0.25">
      <c r="B42" s="89"/>
      <c r="C42" s="46" t="s">
        <v>200</v>
      </c>
      <c r="D42" s="45">
        <v>2</v>
      </c>
      <c r="E42" s="44">
        <v>8.3022000830220008E-4</v>
      </c>
    </row>
    <row r="43" spans="2:5" ht="15" customHeight="1" x14ac:dyDescent="0.25">
      <c r="B43" s="89"/>
      <c r="C43" s="46" t="s">
        <v>220</v>
      </c>
      <c r="D43" s="45">
        <v>2</v>
      </c>
      <c r="E43" s="44">
        <v>8.3022000830220008E-4</v>
      </c>
    </row>
    <row r="44" spans="2:5" ht="15" customHeight="1" x14ac:dyDescent="0.25">
      <c r="B44" s="89"/>
      <c r="C44" s="46" t="s">
        <v>244</v>
      </c>
      <c r="D44" s="45">
        <v>16</v>
      </c>
      <c r="E44" s="44">
        <v>6.6417600664176006E-3</v>
      </c>
    </row>
    <row r="45" spans="2:5" ht="15" customHeight="1" x14ac:dyDescent="0.25">
      <c r="B45" s="89"/>
      <c r="C45" s="46" t="s">
        <v>208</v>
      </c>
      <c r="D45" s="45">
        <v>4</v>
      </c>
      <c r="E45" s="44">
        <v>1.6604400166044002E-3</v>
      </c>
    </row>
    <row r="46" spans="2:5" ht="15" customHeight="1" x14ac:dyDescent="0.25">
      <c r="B46" s="89"/>
      <c r="C46" s="46" t="s">
        <v>191</v>
      </c>
      <c r="D46" s="45">
        <v>2</v>
      </c>
      <c r="E46" s="44">
        <v>8.3022000830220008E-4</v>
      </c>
    </row>
    <row r="47" spans="2:5" ht="15" customHeight="1" x14ac:dyDescent="0.25">
      <c r="B47" s="89"/>
      <c r="C47" s="46" t="s">
        <v>251</v>
      </c>
      <c r="D47" s="45">
        <v>9</v>
      </c>
      <c r="E47" s="44">
        <v>3.7359900373599006E-3</v>
      </c>
    </row>
    <row r="48" spans="2:5" ht="15" customHeight="1" x14ac:dyDescent="0.25">
      <c r="B48" s="89"/>
      <c r="C48" s="46" t="s">
        <v>199</v>
      </c>
      <c r="D48" s="45">
        <v>3</v>
      </c>
      <c r="E48" s="44">
        <v>1.2453300124533001E-3</v>
      </c>
    </row>
    <row r="49" spans="2:5" ht="15" customHeight="1" x14ac:dyDescent="0.25">
      <c r="B49" s="89"/>
      <c r="C49" s="46" t="s">
        <v>207</v>
      </c>
      <c r="D49" s="45">
        <v>3</v>
      </c>
      <c r="E49" s="44">
        <v>1.2453300124533001E-3</v>
      </c>
    </row>
    <row r="50" spans="2:5" ht="15" customHeight="1" x14ac:dyDescent="0.25">
      <c r="B50" s="89"/>
      <c r="C50" s="46" t="s">
        <v>236</v>
      </c>
      <c r="D50" s="45">
        <v>13</v>
      </c>
      <c r="E50" s="44">
        <v>5.3964300539643007E-3</v>
      </c>
    </row>
    <row r="51" spans="2:5" ht="15" customHeight="1" x14ac:dyDescent="0.25">
      <c r="B51" s="89"/>
      <c r="C51" s="46" t="s">
        <v>206</v>
      </c>
      <c r="D51" s="45">
        <v>2</v>
      </c>
      <c r="E51" s="44">
        <v>8.3022000830220008E-4</v>
      </c>
    </row>
    <row r="52" spans="2:5" ht="15" customHeight="1" x14ac:dyDescent="0.25">
      <c r="B52" s="89"/>
      <c r="C52" s="46" t="s">
        <v>224</v>
      </c>
      <c r="D52" s="45">
        <v>5</v>
      </c>
      <c r="E52" s="44">
        <v>2.0755500207555004E-3</v>
      </c>
    </row>
    <row r="53" spans="2:5" ht="15" customHeight="1" x14ac:dyDescent="0.25">
      <c r="B53" s="89"/>
      <c r="C53" s="46" t="s">
        <v>223</v>
      </c>
      <c r="D53" s="45">
        <v>4</v>
      </c>
      <c r="E53" s="44">
        <v>1.6604400166044002E-3</v>
      </c>
    </row>
    <row r="54" spans="2:5" ht="15" customHeight="1" x14ac:dyDescent="0.25">
      <c r="B54" s="89"/>
      <c r="C54" s="46" t="s">
        <v>253</v>
      </c>
      <c r="D54" s="45">
        <v>13</v>
      </c>
      <c r="E54" s="44">
        <v>5.3964300539643007E-3</v>
      </c>
    </row>
    <row r="55" spans="2:5" ht="15" customHeight="1" x14ac:dyDescent="0.25">
      <c r="B55" s="89"/>
      <c r="C55" s="46" t="s">
        <v>198</v>
      </c>
      <c r="D55" s="45">
        <v>2</v>
      </c>
      <c r="E55" s="44">
        <v>8.3022000830220008E-4</v>
      </c>
    </row>
    <row r="56" spans="2:5" ht="15" customHeight="1" x14ac:dyDescent="0.25">
      <c r="B56" s="89"/>
      <c r="C56" s="46" t="s">
        <v>245</v>
      </c>
      <c r="D56" s="45">
        <v>22</v>
      </c>
      <c r="E56" s="44">
        <v>9.1324200913242004E-3</v>
      </c>
    </row>
    <row r="57" spans="2:5" ht="15" customHeight="1" x14ac:dyDescent="0.25">
      <c r="B57" s="89"/>
      <c r="C57" s="46" t="s">
        <v>219</v>
      </c>
      <c r="D57" s="45">
        <v>1</v>
      </c>
      <c r="E57" s="44">
        <v>4.1511000415110004E-4</v>
      </c>
    </row>
    <row r="58" spans="2:5" ht="15" customHeight="1" x14ac:dyDescent="0.25">
      <c r="B58" s="89"/>
      <c r="C58" s="46" t="s">
        <v>252</v>
      </c>
      <c r="D58" s="45">
        <v>22</v>
      </c>
      <c r="E58" s="44">
        <v>9.1324200913242004E-3</v>
      </c>
    </row>
    <row r="59" spans="2:5" ht="15" customHeight="1" x14ac:dyDescent="0.25">
      <c r="B59" s="89"/>
      <c r="C59" s="46" t="s">
        <v>216</v>
      </c>
      <c r="D59" s="45">
        <v>4</v>
      </c>
      <c r="E59" s="44">
        <v>1.6604400166044002E-3</v>
      </c>
    </row>
    <row r="60" spans="2:5" ht="15" customHeight="1" x14ac:dyDescent="0.25">
      <c r="B60" s="89"/>
      <c r="C60" s="46" t="s">
        <v>215</v>
      </c>
      <c r="D60" s="45">
        <v>4</v>
      </c>
      <c r="E60" s="44">
        <v>1.6604400166044002E-3</v>
      </c>
    </row>
    <row r="61" spans="2:5" ht="15" customHeight="1" x14ac:dyDescent="0.25">
      <c r="B61" s="89"/>
      <c r="C61" s="46" t="s">
        <v>190</v>
      </c>
      <c r="D61" s="45">
        <v>1</v>
      </c>
      <c r="E61" s="44">
        <v>4.1511000415110004E-4</v>
      </c>
    </row>
    <row r="62" spans="2:5" ht="15" customHeight="1" x14ac:dyDescent="0.25">
      <c r="B62" s="89"/>
      <c r="C62" s="46" t="s">
        <v>238</v>
      </c>
      <c r="D62" s="45">
        <v>14</v>
      </c>
      <c r="E62" s="44">
        <v>5.811540058115401E-3</v>
      </c>
    </row>
    <row r="63" spans="2:5" ht="15" customHeight="1" x14ac:dyDescent="0.25">
      <c r="B63" s="89"/>
      <c r="C63" s="46" t="s">
        <v>250</v>
      </c>
      <c r="D63" s="45">
        <v>6</v>
      </c>
      <c r="E63" s="44">
        <v>2.4906600249066002E-3</v>
      </c>
    </row>
    <row r="64" spans="2:5" ht="15" customHeight="1" x14ac:dyDescent="0.25">
      <c r="B64" s="89"/>
      <c r="C64" s="46" t="s">
        <v>197</v>
      </c>
      <c r="D64" s="45">
        <v>3</v>
      </c>
      <c r="E64" s="44">
        <v>1.2453300124533001E-3</v>
      </c>
    </row>
    <row r="65" spans="2:5" ht="15" customHeight="1" x14ac:dyDescent="0.25">
      <c r="B65" s="89"/>
      <c r="C65" s="46" t="s">
        <v>214</v>
      </c>
      <c r="D65" s="45">
        <v>3</v>
      </c>
      <c r="E65" s="44">
        <v>1.2453300124533001E-3</v>
      </c>
    </row>
    <row r="66" spans="2:5" ht="15" customHeight="1" x14ac:dyDescent="0.25">
      <c r="B66" s="89"/>
      <c r="C66" s="46" t="s">
        <v>263</v>
      </c>
      <c r="D66" s="45">
        <v>261</v>
      </c>
      <c r="E66" s="44">
        <v>0.10834371108343711</v>
      </c>
    </row>
    <row r="67" spans="2:5" ht="15" customHeight="1" x14ac:dyDescent="0.25">
      <c r="B67" s="89"/>
      <c r="C67" s="46" t="s">
        <v>218</v>
      </c>
      <c r="D67" s="45">
        <v>4</v>
      </c>
      <c r="E67" s="44">
        <v>1.6604400166044002E-3</v>
      </c>
    </row>
    <row r="68" spans="2:5" ht="15" customHeight="1" x14ac:dyDescent="0.25">
      <c r="B68" s="89"/>
      <c r="C68" s="46" t="s">
        <v>260</v>
      </c>
      <c r="D68" s="45">
        <v>112</v>
      </c>
      <c r="E68" s="44">
        <v>4.6492320464923208E-2</v>
      </c>
    </row>
    <row r="69" spans="2:5" ht="15" customHeight="1" x14ac:dyDescent="0.25">
      <c r="B69" s="89"/>
      <c r="C69" s="46" t="s">
        <v>259</v>
      </c>
      <c r="D69" s="45">
        <v>98</v>
      </c>
      <c r="E69" s="44">
        <v>4.0680780406807802E-2</v>
      </c>
    </row>
    <row r="70" spans="2:5" ht="15" customHeight="1" x14ac:dyDescent="0.25">
      <c r="B70" s="89"/>
      <c r="C70" s="46" t="s">
        <v>229</v>
      </c>
      <c r="D70" s="45">
        <v>9</v>
      </c>
      <c r="E70" s="44">
        <v>3.7359900373599006E-3</v>
      </c>
    </row>
    <row r="71" spans="2:5" ht="15" customHeight="1" x14ac:dyDescent="0.25">
      <c r="B71" s="89"/>
      <c r="C71" s="46" t="s">
        <v>205</v>
      </c>
      <c r="D71" s="45">
        <v>2</v>
      </c>
      <c r="E71" s="44">
        <v>8.3022000830220008E-4</v>
      </c>
    </row>
    <row r="72" spans="2:5" ht="15" customHeight="1" x14ac:dyDescent="0.25">
      <c r="B72" s="89"/>
      <c r="C72" s="46" t="s">
        <v>262</v>
      </c>
      <c r="D72" s="45">
        <v>341</v>
      </c>
      <c r="E72" s="44">
        <v>0.14155251141552511</v>
      </c>
    </row>
    <row r="73" spans="2:5" ht="15" customHeight="1" x14ac:dyDescent="0.25">
      <c r="B73" s="89"/>
      <c r="C73" s="46" t="s">
        <v>183</v>
      </c>
      <c r="D73" s="45">
        <v>1</v>
      </c>
      <c r="E73" s="44">
        <v>4.1511000415110004E-4</v>
      </c>
    </row>
    <row r="74" spans="2:5" ht="15" customHeight="1" x14ac:dyDescent="0.25">
      <c r="B74" s="89"/>
      <c r="C74" s="46" t="s">
        <v>261</v>
      </c>
      <c r="D74" s="45">
        <v>144</v>
      </c>
      <c r="E74" s="44">
        <v>5.9775840597758409E-2</v>
      </c>
    </row>
    <row r="75" spans="2:5" ht="15" customHeight="1" x14ac:dyDescent="0.25">
      <c r="B75" s="89"/>
      <c r="C75" s="46" t="s">
        <v>246</v>
      </c>
      <c r="D75" s="45">
        <v>10</v>
      </c>
      <c r="E75" s="44">
        <v>4.1511000415110008E-3</v>
      </c>
    </row>
    <row r="76" spans="2:5" ht="15" customHeight="1" x14ac:dyDescent="0.25">
      <c r="B76" s="89"/>
      <c r="C76" s="46" t="s">
        <v>196</v>
      </c>
      <c r="D76" s="45">
        <v>1</v>
      </c>
      <c r="E76" s="44">
        <v>4.1511000415110004E-4</v>
      </c>
    </row>
    <row r="77" spans="2:5" ht="15" customHeight="1" x14ac:dyDescent="0.25">
      <c r="B77" s="89"/>
      <c r="C77" s="46" t="s">
        <v>189</v>
      </c>
      <c r="D77" s="45">
        <v>2</v>
      </c>
      <c r="E77" s="44">
        <v>8.3022000830220008E-4</v>
      </c>
    </row>
    <row r="78" spans="2:5" ht="15" customHeight="1" x14ac:dyDescent="0.25">
      <c r="B78" s="89"/>
      <c r="C78" s="46" t="s">
        <v>182</v>
      </c>
      <c r="D78" s="45">
        <v>1</v>
      </c>
      <c r="E78" s="44">
        <v>4.1511000415110004E-4</v>
      </c>
    </row>
    <row r="79" spans="2:5" ht="15" customHeight="1" x14ac:dyDescent="0.25">
      <c r="B79" s="89"/>
      <c r="C79" s="46" t="s">
        <v>181</v>
      </c>
      <c r="D79" s="45">
        <v>1</v>
      </c>
      <c r="E79" s="44">
        <v>4.1511000415110004E-4</v>
      </c>
    </row>
    <row r="80" spans="2:5" ht="15" customHeight="1" x14ac:dyDescent="0.25">
      <c r="B80" s="89"/>
      <c r="C80" s="46" t="s">
        <v>249</v>
      </c>
      <c r="D80" s="45">
        <v>30</v>
      </c>
      <c r="E80" s="44">
        <v>1.2453300124533001E-2</v>
      </c>
    </row>
    <row r="81" spans="2:5" ht="15" customHeight="1" x14ac:dyDescent="0.25">
      <c r="B81" s="89"/>
      <c r="C81" s="46" t="s">
        <v>222</v>
      </c>
      <c r="D81" s="45">
        <v>5</v>
      </c>
      <c r="E81" s="44">
        <v>2.0755500207555004E-3</v>
      </c>
    </row>
    <row r="82" spans="2:5" ht="15" customHeight="1" x14ac:dyDescent="0.25">
      <c r="B82" s="89"/>
      <c r="C82" s="46" t="s">
        <v>195</v>
      </c>
      <c r="D82" s="45">
        <v>2</v>
      </c>
      <c r="E82" s="44">
        <v>8.3022000830220008E-4</v>
      </c>
    </row>
    <row r="83" spans="2:5" ht="15" customHeight="1" x14ac:dyDescent="0.25">
      <c r="B83" s="89"/>
      <c r="C83" s="46" t="s">
        <v>242</v>
      </c>
      <c r="D83" s="45">
        <v>18</v>
      </c>
      <c r="E83" s="44">
        <v>7.4719800747198011E-3</v>
      </c>
    </row>
    <row r="84" spans="2:5" ht="15" customHeight="1" x14ac:dyDescent="0.25">
      <c r="B84" s="89"/>
      <c r="C84" s="46" t="s">
        <v>213</v>
      </c>
      <c r="D84" s="45">
        <v>1</v>
      </c>
      <c r="E84" s="44">
        <v>4.1511000415110004E-4</v>
      </c>
    </row>
    <row r="85" spans="2:5" ht="15" customHeight="1" x14ac:dyDescent="0.25">
      <c r="B85" s="89"/>
      <c r="C85" s="46" t="s">
        <v>188</v>
      </c>
      <c r="D85" s="45">
        <v>2</v>
      </c>
      <c r="E85" s="44">
        <v>8.3022000830220008E-4</v>
      </c>
    </row>
    <row r="86" spans="2:5" ht="15" customHeight="1" x14ac:dyDescent="0.25">
      <c r="B86" s="89"/>
      <c r="C86" s="46" t="s">
        <v>187</v>
      </c>
      <c r="D86" s="45">
        <v>2</v>
      </c>
      <c r="E86" s="44">
        <v>8.3022000830220008E-4</v>
      </c>
    </row>
    <row r="87" spans="2:5" ht="15" customHeight="1" x14ac:dyDescent="0.25">
      <c r="B87" s="89"/>
      <c r="C87" s="46" t="s">
        <v>221</v>
      </c>
      <c r="D87" s="45">
        <v>1</v>
      </c>
      <c r="E87" s="44">
        <v>4.1511000415110004E-4</v>
      </c>
    </row>
    <row r="88" spans="2:5" ht="15" customHeight="1" x14ac:dyDescent="0.25">
      <c r="B88" s="89"/>
      <c r="C88" s="46" t="s">
        <v>243</v>
      </c>
      <c r="D88" s="45">
        <v>11</v>
      </c>
      <c r="E88" s="44">
        <v>4.5662100456621002E-3</v>
      </c>
    </row>
    <row r="89" spans="2:5" ht="15" customHeight="1" x14ac:dyDescent="0.25">
      <c r="B89" s="89"/>
      <c r="C89" s="46" t="s">
        <v>217</v>
      </c>
      <c r="D89" s="45">
        <v>2</v>
      </c>
      <c r="E89" s="44">
        <v>8.3022000830220008E-4</v>
      </c>
    </row>
    <row r="90" spans="2:5" ht="15" customHeight="1" x14ac:dyDescent="0.25">
      <c r="B90" s="89"/>
      <c r="C90" s="46" t="s">
        <v>228</v>
      </c>
      <c r="D90" s="45">
        <v>7</v>
      </c>
      <c r="E90" s="44">
        <v>2.9057700290577005E-3</v>
      </c>
    </row>
    <row r="91" spans="2:5" ht="15" customHeight="1" x14ac:dyDescent="0.25">
      <c r="B91" s="89"/>
      <c r="C91" s="46" t="s">
        <v>258</v>
      </c>
      <c r="D91" s="45">
        <v>62</v>
      </c>
      <c r="E91" s="44">
        <v>2.5736820257368204E-2</v>
      </c>
    </row>
    <row r="92" spans="2:5" ht="15" customHeight="1" x14ac:dyDescent="0.25">
      <c r="B92" s="89"/>
      <c r="C92" s="46" t="s">
        <v>235</v>
      </c>
      <c r="D92" s="45">
        <v>9</v>
      </c>
      <c r="E92" s="44">
        <v>3.7359900373599006E-3</v>
      </c>
    </row>
    <row r="93" spans="2:5" ht="15" customHeight="1" x14ac:dyDescent="0.25">
      <c r="B93" s="89"/>
      <c r="C93" s="46" t="s">
        <v>212</v>
      </c>
      <c r="D93" s="45">
        <v>1</v>
      </c>
      <c r="E93" s="44">
        <v>4.1511000415110004E-4</v>
      </c>
    </row>
    <row r="94" spans="2:5" ht="15" customHeight="1" x14ac:dyDescent="0.25">
      <c r="B94" s="89"/>
      <c r="C94" s="46" t="s">
        <v>227</v>
      </c>
      <c r="D94" s="45">
        <v>7</v>
      </c>
      <c r="E94" s="44">
        <v>2.9057700290577005E-3</v>
      </c>
    </row>
    <row r="95" spans="2:5" ht="15" customHeight="1" x14ac:dyDescent="0.25">
      <c r="B95" s="89"/>
      <c r="C95" s="46" t="s">
        <v>186</v>
      </c>
      <c r="D95" s="45">
        <v>1</v>
      </c>
      <c r="E95" s="44">
        <v>4.1511000415110004E-4</v>
      </c>
    </row>
    <row r="96" spans="2:5" ht="15" customHeight="1" x14ac:dyDescent="0.25">
      <c r="B96" s="89"/>
      <c r="C96" s="46" t="s">
        <v>237</v>
      </c>
      <c r="D96" s="45">
        <v>12</v>
      </c>
      <c r="E96" s="44">
        <v>4.9813200498132005E-3</v>
      </c>
    </row>
    <row r="97" spans="2:5" ht="15" customHeight="1" x14ac:dyDescent="0.25">
      <c r="B97" s="89"/>
      <c r="C97" s="46" t="s">
        <v>194</v>
      </c>
      <c r="D97" s="45">
        <v>3</v>
      </c>
      <c r="E97" s="44">
        <v>1.2453300124533001E-3</v>
      </c>
    </row>
    <row r="98" spans="2:5" ht="15" customHeight="1" x14ac:dyDescent="0.25">
      <c r="B98" s="89"/>
      <c r="C98" s="46" t="s">
        <v>257</v>
      </c>
      <c r="D98" s="45">
        <v>50</v>
      </c>
      <c r="E98" s="44">
        <v>2.0755500207555001E-2</v>
      </c>
    </row>
    <row r="99" spans="2:5" ht="15" customHeight="1" x14ac:dyDescent="0.25">
      <c r="B99" s="89"/>
      <c r="C99" s="46" t="s">
        <v>290</v>
      </c>
      <c r="D99" s="45">
        <v>1</v>
      </c>
      <c r="E99" s="44">
        <v>4.1511000415110004E-4</v>
      </c>
    </row>
    <row r="100" spans="2:5" ht="15" customHeight="1" x14ac:dyDescent="0.25">
      <c r="B100" s="89"/>
      <c r="C100" s="46" t="s">
        <v>185</v>
      </c>
      <c r="D100" s="45">
        <v>1</v>
      </c>
      <c r="E100" s="44">
        <v>4.1511000415110004E-4</v>
      </c>
    </row>
    <row r="101" spans="2:5" ht="15" customHeight="1" x14ac:dyDescent="0.25">
      <c r="B101" s="89"/>
      <c r="C101" s="46" t="s">
        <v>234</v>
      </c>
      <c r="D101" s="45">
        <v>5</v>
      </c>
      <c r="E101" s="44">
        <v>2.0755500207555004E-3</v>
      </c>
    </row>
    <row r="102" spans="2:5" ht="15" customHeight="1" x14ac:dyDescent="0.25">
      <c r="B102" s="89"/>
      <c r="C102" s="46" t="s">
        <v>232</v>
      </c>
      <c r="D102" s="45">
        <v>10</v>
      </c>
      <c r="E102" s="44">
        <v>4.1511000415110008E-3</v>
      </c>
    </row>
    <row r="103" spans="2:5" ht="15" customHeight="1" x14ac:dyDescent="0.25">
      <c r="B103" s="89"/>
      <c r="C103" s="46" t="s">
        <v>179</v>
      </c>
      <c r="D103" s="45">
        <v>1</v>
      </c>
      <c r="E103" s="44">
        <v>4.1511000415110004E-4</v>
      </c>
    </row>
    <row r="104" spans="2:5" ht="15" customHeight="1" x14ac:dyDescent="0.25">
      <c r="B104" s="89"/>
      <c r="C104" s="46" t="s">
        <v>241</v>
      </c>
      <c r="D104" s="45">
        <v>9</v>
      </c>
      <c r="E104" s="44">
        <v>3.7359900373599006E-3</v>
      </c>
    </row>
    <row r="105" spans="2:5" ht="15" customHeight="1" x14ac:dyDescent="0.25">
      <c r="B105" s="89"/>
      <c r="C105" s="46" t="s">
        <v>254</v>
      </c>
      <c r="D105" s="45">
        <v>44</v>
      </c>
      <c r="E105" s="44">
        <v>1.8264840182648401E-2</v>
      </c>
    </row>
    <row r="106" spans="2:5" ht="15" customHeight="1" x14ac:dyDescent="0.25">
      <c r="B106" s="89"/>
      <c r="C106" s="46" t="s">
        <v>239</v>
      </c>
      <c r="D106" s="45">
        <v>11</v>
      </c>
      <c r="E106" s="44">
        <v>4.5662100456621002E-3</v>
      </c>
    </row>
    <row r="107" spans="2:5" ht="15" customHeight="1" x14ac:dyDescent="0.25">
      <c r="B107" s="89"/>
      <c r="C107" s="46" t="s">
        <v>178</v>
      </c>
      <c r="D107" s="45">
        <v>1</v>
      </c>
      <c r="E107" s="44">
        <v>4.1511000415110004E-4</v>
      </c>
    </row>
    <row r="108" spans="2:5" ht="15" customHeight="1" x14ac:dyDescent="0.25">
      <c r="B108" s="89"/>
      <c r="C108" s="46" t="s">
        <v>211</v>
      </c>
      <c r="D108" s="45">
        <v>3</v>
      </c>
      <c r="E108" s="44">
        <v>1.2453300124533001E-3</v>
      </c>
    </row>
    <row r="109" spans="2:5" ht="15" customHeight="1" x14ac:dyDescent="0.25">
      <c r="B109" s="89"/>
      <c r="C109" s="46" t="s">
        <v>240</v>
      </c>
      <c r="D109" s="45">
        <v>5</v>
      </c>
      <c r="E109" s="44">
        <v>2.0755500207555004E-3</v>
      </c>
    </row>
    <row r="110" spans="2:5" ht="15" customHeight="1" x14ac:dyDescent="0.25">
      <c r="B110" s="89"/>
      <c r="C110" s="46" t="s">
        <v>204</v>
      </c>
      <c r="D110" s="45">
        <v>2</v>
      </c>
      <c r="E110" s="44">
        <v>8.3022000830220008E-4</v>
      </c>
    </row>
    <row r="111" spans="2:5" ht="15" customHeight="1" x14ac:dyDescent="0.25">
      <c r="B111" s="90"/>
      <c r="C111" s="43" t="s">
        <v>23</v>
      </c>
      <c r="D111" s="42">
        <v>1596</v>
      </c>
      <c r="E111" s="41">
        <v>0.66251556662515565</v>
      </c>
    </row>
    <row r="112" spans="2:5" ht="15" customHeight="1" x14ac:dyDescent="0.25">
      <c r="B112" s="88" t="s">
        <v>61</v>
      </c>
      <c r="C112" s="46" t="s">
        <v>225</v>
      </c>
      <c r="D112" s="45">
        <v>1</v>
      </c>
      <c r="E112" s="44">
        <v>4.1511000415110004E-4</v>
      </c>
    </row>
    <row r="113" spans="2:5" ht="15" customHeight="1" x14ac:dyDescent="0.25">
      <c r="B113" s="89"/>
      <c r="C113" s="46" t="s">
        <v>203</v>
      </c>
      <c r="D113" s="45">
        <v>1</v>
      </c>
      <c r="E113" s="44">
        <v>4.1511000415110004E-4</v>
      </c>
    </row>
    <row r="114" spans="2:5" ht="15" customHeight="1" x14ac:dyDescent="0.25">
      <c r="B114" s="89"/>
      <c r="C114" s="46" t="s">
        <v>256</v>
      </c>
      <c r="D114" s="45">
        <v>29</v>
      </c>
      <c r="E114" s="44">
        <v>1.2038190120381901E-2</v>
      </c>
    </row>
    <row r="115" spans="2:5" ht="15" customHeight="1" x14ac:dyDescent="0.25">
      <c r="B115" s="89"/>
      <c r="C115" s="46" t="s">
        <v>201</v>
      </c>
      <c r="D115" s="45">
        <v>1</v>
      </c>
      <c r="E115" s="44">
        <v>4.1511000415110004E-4</v>
      </c>
    </row>
    <row r="116" spans="2:5" ht="15" customHeight="1" x14ac:dyDescent="0.25">
      <c r="B116" s="89"/>
      <c r="C116" s="46" t="s">
        <v>220</v>
      </c>
      <c r="D116" s="45">
        <v>1</v>
      </c>
      <c r="E116" s="44">
        <v>4.1511000415110004E-4</v>
      </c>
    </row>
    <row r="117" spans="2:5" ht="15" customHeight="1" x14ac:dyDescent="0.25">
      <c r="B117" s="89"/>
      <c r="C117" s="46" t="s">
        <v>198</v>
      </c>
      <c r="D117" s="45">
        <v>1</v>
      </c>
      <c r="E117" s="44">
        <v>4.1511000415110004E-4</v>
      </c>
    </row>
    <row r="118" spans="2:5" ht="15" customHeight="1" x14ac:dyDescent="0.25">
      <c r="B118" s="89"/>
      <c r="C118" s="46" t="s">
        <v>252</v>
      </c>
      <c r="D118" s="45">
        <v>2</v>
      </c>
      <c r="E118" s="44">
        <v>8.3022000830220008E-4</v>
      </c>
    </row>
    <row r="119" spans="2:5" ht="15" customHeight="1" x14ac:dyDescent="0.25">
      <c r="B119" s="89"/>
      <c r="C119" s="46" t="s">
        <v>190</v>
      </c>
      <c r="D119" s="45">
        <v>1</v>
      </c>
      <c r="E119" s="44">
        <v>4.1511000415110004E-4</v>
      </c>
    </row>
    <row r="120" spans="2:5" ht="15" customHeight="1" x14ac:dyDescent="0.25">
      <c r="B120" s="89"/>
      <c r="C120" s="46" t="s">
        <v>263</v>
      </c>
      <c r="D120" s="45">
        <v>9</v>
      </c>
      <c r="E120" s="44">
        <v>3.7359900373599006E-3</v>
      </c>
    </row>
    <row r="121" spans="2:5" ht="15" customHeight="1" x14ac:dyDescent="0.25">
      <c r="B121" s="89"/>
      <c r="C121" s="46" t="s">
        <v>260</v>
      </c>
      <c r="D121" s="45">
        <v>1</v>
      </c>
      <c r="E121" s="44">
        <v>4.1511000415110004E-4</v>
      </c>
    </row>
    <row r="122" spans="2:5" ht="15" customHeight="1" x14ac:dyDescent="0.25">
      <c r="B122" s="89"/>
      <c r="C122" s="46" t="s">
        <v>259</v>
      </c>
      <c r="D122" s="45">
        <v>1</v>
      </c>
      <c r="E122" s="44">
        <v>4.1511000415110004E-4</v>
      </c>
    </row>
    <row r="123" spans="2:5" ht="15" customHeight="1" x14ac:dyDescent="0.25">
      <c r="B123" s="89"/>
      <c r="C123" s="46" t="s">
        <v>262</v>
      </c>
      <c r="D123" s="45">
        <v>1</v>
      </c>
      <c r="E123" s="44">
        <v>4.1511000415110004E-4</v>
      </c>
    </row>
    <row r="124" spans="2:5" ht="15" customHeight="1" x14ac:dyDescent="0.25">
      <c r="B124" s="89"/>
      <c r="C124" s="46" t="s">
        <v>222</v>
      </c>
      <c r="D124" s="45">
        <v>1</v>
      </c>
      <c r="E124" s="44">
        <v>4.1511000415110004E-4</v>
      </c>
    </row>
    <row r="125" spans="2:5" ht="15" customHeight="1" x14ac:dyDescent="0.25">
      <c r="B125" s="89"/>
      <c r="C125" s="46" t="s">
        <v>242</v>
      </c>
      <c r="D125" s="45">
        <v>1</v>
      </c>
      <c r="E125" s="44">
        <v>4.1511000415110004E-4</v>
      </c>
    </row>
    <row r="126" spans="2:5" ht="15" customHeight="1" x14ac:dyDescent="0.25">
      <c r="B126" s="89"/>
      <c r="C126" s="46" t="s">
        <v>213</v>
      </c>
      <c r="D126" s="45">
        <v>2</v>
      </c>
      <c r="E126" s="44">
        <v>8.3022000830220008E-4</v>
      </c>
    </row>
    <row r="127" spans="2:5" ht="15" customHeight="1" x14ac:dyDescent="0.25">
      <c r="B127" s="89"/>
      <c r="C127" s="46" t="s">
        <v>258</v>
      </c>
      <c r="D127" s="45">
        <v>8</v>
      </c>
      <c r="E127" s="44">
        <v>3.3208800332088003E-3</v>
      </c>
    </row>
    <row r="128" spans="2:5" ht="15" customHeight="1" x14ac:dyDescent="0.25">
      <c r="B128" s="89"/>
      <c r="C128" s="46" t="s">
        <v>212</v>
      </c>
      <c r="D128" s="45">
        <v>1</v>
      </c>
      <c r="E128" s="44">
        <v>4.1511000415110004E-4</v>
      </c>
    </row>
    <row r="129" spans="2:5" ht="15" customHeight="1" x14ac:dyDescent="0.25">
      <c r="B129" s="89"/>
      <c r="C129" s="46" t="s">
        <v>227</v>
      </c>
      <c r="D129" s="45">
        <v>1</v>
      </c>
      <c r="E129" s="44">
        <v>4.1511000415110004E-4</v>
      </c>
    </row>
    <row r="130" spans="2:5" ht="15" customHeight="1" x14ac:dyDescent="0.25">
      <c r="B130" s="89"/>
      <c r="C130" s="46" t="s">
        <v>186</v>
      </c>
      <c r="D130" s="45">
        <v>1</v>
      </c>
      <c r="E130" s="44">
        <v>4.1511000415110004E-4</v>
      </c>
    </row>
    <row r="131" spans="2:5" ht="15" customHeight="1" x14ac:dyDescent="0.25">
      <c r="B131" s="89"/>
      <c r="C131" s="46" t="s">
        <v>237</v>
      </c>
      <c r="D131" s="45">
        <v>1</v>
      </c>
      <c r="E131" s="44">
        <v>4.1511000415110004E-4</v>
      </c>
    </row>
    <row r="132" spans="2:5" ht="15" customHeight="1" x14ac:dyDescent="0.25">
      <c r="B132" s="89"/>
      <c r="C132" s="46" t="s">
        <v>241</v>
      </c>
      <c r="D132" s="45">
        <v>1</v>
      </c>
      <c r="E132" s="44">
        <v>4.1511000415110004E-4</v>
      </c>
    </row>
    <row r="133" spans="2:5" ht="15" customHeight="1" x14ac:dyDescent="0.25">
      <c r="B133" s="89"/>
      <c r="C133" s="46" t="s">
        <v>240</v>
      </c>
      <c r="D133" s="45">
        <v>2</v>
      </c>
      <c r="E133" s="44">
        <v>8.3022000830220008E-4</v>
      </c>
    </row>
    <row r="134" spans="2:5" ht="15" customHeight="1" x14ac:dyDescent="0.25">
      <c r="B134" s="89"/>
      <c r="C134" s="46" t="s">
        <v>176</v>
      </c>
      <c r="D134" s="45">
        <v>1</v>
      </c>
      <c r="E134" s="44">
        <v>4.1511000415110004E-4</v>
      </c>
    </row>
    <row r="135" spans="2:5" ht="15" customHeight="1" x14ac:dyDescent="0.25">
      <c r="B135" s="90"/>
      <c r="C135" s="43" t="s">
        <v>23</v>
      </c>
      <c r="D135" s="42">
        <v>69</v>
      </c>
      <c r="E135" s="41">
        <v>2.8642590286425903E-2</v>
      </c>
    </row>
    <row r="136" spans="2:5" ht="15" customHeight="1" x14ac:dyDescent="0.25">
      <c r="B136" s="88" t="s">
        <v>30</v>
      </c>
      <c r="C136" s="46" t="s">
        <v>263</v>
      </c>
      <c r="D136" s="45">
        <v>1</v>
      </c>
      <c r="E136" s="44">
        <v>4.1511000415110004E-4</v>
      </c>
    </row>
    <row r="137" spans="2:5" ht="15" customHeight="1" x14ac:dyDescent="0.25">
      <c r="B137" s="90"/>
      <c r="C137" s="43" t="s">
        <v>23</v>
      </c>
      <c r="D137" s="42">
        <v>1</v>
      </c>
      <c r="E137" s="41">
        <v>4.1511000415110004E-4</v>
      </c>
    </row>
    <row r="138" spans="2:5" ht="15" customHeight="1" x14ac:dyDescent="0.25">
      <c r="B138" s="88" t="s">
        <v>29</v>
      </c>
      <c r="C138" s="46" t="s">
        <v>263</v>
      </c>
      <c r="D138" s="45">
        <v>1</v>
      </c>
      <c r="E138" s="44">
        <v>4.1511000415110004E-4</v>
      </c>
    </row>
    <row r="139" spans="2:5" ht="15" customHeight="1" x14ac:dyDescent="0.25">
      <c r="B139" s="90"/>
      <c r="C139" s="43" t="s">
        <v>23</v>
      </c>
      <c r="D139" s="42">
        <v>1</v>
      </c>
      <c r="E139" s="41">
        <v>4.1511000415110004E-4</v>
      </c>
    </row>
    <row r="140" spans="2:5" ht="15" customHeight="1" x14ac:dyDescent="0.25">
      <c r="B140" s="88" t="s">
        <v>58</v>
      </c>
      <c r="C140" s="46" t="s">
        <v>209</v>
      </c>
      <c r="D140" s="45">
        <v>1</v>
      </c>
      <c r="E140" s="44">
        <v>4.1511000415110004E-4</v>
      </c>
    </row>
    <row r="141" spans="2:5" ht="15" customHeight="1" x14ac:dyDescent="0.25">
      <c r="B141" s="89"/>
      <c r="C141" s="46" t="s">
        <v>220</v>
      </c>
      <c r="D141" s="45">
        <v>1</v>
      </c>
      <c r="E141" s="44">
        <v>4.1511000415110004E-4</v>
      </c>
    </row>
    <row r="142" spans="2:5" ht="15" customHeight="1" x14ac:dyDescent="0.25">
      <c r="B142" s="89"/>
      <c r="C142" s="46" t="s">
        <v>245</v>
      </c>
      <c r="D142" s="45">
        <v>1</v>
      </c>
      <c r="E142" s="44">
        <v>4.1511000415110004E-4</v>
      </c>
    </row>
    <row r="143" spans="2:5" ht="15" customHeight="1" x14ac:dyDescent="0.25">
      <c r="B143" s="89"/>
      <c r="C143" s="46" t="s">
        <v>252</v>
      </c>
      <c r="D143" s="45">
        <v>1</v>
      </c>
      <c r="E143" s="44">
        <v>4.1511000415110004E-4</v>
      </c>
    </row>
    <row r="144" spans="2:5" ht="15" customHeight="1" x14ac:dyDescent="0.25">
      <c r="B144" s="89"/>
      <c r="C144" s="46" t="s">
        <v>263</v>
      </c>
      <c r="D144" s="45">
        <v>28</v>
      </c>
      <c r="E144" s="44">
        <v>1.1623080116230802E-2</v>
      </c>
    </row>
    <row r="145" spans="2:5" ht="15" customHeight="1" x14ac:dyDescent="0.25">
      <c r="B145" s="89"/>
      <c r="C145" s="46" t="s">
        <v>260</v>
      </c>
      <c r="D145" s="45">
        <v>2</v>
      </c>
      <c r="E145" s="44">
        <v>8.3022000830220008E-4</v>
      </c>
    </row>
    <row r="146" spans="2:5" ht="15" customHeight="1" x14ac:dyDescent="0.25">
      <c r="B146" s="89"/>
      <c r="C146" s="46" t="s">
        <v>246</v>
      </c>
      <c r="D146" s="45">
        <v>6</v>
      </c>
      <c r="E146" s="44">
        <v>2.4906600249066002E-3</v>
      </c>
    </row>
    <row r="147" spans="2:5" ht="15" customHeight="1" x14ac:dyDescent="0.25">
      <c r="B147" s="89"/>
      <c r="C147" s="46" t="s">
        <v>217</v>
      </c>
      <c r="D147" s="45">
        <v>1</v>
      </c>
      <c r="E147" s="44">
        <v>4.1511000415110004E-4</v>
      </c>
    </row>
    <row r="148" spans="2:5" ht="15" customHeight="1" x14ac:dyDescent="0.25">
      <c r="B148" s="89"/>
      <c r="C148" s="46" t="s">
        <v>228</v>
      </c>
      <c r="D148" s="45">
        <v>1</v>
      </c>
      <c r="E148" s="44">
        <v>4.1511000415110004E-4</v>
      </c>
    </row>
    <row r="149" spans="2:5" ht="15" customHeight="1" x14ac:dyDescent="0.25">
      <c r="B149" s="89"/>
      <c r="C149" s="46" t="s">
        <v>258</v>
      </c>
      <c r="D149" s="45">
        <v>2</v>
      </c>
      <c r="E149" s="44">
        <v>8.3022000830220008E-4</v>
      </c>
    </row>
    <row r="150" spans="2:5" ht="15" customHeight="1" x14ac:dyDescent="0.25">
      <c r="B150" s="89"/>
      <c r="C150" s="46" t="s">
        <v>257</v>
      </c>
      <c r="D150" s="45">
        <v>2</v>
      </c>
      <c r="E150" s="44">
        <v>8.3022000830220008E-4</v>
      </c>
    </row>
    <row r="151" spans="2:5" ht="15" customHeight="1" x14ac:dyDescent="0.25">
      <c r="B151" s="89"/>
      <c r="C151" s="46" t="s">
        <v>184</v>
      </c>
      <c r="D151" s="45">
        <v>1</v>
      </c>
      <c r="E151" s="44">
        <v>4.1511000415110004E-4</v>
      </c>
    </row>
    <row r="152" spans="2:5" ht="15" customHeight="1" x14ac:dyDescent="0.25">
      <c r="B152" s="90"/>
      <c r="C152" s="43" t="s">
        <v>23</v>
      </c>
      <c r="D152" s="42">
        <v>47</v>
      </c>
      <c r="E152" s="41">
        <v>1.9510170195101702E-2</v>
      </c>
    </row>
    <row r="153" spans="2:5" ht="15" customHeight="1" x14ac:dyDescent="0.25">
      <c r="B153" s="88" t="s">
        <v>49</v>
      </c>
      <c r="C153" s="46" t="s">
        <v>263</v>
      </c>
      <c r="D153" s="45">
        <v>3</v>
      </c>
      <c r="E153" s="44">
        <v>1.2453300124533001E-3</v>
      </c>
    </row>
    <row r="154" spans="2:5" ht="15" customHeight="1" x14ac:dyDescent="0.25">
      <c r="B154" s="89"/>
      <c r="C154" s="46" t="s">
        <v>218</v>
      </c>
      <c r="D154" s="45">
        <v>1</v>
      </c>
      <c r="E154" s="44">
        <v>4.1511000415110004E-4</v>
      </c>
    </row>
    <row r="155" spans="2:5" ht="15" customHeight="1" x14ac:dyDescent="0.25">
      <c r="B155" s="89"/>
      <c r="C155" s="46" t="s">
        <v>260</v>
      </c>
      <c r="D155" s="45">
        <v>1</v>
      </c>
      <c r="E155" s="44">
        <v>4.1511000415110004E-4</v>
      </c>
    </row>
    <row r="156" spans="2:5" ht="15" customHeight="1" x14ac:dyDescent="0.25">
      <c r="B156" s="89"/>
      <c r="C156" s="46" t="s">
        <v>261</v>
      </c>
      <c r="D156" s="45">
        <v>1</v>
      </c>
      <c r="E156" s="44">
        <v>4.1511000415110004E-4</v>
      </c>
    </row>
    <row r="157" spans="2:5" ht="15" customHeight="1" x14ac:dyDescent="0.25">
      <c r="B157" s="89"/>
      <c r="C157" s="46" t="s">
        <v>243</v>
      </c>
      <c r="D157" s="45">
        <v>1</v>
      </c>
      <c r="E157" s="44">
        <v>4.1511000415110004E-4</v>
      </c>
    </row>
    <row r="158" spans="2:5" ht="15" customHeight="1" x14ac:dyDescent="0.25">
      <c r="B158" s="89"/>
      <c r="C158" s="46" t="s">
        <v>258</v>
      </c>
      <c r="D158" s="45">
        <v>1</v>
      </c>
      <c r="E158" s="44">
        <v>4.1511000415110004E-4</v>
      </c>
    </row>
    <row r="159" spans="2:5" ht="15" customHeight="1" x14ac:dyDescent="0.25">
      <c r="B159" s="89"/>
      <c r="C159" s="46" t="s">
        <v>184</v>
      </c>
      <c r="D159" s="45">
        <v>1</v>
      </c>
      <c r="E159" s="44">
        <v>4.1511000415110004E-4</v>
      </c>
    </row>
    <row r="160" spans="2:5" ht="15" customHeight="1" x14ac:dyDescent="0.25">
      <c r="B160" s="90"/>
      <c r="C160" s="43" t="s">
        <v>23</v>
      </c>
      <c r="D160" s="42">
        <v>9</v>
      </c>
      <c r="E160" s="41">
        <v>3.7359900373599006E-3</v>
      </c>
    </row>
    <row r="161" spans="2:5" ht="15" customHeight="1" x14ac:dyDescent="0.25">
      <c r="B161" s="88" t="s">
        <v>28</v>
      </c>
      <c r="C161" s="46" t="s">
        <v>263</v>
      </c>
      <c r="D161" s="45">
        <v>1</v>
      </c>
      <c r="E161" s="44">
        <v>4.1511000415110004E-4</v>
      </c>
    </row>
    <row r="162" spans="2:5" ht="15" customHeight="1" x14ac:dyDescent="0.25">
      <c r="B162" s="90"/>
      <c r="C162" s="43" t="s">
        <v>23</v>
      </c>
      <c r="D162" s="42">
        <v>1</v>
      </c>
      <c r="E162" s="41">
        <v>4.1511000415110004E-4</v>
      </c>
    </row>
    <row r="163" spans="2:5" ht="15" customHeight="1" x14ac:dyDescent="0.25">
      <c r="B163" s="88" t="s">
        <v>47</v>
      </c>
      <c r="C163" s="46" t="s">
        <v>255</v>
      </c>
      <c r="D163" s="45">
        <v>3</v>
      </c>
      <c r="E163" s="44">
        <v>1.2453300124533001E-3</v>
      </c>
    </row>
    <row r="164" spans="2:5" ht="15" customHeight="1" x14ac:dyDescent="0.25">
      <c r="B164" s="89"/>
      <c r="C164" s="46" t="s">
        <v>256</v>
      </c>
      <c r="D164" s="45">
        <v>1</v>
      </c>
      <c r="E164" s="44">
        <v>4.1511000415110004E-4</v>
      </c>
    </row>
    <row r="165" spans="2:5" ht="15" customHeight="1" x14ac:dyDescent="0.25">
      <c r="B165" s="89"/>
      <c r="C165" s="46" t="s">
        <v>263</v>
      </c>
      <c r="D165" s="45">
        <v>4</v>
      </c>
      <c r="E165" s="44">
        <v>1.6604400166044002E-3</v>
      </c>
    </row>
    <row r="166" spans="2:5" ht="15" customHeight="1" x14ac:dyDescent="0.25">
      <c r="B166" s="90"/>
      <c r="C166" s="43" t="s">
        <v>23</v>
      </c>
      <c r="D166" s="42">
        <v>8</v>
      </c>
      <c r="E166" s="41">
        <v>3.3208800332088003E-3</v>
      </c>
    </row>
    <row r="167" spans="2:5" ht="15" customHeight="1" x14ac:dyDescent="0.25">
      <c r="B167" s="88" t="s">
        <v>56</v>
      </c>
      <c r="C167" s="46" t="s">
        <v>192</v>
      </c>
      <c r="D167" s="45">
        <v>1</v>
      </c>
      <c r="E167" s="44">
        <v>4.1511000415110004E-4</v>
      </c>
    </row>
    <row r="168" spans="2:5" ht="15" customHeight="1" x14ac:dyDescent="0.25">
      <c r="B168" s="89"/>
      <c r="C168" s="46" t="s">
        <v>209</v>
      </c>
      <c r="D168" s="45">
        <v>1</v>
      </c>
      <c r="E168" s="44">
        <v>4.1511000415110004E-4</v>
      </c>
    </row>
    <row r="169" spans="2:5" ht="15" customHeight="1" x14ac:dyDescent="0.25">
      <c r="B169" s="89"/>
      <c r="C169" s="46" t="s">
        <v>224</v>
      </c>
      <c r="D169" s="45">
        <v>1</v>
      </c>
      <c r="E169" s="44">
        <v>4.1511000415110004E-4</v>
      </c>
    </row>
    <row r="170" spans="2:5" ht="15" customHeight="1" x14ac:dyDescent="0.25">
      <c r="B170" s="89"/>
      <c r="C170" s="46" t="s">
        <v>252</v>
      </c>
      <c r="D170" s="45">
        <v>1</v>
      </c>
      <c r="E170" s="44">
        <v>4.1511000415110004E-4</v>
      </c>
    </row>
    <row r="171" spans="2:5" ht="15" customHeight="1" x14ac:dyDescent="0.25">
      <c r="B171" s="89"/>
      <c r="C171" s="46" t="s">
        <v>263</v>
      </c>
      <c r="D171" s="45">
        <v>18</v>
      </c>
      <c r="E171" s="44">
        <v>7.4719800747198011E-3</v>
      </c>
    </row>
    <row r="172" spans="2:5" ht="15" customHeight="1" x14ac:dyDescent="0.25">
      <c r="B172" s="89"/>
      <c r="C172" s="46" t="s">
        <v>246</v>
      </c>
      <c r="D172" s="45">
        <v>2</v>
      </c>
      <c r="E172" s="44">
        <v>8.3022000830220008E-4</v>
      </c>
    </row>
    <row r="173" spans="2:5" ht="15" customHeight="1" x14ac:dyDescent="0.25">
      <c r="B173" s="89"/>
      <c r="C173" s="46" t="s">
        <v>196</v>
      </c>
      <c r="D173" s="45">
        <v>1</v>
      </c>
      <c r="E173" s="44">
        <v>4.1511000415110004E-4</v>
      </c>
    </row>
    <row r="174" spans="2:5" ht="15" customHeight="1" x14ac:dyDescent="0.25">
      <c r="B174" s="89"/>
      <c r="C174" s="46" t="s">
        <v>258</v>
      </c>
      <c r="D174" s="45">
        <v>4</v>
      </c>
      <c r="E174" s="44">
        <v>1.6604400166044002E-3</v>
      </c>
    </row>
    <row r="175" spans="2:5" ht="15" customHeight="1" x14ac:dyDescent="0.25">
      <c r="B175" s="90"/>
      <c r="C175" s="43" t="s">
        <v>23</v>
      </c>
      <c r="D175" s="42">
        <v>29</v>
      </c>
      <c r="E175" s="41">
        <v>1.2038190120381901E-2</v>
      </c>
    </row>
    <row r="176" spans="2:5" ht="15" customHeight="1" x14ac:dyDescent="0.25">
      <c r="B176" s="88" t="s">
        <v>54</v>
      </c>
      <c r="C176" s="46" t="s">
        <v>225</v>
      </c>
      <c r="D176" s="45">
        <v>1</v>
      </c>
      <c r="E176" s="44">
        <v>4.1511000415110004E-4</v>
      </c>
    </row>
    <row r="177" spans="2:5" ht="15" customHeight="1" x14ac:dyDescent="0.25">
      <c r="B177" s="89"/>
      <c r="C177" s="46" t="s">
        <v>253</v>
      </c>
      <c r="D177" s="45">
        <v>1</v>
      </c>
      <c r="E177" s="44">
        <v>4.1511000415110004E-4</v>
      </c>
    </row>
    <row r="178" spans="2:5" ht="15" customHeight="1" x14ac:dyDescent="0.25">
      <c r="B178" s="89"/>
      <c r="C178" s="46" t="s">
        <v>263</v>
      </c>
      <c r="D178" s="45">
        <v>7</v>
      </c>
      <c r="E178" s="44">
        <v>2.9057700290577005E-3</v>
      </c>
    </row>
    <row r="179" spans="2:5" ht="15" customHeight="1" x14ac:dyDescent="0.25">
      <c r="B179" s="89"/>
      <c r="C179" s="46" t="s">
        <v>260</v>
      </c>
      <c r="D179" s="45">
        <v>1</v>
      </c>
      <c r="E179" s="44">
        <v>4.1511000415110004E-4</v>
      </c>
    </row>
    <row r="180" spans="2:5" ht="15" customHeight="1" x14ac:dyDescent="0.25">
      <c r="B180" s="89"/>
      <c r="C180" s="46" t="s">
        <v>185</v>
      </c>
      <c r="D180" s="45">
        <v>1</v>
      </c>
      <c r="E180" s="44">
        <v>4.1511000415110004E-4</v>
      </c>
    </row>
    <row r="181" spans="2:5" ht="15" customHeight="1" x14ac:dyDescent="0.25">
      <c r="B181" s="89"/>
      <c r="C181" s="46" t="s">
        <v>234</v>
      </c>
      <c r="D181" s="45">
        <v>1</v>
      </c>
      <c r="E181" s="44">
        <v>4.1511000415110004E-4</v>
      </c>
    </row>
    <row r="182" spans="2:5" ht="15" customHeight="1" x14ac:dyDescent="0.25">
      <c r="B182" s="89"/>
      <c r="C182" s="46" t="s">
        <v>241</v>
      </c>
      <c r="D182" s="45">
        <v>2</v>
      </c>
      <c r="E182" s="44">
        <v>8.3022000830220008E-4</v>
      </c>
    </row>
    <row r="183" spans="2:5" ht="15" customHeight="1" x14ac:dyDescent="0.25">
      <c r="B183" s="89"/>
      <c r="C183" s="46" t="s">
        <v>240</v>
      </c>
      <c r="D183" s="45">
        <v>1</v>
      </c>
      <c r="E183" s="44">
        <v>4.1511000415110004E-4</v>
      </c>
    </row>
    <row r="184" spans="2:5" ht="15" customHeight="1" x14ac:dyDescent="0.25">
      <c r="B184" s="90"/>
      <c r="C184" s="43" t="s">
        <v>23</v>
      </c>
      <c r="D184" s="42">
        <v>15</v>
      </c>
      <c r="E184" s="41">
        <v>6.2266500622665004E-3</v>
      </c>
    </row>
    <row r="185" spans="2:5" ht="15" customHeight="1" x14ac:dyDescent="0.25">
      <c r="B185" s="88" t="s">
        <v>34</v>
      </c>
      <c r="C185" s="46" t="s">
        <v>263</v>
      </c>
      <c r="D185" s="45">
        <v>2</v>
      </c>
      <c r="E185" s="44">
        <v>8.3022000830220008E-4</v>
      </c>
    </row>
    <row r="186" spans="2:5" ht="15" customHeight="1" x14ac:dyDescent="0.25">
      <c r="B186" s="90"/>
      <c r="C186" s="43" t="s">
        <v>23</v>
      </c>
      <c r="D186" s="42">
        <v>2</v>
      </c>
      <c r="E186" s="41">
        <v>8.3022000830220008E-4</v>
      </c>
    </row>
    <row r="187" spans="2:5" ht="15" customHeight="1" x14ac:dyDescent="0.25">
      <c r="B187" s="88" t="s">
        <v>45</v>
      </c>
      <c r="C187" s="46" t="s">
        <v>255</v>
      </c>
      <c r="D187" s="45">
        <v>1</v>
      </c>
      <c r="E187" s="44">
        <v>4.1511000415110004E-4</v>
      </c>
    </row>
    <row r="188" spans="2:5" ht="15" customHeight="1" x14ac:dyDescent="0.25">
      <c r="B188" s="89"/>
      <c r="C188" s="46" t="s">
        <v>263</v>
      </c>
      <c r="D188" s="45">
        <v>3</v>
      </c>
      <c r="E188" s="44">
        <v>1.2453300124533001E-3</v>
      </c>
    </row>
    <row r="189" spans="2:5" ht="15" customHeight="1" x14ac:dyDescent="0.25">
      <c r="B189" s="89"/>
      <c r="C189" s="46" t="s">
        <v>259</v>
      </c>
      <c r="D189" s="45">
        <v>3</v>
      </c>
      <c r="E189" s="44">
        <v>1.2453300124533001E-3</v>
      </c>
    </row>
    <row r="190" spans="2:5" ht="15" customHeight="1" x14ac:dyDescent="0.25">
      <c r="B190" s="90"/>
      <c r="C190" s="43" t="s">
        <v>23</v>
      </c>
      <c r="D190" s="42">
        <v>7</v>
      </c>
      <c r="E190" s="41">
        <v>2.9057700290577005E-3</v>
      </c>
    </row>
    <row r="191" spans="2:5" ht="15" customHeight="1" x14ac:dyDescent="0.25">
      <c r="B191" s="88" t="s">
        <v>41</v>
      </c>
      <c r="C191" s="46" t="s">
        <v>263</v>
      </c>
      <c r="D191" s="45">
        <v>3</v>
      </c>
      <c r="E191" s="44">
        <v>1.2453300124533001E-3</v>
      </c>
    </row>
    <row r="192" spans="2:5" ht="15" customHeight="1" x14ac:dyDescent="0.25">
      <c r="B192" s="89"/>
      <c r="C192" s="46" t="s">
        <v>228</v>
      </c>
      <c r="D192" s="45">
        <v>1</v>
      </c>
      <c r="E192" s="44">
        <v>4.1511000415110004E-4</v>
      </c>
    </row>
    <row r="193" spans="2:5" ht="15" customHeight="1" x14ac:dyDescent="0.25">
      <c r="B193" s="90"/>
      <c r="C193" s="43" t="s">
        <v>23</v>
      </c>
      <c r="D193" s="42">
        <v>4</v>
      </c>
      <c r="E193" s="41">
        <v>1.6604400166044002E-3</v>
      </c>
    </row>
    <row r="194" spans="2:5" ht="15" customHeight="1" x14ac:dyDescent="0.25">
      <c r="B194" s="88" t="s">
        <v>52</v>
      </c>
      <c r="C194" s="46" t="s">
        <v>251</v>
      </c>
      <c r="D194" s="45">
        <v>1</v>
      </c>
      <c r="E194" s="44">
        <v>4.1511000415110004E-4</v>
      </c>
    </row>
    <row r="195" spans="2:5" ht="15" customHeight="1" x14ac:dyDescent="0.25">
      <c r="B195" s="89"/>
      <c r="C195" s="46" t="s">
        <v>263</v>
      </c>
      <c r="D195" s="45">
        <v>6</v>
      </c>
      <c r="E195" s="44">
        <v>2.4906600249066002E-3</v>
      </c>
    </row>
    <row r="196" spans="2:5" ht="15" customHeight="1" x14ac:dyDescent="0.25">
      <c r="B196" s="89"/>
      <c r="C196" s="46" t="s">
        <v>258</v>
      </c>
      <c r="D196" s="45">
        <v>2</v>
      </c>
      <c r="E196" s="44">
        <v>8.3022000830220008E-4</v>
      </c>
    </row>
    <row r="197" spans="2:5" ht="15" customHeight="1" x14ac:dyDescent="0.25">
      <c r="B197" s="89"/>
      <c r="C197" s="46" t="s">
        <v>241</v>
      </c>
      <c r="D197" s="45">
        <v>1</v>
      </c>
      <c r="E197" s="44">
        <v>4.1511000415110004E-4</v>
      </c>
    </row>
    <row r="198" spans="2:5" ht="15" customHeight="1" x14ac:dyDescent="0.25">
      <c r="B198" s="89"/>
      <c r="C198" s="46" t="s">
        <v>254</v>
      </c>
      <c r="D198" s="45">
        <v>1</v>
      </c>
      <c r="E198" s="44">
        <v>4.1511000415110004E-4</v>
      </c>
    </row>
    <row r="199" spans="2:5" ht="15" customHeight="1" x14ac:dyDescent="0.25">
      <c r="B199" s="90"/>
      <c r="C199" s="43" t="s">
        <v>23</v>
      </c>
      <c r="D199" s="42">
        <v>11</v>
      </c>
      <c r="E199" s="41">
        <v>4.5662100456621002E-3</v>
      </c>
    </row>
    <row r="200" spans="2:5" ht="15" customHeight="1" x14ac:dyDescent="0.25">
      <c r="B200" s="88" t="s">
        <v>37</v>
      </c>
      <c r="C200" s="46" t="s">
        <v>253</v>
      </c>
      <c r="D200" s="45">
        <v>1</v>
      </c>
      <c r="E200" s="44">
        <v>4.1511000415110004E-4</v>
      </c>
    </row>
    <row r="201" spans="2:5" ht="15" customHeight="1" x14ac:dyDescent="0.25">
      <c r="B201" s="89"/>
      <c r="C201" s="46" t="s">
        <v>263</v>
      </c>
      <c r="D201" s="45">
        <v>2</v>
      </c>
      <c r="E201" s="44">
        <v>8.3022000830220008E-4</v>
      </c>
    </row>
    <row r="202" spans="2:5" ht="15" customHeight="1" x14ac:dyDescent="0.25">
      <c r="B202" s="90"/>
      <c r="C202" s="43" t="s">
        <v>23</v>
      </c>
      <c r="D202" s="42">
        <v>3</v>
      </c>
      <c r="E202" s="41">
        <v>1.2453300124533001E-3</v>
      </c>
    </row>
    <row r="203" spans="2:5" ht="15" customHeight="1" x14ac:dyDescent="0.25">
      <c r="B203" s="88" t="s">
        <v>27</v>
      </c>
      <c r="C203" s="46" t="s">
        <v>263</v>
      </c>
      <c r="D203" s="45">
        <v>1</v>
      </c>
      <c r="E203" s="44">
        <v>4.1511000415110004E-4</v>
      </c>
    </row>
    <row r="204" spans="2:5" ht="15" customHeight="1" x14ac:dyDescent="0.25">
      <c r="B204" s="90"/>
      <c r="C204" s="43" t="s">
        <v>23</v>
      </c>
      <c r="D204" s="42">
        <v>1</v>
      </c>
      <c r="E204" s="41">
        <v>4.1511000415110004E-4</v>
      </c>
    </row>
    <row r="205" spans="2:5" ht="15" customHeight="1" x14ac:dyDescent="0.25">
      <c r="B205" s="88" t="s">
        <v>33</v>
      </c>
      <c r="C205" s="46" t="s">
        <v>260</v>
      </c>
      <c r="D205" s="45">
        <v>1</v>
      </c>
      <c r="E205" s="44">
        <v>4.1511000415110004E-4</v>
      </c>
    </row>
    <row r="206" spans="2:5" ht="15" customHeight="1" x14ac:dyDescent="0.25">
      <c r="B206" s="89"/>
      <c r="C206" s="46" t="s">
        <v>217</v>
      </c>
      <c r="D206" s="45">
        <v>1</v>
      </c>
      <c r="E206" s="44">
        <v>4.1511000415110004E-4</v>
      </c>
    </row>
    <row r="207" spans="2:5" ht="15" customHeight="1" x14ac:dyDescent="0.25">
      <c r="B207" s="90"/>
      <c r="C207" s="43" t="s">
        <v>23</v>
      </c>
      <c r="D207" s="42">
        <v>2</v>
      </c>
      <c r="E207" s="41">
        <v>8.3022000830220008E-4</v>
      </c>
    </row>
    <row r="208" spans="2:5" ht="15" customHeight="1" x14ac:dyDescent="0.25">
      <c r="B208" s="88" t="s">
        <v>40</v>
      </c>
      <c r="C208" s="46" t="s">
        <v>256</v>
      </c>
      <c r="D208" s="45">
        <v>1</v>
      </c>
      <c r="E208" s="44">
        <v>4.1511000415110004E-4</v>
      </c>
    </row>
    <row r="209" spans="2:5" ht="15" customHeight="1" x14ac:dyDescent="0.25">
      <c r="B209" s="89"/>
      <c r="C209" s="46" t="s">
        <v>263</v>
      </c>
      <c r="D209" s="45">
        <v>2</v>
      </c>
      <c r="E209" s="44">
        <v>8.3022000830220008E-4</v>
      </c>
    </row>
    <row r="210" spans="2:5" ht="15" customHeight="1" x14ac:dyDescent="0.25">
      <c r="B210" s="89"/>
      <c r="C210" s="46" t="s">
        <v>217</v>
      </c>
      <c r="D210" s="45">
        <v>1</v>
      </c>
      <c r="E210" s="44">
        <v>4.1511000415110004E-4</v>
      </c>
    </row>
    <row r="211" spans="2:5" ht="15" customHeight="1" x14ac:dyDescent="0.25">
      <c r="B211" s="90"/>
      <c r="C211" s="43" t="s">
        <v>23</v>
      </c>
      <c r="D211" s="42">
        <v>4</v>
      </c>
      <c r="E211" s="41">
        <v>1.6604400166044002E-3</v>
      </c>
    </row>
    <row r="212" spans="2:5" ht="15" customHeight="1" x14ac:dyDescent="0.25">
      <c r="B212" s="88" t="s">
        <v>32</v>
      </c>
      <c r="C212" s="46" t="s">
        <v>212</v>
      </c>
      <c r="D212" s="45">
        <v>1</v>
      </c>
      <c r="E212" s="44">
        <v>4.1511000415110004E-4</v>
      </c>
    </row>
    <row r="213" spans="2:5" ht="15" customHeight="1" x14ac:dyDescent="0.25">
      <c r="B213" s="89"/>
      <c r="C213" s="46" t="s">
        <v>177</v>
      </c>
      <c r="D213" s="45">
        <v>1</v>
      </c>
      <c r="E213" s="44">
        <v>4.1511000415110004E-4</v>
      </c>
    </row>
    <row r="214" spans="2:5" ht="15" customHeight="1" x14ac:dyDescent="0.25">
      <c r="B214" s="90"/>
      <c r="C214" s="43" t="s">
        <v>23</v>
      </c>
      <c r="D214" s="42">
        <v>2</v>
      </c>
      <c r="E214" s="41">
        <v>8.3022000830220008E-4</v>
      </c>
    </row>
    <row r="215" spans="2:5" ht="15" customHeight="1" x14ac:dyDescent="0.25">
      <c r="B215" s="88" t="s">
        <v>48</v>
      </c>
      <c r="C215" s="46" t="s">
        <v>255</v>
      </c>
      <c r="D215" s="45">
        <v>1</v>
      </c>
      <c r="E215" s="44">
        <v>4.1511000415110004E-4</v>
      </c>
    </row>
    <row r="216" spans="2:5" ht="15" customHeight="1" x14ac:dyDescent="0.25">
      <c r="B216" s="89"/>
      <c r="C216" s="46" t="s">
        <v>248</v>
      </c>
      <c r="D216" s="45">
        <v>3</v>
      </c>
      <c r="E216" s="44">
        <v>1.2453300124533001E-3</v>
      </c>
    </row>
    <row r="217" spans="2:5" ht="15" customHeight="1" x14ac:dyDescent="0.25">
      <c r="B217" s="89"/>
      <c r="C217" s="46" t="s">
        <v>263</v>
      </c>
      <c r="D217" s="45">
        <v>2</v>
      </c>
      <c r="E217" s="44">
        <v>8.3022000830220008E-4</v>
      </c>
    </row>
    <row r="218" spans="2:5" ht="15" customHeight="1" x14ac:dyDescent="0.25">
      <c r="B218" s="89"/>
      <c r="C218" s="46" t="s">
        <v>259</v>
      </c>
      <c r="D218" s="45">
        <v>1</v>
      </c>
      <c r="E218" s="44">
        <v>4.1511000415110004E-4</v>
      </c>
    </row>
    <row r="219" spans="2:5" ht="15" customHeight="1" x14ac:dyDescent="0.25">
      <c r="B219" s="89"/>
      <c r="C219" s="46" t="s">
        <v>213</v>
      </c>
      <c r="D219" s="45">
        <v>1</v>
      </c>
      <c r="E219" s="44">
        <v>4.1511000415110004E-4</v>
      </c>
    </row>
    <row r="220" spans="2:5" ht="15" customHeight="1" x14ac:dyDescent="0.25">
      <c r="B220" s="89"/>
      <c r="C220" s="46" t="s">
        <v>227</v>
      </c>
      <c r="D220" s="45">
        <v>1</v>
      </c>
      <c r="E220" s="44">
        <v>4.1511000415110004E-4</v>
      </c>
    </row>
    <row r="221" spans="2:5" ht="15" customHeight="1" x14ac:dyDescent="0.25">
      <c r="B221" s="90"/>
      <c r="C221" s="43" t="s">
        <v>23</v>
      </c>
      <c r="D221" s="42">
        <v>9</v>
      </c>
      <c r="E221" s="41">
        <v>3.7359900373599006E-3</v>
      </c>
    </row>
    <row r="222" spans="2:5" ht="15" customHeight="1" x14ac:dyDescent="0.25">
      <c r="B222" s="88" t="s">
        <v>43</v>
      </c>
      <c r="C222" s="46" t="s">
        <v>223</v>
      </c>
      <c r="D222" s="45">
        <v>1</v>
      </c>
      <c r="E222" s="44">
        <v>4.1511000415110004E-4</v>
      </c>
    </row>
    <row r="223" spans="2:5" ht="15" customHeight="1" x14ac:dyDescent="0.25">
      <c r="B223" s="89"/>
      <c r="C223" s="46" t="s">
        <v>263</v>
      </c>
      <c r="D223" s="45">
        <v>2</v>
      </c>
      <c r="E223" s="44">
        <v>8.3022000830220008E-4</v>
      </c>
    </row>
    <row r="224" spans="2:5" ht="15" customHeight="1" x14ac:dyDescent="0.25">
      <c r="B224" s="89"/>
      <c r="C224" s="46" t="s">
        <v>205</v>
      </c>
      <c r="D224" s="45">
        <v>1</v>
      </c>
      <c r="E224" s="44">
        <v>4.1511000415110004E-4</v>
      </c>
    </row>
    <row r="225" spans="2:5" ht="15" customHeight="1" x14ac:dyDescent="0.25">
      <c r="B225" s="89"/>
      <c r="C225" s="46" t="s">
        <v>261</v>
      </c>
      <c r="D225" s="45">
        <v>1</v>
      </c>
      <c r="E225" s="44">
        <v>4.1511000415110004E-4</v>
      </c>
    </row>
    <row r="226" spans="2:5" ht="15" customHeight="1" x14ac:dyDescent="0.25">
      <c r="B226" s="90"/>
      <c r="C226" s="43" t="s">
        <v>23</v>
      </c>
      <c r="D226" s="42">
        <v>5</v>
      </c>
      <c r="E226" s="41">
        <v>2.0755500207555004E-3</v>
      </c>
    </row>
    <row r="227" spans="2:5" ht="15" customHeight="1" x14ac:dyDescent="0.25">
      <c r="B227" s="88" t="s">
        <v>59</v>
      </c>
      <c r="C227" s="46" t="s">
        <v>248</v>
      </c>
      <c r="D227" s="45">
        <v>5</v>
      </c>
      <c r="E227" s="44">
        <v>2.0755500207555004E-3</v>
      </c>
    </row>
    <row r="228" spans="2:5" ht="15" customHeight="1" x14ac:dyDescent="0.25">
      <c r="B228" s="89"/>
      <c r="C228" s="46" t="s">
        <v>244</v>
      </c>
      <c r="D228" s="45">
        <v>1</v>
      </c>
      <c r="E228" s="44">
        <v>4.1511000415110004E-4</v>
      </c>
    </row>
    <row r="229" spans="2:5" ht="15" customHeight="1" x14ac:dyDescent="0.25">
      <c r="B229" s="89"/>
      <c r="C229" s="46" t="s">
        <v>251</v>
      </c>
      <c r="D229" s="45">
        <v>1</v>
      </c>
      <c r="E229" s="44">
        <v>4.1511000415110004E-4</v>
      </c>
    </row>
    <row r="230" spans="2:5" ht="15" customHeight="1" x14ac:dyDescent="0.25">
      <c r="B230" s="89"/>
      <c r="C230" s="46" t="s">
        <v>236</v>
      </c>
      <c r="D230" s="45">
        <v>1</v>
      </c>
      <c r="E230" s="44">
        <v>4.1511000415110004E-4</v>
      </c>
    </row>
    <row r="231" spans="2:5" ht="15" customHeight="1" x14ac:dyDescent="0.25">
      <c r="B231" s="89"/>
      <c r="C231" s="46" t="s">
        <v>252</v>
      </c>
      <c r="D231" s="45">
        <v>1</v>
      </c>
      <c r="E231" s="44">
        <v>4.1511000415110004E-4</v>
      </c>
    </row>
    <row r="232" spans="2:5" ht="15" customHeight="1" x14ac:dyDescent="0.25">
      <c r="B232" s="89"/>
      <c r="C232" s="46" t="s">
        <v>250</v>
      </c>
      <c r="D232" s="45">
        <v>1</v>
      </c>
      <c r="E232" s="44">
        <v>4.1511000415110004E-4</v>
      </c>
    </row>
    <row r="233" spans="2:5" ht="15" customHeight="1" x14ac:dyDescent="0.25">
      <c r="B233" s="89"/>
      <c r="C233" s="46" t="s">
        <v>263</v>
      </c>
      <c r="D233" s="45">
        <v>13</v>
      </c>
      <c r="E233" s="44">
        <v>5.3964300539643007E-3</v>
      </c>
    </row>
    <row r="234" spans="2:5" ht="15" customHeight="1" x14ac:dyDescent="0.25">
      <c r="B234" s="89"/>
      <c r="C234" s="46" t="s">
        <v>260</v>
      </c>
      <c r="D234" s="45">
        <v>3</v>
      </c>
      <c r="E234" s="44">
        <v>1.2453300124533001E-3</v>
      </c>
    </row>
    <row r="235" spans="2:5" ht="15" customHeight="1" x14ac:dyDescent="0.25">
      <c r="B235" s="89"/>
      <c r="C235" s="46" t="s">
        <v>259</v>
      </c>
      <c r="D235" s="45">
        <v>20</v>
      </c>
      <c r="E235" s="44">
        <v>8.3022000830220016E-3</v>
      </c>
    </row>
    <row r="236" spans="2:5" ht="15" customHeight="1" x14ac:dyDescent="0.25">
      <c r="B236" s="89"/>
      <c r="C236" s="46" t="s">
        <v>258</v>
      </c>
      <c r="D236" s="45">
        <v>1</v>
      </c>
      <c r="E236" s="44">
        <v>4.1511000415110004E-4</v>
      </c>
    </row>
    <row r="237" spans="2:5" ht="15" customHeight="1" x14ac:dyDescent="0.25">
      <c r="B237" s="89"/>
      <c r="C237" s="46" t="s">
        <v>235</v>
      </c>
      <c r="D237" s="45">
        <v>1</v>
      </c>
      <c r="E237" s="44">
        <v>4.1511000415110004E-4</v>
      </c>
    </row>
    <row r="238" spans="2:5" ht="15" customHeight="1" x14ac:dyDescent="0.25">
      <c r="B238" s="89"/>
      <c r="C238" s="46" t="s">
        <v>234</v>
      </c>
      <c r="D238" s="45">
        <v>1</v>
      </c>
      <c r="E238" s="44">
        <v>4.1511000415110004E-4</v>
      </c>
    </row>
    <row r="239" spans="2:5" ht="15" customHeight="1" x14ac:dyDescent="0.25">
      <c r="B239" s="89"/>
      <c r="C239" s="46" t="s">
        <v>241</v>
      </c>
      <c r="D239" s="45">
        <v>1</v>
      </c>
      <c r="E239" s="44">
        <v>4.1511000415110004E-4</v>
      </c>
    </row>
    <row r="240" spans="2:5" ht="15" customHeight="1" x14ac:dyDescent="0.25">
      <c r="B240" s="89"/>
      <c r="C240" s="46" t="s">
        <v>239</v>
      </c>
      <c r="D240" s="45">
        <v>1</v>
      </c>
      <c r="E240" s="44">
        <v>4.1511000415110004E-4</v>
      </c>
    </row>
    <row r="241" spans="2:5" ht="15" customHeight="1" x14ac:dyDescent="0.25">
      <c r="B241" s="89"/>
      <c r="C241" s="46" t="s">
        <v>240</v>
      </c>
      <c r="D241" s="45">
        <v>1</v>
      </c>
      <c r="E241" s="44">
        <v>4.1511000415110004E-4</v>
      </c>
    </row>
    <row r="242" spans="2:5" ht="15" customHeight="1" x14ac:dyDescent="0.25">
      <c r="B242" s="90"/>
      <c r="C242" s="43" t="s">
        <v>23</v>
      </c>
      <c r="D242" s="42">
        <v>52</v>
      </c>
      <c r="E242" s="41">
        <v>2.1585720215857203E-2</v>
      </c>
    </row>
    <row r="243" spans="2:5" ht="15" customHeight="1" x14ac:dyDescent="0.25">
      <c r="B243" s="88" t="s">
        <v>44</v>
      </c>
      <c r="C243" s="46" t="s">
        <v>248</v>
      </c>
      <c r="D243" s="45">
        <v>1</v>
      </c>
      <c r="E243" s="44">
        <v>4.1511000415110004E-4</v>
      </c>
    </row>
    <row r="244" spans="2:5" ht="15" customHeight="1" x14ac:dyDescent="0.25">
      <c r="B244" s="89"/>
      <c r="C244" s="46" t="s">
        <v>238</v>
      </c>
      <c r="D244" s="45">
        <v>1</v>
      </c>
      <c r="E244" s="44">
        <v>4.1511000415110004E-4</v>
      </c>
    </row>
    <row r="245" spans="2:5" ht="15" customHeight="1" x14ac:dyDescent="0.25">
      <c r="B245" s="89"/>
      <c r="C245" s="46" t="s">
        <v>263</v>
      </c>
      <c r="D245" s="45">
        <v>4</v>
      </c>
      <c r="E245" s="44">
        <v>1.6604400166044002E-3</v>
      </c>
    </row>
    <row r="246" spans="2:5" ht="15" customHeight="1" x14ac:dyDescent="0.25">
      <c r="B246" s="89"/>
      <c r="C246" s="46" t="s">
        <v>221</v>
      </c>
      <c r="D246" s="45">
        <v>1</v>
      </c>
      <c r="E246" s="44">
        <v>4.1511000415110004E-4</v>
      </c>
    </row>
    <row r="247" spans="2:5" ht="15" customHeight="1" x14ac:dyDescent="0.25">
      <c r="B247" s="90"/>
      <c r="C247" s="43" t="s">
        <v>23</v>
      </c>
      <c r="D247" s="42">
        <v>7</v>
      </c>
      <c r="E247" s="41">
        <v>2.9057700290577005E-3</v>
      </c>
    </row>
    <row r="248" spans="2:5" ht="15" customHeight="1" x14ac:dyDescent="0.25">
      <c r="B248" s="88" t="s">
        <v>26</v>
      </c>
      <c r="C248" s="46" t="s">
        <v>256</v>
      </c>
      <c r="D248" s="45">
        <v>1</v>
      </c>
      <c r="E248" s="44">
        <v>4.1511000415110004E-4</v>
      </c>
    </row>
    <row r="249" spans="2:5" ht="15" customHeight="1" x14ac:dyDescent="0.25">
      <c r="B249" s="90"/>
      <c r="C249" s="43" t="s">
        <v>23</v>
      </c>
      <c r="D249" s="42">
        <v>1</v>
      </c>
      <c r="E249" s="41">
        <v>4.1511000415110004E-4</v>
      </c>
    </row>
    <row r="250" spans="2:5" ht="15" customHeight="1" x14ac:dyDescent="0.25">
      <c r="B250" s="88" t="s">
        <v>50</v>
      </c>
      <c r="C250" s="46" t="s">
        <v>220</v>
      </c>
      <c r="D250" s="45">
        <v>1</v>
      </c>
      <c r="E250" s="44">
        <v>4.1511000415110004E-4</v>
      </c>
    </row>
    <row r="251" spans="2:5" ht="15" customHeight="1" x14ac:dyDescent="0.25">
      <c r="B251" s="89"/>
      <c r="C251" s="46" t="s">
        <v>252</v>
      </c>
      <c r="D251" s="45">
        <v>1</v>
      </c>
      <c r="E251" s="44">
        <v>4.1511000415110004E-4</v>
      </c>
    </row>
    <row r="252" spans="2:5" ht="15" customHeight="1" x14ac:dyDescent="0.25">
      <c r="B252" s="89"/>
      <c r="C252" s="46" t="s">
        <v>263</v>
      </c>
      <c r="D252" s="45">
        <v>7</v>
      </c>
      <c r="E252" s="44">
        <v>2.9057700290577005E-3</v>
      </c>
    </row>
    <row r="253" spans="2:5" ht="15" customHeight="1" x14ac:dyDescent="0.25">
      <c r="B253" s="89"/>
      <c r="C253" s="46" t="s">
        <v>222</v>
      </c>
      <c r="D253" s="45">
        <v>1</v>
      </c>
      <c r="E253" s="44">
        <v>4.1511000415110004E-4</v>
      </c>
    </row>
    <row r="254" spans="2:5" ht="15" customHeight="1" x14ac:dyDescent="0.25">
      <c r="B254" s="90"/>
      <c r="C254" s="43" t="s">
        <v>23</v>
      </c>
      <c r="D254" s="42">
        <v>10</v>
      </c>
      <c r="E254" s="41">
        <v>4.1511000415110008E-3</v>
      </c>
    </row>
    <row r="255" spans="2:5" ht="15" customHeight="1" x14ac:dyDescent="0.25">
      <c r="B255" s="88" t="s">
        <v>53</v>
      </c>
      <c r="C255" s="46" t="s">
        <v>201</v>
      </c>
      <c r="D255" s="45">
        <v>1</v>
      </c>
      <c r="E255" s="44">
        <v>4.1511000415110004E-4</v>
      </c>
    </row>
    <row r="256" spans="2:5" ht="15" customHeight="1" x14ac:dyDescent="0.25">
      <c r="B256" s="89"/>
      <c r="C256" s="46" t="s">
        <v>263</v>
      </c>
      <c r="D256" s="45">
        <v>6</v>
      </c>
      <c r="E256" s="44">
        <v>2.4906600249066002E-3</v>
      </c>
    </row>
    <row r="257" spans="2:5" ht="15" customHeight="1" x14ac:dyDescent="0.25">
      <c r="B257" s="89"/>
      <c r="C257" s="46" t="s">
        <v>260</v>
      </c>
      <c r="D257" s="45">
        <v>2</v>
      </c>
      <c r="E257" s="44">
        <v>8.3022000830220008E-4</v>
      </c>
    </row>
    <row r="258" spans="2:5" ht="15" customHeight="1" x14ac:dyDescent="0.25">
      <c r="B258" s="89"/>
      <c r="C258" s="46" t="s">
        <v>205</v>
      </c>
      <c r="D258" s="45">
        <v>1</v>
      </c>
      <c r="E258" s="44">
        <v>4.1511000415110004E-4</v>
      </c>
    </row>
    <row r="259" spans="2:5" ht="15" customHeight="1" x14ac:dyDescent="0.25">
      <c r="B259" s="89"/>
      <c r="C259" s="46" t="s">
        <v>246</v>
      </c>
      <c r="D259" s="45">
        <v>1</v>
      </c>
      <c r="E259" s="44">
        <v>4.1511000415110004E-4</v>
      </c>
    </row>
    <row r="260" spans="2:5" ht="15" customHeight="1" x14ac:dyDescent="0.25">
      <c r="B260" s="89"/>
      <c r="C260" s="46" t="s">
        <v>242</v>
      </c>
      <c r="D260" s="45">
        <v>1</v>
      </c>
      <c r="E260" s="44">
        <v>4.1511000415110004E-4</v>
      </c>
    </row>
    <row r="261" spans="2:5" ht="15" customHeight="1" x14ac:dyDescent="0.25">
      <c r="B261" s="89"/>
      <c r="C261" s="46" t="s">
        <v>254</v>
      </c>
      <c r="D261" s="45">
        <v>1</v>
      </c>
      <c r="E261" s="44">
        <v>4.1511000415110004E-4</v>
      </c>
    </row>
    <row r="262" spans="2:5" ht="15" customHeight="1" x14ac:dyDescent="0.25">
      <c r="B262" s="90"/>
      <c r="C262" s="43" t="s">
        <v>23</v>
      </c>
      <c r="D262" s="42">
        <v>13</v>
      </c>
      <c r="E262" s="41">
        <v>5.3964300539643007E-3</v>
      </c>
    </row>
    <row r="263" spans="2:5" ht="15" customHeight="1" x14ac:dyDescent="0.25">
      <c r="B263" s="88" t="s">
        <v>36</v>
      </c>
      <c r="C263" s="46" t="s">
        <v>263</v>
      </c>
      <c r="D263" s="45">
        <v>2</v>
      </c>
      <c r="E263" s="44">
        <v>8.3022000830220008E-4</v>
      </c>
    </row>
    <row r="264" spans="2:5" ht="15" customHeight="1" x14ac:dyDescent="0.25">
      <c r="B264" s="89"/>
      <c r="C264" s="46" t="s">
        <v>240</v>
      </c>
      <c r="D264" s="45">
        <v>1</v>
      </c>
      <c r="E264" s="44">
        <v>4.1511000415110004E-4</v>
      </c>
    </row>
    <row r="265" spans="2:5" ht="15" customHeight="1" x14ac:dyDescent="0.25">
      <c r="B265" s="90"/>
      <c r="C265" s="43" t="s">
        <v>23</v>
      </c>
      <c r="D265" s="42">
        <v>3</v>
      </c>
      <c r="E265" s="41">
        <v>1.2453300124533001E-3</v>
      </c>
    </row>
    <row r="266" spans="2:5" ht="15" customHeight="1" x14ac:dyDescent="0.25">
      <c r="B266" s="88" t="s">
        <v>31</v>
      </c>
      <c r="C266" s="46" t="s">
        <v>263</v>
      </c>
      <c r="D266" s="45">
        <v>2</v>
      </c>
      <c r="E266" s="44">
        <v>8.3022000830220008E-4</v>
      </c>
    </row>
    <row r="267" spans="2:5" ht="15" customHeight="1" x14ac:dyDescent="0.25">
      <c r="B267" s="90"/>
      <c r="C267" s="43" t="s">
        <v>23</v>
      </c>
      <c r="D267" s="42">
        <v>2</v>
      </c>
      <c r="E267" s="41">
        <v>8.3022000830220008E-4</v>
      </c>
    </row>
    <row r="268" spans="2:5" ht="15" customHeight="1" x14ac:dyDescent="0.25">
      <c r="B268" s="88" t="s">
        <v>62</v>
      </c>
      <c r="C268" s="46" t="s">
        <v>233</v>
      </c>
      <c r="D268" s="45">
        <v>1</v>
      </c>
      <c r="E268" s="44">
        <v>4.1511000415110004E-4</v>
      </c>
    </row>
    <row r="269" spans="2:5" ht="15" customHeight="1" x14ac:dyDescent="0.25">
      <c r="B269" s="89"/>
      <c r="C269" s="46" t="s">
        <v>255</v>
      </c>
      <c r="D269" s="45">
        <v>1</v>
      </c>
      <c r="E269" s="44">
        <v>4.1511000415110004E-4</v>
      </c>
    </row>
    <row r="270" spans="2:5" ht="15" customHeight="1" x14ac:dyDescent="0.25">
      <c r="B270" s="89"/>
      <c r="C270" s="46" t="s">
        <v>202</v>
      </c>
      <c r="D270" s="45">
        <v>1</v>
      </c>
      <c r="E270" s="44">
        <v>4.1511000415110004E-4</v>
      </c>
    </row>
    <row r="271" spans="2:5" ht="15" customHeight="1" x14ac:dyDescent="0.25">
      <c r="B271" s="89"/>
      <c r="C271" s="46" t="s">
        <v>210</v>
      </c>
      <c r="D271" s="45">
        <v>1</v>
      </c>
      <c r="E271" s="44">
        <v>4.1511000415110004E-4</v>
      </c>
    </row>
    <row r="272" spans="2:5" ht="15" customHeight="1" x14ac:dyDescent="0.25">
      <c r="B272" s="89"/>
      <c r="C272" s="46" t="s">
        <v>230</v>
      </c>
      <c r="D272" s="45">
        <v>6</v>
      </c>
      <c r="E272" s="44">
        <v>2.4906600249066002E-3</v>
      </c>
    </row>
    <row r="273" spans="2:5" ht="15" customHeight="1" x14ac:dyDescent="0.25">
      <c r="B273" s="89"/>
      <c r="C273" s="46" t="s">
        <v>220</v>
      </c>
      <c r="D273" s="45">
        <v>1</v>
      </c>
      <c r="E273" s="44">
        <v>4.1511000415110004E-4</v>
      </c>
    </row>
    <row r="274" spans="2:5" ht="15" customHeight="1" x14ac:dyDescent="0.25">
      <c r="B274" s="89"/>
      <c r="C274" s="46" t="s">
        <v>244</v>
      </c>
      <c r="D274" s="45">
        <v>4</v>
      </c>
      <c r="E274" s="44">
        <v>1.6604400166044002E-3</v>
      </c>
    </row>
    <row r="275" spans="2:5" ht="15" customHeight="1" x14ac:dyDescent="0.25">
      <c r="B275" s="89"/>
      <c r="C275" s="46" t="s">
        <v>251</v>
      </c>
      <c r="D275" s="45">
        <v>15</v>
      </c>
      <c r="E275" s="44">
        <v>6.2266500622665004E-3</v>
      </c>
    </row>
    <row r="276" spans="2:5" ht="15" customHeight="1" x14ac:dyDescent="0.25">
      <c r="B276" s="89"/>
      <c r="C276" s="46" t="s">
        <v>207</v>
      </c>
      <c r="D276" s="45">
        <v>1</v>
      </c>
      <c r="E276" s="44">
        <v>4.1511000415110004E-4</v>
      </c>
    </row>
    <row r="277" spans="2:5" ht="15" customHeight="1" x14ac:dyDescent="0.25">
      <c r="B277" s="89"/>
      <c r="C277" s="46" t="s">
        <v>245</v>
      </c>
      <c r="D277" s="45">
        <v>1</v>
      </c>
      <c r="E277" s="44">
        <v>4.1511000415110004E-4</v>
      </c>
    </row>
    <row r="278" spans="2:5" ht="15" customHeight="1" x14ac:dyDescent="0.25">
      <c r="B278" s="89"/>
      <c r="C278" s="46" t="s">
        <v>252</v>
      </c>
      <c r="D278" s="45">
        <v>1</v>
      </c>
      <c r="E278" s="44">
        <v>4.1511000415110004E-4</v>
      </c>
    </row>
    <row r="279" spans="2:5" ht="15" customHeight="1" x14ac:dyDescent="0.25">
      <c r="B279" s="89"/>
      <c r="C279" s="46" t="s">
        <v>238</v>
      </c>
      <c r="D279" s="45">
        <v>1</v>
      </c>
      <c r="E279" s="44">
        <v>4.1511000415110004E-4</v>
      </c>
    </row>
    <row r="280" spans="2:5" ht="15" customHeight="1" x14ac:dyDescent="0.25">
      <c r="B280" s="89"/>
      <c r="C280" s="46" t="s">
        <v>250</v>
      </c>
      <c r="D280" s="45">
        <v>19</v>
      </c>
      <c r="E280" s="44">
        <v>7.8870900788709005E-3</v>
      </c>
    </row>
    <row r="281" spans="2:5" ht="15" customHeight="1" x14ac:dyDescent="0.25">
      <c r="B281" s="89"/>
      <c r="C281" s="46" t="s">
        <v>214</v>
      </c>
      <c r="D281" s="45">
        <v>1</v>
      </c>
      <c r="E281" s="44">
        <v>4.1511000415110004E-4</v>
      </c>
    </row>
    <row r="282" spans="2:5" ht="15" customHeight="1" x14ac:dyDescent="0.25">
      <c r="B282" s="89"/>
      <c r="C282" s="46" t="s">
        <v>263</v>
      </c>
      <c r="D282" s="45">
        <v>9</v>
      </c>
      <c r="E282" s="44">
        <v>3.7359900373599006E-3</v>
      </c>
    </row>
    <row r="283" spans="2:5" ht="15" customHeight="1" x14ac:dyDescent="0.25">
      <c r="B283" s="89"/>
      <c r="C283" s="46" t="s">
        <v>262</v>
      </c>
      <c r="D283" s="45">
        <v>63</v>
      </c>
      <c r="E283" s="44">
        <v>2.6151930261519303E-2</v>
      </c>
    </row>
    <row r="284" spans="2:5" ht="15" customHeight="1" x14ac:dyDescent="0.25">
      <c r="B284" s="89"/>
      <c r="C284" s="46" t="s">
        <v>261</v>
      </c>
      <c r="D284" s="45">
        <v>1</v>
      </c>
      <c r="E284" s="44">
        <v>4.1511000415110004E-4</v>
      </c>
    </row>
    <row r="285" spans="2:5" ht="15" customHeight="1" x14ac:dyDescent="0.25">
      <c r="B285" s="89"/>
      <c r="C285" s="46" t="s">
        <v>196</v>
      </c>
      <c r="D285" s="45">
        <v>1</v>
      </c>
      <c r="E285" s="44">
        <v>4.1511000415110004E-4</v>
      </c>
    </row>
    <row r="286" spans="2:5" ht="15" customHeight="1" x14ac:dyDescent="0.25">
      <c r="B286" s="89"/>
      <c r="C286" s="46" t="s">
        <v>243</v>
      </c>
      <c r="D286" s="45">
        <v>9</v>
      </c>
      <c r="E286" s="44">
        <v>3.7359900373599006E-3</v>
      </c>
    </row>
    <row r="287" spans="2:5" ht="15" customHeight="1" x14ac:dyDescent="0.25">
      <c r="B287" s="89"/>
      <c r="C287" s="46" t="s">
        <v>228</v>
      </c>
      <c r="D287" s="45">
        <v>1</v>
      </c>
      <c r="E287" s="44">
        <v>4.1511000415110004E-4</v>
      </c>
    </row>
    <row r="288" spans="2:5" ht="15" customHeight="1" x14ac:dyDescent="0.25">
      <c r="B288" s="89"/>
      <c r="C288" s="46" t="s">
        <v>258</v>
      </c>
      <c r="D288" s="45">
        <v>14</v>
      </c>
      <c r="E288" s="44">
        <v>5.811540058115401E-3</v>
      </c>
    </row>
    <row r="289" spans="2:5" ht="15" customHeight="1" x14ac:dyDescent="0.25">
      <c r="B289" s="89"/>
      <c r="C289" s="46" t="s">
        <v>257</v>
      </c>
      <c r="D289" s="45">
        <v>8</v>
      </c>
      <c r="E289" s="44">
        <v>3.3208800332088003E-3</v>
      </c>
    </row>
    <row r="290" spans="2:5" ht="15" customHeight="1" x14ac:dyDescent="0.25">
      <c r="B290" s="89"/>
      <c r="C290" s="46" t="s">
        <v>239</v>
      </c>
      <c r="D290" s="45">
        <v>1</v>
      </c>
      <c r="E290" s="44">
        <v>4.1511000415110004E-4</v>
      </c>
    </row>
    <row r="291" spans="2:5" ht="15" customHeight="1" x14ac:dyDescent="0.25">
      <c r="B291" s="90"/>
      <c r="C291" s="43" t="s">
        <v>23</v>
      </c>
      <c r="D291" s="42">
        <v>161</v>
      </c>
      <c r="E291" s="41">
        <v>6.6832710668327105E-2</v>
      </c>
    </row>
    <row r="292" spans="2:5" ht="15" customHeight="1" x14ac:dyDescent="0.25">
      <c r="B292" s="88" t="s">
        <v>35</v>
      </c>
      <c r="C292" s="46" t="s">
        <v>256</v>
      </c>
      <c r="D292" s="45">
        <v>1</v>
      </c>
      <c r="E292" s="44">
        <v>4.1511000415110004E-4</v>
      </c>
    </row>
    <row r="293" spans="2:5" ht="15" customHeight="1" x14ac:dyDescent="0.25">
      <c r="B293" s="89"/>
      <c r="C293" s="46" t="s">
        <v>261</v>
      </c>
      <c r="D293" s="45">
        <v>1</v>
      </c>
      <c r="E293" s="44">
        <v>4.1511000415110004E-4</v>
      </c>
    </row>
    <row r="294" spans="2:5" ht="15" customHeight="1" x14ac:dyDescent="0.25">
      <c r="B294" s="89"/>
      <c r="C294" s="46" t="s">
        <v>221</v>
      </c>
      <c r="D294" s="45">
        <v>1</v>
      </c>
      <c r="E294" s="44">
        <v>4.1511000415110004E-4</v>
      </c>
    </row>
    <row r="295" spans="2:5" ht="15" customHeight="1" x14ac:dyDescent="0.25">
      <c r="B295" s="90"/>
      <c r="C295" s="43" t="s">
        <v>23</v>
      </c>
      <c r="D295" s="42">
        <v>3</v>
      </c>
      <c r="E295" s="41">
        <v>1.2453300124533001E-3</v>
      </c>
    </row>
    <row r="296" spans="2:5" ht="15" customHeight="1" x14ac:dyDescent="0.25">
      <c r="B296" s="88" t="s">
        <v>42</v>
      </c>
      <c r="C296" s="46" t="s">
        <v>255</v>
      </c>
      <c r="D296" s="45">
        <v>1</v>
      </c>
      <c r="E296" s="44">
        <v>4.1511000415110004E-4</v>
      </c>
    </row>
    <row r="297" spans="2:5" ht="15" customHeight="1" x14ac:dyDescent="0.25">
      <c r="B297" s="89"/>
      <c r="C297" s="46" t="s">
        <v>215</v>
      </c>
      <c r="D297" s="45">
        <v>1</v>
      </c>
      <c r="E297" s="44">
        <v>4.1511000415110004E-4</v>
      </c>
    </row>
    <row r="298" spans="2:5" ht="15" customHeight="1" x14ac:dyDescent="0.25">
      <c r="B298" s="89"/>
      <c r="C298" s="46" t="s">
        <v>263</v>
      </c>
      <c r="D298" s="45">
        <v>2</v>
      </c>
      <c r="E298" s="44">
        <v>8.3022000830220008E-4</v>
      </c>
    </row>
    <row r="299" spans="2:5" ht="15" customHeight="1" x14ac:dyDescent="0.25">
      <c r="B299" s="89"/>
      <c r="C299" s="46" t="s">
        <v>221</v>
      </c>
      <c r="D299" s="45">
        <v>1</v>
      </c>
      <c r="E299" s="44">
        <v>4.1511000415110004E-4</v>
      </c>
    </row>
    <row r="300" spans="2:5" ht="15" customHeight="1" x14ac:dyDescent="0.25">
      <c r="B300" s="90"/>
      <c r="C300" s="43" t="s">
        <v>23</v>
      </c>
      <c r="D300" s="42">
        <v>5</v>
      </c>
      <c r="E300" s="41">
        <v>2.0755500207555004E-3</v>
      </c>
    </row>
    <row r="301" spans="2:5" ht="15" customHeight="1" x14ac:dyDescent="0.25">
      <c r="B301" s="88" t="s">
        <v>39</v>
      </c>
      <c r="C301" s="46" t="s">
        <v>247</v>
      </c>
      <c r="D301" s="45">
        <v>1</v>
      </c>
      <c r="E301" s="44">
        <v>4.1511000415110004E-4</v>
      </c>
    </row>
    <row r="302" spans="2:5" ht="15" customHeight="1" x14ac:dyDescent="0.25">
      <c r="B302" s="89"/>
      <c r="C302" s="46" t="s">
        <v>263</v>
      </c>
      <c r="D302" s="45">
        <v>1</v>
      </c>
      <c r="E302" s="44">
        <v>4.1511000415110004E-4</v>
      </c>
    </row>
    <row r="303" spans="2:5" ht="15" customHeight="1" x14ac:dyDescent="0.25">
      <c r="B303" s="89"/>
      <c r="C303" s="46" t="s">
        <v>261</v>
      </c>
      <c r="D303" s="45">
        <v>1</v>
      </c>
      <c r="E303" s="44">
        <v>4.1511000415110004E-4</v>
      </c>
    </row>
    <row r="304" spans="2:5" ht="15" customHeight="1" x14ac:dyDescent="0.25">
      <c r="B304" s="89"/>
      <c r="C304" s="46" t="s">
        <v>241</v>
      </c>
      <c r="D304" s="45">
        <v>1</v>
      </c>
      <c r="E304" s="44">
        <v>4.1511000415110004E-4</v>
      </c>
    </row>
    <row r="305" spans="2:5" ht="15" customHeight="1" x14ac:dyDescent="0.25">
      <c r="B305" s="90"/>
      <c r="C305" s="43" t="s">
        <v>23</v>
      </c>
      <c r="D305" s="42">
        <v>4</v>
      </c>
      <c r="E305" s="41">
        <v>1.6604400166044002E-3</v>
      </c>
    </row>
    <row r="306" spans="2:5" ht="15" customHeight="1" x14ac:dyDescent="0.25">
      <c r="B306" s="88" t="s">
        <v>63</v>
      </c>
      <c r="C306" s="46" t="s">
        <v>231</v>
      </c>
      <c r="D306" s="45">
        <v>2</v>
      </c>
      <c r="E306" s="44">
        <v>8.3022000830220008E-4</v>
      </c>
    </row>
    <row r="307" spans="2:5" ht="15" customHeight="1" x14ac:dyDescent="0.25">
      <c r="B307" s="89"/>
      <c r="C307" s="46" t="s">
        <v>233</v>
      </c>
      <c r="D307" s="45">
        <v>1</v>
      </c>
      <c r="E307" s="44">
        <v>4.1511000415110004E-4</v>
      </c>
    </row>
    <row r="308" spans="2:5" ht="15" customHeight="1" x14ac:dyDescent="0.25">
      <c r="B308" s="89"/>
      <c r="C308" s="46" t="s">
        <v>225</v>
      </c>
      <c r="D308" s="45">
        <v>1</v>
      </c>
      <c r="E308" s="44">
        <v>4.1511000415110004E-4</v>
      </c>
    </row>
    <row r="309" spans="2:5" ht="15" customHeight="1" x14ac:dyDescent="0.25">
      <c r="B309" s="89"/>
      <c r="C309" s="46" t="s">
        <v>248</v>
      </c>
      <c r="D309" s="45">
        <v>2</v>
      </c>
      <c r="E309" s="44">
        <v>8.3022000830220008E-4</v>
      </c>
    </row>
    <row r="310" spans="2:5" ht="15" customHeight="1" x14ac:dyDescent="0.25">
      <c r="B310" s="89"/>
      <c r="C310" s="46" t="s">
        <v>247</v>
      </c>
      <c r="D310" s="45">
        <v>13</v>
      </c>
      <c r="E310" s="44">
        <v>5.3964300539643007E-3</v>
      </c>
    </row>
    <row r="311" spans="2:5" ht="15" customHeight="1" x14ac:dyDescent="0.25">
      <c r="B311" s="89"/>
      <c r="C311" s="46" t="s">
        <v>200</v>
      </c>
      <c r="D311" s="45">
        <v>1</v>
      </c>
      <c r="E311" s="44">
        <v>4.1511000415110004E-4</v>
      </c>
    </row>
    <row r="312" spans="2:5" ht="15" customHeight="1" x14ac:dyDescent="0.25">
      <c r="B312" s="89"/>
      <c r="C312" s="46" t="s">
        <v>206</v>
      </c>
      <c r="D312" s="45">
        <v>2</v>
      </c>
      <c r="E312" s="44">
        <v>8.3022000830220008E-4</v>
      </c>
    </row>
    <row r="313" spans="2:5" ht="15" customHeight="1" x14ac:dyDescent="0.25">
      <c r="B313" s="89"/>
      <c r="C313" s="46" t="s">
        <v>253</v>
      </c>
      <c r="D313" s="45">
        <v>23</v>
      </c>
      <c r="E313" s="44">
        <v>9.5475300954753015E-3</v>
      </c>
    </row>
    <row r="314" spans="2:5" ht="15" customHeight="1" x14ac:dyDescent="0.25">
      <c r="B314" s="89"/>
      <c r="C314" s="46" t="s">
        <v>252</v>
      </c>
      <c r="D314" s="45">
        <v>4</v>
      </c>
      <c r="E314" s="44">
        <v>1.6604400166044002E-3</v>
      </c>
    </row>
    <row r="315" spans="2:5" ht="15" customHeight="1" x14ac:dyDescent="0.25">
      <c r="B315" s="89"/>
      <c r="C315" s="46" t="s">
        <v>216</v>
      </c>
      <c r="D315" s="45">
        <v>1</v>
      </c>
      <c r="E315" s="44">
        <v>4.1511000415110004E-4</v>
      </c>
    </row>
    <row r="316" spans="2:5" ht="15" customHeight="1" x14ac:dyDescent="0.25">
      <c r="B316" s="89"/>
      <c r="C316" s="46" t="s">
        <v>214</v>
      </c>
      <c r="D316" s="45">
        <v>1</v>
      </c>
      <c r="E316" s="44">
        <v>4.1511000415110004E-4</v>
      </c>
    </row>
    <row r="317" spans="2:5" ht="15" customHeight="1" x14ac:dyDescent="0.25">
      <c r="B317" s="89"/>
      <c r="C317" s="46" t="s">
        <v>263</v>
      </c>
      <c r="D317" s="45">
        <v>80</v>
      </c>
      <c r="E317" s="44">
        <v>3.3208800332088007E-2</v>
      </c>
    </row>
    <row r="318" spans="2:5" ht="15" customHeight="1" x14ac:dyDescent="0.25">
      <c r="B318" s="89"/>
      <c r="C318" s="46" t="s">
        <v>218</v>
      </c>
      <c r="D318" s="45">
        <v>1</v>
      </c>
      <c r="E318" s="44">
        <v>4.1511000415110004E-4</v>
      </c>
    </row>
    <row r="319" spans="2:5" ht="15" customHeight="1" x14ac:dyDescent="0.25">
      <c r="B319" s="89"/>
      <c r="C319" s="46" t="s">
        <v>260</v>
      </c>
      <c r="D319" s="45">
        <v>3</v>
      </c>
      <c r="E319" s="44">
        <v>1.2453300124533001E-3</v>
      </c>
    </row>
    <row r="320" spans="2:5" ht="15" customHeight="1" x14ac:dyDescent="0.25">
      <c r="B320" s="89"/>
      <c r="C320" s="46" t="s">
        <v>229</v>
      </c>
      <c r="D320" s="45">
        <v>1</v>
      </c>
      <c r="E320" s="44">
        <v>4.1511000415110004E-4</v>
      </c>
    </row>
    <row r="321" spans="2:5" ht="15" customHeight="1" x14ac:dyDescent="0.25">
      <c r="B321" s="89"/>
      <c r="C321" s="46" t="s">
        <v>262</v>
      </c>
      <c r="D321" s="45">
        <v>1</v>
      </c>
      <c r="E321" s="44">
        <v>4.1511000415110004E-4</v>
      </c>
    </row>
    <row r="322" spans="2:5" ht="15" customHeight="1" x14ac:dyDescent="0.25">
      <c r="B322" s="89"/>
      <c r="C322" s="46" t="s">
        <v>261</v>
      </c>
      <c r="D322" s="45">
        <v>2</v>
      </c>
      <c r="E322" s="44">
        <v>8.3022000830220008E-4</v>
      </c>
    </row>
    <row r="323" spans="2:5" ht="15" customHeight="1" x14ac:dyDescent="0.25">
      <c r="B323" s="89"/>
      <c r="C323" s="46" t="s">
        <v>246</v>
      </c>
      <c r="D323" s="45">
        <v>2</v>
      </c>
      <c r="E323" s="44">
        <v>8.3022000830220008E-4</v>
      </c>
    </row>
    <row r="324" spans="2:5" ht="15" customHeight="1" x14ac:dyDescent="0.25">
      <c r="B324" s="89"/>
      <c r="C324" s="46" t="s">
        <v>221</v>
      </c>
      <c r="D324" s="45">
        <v>2</v>
      </c>
      <c r="E324" s="44">
        <v>8.3022000830220008E-4</v>
      </c>
    </row>
    <row r="325" spans="2:5" ht="15" customHeight="1" x14ac:dyDescent="0.25">
      <c r="B325" s="89"/>
      <c r="C325" s="46" t="s">
        <v>217</v>
      </c>
      <c r="D325" s="45">
        <v>1</v>
      </c>
      <c r="E325" s="44">
        <v>4.1511000415110004E-4</v>
      </c>
    </row>
    <row r="326" spans="2:5" ht="15" customHeight="1" x14ac:dyDescent="0.25">
      <c r="B326" s="89"/>
      <c r="C326" s="46" t="s">
        <v>258</v>
      </c>
      <c r="D326" s="45">
        <v>1</v>
      </c>
      <c r="E326" s="44">
        <v>4.1511000415110004E-4</v>
      </c>
    </row>
    <row r="327" spans="2:5" ht="15" customHeight="1" x14ac:dyDescent="0.25">
      <c r="B327" s="89"/>
      <c r="C327" s="46" t="s">
        <v>257</v>
      </c>
      <c r="D327" s="45">
        <v>4</v>
      </c>
      <c r="E327" s="44">
        <v>1.6604400166044002E-3</v>
      </c>
    </row>
    <row r="328" spans="2:5" ht="15" customHeight="1" x14ac:dyDescent="0.25">
      <c r="B328" s="89"/>
      <c r="C328" s="46" t="s">
        <v>234</v>
      </c>
      <c r="D328" s="45">
        <v>6</v>
      </c>
      <c r="E328" s="44">
        <v>2.4906600249066002E-3</v>
      </c>
    </row>
    <row r="329" spans="2:5" ht="15" customHeight="1" x14ac:dyDescent="0.25">
      <c r="B329" s="89"/>
      <c r="C329" s="46" t="s">
        <v>241</v>
      </c>
      <c r="D329" s="45">
        <v>3</v>
      </c>
      <c r="E329" s="44">
        <v>1.2453300124533001E-3</v>
      </c>
    </row>
    <row r="330" spans="2:5" ht="15" customHeight="1" x14ac:dyDescent="0.25">
      <c r="B330" s="89"/>
      <c r="C330" s="46" t="s">
        <v>254</v>
      </c>
      <c r="D330" s="45">
        <v>1</v>
      </c>
      <c r="E330" s="44">
        <v>4.1511000415110004E-4</v>
      </c>
    </row>
    <row r="331" spans="2:5" ht="15" customHeight="1" x14ac:dyDescent="0.25">
      <c r="B331" s="89"/>
      <c r="C331" s="46" t="s">
        <v>211</v>
      </c>
      <c r="D331" s="45">
        <v>2</v>
      </c>
      <c r="E331" s="44">
        <v>8.3022000830220008E-4</v>
      </c>
    </row>
    <row r="332" spans="2:5" ht="15" customHeight="1" x14ac:dyDescent="0.25">
      <c r="B332" s="89"/>
      <c r="C332" s="46" t="s">
        <v>240</v>
      </c>
      <c r="D332" s="45">
        <v>7</v>
      </c>
      <c r="E332" s="44">
        <v>2.9057700290577005E-3</v>
      </c>
    </row>
    <row r="333" spans="2:5" ht="15" customHeight="1" x14ac:dyDescent="0.25">
      <c r="B333" s="89"/>
      <c r="C333" s="46" t="s">
        <v>204</v>
      </c>
      <c r="D333" s="45">
        <v>2</v>
      </c>
      <c r="E333" s="44">
        <v>8.3022000830220008E-4</v>
      </c>
    </row>
    <row r="334" spans="2:5" ht="15" customHeight="1" x14ac:dyDescent="0.25">
      <c r="B334" s="90"/>
      <c r="C334" s="43" t="s">
        <v>23</v>
      </c>
      <c r="D334" s="42">
        <v>170</v>
      </c>
      <c r="E334" s="41">
        <v>7.0568700705687007E-2</v>
      </c>
    </row>
    <row r="335" spans="2:5" ht="15" customHeight="1" x14ac:dyDescent="0.25">
      <c r="B335" s="88" t="s">
        <v>57</v>
      </c>
      <c r="C335" s="46" t="s">
        <v>248</v>
      </c>
      <c r="D335" s="45">
        <v>6</v>
      </c>
      <c r="E335" s="44">
        <v>2.4906600249066002E-3</v>
      </c>
    </row>
    <row r="336" spans="2:5" ht="15" customHeight="1" x14ac:dyDescent="0.25">
      <c r="B336" s="89"/>
      <c r="C336" s="46" t="s">
        <v>256</v>
      </c>
      <c r="D336" s="45">
        <v>2</v>
      </c>
      <c r="E336" s="44">
        <v>8.3022000830220008E-4</v>
      </c>
    </row>
    <row r="337" spans="2:5" ht="15" customHeight="1" x14ac:dyDescent="0.25">
      <c r="B337" s="89"/>
      <c r="C337" s="46" t="s">
        <v>230</v>
      </c>
      <c r="D337" s="45">
        <v>1</v>
      </c>
      <c r="E337" s="44">
        <v>4.1511000415110004E-4</v>
      </c>
    </row>
    <row r="338" spans="2:5" ht="15" customHeight="1" x14ac:dyDescent="0.25">
      <c r="B338" s="89"/>
      <c r="C338" s="46" t="s">
        <v>223</v>
      </c>
      <c r="D338" s="45">
        <v>1</v>
      </c>
      <c r="E338" s="44">
        <v>4.1511000415110004E-4</v>
      </c>
    </row>
    <row r="339" spans="2:5" ht="15" customHeight="1" x14ac:dyDescent="0.25">
      <c r="B339" s="89"/>
      <c r="C339" s="46" t="s">
        <v>263</v>
      </c>
      <c r="D339" s="45">
        <v>16</v>
      </c>
      <c r="E339" s="44">
        <v>6.6417600664176006E-3</v>
      </c>
    </row>
    <row r="340" spans="2:5" ht="15" customHeight="1" x14ac:dyDescent="0.25">
      <c r="B340" s="89"/>
      <c r="C340" s="46" t="s">
        <v>260</v>
      </c>
      <c r="D340" s="45">
        <v>2</v>
      </c>
      <c r="E340" s="44">
        <v>8.3022000830220008E-4</v>
      </c>
    </row>
    <row r="341" spans="2:5" ht="15" customHeight="1" x14ac:dyDescent="0.25">
      <c r="B341" s="89"/>
      <c r="C341" s="46" t="s">
        <v>262</v>
      </c>
      <c r="D341" s="45">
        <v>1</v>
      </c>
      <c r="E341" s="44">
        <v>4.1511000415110004E-4</v>
      </c>
    </row>
    <row r="342" spans="2:5" ht="15" customHeight="1" x14ac:dyDescent="0.25">
      <c r="B342" s="89"/>
      <c r="C342" s="46" t="s">
        <v>246</v>
      </c>
      <c r="D342" s="45">
        <v>3</v>
      </c>
      <c r="E342" s="44">
        <v>1.2453300124533001E-3</v>
      </c>
    </row>
    <row r="343" spans="2:5" ht="15" customHeight="1" x14ac:dyDescent="0.25">
      <c r="B343" s="89"/>
      <c r="C343" s="46" t="s">
        <v>195</v>
      </c>
      <c r="D343" s="45">
        <v>1</v>
      </c>
      <c r="E343" s="44">
        <v>4.1511000415110004E-4</v>
      </c>
    </row>
    <row r="344" spans="2:5" ht="15" customHeight="1" x14ac:dyDescent="0.25">
      <c r="B344" s="89"/>
      <c r="C344" s="46" t="s">
        <v>221</v>
      </c>
      <c r="D344" s="45">
        <v>1</v>
      </c>
      <c r="E344" s="44">
        <v>4.1511000415110004E-4</v>
      </c>
    </row>
    <row r="345" spans="2:5" ht="15" customHeight="1" x14ac:dyDescent="0.25">
      <c r="B345" s="89"/>
      <c r="C345" s="46" t="s">
        <v>258</v>
      </c>
      <c r="D345" s="45">
        <v>2</v>
      </c>
      <c r="E345" s="44">
        <v>8.3022000830220008E-4</v>
      </c>
    </row>
    <row r="346" spans="2:5" ht="15" customHeight="1" x14ac:dyDescent="0.25">
      <c r="B346" s="89"/>
      <c r="C346" s="46" t="s">
        <v>212</v>
      </c>
      <c r="D346" s="45">
        <v>2</v>
      </c>
      <c r="E346" s="44">
        <v>8.3022000830220008E-4</v>
      </c>
    </row>
    <row r="347" spans="2:5" ht="15" customHeight="1" x14ac:dyDescent="0.25">
      <c r="B347" s="89"/>
      <c r="C347" s="46" t="s">
        <v>232</v>
      </c>
      <c r="D347" s="45">
        <v>1</v>
      </c>
      <c r="E347" s="44">
        <v>4.1511000415110004E-4</v>
      </c>
    </row>
    <row r="348" spans="2:5" ht="15" customHeight="1" x14ac:dyDescent="0.25">
      <c r="B348" s="89"/>
      <c r="C348" s="46" t="s">
        <v>239</v>
      </c>
      <c r="D348" s="45">
        <v>1</v>
      </c>
      <c r="E348" s="44">
        <v>4.1511000415110004E-4</v>
      </c>
    </row>
    <row r="349" spans="2:5" ht="15" customHeight="1" x14ac:dyDescent="0.25">
      <c r="B349" s="89"/>
      <c r="C349" s="46" t="s">
        <v>240</v>
      </c>
      <c r="D349" s="45">
        <v>2</v>
      </c>
      <c r="E349" s="44">
        <v>8.3022000830220008E-4</v>
      </c>
    </row>
    <row r="350" spans="2:5" ht="15" customHeight="1" x14ac:dyDescent="0.25">
      <c r="B350" s="90"/>
      <c r="C350" s="43" t="s">
        <v>23</v>
      </c>
      <c r="D350" s="42">
        <v>42</v>
      </c>
      <c r="E350" s="41">
        <v>1.7434620174346202E-2</v>
      </c>
    </row>
    <row r="351" spans="2:5" ht="15" customHeight="1" x14ac:dyDescent="0.25">
      <c r="B351" s="88" t="s">
        <v>25</v>
      </c>
      <c r="C351" s="46" t="s">
        <v>263</v>
      </c>
      <c r="D351" s="45">
        <v>1</v>
      </c>
      <c r="E351" s="44">
        <v>4.1511000415110004E-4</v>
      </c>
    </row>
    <row r="352" spans="2:5" ht="15" customHeight="1" x14ac:dyDescent="0.25">
      <c r="B352" s="90"/>
      <c r="C352" s="43" t="s">
        <v>23</v>
      </c>
      <c r="D352" s="42">
        <v>1</v>
      </c>
      <c r="E352" s="41">
        <v>4.1511000415110004E-4</v>
      </c>
    </row>
    <row r="353" spans="2:5" ht="15" customHeight="1" x14ac:dyDescent="0.25">
      <c r="B353" s="88" t="s">
        <v>60</v>
      </c>
      <c r="C353" s="46" t="s">
        <v>248</v>
      </c>
      <c r="D353" s="45">
        <v>4</v>
      </c>
      <c r="E353" s="44">
        <v>1.6604400166044002E-3</v>
      </c>
    </row>
    <row r="354" spans="2:5" ht="15" customHeight="1" x14ac:dyDescent="0.25">
      <c r="B354" s="89"/>
      <c r="C354" s="46" t="s">
        <v>230</v>
      </c>
      <c r="D354" s="45">
        <v>1</v>
      </c>
      <c r="E354" s="44">
        <v>4.1511000415110004E-4</v>
      </c>
    </row>
    <row r="355" spans="2:5" ht="15" customHeight="1" x14ac:dyDescent="0.25">
      <c r="B355" s="89"/>
      <c r="C355" s="46" t="s">
        <v>244</v>
      </c>
      <c r="D355" s="45">
        <v>2</v>
      </c>
      <c r="E355" s="44">
        <v>8.3022000830220008E-4</v>
      </c>
    </row>
    <row r="356" spans="2:5" ht="15" customHeight="1" x14ac:dyDescent="0.25">
      <c r="B356" s="89"/>
      <c r="C356" s="46" t="s">
        <v>251</v>
      </c>
      <c r="D356" s="45">
        <v>5</v>
      </c>
      <c r="E356" s="44">
        <v>2.0755500207555004E-3</v>
      </c>
    </row>
    <row r="357" spans="2:5" ht="15" customHeight="1" x14ac:dyDescent="0.25">
      <c r="B357" s="89"/>
      <c r="C357" s="46" t="s">
        <v>236</v>
      </c>
      <c r="D357" s="45">
        <v>1</v>
      </c>
      <c r="E357" s="44">
        <v>4.1511000415110004E-4</v>
      </c>
    </row>
    <row r="358" spans="2:5" ht="15" customHeight="1" x14ac:dyDescent="0.25">
      <c r="B358" s="89"/>
      <c r="C358" s="46" t="s">
        <v>219</v>
      </c>
      <c r="D358" s="45">
        <v>5</v>
      </c>
      <c r="E358" s="44">
        <v>2.0755500207555004E-3</v>
      </c>
    </row>
    <row r="359" spans="2:5" ht="15" customHeight="1" x14ac:dyDescent="0.25">
      <c r="B359" s="89"/>
      <c r="C359" s="46" t="s">
        <v>252</v>
      </c>
      <c r="D359" s="45">
        <v>1</v>
      </c>
      <c r="E359" s="44">
        <v>4.1511000415110004E-4</v>
      </c>
    </row>
    <row r="360" spans="2:5" ht="15" customHeight="1" x14ac:dyDescent="0.25">
      <c r="B360" s="89"/>
      <c r="C360" s="46" t="s">
        <v>250</v>
      </c>
      <c r="D360" s="45">
        <v>4</v>
      </c>
      <c r="E360" s="44">
        <v>1.6604400166044002E-3</v>
      </c>
    </row>
    <row r="361" spans="2:5" ht="15" customHeight="1" x14ac:dyDescent="0.25">
      <c r="B361" s="89"/>
      <c r="C361" s="46" t="s">
        <v>263</v>
      </c>
      <c r="D361" s="45">
        <v>9</v>
      </c>
      <c r="E361" s="44">
        <v>3.7359900373599006E-3</v>
      </c>
    </row>
    <row r="362" spans="2:5" ht="15" customHeight="1" x14ac:dyDescent="0.25">
      <c r="B362" s="89"/>
      <c r="C362" s="46" t="s">
        <v>259</v>
      </c>
      <c r="D362" s="45">
        <v>1</v>
      </c>
      <c r="E362" s="44">
        <v>4.1511000415110004E-4</v>
      </c>
    </row>
    <row r="363" spans="2:5" ht="15" customHeight="1" x14ac:dyDescent="0.25">
      <c r="B363" s="89"/>
      <c r="C363" s="46" t="s">
        <v>262</v>
      </c>
      <c r="D363" s="45">
        <v>14</v>
      </c>
      <c r="E363" s="44">
        <v>5.811540058115401E-3</v>
      </c>
    </row>
    <row r="364" spans="2:5" ht="15" customHeight="1" x14ac:dyDescent="0.25">
      <c r="B364" s="89"/>
      <c r="C364" s="46" t="s">
        <v>261</v>
      </c>
      <c r="D364" s="45">
        <v>2</v>
      </c>
      <c r="E364" s="44">
        <v>8.3022000830220008E-4</v>
      </c>
    </row>
    <row r="365" spans="2:5" ht="15" customHeight="1" x14ac:dyDescent="0.25">
      <c r="B365" s="89"/>
      <c r="C365" s="46" t="s">
        <v>243</v>
      </c>
      <c r="D365" s="45">
        <v>1</v>
      </c>
      <c r="E365" s="44">
        <v>4.1511000415110004E-4</v>
      </c>
    </row>
    <row r="366" spans="2:5" ht="15" customHeight="1" x14ac:dyDescent="0.25">
      <c r="B366" s="89"/>
      <c r="C366" s="46" t="s">
        <v>258</v>
      </c>
      <c r="D366" s="45">
        <v>1</v>
      </c>
      <c r="E366" s="44">
        <v>4.1511000415110004E-4</v>
      </c>
    </row>
    <row r="367" spans="2:5" ht="15" customHeight="1" x14ac:dyDescent="0.25">
      <c r="B367" s="89"/>
      <c r="C367" s="46" t="s">
        <v>235</v>
      </c>
      <c r="D367" s="45">
        <v>3</v>
      </c>
      <c r="E367" s="44">
        <v>1.2453300124533001E-3</v>
      </c>
    </row>
    <row r="368" spans="2:5" ht="15" customHeight="1" x14ac:dyDescent="0.25">
      <c r="B368" s="89"/>
      <c r="C368" s="46" t="s">
        <v>227</v>
      </c>
      <c r="D368" s="45">
        <v>1</v>
      </c>
      <c r="E368" s="44">
        <v>4.1511000415110004E-4</v>
      </c>
    </row>
    <row r="369" spans="2:5" ht="15" customHeight="1" x14ac:dyDescent="0.25">
      <c r="B369" s="89"/>
      <c r="C369" s="46" t="s">
        <v>237</v>
      </c>
      <c r="D369" s="45">
        <v>3</v>
      </c>
      <c r="E369" s="44">
        <v>1.2453300124533001E-3</v>
      </c>
    </row>
    <row r="370" spans="2:5" ht="15" customHeight="1" x14ac:dyDescent="0.25">
      <c r="B370" s="89"/>
      <c r="C370" s="46" t="s">
        <v>257</v>
      </c>
      <c r="D370" s="45">
        <v>3</v>
      </c>
      <c r="E370" s="44">
        <v>1.2453300124533001E-3</v>
      </c>
    </row>
    <row r="371" spans="2:5" ht="15" customHeight="1" x14ac:dyDescent="0.25">
      <c r="B371" s="89"/>
      <c r="C371" s="46" t="s">
        <v>241</v>
      </c>
      <c r="D371" s="45">
        <v>1</v>
      </c>
      <c r="E371" s="44">
        <v>4.1511000415110004E-4</v>
      </c>
    </row>
    <row r="372" spans="2:5" ht="15" customHeight="1" x14ac:dyDescent="0.25">
      <c r="B372" s="89"/>
      <c r="C372" s="46" t="s">
        <v>254</v>
      </c>
      <c r="D372" s="45">
        <v>1</v>
      </c>
      <c r="E372" s="44">
        <v>4.1511000415110004E-4</v>
      </c>
    </row>
    <row r="373" spans="2:5" ht="15" customHeight="1" x14ac:dyDescent="0.25">
      <c r="B373" s="89"/>
      <c r="C373" s="46" t="s">
        <v>239</v>
      </c>
      <c r="D373" s="45">
        <v>1</v>
      </c>
      <c r="E373" s="44">
        <v>4.1511000415110004E-4</v>
      </c>
    </row>
    <row r="374" spans="2:5" ht="15" customHeight="1" x14ac:dyDescent="0.25">
      <c r="B374" s="90"/>
      <c r="C374" s="43" t="s">
        <v>23</v>
      </c>
      <c r="D374" s="42">
        <v>64</v>
      </c>
      <c r="E374" s="41">
        <v>2.6567040265670402E-2</v>
      </c>
    </row>
    <row r="375" spans="2:5" ht="15" customHeight="1" x14ac:dyDescent="0.25">
      <c r="B375" s="88" t="s">
        <v>24</v>
      </c>
      <c r="C375" s="46" t="s">
        <v>213</v>
      </c>
      <c r="D375" s="45">
        <v>1</v>
      </c>
      <c r="E375" s="44">
        <v>4.1511000415110004E-4</v>
      </c>
    </row>
    <row r="376" spans="2:5" ht="15" customHeight="1" x14ac:dyDescent="0.25">
      <c r="B376" s="90"/>
      <c r="C376" s="43" t="s">
        <v>23</v>
      </c>
      <c r="D376" s="42">
        <v>1</v>
      </c>
      <c r="E376" s="41">
        <v>4.1511000415110004E-4</v>
      </c>
    </row>
    <row r="377" spans="2:5" ht="15" customHeight="1" x14ac:dyDescent="0.25">
      <c r="B377" s="88" t="s">
        <v>38</v>
      </c>
      <c r="C377" s="46" t="s">
        <v>223</v>
      </c>
      <c r="D377" s="45">
        <v>1</v>
      </c>
      <c r="E377" s="44">
        <v>4.1511000415110004E-4</v>
      </c>
    </row>
    <row r="378" spans="2:5" ht="15" customHeight="1" x14ac:dyDescent="0.25">
      <c r="B378" s="89"/>
      <c r="C378" s="46" t="s">
        <v>263</v>
      </c>
      <c r="D378" s="45">
        <v>2</v>
      </c>
      <c r="E378" s="44">
        <v>8.3022000830220008E-4</v>
      </c>
    </row>
    <row r="379" spans="2:5" ht="15" customHeight="1" x14ac:dyDescent="0.25">
      <c r="B379" s="89"/>
      <c r="C379" s="46" t="s">
        <v>258</v>
      </c>
      <c r="D379" s="45">
        <v>1</v>
      </c>
      <c r="E379" s="44">
        <v>4.1511000415110004E-4</v>
      </c>
    </row>
    <row r="380" spans="2:5" ht="15" customHeight="1" x14ac:dyDescent="0.25">
      <c r="B380" s="90"/>
      <c r="C380" s="43" t="s">
        <v>23</v>
      </c>
      <c r="D380" s="42">
        <v>4</v>
      </c>
      <c r="E380" s="41">
        <v>1.6604400166044002E-3</v>
      </c>
    </row>
    <row r="381" spans="2:5" ht="15" customHeight="1" x14ac:dyDescent="0.25">
      <c r="B381" s="91" t="s">
        <v>23</v>
      </c>
      <c r="C381" s="92"/>
      <c r="D381" s="40">
        <v>2409</v>
      </c>
      <c r="E381" s="39">
        <v>1</v>
      </c>
    </row>
    <row r="383" spans="2:5" ht="15" customHeight="1" x14ac:dyDescent="0.25">
      <c r="B383" s="19" t="s">
        <v>22</v>
      </c>
    </row>
    <row r="384" spans="2:5" ht="15" customHeight="1" x14ac:dyDescent="0.25">
      <c r="B384" s="21" t="s">
        <v>21</v>
      </c>
    </row>
    <row r="385" spans="2:2" ht="15" customHeight="1" x14ac:dyDescent="0.25">
      <c r="B385" s="20" t="s">
        <v>20</v>
      </c>
    </row>
    <row r="386" spans="2:2" ht="15" customHeight="1" x14ac:dyDescent="0.25">
      <c r="B386" s="19" t="s">
        <v>19</v>
      </c>
    </row>
    <row r="387" spans="2:2" ht="15" customHeight="1" x14ac:dyDescent="0.25">
      <c r="B387" s="19" t="s">
        <v>18</v>
      </c>
    </row>
  </sheetData>
  <mergeCells count="43">
    <mergeCell ref="B301:B305"/>
    <mergeCell ref="B381:C381"/>
    <mergeCell ref="B306:B334"/>
    <mergeCell ref="B335:B350"/>
    <mergeCell ref="B351:B352"/>
    <mergeCell ref="B353:B374"/>
    <mergeCell ref="B375:B376"/>
    <mergeCell ref="B377:B380"/>
    <mergeCell ref="B227:B242"/>
    <mergeCell ref="B243:B247"/>
    <mergeCell ref="B248:B249"/>
    <mergeCell ref="B250:B254"/>
    <mergeCell ref="B255:B262"/>
    <mergeCell ref="B263:B265"/>
    <mergeCell ref="B266:B267"/>
    <mergeCell ref="B268:B291"/>
    <mergeCell ref="B292:B295"/>
    <mergeCell ref="B296:B300"/>
    <mergeCell ref="B187:B190"/>
    <mergeCell ref="B191:B193"/>
    <mergeCell ref="B194:B199"/>
    <mergeCell ref="B200:B202"/>
    <mergeCell ref="B203:B204"/>
    <mergeCell ref="B205:B207"/>
    <mergeCell ref="B208:B211"/>
    <mergeCell ref="B212:B214"/>
    <mergeCell ref="B215:B221"/>
    <mergeCell ref="B222:B226"/>
    <mergeCell ref="B112:B135"/>
    <mergeCell ref="B136:B137"/>
    <mergeCell ref="B138:B139"/>
    <mergeCell ref="B140:B152"/>
    <mergeCell ref="B153:B160"/>
    <mergeCell ref="B161:B162"/>
    <mergeCell ref="B163:B166"/>
    <mergeCell ref="B167:B175"/>
    <mergeCell ref="B176:B184"/>
    <mergeCell ref="B185:B186"/>
    <mergeCell ref="B7:E8"/>
    <mergeCell ref="B10:B15"/>
    <mergeCell ref="B16:B19"/>
    <mergeCell ref="B20:B25"/>
    <mergeCell ref="B26:B1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9" manualBreakCount="9">
    <brk id="25" max="4" man="1"/>
    <brk id="111" max="4" man="1"/>
    <brk id="152" max="4" man="1"/>
    <brk id="193" max="4" man="1"/>
    <brk id="226" max="4" man="1"/>
    <brk id="267" max="4" man="1"/>
    <brk id="305" max="4" man="1"/>
    <brk id="334" max="4" man="1"/>
    <brk id="376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05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87"/>
      <c r="C7" s="87"/>
      <c r="D7" s="87"/>
      <c r="E7" s="87"/>
    </row>
    <row r="8" spans="1:5" s="50" customFormat="1" ht="33" customHeight="1" x14ac:dyDescent="0.3">
      <c r="A8" s="51"/>
      <c r="B8" s="87"/>
      <c r="C8" s="87"/>
      <c r="D8" s="87"/>
      <c r="E8" s="87"/>
    </row>
    <row r="9" spans="1:5" s="29" customFormat="1" ht="40.5" customHeight="1" x14ac:dyDescent="0.2">
      <c r="B9" s="47" t="s">
        <v>142</v>
      </c>
      <c r="C9" s="49" t="s">
        <v>289</v>
      </c>
      <c r="D9" s="48" t="s">
        <v>66</v>
      </c>
      <c r="E9" s="47" t="s">
        <v>65</v>
      </c>
    </row>
    <row r="10" spans="1:5" ht="15" customHeight="1" x14ac:dyDescent="0.25">
      <c r="B10" s="88" t="s">
        <v>141</v>
      </c>
      <c r="C10" s="46" t="s">
        <v>256</v>
      </c>
      <c r="D10" s="45">
        <v>1</v>
      </c>
      <c r="E10" s="44">
        <v>4.1511000415110004E-4</v>
      </c>
    </row>
    <row r="11" spans="1:5" ht="15" customHeight="1" x14ac:dyDescent="0.25">
      <c r="B11" s="90"/>
      <c r="C11" s="43" t="s">
        <v>23</v>
      </c>
      <c r="D11" s="42">
        <v>1</v>
      </c>
      <c r="E11" s="41">
        <v>4.1511000415110004E-4</v>
      </c>
    </row>
    <row r="12" spans="1:5" ht="15" customHeight="1" x14ac:dyDescent="0.25">
      <c r="B12" s="88" t="s">
        <v>140</v>
      </c>
      <c r="C12" s="46" t="s">
        <v>203</v>
      </c>
      <c r="D12" s="45">
        <v>1</v>
      </c>
      <c r="E12" s="44">
        <v>4.1511000415110004E-4</v>
      </c>
    </row>
    <row r="13" spans="1:5" ht="15" customHeight="1" x14ac:dyDescent="0.25">
      <c r="B13" s="89"/>
      <c r="C13" s="46" t="s">
        <v>247</v>
      </c>
      <c r="D13" s="45">
        <v>1</v>
      </c>
      <c r="E13" s="44">
        <v>4.1511000415110004E-4</v>
      </c>
    </row>
    <row r="14" spans="1:5" ht="15" customHeight="1" x14ac:dyDescent="0.25">
      <c r="B14" s="89"/>
      <c r="C14" s="46" t="s">
        <v>263</v>
      </c>
      <c r="D14" s="45">
        <v>6</v>
      </c>
      <c r="E14" s="44">
        <v>2.4906600249066002E-3</v>
      </c>
    </row>
    <row r="15" spans="1:5" ht="15" customHeight="1" x14ac:dyDescent="0.25">
      <c r="B15" s="89"/>
      <c r="C15" s="46" t="s">
        <v>218</v>
      </c>
      <c r="D15" s="45">
        <v>1</v>
      </c>
      <c r="E15" s="44">
        <v>4.1511000415110004E-4</v>
      </c>
    </row>
    <row r="16" spans="1:5" ht="15" customHeight="1" x14ac:dyDescent="0.25">
      <c r="B16" s="89"/>
      <c r="C16" s="46" t="s">
        <v>260</v>
      </c>
      <c r="D16" s="45">
        <v>2</v>
      </c>
      <c r="E16" s="44">
        <v>8.3022000830220008E-4</v>
      </c>
    </row>
    <row r="17" spans="2:5" ht="15" customHeight="1" x14ac:dyDescent="0.25">
      <c r="B17" s="89"/>
      <c r="C17" s="46" t="s">
        <v>261</v>
      </c>
      <c r="D17" s="45">
        <v>2</v>
      </c>
      <c r="E17" s="44">
        <v>8.3022000830220008E-4</v>
      </c>
    </row>
    <row r="18" spans="2:5" ht="15" customHeight="1" x14ac:dyDescent="0.25">
      <c r="B18" s="89"/>
      <c r="C18" s="46" t="s">
        <v>243</v>
      </c>
      <c r="D18" s="45">
        <v>2</v>
      </c>
      <c r="E18" s="44">
        <v>8.3022000830220008E-4</v>
      </c>
    </row>
    <row r="19" spans="2:5" ht="15" customHeight="1" x14ac:dyDescent="0.25">
      <c r="B19" s="89"/>
      <c r="C19" s="46" t="s">
        <v>258</v>
      </c>
      <c r="D19" s="45">
        <v>6</v>
      </c>
      <c r="E19" s="44">
        <v>2.4906600249066002E-3</v>
      </c>
    </row>
    <row r="20" spans="2:5" ht="15" customHeight="1" x14ac:dyDescent="0.25">
      <c r="B20" s="89"/>
      <c r="C20" s="46" t="s">
        <v>184</v>
      </c>
      <c r="D20" s="45">
        <v>1</v>
      </c>
      <c r="E20" s="44">
        <v>4.1511000415110004E-4</v>
      </c>
    </row>
    <row r="21" spans="2:5" ht="15" customHeight="1" x14ac:dyDescent="0.25">
      <c r="B21" s="90"/>
      <c r="C21" s="43" t="s">
        <v>23</v>
      </c>
      <c r="D21" s="42">
        <v>22</v>
      </c>
      <c r="E21" s="41">
        <v>9.1324200913242004E-3</v>
      </c>
    </row>
    <row r="22" spans="2:5" ht="15" customHeight="1" x14ac:dyDescent="0.25">
      <c r="B22" s="88" t="s">
        <v>139</v>
      </c>
      <c r="C22" s="46" t="s">
        <v>248</v>
      </c>
      <c r="D22" s="45">
        <v>1</v>
      </c>
      <c r="E22" s="44">
        <v>4.1511000415110004E-4</v>
      </c>
    </row>
    <row r="23" spans="2:5" ht="15" customHeight="1" x14ac:dyDescent="0.25">
      <c r="B23" s="89"/>
      <c r="C23" s="46" t="s">
        <v>263</v>
      </c>
      <c r="D23" s="45">
        <v>5</v>
      </c>
      <c r="E23" s="44">
        <v>2.0755500207555004E-3</v>
      </c>
    </row>
    <row r="24" spans="2:5" ht="15" customHeight="1" x14ac:dyDescent="0.25">
      <c r="B24" s="89"/>
      <c r="C24" s="46" t="s">
        <v>260</v>
      </c>
      <c r="D24" s="45">
        <v>1</v>
      </c>
      <c r="E24" s="44">
        <v>4.1511000415110004E-4</v>
      </c>
    </row>
    <row r="25" spans="2:5" ht="15" customHeight="1" x14ac:dyDescent="0.25">
      <c r="B25" s="89"/>
      <c r="C25" s="46" t="s">
        <v>261</v>
      </c>
      <c r="D25" s="45">
        <v>1</v>
      </c>
      <c r="E25" s="44">
        <v>4.1511000415110004E-4</v>
      </c>
    </row>
    <row r="26" spans="2:5" ht="15" customHeight="1" x14ac:dyDescent="0.25">
      <c r="B26" s="89"/>
      <c r="C26" s="46" t="s">
        <v>241</v>
      </c>
      <c r="D26" s="45">
        <v>2</v>
      </c>
      <c r="E26" s="44">
        <v>8.3022000830220008E-4</v>
      </c>
    </row>
    <row r="27" spans="2:5" ht="15" customHeight="1" x14ac:dyDescent="0.25">
      <c r="B27" s="90"/>
      <c r="C27" s="43" t="s">
        <v>23</v>
      </c>
      <c r="D27" s="42">
        <v>10</v>
      </c>
      <c r="E27" s="41">
        <v>4.1511000415110008E-3</v>
      </c>
    </row>
    <row r="28" spans="2:5" ht="15" customHeight="1" x14ac:dyDescent="0.25">
      <c r="B28" s="88" t="s">
        <v>138</v>
      </c>
      <c r="C28" s="46" t="s">
        <v>255</v>
      </c>
      <c r="D28" s="45">
        <v>3</v>
      </c>
      <c r="E28" s="44">
        <v>1.2453300124533001E-3</v>
      </c>
    </row>
    <row r="29" spans="2:5" ht="15" customHeight="1" x14ac:dyDescent="0.25">
      <c r="B29" s="89"/>
      <c r="C29" s="46" t="s">
        <v>256</v>
      </c>
      <c r="D29" s="45">
        <v>1</v>
      </c>
      <c r="E29" s="44">
        <v>4.1511000415110004E-4</v>
      </c>
    </row>
    <row r="30" spans="2:5" ht="15" customHeight="1" x14ac:dyDescent="0.25">
      <c r="B30" s="89"/>
      <c r="C30" s="46" t="s">
        <v>263</v>
      </c>
      <c r="D30" s="45">
        <v>4</v>
      </c>
      <c r="E30" s="44">
        <v>1.6604400166044002E-3</v>
      </c>
    </row>
    <row r="31" spans="2:5" ht="15" customHeight="1" x14ac:dyDescent="0.25">
      <c r="B31" s="90"/>
      <c r="C31" s="43" t="s">
        <v>23</v>
      </c>
      <c r="D31" s="42">
        <v>8</v>
      </c>
      <c r="E31" s="41">
        <v>3.3208800332088003E-3</v>
      </c>
    </row>
    <row r="32" spans="2:5" ht="15" customHeight="1" x14ac:dyDescent="0.25">
      <c r="B32" s="88" t="s">
        <v>137</v>
      </c>
      <c r="C32" s="46" t="s">
        <v>263</v>
      </c>
      <c r="D32" s="45">
        <v>1</v>
      </c>
      <c r="E32" s="44">
        <v>4.1511000415110004E-4</v>
      </c>
    </row>
    <row r="33" spans="2:5" ht="15" customHeight="1" x14ac:dyDescent="0.25">
      <c r="B33" s="90"/>
      <c r="C33" s="43" t="s">
        <v>23</v>
      </c>
      <c r="D33" s="42">
        <v>1</v>
      </c>
      <c r="E33" s="41">
        <v>4.1511000415110004E-4</v>
      </c>
    </row>
    <row r="34" spans="2:5" ht="15" customHeight="1" x14ac:dyDescent="0.25">
      <c r="B34" s="88" t="s">
        <v>136</v>
      </c>
      <c r="C34" s="46" t="s">
        <v>252</v>
      </c>
      <c r="D34" s="45">
        <v>1</v>
      </c>
      <c r="E34" s="44">
        <v>4.1511000415110004E-4</v>
      </c>
    </row>
    <row r="35" spans="2:5" ht="15" customHeight="1" x14ac:dyDescent="0.25">
      <c r="B35" s="89"/>
      <c r="C35" s="46" t="s">
        <v>263</v>
      </c>
      <c r="D35" s="45">
        <v>3</v>
      </c>
      <c r="E35" s="44">
        <v>1.2453300124533001E-3</v>
      </c>
    </row>
    <row r="36" spans="2:5" ht="15" customHeight="1" x14ac:dyDescent="0.25">
      <c r="B36" s="90"/>
      <c r="C36" s="43" t="s">
        <v>23</v>
      </c>
      <c r="D36" s="42">
        <v>4</v>
      </c>
      <c r="E36" s="41">
        <v>1.6604400166044002E-3</v>
      </c>
    </row>
    <row r="37" spans="2:5" ht="15" customHeight="1" x14ac:dyDescent="0.25">
      <c r="B37" s="88" t="s">
        <v>135</v>
      </c>
      <c r="C37" s="46" t="s">
        <v>225</v>
      </c>
      <c r="D37" s="45">
        <v>1</v>
      </c>
      <c r="E37" s="44">
        <v>4.1511000415110004E-4</v>
      </c>
    </row>
    <row r="38" spans="2:5" ht="15" customHeight="1" x14ac:dyDescent="0.25">
      <c r="B38" s="89"/>
      <c r="C38" s="46" t="s">
        <v>192</v>
      </c>
      <c r="D38" s="45">
        <v>1</v>
      </c>
      <c r="E38" s="44">
        <v>4.1511000415110004E-4</v>
      </c>
    </row>
    <row r="39" spans="2:5" ht="15" customHeight="1" x14ac:dyDescent="0.25">
      <c r="B39" s="89"/>
      <c r="C39" s="46" t="s">
        <v>209</v>
      </c>
      <c r="D39" s="45">
        <v>1</v>
      </c>
      <c r="E39" s="44">
        <v>4.1511000415110004E-4</v>
      </c>
    </row>
    <row r="40" spans="2:5" ht="15" customHeight="1" x14ac:dyDescent="0.25">
      <c r="B40" s="89"/>
      <c r="C40" s="46" t="s">
        <v>224</v>
      </c>
      <c r="D40" s="45">
        <v>1</v>
      </c>
      <c r="E40" s="44">
        <v>4.1511000415110004E-4</v>
      </c>
    </row>
    <row r="41" spans="2:5" ht="15" customHeight="1" x14ac:dyDescent="0.25">
      <c r="B41" s="89"/>
      <c r="C41" s="46" t="s">
        <v>252</v>
      </c>
      <c r="D41" s="45">
        <v>1</v>
      </c>
      <c r="E41" s="44">
        <v>4.1511000415110004E-4</v>
      </c>
    </row>
    <row r="42" spans="2:5" ht="15" customHeight="1" x14ac:dyDescent="0.25">
      <c r="B42" s="89"/>
      <c r="C42" s="46" t="s">
        <v>263</v>
      </c>
      <c r="D42" s="45">
        <v>21</v>
      </c>
      <c r="E42" s="44">
        <v>8.717310087173101E-3</v>
      </c>
    </row>
    <row r="43" spans="2:5" ht="15" customHeight="1" x14ac:dyDescent="0.25">
      <c r="B43" s="89"/>
      <c r="C43" s="46" t="s">
        <v>260</v>
      </c>
      <c r="D43" s="45">
        <v>1</v>
      </c>
      <c r="E43" s="44">
        <v>4.1511000415110004E-4</v>
      </c>
    </row>
    <row r="44" spans="2:5" ht="15" customHeight="1" x14ac:dyDescent="0.25">
      <c r="B44" s="89"/>
      <c r="C44" s="46" t="s">
        <v>246</v>
      </c>
      <c r="D44" s="45">
        <v>2</v>
      </c>
      <c r="E44" s="44">
        <v>8.3022000830220008E-4</v>
      </c>
    </row>
    <row r="45" spans="2:5" ht="15" customHeight="1" x14ac:dyDescent="0.25">
      <c r="B45" s="89"/>
      <c r="C45" s="46" t="s">
        <v>196</v>
      </c>
      <c r="D45" s="45">
        <v>1</v>
      </c>
      <c r="E45" s="44">
        <v>4.1511000415110004E-4</v>
      </c>
    </row>
    <row r="46" spans="2:5" ht="15" customHeight="1" x14ac:dyDescent="0.25">
      <c r="B46" s="89"/>
      <c r="C46" s="46" t="s">
        <v>258</v>
      </c>
      <c r="D46" s="45">
        <v>4</v>
      </c>
      <c r="E46" s="44">
        <v>1.6604400166044002E-3</v>
      </c>
    </row>
    <row r="47" spans="2:5" ht="15" customHeight="1" x14ac:dyDescent="0.25">
      <c r="B47" s="89"/>
      <c r="C47" s="46" t="s">
        <v>234</v>
      </c>
      <c r="D47" s="45">
        <v>1</v>
      </c>
      <c r="E47" s="44">
        <v>4.1511000415110004E-4</v>
      </c>
    </row>
    <row r="48" spans="2:5" ht="15" customHeight="1" x14ac:dyDescent="0.25">
      <c r="B48" s="90"/>
      <c r="C48" s="43" t="s">
        <v>23</v>
      </c>
      <c r="D48" s="42">
        <v>35</v>
      </c>
      <c r="E48" s="41">
        <v>1.4528850145288501E-2</v>
      </c>
    </row>
    <row r="49" spans="2:5" ht="15" customHeight="1" x14ac:dyDescent="0.25">
      <c r="B49" s="88" t="s">
        <v>134</v>
      </c>
      <c r="C49" s="46" t="s">
        <v>231</v>
      </c>
      <c r="D49" s="45">
        <v>2</v>
      </c>
      <c r="E49" s="44">
        <v>8.3022000830220008E-4</v>
      </c>
    </row>
    <row r="50" spans="2:5" ht="15" customHeight="1" x14ac:dyDescent="0.25">
      <c r="B50" s="89"/>
      <c r="C50" s="46" t="s">
        <v>247</v>
      </c>
      <c r="D50" s="45">
        <v>13</v>
      </c>
      <c r="E50" s="44">
        <v>5.3964300539643007E-3</v>
      </c>
    </row>
    <row r="51" spans="2:5" ht="15" customHeight="1" x14ac:dyDescent="0.25">
      <c r="B51" s="89"/>
      <c r="C51" s="46" t="s">
        <v>200</v>
      </c>
      <c r="D51" s="45">
        <v>1</v>
      </c>
      <c r="E51" s="44">
        <v>4.1511000415110004E-4</v>
      </c>
    </row>
    <row r="52" spans="2:5" ht="15" customHeight="1" x14ac:dyDescent="0.25">
      <c r="B52" s="89"/>
      <c r="C52" s="46" t="s">
        <v>253</v>
      </c>
      <c r="D52" s="45">
        <v>23</v>
      </c>
      <c r="E52" s="44">
        <v>9.5475300954753015E-3</v>
      </c>
    </row>
    <row r="53" spans="2:5" ht="15" customHeight="1" x14ac:dyDescent="0.25">
      <c r="B53" s="89"/>
      <c r="C53" s="46" t="s">
        <v>252</v>
      </c>
      <c r="D53" s="45">
        <v>3</v>
      </c>
      <c r="E53" s="44">
        <v>1.2453300124533001E-3</v>
      </c>
    </row>
    <row r="54" spans="2:5" ht="15" customHeight="1" x14ac:dyDescent="0.25">
      <c r="B54" s="89"/>
      <c r="C54" s="46" t="s">
        <v>216</v>
      </c>
      <c r="D54" s="45">
        <v>1</v>
      </c>
      <c r="E54" s="44">
        <v>4.1511000415110004E-4</v>
      </c>
    </row>
    <row r="55" spans="2:5" ht="15" customHeight="1" x14ac:dyDescent="0.25">
      <c r="B55" s="89"/>
      <c r="C55" s="46" t="s">
        <v>263</v>
      </c>
      <c r="D55" s="45">
        <v>37</v>
      </c>
      <c r="E55" s="44">
        <v>1.5359070153590702E-2</v>
      </c>
    </row>
    <row r="56" spans="2:5" ht="15" customHeight="1" x14ac:dyDescent="0.25">
      <c r="B56" s="89"/>
      <c r="C56" s="46" t="s">
        <v>260</v>
      </c>
      <c r="D56" s="45">
        <v>2</v>
      </c>
      <c r="E56" s="44">
        <v>8.3022000830220008E-4</v>
      </c>
    </row>
    <row r="57" spans="2:5" ht="15" customHeight="1" x14ac:dyDescent="0.25">
      <c r="B57" s="89"/>
      <c r="C57" s="46" t="s">
        <v>262</v>
      </c>
      <c r="D57" s="45">
        <v>1</v>
      </c>
      <c r="E57" s="44">
        <v>4.1511000415110004E-4</v>
      </c>
    </row>
    <row r="58" spans="2:5" ht="15" customHeight="1" x14ac:dyDescent="0.25">
      <c r="B58" s="89"/>
      <c r="C58" s="46" t="s">
        <v>246</v>
      </c>
      <c r="D58" s="45">
        <v>1</v>
      </c>
      <c r="E58" s="44">
        <v>4.1511000415110004E-4</v>
      </c>
    </row>
    <row r="59" spans="2:5" ht="15" customHeight="1" x14ac:dyDescent="0.25">
      <c r="B59" s="89"/>
      <c r="C59" s="46" t="s">
        <v>221</v>
      </c>
      <c r="D59" s="45">
        <v>2</v>
      </c>
      <c r="E59" s="44">
        <v>8.3022000830220008E-4</v>
      </c>
    </row>
    <row r="60" spans="2:5" ht="15" customHeight="1" x14ac:dyDescent="0.25">
      <c r="B60" s="89"/>
      <c r="C60" s="46" t="s">
        <v>258</v>
      </c>
      <c r="D60" s="45">
        <v>1</v>
      </c>
      <c r="E60" s="44">
        <v>4.1511000415110004E-4</v>
      </c>
    </row>
    <row r="61" spans="2:5" ht="15" customHeight="1" x14ac:dyDescent="0.25">
      <c r="B61" s="89"/>
      <c r="C61" s="46" t="s">
        <v>257</v>
      </c>
      <c r="D61" s="45">
        <v>2</v>
      </c>
      <c r="E61" s="44">
        <v>8.3022000830220008E-4</v>
      </c>
    </row>
    <row r="62" spans="2:5" ht="15" customHeight="1" x14ac:dyDescent="0.25">
      <c r="B62" s="89"/>
      <c r="C62" s="46" t="s">
        <v>234</v>
      </c>
      <c r="D62" s="45">
        <v>2</v>
      </c>
      <c r="E62" s="44">
        <v>8.3022000830220008E-4</v>
      </c>
    </row>
    <row r="63" spans="2:5" ht="15" customHeight="1" x14ac:dyDescent="0.25">
      <c r="B63" s="89"/>
      <c r="C63" s="46" t="s">
        <v>241</v>
      </c>
      <c r="D63" s="45">
        <v>1</v>
      </c>
      <c r="E63" s="44">
        <v>4.1511000415110004E-4</v>
      </c>
    </row>
    <row r="64" spans="2:5" ht="15" customHeight="1" x14ac:dyDescent="0.25">
      <c r="B64" s="89"/>
      <c r="C64" s="46" t="s">
        <v>254</v>
      </c>
      <c r="D64" s="45">
        <v>1</v>
      </c>
      <c r="E64" s="44">
        <v>4.1511000415110004E-4</v>
      </c>
    </row>
    <row r="65" spans="2:5" ht="15" customHeight="1" x14ac:dyDescent="0.25">
      <c r="B65" s="89"/>
      <c r="C65" s="46" t="s">
        <v>211</v>
      </c>
      <c r="D65" s="45">
        <v>2</v>
      </c>
      <c r="E65" s="44">
        <v>8.3022000830220008E-4</v>
      </c>
    </row>
    <row r="66" spans="2:5" ht="15" customHeight="1" x14ac:dyDescent="0.25">
      <c r="B66" s="89"/>
      <c r="C66" s="46" t="s">
        <v>240</v>
      </c>
      <c r="D66" s="45">
        <v>4</v>
      </c>
      <c r="E66" s="44">
        <v>1.6604400166044002E-3</v>
      </c>
    </row>
    <row r="67" spans="2:5" ht="15" customHeight="1" x14ac:dyDescent="0.25">
      <c r="B67" s="89"/>
      <c r="C67" s="46" t="s">
        <v>204</v>
      </c>
      <c r="D67" s="45">
        <v>2</v>
      </c>
      <c r="E67" s="44">
        <v>8.3022000830220008E-4</v>
      </c>
    </row>
    <row r="68" spans="2:5" ht="15" customHeight="1" x14ac:dyDescent="0.25">
      <c r="B68" s="90"/>
      <c r="C68" s="43" t="s">
        <v>23</v>
      </c>
      <c r="D68" s="42">
        <v>101</v>
      </c>
      <c r="E68" s="41">
        <v>4.1926110419261108E-2</v>
      </c>
    </row>
    <row r="69" spans="2:5" ht="15" customHeight="1" x14ac:dyDescent="0.25">
      <c r="B69" s="88" t="s">
        <v>133</v>
      </c>
      <c r="C69" s="46" t="s">
        <v>225</v>
      </c>
      <c r="D69" s="45">
        <v>1</v>
      </c>
      <c r="E69" s="44">
        <v>4.1511000415110004E-4</v>
      </c>
    </row>
    <row r="70" spans="2:5" ht="15" customHeight="1" x14ac:dyDescent="0.25">
      <c r="B70" s="89"/>
      <c r="C70" s="46" t="s">
        <v>203</v>
      </c>
      <c r="D70" s="45">
        <v>1</v>
      </c>
      <c r="E70" s="44">
        <v>4.1511000415110004E-4</v>
      </c>
    </row>
    <row r="71" spans="2:5" ht="15" customHeight="1" x14ac:dyDescent="0.25">
      <c r="B71" s="89"/>
      <c r="C71" s="46" t="s">
        <v>256</v>
      </c>
      <c r="D71" s="45">
        <v>29</v>
      </c>
      <c r="E71" s="44">
        <v>1.2038190120381901E-2</v>
      </c>
    </row>
    <row r="72" spans="2:5" ht="15" customHeight="1" x14ac:dyDescent="0.25">
      <c r="B72" s="89"/>
      <c r="C72" s="46" t="s">
        <v>201</v>
      </c>
      <c r="D72" s="45">
        <v>1</v>
      </c>
      <c r="E72" s="44">
        <v>4.1511000415110004E-4</v>
      </c>
    </row>
    <row r="73" spans="2:5" ht="15" customHeight="1" x14ac:dyDescent="0.25">
      <c r="B73" s="89"/>
      <c r="C73" s="46" t="s">
        <v>220</v>
      </c>
      <c r="D73" s="45">
        <v>1</v>
      </c>
      <c r="E73" s="44">
        <v>4.1511000415110004E-4</v>
      </c>
    </row>
    <row r="74" spans="2:5" ht="15" customHeight="1" x14ac:dyDescent="0.25">
      <c r="B74" s="89"/>
      <c r="C74" s="46" t="s">
        <v>198</v>
      </c>
      <c r="D74" s="45">
        <v>1</v>
      </c>
      <c r="E74" s="44">
        <v>4.1511000415110004E-4</v>
      </c>
    </row>
    <row r="75" spans="2:5" ht="15" customHeight="1" x14ac:dyDescent="0.25">
      <c r="B75" s="89"/>
      <c r="C75" s="46" t="s">
        <v>252</v>
      </c>
      <c r="D75" s="45">
        <v>2</v>
      </c>
      <c r="E75" s="44">
        <v>8.3022000830220008E-4</v>
      </c>
    </row>
    <row r="76" spans="2:5" ht="15" customHeight="1" x14ac:dyDescent="0.25">
      <c r="B76" s="89"/>
      <c r="C76" s="46" t="s">
        <v>190</v>
      </c>
      <c r="D76" s="45">
        <v>1</v>
      </c>
      <c r="E76" s="44">
        <v>4.1511000415110004E-4</v>
      </c>
    </row>
    <row r="77" spans="2:5" ht="15" customHeight="1" x14ac:dyDescent="0.25">
      <c r="B77" s="89"/>
      <c r="C77" s="46" t="s">
        <v>263</v>
      </c>
      <c r="D77" s="45">
        <v>9</v>
      </c>
      <c r="E77" s="44">
        <v>3.7359900373599006E-3</v>
      </c>
    </row>
    <row r="78" spans="2:5" ht="15" customHeight="1" x14ac:dyDescent="0.25">
      <c r="B78" s="89"/>
      <c r="C78" s="46" t="s">
        <v>260</v>
      </c>
      <c r="D78" s="45">
        <v>1</v>
      </c>
      <c r="E78" s="44">
        <v>4.1511000415110004E-4</v>
      </c>
    </row>
    <row r="79" spans="2:5" ht="15" customHeight="1" x14ac:dyDescent="0.25">
      <c r="B79" s="89"/>
      <c r="C79" s="46" t="s">
        <v>259</v>
      </c>
      <c r="D79" s="45">
        <v>1</v>
      </c>
      <c r="E79" s="44">
        <v>4.1511000415110004E-4</v>
      </c>
    </row>
    <row r="80" spans="2:5" ht="15" customHeight="1" x14ac:dyDescent="0.25">
      <c r="B80" s="89"/>
      <c r="C80" s="46" t="s">
        <v>262</v>
      </c>
      <c r="D80" s="45">
        <v>1</v>
      </c>
      <c r="E80" s="44">
        <v>4.1511000415110004E-4</v>
      </c>
    </row>
    <row r="81" spans="2:5" ht="15" customHeight="1" x14ac:dyDescent="0.25">
      <c r="B81" s="89"/>
      <c r="C81" s="46" t="s">
        <v>222</v>
      </c>
      <c r="D81" s="45">
        <v>1</v>
      </c>
      <c r="E81" s="44">
        <v>4.1511000415110004E-4</v>
      </c>
    </row>
    <row r="82" spans="2:5" ht="15" customHeight="1" x14ac:dyDescent="0.25">
      <c r="B82" s="89"/>
      <c r="C82" s="46" t="s">
        <v>242</v>
      </c>
      <c r="D82" s="45">
        <v>1</v>
      </c>
      <c r="E82" s="44">
        <v>4.1511000415110004E-4</v>
      </c>
    </row>
    <row r="83" spans="2:5" ht="15" customHeight="1" x14ac:dyDescent="0.25">
      <c r="B83" s="89"/>
      <c r="C83" s="46" t="s">
        <v>213</v>
      </c>
      <c r="D83" s="45">
        <v>2</v>
      </c>
      <c r="E83" s="44">
        <v>8.3022000830220008E-4</v>
      </c>
    </row>
    <row r="84" spans="2:5" ht="15" customHeight="1" x14ac:dyDescent="0.25">
      <c r="B84" s="89"/>
      <c r="C84" s="46" t="s">
        <v>258</v>
      </c>
      <c r="D84" s="45">
        <v>8</v>
      </c>
      <c r="E84" s="44">
        <v>3.3208800332088003E-3</v>
      </c>
    </row>
    <row r="85" spans="2:5" ht="15" customHeight="1" x14ac:dyDescent="0.25">
      <c r="B85" s="89"/>
      <c r="C85" s="46" t="s">
        <v>212</v>
      </c>
      <c r="D85" s="45">
        <v>1</v>
      </c>
      <c r="E85" s="44">
        <v>4.1511000415110004E-4</v>
      </c>
    </row>
    <row r="86" spans="2:5" ht="15" customHeight="1" x14ac:dyDescent="0.25">
      <c r="B86" s="89"/>
      <c r="C86" s="46" t="s">
        <v>227</v>
      </c>
      <c r="D86" s="45">
        <v>1</v>
      </c>
      <c r="E86" s="44">
        <v>4.1511000415110004E-4</v>
      </c>
    </row>
    <row r="87" spans="2:5" ht="15" customHeight="1" x14ac:dyDescent="0.25">
      <c r="B87" s="89"/>
      <c r="C87" s="46" t="s">
        <v>186</v>
      </c>
      <c r="D87" s="45">
        <v>1</v>
      </c>
      <c r="E87" s="44">
        <v>4.1511000415110004E-4</v>
      </c>
    </row>
    <row r="88" spans="2:5" ht="15" customHeight="1" x14ac:dyDescent="0.25">
      <c r="B88" s="89"/>
      <c r="C88" s="46" t="s">
        <v>237</v>
      </c>
      <c r="D88" s="45">
        <v>1</v>
      </c>
      <c r="E88" s="44">
        <v>4.1511000415110004E-4</v>
      </c>
    </row>
    <row r="89" spans="2:5" ht="15" customHeight="1" x14ac:dyDescent="0.25">
      <c r="B89" s="89"/>
      <c r="C89" s="46" t="s">
        <v>241</v>
      </c>
      <c r="D89" s="45">
        <v>1</v>
      </c>
      <c r="E89" s="44">
        <v>4.1511000415110004E-4</v>
      </c>
    </row>
    <row r="90" spans="2:5" ht="15" customHeight="1" x14ac:dyDescent="0.25">
      <c r="B90" s="89"/>
      <c r="C90" s="46" t="s">
        <v>240</v>
      </c>
      <c r="D90" s="45">
        <v>2</v>
      </c>
      <c r="E90" s="44">
        <v>8.3022000830220008E-4</v>
      </c>
    </row>
    <row r="91" spans="2:5" ht="15" customHeight="1" x14ac:dyDescent="0.25">
      <c r="B91" s="89"/>
      <c r="C91" s="46" t="s">
        <v>176</v>
      </c>
      <c r="D91" s="45">
        <v>1</v>
      </c>
      <c r="E91" s="44">
        <v>4.1511000415110004E-4</v>
      </c>
    </row>
    <row r="92" spans="2:5" ht="15" customHeight="1" x14ac:dyDescent="0.25">
      <c r="B92" s="90"/>
      <c r="C92" s="43" t="s">
        <v>23</v>
      </c>
      <c r="D92" s="42">
        <v>69</v>
      </c>
      <c r="E92" s="41">
        <v>2.8642590286425903E-2</v>
      </c>
    </row>
    <row r="93" spans="2:5" ht="15" customHeight="1" x14ac:dyDescent="0.25">
      <c r="B93" s="88" t="s">
        <v>132</v>
      </c>
      <c r="C93" s="46" t="s">
        <v>260</v>
      </c>
      <c r="D93" s="45">
        <v>1</v>
      </c>
      <c r="E93" s="44">
        <v>4.1511000415110004E-4</v>
      </c>
    </row>
    <row r="94" spans="2:5" ht="15" customHeight="1" x14ac:dyDescent="0.25">
      <c r="B94" s="89"/>
      <c r="C94" s="46" t="s">
        <v>217</v>
      </c>
      <c r="D94" s="45">
        <v>1</v>
      </c>
      <c r="E94" s="44">
        <v>4.1511000415110004E-4</v>
      </c>
    </row>
    <row r="95" spans="2:5" ht="15" customHeight="1" x14ac:dyDescent="0.25">
      <c r="B95" s="90"/>
      <c r="C95" s="43" t="s">
        <v>23</v>
      </c>
      <c r="D95" s="42">
        <v>2</v>
      </c>
      <c r="E95" s="41">
        <v>8.3022000830220008E-4</v>
      </c>
    </row>
    <row r="96" spans="2:5" ht="15" customHeight="1" x14ac:dyDescent="0.25">
      <c r="B96" s="88" t="s">
        <v>131</v>
      </c>
      <c r="C96" s="46" t="s">
        <v>263</v>
      </c>
      <c r="D96" s="45">
        <v>3</v>
      </c>
      <c r="E96" s="44">
        <v>1.2453300124533001E-3</v>
      </c>
    </row>
    <row r="97" spans="2:5" ht="15" customHeight="1" x14ac:dyDescent="0.25">
      <c r="B97" s="90"/>
      <c r="C97" s="43" t="s">
        <v>23</v>
      </c>
      <c r="D97" s="42">
        <v>3</v>
      </c>
      <c r="E97" s="41">
        <v>1.2453300124533001E-3</v>
      </c>
    </row>
    <row r="98" spans="2:5" ht="15" customHeight="1" x14ac:dyDescent="0.25">
      <c r="B98" s="88" t="s">
        <v>130</v>
      </c>
      <c r="C98" s="46" t="s">
        <v>256</v>
      </c>
      <c r="D98" s="45">
        <v>1</v>
      </c>
      <c r="E98" s="44">
        <v>4.1511000415110004E-4</v>
      </c>
    </row>
    <row r="99" spans="2:5" ht="15" customHeight="1" x14ac:dyDescent="0.25">
      <c r="B99" s="89"/>
      <c r="C99" s="46" t="s">
        <v>261</v>
      </c>
      <c r="D99" s="45">
        <v>1</v>
      </c>
      <c r="E99" s="44">
        <v>4.1511000415110004E-4</v>
      </c>
    </row>
    <row r="100" spans="2:5" ht="15" customHeight="1" x14ac:dyDescent="0.25">
      <c r="B100" s="89"/>
      <c r="C100" s="46" t="s">
        <v>221</v>
      </c>
      <c r="D100" s="45">
        <v>1</v>
      </c>
      <c r="E100" s="44">
        <v>4.1511000415110004E-4</v>
      </c>
    </row>
    <row r="101" spans="2:5" ht="15" customHeight="1" x14ac:dyDescent="0.25">
      <c r="B101" s="90"/>
      <c r="C101" s="43" t="s">
        <v>23</v>
      </c>
      <c r="D101" s="42">
        <v>3</v>
      </c>
      <c r="E101" s="41">
        <v>1.2453300124533001E-3</v>
      </c>
    </row>
    <row r="102" spans="2:5" ht="15" customHeight="1" x14ac:dyDescent="0.25">
      <c r="B102" s="88" t="s">
        <v>129</v>
      </c>
      <c r="C102" s="46" t="s">
        <v>256</v>
      </c>
      <c r="D102" s="45">
        <v>1</v>
      </c>
      <c r="E102" s="44">
        <v>4.1511000415110004E-4</v>
      </c>
    </row>
    <row r="103" spans="2:5" ht="15" customHeight="1" x14ac:dyDescent="0.25">
      <c r="B103" s="89"/>
      <c r="C103" s="46" t="s">
        <v>263</v>
      </c>
      <c r="D103" s="45">
        <v>4</v>
      </c>
      <c r="E103" s="44">
        <v>1.6604400166044002E-3</v>
      </c>
    </row>
    <row r="104" spans="2:5" ht="15" customHeight="1" x14ac:dyDescent="0.25">
      <c r="B104" s="89"/>
      <c r="C104" s="46" t="s">
        <v>260</v>
      </c>
      <c r="D104" s="45">
        <v>1</v>
      </c>
      <c r="E104" s="44">
        <v>4.1511000415110004E-4</v>
      </c>
    </row>
    <row r="105" spans="2:5" ht="15" customHeight="1" x14ac:dyDescent="0.25">
      <c r="B105" s="89"/>
      <c r="C105" s="46" t="s">
        <v>259</v>
      </c>
      <c r="D105" s="45">
        <v>1</v>
      </c>
      <c r="E105" s="44">
        <v>4.1511000415110004E-4</v>
      </c>
    </row>
    <row r="106" spans="2:5" ht="15" customHeight="1" x14ac:dyDescent="0.25">
      <c r="B106" s="89"/>
      <c r="C106" s="46" t="s">
        <v>261</v>
      </c>
      <c r="D106" s="45">
        <v>1</v>
      </c>
      <c r="E106" s="44">
        <v>4.1511000415110004E-4</v>
      </c>
    </row>
    <row r="107" spans="2:5" ht="15" customHeight="1" x14ac:dyDescent="0.25">
      <c r="B107" s="89"/>
      <c r="C107" s="46" t="s">
        <v>227</v>
      </c>
      <c r="D107" s="45">
        <v>1</v>
      </c>
      <c r="E107" s="44">
        <v>4.1511000415110004E-4</v>
      </c>
    </row>
    <row r="108" spans="2:5" ht="15" customHeight="1" x14ac:dyDescent="0.25">
      <c r="B108" s="89"/>
      <c r="C108" s="46" t="s">
        <v>257</v>
      </c>
      <c r="D108" s="45">
        <v>1</v>
      </c>
      <c r="E108" s="44">
        <v>4.1511000415110004E-4</v>
      </c>
    </row>
    <row r="109" spans="2:5" ht="15" customHeight="1" x14ac:dyDescent="0.25">
      <c r="B109" s="90"/>
      <c r="C109" s="43" t="s">
        <v>23</v>
      </c>
      <c r="D109" s="42">
        <v>10</v>
      </c>
      <c r="E109" s="41">
        <v>4.1511000415110008E-3</v>
      </c>
    </row>
    <row r="110" spans="2:5" ht="15" customHeight="1" x14ac:dyDescent="0.25">
      <c r="B110" s="88" t="s">
        <v>128</v>
      </c>
      <c r="C110" s="46" t="s">
        <v>225</v>
      </c>
      <c r="D110" s="45">
        <v>1</v>
      </c>
      <c r="E110" s="44">
        <v>4.1511000415110004E-4</v>
      </c>
    </row>
    <row r="111" spans="2:5" ht="15" customHeight="1" x14ac:dyDescent="0.25">
      <c r="B111" s="89"/>
      <c r="C111" s="46" t="s">
        <v>248</v>
      </c>
      <c r="D111" s="45">
        <v>1</v>
      </c>
      <c r="E111" s="44">
        <v>4.1511000415110004E-4</v>
      </c>
    </row>
    <row r="112" spans="2:5" ht="15" customHeight="1" x14ac:dyDescent="0.25">
      <c r="B112" s="89"/>
      <c r="C112" s="46" t="s">
        <v>206</v>
      </c>
      <c r="D112" s="45">
        <v>1</v>
      </c>
      <c r="E112" s="44">
        <v>4.1511000415110004E-4</v>
      </c>
    </row>
    <row r="113" spans="2:5" ht="15" customHeight="1" x14ac:dyDescent="0.25">
      <c r="B113" s="89"/>
      <c r="C113" s="46" t="s">
        <v>214</v>
      </c>
      <c r="D113" s="45">
        <v>1</v>
      </c>
      <c r="E113" s="44">
        <v>4.1511000415110004E-4</v>
      </c>
    </row>
    <row r="114" spans="2:5" ht="15" customHeight="1" x14ac:dyDescent="0.25">
      <c r="B114" s="89"/>
      <c r="C114" s="46" t="s">
        <v>263</v>
      </c>
      <c r="D114" s="45">
        <v>29</v>
      </c>
      <c r="E114" s="44">
        <v>1.2038190120381901E-2</v>
      </c>
    </row>
    <row r="115" spans="2:5" ht="15" customHeight="1" x14ac:dyDescent="0.25">
      <c r="B115" s="89"/>
      <c r="C115" s="46" t="s">
        <v>229</v>
      </c>
      <c r="D115" s="45">
        <v>1</v>
      </c>
      <c r="E115" s="44">
        <v>4.1511000415110004E-4</v>
      </c>
    </row>
    <row r="116" spans="2:5" ht="15" customHeight="1" x14ac:dyDescent="0.25">
      <c r="B116" s="89"/>
      <c r="C116" s="46" t="s">
        <v>261</v>
      </c>
      <c r="D116" s="45">
        <v>1</v>
      </c>
      <c r="E116" s="44">
        <v>4.1511000415110004E-4</v>
      </c>
    </row>
    <row r="117" spans="2:5" ht="15" customHeight="1" x14ac:dyDescent="0.25">
      <c r="B117" s="89"/>
      <c r="C117" s="46" t="s">
        <v>217</v>
      </c>
      <c r="D117" s="45">
        <v>1</v>
      </c>
      <c r="E117" s="44">
        <v>4.1511000415110004E-4</v>
      </c>
    </row>
    <row r="118" spans="2:5" ht="15" customHeight="1" x14ac:dyDescent="0.25">
      <c r="B118" s="89"/>
      <c r="C118" s="46" t="s">
        <v>257</v>
      </c>
      <c r="D118" s="45">
        <v>2</v>
      </c>
      <c r="E118" s="44">
        <v>8.3022000830220008E-4</v>
      </c>
    </row>
    <row r="119" spans="2:5" ht="15" customHeight="1" x14ac:dyDescent="0.25">
      <c r="B119" s="89"/>
      <c r="C119" s="46" t="s">
        <v>234</v>
      </c>
      <c r="D119" s="45">
        <v>4</v>
      </c>
      <c r="E119" s="44">
        <v>1.6604400166044002E-3</v>
      </c>
    </row>
    <row r="120" spans="2:5" ht="15" customHeight="1" x14ac:dyDescent="0.25">
      <c r="B120" s="89"/>
      <c r="C120" s="46" t="s">
        <v>240</v>
      </c>
      <c r="D120" s="45">
        <v>2</v>
      </c>
      <c r="E120" s="44">
        <v>8.3022000830220008E-4</v>
      </c>
    </row>
    <row r="121" spans="2:5" ht="15" customHeight="1" x14ac:dyDescent="0.25">
      <c r="B121" s="90"/>
      <c r="C121" s="43" t="s">
        <v>23</v>
      </c>
      <c r="D121" s="42">
        <v>44</v>
      </c>
      <c r="E121" s="41">
        <v>1.8264840182648401E-2</v>
      </c>
    </row>
    <row r="122" spans="2:5" ht="15" customHeight="1" x14ac:dyDescent="0.25">
      <c r="B122" s="88" t="s">
        <v>171</v>
      </c>
      <c r="C122" s="46" t="s">
        <v>253</v>
      </c>
      <c r="D122" s="45">
        <v>1</v>
      </c>
      <c r="E122" s="44">
        <v>4.1511000415110004E-4</v>
      </c>
    </row>
    <row r="123" spans="2:5" ht="15" customHeight="1" x14ac:dyDescent="0.25">
      <c r="B123" s="89"/>
      <c r="C123" s="46" t="s">
        <v>263</v>
      </c>
      <c r="D123" s="45">
        <v>9</v>
      </c>
      <c r="E123" s="44">
        <v>3.7359900373599006E-3</v>
      </c>
    </row>
    <row r="124" spans="2:5" ht="15" customHeight="1" x14ac:dyDescent="0.25">
      <c r="B124" s="89"/>
      <c r="C124" s="46" t="s">
        <v>228</v>
      </c>
      <c r="D124" s="45">
        <v>1</v>
      </c>
      <c r="E124" s="44">
        <v>4.1511000415110004E-4</v>
      </c>
    </row>
    <row r="125" spans="2:5" ht="15" customHeight="1" x14ac:dyDescent="0.25">
      <c r="B125" s="89"/>
      <c r="C125" s="46" t="s">
        <v>185</v>
      </c>
      <c r="D125" s="45">
        <v>1</v>
      </c>
      <c r="E125" s="44">
        <v>4.1511000415110004E-4</v>
      </c>
    </row>
    <row r="126" spans="2:5" ht="15" customHeight="1" x14ac:dyDescent="0.25">
      <c r="B126" s="89"/>
      <c r="C126" s="46" t="s">
        <v>241</v>
      </c>
      <c r="D126" s="45">
        <v>2</v>
      </c>
      <c r="E126" s="44">
        <v>8.3022000830220008E-4</v>
      </c>
    </row>
    <row r="127" spans="2:5" ht="15" customHeight="1" x14ac:dyDescent="0.25">
      <c r="B127" s="89"/>
      <c r="C127" s="46" t="s">
        <v>240</v>
      </c>
      <c r="D127" s="45">
        <v>2</v>
      </c>
      <c r="E127" s="44">
        <v>8.3022000830220008E-4</v>
      </c>
    </row>
    <row r="128" spans="2:5" ht="15" customHeight="1" x14ac:dyDescent="0.25">
      <c r="B128" s="90"/>
      <c r="C128" s="43" t="s">
        <v>23</v>
      </c>
      <c r="D128" s="42">
        <v>16</v>
      </c>
      <c r="E128" s="41">
        <v>6.6417600664176006E-3</v>
      </c>
    </row>
    <row r="129" spans="2:5" ht="15" customHeight="1" x14ac:dyDescent="0.25">
      <c r="B129" s="88" t="s">
        <v>126</v>
      </c>
      <c r="C129" s="46" t="s">
        <v>255</v>
      </c>
      <c r="D129" s="45">
        <v>2</v>
      </c>
      <c r="E129" s="44">
        <v>8.3022000830220008E-4</v>
      </c>
    </row>
    <row r="130" spans="2:5" ht="15" customHeight="1" x14ac:dyDescent="0.25">
      <c r="B130" s="89"/>
      <c r="C130" s="46" t="s">
        <v>248</v>
      </c>
      <c r="D130" s="45">
        <v>3</v>
      </c>
      <c r="E130" s="44">
        <v>1.2453300124533001E-3</v>
      </c>
    </row>
    <row r="131" spans="2:5" ht="15" customHeight="1" x14ac:dyDescent="0.25">
      <c r="B131" s="89"/>
      <c r="C131" s="46" t="s">
        <v>263</v>
      </c>
      <c r="D131" s="45">
        <v>5</v>
      </c>
      <c r="E131" s="44">
        <v>2.0755500207555004E-3</v>
      </c>
    </row>
    <row r="132" spans="2:5" ht="15" customHeight="1" x14ac:dyDescent="0.25">
      <c r="B132" s="89"/>
      <c r="C132" s="46" t="s">
        <v>259</v>
      </c>
      <c r="D132" s="45">
        <v>4</v>
      </c>
      <c r="E132" s="44">
        <v>1.6604400166044002E-3</v>
      </c>
    </row>
    <row r="133" spans="2:5" ht="15" customHeight="1" x14ac:dyDescent="0.25">
      <c r="B133" s="89"/>
      <c r="C133" s="46" t="s">
        <v>213</v>
      </c>
      <c r="D133" s="45">
        <v>1</v>
      </c>
      <c r="E133" s="44">
        <v>4.1511000415110004E-4</v>
      </c>
    </row>
    <row r="134" spans="2:5" ht="15" customHeight="1" x14ac:dyDescent="0.25">
      <c r="B134" s="89"/>
      <c r="C134" s="46" t="s">
        <v>227</v>
      </c>
      <c r="D134" s="45">
        <v>1</v>
      </c>
      <c r="E134" s="44">
        <v>4.1511000415110004E-4</v>
      </c>
    </row>
    <row r="135" spans="2:5" ht="15" customHeight="1" x14ac:dyDescent="0.25">
      <c r="B135" s="90"/>
      <c r="C135" s="43" t="s">
        <v>23</v>
      </c>
      <c r="D135" s="42">
        <v>16</v>
      </c>
      <c r="E135" s="41">
        <v>6.6417600664176006E-3</v>
      </c>
    </row>
    <row r="136" spans="2:5" ht="15" customHeight="1" x14ac:dyDescent="0.25">
      <c r="B136" s="88" t="s">
        <v>125</v>
      </c>
      <c r="C136" s="46" t="s">
        <v>233</v>
      </c>
      <c r="D136" s="45">
        <v>1</v>
      </c>
      <c r="E136" s="44">
        <v>4.1511000415110004E-4</v>
      </c>
    </row>
    <row r="137" spans="2:5" ht="15" customHeight="1" x14ac:dyDescent="0.25">
      <c r="B137" s="89"/>
      <c r="C137" s="46" t="s">
        <v>246</v>
      </c>
      <c r="D137" s="45">
        <v>1</v>
      </c>
      <c r="E137" s="44">
        <v>4.1511000415110004E-4</v>
      </c>
    </row>
    <row r="138" spans="2:5" ht="15" customHeight="1" x14ac:dyDescent="0.25">
      <c r="B138" s="90"/>
      <c r="C138" s="43" t="s">
        <v>23</v>
      </c>
      <c r="D138" s="42">
        <v>2</v>
      </c>
      <c r="E138" s="41">
        <v>8.3022000830220008E-4</v>
      </c>
    </row>
    <row r="139" spans="2:5" ht="15" customHeight="1" x14ac:dyDescent="0.25">
      <c r="B139" s="88" t="s">
        <v>124</v>
      </c>
      <c r="C139" s="46" t="s">
        <v>248</v>
      </c>
      <c r="D139" s="45">
        <v>5</v>
      </c>
      <c r="E139" s="44">
        <v>2.0755500207555004E-3</v>
      </c>
    </row>
    <row r="140" spans="2:5" ht="15" customHeight="1" x14ac:dyDescent="0.25">
      <c r="B140" s="89"/>
      <c r="C140" s="46" t="s">
        <v>244</v>
      </c>
      <c r="D140" s="45">
        <v>1</v>
      </c>
      <c r="E140" s="44">
        <v>4.1511000415110004E-4</v>
      </c>
    </row>
    <row r="141" spans="2:5" ht="15" customHeight="1" x14ac:dyDescent="0.25">
      <c r="B141" s="89"/>
      <c r="C141" s="46" t="s">
        <v>251</v>
      </c>
      <c r="D141" s="45">
        <v>1</v>
      </c>
      <c r="E141" s="44">
        <v>4.1511000415110004E-4</v>
      </c>
    </row>
    <row r="142" spans="2:5" ht="15" customHeight="1" x14ac:dyDescent="0.25">
      <c r="B142" s="89"/>
      <c r="C142" s="46" t="s">
        <v>236</v>
      </c>
      <c r="D142" s="45">
        <v>1</v>
      </c>
      <c r="E142" s="44">
        <v>4.1511000415110004E-4</v>
      </c>
    </row>
    <row r="143" spans="2:5" ht="15" customHeight="1" x14ac:dyDescent="0.25">
      <c r="B143" s="89"/>
      <c r="C143" s="46" t="s">
        <v>252</v>
      </c>
      <c r="D143" s="45">
        <v>1</v>
      </c>
      <c r="E143" s="44">
        <v>4.1511000415110004E-4</v>
      </c>
    </row>
    <row r="144" spans="2:5" ht="15" customHeight="1" x14ac:dyDescent="0.25">
      <c r="B144" s="89"/>
      <c r="C144" s="46" t="s">
        <v>250</v>
      </c>
      <c r="D144" s="45">
        <v>1</v>
      </c>
      <c r="E144" s="44">
        <v>4.1511000415110004E-4</v>
      </c>
    </row>
    <row r="145" spans="2:5" ht="15" customHeight="1" x14ac:dyDescent="0.25">
      <c r="B145" s="89"/>
      <c r="C145" s="46" t="s">
        <v>263</v>
      </c>
      <c r="D145" s="45">
        <v>14</v>
      </c>
      <c r="E145" s="44">
        <v>5.811540058115401E-3</v>
      </c>
    </row>
    <row r="146" spans="2:5" ht="15" customHeight="1" x14ac:dyDescent="0.25">
      <c r="B146" s="89"/>
      <c r="C146" s="46" t="s">
        <v>260</v>
      </c>
      <c r="D146" s="45">
        <v>3</v>
      </c>
      <c r="E146" s="44">
        <v>1.2453300124533001E-3</v>
      </c>
    </row>
    <row r="147" spans="2:5" ht="15" customHeight="1" x14ac:dyDescent="0.25">
      <c r="B147" s="89"/>
      <c r="C147" s="46" t="s">
        <v>259</v>
      </c>
      <c r="D147" s="45">
        <v>20</v>
      </c>
      <c r="E147" s="44">
        <v>8.3022000830220016E-3</v>
      </c>
    </row>
    <row r="148" spans="2:5" ht="15" customHeight="1" x14ac:dyDescent="0.25">
      <c r="B148" s="89"/>
      <c r="C148" s="46" t="s">
        <v>258</v>
      </c>
      <c r="D148" s="45">
        <v>1</v>
      </c>
      <c r="E148" s="44">
        <v>4.1511000415110004E-4</v>
      </c>
    </row>
    <row r="149" spans="2:5" ht="15" customHeight="1" x14ac:dyDescent="0.25">
      <c r="B149" s="89"/>
      <c r="C149" s="46" t="s">
        <v>235</v>
      </c>
      <c r="D149" s="45">
        <v>1</v>
      </c>
      <c r="E149" s="44">
        <v>4.1511000415110004E-4</v>
      </c>
    </row>
    <row r="150" spans="2:5" ht="15" customHeight="1" x14ac:dyDescent="0.25">
      <c r="B150" s="89"/>
      <c r="C150" s="46" t="s">
        <v>234</v>
      </c>
      <c r="D150" s="45">
        <v>1</v>
      </c>
      <c r="E150" s="44">
        <v>4.1511000415110004E-4</v>
      </c>
    </row>
    <row r="151" spans="2:5" ht="15" customHeight="1" x14ac:dyDescent="0.25">
      <c r="B151" s="89"/>
      <c r="C151" s="46" t="s">
        <v>241</v>
      </c>
      <c r="D151" s="45">
        <v>1</v>
      </c>
      <c r="E151" s="44">
        <v>4.1511000415110004E-4</v>
      </c>
    </row>
    <row r="152" spans="2:5" ht="15" customHeight="1" x14ac:dyDescent="0.25">
      <c r="B152" s="89"/>
      <c r="C152" s="46" t="s">
        <v>239</v>
      </c>
      <c r="D152" s="45">
        <v>1</v>
      </c>
      <c r="E152" s="44">
        <v>4.1511000415110004E-4</v>
      </c>
    </row>
    <row r="153" spans="2:5" ht="15" customHeight="1" x14ac:dyDescent="0.25">
      <c r="B153" s="89"/>
      <c r="C153" s="46" t="s">
        <v>240</v>
      </c>
      <c r="D153" s="45">
        <v>1</v>
      </c>
      <c r="E153" s="44">
        <v>4.1511000415110004E-4</v>
      </c>
    </row>
    <row r="154" spans="2:5" ht="15" customHeight="1" x14ac:dyDescent="0.25">
      <c r="B154" s="90"/>
      <c r="C154" s="43" t="s">
        <v>23</v>
      </c>
      <c r="D154" s="42">
        <v>53</v>
      </c>
      <c r="E154" s="41">
        <v>2.2000830220008302E-2</v>
      </c>
    </row>
    <row r="155" spans="2:5" ht="15" customHeight="1" x14ac:dyDescent="0.25">
      <c r="B155" s="88" t="s">
        <v>123</v>
      </c>
      <c r="C155" s="46" t="s">
        <v>224</v>
      </c>
      <c r="D155" s="45">
        <v>1</v>
      </c>
      <c r="E155" s="44">
        <v>4.1511000415110004E-4</v>
      </c>
    </row>
    <row r="156" spans="2:5" ht="15" customHeight="1" x14ac:dyDescent="0.25">
      <c r="B156" s="89"/>
      <c r="C156" s="46" t="s">
        <v>263</v>
      </c>
      <c r="D156" s="45">
        <v>3</v>
      </c>
      <c r="E156" s="44">
        <v>1.2453300124533001E-3</v>
      </c>
    </row>
    <row r="157" spans="2:5" ht="15" customHeight="1" x14ac:dyDescent="0.25">
      <c r="B157" s="89"/>
      <c r="C157" s="46" t="s">
        <v>262</v>
      </c>
      <c r="D157" s="45">
        <v>2</v>
      </c>
      <c r="E157" s="44">
        <v>8.3022000830220008E-4</v>
      </c>
    </row>
    <row r="158" spans="2:5" ht="15" customHeight="1" x14ac:dyDescent="0.25">
      <c r="B158" s="89"/>
      <c r="C158" s="46" t="s">
        <v>258</v>
      </c>
      <c r="D158" s="45">
        <v>17</v>
      </c>
      <c r="E158" s="44">
        <v>7.0568700705687009E-3</v>
      </c>
    </row>
    <row r="159" spans="2:5" ht="15" customHeight="1" x14ac:dyDescent="0.25">
      <c r="B159" s="89"/>
      <c r="C159" s="46" t="s">
        <v>241</v>
      </c>
      <c r="D159" s="45">
        <v>1</v>
      </c>
      <c r="E159" s="44">
        <v>4.1511000415110004E-4</v>
      </c>
    </row>
    <row r="160" spans="2:5" ht="15" customHeight="1" x14ac:dyDescent="0.25">
      <c r="B160" s="89"/>
      <c r="C160" s="46" t="s">
        <v>239</v>
      </c>
      <c r="D160" s="45">
        <v>2</v>
      </c>
      <c r="E160" s="44">
        <v>8.3022000830220008E-4</v>
      </c>
    </row>
    <row r="161" spans="2:5" ht="15" customHeight="1" x14ac:dyDescent="0.25">
      <c r="B161" s="90"/>
      <c r="C161" s="43" t="s">
        <v>23</v>
      </c>
      <c r="D161" s="42">
        <v>26</v>
      </c>
      <c r="E161" s="41">
        <v>1.0792860107928601E-2</v>
      </c>
    </row>
    <row r="162" spans="2:5" ht="15" customHeight="1" x14ac:dyDescent="0.25">
      <c r="B162" s="88" t="s">
        <v>173</v>
      </c>
      <c r="C162" s="46" t="s">
        <v>231</v>
      </c>
      <c r="D162" s="45">
        <v>1</v>
      </c>
      <c r="E162" s="44">
        <v>4.1511000415110004E-4</v>
      </c>
    </row>
    <row r="163" spans="2:5" ht="15" customHeight="1" x14ac:dyDescent="0.25">
      <c r="B163" s="89"/>
      <c r="C163" s="46" t="s">
        <v>233</v>
      </c>
      <c r="D163" s="45">
        <v>2</v>
      </c>
      <c r="E163" s="44">
        <v>8.3022000830220008E-4</v>
      </c>
    </row>
    <row r="164" spans="2:5" ht="15" customHeight="1" x14ac:dyDescent="0.25">
      <c r="B164" s="89"/>
      <c r="C164" s="46" t="s">
        <v>225</v>
      </c>
      <c r="D164" s="45">
        <v>5</v>
      </c>
      <c r="E164" s="44">
        <v>2.0755500207555004E-3</v>
      </c>
    </row>
    <row r="165" spans="2:5" ht="15" customHeight="1" x14ac:dyDescent="0.25">
      <c r="B165" s="89"/>
      <c r="C165" s="46" t="s">
        <v>248</v>
      </c>
      <c r="D165" s="45">
        <v>1</v>
      </c>
      <c r="E165" s="44">
        <v>4.1511000415110004E-4</v>
      </c>
    </row>
    <row r="166" spans="2:5" ht="15" customHeight="1" x14ac:dyDescent="0.25">
      <c r="B166" s="89"/>
      <c r="C166" s="46" t="s">
        <v>226</v>
      </c>
      <c r="D166" s="45">
        <v>8</v>
      </c>
      <c r="E166" s="44">
        <v>3.3208800332088003E-3</v>
      </c>
    </row>
    <row r="167" spans="2:5" ht="15" customHeight="1" x14ac:dyDescent="0.25">
      <c r="B167" s="89"/>
      <c r="C167" s="46" t="s">
        <v>203</v>
      </c>
      <c r="D167" s="45">
        <v>1</v>
      </c>
      <c r="E167" s="44">
        <v>4.1511000415110004E-4</v>
      </c>
    </row>
    <row r="168" spans="2:5" ht="15" customHeight="1" x14ac:dyDescent="0.25">
      <c r="B168" s="89"/>
      <c r="C168" s="46" t="s">
        <v>247</v>
      </c>
      <c r="D168" s="45">
        <v>11</v>
      </c>
      <c r="E168" s="44">
        <v>4.5662100456621002E-3</v>
      </c>
    </row>
    <row r="169" spans="2:5" ht="15" customHeight="1" x14ac:dyDescent="0.25">
      <c r="B169" s="89"/>
      <c r="C169" s="46" t="s">
        <v>256</v>
      </c>
      <c r="D169" s="45">
        <v>9</v>
      </c>
      <c r="E169" s="44">
        <v>3.7359900373599006E-3</v>
      </c>
    </row>
    <row r="170" spans="2:5" ht="15" customHeight="1" x14ac:dyDescent="0.25">
      <c r="B170" s="89"/>
      <c r="C170" s="46" t="s">
        <v>230</v>
      </c>
      <c r="D170" s="45">
        <v>1</v>
      </c>
      <c r="E170" s="44">
        <v>4.1511000415110004E-4</v>
      </c>
    </row>
    <row r="171" spans="2:5" ht="15" customHeight="1" x14ac:dyDescent="0.25">
      <c r="B171" s="89"/>
      <c r="C171" s="46" t="s">
        <v>201</v>
      </c>
      <c r="D171" s="45">
        <v>1</v>
      </c>
      <c r="E171" s="44">
        <v>4.1511000415110004E-4</v>
      </c>
    </row>
    <row r="172" spans="2:5" ht="15" customHeight="1" x14ac:dyDescent="0.25">
      <c r="B172" s="89"/>
      <c r="C172" s="46" t="s">
        <v>244</v>
      </c>
      <c r="D172" s="45">
        <v>3</v>
      </c>
      <c r="E172" s="44">
        <v>1.2453300124533001E-3</v>
      </c>
    </row>
    <row r="173" spans="2:5" ht="15" customHeight="1" x14ac:dyDescent="0.25">
      <c r="B173" s="89"/>
      <c r="C173" s="46" t="s">
        <v>208</v>
      </c>
      <c r="D173" s="45">
        <v>1</v>
      </c>
      <c r="E173" s="44">
        <v>4.1511000415110004E-4</v>
      </c>
    </row>
    <row r="174" spans="2:5" ht="15" customHeight="1" x14ac:dyDescent="0.25">
      <c r="B174" s="89"/>
      <c r="C174" s="46" t="s">
        <v>199</v>
      </c>
      <c r="D174" s="45">
        <v>1</v>
      </c>
      <c r="E174" s="44">
        <v>4.1511000415110004E-4</v>
      </c>
    </row>
    <row r="175" spans="2:5" ht="15" customHeight="1" x14ac:dyDescent="0.25">
      <c r="B175" s="89"/>
      <c r="C175" s="46" t="s">
        <v>207</v>
      </c>
      <c r="D175" s="45">
        <v>3</v>
      </c>
      <c r="E175" s="44">
        <v>1.2453300124533001E-3</v>
      </c>
    </row>
    <row r="176" spans="2:5" ht="15" customHeight="1" x14ac:dyDescent="0.25">
      <c r="B176" s="89"/>
      <c r="C176" s="46" t="s">
        <v>236</v>
      </c>
      <c r="D176" s="45">
        <v>10</v>
      </c>
      <c r="E176" s="44">
        <v>4.1511000415110008E-3</v>
      </c>
    </row>
    <row r="177" spans="2:5" ht="15" customHeight="1" x14ac:dyDescent="0.25">
      <c r="B177" s="89"/>
      <c r="C177" s="46" t="s">
        <v>206</v>
      </c>
      <c r="D177" s="45">
        <v>2</v>
      </c>
      <c r="E177" s="44">
        <v>8.3022000830220008E-4</v>
      </c>
    </row>
    <row r="178" spans="2:5" ht="15" customHeight="1" x14ac:dyDescent="0.25">
      <c r="B178" s="89"/>
      <c r="C178" s="46" t="s">
        <v>224</v>
      </c>
      <c r="D178" s="45">
        <v>1</v>
      </c>
      <c r="E178" s="44">
        <v>4.1511000415110004E-4</v>
      </c>
    </row>
    <row r="179" spans="2:5" ht="15" customHeight="1" x14ac:dyDescent="0.25">
      <c r="B179" s="89"/>
      <c r="C179" s="46" t="s">
        <v>253</v>
      </c>
      <c r="D179" s="45">
        <v>3</v>
      </c>
      <c r="E179" s="44">
        <v>1.2453300124533001E-3</v>
      </c>
    </row>
    <row r="180" spans="2:5" ht="15" customHeight="1" x14ac:dyDescent="0.25">
      <c r="B180" s="89"/>
      <c r="C180" s="46" t="s">
        <v>198</v>
      </c>
      <c r="D180" s="45">
        <v>1</v>
      </c>
      <c r="E180" s="44">
        <v>4.1511000415110004E-4</v>
      </c>
    </row>
    <row r="181" spans="2:5" ht="15" customHeight="1" x14ac:dyDescent="0.25">
      <c r="B181" s="89"/>
      <c r="C181" s="46" t="s">
        <v>245</v>
      </c>
      <c r="D181" s="45">
        <v>3</v>
      </c>
      <c r="E181" s="44">
        <v>1.2453300124533001E-3</v>
      </c>
    </row>
    <row r="182" spans="2:5" ht="15" customHeight="1" x14ac:dyDescent="0.25">
      <c r="B182" s="89"/>
      <c r="C182" s="46" t="s">
        <v>219</v>
      </c>
      <c r="D182" s="45">
        <v>1</v>
      </c>
      <c r="E182" s="44">
        <v>4.1511000415110004E-4</v>
      </c>
    </row>
    <row r="183" spans="2:5" ht="15" customHeight="1" x14ac:dyDescent="0.25">
      <c r="B183" s="89"/>
      <c r="C183" s="46" t="s">
        <v>252</v>
      </c>
      <c r="D183" s="45">
        <v>13</v>
      </c>
      <c r="E183" s="44">
        <v>5.3964300539643007E-3</v>
      </c>
    </row>
    <row r="184" spans="2:5" ht="15" customHeight="1" x14ac:dyDescent="0.25">
      <c r="B184" s="89"/>
      <c r="C184" s="46" t="s">
        <v>216</v>
      </c>
      <c r="D184" s="45">
        <v>1</v>
      </c>
      <c r="E184" s="44">
        <v>4.1511000415110004E-4</v>
      </c>
    </row>
    <row r="185" spans="2:5" ht="15" customHeight="1" x14ac:dyDescent="0.25">
      <c r="B185" s="89"/>
      <c r="C185" s="46" t="s">
        <v>215</v>
      </c>
      <c r="D185" s="45">
        <v>2</v>
      </c>
      <c r="E185" s="44">
        <v>8.3022000830220008E-4</v>
      </c>
    </row>
    <row r="186" spans="2:5" ht="15" customHeight="1" x14ac:dyDescent="0.25">
      <c r="B186" s="89"/>
      <c r="C186" s="46" t="s">
        <v>190</v>
      </c>
      <c r="D186" s="45">
        <v>1</v>
      </c>
      <c r="E186" s="44">
        <v>4.1511000415110004E-4</v>
      </c>
    </row>
    <row r="187" spans="2:5" ht="15" customHeight="1" x14ac:dyDescent="0.25">
      <c r="B187" s="89"/>
      <c r="C187" s="46" t="s">
        <v>263</v>
      </c>
      <c r="D187" s="45">
        <v>124</v>
      </c>
      <c r="E187" s="44">
        <v>5.1473640514736407E-2</v>
      </c>
    </row>
    <row r="188" spans="2:5" ht="15" customHeight="1" x14ac:dyDescent="0.25">
      <c r="B188" s="89"/>
      <c r="C188" s="46" t="s">
        <v>218</v>
      </c>
      <c r="D188" s="45">
        <v>1</v>
      </c>
      <c r="E188" s="44">
        <v>4.1511000415110004E-4</v>
      </c>
    </row>
    <row r="189" spans="2:5" ht="15" customHeight="1" x14ac:dyDescent="0.25">
      <c r="B189" s="89"/>
      <c r="C189" s="46" t="s">
        <v>260</v>
      </c>
      <c r="D189" s="45">
        <v>101</v>
      </c>
      <c r="E189" s="44">
        <v>4.1926110419261108E-2</v>
      </c>
    </row>
    <row r="190" spans="2:5" ht="15" customHeight="1" x14ac:dyDescent="0.25">
      <c r="B190" s="89"/>
      <c r="C190" s="46" t="s">
        <v>259</v>
      </c>
      <c r="D190" s="45">
        <v>16</v>
      </c>
      <c r="E190" s="44">
        <v>6.6417600664176006E-3</v>
      </c>
    </row>
    <row r="191" spans="2:5" ht="15" customHeight="1" x14ac:dyDescent="0.25">
      <c r="B191" s="89"/>
      <c r="C191" s="46" t="s">
        <v>229</v>
      </c>
      <c r="D191" s="45">
        <v>9</v>
      </c>
      <c r="E191" s="44">
        <v>3.7359900373599006E-3</v>
      </c>
    </row>
    <row r="192" spans="2:5" ht="15" customHeight="1" x14ac:dyDescent="0.25">
      <c r="B192" s="89"/>
      <c r="C192" s="46" t="s">
        <v>262</v>
      </c>
      <c r="D192" s="45">
        <v>2</v>
      </c>
      <c r="E192" s="44">
        <v>8.3022000830220008E-4</v>
      </c>
    </row>
    <row r="193" spans="2:5" ht="15" customHeight="1" x14ac:dyDescent="0.25">
      <c r="B193" s="89"/>
      <c r="C193" s="46" t="s">
        <v>261</v>
      </c>
      <c r="D193" s="45">
        <v>2</v>
      </c>
      <c r="E193" s="44">
        <v>8.3022000830220008E-4</v>
      </c>
    </row>
    <row r="194" spans="2:5" ht="15" customHeight="1" x14ac:dyDescent="0.25">
      <c r="B194" s="89"/>
      <c r="C194" s="46" t="s">
        <v>246</v>
      </c>
      <c r="D194" s="45">
        <v>8</v>
      </c>
      <c r="E194" s="44">
        <v>3.3208800332088003E-3</v>
      </c>
    </row>
    <row r="195" spans="2:5" ht="15" customHeight="1" x14ac:dyDescent="0.25">
      <c r="B195" s="89"/>
      <c r="C195" s="46" t="s">
        <v>182</v>
      </c>
      <c r="D195" s="45">
        <v>1</v>
      </c>
      <c r="E195" s="44">
        <v>4.1511000415110004E-4</v>
      </c>
    </row>
    <row r="196" spans="2:5" ht="15" customHeight="1" x14ac:dyDescent="0.25">
      <c r="B196" s="89"/>
      <c r="C196" s="46" t="s">
        <v>181</v>
      </c>
      <c r="D196" s="45">
        <v>1</v>
      </c>
      <c r="E196" s="44">
        <v>4.1511000415110004E-4</v>
      </c>
    </row>
    <row r="197" spans="2:5" ht="15" customHeight="1" x14ac:dyDescent="0.25">
      <c r="B197" s="89"/>
      <c r="C197" s="46" t="s">
        <v>249</v>
      </c>
      <c r="D197" s="45">
        <v>1</v>
      </c>
      <c r="E197" s="44">
        <v>4.1511000415110004E-4</v>
      </c>
    </row>
    <row r="198" spans="2:5" ht="15" customHeight="1" x14ac:dyDescent="0.25">
      <c r="B198" s="89"/>
      <c r="C198" s="46" t="s">
        <v>222</v>
      </c>
      <c r="D198" s="45">
        <v>1</v>
      </c>
      <c r="E198" s="44">
        <v>4.1511000415110004E-4</v>
      </c>
    </row>
    <row r="199" spans="2:5" ht="15" customHeight="1" x14ac:dyDescent="0.25">
      <c r="B199" s="89"/>
      <c r="C199" s="46" t="s">
        <v>195</v>
      </c>
      <c r="D199" s="45">
        <v>2</v>
      </c>
      <c r="E199" s="44">
        <v>8.3022000830220008E-4</v>
      </c>
    </row>
    <row r="200" spans="2:5" ht="15" customHeight="1" x14ac:dyDescent="0.25">
      <c r="B200" s="89"/>
      <c r="C200" s="46" t="s">
        <v>242</v>
      </c>
      <c r="D200" s="45">
        <v>12</v>
      </c>
      <c r="E200" s="44">
        <v>4.9813200498132005E-3</v>
      </c>
    </row>
    <row r="201" spans="2:5" ht="15" customHeight="1" x14ac:dyDescent="0.25">
      <c r="B201" s="89"/>
      <c r="C201" s="46" t="s">
        <v>213</v>
      </c>
      <c r="D201" s="45">
        <v>1</v>
      </c>
      <c r="E201" s="44">
        <v>4.1511000415110004E-4</v>
      </c>
    </row>
    <row r="202" spans="2:5" ht="15" customHeight="1" x14ac:dyDescent="0.25">
      <c r="B202" s="89"/>
      <c r="C202" s="46" t="s">
        <v>188</v>
      </c>
      <c r="D202" s="45">
        <v>1</v>
      </c>
      <c r="E202" s="44">
        <v>4.1511000415110004E-4</v>
      </c>
    </row>
    <row r="203" spans="2:5" ht="15" customHeight="1" x14ac:dyDescent="0.25">
      <c r="B203" s="89"/>
      <c r="C203" s="46" t="s">
        <v>221</v>
      </c>
      <c r="D203" s="45">
        <v>1</v>
      </c>
      <c r="E203" s="44">
        <v>4.1511000415110004E-4</v>
      </c>
    </row>
    <row r="204" spans="2:5" ht="15" customHeight="1" x14ac:dyDescent="0.25">
      <c r="B204" s="89"/>
      <c r="C204" s="46" t="s">
        <v>217</v>
      </c>
      <c r="D204" s="45">
        <v>1</v>
      </c>
      <c r="E204" s="44">
        <v>4.1511000415110004E-4</v>
      </c>
    </row>
    <row r="205" spans="2:5" ht="15" customHeight="1" x14ac:dyDescent="0.25">
      <c r="B205" s="89"/>
      <c r="C205" s="46" t="s">
        <v>228</v>
      </c>
      <c r="D205" s="45">
        <v>7</v>
      </c>
      <c r="E205" s="44">
        <v>2.9057700290577005E-3</v>
      </c>
    </row>
    <row r="206" spans="2:5" ht="15" customHeight="1" x14ac:dyDescent="0.25">
      <c r="B206" s="89"/>
      <c r="C206" s="46" t="s">
        <v>258</v>
      </c>
      <c r="D206" s="45">
        <v>5</v>
      </c>
      <c r="E206" s="44">
        <v>2.0755500207555004E-3</v>
      </c>
    </row>
    <row r="207" spans="2:5" ht="15" customHeight="1" x14ac:dyDescent="0.25">
      <c r="B207" s="89"/>
      <c r="C207" s="46" t="s">
        <v>212</v>
      </c>
      <c r="D207" s="45">
        <v>1</v>
      </c>
      <c r="E207" s="44">
        <v>4.1511000415110004E-4</v>
      </c>
    </row>
    <row r="208" spans="2:5" ht="15" customHeight="1" x14ac:dyDescent="0.25">
      <c r="B208" s="89"/>
      <c r="C208" s="46" t="s">
        <v>227</v>
      </c>
      <c r="D208" s="45">
        <v>5</v>
      </c>
      <c r="E208" s="44">
        <v>2.0755500207555004E-3</v>
      </c>
    </row>
    <row r="209" spans="2:5" ht="15" customHeight="1" x14ac:dyDescent="0.25">
      <c r="B209" s="89"/>
      <c r="C209" s="46" t="s">
        <v>186</v>
      </c>
      <c r="D209" s="45">
        <v>1</v>
      </c>
      <c r="E209" s="44">
        <v>4.1511000415110004E-4</v>
      </c>
    </row>
    <row r="210" spans="2:5" ht="15" customHeight="1" x14ac:dyDescent="0.25">
      <c r="B210" s="89"/>
      <c r="C210" s="46" t="s">
        <v>237</v>
      </c>
      <c r="D210" s="45">
        <v>8</v>
      </c>
      <c r="E210" s="44">
        <v>3.3208800332088003E-3</v>
      </c>
    </row>
    <row r="211" spans="2:5" ht="15" customHeight="1" x14ac:dyDescent="0.25">
      <c r="B211" s="89"/>
      <c r="C211" s="46" t="s">
        <v>257</v>
      </c>
      <c r="D211" s="45">
        <v>1</v>
      </c>
      <c r="E211" s="44">
        <v>4.1511000415110004E-4</v>
      </c>
    </row>
    <row r="212" spans="2:5" ht="15" customHeight="1" x14ac:dyDescent="0.25">
      <c r="B212" s="89"/>
      <c r="C212" s="46" t="s">
        <v>185</v>
      </c>
      <c r="D212" s="45">
        <v>1</v>
      </c>
      <c r="E212" s="44">
        <v>4.1511000415110004E-4</v>
      </c>
    </row>
    <row r="213" spans="2:5" ht="15" customHeight="1" x14ac:dyDescent="0.25">
      <c r="B213" s="89"/>
      <c r="C213" s="46" t="s">
        <v>234</v>
      </c>
      <c r="D213" s="45">
        <v>4</v>
      </c>
      <c r="E213" s="44">
        <v>1.6604400166044002E-3</v>
      </c>
    </row>
    <row r="214" spans="2:5" ht="15" customHeight="1" x14ac:dyDescent="0.25">
      <c r="B214" s="89"/>
      <c r="C214" s="46" t="s">
        <v>232</v>
      </c>
      <c r="D214" s="45">
        <v>2</v>
      </c>
      <c r="E214" s="44">
        <v>8.3022000830220008E-4</v>
      </c>
    </row>
    <row r="215" spans="2:5" ht="15" customHeight="1" x14ac:dyDescent="0.25">
      <c r="B215" s="89"/>
      <c r="C215" s="46" t="s">
        <v>241</v>
      </c>
      <c r="D215" s="45">
        <v>5</v>
      </c>
      <c r="E215" s="44">
        <v>2.0755500207555004E-3</v>
      </c>
    </row>
    <row r="216" spans="2:5" ht="15" customHeight="1" x14ac:dyDescent="0.25">
      <c r="B216" s="89"/>
      <c r="C216" s="46" t="s">
        <v>254</v>
      </c>
      <c r="D216" s="45">
        <v>31</v>
      </c>
      <c r="E216" s="44">
        <v>1.2868410128684102E-2</v>
      </c>
    </row>
    <row r="217" spans="2:5" ht="15" customHeight="1" x14ac:dyDescent="0.25">
      <c r="B217" s="89"/>
      <c r="C217" s="46" t="s">
        <v>239</v>
      </c>
      <c r="D217" s="45">
        <v>1</v>
      </c>
      <c r="E217" s="44">
        <v>4.1511000415110004E-4</v>
      </c>
    </row>
    <row r="218" spans="2:5" ht="15" customHeight="1" x14ac:dyDescent="0.25">
      <c r="B218" s="89"/>
      <c r="C218" s="46" t="s">
        <v>240</v>
      </c>
      <c r="D218" s="45">
        <v>3</v>
      </c>
      <c r="E218" s="44">
        <v>1.2453300124533001E-3</v>
      </c>
    </row>
    <row r="219" spans="2:5" ht="15" customHeight="1" x14ac:dyDescent="0.25">
      <c r="B219" s="89"/>
      <c r="C219" s="46" t="s">
        <v>204</v>
      </c>
      <c r="D219" s="45">
        <v>1</v>
      </c>
      <c r="E219" s="44">
        <v>4.1511000415110004E-4</v>
      </c>
    </row>
    <row r="220" spans="2:5" ht="15" customHeight="1" x14ac:dyDescent="0.25">
      <c r="B220" s="90"/>
      <c r="C220" s="43" t="s">
        <v>23</v>
      </c>
      <c r="D220" s="42">
        <v>447</v>
      </c>
      <c r="E220" s="41">
        <v>0.18555417185554171</v>
      </c>
    </row>
    <row r="221" spans="2:5" ht="15" customHeight="1" x14ac:dyDescent="0.25">
      <c r="B221" s="88" t="s">
        <v>170</v>
      </c>
      <c r="C221" s="46" t="s">
        <v>263</v>
      </c>
      <c r="D221" s="45">
        <v>2</v>
      </c>
      <c r="E221" s="44">
        <v>8.3022000830220008E-4</v>
      </c>
    </row>
    <row r="222" spans="2:5" ht="15" customHeight="1" x14ac:dyDescent="0.25">
      <c r="B222" s="89"/>
      <c r="C222" s="46" t="s">
        <v>218</v>
      </c>
      <c r="D222" s="45">
        <v>1</v>
      </c>
      <c r="E222" s="44">
        <v>4.1511000415110004E-4</v>
      </c>
    </row>
    <row r="223" spans="2:5" ht="15" customHeight="1" x14ac:dyDescent="0.25">
      <c r="B223" s="90"/>
      <c r="C223" s="43" t="s">
        <v>23</v>
      </c>
      <c r="D223" s="42">
        <v>3</v>
      </c>
      <c r="E223" s="41">
        <v>1.2453300124533001E-3</v>
      </c>
    </row>
    <row r="224" spans="2:5" ht="15" customHeight="1" x14ac:dyDescent="0.25">
      <c r="B224" s="88" t="s">
        <v>120</v>
      </c>
      <c r="C224" s="46" t="s">
        <v>209</v>
      </c>
      <c r="D224" s="45">
        <v>1</v>
      </c>
      <c r="E224" s="44">
        <v>4.1511000415110004E-4</v>
      </c>
    </row>
    <row r="225" spans="2:5" ht="15" customHeight="1" x14ac:dyDescent="0.25">
      <c r="B225" s="89"/>
      <c r="C225" s="46" t="s">
        <v>220</v>
      </c>
      <c r="D225" s="45">
        <v>1</v>
      </c>
      <c r="E225" s="44">
        <v>4.1511000415110004E-4</v>
      </c>
    </row>
    <row r="226" spans="2:5" ht="15" customHeight="1" x14ac:dyDescent="0.25">
      <c r="B226" s="89"/>
      <c r="C226" s="46" t="s">
        <v>252</v>
      </c>
      <c r="D226" s="45">
        <v>1</v>
      </c>
      <c r="E226" s="44">
        <v>4.1511000415110004E-4</v>
      </c>
    </row>
    <row r="227" spans="2:5" ht="15" customHeight="1" x14ac:dyDescent="0.25">
      <c r="B227" s="89"/>
      <c r="C227" s="46" t="s">
        <v>263</v>
      </c>
      <c r="D227" s="45">
        <v>15</v>
      </c>
      <c r="E227" s="44">
        <v>6.2266500622665004E-3</v>
      </c>
    </row>
    <row r="228" spans="2:5" ht="15" customHeight="1" x14ac:dyDescent="0.25">
      <c r="B228" s="89"/>
      <c r="C228" s="46" t="s">
        <v>246</v>
      </c>
      <c r="D228" s="45">
        <v>5</v>
      </c>
      <c r="E228" s="44">
        <v>2.0755500207555004E-3</v>
      </c>
    </row>
    <row r="229" spans="2:5" ht="15" customHeight="1" x14ac:dyDescent="0.25">
      <c r="B229" s="89"/>
      <c r="C229" s="46" t="s">
        <v>228</v>
      </c>
      <c r="D229" s="45">
        <v>1</v>
      </c>
      <c r="E229" s="44">
        <v>4.1511000415110004E-4</v>
      </c>
    </row>
    <row r="230" spans="2:5" ht="15" customHeight="1" x14ac:dyDescent="0.25">
      <c r="B230" s="89"/>
      <c r="C230" s="46" t="s">
        <v>258</v>
      </c>
      <c r="D230" s="45">
        <v>2</v>
      </c>
      <c r="E230" s="44">
        <v>8.3022000830220008E-4</v>
      </c>
    </row>
    <row r="231" spans="2:5" ht="15" customHeight="1" x14ac:dyDescent="0.25">
      <c r="B231" s="90"/>
      <c r="C231" s="43" t="s">
        <v>23</v>
      </c>
      <c r="D231" s="42">
        <v>26</v>
      </c>
      <c r="E231" s="41">
        <v>1.0792860107928601E-2</v>
      </c>
    </row>
    <row r="232" spans="2:5" ht="15" customHeight="1" x14ac:dyDescent="0.25">
      <c r="B232" s="88" t="s">
        <v>119</v>
      </c>
      <c r="C232" s="46" t="s">
        <v>223</v>
      </c>
      <c r="D232" s="45">
        <v>1</v>
      </c>
      <c r="E232" s="44">
        <v>4.1511000415110004E-4</v>
      </c>
    </row>
    <row r="233" spans="2:5" ht="15" customHeight="1" x14ac:dyDescent="0.25">
      <c r="B233" s="89"/>
      <c r="C233" s="46" t="s">
        <v>263</v>
      </c>
      <c r="D233" s="45">
        <v>2</v>
      </c>
      <c r="E233" s="44">
        <v>8.3022000830220008E-4</v>
      </c>
    </row>
    <row r="234" spans="2:5" ht="15" customHeight="1" x14ac:dyDescent="0.25">
      <c r="B234" s="89"/>
      <c r="C234" s="46" t="s">
        <v>258</v>
      </c>
      <c r="D234" s="45">
        <v>1</v>
      </c>
      <c r="E234" s="44">
        <v>4.1511000415110004E-4</v>
      </c>
    </row>
    <row r="235" spans="2:5" ht="15" customHeight="1" x14ac:dyDescent="0.25">
      <c r="B235" s="90"/>
      <c r="C235" s="43" t="s">
        <v>23</v>
      </c>
      <c r="D235" s="42">
        <v>4</v>
      </c>
      <c r="E235" s="41">
        <v>1.6604400166044002E-3</v>
      </c>
    </row>
    <row r="236" spans="2:5" ht="15" customHeight="1" x14ac:dyDescent="0.25">
      <c r="B236" s="88" t="s">
        <v>118</v>
      </c>
      <c r="C236" s="46" t="s">
        <v>251</v>
      </c>
      <c r="D236" s="45">
        <v>1</v>
      </c>
      <c r="E236" s="44">
        <v>4.1511000415110004E-4</v>
      </c>
    </row>
    <row r="237" spans="2:5" ht="15" customHeight="1" x14ac:dyDescent="0.25">
      <c r="B237" s="89"/>
      <c r="C237" s="46" t="s">
        <v>263</v>
      </c>
      <c r="D237" s="45">
        <v>6</v>
      </c>
      <c r="E237" s="44">
        <v>2.4906600249066002E-3</v>
      </c>
    </row>
    <row r="238" spans="2:5" ht="15" customHeight="1" x14ac:dyDescent="0.25">
      <c r="B238" s="89"/>
      <c r="C238" s="46" t="s">
        <v>258</v>
      </c>
      <c r="D238" s="45">
        <v>2</v>
      </c>
      <c r="E238" s="44">
        <v>8.3022000830220008E-4</v>
      </c>
    </row>
    <row r="239" spans="2:5" ht="15" customHeight="1" x14ac:dyDescent="0.25">
      <c r="B239" s="89"/>
      <c r="C239" s="46" t="s">
        <v>212</v>
      </c>
      <c r="D239" s="45">
        <v>1</v>
      </c>
      <c r="E239" s="44">
        <v>4.1511000415110004E-4</v>
      </c>
    </row>
    <row r="240" spans="2:5" ht="15" customHeight="1" x14ac:dyDescent="0.25">
      <c r="B240" s="89"/>
      <c r="C240" s="46" t="s">
        <v>241</v>
      </c>
      <c r="D240" s="45">
        <v>1</v>
      </c>
      <c r="E240" s="44">
        <v>4.1511000415110004E-4</v>
      </c>
    </row>
    <row r="241" spans="2:5" ht="15" customHeight="1" x14ac:dyDescent="0.25">
      <c r="B241" s="89"/>
      <c r="C241" s="46" t="s">
        <v>254</v>
      </c>
      <c r="D241" s="45">
        <v>1</v>
      </c>
      <c r="E241" s="44">
        <v>4.1511000415110004E-4</v>
      </c>
    </row>
    <row r="242" spans="2:5" ht="15" customHeight="1" x14ac:dyDescent="0.25">
      <c r="B242" s="89"/>
      <c r="C242" s="46" t="s">
        <v>177</v>
      </c>
      <c r="D242" s="45">
        <v>1</v>
      </c>
      <c r="E242" s="44">
        <v>4.1511000415110004E-4</v>
      </c>
    </row>
    <row r="243" spans="2:5" ht="15" customHeight="1" x14ac:dyDescent="0.25">
      <c r="B243" s="90"/>
      <c r="C243" s="43" t="s">
        <v>23</v>
      </c>
      <c r="D243" s="42">
        <v>13</v>
      </c>
      <c r="E243" s="41">
        <v>5.3964300539643007E-3</v>
      </c>
    </row>
    <row r="244" spans="2:5" ht="15" customHeight="1" x14ac:dyDescent="0.25">
      <c r="B244" s="88" t="s">
        <v>117</v>
      </c>
      <c r="C244" s="46" t="s">
        <v>248</v>
      </c>
      <c r="D244" s="45">
        <v>1</v>
      </c>
      <c r="E244" s="44">
        <v>4.1511000415110004E-4</v>
      </c>
    </row>
    <row r="245" spans="2:5" ht="15" customHeight="1" x14ac:dyDescent="0.25">
      <c r="B245" s="89"/>
      <c r="C245" s="46" t="s">
        <v>220</v>
      </c>
      <c r="D245" s="45">
        <v>1</v>
      </c>
      <c r="E245" s="44">
        <v>4.1511000415110004E-4</v>
      </c>
    </row>
    <row r="246" spans="2:5" ht="15" customHeight="1" x14ac:dyDescent="0.25">
      <c r="B246" s="89"/>
      <c r="C246" s="46" t="s">
        <v>252</v>
      </c>
      <c r="D246" s="45">
        <v>1</v>
      </c>
      <c r="E246" s="44">
        <v>4.1511000415110004E-4</v>
      </c>
    </row>
    <row r="247" spans="2:5" ht="15" customHeight="1" x14ac:dyDescent="0.25">
      <c r="B247" s="89"/>
      <c r="C247" s="46" t="s">
        <v>238</v>
      </c>
      <c r="D247" s="45">
        <v>1</v>
      </c>
      <c r="E247" s="44">
        <v>4.1511000415110004E-4</v>
      </c>
    </row>
    <row r="248" spans="2:5" ht="15" customHeight="1" x14ac:dyDescent="0.25">
      <c r="B248" s="89"/>
      <c r="C248" s="46" t="s">
        <v>263</v>
      </c>
      <c r="D248" s="45">
        <v>12</v>
      </c>
      <c r="E248" s="44">
        <v>4.9813200498132005E-3</v>
      </c>
    </row>
    <row r="249" spans="2:5" ht="15" customHeight="1" x14ac:dyDescent="0.25">
      <c r="B249" s="89"/>
      <c r="C249" s="46" t="s">
        <v>222</v>
      </c>
      <c r="D249" s="45">
        <v>1</v>
      </c>
      <c r="E249" s="44">
        <v>4.1511000415110004E-4</v>
      </c>
    </row>
    <row r="250" spans="2:5" ht="15" customHeight="1" x14ac:dyDescent="0.25">
      <c r="B250" s="89"/>
      <c r="C250" s="46" t="s">
        <v>221</v>
      </c>
      <c r="D250" s="45">
        <v>1</v>
      </c>
      <c r="E250" s="44">
        <v>4.1511000415110004E-4</v>
      </c>
    </row>
    <row r="251" spans="2:5" ht="15" customHeight="1" x14ac:dyDescent="0.25">
      <c r="B251" s="90"/>
      <c r="C251" s="43" t="s">
        <v>23</v>
      </c>
      <c r="D251" s="42">
        <v>18</v>
      </c>
      <c r="E251" s="41">
        <v>7.4719800747198011E-3</v>
      </c>
    </row>
    <row r="252" spans="2:5" ht="15" customHeight="1" x14ac:dyDescent="0.25">
      <c r="B252" s="88" t="s">
        <v>116</v>
      </c>
      <c r="C252" s="46" t="s">
        <v>223</v>
      </c>
      <c r="D252" s="45">
        <v>1</v>
      </c>
      <c r="E252" s="44">
        <v>4.1511000415110004E-4</v>
      </c>
    </row>
    <row r="253" spans="2:5" ht="15" customHeight="1" x14ac:dyDescent="0.25">
      <c r="B253" s="89"/>
      <c r="C253" s="46" t="s">
        <v>263</v>
      </c>
      <c r="D253" s="45">
        <v>4</v>
      </c>
      <c r="E253" s="44">
        <v>1.6604400166044002E-3</v>
      </c>
    </row>
    <row r="254" spans="2:5" ht="15" customHeight="1" x14ac:dyDescent="0.25">
      <c r="B254" s="89"/>
      <c r="C254" s="46" t="s">
        <v>205</v>
      </c>
      <c r="D254" s="45">
        <v>1</v>
      </c>
      <c r="E254" s="44">
        <v>4.1511000415110004E-4</v>
      </c>
    </row>
    <row r="255" spans="2:5" ht="15" customHeight="1" x14ac:dyDescent="0.25">
      <c r="B255" s="89"/>
      <c r="C255" s="46" t="s">
        <v>261</v>
      </c>
      <c r="D255" s="45">
        <v>1</v>
      </c>
      <c r="E255" s="44">
        <v>4.1511000415110004E-4</v>
      </c>
    </row>
    <row r="256" spans="2:5" ht="15" customHeight="1" x14ac:dyDescent="0.25">
      <c r="B256" s="90"/>
      <c r="C256" s="43" t="s">
        <v>23</v>
      </c>
      <c r="D256" s="42">
        <v>7</v>
      </c>
      <c r="E256" s="41">
        <v>2.9057700290577005E-3</v>
      </c>
    </row>
    <row r="257" spans="2:5" ht="15" customHeight="1" x14ac:dyDescent="0.25">
      <c r="B257" s="88" t="s">
        <v>115</v>
      </c>
      <c r="C257" s="46" t="s">
        <v>245</v>
      </c>
      <c r="D257" s="45">
        <v>1</v>
      </c>
      <c r="E257" s="44">
        <v>4.1511000415110004E-4</v>
      </c>
    </row>
    <row r="258" spans="2:5" ht="15" customHeight="1" x14ac:dyDescent="0.25">
      <c r="B258" s="89"/>
      <c r="C258" s="46" t="s">
        <v>263</v>
      </c>
      <c r="D258" s="45">
        <v>13</v>
      </c>
      <c r="E258" s="44">
        <v>5.3964300539643007E-3</v>
      </c>
    </row>
    <row r="259" spans="2:5" ht="15" customHeight="1" x14ac:dyDescent="0.25">
      <c r="B259" s="89"/>
      <c r="C259" s="46" t="s">
        <v>260</v>
      </c>
      <c r="D259" s="45">
        <v>2</v>
      </c>
      <c r="E259" s="44">
        <v>8.3022000830220008E-4</v>
      </c>
    </row>
    <row r="260" spans="2:5" ht="15" customHeight="1" x14ac:dyDescent="0.25">
      <c r="B260" s="89"/>
      <c r="C260" s="46" t="s">
        <v>246</v>
      </c>
      <c r="D260" s="45">
        <v>2</v>
      </c>
      <c r="E260" s="44">
        <v>8.3022000830220008E-4</v>
      </c>
    </row>
    <row r="261" spans="2:5" ht="15" customHeight="1" x14ac:dyDescent="0.25">
      <c r="B261" s="89"/>
      <c r="C261" s="46" t="s">
        <v>217</v>
      </c>
      <c r="D261" s="45">
        <v>1</v>
      </c>
      <c r="E261" s="44">
        <v>4.1511000415110004E-4</v>
      </c>
    </row>
    <row r="262" spans="2:5" ht="15" customHeight="1" x14ac:dyDescent="0.25">
      <c r="B262" s="89"/>
      <c r="C262" s="46" t="s">
        <v>257</v>
      </c>
      <c r="D262" s="45">
        <v>2</v>
      </c>
      <c r="E262" s="44">
        <v>8.3022000830220008E-4</v>
      </c>
    </row>
    <row r="263" spans="2:5" ht="15" customHeight="1" x14ac:dyDescent="0.25">
      <c r="B263" s="89"/>
      <c r="C263" s="46" t="s">
        <v>184</v>
      </c>
      <c r="D263" s="45">
        <v>1</v>
      </c>
      <c r="E263" s="44">
        <v>4.1511000415110004E-4</v>
      </c>
    </row>
    <row r="264" spans="2:5" ht="15" customHeight="1" x14ac:dyDescent="0.25">
      <c r="B264" s="90"/>
      <c r="C264" s="43" t="s">
        <v>23</v>
      </c>
      <c r="D264" s="42">
        <v>22</v>
      </c>
      <c r="E264" s="41">
        <v>9.1324200913242004E-3</v>
      </c>
    </row>
    <row r="265" spans="2:5" ht="15" customHeight="1" x14ac:dyDescent="0.25">
      <c r="B265" s="88" t="s">
        <v>114</v>
      </c>
      <c r="C265" s="46" t="s">
        <v>231</v>
      </c>
      <c r="D265" s="45">
        <v>5</v>
      </c>
      <c r="E265" s="44">
        <v>2.0755500207555004E-3</v>
      </c>
    </row>
    <row r="266" spans="2:5" ht="15" customHeight="1" x14ac:dyDescent="0.25">
      <c r="B266" s="89"/>
      <c r="C266" s="46" t="s">
        <v>199</v>
      </c>
      <c r="D266" s="45">
        <v>1</v>
      </c>
      <c r="E266" s="44">
        <v>4.1511000415110004E-4</v>
      </c>
    </row>
    <row r="267" spans="2:5" ht="15" customHeight="1" x14ac:dyDescent="0.25">
      <c r="B267" s="89"/>
      <c r="C267" s="46" t="s">
        <v>224</v>
      </c>
      <c r="D267" s="45">
        <v>1</v>
      </c>
      <c r="E267" s="44">
        <v>4.1511000415110004E-4</v>
      </c>
    </row>
    <row r="268" spans="2:5" ht="15" customHeight="1" x14ac:dyDescent="0.25">
      <c r="B268" s="89"/>
      <c r="C268" s="46" t="s">
        <v>245</v>
      </c>
      <c r="D268" s="45">
        <v>1</v>
      </c>
      <c r="E268" s="44">
        <v>4.1511000415110004E-4</v>
      </c>
    </row>
    <row r="269" spans="2:5" ht="15" customHeight="1" x14ac:dyDescent="0.25">
      <c r="B269" s="89"/>
      <c r="C269" s="46" t="s">
        <v>250</v>
      </c>
      <c r="D269" s="45">
        <v>1</v>
      </c>
      <c r="E269" s="44">
        <v>4.1511000415110004E-4</v>
      </c>
    </row>
    <row r="270" spans="2:5" ht="15" customHeight="1" x14ac:dyDescent="0.25">
      <c r="B270" s="89"/>
      <c r="C270" s="46" t="s">
        <v>197</v>
      </c>
      <c r="D270" s="45">
        <v>1</v>
      </c>
      <c r="E270" s="44">
        <v>4.1511000415110004E-4</v>
      </c>
    </row>
    <row r="271" spans="2:5" ht="15" customHeight="1" x14ac:dyDescent="0.25">
      <c r="B271" s="89"/>
      <c r="C271" s="46" t="s">
        <v>263</v>
      </c>
      <c r="D271" s="45">
        <v>30</v>
      </c>
      <c r="E271" s="44">
        <v>1.2453300124533001E-2</v>
      </c>
    </row>
    <row r="272" spans="2:5" ht="15" customHeight="1" x14ac:dyDescent="0.25">
      <c r="B272" s="89"/>
      <c r="C272" s="46" t="s">
        <v>218</v>
      </c>
      <c r="D272" s="45">
        <v>1</v>
      </c>
      <c r="E272" s="44">
        <v>4.1511000415110004E-4</v>
      </c>
    </row>
    <row r="273" spans="2:5" ht="15" customHeight="1" x14ac:dyDescent="0.25">
      <c r="B273" s="89"/>
      <c r="C273" s="46" t="s">
        <v>260</v>
      </c>
      <c r="D273" s="45">
        <v>2</v>
      </c>
      <c r="E273" s="44">
        <v>8.3022000830220008E-4</v>
      </c>
    </row>
    <row r="274" spans="2:5" ht="15" customHeight="1" x14ac:dyDescent="0.25">
      <c r="B274" s="89"/>
      <c r="C274" s="46" t="s">
        <v>259</v>
      </c>
      <c r="D274" s="45">
        <v>73</v>
      </c>
      <c r="E274" s="44">
        <v>3.0303030303030304E-2</v>
      </c>
    </row>
    <row r="275" spans="2:5" ht="15" customHeight="1" x14ac:dyDescent="0.25">
      <c r="B275" s="89"/>
      <c r="C275" s="46" t="s">
        <v>249</v>
      </c>
      <c r="D275" s="45">
        <v>1</v>
      </c>
      <c r="E275" s="44">
        <v>4.1511000415110004E-4</v>
      </c>
    </row>
    <row r="276" spans="2:5" ht="15" customHeight="1" x14ac:dyDescent="0.25">
      <c r="B276" s="89"/>
      <c r="C276" s="46" t="s">
        <v>222</v>
      </c>
      <c r="D276" s="45">
        <v>2</v>
      </c>
      <c r="E276" s="44">
        <v>8.3022000830220008E-4</v>
      </c>
    </row>
    <row r="277" spans="2:5" ht="15" customHeight="1" x14ac:dyDescent="0.25">
      <c r="B277" s="89"/>
      <c r="C277" s="46" t="s">
        <v>242</v>
      </c>
      <c r="D277" s="45">
        <v>3</v>
      </c>
      <c r="E277" s="44">
        <v>1.2453300124533001E-3</v>
      </c>
    </row>
    <row r="278" spans="2:5" ht="15" customHeight="1" x14ac:dyDescent="0.25">
      <c r="B278" s="89"/>
      <c r="C278" s="46" t="s">
        <v>237</v>
      </c>
      <c r="D278" s="45">
        <v>3</v>
      </c>
      <c r="E278" s="44">
        <v>1.2453300124533001E-3</v>
      </c>
    </row>
    <row r="279" spans="2:5" ht="15" customHeight="1" x14ac:dyDescent="0.25">
      <c r="B279" s="89"/>
      <c r="C279" s="46" t="s">
        <v>194</v>
      </c>
      <c r="D279" s="45">
        <v>1</v>
      </c>
      <c r="E279" s="44">
        <v>4.1511000415110004E-4</v>
      </c>
    </row>
    <row r="280" spans="2:5" ht="15" customHeight="1" x14ac:dyDescent="0.25">
      <c r="B280" s="89"/>
      <c r="C280" s="46" t="s">
        <v>257</v>
      </c>
      <c r="D280" s="45">
        <v>2</v>
      </c>
      <c r="E280" s="44">
        <v>8.3022000830220008E-4</v>
      </c>
    </row>
    <row r="281" spans="2:5" ht="15" customHeight="1" x14ac:dyDescent="0.25">
      <c r="B281" s="89"/>
      <c r="C281" s="46" t="s">
        <v>232</v>
      </c>
      <c r="D281" s="45">
        <v>3</v>
      </c>
      <c r="E281" s="44">
        <v>1.2453300124533001E-3</v>
      </c>
    </row>
    <row r="282" spans="2:5" ht="15" customHeight="1" x14ac:dyDescent="0.25">
      <c r="B282" s="89"/>
      <c r="C282" s="46" t="s">
        <v>239</v>
      </c>
      <c r="D282" s="45">
        <v>1</v>
      </c>
      <c r="E282" s="44">
        <v>4.1511000415110004E-4</v>
      </c>
    </row>
    <row r="283" spans="2:5" ht="15" customHeight="1" x14ac:dyDescent="0.25">
      <c r="B283" s="89"/>
      <c r="C283" s="46" t="s">
        <v>178</v>
      </c>
      <c r="D283" s="45">
        <v>1</v>
      </c>
      <c r="E283" s="44">
        <v>4.1511000415110004E-4</v>
      </c>
    </row>
    <row r="284" spans="2:5" ht="15" customHeight="1" x14ac:dyDescent="0.25">
      <c r="B284" s="89"/>
      <c r="C284" s="46" t="s">
        <v>211</v>
      </c>
      <c r="D284" s="45">
        <v>2</v>
      </c>
      <c r="E284" s="44">
        <v>8.3022000830220008E-4</v>
      </c>
    </row>
    <row r="285" spans="2:5" ht="15" customHeight="1" x14ac:dyDescent="0.25">
      <c r="B285" s="90"/>
      <c r="C285" s="43" t="s">
        <v>23</v>
      </c>
      <c r="D285" s="42">
        <v>135</v>
      </c>
      <c r="E285" s="41">
        <v>5.6039850560398508E-2</v>
      </c>
    </row>
    <row r="286" spans="2:5" ht="15" customHeight="1" x14ac:dyDescent="0.25">
      <c r="B286" s="88" t="s">
        <v>113</v>
      </c>
      <c r="C286" s="46" t="s">
        <v>261</v>
      </c>
      <c r="D286" s="45">
        <v>1</v>
      </c>
      <c r="E286" s="44">
        <v>4.1511000415110004E-4</v>
      </c>
    </row>
    <row r="287" spans="2:5" ht="15" customHeight="1" x14ac:dyDescent="0.25">
      <c r="B287" s="90"/>
      <c r="C287" s="43" t="s">
        <v>23</v>
      </c>
      <c r="D287" s="42">
        <v>1</v>
      </c>
      <c r="E287" s="41">
        <v>4.1511000415110004E-4</v>
      </c>
    </row>
    <row r="288" spans="2:5" ht="15" customHeight="1" x14ac:dyDescent="0.25">
      <c r="B288" s="88" t="s">
        <v>112</v>
      </c>
      <c r="C288" s="46" t="s">
        <v>233</v>
      </c>
      <c r="D288" s="45">
        <v>1</v>
      </c>
      <c r="E288" s="44">
        <v>4.1511000415110004E-4</v>
      </c>
    </row>
    <row r="289" spans="2:5" ht="15" customHeight="1" x14ac:dyDescent="0.25">
      <c r="B289" s="89"/>
      <c r="C289" s="46" t="s">
        <v>255</v>
      </c>
      <c r="D289" s="45">
        <v>1</v>
      </c>
      <c r="E289" s="44">
        <v>4.1511000415110004E-4</v>
      </c>
    </row>
    <row r="290" spans="2:5" ht="15" customHeight="1" x14ac:dyDescent="0.25">
      <c r="B290" s="89"/>
      <c r="C290" s="46" t="s">
        <v>202</v>
      </c>
      <c r="D290" s="45">
        <v>1</v>
      </c>
      <c r="E290" s="44">
        <v>4.1511000415110004E-4</v>
      </c>
    </row>
    <row r="291" spans="2:5" ht="15" customHeight="1" x14ac:dyDescent="0.25">
      <c r="B291" s="89"/>
      <c r="C291" s="46" t="s">
        <v>210</v>
      </c>
      <c r="D291" s="45">
        <v>1</v>
      </c>
      <c r="E291" s="44">
        <v>4.1511000415110004E-4</v>
      </c>
    </row>
    <row r="292" spans="2:5" ht="15" customHeight="1" x14ac:dyDescent="0.25">
      <c r="B292" s="89"/>
      <c r="C292" s="46" t="s">
        <v>230</v>
      </c>
      <c r="D292" s="45">
        <v>7</v>
      </c>
      <c r="E292" s="44">
        <v>2.9057700290577005E-3</v>
      </c>
    </row>
    <row r="293" spans="2:5" ht="15" customHeight="1" x14ac:dyDescent="0.25">
      <c r="B293" s="89"/>
      <c r="C293" s="46" t="s">
        <v>220</v>
      </c>
      <c r="D293" s="45">
        <v>1</v>
      </c>
      <c r="E293" s="44">
        <v>4.1511000415110004E-4</v>
      </c>
    </row>
    <row r="294" spans="2:5" ht="15" customHeight="1" x14ac:dyDescent="0.25">
      <c r="B294" s="89"/>
      <c r="C294" s="46" t="s">
        <v>244</v>
      </c>
      <c r="D294" s="45">
        <v>6</v>
      </c>
      <c r="E294" s="44">
        <v>2.4906600249066002E-3</v>
      </c>
    </row>
    <row r="295" spans="2:5" ht="15" customHeight="1" x14ac:dyDescent="0.25">
      <c r="B295" s="89"/>
      <c r="C295" s="46" t="s">
        <v>251</v>
      </c>
      <c r="D295" s="45">
        <v>20</v>
      </c>
      <c r="E295" s="44">
        <v>8.3022000830220016E-3</v>
      </c>
    </row>
    <row r="296" spans="2:5" ht="15" customHeight="1" x14ac:dyDescent="0.25">
      <c r="B296" s="89"/>
      <c r="C296" s="46" t="s">
        <v>207</v>
      </c>
      <c r="D296" s="45">
        <v>1</v>
      </c>
      <c r="E296" s="44">
        <v>4.1511000415110004E-4</v>
      </c>
    </row>
    <row r="297" spans="2:5" ht="15" customHeight="1" x14ac:dyDescent="0.25">
      <c r="B297" s="89"/>
      <c r="C297" s="46" t="s">
        <v>245</v>
      </c>
      <c r="D297" s="45">
        <v>1</v>
      </c>
      <c r="E297" s="44">
        <v>4.1511000415110004E-4</v>
      </c>
    </row>
    <row r="298" spans="2:5" ht="15" customHeight="1" x14ac:dyDescent="0.25">
      <c r="B298" s="89"/>
      <c r="C298" s="46" t="s">
        <v>252</v>
      </c>
      <c r="D298" s="45">
        <v>1</v>
      </c>
      <c r="E298" s="44">
        <v>4.1511000415110004E-4</v>
      </c>
    </row>
    <row r="299" spans="2:5" ht="15" customHeight="1" x14ac:dyDescent="0.25">
      <c r="B299" s="89"/>
      <c r="C299" s="46" t="s">
        <v>238</v>
      </c>
      <c r="D299" s="45">
        <v>1</v>
      </c>
      <c r="E299" s="44">
        <v>4.1511000415110004E-4</v>
      </c>
    </row>
    <row r="300" spans="2:5" ht="15" customHeight="1" x14ac:dyDescent="0.25">
      <c r="B300" s="89"/>
      <c r="C300" s="46" t="s">
        <v>250</v>
      </c>
      <c r="D300" s="45">
        <v>22</v>
      </c>
      <c r="E300" s="44">
        <v>9.1324200913242004E-3</v>
      </c>
    </row>
    <row r="301" spans="2:5" ht="15" customHeight="1" x14ac:dyDescent="0.25">
      <c r="B301" s="89"/>
      <c r="C301" s="46" t="s">
        <v>214</v>
      </c>
      <c r="D301" s="45">
        <v>1</v>
      </c>
      <c r="E301" s="44">
        <v>4.1511000415110004E-4</v>
      </c>
    </row>
    <row r="302" spans="2:5" ht="15" customHeight="1" x14ac:dyDescent="0.25">
      <c r="B302" s="89"/>
      <c r="C302" s="46" t="s">
        <v>263</v>
      </c>
      <c r="D302" s="45">
        <v>9</v>
      </c>
      <c r="E302" s="44">
        <v>3.7359900373599006E-3</v>
      </c>
    </row>
    <row r="303" spans="2:5" ht="15" customHeight="1" x14ac:dyDescent="0.25">
      <c r="B303" s="89"/>
      <c r="C303" s="46" t="s">
        <v>262</v>
      </c>
      <c r="D303" s="45">
        <v>75</v>
      </c>
      <c r="E303" s="44">
        <v>3.1133250311332503E-2</v>
      </c>
    </row>
    <row r="304" spans="2:5" ht="15" customHeight="1" x14ac:dyDescent="0.25">
      <c r="B304" s="89"/>
      <c r="C304" s="46" t="s">
        <v>261</v>
      </c>
      <c r="D304" s="45">
        <v>1</v>
      </c>
      <c r="E304" s="44">
        <v>4.1511000415110004E-4</v>
      </c>
    </row>
    <row r="305" spans="2:5" ht="15" customHeight="1" x14ac:dyDescent="0.25">
      <c r="B305" s="89"/>
      <c r="C305" s="46" t="s">
        <v>196</v>
      </c>
      <c r="D305" s="45">
        <v>1</v>
      </c>
      <c r="E305" s="44">
        <v>4.1511000415110004E-4</v>
      </c>
    </row>
    <row r="306" spans="2:5" ht="15" customHeight="1" x14ac:dyDescent="0.25">
      <c r="B306" s="89"/>
      <c r="C306" s="46" t="s">
        <v>243</v>
      </c>
      <c r="D306" s="45">
        <v>10</v>
      </c>
      <c r="E306" s="44">
        <v>4.1511000415110008E-3</v>
      </c>
    </row>
    <row r="307" spans="2:5" ht="15" customHeight="1" x14ac:dyDescent="0.25">
      <c r="B307" s="89"/>
      <c r="C307" s="46" t="s">
        <v>228</v>
      </c>
      <c r="D307" s="45">
        <v>1</v>
      </c>
      <c r="E307" s="44">
        <v>4.1511000415110004E-4</v>
      </c>
    </row>
    <row r="308" spans="2:5" ht="15" customHeight="1" x14ac:dyDescent="0.25">
      <c r="B308" s="89"/>
      <c r="C308" s="46" t="s">
        <v>258</v>
      </c>
      <c r="D308" s="45">
        <v>15</v>
      </c>
      <c r="E308" s="44">
        <v>6.2266500622665004E-3</v>
      </c>
    </row>
    <row r="309" spans="2:5" ht="15" customHeight="1" x14ac:dyDescent="0.25">
      <c r="B309" s="89"/>
      <c r="C309" s="46" t="s">
        <v>235</v>
      </c>
      <c r="D309" s="45">
        <v>3</v>
      </c>
      <c r="E309" s="44">
        <v>1.2453300124533001E-3</v>
      </c>
    </row>
    <row r="310" spans="2:5" ht="15" customHeight="1" x14ac:dyDescent="0.25">
      <c r="B310" s="89"/>
      <c r="C310" s="46" t="s">
        <v>257</v>
      </c>
      <c r="D310" s="45">
        <v>11</v>
      </c>
      <c r="E310" s="44">
        <v>4.5662100456621002E-3</v>
      </c>
    </row>
    <row r="311" spans="2:5" ht="15" customHeight="1" x14ac:dyDescent="0.25">
      <c r="B311" s="89"/>
      <c r="C311" s="46" t="s">
        <v>254</v>
      </c>
      <c r="D311" s="45">
        <v>1</v>
      </c>
      <c r="E311" s="44">
        <v>4.1511000415110004E-4</v>
      </c>
    </row>
    <row r="312" spans="2:5" ht="15" customHeight="1" x14ac:dyDescent="0.25">
      <c r="B312" s="89"/>
      <c r="C312" s="46" t="s">
        <v>239</v>
      </c>
      <c r="D312" s="45">
        <v>2</v>
      </c>
      <c r="E312" s="44">
        <v>8.3022000830220008E-4</v>
      </c>
    </row>
    <row r="313" spans="2:5" ht="15" customHeight="1" x14ac:dyDescent="0.25">
      <c r="B313" s="90"/>
      <c r="C313" s="43" t="s">
        <v>23</v>
      </c>
      <c r="D313" s="42">
        <v>194</v>
      </c>
      <c r="E313" s="41">
        <v>8.0531340805313406E-2</v>
      </c>
    </row>
    <row r="314" spans="2:5" ht="15" customHeight="1" x14ac:dyDescent="0.25">
      <c r="B314" s="88" t="s">
        <v>111</v>
      </c>
      <c r="C314" s="46" t="s">
        <v>255</v>
      </c>
      <c r="D314" s="45">
        <v>1</v>
      </c>
      <c r="E314" s="44">
        <v>4.1511000415110004E-4</v>
      </c>
    </row>
    <row r="315" spans="2:5" ht="15" customHeight="1" x14ac:dyDescent="0.25">
      <c r="B315" s="89"/>
      <c r="C315" s="46" t="s">
        <v>201</v>
      </c>
      <c r="D315" s="45">
        <v>1</v>
      </c>
      <c r="E315" s="44">
        <v>4.1511000415110004E-4</v>
      </c>
    </row>
    <row r="316" spans="2:5" ht="15" customHeight="1" x14ac:dyDescent="0.25">
      <c r="B316" s="89"/>
      <c r="C316" s="46" t="s">
        <v>215</v>
      </c>
      <c r="D316" s="45">
        <v>1</v>
      </c>
      <c r="E316" s="44">
        <v>4.1511000415110004E-4</v>
      </c>
    </row>
    <row r="317" spans="2:5" ht="15" customHeight="1" x14ac:dyDescent="0.25">
      <c r="B317" s="89"/>
      <c r="C317" s="46" t="s">
        <v>263</v>
      </c>
      <c r="D317" s="45">
        <v>8</v>
      </c>
      <c r="E317" s="44">
        <v>3.3208800332088003E-3</v>
      </c>
    </row>
    <row r="318" spans="2:5" ht="15" customHeight="1" x14ac:dyDescent="0.25">
      <c r="B318" s="89"/>
      <c r="C318" s="46" t="s">
        <v>260</v>
      </c>
      <c r="D318" s="45">
        <v>2</v>
      </c>
      <c r="E318" s="44">
        <v>8.3022000830220008E-4</v>
      </c>
    </row>
    <row r="319" spans="2:5" ht="15" customHeight="1" x14ac:dyDescent="0.25">
      <c r="B319" s="89"/>
      <c r="C319" s="46" t="s">
        <v>205</v>
      </c>
      <c r="D319" s="45">
        <v>1</v>
      </c>
      <c r="E319" s="44">
        <v>4.1511000415110004E-4</v>
      </c>
    </row>
    <row r="320" spans="2:5" ht="15" customHeight="1" x14ac:dyDescent="0.25">
      <c r="B320" s="89"/>
      <c r="C320" s="46" t="s">
        <v>246</v>
      </c>
      <c r="D320" s="45">
        <v>1</v>
      </c>
      <c r="E320" s="44">
        <v>4.1511000415110004E-4</v>
      </c>
    </row>
    <row r="321" spans="2:5" ht="15" customHeight="1" x14ac:dyDescent="0.25">
      <c r="B321" s="89"/>
      <c r="C321" s="46" t="s">
        <v>242</v>
      </c>
      <c r="D321" s="45">
        <v>1</v>
      </c>
      <c r="E321" s="44">
        <v>4.1511000415110004E-4</v>
      </c>
    </row>
    <row r="322" spans="2:5" ht="15" customHeight="1" x14ac:dyDescent="0.25">
      <c r="B322" s="89"/>
      <c r="C322" s="46" t="s">
        <v>221</v>
      </c>
      <c r="D322" s="45">
        <v>1</v>
      </c>
      <c r="E322" s="44">
        <v>4.1511000415110004E-4</v>
      </c>
    </row>
    <row r="323" spans="2:5" ht="15" customHeight="1" x14ac:dyDescent="0.25">
      <c r="B323" s="89"/>
      <c r="C323" s="46" t="s">
        <v>254</v>
      </c>
      <c r="D323" s="45">
        <v>1</v>
      </c>
      <c r="E323" s="44">
        <v>4.1511000415110004E-4</v>
      </c>
    </row>
    <row r="324" spans="2:5" ht="15" customHeight="1" x14ac:dyDescent="0.25">
      <c r="B324" s="90"/>
      <c r="C324" s="43" t="s">
        <v>23</v>
      </c>
      <c r="D324" s="42">
        <v>18</v>
      </c>
      <c r="E324" s="41">
        <v>7.4719800747198011E-3</v>
      </c>
    </row>
    <row r="325" spans="2:5" ht="15" customHeight="1" x14ac:dyDescent="0.25">
      <c r="B325" s="88" t="s">
        <v>110</v>
      </c>
      <c r="C325" s="46" t="s">
        <v>233</v>
      </c>
      <c r="D325" s="45">
        <v>1</v>
      </c>
      <c r="E325" s="44">
        <v>4.1511000415110004E-4</v>
      </c>
    </row>
    <row r="326" spans="2:5" ht="15" customHeight="1" x14ac:dyDescent="0.25">
      <c r="B326" s="89"/>
      <c r="C326" s="46" t="s">
        <v>255</v>
      </c>
      <c r="D326" s="45">
        <v>1</v>
      </c>
      <c r="E326" s="44">
        <v>4.1511000415110004E-4</v>
      </c>
    </row>
    <row r="327" spans="2:5" ht="15" customHeight="1" x14ac:dyDescent="0.25">
      <c r="B327" s="89"/>
      <c r="C327" s="46" t="s">
        <v>256</v>
      </c>
      <c r="D327" s="45">
        <v>1</v>
      </c>
      <c r="E327" s="44">
        <v>4.1511000415110004E-4</v>
      </c>
    </row>
    <row r="328" spans="2:5" ht="15" customHeight="1" x14ac:dyDescent="0.25">
      <c r="B328" s="89"/>
      <c r="C328" s="46" t="s">
        <v>245</v>
      </c>
      <c r="D328" s="45">
        <v>2</v>
      </c>
      <c r="E328" s="44">
        <v>8.3022000830220008E-4</v>
      </c>
    </row>
    <row r="329" spans="2:5" ht="15" customHeight="1" x14ac:dyDescent="0.25">
      <c r="B329" s="89"/>
      <c r="C329" s="46" t="s">
        <v>252</v>
      </c>
      <c r="D329" s="45">
        <v>1</v>
      </c>
      <c r="E329" s="44">
        <v>4.1511000415110004E-4</v>
      </c>
    </row>
    <row r="330" spans="2:5" ht="15" customHeight="1" x14ac:dyDescent="0.25">
      <c r="B330" s="89"/>
      <c r="C330" s="46" t="s">
        <v>250</v>
      </c>
      <c r="D330" s="45">
        <v>1</v>
      </c>
      <c r="E330" s="44">
        <v>4.1511000415110004E-4</v>
      </c>
    </row>
    <row r="331" spans="2:5" ht="15" customHeight="1" x14ac:dyDescent="0.25">
      <c r="B331" s="89"/>
      <c r="C331" s="46" t="s">
        <v>263</v>
      </c>
      <c r="D331" s="45">
        <v>7</v>
      </c>
      <c r="E331" s="44">
        <v>2.9057700290577005E-3</v>
      </c>
    </row>
    <row r="332" spans="2:5" ht="15" customHeight="1" x14ac:dyDescent="0.25">
      <c r="B332" s="89"/>
      <c r="C332" s="46" t="s">
        <v>218</v>
      </c>
      <c r="D332" s="45">
        <v>2</v>
      </c>
      <c r="E332" s="44">
        <v>8.3022000830220008E-4</v>
      </c>
    </row>
    <row r="333" spans="2:5" ht="15" customHeight="1" x14ac:dyDescent="0.25">
      <c r="B333" s="89"/>
      <c r="C333" s="46" t="s">
        <v>260</v>
      </c>
      <c r="D333" s="45">
        <v>2</v>
      </c>
      <c r="E333" s="44">
        <v>8.3022000830220008E-4</v>
      </c>
    </row>
    <row r="334" spans="2:5" ht="15" customHeight="1" x14ac:dyDescent="0.25">
      <c r="B334" s="89"/>
      <c r="C334" s="46" t="s">
        <v>259</v>
      </c>
      <c r="D334" s="45">
        <v>1</v>
      </c>
      <c r="E334" s="44">
        <v>4.1511000415110004E-4</v>
      </c>
    </row>
    <row r="335" spans="2:5" ht="15" customHeight="1" x14ac:dyDescent="0.25">
      <c r="B335" s="89"/>
      <c r="C335" s="46" t="s">
        <v>261</v>
      </c>
      <c r="D335" s="45">
        <v>1</v>
      </c>
      <c r="E335" s="44">
        <v>4.1511000415110004E-4</v>
      </c>
    </row>
    <row r="336" spans="2:5" ht="15" customHeight="1" x14ac:dyDescent="0.25">
      <c r="B336" s="89"/>
      <c r="C336" s="46" t="s">
        <v>246</v>
      </c>
      <c r="D336" s="45">
        <v>1</v>
      </c>
      <c r="E336" s="44">
        <v>4.1511000415110004E-4</v>
      </c>
    </row>
    <row r="337" spans="2:5" ht="15" customHeight="1" x14ac:dyDescent="0.25">
      <c r="B337" s="89"/>
      <c r="C337" s="46" t="s">
        <v>196</v>
      </c>
      <c r="D337" s="45">
        <v>1</v>
      </c>
      <c r="E337" s="44">
        <v>4.1511000415110004E-4</v>
      </c>
    </row>
    <row r="338" spans="2:5" ht="15" customHeight="1" x14ac:dyDescent="0.25">
      <c r="B338" s="90"/>
      <c r="C338" s="43" t="s">
        <v>23</v>
      </c>
      <c r="D338" s="42">
        <v>22</v>
      </c>
      <c r="E338" s="41">
        <v>9.1324200913242004E-3</v>
      </c>
    </row>
    <row r="339" spans="2:5" ht="15" customHeight="1" x14ac:dyDescent="0.25">
      <c r="B339" s="88" t="s">
        <v>109</v>
      </c>
      <c r="C339" s="46" t="s">
        <v>256</v>
      </c>
      <c r="D339" s="45">
        <v>1</v>
      </c>
      <c r="E339" s="44">
        <v>4.1511000415110004E-4</v>
      </c>
    </row>
    <row r="340" spans="2:5" ht="15" customHeight="1" x14ac:dyDescent="0.25">
      <c r="B340" s="89"/>
      <c r="C340" s="46" t="s">
        <v>263</v>
      </c>
      <c r="D340" s="45">
        <v>2</v>
      </c>
      <c r="E340" s="44">
        <v>8.3022000830220008E-4</v>
      </c>
    </row>
    <row r="341" spans="2:5" ht="15" customHeight="1" x14ac:dyDescent="0.25">
      <c r="B341" s="89"/>
      <c r="C341" s="46" t="s">
        <v>217</v>
      </c>
      <c r="D341" s="45">
        <v>1</v>
      </c>
      <c r="E341" s="44">
        <v>4.1511000415110004E-4</v>
      </c>
    </row>
    <row r="342" spans="2:5" ht="15" customHeight="1" x14ac:dyDescent="0.25">
      <c r="B342" s="90"/>
      <c r="C342" s="43" t="s">
        <v>23</v>
      </c>
      <c r="D342" s="42">
        <v>4</v>
      </c>
      <c r="E342" s="41">
        <v>1.6604400166044002E-3</v>
      </c>
    </row>
    <row r="343" spans="2:5" ht="15" customHeight="1" x14ac:dyDescent="0.25">
      <c r="B343" s="88" t="s">
        <v>108</v>
      </c>
      <c r="C343" s="46" t="s">
        <v>248</v>
      </c>
      <c r="D343" s="45">
        <v>6</v>
      </c>
      <c r="E343" s="44">
        <v>2.4906600249066002E-3</v>
      </c>
    </row>
    <row r="344" spans="2:5" ht="15" customHeight="1" x14ac:dyDescent="0.25">
      <c r="B344" s="89"/>
      <c r="C344" s="46" t="s">
        <v>256</v>
      </c>
      <c r="D344" s="45">
        <v>2</v>
      </c>
      <c r="E344" s="44">
        <v>8.3022000830220008E-4</v>
      </c>
    </row>
    <row r="345" spans="2:5" ht="15" customHeight="1" x14ac:dyDescent="0.25">
      <c r="B345" s="89"/>
      <c r="C345" s="46" t="s">
        <v>230</v>
      </c>
      <c r="D345" s="45">
        <v>1</v>
      </c>
      <c r="E345" s="44">
        <v>4.1511000415110004E-4</v>
      </c>
    </row>
    <row r="346" spans="2:5" ht="15" customHeight="1" x14ac:dyDescent="0.25">
      <c r="B346" s="89"/>
      <c r="C346" s="46" t="s">
        <v>223</v>
      </c>
      <c r="D346" s="45">
        <v>1</v>
      </c>
      <c r="E346" s="44">
        <v>4.1511000415110004E-4</v>
      </c>
    </row>
    <row r="347" spans="2:5" ht="15" customHeight="1" x14ac:dyDescent="0.25">
      <c r="B347" s="89"/>
      <c r="C347" s="46" t="s">
        <v>263</v>
      </c>
      <c r="D347" s="45">
        <v>15</v>
      </c>
      <c r="E347" s="44">
        <v>6.2266500622665004E-3</v>
      </c>
    </row>
    <row r="348" spans="2:5" ht="15" customHeight="1" x14ac:dyDescent="0.25">
      <c r="B348" s="89"/>
      <c r="C348" s="46" t="s">
        <v>260</v>
      </c>
      <c r="D348" s="45">
        <v>2</v>
      </c>
      <c r="E348" s="44">
        <v>8.3022000830220008E-4</v>
      </c>
    </row>
    <row r="349" spans="2:5" ht="15" customHeight="1" x14ac:dyDescent="0.25">
      <c r="B349" s="89"/>
      <c r="C349" s="46" t="s">
        <v>262</v>
      </c>
      <c r="D349" s="45">
        <v>1</v>
      </c>
      <c r="E349" s="44">
        <v>4.1511000415110004E-4</v>
      </c>
    </row>
    <row r="350" spans="2:5" ht="15" customHeight="1" x14ac:dyDescent="0.25">
      <c r="B350" s="89"/>
      <c r="C350" s="46" t="s">
        <v>246</v>
      </c>
      <c r="D350" s="45">
        <v>3</v>
      </c>
      <c r="E350" s="44">
        <v>1.2453300124533001E-3</v>
      </c>
    </row>
    <row r="351" spans="2:5" ht="15" customHeight="1" x14ac:dyDescent="0.25">
      <c r="B351" s="89"/>
      <c r="C351" s="46" t="s">
        <v>195</v>
      </c>
      <c r="D351" s="45">
        <v>1</v>
      </c>
      <c r="E351" s="44">
        <v>4.1511000415110004E-4</v>
      </c>
    </row>
    <row r="352" spans="2:5" ht="15" customHeight="1" x14ac:dyDescent="0.25">
      <c r="B352" s="89"/>
      <c r="C352" s="46" t="s">
        <v>221</v>
      </c>
      <c r="D352" s="45">
        <v>1</v>
      </c>
      <c r="E352" s="44">
        <v>4.1511000415110004E-4</v>
      </c>
    </row>
    <row r="353" spans="2:5" ht="15" customHeight="1" x14ac:dyDescent="0.25">
      <c r="B353" s="89"/>
      <c r="C353" s="46" t="s">
        <v>258</v>
      </c>
      <c r="D353" s="45">
        <v>2</v>
      </c>
      <c r="E353" s="44">
        <v>8.3022000830220008E-4</v>
      </c>
    </row>
    <row r="354" spans="2:5" ht="15" customHeight="1" x14ac:dyDescent="0.25">
      <c r="B354" s="89"/>
      <c r="C354" s="46" t="s">
        <v>212</v>
      </c>
      <c r="D354" s="45">
        <v>2</v>
      </c>
      <c r="E354" s="44">
        <v>8.3022000830220008E-4</v>
      </c>
    </row>
    <row r="355" spans="2:5" ht="15" customHeight="1" x14ac:dyDescent="0.25">
      <c r="B355" s="89"/>
      <c r="C355" s="46" t="s">
        <v>232</v>
      </c>
      <c r="D355" s="45">
        <v>1</v>
      </c>
      <c r="E355" s="44">
        <v>4.1511000415110004E-4</v>
      </c>
    </row>
    <row r="356" spans="2:5" ht="15" customHeight="1" x14ac:dyDescent="0.25">
      <c r="B356" s="89"/>
      <c r="C356" s="46" t="s">
        <v>239</v>
      </c>
      <c r="D356" s="45">
        <v>1</v>
      </c>
      <c r="E356" s="44">
        <v>4.1511000415110004E-4</v>
      </c>
    </row>
    <row r="357" spans="2:5" ht="15" customHeight="1" x14ac:dyDescent="0.25">
      <c r="B357" s="89"/>
      <c r="C357" s="46" t="s">
        <v>240</v>
      </c>
      <c r="D357" s="45">
        <v>2</v>
      </c>
      <c r="E357" s="44">
        <v>8.3022000830220008E-4</v>
      </c>
    </row>
    <row r="358" spans="2:5" ht="15" customHeight="1" x14ac:dyDescent="0.25">
      <c r="B358" s="90"/>
      <c r="C358" s="43" t="s">
        <v>23</v>
      </c>
      <c r="D358" s="42">
        <v>41</v>
      </c>
      <c r="E358" s="41">
        <v>1.7019510170195103E-2</v>
      </c>
    </row>
    <row r="359" spans="2:5" ht="15" customHeight="1" x14ac:dyDescent="0.25">
      <c r="B359" s="88" t="s">
        <v>107</v>
      </c>
      <c r="C359" s="46" t="s">
        <v>206</v>
      </c>
      <c r="D359" s="45">
        <v>1</v>
      </c>
      <c r="E359" s="44">
        <v>4.1511000415110004E-4</v>
      </c>
    </row>
    <row r="360" spans="2:5" ht="15" customHeight="1" x14ac:dyDescent="0.25">
      <c r="B360" s="89"/>
      <c r="C360" s="46" t="s">
        <v>263</v>
      </c>
      <c r="D360" s="45">
        <v>1</v>
      </c>
      <c r="E360" s="44">
        <v>4.1511000415110004E-4</v>
      </c>
    </row>
    <row r="361" spans="2:5" ht="15" customHeight="1" x14ac:dyDescent="0.25">
      <c r="B361" s="89"/>
      <c r="C361" s="46" t="s">
        <v>240</v>
      </c>
      <c r="D361" s="45">
        <v>1</v>
      </c>
      <c r="E361" s="44">
        <v>4.1511000415110004E-4</v>
      </c>
    </row>
    <row r="362" spans="2:5" ht="15" customHeight="1" x14ac:dyDescent="0.25">
      <c r="B362" s="90"/>
      <c r="C362" s="43" t="s">
        <v>23</v>
      </c>
      <c r="D362" s="42">
        <v>3</v>
      </c>
      <c r="E362" s="41">
        <v>1.2453300124533001E-3</v>
      </c>
    </row>
    <row r="363" spans="2:5" ht="15" customHeight="1" x14ac:dyDescent="0.25">
      <c r="B363" s="88" t="s">
        <v>106</v>
      </c>
      <c r="C363" s="46" t="s">
        <v>248</v>
      </c>
      <c r="D363" s="45">
        <v>3</v>
      </c>
      <c r="E363" s="44">
        <v>1.2453300124533001E-3</v>
      </c>
    </row>
    <row r="364" spans="2:5" ht="15" customHeight="1" x14ac:dyDescent="0.25">
      <c r="B364" s="89"/>
      <c r="C364" s="46" t="s">
        <v>256</v>
      </c>
      <c r="D364" s="45">
        <v>12</v>
      </c>
      <c r="E364" s="44">
        <v>4.9813200498132005E-3</v>
      </c>
    </row>
    <row r="365" spans="2:5" ht="15" customHeight="1" x14ac:dyDescent="0.25">
      <c r="B365" s="89"/>
      <c r="C365" s="46" t="s">
        <v>209</v>
      </c>
      <c r="D365" s="45">
        <v>1</v>
      </c>
      <c r="E365" s="44">
        <v>4.1511000415110004E-4</v>
      </c>
    </row>
    <row r="366" spans="2:5" ht="15" customHeight="1" x14ac:dyDescent="0.25">
      <c r="B366" s="89"/>
      <c r="C366" s="46" t="s">
        <v>244</v>
      </c>
      <c r="D366" s="45">
        <v>1</v>
      </c>
      <c r="E366" s="44">
        <v>4.1511000415110004E-4</v>
      </c>
    </row>
    <row r="367" spans="2:5" ht="15" customHeight="1" x14ac:dyDescent="0.25">
      <c r="B367" s="89"/>
      <c r="C367" s="46" t="s">
        <v>208</v>
      </c>
      <c r="D367" s="45">
        <v>2</v>
      </c>
      <c r="E367" s="44">
        <v>8.3022000830220008E-4</v>
      </c>
    </row>
    <row r="368" spans="2:5" ht="15" customHeight="1" x14ac:dyDescent="0.25">
      <c r="B368" s="89"/>
      <c r="C368" s="46" t="s">
        <v>236</v>
      </c>
      <c r="D368" s="45">
        <v>1</v>
      </c>
      <c r="E368" s="44">
        <v>4.1511000415110004E-4</v>
      </c>
    </row>
    <row r="369" spans="2:5" ht="15" customHeight="1" x14ac:dyDescent="0.25">
      <c r="B369" s="89"/>
      <c r="C369" s="46" t="s">
        <v>224</v>
      </c>
      <c r="D369" s="45">
        <v>1</v>
      </c>
      <c r="E369" s="44">
        <v>4.1511000415110004E-4</v>
      </c>
    </row>
    <row r="370" spans="2:5" ht="15" customHeight="1" x14ac:dyDescent="0.25">
      <c r="B370" s="89"/>
      <c r="C370" s="46" t="s">
        <v>223</v>
      </c>
      <c r="D370" s="45">
        <v>2</v>
      </c>
      <c r="E370" s="44">
        <v>8.3022000830220008E-4</v>
      </c>
    </row>
    <row r="371" spans="2:5" ht="15" customHeight="1" x14ac:dyDescent="0.25">
      <c r="B371" s="89"/>
      <c r="C371" s="46" t="s">
        <v>253</v>
      </c>
      <c r="D371" s="45">
        <v>8</v>
      </c>
      <c r="E371" s="44">
        <v>3.3208800332088003E-3</v>
      </c>
    </row>
    <row r="372" spans="2:5" ht="15" customHeight="1" x14ac:dyDescent="0.25">
      <c r="B372" s="89"/>
      <c r="C372" s="46" t="s">
        <v>263</v>
      </c>
      <c r="D372" s="45">
        <v>21</v>
      </c>
      <c r="E372" s="44">
        <v>8.717310087173101E-3</v>
      </c>
    </row>
    <row r="373" spans="2:5" ht="15" customHeight="1" x14ac:dyDescent="0.25">
      <c r="B373" s="89"/>
      <c r="C373" s="46" t="s">
        <v>260</v>
      </c>
      <c r="D373" s="45">
        <v>3</v>
      </c>
      <c r="E373" s="44">
        <v>1.2453300124533001E-3</v>
      </c>
    </row>
    <row r="374" spans="2:5" ht="15" customHeight="1" x14ac:dyDescent="0.25">
      <c r="B374" s="89"/>
      <c r="C374" s="46" t="s">
        <v>259</v>
      </c>
      <c r="D374" s="45">
        <v>2</v>
      </c>
      <c r="E374" s="44">
        <v>8.3022000830220008E-4</v>
      </c>
    </row>
    <row r="375" spans="2:5" ht="15" customHeight="1" x14ac:dyDescent="0.25">
      <c r="B375" s="89"/>
      <c r="C375" s="46" t="s">
        <v>205</v>
      </c>
      <c r="D375" s="45">
        <v>1</v>
      </c>
      <c r="E375" s="44">
        <v>4.1511000415110004E-4</v>
      </c>
    </row>
    <row r="376" spans="2:5" ht="15" customHeight="1" x14ac:dyDescent="0.25">
      <c r="B376" s="89"/>
      <c r="C376" s="46" t="s">
        <v>183</v>
      </c>
      <c r="D376" s="45">
        <v>1</v>
      </c>
      <c r="E376" s="44">
        <v>4.1511000415110004E-4</v>
      </c>
    </row>
    <row r="377" spans="2:5" ht="15" customHeight="1" x14ac:dyDescent="0.25">
      <c r="B377" s="89"/>
      <c r="C377" s="46" t="s">
        <v>261</v>
      </c>
      <c r="D377" s="45">
        <v>1</v>
      </c>
      <c r="E377" s="44">
        <v>4.1511000415110004E-4</v>
      </c>
    </row>
    <row r="378" spans="2:5" ht="15" customHeight="1" x14ac:dyDescent="0.25">
      <c r="B378" s="89"/>
      <c r="C378" s="46" t="s">
        <v>222</v>
      </c>
      <c r="D378" s="45">
        <v>1</v>
      </c>
      <c r="E378" s="44">
        <v>4.1511000415110004E-4</v>
      </c>
    </row>
    <row r="379" spans="2:5" ht="15" customHeight="1" x14ac:dyDescent="0.25">
      <c r="B379" s="89"/>
      <c r="C379" s="46" t="s">
        <v>188</v>
      </c>
      <c r="D379" s="45">
        <v>1</v>
      </c>
      <c r="E379" s="44">
        <v>4.1511000415110004E-4</v>
      </c>
    </row>
    <row r="380" spans="2:5" ht="15" customHeight="1" x14ac:dyDescent="0.25">
      <c r="B380" s="89"/>
      <c r="C380" s="46" t="s">
        <v>257</v>
      </c>
      <c r="D380" s="45">
        <v>1</v>
      </c>
      <c r="E380" s="44">
        <v>4.1511000415110004E-4</v>
      </c>
    </row>
    <row r="381" spans="2:5" ht="15" customHeight="1" x14ac:dyDescent="0.25">
      <c r="B381" s="89"/>
      <c r="C381" s="46" t="s">
        <v>204</v>
      </c>
      <c r="D381" s="45">
        <v>1</v>
      </c>
      <c r="E381" s="44">
        <v>4.1511000415110004E-4</v>
      </c>
    </row>
    <row r="382" spans="2:5" ht="15" customHeight="1" x14ac:dyDescent="0.25">
      <c r="B382" s="90"/>
      <c r="C382" s="43" t="s">
        <v>23</v>
      </c>
      <c r="D382" s="42">
        <v>64</v>
      </c>
      <c r="E382" s="41">
        <v>2.6567040265670402E-2</v>
      </c>
    </row>
    <row r="383" spans="2:5" ht="15" customHeight="1" x14ac:dyDescent="0.25">
      <c r="B383" s="88" t="s">
        <v>105</v>
      </c>
      <c r="C383" s="46" t="s">
        <v>220</v>
      </c>
      <c r="D383" s="45">
        <v>1</v>
      </c>
      <c r="E383" s="44">
        <v>4.1511000415110004E-4</v>
      </c>
    </row>
    <row r="384" spans="2:5" ht="15" customHeight="1" x14ac:dyDescent="0.25">
      <c r="B384" s="89"/>
      <c r="C384" s="46" t="s">
        <v>198</v>
      </c>
      <c r="D384" s="45">
        <v>1</v>
      </c>
      <c r="E384" s="44">
        <v>4.1511000415110004E-4</v>
      </c>
    </row>
    <row r="385" spans="2:5" ht="15" customHeight="1" x14ac:dyDescent="0.25">
      <c r="B385" s="89"/>
      <c r="C385" s="46" t="s">
        <v>252</v>
      </c>
      <c r="D385" s="45">
        <v>1</v>
      </c>
      <c r="E385" s="44">
        <v>4.1511000415110004E-4</v>
      </c>
    </row>
    <row r="386" spans="2:5" ht="15" customHeight="1" x14ac:dyDescent="0.25">
      <c r="B386" s="89"/>
      <c r="C386" s="46" t="s">
        <v>263</v>
      </c>
      <c r="D386" s="45">
        <v>3</v>
      </c>
      <c r="E386" s="44">
        <v>1.2453300124533001E-3</v>
      </c>
    </row>
    <row r="387" spans="2:5" ht="15" customHeight="1" x14ac:dyDescent="0.25">
      <c r="B387" s="89"/>
      <c r="C387" s="46" t="s">
        <v>239</v>
      </c>
      <c r="D387" s="45">
        <v>1</v>
      </c>
      <c r="E387" s="44">
        <v>4.1511000415110004E-4</v>
      </c>
    </row>
    <row r="388" spans="2:5" ht="15" customHeight="1" x14ac:dyDescent="0.25">
      <c r="B388" s="90"/>
      <c r="C388" s="43" t="s">
        <v>23</v>
      </c>
      <c r="D388" s="42">
        <v>7</v>
      </c>
      <c r="E388" s="41">
        <v>2.9057700290577005E-3</v>
      </c>
    </row>
    <row r="389" spans="2:5" ht="15" customHeight="1" x14ac:dyDescent="0.25">
      <c r="B389" s="88" t="s">
        <v>104</v>
      </c>
      <c r="C389" s="46" t="s">
        <v>231</v>
      </c>
      <c r="D389" s="45">
        <v>2</v>
      </c>
      <c r="E389" s="44">
        <v>8.3022000830220008E-4</v>
      </c>
    </row>
    <row r="390" spans="2:5" ht="15" customHeight="1" x14ac:dyDescent="0.25">
      <c r="B390" s="89"/>
      <c r="C390" s="46" t="s">
        <v>233</v>
      </c>
      <c r="D390" s="45">
        <v>5</v>
      </c>
      <c r="E390" s="44">
        <v>2.0755500207555004E-3</v>
      </c>
    </row>
    <row r="391" spans="2:5" ht="15" customHeight="1" x14ac:dyDescent="0.25">
      <c r="B391" s="89"/>
      <c r="C391" s="46" t="s">
        <v>255</v>
      </c>
      <c r="D391" s="45">
        <v>43</v>
      </c>
      <c r="E391" s="44">
        <v>1.7849730178497301E-2</v>
      </c>
    </row>
    <row r="392" spans="2:5" ht="15" customHeight="1" x14ac:dyDescent="0.25">
      <c r="B392" s="89"/>
      <c r="C392" s="46" t="s">
        <v>193</v>
      </c>
      <c r="D392" s="45">
        <v>1</v>
      </c>
      <c r="E392" s="44">
        <v>4.1511000415110004E-4</v>
      </c>
    </row>
    <row r="393" spans="2:5" ht="15" customHeight="1" x14ac:dyDescent="0.25">
      <c r="B393" s="89"/>
      <c r="C393" s="46" t="s">
        <v>248</v>
      </c>
      <c r="D393" s="45">
        <v>1</v>
      </c>
      <c r="E393" s="44">
        <v>4.1511000415110004E-4</v>
      </c>
    </row>
    <row r="394" spans="2:5" ht="15" customHeight="1" x14ac:dyDescent="0.25">
      <c r="B394" s="89"/>
      <c r="C394" s="46" t="s">
        <v>226</v>
      </c>
      <c r="D394" s="45">
        <v>1</v>
      </c>
      <c r="E394" s="44">
        <v>4.1511000415110004E-4</v>
      </c>
    </row>
    <row r="395" spans="2:5" ht="15" customHeight="1" x14ac:dyDescent="0.25">
      <c r="B395" s="89"/>
      <c r="C395" s="46" t="s">
        <v>247</v>
      </c>
      <c r="D395" s="45">
        <v>1</v>
      </c>
      <c r="E395" s="44">
        <v>4.1511000415110004E-4</v>
      </c>
    </row>
    <row r="396" spans="2:5" ht="15" customHeight="1" x14ac:dyDescent="0.25">
      <c r="B396" s="89"/>
      <c r="C396" s="46" t="s">
        <v>202</v>
      </c>
      <c r="D396" s="45">
        <v>2</v>
      </c>
      <c r="E396" s="44">
        <v>8.3022000830220008E-4</v>
      </c>
    </row>
    <row r="397" spans="2:5" ht="15" customHeight="1" x14ac:dyDescent="0.25">
      <c r="B397" s="89"/>
      <c r="C397" s="46" t="s">
        <v>256</v>
      </c>
      <c r="D397" s="45">
        <v>1</v>
      </c>
      <c r="E397" s="44">
        <v>4.1511000415110004E-4</v>
      </c>
    </row>
    <row r="398" spans="2:5" ht="15" customHeight="1" x14ac:dyDescent="0.25">
      <c r="B398" s="89"/>
      <c r="C398" s="46" t="s">
        <v>210</v>
      </c>
      <c r="D398" s="45">
        <v>3</v>
      </c>
      <c r="E398" s="44">
        <v>1.2453300124533001E-3</v>
      </c>
    </row>
    <row r="399" spans="2:5" ht="15" customHeight="1" x14ac:dyDescent="0.25">
      <c r="B399" s="89"/>
      <c r="C399" s="46" t="s">
        <v>230</v>
      </c>
      <c r="D399" s="45">
        <v>1</v>
      </c>
      <c r="E399" s="44">
        <v>4.1511000415110004E-4</v>
      </c>
    </row>
    <row r="400" spans="2:5" ht="15" customHeight="1" x14ac:dyDescent="0.25">
      <c r="B400" s="89"/>
      <c r="C400" s="46" t="s">
        <v>192</v>
      </c>
      <c r="D400" s="45">
        <v>1</v>
      </c>
      <c r="E400" s="44">
        <v>4.1511000415110004E-4</v>
      </c>
    </row>
    <row r="401" spans="2:5" ht="15" customHeight="1" x14ac:dyDescent="0.25">
      <c r="B401" s="89"/>
      <c r="C401" s="46" t="s">
        <v>209</v>
      </c>
      <c r="D401" s="45">
        <v>1</v>
      </c>
      <c r="E401" s="44">
        <v>4.1511000415110004E-4</v>
      </c>
    </row>
    <row r="402" spans="2:5" ht="15" customHeight="1" x14ac:dyDescent="0.25">
      <c r="B402" s="89"/>
      <c r="C402" s="46" t="s">
        <v>200</v>
      </c>
      <c r="D402" s="45">
        <v>2</v>
      </c>
      <c r="E402" s="44">
        <v>8.3022000830220008E-4</v>
      </c>
    </row>
    <row r="403" spans="2:5" ht="15" customHeight="1" x14ac:dyDescent="0.25">
      <c r="B403" s="89"/>
      <c r="C403" s="46" t="s">
        <v>220</v>
      </c>
      <c r="D403" s="45">
        <v>1</v>
      </c>
      <c r="E403" s="44">
        <v>4.1511000415110004E-4</v>
      </c>
    </row>
    <row r="404" spans="2:5" ht="15" customHeight="1" x14ac:dyDescent="0.25">
      <c r="B404" s="89"/>
      <c r="C404" s="46" t="s">
        <v>244</v>
      </c>
      <c r="D404" s="45">
        <v>6</v>
      </c>
      <c r="E404" s="44">
        <v>2.4906600249066002E-3</v>
      </c>
    </row>
    <row r="405" spans="2:5" ht="15" customHeight="1" x14ac:dyDescent="0.25">
      <c r="B405" s="89"/>
      <c r="C405" s="46" t="s">
        <v>208</v>
      </c>
      <c r="D405" s="45">
        <v>1</v>
      </c>
      <c r="E405" s="44">
        <v>4.1511000415110004E-4</v>
      </c>
    </row>
    <row r="406" spans="2:5" ht="15" customHeight="1" x14ac:dyDescent="0.25">
      <c r="B406" s="89"/>
      <c r="C406" s="46" t="s">
        <v>191</v>
      </c>
      <c r="D406" s="45">
        <v>1</v>
      </c>
      <c r="E406" s="44">
        <v>4.1511000415110004E-4</v>
      </c>
    </row>
    <row r="407" spans="2:5" ht="15" customHeight="1" x14ac:dyDescent="0.25">
      <c r="B407" s="89"/>
      <c r="C407" s="46" t="s">
        <v>251</v>
      </c>
      <c r="D407" s="45">
        <v>9</v>
      </c>
      <c r="E407" s="44">
        <v>3.7359900373599006E-3</v>
      </c>
    </row>
    <row r="408" spans="2:5" ht="15" customHeight="1" x14ac:dyDescent="0.25">
      <c r="B408" s="89"/>
      <c r="C408" s="46" t="s">
        <v>199</v>
      </c>
      <c r="D408" s="45">
        <v>1</v>
      </c>
      <c r="E408" s="44">
        <v>4.1511000415110004E-4</v>
      </c>
    </row>
    <row r="409" spans="2:5" ht="15" customHeight="1" x14ac:dyDescent="0.25">
      <c r="B409" s="89"/>
      <c r="C409" s="46" t="s">
        <v>236</v>
      </c>
      <c r="D409" s="45">
        <v>2</v>
      </c>
      <c r="E409" s="44">
        <v>8.3022000830220008E-4</v>
      </c>
    </row>
    <row r="410" spans="2:5" ht="15" customHeight="1" x14ac:dyDescent="0.25">
      <c r="B410" s="89"/>
      <c r="C410" s="46" t="s">
        <v>224</v>
      </c>
      <c r="D410" s="45">
        <v>2</v>
      </c>
      <c r="E410" s="44">
        <v>8.3022000830220008E-4</v>
      </c>
    </row>
    <row r="411" spans="2:5" ht="15" customHeight="1" x14ac:dyDescent="0.25">
      <c r="B411" s="89"/>
      <c r="C411" s="46" t="s">
        <v>223</v>
      </c>
      <c r="D411" s="45">
        <v>1</v>
      </c>
      <c r="E411" s="44">
        <v>4.1511000415110004E-4</v>
      </c>
    </row>
    <row r="412" spans="2:5" ht="15" customHeight="1" x14ac:dyDescent="0.25">
      <c r="B412" s="89"/>
      <c r="C412" s="46" t="s">
        <v>253</v>
      </c>
      <c r="D412" s="45">
        <v>2</v>
      </c>
      <c r="E412" s="44">
        <v>8.3022000830220008E-4</v>
      </c>
    </row>
    <row r="413" spans="2:5" ht="15" customHeight="1" x14ac:dyDescent="0.25">
      <c r="B413" s="89"/>
      <c r="C413" s="46" t="s">
        <v>245</v>
      </c>
      <c r="D413" s="45">
        <v>13</v>
      </c>
      <c r="E413" s="44">
        <v>5.3964300539643007E-3</v>
      </c>
    </row>
    <row r="414" spans="2:5" ht="15" customHeight="1" x14ac:dyDescent="0.25">
      <c r="B414" s="89"/>
      <c r="C414" s="46" t="s">
        <v>252</v>
      </c>
      <c r="D414" s="45">
        <v>5</v>
      </c>
      <c r="E414" s="44">
        <v>2.0755500207555004E-3</v>
      </c>
    </row>
    <row r="415" spans="2:5" ht="15" customHeight="1" x14ac:dyDescent="0.25">
      <c r="B415" s="89"/>
      <c r="C415" s="46" t="s">
        <v>216</v>
      </c>
      <c r="D415" s="45">
        <v>1</v>
      </c>
      <c r="E415" s="44">
        <v>4.1511000415110004E-4</v>
      </c>
    </row>
    <row r="416" spans="2:5" ht="15" customHeight="1" x14ac:dyDescent="0.25">
      <c r="B416" s="89"/>
      <c r="C416" s="46" t="s">
        <v>238</v>
      </c>
      <c r="D416" s="45">
        <v>14</v>
      </c>
      <c r="E416" s="44">
        <v>5.811540058115401E-3</v>
      </c>
    </row>
    <row r="417" spans="2:5" ht="15" customHeight="1" x14ac:dyDescent="0.25">
      <c r="B417" s="89"/>
      <c r="C417" s="46" t="s">
        <v>250</v>
      </c>
      <c r="D417" s="45">
        <v>3</v>
      </c>
      <c r="E417" s="44">
        <v>1.2453300124533001E-3</v>
      </c>
    </row>
    <row r="418" spans="2:5" ht="15" customHeight="1" x14ac:dyDescent="0.25">
      <c r="B418" s="89"/>
      <c r="C418" s="46" t="s">
        <v>197</v>
      </c>
      <c r="D418" s="45">
        <v>1</v>
      </c>
      <c r="E418" s="44">
        <v>4.1511000415110004E-4</v>
      </c>
    </row>
    <row r="419" spans="2:5" ht="15" customHeight="1" x14ac:dyDescent="0.25">
      <c r="B419" s="89"/>
      <c r="C419" s="46" t="s">
        <v>214</v>
      </c>
      <c r="D419" s="45">
        <v>3</v>
      </c>
      <c r="E419" s="44">
        <v>1.2453300124533001E-3</v>
      </c>
    </row>
    <row r="420" spans="2:5" ht="15" customHeight="1" x14ac:dyDescent="0.25">
      <c r="B420" s="89"/>
      <c r="C420" s="46" t="s">
        <v>263</v>
      </c>
      <c r="D420" s="45">
        <v>49</v>
      </c>
      <c r="E420" s="44">
        <v>2.0340390203403901E-2</v>
      </c>
    </row>
    <row r="421" spans="2:5" ht="15" customHeight="1" x14ac:dyDescent="0.25">
      <c r="B421" s="89"/>
      <c r="C421" s="46" t="s">
        <v>260</v>
      </c>
      <c r="D421" s="45">
        <v>1</v>
      </c>
      <c r="E421" s="44">
        <v>4.1511000415110004E-4</v>
      </c>
    </row>
    <row r="422" spans="2:5" ht="15" customHeight="1" x14ac:dyDescent="0.25">
      <c r="B422" s="89"/>
      <c r="C422" s="46" t="s">
        <v>259</v>
      </c>
      <c r="D422" s="45">
        <v>1</v>
      </c>
      <c r="E422" s="44">
        <v>4.1511000415110004E-4</v>
      </c>
    </row>
    <row r="423" spans="2:5" ht="15" customHeight="1" x14ac:dyDescent="0.25">
      <c r="B423" s="89"/>
      <c r="C423" s="46" t="s">
        <v>205</v>
      </c>
      <c r="D423" s="45">
        <v>1</v>
      </c>
      <c r="E423" s="44">
        <v>4.1511000415110004E-4</v>
      </c>
    </row>
    <row r="424" spans="2:5" ht="15" customHeight="1" x14ac:dyDescent="0.25">
      <c r="B424" s="89"/>
      <c r="C424" s="46" t="s">
        <v>262</v>
      </c>
      <c r="D424" s="45">
        <v>323</v>
      </c>
      <c r="E424" s="44">
        <v>0.1340805313408053</v>
      </c>
    </row>
    <row r="425" spans="2:5" ht="15" customHeight="1" x14ac:dyDescent="0.25">
      <c r="B425" s="89"/>
      <c r="C425" s="46" t="s">
        <v>261</v>
      </c>
      <c r="D425" s="45">
        <v>138</v>
      </c>
      <c r="E425" s="44">
        <v>5.7285180572851806E-2</v>
      </c>
    </row>
    <row r="426" spans="2:5" ht="15" customHeight="1" x14ac:dyDescent="0.25">
      <c r="B426" s="89"/>
      <c r="C426" s="46" t="s">
        <v>189</v>
      </c>
      <c r="D426" s="45">
        <v>1</v>
      </c>
      <c r="E426" s="44">
        <v>4.1511000415110004E-4</v>
      </c>
    </row>
    <row r="427" spans="2:5" ht="15" customHeight="1" x14ac:dyDescent="0.25">
      <c r="B427" s="89"/>
      <c r="C427" s="46" t="s">
        <v>249</v>
      </c>
      <c r="D427" s="45">
        <v>28</v>
      </c>
      <c r="E427" s="44">
        <v>1.1623080116230802E-2</v>
      </c>
    </row>
    <row r="428" spans="2:5" ht="15" customHeight="1" x14ac:dyDescent="0.25">
      <c r="B428" s="89"/>
      <c r="C428" s="46" t="s">
        <v>222</v>
      </c>
      <c r="D428" s="45">
        <v>1</v>
      </c>
      <c r="E428" s="44">
        <v>4.1511000415110004E-4</v>
      </c>
    </row>
    <row r="429" spans="2:5" ht="15" customHeight="1" x14ac:dyDescent="0.25">
      <c r="B429" s="89"/>
      <c r="C429" s="46" t="s">
        <v>242</v>
      </c>
      <c r="D429" s="45">
        <v>2</v>
      </c>
      <c r="E429" s="44">
        <v>8.3022000830220008E-4</v>
      </c>
    </row>
    <row r="430" spans="2:5" ht="15" customHeight="1" x14ac:dyDescent="0.25">
      <c r="B430" s="89"/>
      <c r="C430" s="46" t="s">
        <v>187</v>
      </c>
      <c r="D430" s="45">
        <v>2</v>
      </c>
      <c r="E430" s="44">
        <v>8.3022000830220008E-4</v>
      </c>
    </row>
    <row r="431" spans="2:5" ht="15" customHeight="1" x14ac:dyDescent="0.25">
      <c r="B431" s="89"/>
      <c r="C431" s="46" t="s">
        <v>243</v>
      </c>
      <c r="D431" s="45">
        <v>7</v>
      </c>
      <c r="E431" s="44">
        <v>2.9057700290577005E-3</v>
      </c>
    </row>
    <row r="432" spans="2:5" ht="15" customHeight="1" x14ac:dyDescent="0.25">
      <c r="B432" s="89"/>
      <c r="C432" s="46" t="s">
        <v>217</v>
      </c>
      <c r="D432" s="45">
        <v>1</v>
      </c>
      <c r="E432" s="44">
        <v>4.1511000415110004E-4</v>
      </c>
    </row>
    <row r="433" spans="2:5" ht="15" customHeight="1" x14ac:dyDescent="0.25">
      <c r="B433" s="89"/>
      <c r="C433" s="46" t="s">
        <v>258</v>
      </c>
      <c r="D433" s="45">
        <v>56</v>
      </c>
      <c r="E433" s="44">
        <v>2.3246160232461604E-2</v>
      </c>
    </row>
    <row r="434" spans="2:5" ht="15" customHeight="1" x14ac:dyDescent="0.25">
      <c r="B434" s="89"/>
      <c r="C434" s="46" t="s">
        <v>235</v>
      </c>
      <c r="D434" s="45">
        <v>9</v>
      </c>
      <c r="E434" s="44">
        <v>3.7359900373599006E-3</v>
      </c>
    </row>
    <row r="435" spans="2:5" ht="15" customHeight="1" x14ac:dyDescent="0.25">
      <c r="B435" s="89"/>
      <c r="C435" s="46" t="s">
        <v>227</v>
      </c>
      <c r="D435" s="45">
        <v>1</v>
      </c>
      <c r="E435" s="44">
        <v>4.1511000415110004E-4</v>
      </c>
    </row>
    <row r="436" spans="2:5" ht="15" customHeight="1" x14ac:dyDescent="0.25">
      <c r="B436" s="89"/>
      <c r="C436" s="46" t="s">
        <v>194</v>
      </c>
      <c r="D436" s="45">
        <v>1</v>
      </c>
      <c r="E436" s="44">
        <v>4.1511000415110004E-4</v>
      </c>
    </row>
    <row r="437" spans="2:5" ht="15" customHeight="1" x14ac:dyDescent="0.25">
      <c r="B437" s="89"/>
      <c r="C437" s="46" t="s">
        <v>257</v>
      </c>
      <c r="D437" s="45">
        <v>43</v>
      </c>
      <c r="E437" s="44">
        <v>1.7849730178497301E-2</v>
      </c>
    </row>
    <row r="438" spans="2:5" ht="15" customHeight="1" x14ac:dyDescent="0.25">
      <c r="B438" s="89"/>
      <c r="C438" s="46" t="s">
        <v>180</v>
      </c>
      <c r="D438" s="45">
        <v>1</v>
      </c>
      <c r="E438" s="44">
        <v>4.1511000415110004E-4</v>
      </c>
    </row>
    <row r="439" spans="2:5" ht="15" customHeight="1" x14ac:dyDescent="0.25">
      <c r="B439" s="89"/>
      <c r="C439" s="46" t="s">
        <v>234</v>
      </c>
      <c r="D439" s="45">
        <v>1</v>
      </c>
      <c r="E439" s="44">
        <v>4.1511000415110004E-4</v>
      </c>
    </row>
    <row r="440" spans="2:5" ht="15" customHeight="1" x14ac:dyDescent="0.25">
      <c r="B440" s="89"/>
      <c r="C440" s="46" t="s">
        <v>232</v>
      </c>
      <c r="D440" s="45">
        <v>5</v>
      </c>
      <c r="E440" s="44">
        <v>2.0755500207555004E-3</v>
      </c>
    </row>
    <row r="441" spans="2:5" ht="15" customHeight="1" x14ac:dyDescent="0.25">
      <c r="B441" s="89"/>
      <c r="C441" s="46" t="s">
        <v>179</v>
      </c>
      <c r="D441" s="45">
        <v>1</v>
      </c>
      <c r="E441" s="44">
        <v>4.1511000415110004E-4</v>
      </c>
    </row>
    <row r="442" spans="2:5" ht="15" customHeight="1" x14ac:dyDescent="0.25">
      <c r="B442" s="89"/>
      <c r="C442" s="46" t="s">
        <v>241</v>
      </c>
      <c r="D442" s="45">
        <v>3</v>
      </c>
      <c r="E442" s="44">
        <v>1.2453300124533001E-3</v>
      </c>
    </row>
    <row r="443" spans="2:5" ht="15" customHeight="1" x14ac:dyDescent="0.25">
      <c r="B443" s="89"/>
      <c r="C443" s="46" t="s">
        <v>254</v>
      </c>
      <c r="D443" s="45">
        <v>2</v>
      </c>
      <c r="E443" s="44">
        <v>8.3022000830220008E-4</v>
      </c>
    </row>
    <row r="444" spans="2:5" ht="15" customHeight="1" x14ac:dyDescent="0.25">
      <c r="B444" s="89"/>
      <c r="C444" s="46" t="s">
        <v>239</v>
      </c>
      <c r="D444" s="45">
        <v>8</v>
      </c>
      <c r="E444" s="44">
        <v>3.3208800332088003E-3</v>
      </c>
    </row>
    <row r="445" spans="2:5" ht="15" customHeight="1" x14ac:dyDescent="0.25">
      <c r="B445" s="89"/>
      <c r="C445" s="46" t="s">
        <v>211</v>
      </c>
      <c r="D445" s="45">
        <v>1</v>
      </c>
      <c r="E445" s="44">
        <v>4.1511000415110004E-4</v>
      </c>
    </row>
    <row r="446" spans="2:5" ht="15" customHeight="1" x14ac:dyDescent="0.25">
      <c r="B446" s="89"/>
      <c r="C446" s="46" t="s">
        <v>240</v>
      </c>
      <c r="D446" s="45">
        <v>2</v>
      </c>
      <c r="E446" s="44">
        <v>8.3022000830220008E-4</v>
      </c>
    </row>
    <row r="447" spans="2:5" ht="15" customHeight="1" x14ac:dyDescent="0.25">
      <c r="B447" s="90"/>
      <c r="C447" s="43" t="s">
        <v>23</v>
      </c>
      <c r="D447" s="42">
        <v>820</v>
      </c>
      <c r="E447" s="41">
        <v>0.34039020340390203</v>
      </c>
    </row>
    <row r="448" spans="2:5" ht="15" customHeight="1" x14ac:dyDescent="0.25">
      <c r="B448" s="88" t="s">
        <v>172</v>
      </c>
      <c r="C448" s="46" t="s">
        <v>233</v>
      </c>
      <c r="D448" s="45">
        <v>1</v>
      </c>
      <c r="E448" s="44">
        <v>4.1511000415110004E-4</v>
      </c>
    </row>
    <row r="449" spans="2:5" ht="15" customHeight="1" x14ac:dyDescent="0.25">
      <c r="B449" s="89"/>
      <c r="C449" s="46" t="s">
        <v>244</v>
      </c>
      <c r="D449" s="45">
        <v>6</v>
      </c>
      <c r="E449" s="44">
        <v>2.4906600249066002E-3</v>
      </c>
    </row>
    <row r="450" spans="2:5" ht="15" customHeight="1" x14ac:dyDescent="0.25">
      <c r="B450" s="89"/>
      <c r="C450" s="46" t="s">
        <v>223</v>
      </c>
      <c r="D450" s="45">
        <v>1</v>
      </c>
      <c r="E450" s="44">
        <v>4.1511000415110004E-4</v>
      </c>
    </row>
    <row r="451" spans="2:5" ht="15" customHeight="1" x14ac:dyDescent="0.25">
      <c r="B451" s="89"/>
      <c r="C451" s="46" t="s">
        <v>245</v>
      </c>
      <c r="D451" s="45">
        <v>3</v>
      </c>
      <c r="E451" s="44">
        <v>1.2453300124533001E-3</v>
      </c>
    </row>
    <row r="452" spans="2:5" ht="15" customHeight="1" x14ac:dyDescent="0.25">
      <c r="B452" s="89"/>
      <c r="C452" s="46" t="s">
        <v>250</v>
      </c>
      <c r="D452" s="45">
        <v>1</v>
      </c>
      <c r="E452" s="44">
        <v>4.1511000415110004E-4</v>
      </c>
    </row>
    <row r="453" spans="2:5" ht="15" customHeight="1" x14ac:dyDescent="0.25">
      <c r="B453" s="89"/>
      <c r="C453" s="46" t="s">
        <v>263</v>
      </c>
      <c r="D453" s="45">
        <v>7</v>
      </c>
      <c r="E453" s="44">
        <v>2.9057700290577005E-3</v>
      </c>
    </row>
    <row r="454" spans="2:5" ht="15" customHeight="1" x14ac:dyDescent="0.25">
      <c r="B454" s="89"/>
      <c r="C454" s="46" t="s">
        <v>262</v>
      </c>
      <c r="D454" s="45">
        <v>13</v>
      </c>
      <c r="E454" s="44">
        <v>5.3964300539643007E-3</v>
      </c>
    </row>
    <row r="455" spans="2:5" ht="15" customHeight="1" x14ac:dyDescent="0.25">
      <c r="B455" s="89"/>
      <c r="C455" s="46" t="s">
        <v>261</v>
      </c>
      <c r="D455" s="45">
        <v>1</v>
      </c>
      <c r="E455" s="44">
        <v>4.1511000415110004E-4</v>
      </c>
    </row>
    <row r="456" spans="2:5" ht="15" customHeight="1" x14ac:dyDescent="0.25">
      <c r="B456" s="89"/>
      <c r="C456" s="46" t="s">
        <v>243</v>
      </c>
      <c r="D456" s="45">
        <v>4</v>
      </c>
      <c r="E456" s="44">
        <v>1.6604400166044002E-3</v>
      </c>
    </row>
    <row r="457" spans="2:5" ht="15" customHeight="1" x14ac:dyDescent="0.25">
      <c r="B457" s="89"/>
      <c r="C457" s="46" t="s">
        <v>258</v>
      </c>
      <c r="D457" s="45">
        <v>1</v>
      </c>
      <c r="E457" s="44">
        <v>4.1511000415110004E-4</v>
      </c>
    </row>
    <row r="458" spans="2:5" ht="15" customHeight="1" x14ac:dyDescent="0.25">
      <c r="B458" s="89"/>
      <c r="C458" s="46" t="s">
        <v>237</v>
      </c>
      <c r="D458" s="45">
        <v>1</v>
      </c>
      <c r="E458" s="44">
        <v>4.1511000415110004E-4</v>
      </c>
    </row>
    <row r="459" spans="2:5" ht="15" customHeight="1" x14ac:dyDescent="0.25">
      <c r="B459" s="89"/>
      <c r="C459" s="46" t="s">
        <v>194</v>
      </c>
      <c r="D459" s="45">
        <v>1</v>
      </c>
      <c r="E459" s="44">
        <v>4.1511000415110004E-4</v>
      </c>
    </row>
    <row r="460" spans="2:5" ht="15" customHeight="1" x14ac:dyDescent="0.25">
      <c r="B460" s="89"/>
      <c r="C460" s="46" t="s">
        <v>257</v>
      </c>
      <c r="D460" s="45">
        <v>2</v>
      </c>
      <c r="E460" s="44">
        <v>8.3022000830220008E-4</v>
      </c>
    </row>
    <row r="461" spans="2:5" ht="15" customHeight="1" x14ac:dyDescent="0.25">
      <c r="B461" s="89"/>
      <c r="C461" s="46" t="s">
        <v>241</v>
      </c>
      <c r="D461" s="45">
        <v>1</v>
      </c>
      <c r="E461" s="44">
        <v>4.1511000415110004E-4</v>
      </c>
    </row>
    <row r="462" spans="2:5" ht="15" customHeight="1" x14ac:dyDescent="0.25">
      <c r="B462" s="90"/>
      <c r="C462" s="43" t="s">
        <v>23</v>
      </c>
      <c r="D462" s="42">
        <v>43</v>
      </c>
      <c r="E462" s="41">
        <v>1.7849730178497301E-2</v>
      </c>
    </row>
    <row r="463" spans="2:5" ht="15" customHeight="1" x14ac:dyDescent="0.25">
      <c r="B463" s="88" t="s">
        <v>101</v>
      </c>
      <c r="C463" s="46" t="s">
        <v>193</v>
      </c>
      <c r="D463" s="45">
        <v>1</v>
      </c>
      <c r="E463" s="44">
        <v>4.1511000415110004E-4</v>
      </c>
    </row>
    <row r="464" spans="2:5" ht="15" customHeight="1" x14ac:dyDescent="0.25">
      <c r="B464" s="89"/>
      <c r="C464" s="46" t="s">
        <v>191</v>
      </c>
      <c r="D464" s="45">
        <v>1</v>
      </c>
      <c r="E464" s="44">
        <v>4.1511000415110004E-4</v>
      </c>
    </row>
    <row r="465" spans="2:5" ht="15" customHeight="1" x14ac:dyDescent="0.25">
      <c r="B465" s="89"/>
      <c r="C465" s="46" t="s">
        <v>252</v>
      </c>
      <c r="D465" s="45">
        <v>2</v>
      </c>
      <c r="E465" s="44">
        <v>8.3022000830220008E-4</v>
      </c>
    </row>
    <row r="466" spans="2:5" ht="15" customHeight="1" x14ac:dyDescent="0.25">
      <c r="B466" s="89"/>
      <c r="C466" s="46" t="s">
        <v>216</v>
      </c>
      <c r="D466" s="45">
        <v>2</v>
      </c>
      <c r="E466" s="44">
        <v>8.3022000830220008E-4</v>
      </c>
    </row>
    <row r="467" spans="2:5" ht="15" customHeight="1" x14ac:dyDescent="0.25">
      <c r="B467" s="89"/>
      <c r="C467" s="46" t="s">
        <v>215</v>
      </c>
      <c r="D467" s="45">
        <v>2</v>
      </c>
      <c r="E467" s="44">
        <v>8.3022000830220008E-4</v>
      </c>
    </row>
    <row r="468" spans="2:5" ht="15" customHeight="1" x14ac:dyDescent="0.25">
      <c r="B468" s="89"/>
      <c r="C468" s="46" t="s">
        <v>197</v>
      </c>
      <c r="D468" s="45">
        <v>1</v>
      </c>
      <c r="E468" s="44">
        <v>4.1511000415110004E-4</v>
      </c>
    </row>
    <row r="469" spans="2:5" ht="15" customHeight="1" x14ac:dyDescent="0.25">
      <c r="B469" s="89"/>
      <c r="C469" s="46" t="s">
        <v>263</v>
      </c>
      <c r="D469" s="45">
        <v>17</v>
      </c>
      <c r="E469" s="44">
        <v>7.0568700705687009E-3</v>
      </c>
    </row>
    <row r="470" spans="2:5" ht="15" customHeight="1" x14ac:dyDescent="0.25">
      <c r="B470" s="89"/>
      <c r="C470" s="46" t="s">
        <v>260</v>
      </c>
      <c r="D470" s="45">
        <v>2</v>
      </c>
      <c r="E470" s="44">
        <v>8.3022000830220008E-4</v>
      </c>
    </row>
    <row r="471" spans="2:5" ht="15" customHeight="1" x14ac:dyDescent="0.25">
      <c r="B471" s="89"/>
      <c r="C471" s="46" t="s">
        <v>259</v>
      </c>
      <c r="D471" s="45">
        <v>4</v>
      </c>
      <c r="E471" s="44">
        <v>1.6604400166044002E-3</v>
      </c>
    </row>
    <row r="472" spans="2:5" ht="15" customHeight="1" x14ac:dyDescent="0.25">
      <c r="B472" s="89"/>
      <c r="C472" s="46" t="s">
        <v>262</v>
      </c>
      <c r="D472" s="45">
        <v>3</v>
      </c>
      <c r="E472" s="44">
        <v>1.2453300124533001E-3</v>
      </c>
    </row>
    <row r="473" spans="2:5" ht="15" customHeight="1" x14ac:dyDescent="0.25">
      <c r="B473" s="89"/>
      <c r="C473" s="46" t="s">
        <v>189</v>
      </c>
      <c r="D473" s="45">
        <v>1</v>
      </c>
      <c r="E473" s="44">
        <v>4.1511000415110004E-4</v>
      </c>
    </row>
    <row r="474" spans="2:5" ht="15" customHeight="1" x14ac:dyDescent="0.25">
      <c r="B474" s="89"/>
      <c r="C474" s="46" t="s">
        <v>242</v>
      </c>
      <c r="D474" s="45">
        <v>1</v>
      </c>
      <c r="E474" s="44">
        <v>4.1511000415110004E-4</v>
      </c>
    </row>
    <row r="475" spans="2:5" ht="15" customHeight="1" x14ac:dyDescent="0.25">
      <c r="B475" s="89"/>
      <c r="C475" s="46" t="s">
        <v>254</v>
      </c>
      <c r="D475" s="45">
        <v>11</v>
      </c>
      <c r="E475" s="44">
        <v>4.5662100456621002E-3</v>
      </c>
    </row>
    <row r="476" spans="2:5" ht="15" customHeight="1" x14ac:dyDescent="0.25">
      <c r="B476" s="90"/>
      <c r="C476" s="43" t="s">
        <v>23</v>
      </c>
      <c r="D476" s="42">
        <v>48</v>
      </c>
      <c r="E476" s="41">
        <v>1.9925280199252802E-2</v>
      </c>
    </row>
    <row r="477" spans="2:5" ht="15" customHeight="1" x14ac:dyDescent="0.25">
      <c r="B477" s="88" t="s">
        <v>100</v>
      </c>
      <c r="C477" s="46" t="s">
        <v>248</v>
      </c>
      <c r="D477" s="45">
        <v>4</v>
      </c>
      <c r="E477" s="44">
        <v>1.6604400166044002E-3</v>
      </c>
    </row>
    <row r="478" spans="2:5" ht="15" customHeight="1" x14ac:dyDescent="0.25">
      <c r="B478" s="89"/>
      <c r="C478" s="46" t="s">
        <v>236</v>
      </c>
      <c r="D478" s="45">
        <v>1</v>
      </c>
      <c r="E478" s="44">
        <v>4.1511000415110004E-4</v>
      </c>
    </row>
    <row r="479" spans="2:5" ht="15" customHeight="1" x14ac:dyDescent="0.25">
      <c r="B479" s="89"/>
      <c r="C479" s="46" t="s">
        <v>219</v>
      </c>
      <c r="D479" s="45">
        <v>5</v>
      </c>
      <c r="E479" s="44">
        <v>2.0755500207555004E-3</v>
      </c>
    </row>
    <row r="480" spans="2:5" ht="15" customHeight="1" x14ac:dyDescent="0.25">
      <c r="B480" s="89"/>
      <c r="C480" s="46" t="s">
        <v>252</v>
      </c>
      <c r="D480" s="45">
        <v>1</v>
      </c>
      <c r="E480" s="44">
        <v>4.1511000415110004E-4</v>
      </c>
    </row>
    <row r="481" spans="2:5" ht="15" customHeight="1" x14ac:dyDescent="0.25">
      <c r="B481" s="89"/>
      <c r="C481" s="46" t="s">
        <v>250</v>
      </c>
      <c r="D481" s="45">
        <v>1</v>
      </c>
      <c r="E481" s="44">
        <v>4.1511000415110004E-4</v>
      </c>
    </row>
    <row r="482" spans="2:5" ht="15" customHeight="1" x14ac:dyDescent="0.25">
      <c r="B482" s="89"/>
      <c r="C482" s="46" t="s">
        <v>263</v>
      </c>
      <c r="D482" s="45">
        <v>9</v>
      </c>
      <c r="E482" s="44">
        <v>3.7359900373599006E-3</v>
      </c>
    </row>
    <row r="483" spans="2:5" ht="15" customHeight="1" x14ac:dyDescent="0.25">
      <c r="B483" s="89"/>
      <c r="C483" s="46" t="s">
        <v>259</v>
      </c>
      <c r="D483" s="45">
        <v>1</v>
      </c>
      <c r="E483" s="44">
        <v>4.1511000415110004E-4</v>
      </c>
    </row>
    <row r="484" spans="2:5" ht="15" customHeight="1" x14ac:dyDescent="0.25">
      <c r="B484" s="89"/>
      <c r="C484" s="46" t="s">
        <v>262</v>
      </c>
      <c r="D484" s="45">
        <v>2</v>
      </c>
      <c r="E484" s="44">
        <v>8.3022000830220008E-4</v>
      </c>
    </row>
    <row r="485" spans="2:5" ht="15" customHeight="1" x14ac:dyDescent="0.25">
      <c r="B485" s="89"/>
      <c r="C485" s="46" t="s">
        <v>261</v>
      </c>
      <c r="D485" s="45">
        <v>2</v>
      </c>
      <c r="E485" s="44">
        <v>8.3022000830220008E-4</v>
      </c>
    </row>
    <row r="486" spans="2:5" ht="15" customHeight="1" x14ac:dyDescent="0.25">
      <c r="B486" s="89"/>
      <c r="C486" s="46" t="s">
        <v>227</v>
      </c>
      <c r="D486" s="45">
        <v>1</v>
      </c>
      <c r="E486" s="44">
        <v>4.1511000415110004E-4</v>
      </c>
    </row>
    <row r="487" spans="2:5" ht="15" customHeight="1" x14ac:dyDescent="0.25">
      <c r="B487" s="89"/>
      <c r="C487" s="46" t="s">
        <v>237</v>
      </c>
      <c r="D487" s="45">
        <v>3</v>
      </c>
      <c r="E487" s="44">
        <v>1.2453300124533001E-3</v>
      </c>
    </row>
    <row r="488" spans="2:5" ht="15" customHeight="1" x14ac:dyDescent="0.25">
      <c r="B488" s="89"/>
      <c r="C488" s="46" t="s">
        <v>241</v>
      </c>
      <c r="D488" s="45">
        <v>1</v>
      </c>
      <c r="E488" s="44">
        <v>4.1511000415110004E-4</v>
      </c>
    </row>
    <row r="489" spans="2:5" ht="15" customHeight="1" x14ac:dyDescent="0.25">
      <c r="B489" s="90"/>
      <c r="C489" s="43" t="s">
        <v>23</v>
      </c>
      <c r="D489" s="42">
        <v>31</v>
      </c>
      <c r="E489" s="41">
        <v>1.2868410128684102E-2</v>
      </c>
    </row>
    <row r="490" spans="2:5" ht="15" customHeight="1" x14ac:dyDescent="0.25">
      <c r="B490" s="88" t="s">
        <v>99</v>
      </c>
      <c r="C490" s="46" t="s">
        <v>263</v>
      </c>
      <c r="D490" s="45">
        <v>2</v>
      </c>
      <c r="E490" s="44">
        <v>8.3022000830220008E-4</v>
      </c>
    </row>
    <row r="491" spans="2:5" ht="15" customHeight="1" x14ac:dyDescent="0.25">
      <c r="B491" s="90"/>
      <c r="C491" s="43" t="s">
        <v>23</v>
      </c>
      <c r="D491" s="42">
        <v>2</v>
      </c>
      <c r="E491" s="41">
        <v>8.3022000830220008E-4</v>
      </c>
    </row>
    <row r="492" spans="2:5" ht="15" customHeight="1" x14ac:dyDescent="0.25">
      <c r="B492" s="88" t="s">
        <v>60</v>
      </c>
      <c r="C492" s="46" t="s">
        <v>253</v>
      </c>
      <c r="D492" s="45">
        <v>1</v>
      </c>
      <c r="E492" s="44">
        <v>4.1511000415110004E-4</v>
      </c>
    </row>
    <row r="493" spans="2:5" ht="15" customHeight="1" x14ac:dyDescent="0.25">
      <c r="B493" s="89"/>
      <c r="C493" s="46" t="s">
        <v>263</v>
      </c>
      <c r="D493" s="45">
        <v>4</v>
      </c>
      <c r="E493" s="44">
        <v>1.6604400166044002E-3</v>
      </c>
    </row>
    <row r="494" spans="2:5" ht="15" customHeight="1" x14ac:dyDescent="0.25">
      <c r="B494" s="89"/>
      <c r="C494" s="46" t="s">
        <v>213</v>
      </c>
      <c r="D494" s="45">
        <v>1</v>
      </c>
      <c r="E494" s="44">
        <v>4.1511000415110004E-4</v>
      </c>
    </row>
    <row r="495" spans="2:5" ht="15" customHeight="1" x14ac:dyDescent="0.25">
      <c r="B495" s="90"/>
      <c r="C495" s="43" t="s">
        <v>23</v>
      </c>
      <c r="D495" s="42">
        <v>6</v>
      </c>
      <c r="E495" s="41">
        <v>2.4906600249066002E-3</v>
      </c>
    </row>
    <row r="496" spans="2:5" ht="15" customHeight="1" x14ac:dyDescent="0.25">
      <c r="B496" s="88" t="s">
        <v>98</v>
      </c>
      <c r="C496" s="46" t="s">
        <v>263</v>
      </c>
      <c r="D496" s="45">
        <v>3</v>
      </c>
      <c r="E496" s="44">
        <v>1.2453300124533001E-3</v>
      </c>
    </row>
    <row r="497" spans="2:5" ht="15" customHeight="1" x14ac:dyDescent="0.25">
      <c r="B497" s="89"/>
      <c r="C497" s="46" t="s">
        <v>246</v>
      </c>
      <c r="D497" s="45">
        <v>1</v>
      </c>
      <c r="E497" s="44">
        <v>4.1511000415110004E-4</v>
      </c>
    </row>
    <row r="498" spans="2:5" ht="15" customHeight="1" x14ac:dyDescent="0.25">
      <c r="B498" s="90"/>
      <c r="C498" s="43" t="s">
        <v>23</v>
      </c>
      <c r="D498" s="42">
        <v>4</v>
      </c>
      <c r="E498" s="41">
        <v>1.6604400166044002E-3</v>
      </c>
    </row>
    <row r="499" spans="2:5" ht="15" customHeight="1" x14ac:dyDescent="0.25">
      <c r="B499" s="91" t="s">
        <v>23</v>
      </c>
      <c r="C499" s="92"/>
      <c r="D499" s="40">
        <v>2409</v>
      </c>
      <c r="E499" s="39">
        <v>1</v>
      </c>
    </row>
    <row r="501" spans="2:5" ht="15" customHeight="1" x14ac:dyDescent="0.25">
      <c r="B501" s="19" t="s">
        <v>22</v>
      </c>
    </row>
    <row r="502" spans="2:5" ht="15" customHeight="1" x14ac:dyDescent="0.25">
      <c r="B502" s="21" t="s">
        <v>21</v>
      </c>
    </row>
    <row r="503" spans="2:5" ht="15" customHeight="1" x14ac:dyDescent="0.25">
      <c r="B503" s="20" t="s">
        <v>20</v>
      </c>
    </row>
    <row r="504" spans="2:5" ht="15" customHeight="1" x14ac:dyDescent="0.25">
      <c r="B504" s="19" t="s">
        <v>19</v>
      </c>
    </row>
    <row r="505" spans="2:5" ht="15" customHeight="1" x14ac:dyDescent="0.25">
      <c r="B505" s="19" t="s">
        <v>18</v>
      </c>
    </row>
  </sheetData>
  <mergeCells count="46">
    <mergeCell ref="B490:B491"/>
    <mergeCell ref="B492:B495"/>
    <mergeCell ref="B496:B498"/>
    <mergeCell ref="B499:C499"/>
    <mergeCell ref="B363:B382"/>
    <mergeCell ref="B383:B388"/>
    <mergeCell ref="B389:B447"/>
    <mergeCell ref="B448:B462"/>
    <mergeCell ref="B463:B476"/>
    <mergeCell ref="B477:B489"/>
    <mergeCell ref="B288:B313"/>
    <mergeCell ref="B314:B324"/>
    <mergeCell ref="B325:B338"/>
    <mergeCell ref="B339:B342"/>
    <mergeCell ref="B343:B358"/>
    <mergeCell ref="B359:B362"/>
    <mergeCell ref="B162:B220"/>
    <mergeCell ref="B221:B223"/>
    <mergeCell ref="B224:B231"/>
    <mergeCell ref="B232:B235"/>
    <mergeCell ref="B236:B243"/>
    <mergeCell ref="B244:B251"/>
    <mergeCell ref="B252:B256"/>
    <mergeCell ref="B257:B264"/>
    <mergeCell ref="B265:B285"/>
    <mergeCell ref="B286:B287"/>
    <mergeCell ref="B93:B95"/>
    <mergeCell ref="B96:B97"/>
    <mergeCell ref="B98:B101"/>
    <mergeCell ref="B102:B109"/>
    <mergeCell ref="B110:B121"/>
    <mergeCell ref="B122:B128"/>
    <mergeCell ref="B129:B135"/>
    <mergeCell ref="B136:B138"/>
    <mergeCell ref="B139:B154"/>
    <mergeCell ref="B155:B161"/>
    <mergeCell ref="B7:E8"/>
    <mergeCell ref="B10:B11"/>
    <mergeCell ref="B12:B21"/>
    <mergeCell ref="B22:B27"/>
    <mergeCell ref="B28:B31"/>
    <mergeCell ref="B32:B33"/>
    <mergeCell ref="B34:B36"/>
    <mergeCell ref="B37:B48"/>
    <mergeCell ref="B49:B68"/>
    <mergeCell ref="B69:B9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0" manualBreakCount="10">
    <brk id="48" max="4" man="1"/>
    <brk id="92" max="4" man="1"/>
    <brk id="135" max="4" man="1"/>
    <brk id="161" max="4" man="1"/>
    <brk id="243" max="4" man="1"/>
    <brk id="287" max="4" man="1"/>
    <brk id="324" max="4" man="1"/>
    <brk id="362" max="4" man="1"/>
    <brk id="388" max="4" man="1"/>
    <brk id="47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5" sqref="G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97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96</v>
      </c>
      <c r="C11" s="31" t="s">
        <v>95</v>
      </c>
      <c r="D11" s="30" t="s">
        <v>65</v>
      </c>
    </row>
    <row r="12" spans="1:4" ht="15" customHeight="1" x14ac:dyDescent="0.25">
      <c r="B12" s="27" t="s">
        <v>94</v>
      </c>
      <c r="C12" s="26">
        <v>1</v>
      </c>
      <c r="D12" s="25">
        <f t="shared" ref="D12:D36" si="0">C12/$C$36</f>
        <v>4.1511000415110004E-4</v>
      </c>
    </row>
    <row r="13" spans="1:4" x14ac:dyDescent="0.25">
      <c r="B13" s="27" t="s">
        <v>93</v>
      </c>
      <c r="C13" s="26">
        <v>37</v>
      </c>
      <c r="D13" s="25">
        <f t="shared" si="0"/>
        <v>1.5359070153590702E-2</v>
      </c>
    </row>
    <row r="14" spans="1:4" s="28" customFormat="1" ht="15.75" x14ac:dyDescent="0.25">
      <c r="A14" s="17"/>
      <c r="B14" s="27" t="s">
        <v>92</v>
      </c>
      <c r="C14" s="26">
        <v>22</v>
      </c>
      <c r="D14" s="25">
        <f t="shared" si="0"/>
        <v>9.1324200913242004E-3</v>
      </c>
    </row>
    <row r="15" spans="1:4" s="28" customFormat="1" ht="15.75" x14ac:dyDescent="0.25">
      <c r="A15" s="17"/>
      <c r="B15" s="27" t="s">
        <v>91</v>
      </c>
      <c r="C15" s="26">
        <v>28</v>
      </c>
      <c r="D15" s="25">
        <f t="shared" si="0"/>
        <v>1.1623080116230802E-2</v>
      </c>
    </row>
    <row r="16" spans="1:4" x14ac:dyDescent="0.25">
      <c r="B16" s="27" t="s">
        <v>90</v>
      </c>
      <c r="C16" s="26">
        <v>57</v>
      </c>
      <c r="D16" s="25">
        <f t="shared" si="0"/>
        <v>2.3661270236612703E-2</v>
      </c>
    </row>
    <row r="17" spans="2:4" x14ac:dyDescent="0.25">
      <c r="B17" s="27" t="s">
        <v>89</v>
      </c>
      <c r="C17" s="26">
        <v>41</v>
      </c>
      <c r="D17" s="25">
        <f t="shared" si="0"/>
        <v>1.7019510170195103E-2</v>
      </c>
    </row>
    <row r="18" spans="2:4" x14ac:dyDescent="0.25">
      <c r="B18" s="27" t="s">
        <v>88</v>
      </c>
      <c r="C18" s="26">
        <v>25</v>
      </c>
      <c r="D18" s="25">
        <f t="shared" si="0"/>
        <v>1.03777501037775E-2</v>
      </c>
    </row>
    <row r="19" spans="2:4" x14ac:dyDescent="0.25">
      <c r="B19" s="27" t="s">
        <v>87</v>
      </c>
      <c r="C19" s="26">
        <v>172</v>
      </c>
      <c r="D19" s="25">
        <f t="shared" si="0"/>
        <v>7.1398920713989206E-2</v>
      </c>
    </row>
    <row r="20" spans="2:4" ht="27" x14ac:dyDescent="0.25">
      <c r="B20" s="27" t="s">
        <v>86</v>
      </c>
      <c r="C20" s="26">
        <v>306</v>
      </c>
      <c r="D20" s="25">
        <f t="shared" si="0"/>
        <v>0.12702366127023662</v>
      </c>
    </row>
    <row r="21" spans="2:4" x14ac:dyDescent="0.25">
      <c r="B21" s="27" t="s">
        <v>85</v>
      </c>
      <c r="C21" s="26">
        <v>34</v>
      </c>
      <c r="D21" s="25">
        <f t="shared" si="0"/>
        <v>1.4113740141137402E-2</v>
      </c>
    </row>
    <row r="22" spans="2:4" x14ac:dyDescent="0.25">
      <c r="B22" s="27" t="s">
        <v>84</v>
      </c>
      <c r="C22" s="26">
        <v>41</v>
      </c>
      <c r="D22" s="25">
        <f t="shared" si="0"/>
        <v>1.7019510170195103E-2</v>
      </c>
    </row>
    <row r="23" spans="2:4" x14ac:dyDescent="0.25">
      <c r="B23" s="27" t="s">
        <v>83</v>
      </c>
      <c r="C23" s="26">
        <v>69</v>
      </c>
      <c r="D23" s="25">
        <f t="shared" si="0"/>
        <v>2.8642590286425903E-2</v>
      </c>
    </row>
    <row r="24" spans="2:4" ht="27" x14ac:dyDescent="0.25">
      <c r="B24" s="27" t="s">
        <v>82</v>
      </c>
      <c r="C24" s="26">
        <v>862</v>
      </c>
      <c r="D24" s="25">
        <f t="shared" si="0"/>
        <v>0.35782482357824824</v>
      </c>
    </row>
    <row r="25" spans="2:4" x14ac:dyDescent="0.25">
      <c r="B25" s="27" t="s">
        <v>81</v>
      </c>
      <c r="C25" s="26">
        <v>38</v>
      </c>
      <c r="D25" s="25">
        <f t="shared" si="0"/>
        <v>1.5774180157741801E-2</v>
      </c>
    </row>
    <row r="26" spans="2:4" ht="27" x14ac:dyDescent="0.25">
      <c r="B26" s="27" t="s">
        <v>80</v>
      </c>
      <c r="C26" s="26">
        <v>97</v>
      </c>
      <c r="D26" s="25">
        <f t="shared" si="0"/>
        <v>4.0265670402656703E-2</v>
      </c>
    </row>
    <row r="27" spans="2:4" ht="27" x14ac:dyDescent="0.25">
      <c r="B27" s="27" t="s">
        <v>79</v>
      </c>
      <c r="C27" s="26">
        <v>424</v>
      </c>
      <c r="D27" s="25">
        <f t="shared" si="0"/>
        <v>0.17600664176006642</v>
      </c>
    </row>
    <row r="28" spans="2:4" x14ac:dyDescent="0.25">
      <c r="B28" s="27" t="s">
        <v>78</v>
      </c>
      <c r="C28" s="26">
        <v>6</v>
      </c>
      <c r="D28" s="25">
        <f t="shared" si="0"/>
        <v>2.4906600249066002E-3</v>
      </c>
    </row>
    <row r="29" spans="2:4" x14ac:dyDescent="0.25">
      <c r="B29" s="27" t="s">
        <v>77</v>
      </c>
      <c r="C29" s="26">
        <v>7</v>
      </c>
      <c r="D29" s="25">
        <f t="shared" si="0"/>
        <v>2.9057700290577005E-3</v>
      </c>
    </row>
    <row r="30" spans="2:4" x14ac:dyDescent="0.25">
      <c r="B30" s="27" t="s">
        <v>76</v>
      </c>
      <c r="C30" s="26">
        <v>4</v>
      </c>
      <c r="D30" s="25">
        <f t="shared" si="0"/>
        <v>1.6604400166044002E-3</v>
      </c>
    </row>
    <row r="31" spans="2:4" x14ac:dyDescent="0.25">
      <c r="B31" s="27" t="s">
        <v>75</v>
      </c>
      <c r="C31" s="26">
        <v>2</v>
      </c>
      <c r="D31" s="25">
        <f t="shared" si="0"/>
        <v>8.3022000830220008E-4</v>
      </c>
    </row>
    <row r="32" spans="2:4" x14ac:dyDescent="0.25">
      <c r="B32" s="27" t="s">
        <v>74</v>
      </c>
      <c r="C32" s="26">
        <v>35</v>
      </c>
      <c r="D32" s="25">
        <f t="shared" si="0"/>
        <v>1.4528850145288501E-2</v>
      </c>
    </row>
    <row r="33" spans="1:4" x14ac:dyDescent="0.25">
      <c r="B33" s="27" t="s">
        <v>73</v>
      </c>
      <c r="C33" s="26">
        <v>96</v>
      </c>
      <c r="D33" s="25">
        <f t="shared" si="0"/>
        <v>3.9850560398505604E-2</v>
      </c>
    </row>
    <row r="34" spans="1:4" x14ac:dyDescent="0.25">
      <c r="B34" s="27" t="s">
        <v>72</v>
      </c>
      <c r="C34" s="26">
        <v>3</v>
      </c>
      <c r="D34" s="25">
        <f t="shared" si="0"/>
        <v>1.2453300124533001E-3</v>
      </c>
    </row>
    <row r="35" spans="1:4" x14ac:dyDescent="0.25">
      <c r="B35" s="27" t="s">
        <v>71</v>
      </c>
      <c r="C35" s="26">
        <v>2</v>
      </c>
      <c r="D35" s="25">
        <f t="shared" si="0"/>
        <v>8.3022000830220008E-4</v>
      </c>
    </row>
    <row r="36" spans="1:4" x14ac:dyDescent="0.25">
      <c r="B36" s="24" t="s">
        <v>23</v>
      </c>
      <c r="C36" s="23">
        <v>2409</v>
      </c>
      <c r="D36" s="22">
        <f t="shared" si="0"/>
        <v>1</v>
      </c>
    </row>
    <row r="38" spans="1:4" x14ac:dyDescent="0.25">
      <c r="A38" s="36" t="s">
        <v>70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87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87"/>
      <c r="C7" s="87"/>
      <c r="D7" s="87"/>
      <c r="E7" s="87"/>
    </row>
    <row r="8" spans="1:5" s="50" customFormat="1" ht="33" customHeight="1" x14ac:dyDescent="0.3">
      <c r="A8" s="51"/>
      <c r="B8" s="87"/>
      <c r="C8" s="87"/>
      <c r="D8" s="87"/>
      <c r="E8" s="87"/>
    </row>
    <row r="9" spans="1:5" s="29" customFormat="1" ht="40.5" customHeight="1" x14ac:dyDescent="0.2">
      <c r="B9" s="47" t="s">
        <v>144</v>
      </c>
      <c r="C9" s="49" t="s">
        <v>143</v>
      </c>
      <c r="D9" s="48" t="s">
        <v>66</v>
      </c>
      <c r="E9" s="47" t="s">
        <v>65</v>
      </c>
    </row>
    <row r="10" spans="1:5" ht="15" customHeight="1" x14ac:dyDescent="0.25">
      <c r="B10" s="88" t="s">
        <v>94</v>
      </c>
      <c r="C10" s="46" t="s">
        <v>64</v>
      </c>
      <c r="D10" s="45">
        <v>1</v>
      </c>
      <c r="E10" s="44">
        <v>4.1511000415110004E-4</v>
      </c>
    </row>
    <row r="11" spans="1:5" ht="15" customHeight="1" x14ac:dyDescent="0.25">
      <c r="B11" s="90"/>
      <c r="C11" s="43" t="s">
        <v>23</v>
      </c>
      <c r="D11" s="42">
        <v>1</v>
      </c>
      <c r="E11" s="41">
        <v>4.1511000415110004E-4</v>
      </c>
    </row>
    <row r="12" spans="1:5" ht="15" customHeight="1" x14ac:dyDescent="0.25">
      <c r="B12" s="88" t="s">
        <v>93</v>
      </c>
      <c r="C12" s="46" t="s">
        <v>51</v>
      </c>
      <c r="D12" s="45">
        <v>1</v>
      </c>
      <c r="E12" s="44">
        <v>4.1511000415110004E-4</v>
      </c>
    </row>
    <row r="13" spans="1:5" ht="15" customHeight="1" x14ac:dyDescent="0.25">
      <c r="B13" s="89"/>
      <c r="C13" s="46" t="s">
        <v>64</v>
      </c>
      <c r="D13" s="45">
        <v>24</v>
      </c>
      <c r="E13" s="44">
        <v>9.9626400996264009E-3</v>
      </c>
    </row>
    <row r="14" spans="1:5" ht="15" customHeight="1" x14ac:dyDescent="0.25">
      <c r="B14" s="89"/>
      <c r="C14" s="46" t="s">
        <v>61</v>
      </c>
      <c r="D14" s="45">
        <v>1</v>
      </c>
      <c r="E14" s="44">
        <v>4.1511000415110004E-4</v>
      </c>
    </row>
    <row r="15" spans="1:5" ht="15" customHeight="1" x14ac:dyDescent="0.25">
      <c r="B15" s="89"/>
      <c r="C15" s="46" t="s">
        <v>41</v>
      </c>
      <c r="D15" s="45">
        <v>1</v>
      </c>
      <c r="E15" s="44">
        <v>4.1511000415110004E-4</v>
      </c>
    </row>
    <row r="16" spans="1:5" ht="15" customHeight="1" x14ac:dyDescent="0.25">
      <c r="B16" s="89"/>
      <c r="C16" s="46" t="s">
        <v>59</v>
      </c>
      <c r="D16" s="45">
        <v>1</v>
      </c>
      <c r="E16" s="44">
        <v>4.1511000415110004E-4</v>
      </c>
    </row>
    <row r="17" spans="2:5" ht="15" customHeight="1" x14ac:dyDescent="0.25">
      <c r="B17" s="89"/>
      <c r="C17" s="46" t="s">
        <v>62</v>
      </c>
      <c r="D17" s="45">
        <v>2</v>
      </c>
      <c r="E17" s="44">
        <v>8.3022000830220008E-4</v>
      </c>
    </row>
    <row r="18" spans="2:5" ht="15" customHeight="1" x14ac:dyDescent="0.25">
      <c r="B18" s="89"/>
      <c r="C18" s="46" t="s">
        <v>63</v>
      </c>
      <c r="D18" s="45">
        <v>2</v>
      </c>
      <c r="E18" s="44">
        <v>8.3022000830220008E-4</v>
      </c>
    </row>
    <row r="19" spans="2:5" ht="15" customHeight="1" x14ac:dyDescent="0.25">
      <c r="B19" s="89"/>
      <c r="C19" s="46" t="s">
        <v>57</v>
      </c>
      <c r="D19" s="45">
        <v>2</v>
      </c>
      <c r="E19" s="44">
        <v>8.3022000830220008E-4</v>
      </c>
    </row>
    <row r="20" spans="2:5" ht="15" customHeight="1" x14ac:dyDescent="0.25">
      <c r="B20" s="89"/>
      <c r="C20" s="46" t="s">
        <v>60</v>
      </c>
      <c r="D20" s="45">
        <v>3</v>
      </c>
      <c r="E20" s="44">
        <v>1.2453300124533001E-3</v>
      </c>
    </row>
    <row r="21" spans="2:5" ht="15" customHeight="1" x14ac:dyDescent="0.25">
      <c r="B21" s="90"/>
      <c r="C21" s="43" t="s">
        <v>23</v>
      </c>
      <c r="D21" s="42">
        <v>37</v>
      </c>
      <c r="E21" s="41">
        <v>1.5359070153590702E-2</v>
      </c>
    </row>
    <row r="22" spans="2:5" ht="15" customHeight="1" x14ac:dyDescent="0.25">
      <c r="B22" s="88" t="s">
        <v>92</v>
      </c>
      <c r="C22" s="46" t="s">
        <v>64</v>
      </c>
      <c r="D22" s="45">
        <v>17</v>
      </c>
      <c r="E22" s="44">
        <v>7.0568700705687009E-3</v>
      </c>
    </row>
    <row r="23" spans="2:5" ht="15" customHeight="1" x14ac:dyDescent="0.25">
      <c r="B23" s="89"/>
      <c r="C23" s="46" t="s">
        <v>52</v>
      </c>
      <c r="D23" s="45">
        <v>1</v>
      </c>
      <c r="E23" s="44">
        <v>4.1511000415110004E-4</v>
      </c>
    </row>
    <row r="24" spans="2:5" ht="15" customHeight="1" x14ac:dyDescent="0.25">
      <c r="B24" s="89"/>
      <c r="C24" s="46" t="s">
        <v>62</v>
      </c>
      <c r="D24" s="45">
        <v>1</v>
      </c>
      <c r="E24" s="44">
        <v>4.1511000415110004E-4</v>
      </c>
    </row>
    <row r="25" spans="2:5" ht="15" customHeight="1" x14ac:dyDescent="0.25">
      <c r="B25" s="89"/>
      <c r="C25" s="46" t="s">
        <v>63</v>
      </c>
      <c r="D25" s="45">
        <v>1</v>
      </c>
      <c r="E25" s="44">
        <v>4.1511000415110004E-4</v>
      </c>
    </row>
    <row r="26" spans="2:5" ht="15" customHeight="1" x14ac:dyDescent="0.25">
      <c r="B26" s="89"/>
      <c r="C26" s="46" t="s">
        <v>60</v>
      </c>
      <c r="D26" s="45">
        <v>2</v>
      </c>
      <c r="E26" s="44">
        <v>8.3022000830220008E-4</v>
      </c>
    </row>
    <row r="27" spans="2:5" ht="15" customHeight="1" x14ac:dyDescent="0.25">
      <c r="B27" s="90"/>
      <c r="C27" s="43" t="s">
        <v>23</v>
      </c>
      <c r="D27" s="42">
        <v>22</v>
      </c>
      <c r="E27" s="41">
        <v>9.1324200913242004E-3</v>
      </c>
    </row>
    <row r="28" spans="2:5" ht="15" customHeight="1" x14ac:dyDescent="0.25">
      <c r="B28" s="88" t="s">
        <v>91</v>
      </c>
      <c r="C28" s="46" t="s">
        <v>64</v>
      </c>
      <c r="D28" s="45">
        <v>17</v>
      </c>
      <c r="E28" s="44">
        <v>7.0568700705687009E-3</v>
      </c>
    </row>
    <row r="29" spans="2:5" ht="15" customHeight="1" x14ac:dyDescent="0.25">
      <c r="B29" s="89"/>
      <c r="C29" s="46" t="s">
        <v>61</v>
      </c>
      <c r="D29" s="45">
        <v>1</v>
      </c>
      <c r="E29" s="44">
        <v>4.1511000415110004E-4</v>
      </c>
    </row>
    <row r="30" spans="2:5" ht="15" customHeight="1" x14ac:dyDescent="0.25">
      <c r="B30" s="89"/>
      <c r="C30" s="46" t="s">
        <v>59</v>
      </c>
      <c r="D30" s="45">
        <v>1</v>
      </c>
      <c r="E30" s="44">
        <v>4.1511000415110004E-4</v>
      </c>
    </row>
    <row r="31" spans="2:5" ht="15" customHeight="1" x14ac:dyDescent="0.25">
      <c r="B31" s="89"/>
      <c r="C31" s="46" t="s">
        <v>62</v>
      </c>
      <c r="D31" s="45">
        <v>7</v>
      </c>
      <c r="E31" s="44">
        <v>2.9057700290577005E-3</v>
      </c>
    </row>
    <row r="32" spans="2:5" ht="15" customHeight="1" x14ac:dyDescent="0.25">
      <c r="B32" s="89"/>
      <c r="C32" s="46" t="s">
        <v>63</v>
      </c>
      <c r="D32" s="45">
        <v>1</v>
      </c>
      <c r="E32" s="44">
        <v>4.1511000415110004E-4</v>
      </c>
    </row>
    <row r="33" spans="2:5" ht="15" customHeight="1" x14ac:dyDescent="0.25">
      <c r="B33" s="89"/>
      <c r="C33" s="46" t="s">
        <v>57</v>
      </c>
      <c r="D33" s="45">
        <v>1</v>
      </c>
      <c r="E33" s="44">
        <v>4.1511000415110004E-4</v>
      </c>
    </row>
    <row r="34" spans="2:5" ht="15" customHeight="1" x14ac:dyDescent="0.25">
      <c r="B34" s="90"/>
      <c r="C34" s="43" t="s">
        <v>23</v>
      </c>
      <c r="D34" s="42">
        <v>28</v>
      </c>
      <c r="E34" s="41">
        <v>1.1623080116230802E-2</v>
      </c>
    </row>
    <row r="35" spans="2:5" ht="15" customHeight="1" x14ac:dyDescent="0.25">
      <c r="B35" s="88" t="s">
        <v>90</v>
      </c>
      <c r="C35" s="46" t="s">
        <v>64</v>
      </c>
      <c r="D35" s="45">
        <v>33</v>
      </c>
      <c r="E35" s="44">
        <v>1.3698630136986301E-2</v>
      </c>
    </row>
    <row r="36" spans="2:5" ht="15" customHeight="1" x14ac:dyDescent="0.25">
      <c r="B36" s="89"/>
      <c r="C36" s="46" t="s">
        <v>61</v>
      </c>
      <c r="D36" s="45">
        <v>3</v>
      </c>
      <c r="E36" s="44">
        <v>1.2453300124533001E-3</v>
      </c>
    </row>
    <row r="37" spans="2:5" ht="15" customHeight="1" x14ac:dyDescent="0.25">
      <c r="B37" s="89"/>
      <c r="C37" s="46" t="s">
        <v>49</v>
      </c>
      <c r="D37" s="45">
        <v>2</v>
      </c>
      <c r="E37" s="44">
        <v>8.3022000830220008E-4</v>
      </c>
    </row>
    <row r="38" spans="2:5" ht="15" customHeight="1" x14ac:dyDescent="0.25">
      <c r="B38" s="89"/>
      <c r="C38" s="46" t="s">
        <v>47</v>
      </c>
      <c r="D38" s="45">
        <v>1</v>
      </c>
      <c r="E38" s="44">
        <v>4.1511000415110004E-4</v>
      </c>
    </row>
    <row r="39" spans="2:5" ht="15" customHeight="1" x14ac:dyDescent="0.25">
      <c r="B39" s="89"/>
      <c r="C39" s="46" t="s">
        <v>52</v>
      </c>
      <c r="D39" s="45">
        <v>1</v>
      </c>
      <c r="E39" s="44">
        <v>4.1511000415110004E-4</v>
      </c>
    </row>
    <row r="40" spans="2:5" ht="15" customHeight="1" x14ac:dyDescent="0.25">
      <c r="B40" s="89"/>
      <c r="C40" s="46" t="s">
        <v>48</v>
      </c>
      <c r="D40" s="45">
        <v>2</v>
      </c>
      <c r="E40" s="44">
        <v>8.3022000830220008E-4</v>
      </c>
    </row>
    <row r="41" spans="2:5" ht="15" customHeight="1" x14ac:dyDescent="0.25">
      <c r="B41" s="89"/>
      <c r="C41" s="46" t="s">
        <v>43</v>
      </c>
      <c r="D41" s="45">
        <v>1</v>
      </c>
      <c r="E41" s="44">
        <v>4.1511000415110004E-4</v>
      </c>
    </row>
    <row r="42" spans="2:5" ht="15" customHeight="1" x14ac:dyDescent="0.25">
      <c r="B42" s="89"/>
      <c r="C42" s="46" t="s">
        <v>59</v>
      </c>
      <c r="D42" s="45">
        <v>2</v>
      </c>
      <c r="E42" s="44">
        <v>8.3022000830220008E-4</v>
      </c>
    </row>
    <row r="43" spans="2:5" ht="15" customHeight="1" x14ac:dyDescent="0.25">
      <c r="B43" s="89"/>
      <c r="C43" s="46" t="s">
        <v>62</v>
      </c>
      <c r="D43" s="45">
        <v>9</v>
      </c>
      <c r="E43" s="44">
        <v>3.7359900373599006E-3</v>
      </c>
    </row>
    <row r="44" spans="2:5" ht="15" customHeight="1" x14ac:dyDescent="0.25">
      <c r="B44" s="89"/>
      <c r="C44" s="46" t="s">
        <v>42</v>
      </c>
      <c r="D44" s="45">
        <v>1</v>
      </c>
      <c r="E44" s="44">
        <v>4.1511000415110004E-4</v>
      </c>
    </row>
    <row r="45" spans="2:5" ht="15" customHeight="1" x14ac:dyDescent="0.25">
      <c r="B45" s="89"/>
      <c r="C45" s="46" t="s">
        <v>60</v>
      </c>
      <c r="D45" s="45">
        <v>2</v>
      </c>
      <c r="E45" s="44">
        <v>8.3022000830220008E-4</v>
      </c>
    </row>
    <row r="46" spans="2:5" ht="15" customHeight="1" x14ac:dyDescent="0.25">
      <c r="B46" s="90"/>
      <c r="C46" s="43" t="s">
        <v>23</v>
      </c>
      <c r="D46" s="42">
        <v>57</v>
      </c>
      <c r="E46" s="41">
        <v>2.3661270236612703E-2</v>
      </c>
    </row>
    <row r="47" spans="2:5" ht="15" customHeight="1" x14ac:dyDescent="0.25">
      <c r="B47" s="88" t="s">
        <v>89</v>
      </c>
      <c r="C47" s="46" t="s">
        <v>51</v>
      </c>
      <c r="D47" s="45">
        <v>2</v>
      </c>
      <c r="E47" s="44">
        <v>8.3022000830220008E-4</v>
      </c>
    </row>
    <row r="48" spans="2:5" ht="15" customHeight="1" x14ac:dyDescent="0.25">
      <c r="B48" s="89"/>
      <c r="C48" s="46" t="s">
        <v>55</v>
      </c>
      <c r="D48" s="45">
        <v>1</v>
      </c>
      <c r="E48" s="44">
        <v>4.1511000415110004E-4</v>
      </c>
    </row>
    <row r="49" spans="2:5" ht="15" customHeight="1" x14ac:dyDescent="0.25">
      <c r="B49" s="89"/>
      <c r="C49" s="46" t="s">
        <v>64</v>
      </c>
      <c r="D49" s="45">
        <v>29</v>
      </c>
      <c r="E49" s="44">
        <v>1.2038190120381901E-2</v>
      </c>
    </row>
    <row r="50" spans="2:5" ht="15" customHeight="1" x14ac:dyDescent="0.25">
      <c r="B50" s="89"/>
      <c r="C50" s="46" t="s">
        <v>59</v>
      </c>
      <c r="D50" s="45">
        <v>1</v>
      </c>
      <c r="E50" s="44">
        <v>4.1511000415110004E-4</v>
      </c>
    </row>
    <row r="51" spans="2:5" ht="15" customHeight="1" x14ac:dyDescent="0.25">
      <c r="B51" s="89"/>
      <c r="C51" s="46" t="s">
        <v>62</v>
      </c>
      <c r="D51" s="45">
        <v>5</v>
      </c>
      <c r="E51" s="44">
        <v>2.0755500207555004E-3</v>
      </c>
    </row>
    <row r="52" spans="2:5" ht="15" customHeight="1" x14ac:dyDescent="0.25">
      <c r="B52" s="89"/>
      <c r="C52" s="46" t="s">
        <v>63</v>
      </c>
      <c r="D52" s="45">
        <v>1</v>
      </c>
      <c r="E52" s="44">
        <v>4.1511000415110004E-4</v>
      </c>
    </row>
    <row r="53" spans="2:5" ht="15" customHeight="1" x14ac:dyDescent="0.25">
      <c r="B53" s="89"/>
      <c r="C53" s="46" t="s">
        <v>60</v>
      </c>
      <c r="D53" s="45">
        <v>2</v>
      </c>
      <c r="E53" s="44">
        <v>8.3022000830220008E-4</v>
      </c>
    </row>
    <row r="54" spans="2:5" ht="15" customHeight="1" x14ac:dyDescent="0.25">
      <c r="B54" s="90"/>
      <c r="C54" s="43" t="s">
        <v>23</v>
      </c>
      <c r="D54" s="42">
        <v>41</v>
      </c>
      <c r="E54" s="41">
        <v>1.7019510170195103E-2</v>
      </c>
    </row>
    <row r="55" spans="2:5" ht="15" customHeight="1" x14ac:dyDescent="0.25">
      <c r="B55" s="88" t="s">
        <v>88</v>
      </c>
      <c r="C55" s="46" t="s">
        <v>55</v>
      </c>
      <c r="D55" s="45">
        <v>1</v>
      </c>
      <c r="E55" s="44">
        <v>4.1511000415110004E-4</v>
      </c>
    </row>
    <row r="56" spans="2:5" ht="15" customHeight="1" x14ac:dyDescent="0.25">
      <c r="B56" s="89"/>
      <c r="C56" s="46" t="s">
        <v>64</v>
      </c>
      <c r="D56" s="45">
        <v>17</v>
      </c>
      <c r="E56" s="44">
        <v>7.0568700705687009E-3</v>
      </c>
    </row>
    <row r="57" spans="2:5" ht="15" customHeight="1" x14ac:dyDescent="0.25">
      <c r="B57" s="89"/>
      <c r="C57" s="46" t="s">
        <v>58</v>
      </c>
      <c r="D57" s="45">
        <v>1</v>
      </c>
      <c r="E57" s="44">
        <v>4.1511000415110004E-4</v>
      </c>
    </row>
    <row r="58" spans="2:5" ht="15" customHeight="1" x14ac:dyDescent="0.25">
      <c r="B58" s="89"/>
      <c r="C58" s="46" t="s">
        <v>56</v>
      </c>
      <c r="D58" s="45">
        <v>2</v>
      </c>
      <c r="E58" s="44">
        <v>8.3022000830220008E-4</v>
      </c>
    </row>
    <row r="59" spans="2:5" ht="15" customHeight="1" x14ac:dyDescent="0.25">
      <c r="B59" s="89"/>
      <c r="C59" s="46" t="s">
        <v>54</v>
      </c>
      <c r="D59" s="45">
        <v>1</v>
      </c>
      <c r="E59" s="44">
        <v>4.1511000415110004E-4</v>
      </c>
    </row>
    <row r="60" spans="2:5" ht="15" customHeight="1" x14ac:dyDescent="0.25">
      <c r="B60" s="89"/>
      <c r="C60" s="46" t="s">
        <v>48</v>
      </c>
      <c r="D60" s="45">
        <v>1</v>
      </c>
      <c r="E60" s="44">
        <v>4.1511000415110004E-4</v>
      </c>
    </row>
    <row r="61" spans="2:5" ht="15" customHeight="1" x14ac:dyDescent="0.25">
      <c r="B61" s="89"/>
      <c r="C61" s="46" t="s">
        <v>59</v>
      </c>
      <c r="D61" s="45">
        <v>1</v>
      </c>
      <c r="E61" s="44">
        <v>4.1511000415110004E-4</v>
      </c>
    </row>
    <row r="62" spans="2:5" ht="15" customHeight="1" x14ac:dyDescent="0.25">
      <c r="B62" s="89"/>
      <c r="C62" s="46" t="s">
        <v>53</v>
      </c>
      <c r="D62" s="45">
        <v>1</v>
      </c>
      <c r="E62" s="44">
        <v>4.1511000415110004E-4</v>
      </c>
    </row>
    <row r="63" spans="2:5" ht="15" customHeight="1" x14ac:dyDescent="0.25">
      <c r="B63" s="90"/>
      <c r="C63" s="43" t="s">
        <v>23</v>
      </c>
      <c r="D63" s="42">
        <v>25</v>
      </c>
      <c r="E63" s="41">
        <v>1.03777501037775E-2</v>
      </c>
    </row>
    <row r="64" spans="2:5" ht="15" customHeight="1" x14ac:dyDescent="0.25">
      <c r="B64" s="88" t="s">
        <v>87</v>
      </c>
      <c r="C64" s="46" t="s">
        <v>51</v>
      </c>
      <c r="D64" s="45">
        <v>1</v>
      </c>
      <c r="E64" s="44">
        <v>4.1511000415110004E-4</v>
      </c>
    </row>
    <row r="65" spans="2:5" ht="15" customHeight="1" x14ac:dyDescent="0.25">
      <c r="B65" s="89"/>
      <c r="C65" s="46" t="s">
        <v>55</v>
      </c>
      <c r="D65" s="45">
        <v>4</v>
      </c>
      <c r="E65" s="44">
        <v>1.6604400166044002E-3</v>
      </c>
    </row>
    <row r="66" spans="2:5" ht="15" customHeight="1" x14ac:dyDescent="0.25">
      <c r="B66" s="89"/>
      <c r="C66" s="46" t="s">
        <v>64</v>
      </c>
      <c r="D66" s="45">
        <v>125</v>
      </c>
      <c r="E66" s="44">
        <v>5.1888750518887507E-2</v>
      </c>
    </row>
    <row r="67" spans="2:5" ht="15" customHeight="1" x14ac:dyDescent="0.25">
      <c r="B67" s="89"/>
      <c r="C67" s="46" t="s">
        <v>61</v>
      </c>
      <c r="D67" s="45">
        <v>4</v>
      </c>
      <c r="E67" s="44">
        <v>1.6604400166044002E-3</v>
      </c>
    </row>
    <row r="68" spans="2:5" ht="15" customHeight="1" x14ac:dyDescent="0.25">
      <c r="B68" s="89"/>
      <c r="C68" s="46" t="s">
        <v>58</v>
      </c>
      <c r="D68" s="45">
        <v>2</v>
      </c>
      <c r="E68" s="44">
        <v>8.3022000830220008E-4</v>
      </c>
    </row>
    <row r="69" spans="2:5" ht="15" customHeight="1" x14ac:dyDescent="0.25">
      <c r="B69" s="89"/>
      <c r="C69" s="46" t="s">
        <v>56</v>
      </c>
      <c r="D69" s="45">
        <v>2</v>
      </c>
      <c r="E69" s="44">
        <v>8.3022000830220008E-4</v>
      </c>
    </row>
    <row r="70" spans="2:5" ht="15" customHeight="1" x14ac:dyDescent="0.25">
      <c r="B70" s="89"/>
      <c r="C70" s="46" t="s">
        <v>54</v>
      </c>
      <c r="D70" s="45">
        <v>1</v>
      </c>
      <c r="E70" s="44">
        <v>4.1511000415110004E-4</v>
      </c>
    </row>
    <row r="71" spans="2:5" ht="15" customHeight="1" x14ac:dyDescent="0.25">
      <c r="B71" s="89"/>
      <c r="C71" s="46" t="s">
        <v>37</v>
      </c>
      <c r="D71" s="45">
        <v>1</v>
      </c>
      <c r="E71" s="44">
        <v>4.1511000415110004E-4</v>
      </c>
    </row>
    <row r="72" spans="2:5" ht="15" customHeight="1" x14ac:dyDescent="0.25">
      <c r="B72" s="89"/>
      <c r="C72" s="46" t="s">
        <v>33</v>
      </c>
      <c r="D72" s="45">
        <v>1</v>
      </c>
      <c r="E72" s="44">
        <v>4.1511000415110004E-4</v>
      </c>
    </row>
    <row r="73" spans="2:5" ht="15" customHeight="1" x14ac:dyDescent="0.25">
      <c r="B73" s="89"/>
      <c r="C73" s="46" t="s">
        <v>59</v>
      </c>
      <c r="D73" s="45">
        <v>1</v>
      </c>
      <c r="E73" s="44">
        <v>4.1511000415110004E-4</v>
      </c>
    </row>
    <row r="74" spans="2:5" ht="15" customHeight="1" x14ac:dyDescent="0.25">
      <c r="B74" s="89"/>
      <c r="C74" s="46" t="s">
        <v>62</v>
      </c>
      <c r="D74" s="45">
        <v>17</v>
      </c>
      <c r="E74" s="44">
        <v>7.0568700705687009E-3</v>
      </c>
    </row>
    <row r="75" spans="2:5" ht="15" customHeight="1" x14ac:dyDescent="0.25">
      <c r="B75" s="89"/>
      <c r="C75" s="46" t="s">
        <v>63</v>
      </c>
      <c r="D75" s="45">
        <v>6</v>
      </c>
      <c r="E75" s="44">
        <v>2.4906600249066002E-3</v>
      </c>
    </row>
    <row r="76" spans="2:5" ht="15" customHeight="1" x14ac:dyDescent="0.25">
      <c r="B76" s="89"/>
      <c r="C76" s="46" t="s">
        <v>57</v>
      </c>
      <c r="D76" s="45">
        <v>1</v>
      </c>
      <c r="E76" s="44">
        <v>4.1511000415110004E-4</v>
      </c>
    </row>
    <row r="77" spans="2:5" ht="15" customHeight="1" x14ac:dyDescent="0.25">
      <c r="B77" s="89"/>
      <c r="C77" s="46" t="s">
        <v>60</v>
      </c>
      <c r="D77" s="45">
        <v>5</v>
      </c>
      <c r="E77" s="44">
        <v>2.0755500207555004E-3</v>
      </c>
    </row>
    <row r="78" spans="2:5" ht="15" customHeight="1" x14ac:dyDescent="0.25">
      <c r="B78" s="89"/>
      <c r="C78" s="46" t="s">
        <v>24</v>
      </c>
      <c r="D78" s="45">
        <v>1</v>
      </c>
      <c r="E78" s="44">
        <v>4.1511000415110004E-4</v>
      </c>
    </row>
    <row r="79" spans="2:5" ht="15" customHeight="1" x14ac:dyDescent="0.25">
      <c r="B79" s="90"/>
      <c r="C79" s="43" t="s">
        <v>23</v>
      </c>
      <c r="D79" s="42">
        <v>172</v>
      </c>
      <c r="E79" s="41">
        <v>7.1398920713989206E-2</v>
      </c>
    </row>
    <row r="80" spans="2:5" ht="15" customHeight="1" x14ac:dyDescent="0.25">
      <c r="B80" s="88" t="s">
        <v>86</v>
      </c>
      <c r="C80" s="46" t="s">
        <v>51</v>
      </c>
      <c r="D80" s="45">
        <v>2</v>
      </c>
      <c r="E80" s="44">
        <v>8.3022000830220008E-4</v>
      </c>
    </row>
    <row r="81" spans="2:5" ht="15" customHeight="1" x14ac:dyDescent="0.25">
      <c r="B81" s="89"/>
      <c r="C81" s="46" t="s">
        <v>55</v>
      </c>
      <c r="D81" s="45">
        <v>2</v>
      </c>
      <c r="E81" s="44">
        <v>8.3022000830220008E-4</v>
      </c>
    </row>
    <row r="82" spans="2:5" ht="15" customHeight="1" x14ac:dyDescent="0.25">
      <c r="B82" s="89"/>
      <c r="C82" s="46" t="s">
        <v>64</v>
      </c>
      <c r="D82" s="45">
        <v>224</v>
      </c>
      <c r="E82" s="44">
        <v>9.2984640929846415E-2</v>
      </c>
    </row>
    <row r="83" spans="2:5" ht="15" customHeight="1" x14ac:dyDescent="0.25">
      <c r="B83" s="89"/>
      <c r="C83" s="46" t="s">
        <v>61</v>
      </c>
      <c r="D83" s="45">
        <v>10</v>
      </c>
      <c r="E83" s="44">
        <v>4.1511000415110008E-3</v>
      </c>
    </row>
    <row r="84" spans="2:5" ht="15" customHeight="1" x14ac:dyDescent="0.25">
      <c r="B84" s="89"/>
      <c r="C84" s="46" t="s">
        <v>58</v>
      </c>
      <c r="D84" s="45">
        <v>3</v>
      </c>
      <c r="E84" s="44">
        <v>1.2453300124533001E-3</v>
      </c>
    </row>
    <row r="85" spans="2:5" ht="15" customHeight="1" x14ac:dyDescent="0.25">
      <c r="B85" s="89"/>
      <c r="C85" s="46" t="s">
        <v>49</v>
      </c>
      <c r="D85" s="45">
        <v>1</v>
      </c>
      <c r="E85" s="44">
        <v>4.1511000415110004E-4</v>
      </c>
    </row>
    <row r="86" spans="2:5" ht="15" customHeight="1" x14ac:dyDescent="0.25">
      <c r="B86" s="89"/>
      <c r="C86" s="46" t="s">
        <v>47</v>
      </c>
      <c r="D86" s="45">
        <v>3</v>
      </c>
      <c r="E86" s="44">
        <v>1.2453300124533001E-3</v>
      </c>
    </row>
    <row r="87" spans="2:5" ht="15" customHeight="1" x14ac:dyDescent="0.25">
      <c r="B87" s="89"/>
      <c r="C87" s="46" t="s">
        <v>56</v>
      </c>
      <c r="D87" s="45">
        <v>2</v>
      </c>
      <c r="E87" s="44">
        <v>8.3022000830220008E-4</v>
      </c>
    </row>
    <row r="88" spans="2:5" ht="15" customHeight="1" x14ac:dyDescent="0.25">
      <c r="B88" s="89"/>
      <c r="C88" s="46" t="s">
        <v>54</v>
      </c>
      <c r="D88" s="45">
        <v>1</v>
      </c>
      <c r="E88" s="44">
        <v>4.1511000415110004E-4</v>
      </c>
    </row>
    <row r="89" spans="2:5" ht="15" customHeight="1" x14ac:dyDescent="0.25">
      <c r="B89" s="89"/>
      <c r="C89" s="46" t="s">
        <v>45</v>
      </c>
      <c r="D89" s="45">
        <v>1</v>
      </c>
      <c r="E89" s="44">
        <v>4.1511000415110004E-4</v>
      </c>
    </row>
    <row r="90" spans="2:5" ht="15" customHeight="1" x14ac:dyDescent="0.25">
      <c r="B90" s="89"/>
      <c r="C90" s="46" t="s">
        <v>41</v>
      </c>
      <c r="D90" s="45">
        <v>1</v>
      </c>
      <c r="E90" s="44">
        <v>4.1511000415110004E-4</v>
      </c>
    </row>
    <row r="91" spans="2:5" ht="15" customHeight="1" x14ac:dyDescent="0.25">
      <c r="B91" s="89"/>
      <c r="C91" s="46" t="s">
        <v>52</v>
      </c>
      <c r="D91" s="45">
        <v>1</v>
      </c>
      <c r="E91" s="44">
        <v>4.1511000415110004E-4</v>
      </c>
    </row>
    <row r="92" spans="2:5" ht="15" customHeight="1" x14ac:dyDescent="0.25">
      <c r="B92" s="89"/>
      <c r="C92" s="46" t="s">
        <v>43</v>
      </c>
      <c r="D92" s="45">
        <v>1</v>
      </c>
      <c r="E92" s="44">
        <v>4.1511000415110004E-4</v>
      </c>
    </row>
    <row r="93" spans="2:5" ht="15" customHeight="1" x14ac:dyDescent="0.25">
      <c r="B93" s="89"/>
      <c r="C93" s="46" t="s">
        <v>59</v>
      </c>
      <c r="D93" s="45">
        <v>6</v>
      </c>
      <c r="E93" s="44">
        <v>2.4906600249066002E-3</v>
      </c>
    </row>
    <row r="94" spans="2:5" ht="15" customHeight="1" x14ac:dyDescent="0.25">
      <c r="B94" s="89"/>
      <c r="C94" s="46" t="s">
        <v>53</v>
      </c>
      <c r="D94" s="45">
        <v>2</v>
      </c>
      <c r="E94" s="44">
        <v>8.3022000830220008E-4</v>
      </c>
    </row>
    <row r="95" spans="2:5" ht="15" customHeight="1" x14ac:dyDescent="0.25">
      <c r="B95" s="89"/>
      <c r="C95" s="46" t="s">
        <v>62</v>
      </c>
      <c r="D95" s="45">
        <v>28</v>
      </c>
      <c r="E95" s="44">
        <v>1.1623080116230802E-2</v>
      </c>
    </row>
    <row r="96" spans="2:5" ht="15" customHeight="1" x14ac:dyDescent="0.25">
      <c r="B96" s="89"/>
      <c r="C96" s="46" t="s">
        <v>35</v>
      </c>
      <c r="D96" s="45">
        <v>2</v>
      </c>
      <c r="E96" s="44">
        <v>8.3022000830220008E-4</v>
      </c>
    </row>
    <row r="97" spans="2:5" ht="15" customHeight="1" x14ac:dyDescent="0.25">
      <c r="B97" s="89"/>
      <c r="C97" s="46" t="s">
        <v>39</v>
      </c>
      <c r="D97" s="45">
        <v>1</v>
      </c>
      <c r="E97" s="44">
        <v>4.1511000415110004E-4</v>
      </c>
    </row>
    <row r="98" spans="2:5" ht="15" customHeight="1" x14ac:dyDescent="0.25">
      <c r="B98" s="89"/>
      <c r="C98" s="46" t="s">
        <v>63</v>
      </c>
      <c r="D98" s="45">
        <v>5</v>
      </c>
      <c r="E98" s="44">
        <v>2.0755500207555004E-3</v>
      </c>
    </row>
    <row r="99" spans="2:5" ht="15" customHeight="1" x14ac:dyDescent="0.25">
      <c r="B99" s="89"/>
      <c r="C99" s="46" t="s">
        <v>57</v>
      </c>
      <c r="D99" s="45">
        <v>4</v>
      </c>
      <c r="E99" s="44">
        <v>1.6604400166044002E-3</v>
      </c>
    </row>
    <row r="100" spans="2:5" ht="15" customHeight="1" x14ac:dyDescent="0.25">
      <c r="B100" s="89"/>
      <c r="C100" s="46" t="s">
        <v>60</v>
      </c>
      <c r="D100" s="45">
        <v>6</v>
      </c>
      <c r="E100" s="44">
        <v>2.4906600249066002E-3</v>
      </c>
    </row>
    <row r="101" spans="2:5" ht="15" customHeight="1" x14ac:dyDescent="0.25">
      <c r="B101" s="90"/>
      <c r="C101" s="43" t="s">
        <v>23</v>
      </c>
      <c r="D101" s="42">
        <v>306</v>
      </c>
      <c r="E101" s="41">
        <v>0.12702366127023662</v>
      </c>
    </row>
    <row r="102" spans="2:5" ht="15" customHeight="1" x14ac:dyDescent="0.25">
      <c r="B102" s="88" t="s">
        <v>85</v>
      </c>
      <c r="C102" s="46" t="s">
        <v>64</v>
      </c>
      <c r="D102" s="45">
        <v>26</v>
      </c>
      <c r="E102" s="44">
        <v>1.0792860107928601E-2</v>
      </c>
    </row>
    <row r="103" spans="2:5" ht="15" customHeight="1" x14ac:dyDescent="0.25">
      <c r="B103" s="89"/>
      <c r="C103" s="46" t="s">
        <v>58</v>
      </c>
      <c r="D103" s="45">
        <v>2</v>
      </c>
      <c r="E103" s="44">
        <v>8.3022000830220008E-4</v>
      </c>
    </row>
    <row r="104" spans="2:5" ht="15" customHeight="1" x14ac:dyDescent="0.25">
      <c r="B104" s="89"/>
      <c r="C104" s="46" t="s">
        <v>62</v>
      </c>
      <c r="D104" s="45">
        <v>3</v>
      </c>
      <c r="E104" s="44">
        <v>1.2453300124533001E-3</v>
      </c>
    </row>
    <row r="105" spans="2:5" ht="15" customHeight="1" x14ac:dyDescent="0.25">
      <c r="B105" s="89"/>
      <c r="C105" s="46" t="s">
        <v>63</v>
      </c>
      <c r="D105" s="45">
        <v>1</v>
      </c>
      <c r="E105" s="44">
        <v>4.1511000415110004E-4</v>
      </c>
    </row>
    <row r="106" spans="2:5" ht="15" customHeight="1" x14ac:dyDescent="0.25">
      <c r="B106" s="89"/>
      <c r="C106" s="46" t="s">
        <v>60</v>
      </c>
      <c r="D106" s="45">
        <v>2</v>
      </c>
      <c r="E106" s="44">
        <v>8.3022000830220008E-4</v>
      </c>
    </row>
    <row r="107" spans="2:5" ht="15" customHeight="1" x14ac:dyDescent="0.25">
      <c r="B107" s="90"/>
      <c r="C107" s="43" t="s">
        <v>23</v>
      </c>
      <c r="D107" s="42">
        <v>34</v>
      </c>
      <c r="E107" s="41">
        <v>1.4113740141137402E-2</v>
      </c>
    </row>
    <row r="108" spans="2:5" ht="15" customHeight="1" x14ac:dyDescent="0.25">
      <c r="B108" s="88" t="s">
        <v>84</v>
      </c>
      <c r="C108" s="46" t="s">
        <v>55</v>
      </c>
      <c r="D108" s="45">
        <v>3</v>
      </c>
      <c r="E108" s="44">
        <v>1.2453300124533001E-3</v>
      </c>
    </row>
    <row r="109" spans="2:5" ht="15" customHeight="1" x14ac:dyDescent="0.25">
      <c r="B109" s="89"/>
      <c r="C109" s="46" t="s">
        <v>64</v>
      </c>
      <c r="D109" s="45">
        <v>21</v>
      </c>
      <c r="E109" s="44">
        <v>8.717310087173101E-3</v>
      </c>
    </row>
    <row r="110" spans="2:5" ht="15" customHeight="1" x14ac:dyDescent="0.25">
      <c r="B110" s="89"/>
      <c r="C110" s="46" t="s">
        <v>61</v>
      </c>
      <c r="D110" s="45">
        <v>5</v>
      </c>
      <c r="E110" s="44">
        <v>2.0755500207555004E-3</v>
      </c>
    </row>
    <row r="111" spans="2:5" ht="15" customHeight="1" x14ac:dyDescent="0.25">
      <c r="B111" s="89"/>
      <c r="C111" s="46" t="s">
        <v>58</v>
      </c>
      <c r="D111" s="45">
        <v>1</v>
      </c>
      <c r="E111" s="44">
        <v>4.1511000415110004E-4</v>
      </c>
    </row>
    <row r="112" spans="2:5" ht="15" customHeight="1" x14ac:dyDescent="0.25">
      <c r="B112" s="89"/>
      <c r="C112" s="46" t="s">
        <v>47</v>
      </c>
      <c r="D112" s="45">
        <v>1</v>
      </c>
      <c r="E112" s="44">
        <v>4.1511000415110004E-4</v>
      </c>
    </row>
    <row r="113" spans="2:5" ht="15" customHeight="1" x14ac:dyDescent="0.25">
      <c r="B113" s="89"/>
      <c r="C113" s="46" t="s">
        <v>54</v>
      </c>
      <c r="D113" s="45">
        <v>1</v>
      </c>
      <c r="E113" s="44">
        <v>4.1511000415110004E-4</v>
      </c>
    </row>
    <row r="114" spans="2:5" ht="15" customHeight="1" x14ac:dyDescent="0.25">
      <c r="B114" s="89"/>
      <c r="C114" s="46" t="s">
        <v>52</v>
      </c>
      <c r="D114" s="45">
        <v>1</v>
      </c>
      <c r="E114" s="44">
        <v>4.1511000415110004E-4</v>
      </c>
    </row>
    <row r="115" spans="2:5" ht="15" customHeight="1" x14ac:dyDescent="0.25">
      <c r="B115" s="89"/>
      <c r="C115" s="46" t="s">
        <v>59</v>
      </c>
      <c r="D115" s="45">
        <v>1</v>
      </c>
      <c r="E115" s="44">
        <v>4.1511000415110004E-4</v>
      </c>
    </row>
    <row r="116" spans="2:5" ht="15" customHeight="1" x14ac:dyDescent="0.25">
      <c r="B116" s="89"/>
      <c r="C116" s="46" t="s">
        <v>62</v>
      </c>
      <c r="D116" s="45">
        <v>5</v>
      </c>
      <c r="E116" s="44">
        <v>2.0755500207555004E-3</v>
      </c>
    </row>
    <row r="117" spans="2:5" ht="15" customHeight="1" x14ac:dyDescent="0.25">
      <c r="B117" s="89"/>
      <c r="C117" s="46" t="s">
        <v>63</v>
      </c>
      <c r="D117" s="45">
        <v>1</v>
      </c>
      <c r="E117" s="44">
        <v>4.1511000415110004E-4</v>
      </c>
    </row>
    <row r="118" spans="2:5" ht="15" customHeight="1" x14ac:dyDescent="0.25">
      <c r="B118" s="89"/>
      <c r="C118" s="46" t="s">
        <v>60</v>
      </c>
      <c r="D118" s="45">
        <v>1</v>
      </c>
      <c r="E118" s="44">
        <v>4.1511000415110004E-4</v>
      </c>
    </row>
    <row r="119" spans="2:5" ht="15" customHeight="1" x14ac:dyDescent="0.25">
      <c r="B119" s="90"/>
      <c r="C119" s="43" t="s">
        <v>23</v>
      </c>
      <c r="D119" s="42">
        <v>41</v>
      </c>
      <c r="E119" s="41">
        <v>1.7019510170195103E-2</v>
      </c>
    </row>
    <row r="120" spans="2:5" ht="15" customHeight="1" x14ac:dyDescent="0.25">
      <c r="B120" s="88" t="s">
        <v>83</v>
      </c>
      <c r="C120" s="46" t="s">
        <v>64</v>
      </c>
      <c r="D120" s="45">
        <v>35</v>
      </c>
      <c r="E120" s="44">
        <v>1.4528850145288501E-2</v>
      </c>
    </row>
    <row r="121" spans="2:5" ht="15" customHeight="1" x14ac:dyDescent="0.25">
      <c r="B121" s="89"/>
      <c r="C121" s="46" t="s">
        <v>61</v>
      </c>
      <c r="D121" s="45">
        <v>5</v>
      </c>
      <c r="E121" s="44">
        <v>2.0755500207555004E-3</v>
      </c>
    </row>
    <row r="122" spans="2:5" ht="15" customHeight="1" x14ac:dyDescent="0.25">
      <c r="B122" s="89"/>
      <c r="C122" s="46" t="s">
        <v>30</v>
      </c>
      <c r="D122" s="45">
        <v>1</v>
      </c>
      <c r="E122" s="44">
        <v>4.1511000415110004E-4</v>
      </c>
    </row>
    <row r="123" spans="2:5" ht="15" customHeight="1" x14ac:dyDescent="0.25">
      <c r="B123" s="89"/>
      <c r="C123" s="46" t="s">
        <v>58</v>
      </c>
      <c r="D123" s="45">
        <v>3</v>
      </c>
      <c r="E123" s="44">
        <v>1.2453300124533001E-3</v>
      </c>
    </row>
    <row r="124" spans="2:5" ht="15" customHeight="1" x14ac:dyDescent="0.25">
      <c r="B124" s="89"/>
      <c r="C124" s="46" t="s">
        <v>47</v>
      </c>
      <c r="D124" s="45">
        <v>1</v>
      </c>
      <c r="E124" s="44">
        <v>4.1511000415110004E-4</v>
      </c>
    </row>
    <row r="125" spans="2:5" ht="15" customHeight="1" x14ac:dyDescent="0.25">
      <c r="B125" s="89"/>
      <c r="C125" s="46" t="s">
        <v>56</v>
      </c>
      <c r="D125" s="45">
        <v>2</v>
      </c>
      <c r="E125" s="44">
        <v>8.3022000830220008E-4</v>
      </c>
    </row>
    <row r="126" spans="2:5" ht="15" customHeight="1" x14ac:dyDescent="0.25">
      <c r="B126" s="89"/>
      <c r="C126" s="46" t="s">
        <v>59</v>
      </c>
      <c r="D126" s="45">
        <v>3</v>
      </c>
      <c r="E126" s="44">
        <v>1.2453300124533001E-3</v>
      </c>
    </row>
    <row r="127" spans="2:5" ht="15" customHeight="1" x14ac:dyDescent="0.25">
      <c r="B127" s="89"/>
      <c r="C127" s="46" t="s">
        <v>53</v>
      </c>
      <c r="D127" s="45">
        <v>1</v>
      </c>
      <c r="E127" s="44">
        <v>4.1511000415110004E-4</v>
      </c>
    </row>
    <row r="128" spans="2:5" ht="15" customHeight="1" x14ac:dyDescent="0.25">
      <c r="B128" s="89"/>
      <c r="C128" s="46" t="s">
        <v>62</v>
      </c>
      <c r="D128" s="45">
        <v>7</v>
      </c>
      <c r="E128" s="44">
        <v>2.9057700290577005E-3</v>
      </c>
    </row>
    <row r="129" spans="2:5" ht="15" customHeight="1" x14ac:dyDescent="0.25">
      <c r="B129" s="89"/>
      <c r="C129" s="46" t="s">
        <v>42</v>
      </c>
      <c r="D129" s="45">
        <v>1</v>
      </c>
      <c r="E129" s="44">
        <v>4.1511000415110004E-4</v>
      </c>
    </row>
    <row r="130" spans="2:5" ht="15" customHeight="1" x14ac:dyDescent="0.25">
      <c r="B130" s="89"/>
      <c r="C130" s="46" t="s">
        <v>63</v>
      </c>
      <c r="D130" s="45">
        <v>7</v>
      </c>
      <c r="E130" s="44">
        <v>2.9057700290577005E-3</v>
      </c>
    </row>
    <row r="131" spans="2:5" ht="15" customHeight="1" x14ac:dyDescent="0.25">
      <c r="B131" s="89"/>
      <c r="C131" s="46" t="s">
        <v>57</v>
      </c>
      <c r="D131" s="45">
        <v>1</v>
      </c>
      <c r="E131" s="44">
        <v>4.1511000415110004E-4</v>
      </c>
    </row>
    <row r="132" spans="2:5" ht="15" customHeight="1" x14ac:dyDescent="0.25">
      <c r="B132" s="89"/>
      <c r="C132" s="46" t="s">
        <v>60</v>
      </c>
      <c r="D132" s="45">
        <v>2</v>
      </c>
      <c r="E132" s="44">
        <v>8.3022000830220008E-4</v>
      </c>
    </row>
    <row r="133" spans="2:5" ht="15" customHeight="1" x14ac:dyDescent="0.25">
      <c r="B133" s="90"/>
      <c r="C133" s="43" t="s">
        <v>23</v>
      </c>
      <c r="D133" s="42">
        <v>69</v>
      </c>
      <c r="E133" s="41">
        <v>2.8642590286425903E-2</v>
      </c>
    </row>
    <row r="134" spans="2:5" ht="15" customHeight="1" x14ac:dyDescent="0.25">
      <c r="B134" s="88" t="s">
        <v>82</v>
      </c>
      <c r="C134" s="46" t="s">
        <v>51</v>
      </c>
      <c r="D134" s="45">
        <v>3</v>
      </c>
      <c r="E134" s="44">
        <v>1.2453300124533001E-3</v>
      </c>
    </row>
    <row r="135" spans="2:5" ht="15" customHeight="1" x14ac:dyDescent="0.25">
      <c r="B135" s="89"/>
      <c r="C135" s="46" t="s">
        <v>46</v>
      </c>
      <c r="D135" s="45">
        <v>1</v>
      </c>
      <c r="E135" s="44">
        <v>4.1511000415110004E-4</v>
      </c>
    </row>
    <row r="136" spans="2:5" ht="15" customHeight="1" x14ac:dyDescent="0.25">
      <c r="B136" s="89"/>
      <c r="C136" s="46" t="s">
        <v>55</v>
      </c>
      <c r="D136" s="45">
        <v>8</v>
      </c>
      <c r="E136" s="44">
        <v>3.3208800332088003E-3</v>
      </c>
    </row>
    <row r="137" spans="2:5" ht="15" customHeight="1" x14ac:dyDescent="0.25">
      <c r="B137" s="89"/>
      <c r="C137" s="46" t="s">
        <v>64</v>
      </c>
      <c r="D137" s="45">
        <v>603</v>
      </c>
      <c r="E137" s="44">
        <v>0.25031133250311333</v>
      </c>
    </row>
    <row r="138" spans="2:5" ht="15" customHeight="1" x14ac:dyDescent="0.25">
      <c r="B138" s="89"/>
      <c r="C138" s="46" t="s">
        <v>61</v>
      </c>
      <c r="D138" s="45">
        <v>24</v>
      </c>
      <c r="E138" s="44">
        <v>9.9626400996264009E-3</v>
      </c>
    </row>
    <row r="139" spans="2:5" ht="15" customHeight="1" x14ac:dyDescent="0.25">
      <c r="B139" s="89"/>
      <c r="C139" s="46" t="s">
        <v>58</v>
      </c>
      <c r="D139" s="45">
        <v>9</v>
      </c>
      <c r="E139" s="44">
        <v>3.7359900373599006E-3</v>
      </c>
    </row>
    <row r="140" spans="2:5" ht="15" customHeight="1" x14ac:dyDescent="0.25">
      <c r="B140" s="89"/>
      <c r="C140" s="46" t="s">
        <v>49</v>
      </c>
      <c r="D140" s="45">
        <v>3</v>
      </c>
      <c r="E140" s="44">
        <v>1.2453300124533001E-3</v>
      </c>
    </row>
    <row r="141" spans="2:5" ht="15" customHeight="1" x14ac:dyDescent="0.25">
      <c r="B141" s="89"/>
      <c r="C141" s="46" t="s">
        <v>28</v>
      </c>
      <c r="D141" s="45">
        <v>1</v>
      </c>
      <c r="E141" s="44">
        <v>4.1511000415110004E-4</v>
      </c>
    </row>
    <row r="142" spans="2:5" ht="15" customHeight="1" x14ac:dyDescent="0.25">
      <c r="B142" s="89"/>
      <c r="C142" s="46" t="s">
        <v>56</v>
      </c>
      <c r="D142" s="45">
        <v>11</v>
      </c>
      <c r="E142" s="44">
        <v>4.5662100456621002E-3</v>
      </c>
    </row>
    <row r="143" spans="2:5" ht="15" customHeight="1" x14ac:dyDescent="0.25">
      <c r="B143" s="89"/>
      <c r="C143" s="46" t="s">
        <v>54</v>
      </c>
      <c r="D143" s="45">
        <v>2</v>
      </c>
      <c r="E143" s="44">
        <v>8.3022000830220008E-4</v>
      </c>
    </row>
    <row r="144" spans="2:5" ht="15" customHeight="1" x14ac:dyDescent="0.25">
      <c r="B144" s="89"/>
      <c r="C144" s="46" t="s">
        <v>45</v>
      </c>
      <c r="D144" s="45">
        <v>2</v>
      </c>
      <c r="E144" s="44">
        <v>8.3022000830220008E-4</v>
      </c>
    </row>
    <row r="145" spans="2:5" ht="15" customHeight="1" x14ac:dyDescent="0.25">
      <c r="B145" s="89"/>
      <c r="C145" s="46" t="s">
        <v>41</v>
      </c>
      <c r="D145" s="45">
        <v>1</v>
      </c>
      <c r="E145" s="44">
        <v>4.1511000415110004E-4</v>
      </c>
    </row>
    <row r="146" spans="2:5" ht="15" customHeight="1" x14ac:dyDescent="0.25">
      <c r="B146" s="89"/>
      <c r="C146" s="46" t="s">
        <v>52</v>
      </c>
      <c r="D146" s="45">
        <v>3</v>
      </c>
      <c r="E146" s="44">
        <v>1.2453300124533001E-3</v>
      </c>
    </row>
    <row r="147" spans="2:5" ht="15" customHeight="1" x14ac:dyDescent="0.25">
      <c r="B147" s="89"/>
      <c r="C147" s="46" t="s">
        <v>37</v>
      </c>
      <c r="D147" s="45">
        <v>1</v>
      </c>
      <c r="E147" s="44">
        <v>4.1511000415110004E-4</v>
      </c>
    </row>
    <row r="148" spans="2:5" ht="15" customHeight="1" x14ac:dyDescent="0.25">
      <c r="B148" s="89"/>
      <c r="C148" s="46" t="s">
        <v>27</v>
      </c>
      <c r="D148" s="45">
        <v>1</v>
      </c>
      <c r="E148" s="44">
        <v>4.1511000415110004E-4</v>
      </c>
    </row>
    <row r="149" spans="2:5" ht="15" customHeight="1" x14ac:dyDescent="0.25">
      <c r="B149" s="89"/>
      <c r="C149" s="46" t="s">
        <v>33</v>
      </c>
      <c r="D149" s="45">
        <v>1</v>
      </c>
      <c r="E149" s="44">
        <v>4.1511000415110004E-4</v>
      </c>
    </row>
    <row r="150" spans="2:5" ht="15" customHeight="1" x14ac:dyDescent="0.25">
      <c r="B150" s="89"/>
      <c r="C150" s="46" t="s">
        <v>40</v>
      </c>
      <c r="D150" s="45">
        <v>1</v>
      </c>
      <c r="E150" s="44">
        <v>4.1511000415110004E-4</v>
      </c>
    </row>
    <row r="151" spans="2:5" ht="15" customHeight="1" x14ac:dyDescent="0.25">
      <c r="B151" s="89"/>
      <c r="C151" s="46" t="s">
        <v>32</v>
      </c>
      <c r="D151" s="45">
        <v>1</v>
      </c>
      <c r="E151" s="44">
        <v>4.1511000415110004E-4</v>
      </c>
    </row>
    <row r="152" spans="2:5" ht="15" customHeight="1" x14ac:dyDescent="0.25">
      <c r="B152" s="89"/>
      <c r="C152" s="46" t="s">
        <v>48</v>
      </c>
      <c r="D152" s="45">
        <v>4</v>
      </c>
      <c r="E152" s="44">
        <v>1.6604400166044002E-3</v>
      </c>
    </row>
    <row r="153" spans="2:5" ht="15" customHeight="1" x14ac:dyDescent="0.25">
      <c r="B153" s="89"/>
      <c r="C153" s="46" t="s">
        <v>59</v>
      </c>
      <c r="D153" s="45">
        <v>12</v>
      </c>
      <c r="E153" s="44">
        <v>4.9813200498132005E-3</v>
      </c>
    </row>
    <row r="154" spans="2:5" ht="15" customHeight="1" x14ac:dyDescent="0.25">
      <c r="B154" s="89"/>
      <c r="C154" s="46" t="s">
        <v>44</v>
      </c>
      <c r="D154" s="45">
        <v>4</v>
      </c>
      <c r="E154" s="44">
        <v>1.6604400166044002E-3</v>
      </c>
    </row>
    <row r="155" spans="2:5" ht="15" customHeight="1" x14ac:dyDescent="0.25">
      <c r="B155" s="89"/>
      <c r="C155" s="46" t="s">
        <v>26</v>
      </c>
      <c r="D155" s="45">
        <v>1</v>
      </c>
      <c r="E155" s="44">
        <v>4.1511000415110004E-4</v>
      </c>
    </row>
    <row r="156" spans="2:5" ht="15" customHeight="1" x14ac:dyDescent="0.25">
      <c r="B156" s="89"/>
      <c r="C156" s="46" t="s">
        <v>50</v>
      </c>
      <c r="D156" s="45">
        <v>3</v>
      </c>
      <c r="E156" s="44">
        <v>1.2453300124533001E-3</v>
      </c>
    </row>
    <row r="157" spans="2:5" ht="15" customHeight="1" x14ac:dyDescent="0.25">
      <c r="B157" s="89"/>
      <c r="C157" s="46" t="s">
        <v>53</v>
      </c>
      <c r="D157" s="45">
        <v>5</v>
      </c>
      <c r="E157" s="44">
        <v>2.0755500207555004E-3</v>
      </c>
    </row>
    <row r="158" spans="2:5" ht="15" customHeight="1" x14ac:dyDescent="0.25">
      <c r="B158" s="89"/>
      <c r="C158" s="46" t="s">
        <v>36</v>
      </c>
      <c r="D158" s="45">
        <v>1</v>
      </c>
      <c r="E158" s="44">
        <v>4.1511000415110004E-4</v>
      </c>
    </row>
    <row r="159" spans="2:5" ht="15" customHeight="1" x14ac:dyDescent="0.25">
      <c r="B159" s="89"/>
      <c r="C159" s="46" t="s">
        <v>62</v>
      </c>
      <c r="D159" s="45">
        <v>53</v>
      </c>
      <c r="E159" s="44">
        <v>2.2000830220008302E-2</v>
      </c>
    </row>
    <row r="160" spans="2:5" ht="15" customHeight="1" x14ac:dyDescent="0.25">
      <c r="B160" s="89"/>
      <c r="C160" s="46" t="s">
        <v>42</v>
      </c>
      <c r="D160" s="45">
        <v>2</v>
      </c>
      <c r="E160" s="44">
        <v>8.3022000830220008E-4</v>
      </c>
    </row>
    <row r="161" spans="2:5" ht="15" customHeight="1" x14ac:dyDescent="0.25">
      <c r="B161" s="89"/>
      <c r="C161" s="46" t="s">
        <v>39</v>
      </c>
      <c r="D161" s="45">
        <v>1</v>
      </c>
      <c r="E161" s="44">
        <v>4.1511000415110004E-4</v>
      </c>
    </row>
    <row r="162" spans="2:5" ht="15" customHeight="1" x14ac:dyDescent="0.25">
      <c r="B162" s="89"/>
      <c r="C162" s="46" t="s">
        <v>63</v>
      </c>
      <c r="D162" s="45">
        <v>67</v>
      </c>
      <c r="E162" s="44">
        <v>2.7812370278123704E-2</v>
      </c>
    </row>
    <row r="163" spans="2:5" ht="15" customHeight="1" x14ac:dyDescent="0.25">
      <c r="B163" s="89"/>
      <c r="C163" s="46" t="s">
        <v>57</v>
      </c>
      <c r="D163" s="45">
        <v>10</v>
      </c>
      <c r="E163" s="44">
        <v>4.1511000415110008E-3</v>
      </c>
    </row>
    <row r="164" spans="2:5" ht="15" customHeight="1" x14ac:dyDescent="0.25">
      <c r="B164" s="89"/>
      <c r="C164" s="46" t="s">
        <v>25</v>
      </c>
      <c r="D164" s="45">
        <v>1</v>
      </c>
      <c r="E164" s="44">
        <v>4.1511000415110004E-4</v>
      </c>
    </row>
    <row r="165" spans="2:5" ht="15" customHeight="1" x14ac:dyDescent="0.25">
      <c r="B165" s="89"/>
      <c r="C165" s="46" t="s">
        <v>60</v>
      </c>
      <c r="D165" s="45">
        <v>21</v>
      </c>
      <c r="E165" s="44">
        <v>8.717310087173101E-3</v>
      </c>
    </row>
    <row r="166" spans="2:5" ht="15" customHeight="1" x14ac:dyDescent="0.25">
      <c r="B166" s="89"/>
      <c r="C166" s="46" t="s">
        <v>38</v>
      </c>
      <c r="D166" s="45">
        <v>1</v>
      </c>
      <c r="E166" s="44">
        <v>4.1511000415110004E-4</v>
      </c>
    </row>
    <row r="167" spans="2:5" ht="15" customHeight="1" x14ac:dyDescent="0.25">
      <c r="B167" s="90"/>
      <c r="C167" s="43" t="s">
        <v>23</v>
      </c>
      <c r="D167" s="42">
        <v>862</v>
      </c>
      <c r="E167" s="41">
        <v>0.35782482357824824</v>
      </c>
    </row>
    <row r="168" spans="2:5" ht="15" customHeight="1" x14ac:dyDescent="0.25">
      <c r="B168" s="88" t="s">
        <v>81</v>
      </c>
      <c r="C168" s="46" t="s">
        <v>55</v>
      </c>
      <c r="D168" s="45">
        <v>1</v>
      </c>
      <c r="E168" s="44">
        <v>4.1511000415110004E-4</v>
      </c>
    </row>
    <row r="169" spans="2:5" ht="15" customHeight="1" x14ac:dyDescent="0.25">
      <c r="B169" s="89"/>
      <c r="C169" s="46" t="s">
        <v>64</v>
      </c>
      <c r="D169" s="45">
        <v>26</v>
      </c>
      <c r="E169" s="44">
        <v>1.0792860107928601E-2</v>
      </c>
    </row>
    <row r="170" spans="2:5" ht="15" customHeight="1" x14ac:dyDescent="0.25">
      <c r="B170" s="89"/>
      <c r="C170" s="46" t="s">
        <v>58</v>
      </c>
      <c r="D170" s="45">
        <v>1</v>
      </c>
      <c r="E170" s="44">
        <v>4.1511000415110004E-4</v>
      </c>
    </row>
    <row r="171" spans="2:5" ht="15" customHeight="1" x14ac:dyDescent="0.25">
      <c r="B171" s="89"/>
      <c r="C171" s="46" t="s">
        <v>47</v>
      </c>
      <c r="D171" s="45">
        <v>1</v>
      </c>
      <c r="E171" s="44">
        <v>4.1511000415110004E-4</v>
      </c>
    </row>
    <row r="172" spans="2:5" ht="15" customHeight="1" x14ac:dyDescent="0.25">
      <c r="B172" s="89"/>
      <c r="C172" s="46" t="s">
        <v>56</v>
      </c>
      <c r="D172" s="45">
        <v>2</v>
      </c>
      <c r="E172" s="44">
        <v>8.3022000830220008E-4</v>
      </c>
    </row>
    <row r="173" spans="2:5" ht="15" customHeight="1" x14ac:dyDescent="0.25">
      <c r="B173" s="89"/>
      <c r="C173" s="46" t="s">
        <v>52</v>
      </c>
      <c r="D173" s="45">
        <v>1</v>
      </c>
      <c r="E173" s="44">
        <v>4.1511000415110004E-4</v>
      </c>
    </row>
    <row r="174" spans="2:5" ht="15" customHeight="1" x14ac:dyDescent="0.25">
      <c r="B174" s="89"/>
      <c r="C174" s="46" t="s">
        <v>59</v>
      </c>
      <c r="D174" s="45">
        <v>1</v>
      </c>
      <c r="E174" s="44">
        <v>4.1511000415110004E-4</v>
      </c>
    </row>
    <row r="175" spans="2:5" ht="15" customHeight="1" x14ac:dyDescent="0.25">
      <c r="B175" s="89"/>
      <c r="C175" s="46" t="s">
        <v>31</v>
      </c>
      <c r="D175" s="45">
        <v>1</v>
      </c>
      <c r="E175" s="44">
        <v>4.1511000415110004E-4</v>
      </c>
    </row>
    <row r="176" spans="2:5" ht="15" customHeight="1" x14ac:dyDescent="0.25">
      <c r="B176" s="89"/>
      <c r="C176" s="46" t="s">
        <v>62</v>
      </c>
      <c r="D176" s="45">
        <v>2</v>
      </c>
      <c r="E176" s="44">
        <v>8.3022000830220008E-4</v>
      </c>
    </row>
    <row r="177" spans="2:5" ht="15" customHeight="1" x14ac:dyDescent="0.25">
      <c r="B177" s="89"/>
      <c r="C177" s="46" t="s">
        <v>63</v>
      </c>
      <c r="D177" s="45">
        <v>1</v>
      </c>
      <c r="E177" s="44">
        <v>4.1511000415110004E-4</v>
      </c>
    </row>
    <row r="178" spans="2:5" ht="15" customHeight="1" x14ac:dyDescent="0.25">
      <c r="B178" s="89"/>
      <c r="C178" s="46" t="s">
        <v>60</v>
      </c>
      <c r="D178" s="45">
        <v>1</v>
      </c>
      <c r="E178" s="44">
        <v>4.1511000415110004E-4</v>
      </c>
    </row>
    <row r="179" spans="2:5" ht="15" customHeight="1" x14ac:dyDescent="0.25">
      <c r="B179" s="90"/>
      <c r="C179" s="43" t="s">
        <v>23</v>
      </c>
      <c r="D179" s="42">
        <v>38</v>
      </c>
      <c r="E179" s="41">
        <v>1.5774180157741801E-2</v>
      </c>
    </row>
    <row r="180" spans="2:5" ht="15" customHeight="1" x14ac:dyDescent="0.25">
      <c r="B180" s="88" t="s">
        <v>80</v>
      </c>
      <c r="C180" s="46" t="s">
        <v>51</v>
      </c>
      <c r="D180" s="45">
        <v>1</v>
      </c>
      <c r="E180" s="44">
        <v>4.1511000415110004E-4</v>
      </c>
    </row>
    <row r="181" spans="2:5" ht="15" customHeight="1" x14ac:dyDescent="0.25">
      <c r="B181" s="89"/>
      <c r="C181" s="46" t="s">
        <v>46</v>
      </c>
      <c r="D181" s="45">
        <v>1</v>
      </c>
      <c r="E181" s="44">
        <v>4.1511000415110004E-4</v>
      </c>
    </row>
    <row r="182" spans="2:5" ht="15" customHeight="1" x14ac:dyDescent="0.25">
      <c r="B182" s="89"/>
      <c r="C182" s="46" t="s">
        <v>64</v>
      </c>
      <c r="D182" s="45">
        <v>54</v>
      </c>
      <c r="E182" s="44">
        <v>2.2415940224159402E-2</v>
      </c>
    </row>
    <row r="183" spans="2:5" ht="15" customHeight="1" x14ac:dyDescent="0.25">
      <c r="B183" s="89"/>
      <c r="C183" s="46" t="s">
        <v>61</v>
      </c>
      <c r="D183" s="45">
        <v>1</v>
      </c>
      <c r="E183" s="44">
        <v>4.1511000415110004E-4</v>
      </c>
    </row>
    <row r="184" spans="2:5" ht="15" customHeight="1" x14ac:dyDescent="0.25">
      <c r="B184" s="89"/>
      <c r="C184" s="46" t="s">
        <v>58</v>
      </c>
      <c r="D184" s="45">
        <v>5</v>
      </c>
      <c r="E184" s="44">
        <v>2.0755500207555004E-3</v>
      </c>
    </row>
    <row r="185" spans="2:5" ht="15" customHeight="1" x14ac:dyDescent="0.25">
      <c r="B185" s="89"/>
      <c r="C185" s="46" t="s">
        <v>56</v>
      </c>
      <c r="D185" s="45">
        <v>1</v>
      </c>
      <c r="E185" s="44">
        <v>4.1511000415110004E-4</v>
      </c>
    </row>
    <row r="186" spans="2:5" ht="15" customHeight="1" x14ac:dyDescent="0.25">
      <c r="B186" s="89"/>
      <c r="C186" s="46" t="s">
        <v>54</v>
      </c>
      <c r="D186" s="45">
        <v>1</v>
      </c>
      <c r="E186" s="44">
        <v>4.1511000415110004E-4</v>
      </c>
    </row>
    <row r="187" spans="2:5" ht="15" customHeight="1" x14ac:dyDescent="0.25">
      <c r="B187" s="89"/>
      <c r="C187" s="46" t="s">
        <v>34</v>
      </c>
      <c r="D187" s="45">
        <v>1</v>
      </c>
      <c r="E187" s="44">
        <v>4.1511000415110004E-4</v>
      </c>
    </row>
    <row r="188" spans="2:5" ht="15" customHeight="1" x14ac:dyDescent="0.25">
      <c r="B188" s="89"/>
      <c r="C188" s="46" t="s">
        <v>45</v>
      </c>
      <c r="D188" s="45">
        <v>1</v>
      </c>
      <c r="E188" s="44">
        <v>4.1511000415110004E-4</v>
      </c>
    </row>
    <row r="189" spans="2:5" ht="15" customHeight="1" x14ac:dyDescent="0.25">
      <c r="B189" s="89"/>
      <c r="C189" s="46" t="s">
        <v>48</v>
      </c>
      <c r="D189" s="45">
        <v>2</v>
      </c>
      <c r="E189" s="44">
        <v>8.3022000830220008E-4</v>
      </c>
    </row>
    <row r="190" spans="2:5" ht="15" customHeight="1" x14ac:dyDescent="0.25">
      <c r="B190" s="89"/>
      <c r="C190" s="46" t="s">
        <v>59</v>
      </c>
      <c r="D190" s="45">
        <v>5</v>
      </c>
      <c r="E190" s="44">
        <v>2.0755500207555004E-3</v>
      </c>
    </row>
    <row r="191" spans="2:5" ht="15" customHeight="1" x14ac:dyDescent="0.25">
      <c r="B191" s="89"/>
      <c r="C191" s="46" t="s">
        <v>53</v>
      </c>
      <c r="D191" s="45">
        <v>1</v>
      </c>
      <c r="E191" s="44">
        <v>4.1511000415110004E-4</v>
      </c>
    </row>
    <row r="192" spans="2:5" ht="15" customHeight="1" x14ac:dyDescent="0.25">
      <c r="B192" s="89"/>
      <c r="C192" s="46" t="s">
        <v>36</v>
      </c>
      <c r="D192" s="45">
        <v>1</v>
      </c>
      <c r="E192" s="44">
        <v>4.1511000415110004E-4</v>
      </c>
    </row>
    <row r="193" spans="2:5" ht="15" customHeight="1" x14ac:dyDescent="0.25">
      <c r="B193" s="89"/>
      <c r="C193" s="46" t="s">
        <v>62</v>
      </c>
      <c r="D193" s="45">
        <v>3</v>
      </c>
      <c r="E193" s="44">
        <v>1.2453300124533001E-3</v>
      </c>
    </row>
    <row r="194" spans="2:5" ht="15" customHeight="1" x14ac:dyDescent="0.25">
      <c r="B194" s="89"/>
      <c r="C194" s="46" t="s">
        <v>35</v>
      </c>
      <c r="D194" s="45">
        <v>1</v>
      </c>
      <c r="E194" s="44">
        <v>4.1511000415110004E-4</v>
      </c>
    </row>
    <row r="195" spans="2:5" ht="15" customHeight="1" x14ac:dyDescent="0.25">
      <c r="B195" s="89"/>
      <c r="C195" s="46" t="s">
        <v>63</v>
      </c>
      <c r="D195" s="45">
        <v>9</v>
      </c>
      <c r="E195" s="44">
        <v>3.7359900373599006E-3</v>
      </c>
    </row>
    <row r="196" spans="2:5" ht="15" customHeight="1" x14ac:dyDescent="0.25">
      <c r="B196" s="89"/>
      <c r="C196" s="46" t="s">
        <v>57</v>
      </c>
      <c r="D196" s="45">
        <v>6</v>
      </c>
      <c r="E196" s="44">
        <v>2.4906600249066002E-3</v>
      </c>
    </row>
    <row r="197" spans="2:5" ht="15" customHeight="1" x14ac:dyDescent="0.25">
      <c r="B197" s="89"/>
      <c r="C197" s="46" t="s">
        <v>60</v>
      </c>
      <c r="D197" s="45">
        <v>3</v>
      </c>
      <c r="E197" s="44">
        <v>1.2453300124533001E-3</v>
      </c>
    </row>
    <row r="198" spans="2:5" ht="15" customHeight="1" x14ac:dyDescent="0.25">
      <c r="B198" s="90"/>
      <c r="C198" s="43" t="s">
        <v>23</v>
      </c>
      <c r="D198" s="42">
        <v>97</v>
      </c>
      <c r="E198" s="41">
        <v>4.0265670402656703E-2</v>
      </c>
    </row>
    <row r="199" spans="2:5" ht="15" customHeight="1" x14ac:dyDescent="0.25">
      <c r="B199" s="88" t="s">
        <v>79</v>
      </c>
      <c r="C199" s="46" t="s">
        <v>46</v>
      </c>
      <c r="D199" s="45">
        <v>1</v>
      </c>
      <c r="E199" s="44">
        <v>4.1511000415110004E-4</v>
      </c>
    </row>
    <row r="200" spans="2:5" ht="15" customHeight="1" x14ac:dyDescent="0.25">
      <c r="B200" s="89"/>
      <c r="C200" s="46" t="s">
        <v>55</v>
      </c>
      <c r="D200" s="45">
        <v>2</v>
      </c>
      <c r="E200" s="44">
        <v>8.3022000830220008E-4</v>
      </c>
    </row>
    <row r="201" spans="2:5" ht="15" customHeight="1" x14ac:dyDescent="0.25">
      <c r="B201" s="89"/>
      <c r="C201" s="46" t="s">
        <v>64</v>
      </c>
      <c r="D201" s="45">
        <v>266</v>
      </c>
      <c r="E201" s="44">
        <v>0.11041926110419262</v>
      </c>
    </row>
    <row r="202" spans="2:5" ht="15" customHeight="1" x14ac:dyDescent="0.25">
      <c r="B202" s="89"/>
      <c r="C202" s="46" t="s">
        <v>61</v>
      </c>
      <c r="D202" s="45">
        <v>10</v>
      </c>
      <c r="E202" s="44">
        <v>4.1511000415110008E-3</v>
      </c>
    </row>
    <row r="203" spans="2:5" ht="15" customHeight="1" x14ac:dyDescent="0.25">
      <c r="B203" s="89"/>
      <c r="C203" s="46" t="s">
        <v>58</v>
      </c>
      <c r="D203" s="45">
        <v>14</v>
      </c>
      <c r="E203" s="44">
        <v>5.811540058115401E-3</v>
      </c>
    </row>
    <row r="204" spans="2:5" ht="15" customHeight="1" x14ac:dyDescent="0.25">
      <c r="B204" s="89"/>
      <c r="C204" s="46" t="s">
        <v>49</v>
      </c>
      <c r="D204" s="45">
        <v>2</v>
      </c>
      <c r="E204" s="44">
        <v>8.3022000830220008E-4</v>
      </c>
    </row>
    <row r="205" spans="2:5" ht="15" customHeight="1" x14ac:dyDescent="0.25">
      <c r="B205" s="89"/>
      <c r="C205" s="46" t="s">
        <v>47</v>
      </c>
      <c r="D205" s="45">
        <v>1</v>
      </c>
      <c r="E205" s="44">
        <v>4.1511000415110004E-4</v>
      </c>
    </row>
    <row r="206" spans="2:5" ht="15" customHeight="1" x14ac:dyDescent="0.25">
      <c r="B206" s="89"/>
      <c r="C206" s="46" t="s">
        <v>56</v>
      </c>
      <c r="D206" s="45">
        <v>5</v>
      </c>
      <c r="E206" s="44">
        <v>2.0755500207555004E-3</v>
      </c>
    </row>
    <row r="207" spans="2:5" ht="15" customHeight="1" x14ac:dyDescent="0.25">
      <c r="B207" s="89"/>
      <c r="C207" s="46" t="s">
        <v>54</v>
      </c>
      <c r="D207" s="45">
        <v>2</v>
      </c>
      <c r="E207" s="44">
        <v>8.3022000830220008E-4</v>
      </c>
    </row>
    <row r="208" spans="2:5" ht="15" customHeight="1" x14ac:dyDescent="0.25">
      <c r="B208" s="89"/>
      <c r="C208" s="46" t="s">
        <v>45</v>
      </c>
      <c r="D208" s="45">
        <v>1</v>
      </c>
      <c r="E208" s="44">
        <v>4.1511000415110004E-4</v>
      </c>
    </row>
    <row r="209" spans="2:5" ht="15" customHeight="1" x14ac:dyDescent="0.25">
      <c r="B209" s="89"/>
      <c r="C209" s="46" t="s">
        <v>52</v>
      </c>
      <c r="D209" s="45">
        <v>2</v>
      </c>
      <c r="E209" s="44">
        <v>8.3022000830220008E-4</v>
      </c>
    </row>
    <row r="210" spans="2:5" ht="15" customHeight="1" x14ac:dyDescent="0.25">
      <c r="B210" s="89"/>
      <c r="C210" s="46" t="s">
        <v>37</v>
      </c>
      <c r="D210" s="45">
        <v>1</v>
      </c>
      <c r="E210" s="44">
        <v>4.1511000415110004E-4</v>
      </c>
    </row>
    <row r="211" spans="2:5" ht="15" customHeight="1" x14ac:dyDescent="0.25">
      <c r="B211" s="89"/>
      <c r="C211" s="46" t="s">
        <v>40</v>
      </c>
      <c r="D211" s="45">
        <v>1</v>
      </c>
      <c r="E211" s="44">
        <v>4.1511000415110004E-4</v>
      </c>
    </row>
    <row r="212" spans="2:5" ht="15" customHeight="1" x14ac:dyDescent="0.25">
      <c r="B212" s="89"/>
      <c r="C212" s="46" t="s">
        <v>32</v>
      </c>
      <c r="D212" s="45">
        <v>1</v>
      </c>
      <c r="E212" s="44">
        <v>4.1511000415110004E-4</v>
      </c>
    </row>
    <row r="213" spans="2:5" ht="15" customHeight="1" x14ac:dyDescent="0.25">
      <c r="B213" s="89"/>
      <c r="C213" s="46" t="s">
        <v>43</v>
      </c>
      <c r="D213" s="45">
        <v>3</v>
      </c>
      <c r="E213" s="44">
        <v>1.2453300124533001E-3</v>
      </c>
    </row>
    <row r="214" spans="2:5" ht="15" customHeight="1" x14ac:dyDescent="0.25">
      <c r="B214" s="89"/>
      <c r="C214" s="46" t="s">
        <v>59</v>
      </c>
      <c r="D214" s="45">
        <v>13</v>
      </c>
      <c r="E214" s="44">
        <v>5.3964300539643007E-3</v>
      </c>
    </row>
    <row r="215" spans="2:5" ht="15" customHeight="1" x14ac:dyDescent="0.25">
      <c r="B215" s="89"/>
      <c r="C215" s="46" t="s">
        <v>44</v>
      </c>
      <c r="D215" s="45">
        <v>1</v>
      </c>
      <c r="E215" s="44">
        <v>4.1511000415110004E-4</v>
      </c>
    </row>
    <row r="216" spans="2:5" ht="15" customHeight="1" x14ac:dyDescent="0.25">
      <c r="B216" s="89"/>
      <c r="C216" s="46" t="s">
        <v>50</v>
      </c>
      <c r="D216" s="45">
        <v>1</v>
      </c>
      <c r="E216" s="44">
        <v>4.1511000415110004E-4</v>
      </c>
    </row>
    <row r="217" spans="2:5" ht="15" customHeight="1" x14ac:dyDescent="0.25">
      <c r="B217" s="89"/>
      <c r="C217" s="46" t="s">
        <v>53</v>
      </c>
      <c r="D217" s="45">
        <v>2</v>
      </c>
      <c r="E217" s="44">
        <v>8.3022000830220008E-4</v>
      </c>
    </row>
    <row r="218" spans="2:5" ht="15" customHeight="1" x14ac:dyDescent="0.25">
      <c r="B218" s="89"/>
      <c r="C218" s="46" t="s">
        <v>36</v>
      </c>
      <c r="D218" s="45">
        <v>1</v>
      </c>
      <c r="E218" s="44">
        <v>4.1511000415110004E-4</v>
      </c>
    </row>
    <row r="219" spans="2:5" ht="15" customHeight="1" x14ac:dyDescent="0.25">
      <c r="B219" s="89"/>
      <c r="C219" s="46" t="s">
        <v>62</v>
      </c>
      <c r="D219" s="45">
        <v>17</v>
      </c>
      <c r="E219" s="44">
        <v>7.0568700705687009E-3</v>
      </c>
    </row>
    <row r="220" spans="2:5" ht="15" customHeight="1" x14ac:dyDescent="0.25">
      <c r="B220" s="89"/>
      <c r="C220" s="46" t="s">
        <v>42</v>
      </c>
      <c r="D220" s="45">
        <v>1</v>
      </c>
      <c r="E220" s="44">
        <v>4.1511000415110004E-4</v>
      </c>
    </row>
    <row r="221" spans="2:5" ht="15" customHeight="1" x14ac:dyDescent="0.25">
      <c r="B221" s="89"/>
      <c r="C221" s="46" t="s">
        <v>39</v>
      </c>
      <c r="D221" s="45">
        <v>1</v>
      </c>
      <c r="E221" s="44">
        <v>4.1511000415110004E-4</v>
      </c>
    </row>
    <row r="222" spans="2:5" ht="15" customHeight="1" x14ac:dyDescent="0.25">
      <c r="B222" s="89"/>
      <c r="C222" s="46" t="s">
        <v>63</v>
      </c>
      <c r="D222" s="45">
        <v>50</v>
      </c>
      <c r="E222" s="44">
        <v>2.0755500207555001E-2</v>
      </c>
    </row>
    <row r="223" spans="2:5" ht="15" customHeight="1" x14ac:dyDescent="0.25">
      <c r="B223" s="89"/>
      <c r="C223" s="46" t="s">
        <v>57</v>
      </c>
      <c r="D223" s="45">
        <v>11</v>
      </c>
      <c r="E223" s="44">
        <v>4.5662100456621002E-3</v>
      </c>
    </row>
    <row r="224" spans="2:5" ht="15" customHeight="1" x14ac:dyDescent="0.25">
      <c r="B224" s="89"/>
      <c r="C224" s="46" t="s">
        <v>60</v>
      </c>
      <c r="D224" s="45">
        <v>11</v>
      </c>
      <c r="E224" s="44">
        <v>4.5662100456621002E-3</v>
      </c>
    </row>
    <row r="225" spans="2:5" ht="15" customHeight="1" x14ac:dyDescent="0.25">
      <c r="B225" s="89"/>
      <c r="C225" s="46" t="s">
        <v>38</v>
      </c>
      <c r="D225" s="45">
        <v>3</v>
      </c>
      <c r="E225" s="44">
        <v>1.2453300124533001E-3</v>
      </c>
    </row>
    <row r="226" spans="2:5" ht="15" customHeight="1" x14ac:dyDescent="0.25">
      <c r="B226" s="90"/>
      <c r="C226" s="43" t="s">
        <v>23</v>
      </c>
      <c r="D226" s="42">
        <v>424</v>
      </c>
      <c r="E226" s="41">
        <v>0.17600664176006642</v>
      </c>
    </row>
    <row r="227" spans="2:5" ht="15" customHeight="1" x14ac:dyDescent="0.25">
      <c r="B227" s="88" t="s">
        <v>78</v>
      </c>
      <c r="C227" s="46" t="s">
        <v>64</v>
      </c>
      <c r="D227" s="45">
        <v>4</v>
      </c>
      <c r="E227" s="44">
        <v>1.6604400166044002E-3</v>
      </c>
    </row>
    <row r="228" spans="2:5" ht="15" customHeight="1" x14ac:dyDescent="0.25">
      <c r="B228" s="89"/>
      <c r="C228" s="46" t="s">
        <v>49</v>
      </c>
      <c r="D228" s="45">
        <v>1</v>
      </c>
      <c r="E228" s="44">
        <v>4.1511000415110004E-4</v>
      </c>
    </row>
    <row r="229" spans="2:5" ht="15" customHeight="1" x14ac:dyDescent="0.25">
      <c r="B229" s="89"/>
      <c r="C229" s="46" t="s">
        <v>63</v>
      </c>
      <c r="D229" s="45">
        <v>1</v>
      </c>
      <c r="E229" s="44">
        <v>4.1511000415110004E-4</v>
      </c>
    </row>
    <row r="230" spans="2:5" ht="15" customHeight="1" x14ac:dyDescent="0.25">
      <c r="B230" s="90"/>
      <c r="C230" s="43" t="s">
        <v>23</v>
      </c>
      <c r="D230" s="42">
        <v>6</v>
      </c>
      <c r="E230" s="41">
        <v>2.4906600249066002E-3</v>
      </c>
    </row>
    <row r="231" spans="2:5" ht="15" customHeight="1" x14ac:dyDescent="0.25">
      <c r="B231" s="88" t="s">
        <v>77</v>
      </c>
      <c r="C231" s="46" t="s">
        <v>46</v>
      </c>
      <c r="D231" s="45">
        <v>1</v>
      </c>
      <c r="E231" s="44">
        <v>4.1511000415110004E-4</v>
      </c>
    </row>
    <row r="232" spans="2:5" ht="15" customHeight="1" x14ac:dyDescent="0.25">
      <c r="B232" s="89"/>
      <c r="C232" s="46" t="s">
        <v>64</v>
      </c>
      <c r="D232" s="45">
        <v>5</v>
      </c>
      <c r="E232" s="44">
        <v>2.0755500207555004E-3</v>
      </c>
    </row>
    <row r="233" spans="2:5" ht="15" customHeight="1" x14ac:dyDescent="0.25">
      <c r="B233" s="89"/>
      <c r="C233" s="46" t="s">
        <v>63</v>
      </c>
      <c r="D233" s="45">
        <v>1</v>
      </c>
      <c r="E233" s="44">
        <v>4.1511000415110004E-4</v>
      </c>
    </row>
    <row r="234" spans="2:5" ht="15" customHeight="1" x14ac:dyDescent="0.25">
      <c r="B234" s="90"/>
      <c r="C234" s="43" t="s">
        <v>23</v>
      </c>
      <c r="D234" s="42">
        <v>7</v>
      </c>
      <c r="E234" s="41">
        <v>2.9057700290577005E-3</v>
      </c>
    </row>
    <row r="235" spans="2:5" ht="15" customHeight="1" x14ac:dyDescent="0.25">
      <c r="B235" s="88" t="s">
        <v>76</v>
      </c>
      <c r="C235" s="46" t="s">
        <v>64</v>
      </c>
      <c r="D235" s="45">
        <v>3</v>
      </c>
      <c r="E235" s="44">
        <v>1.2453300124533001E-3</v>
      </c>
    </row>
    <row r="236" spans="2:5" ht="15" customHeight="1" x14ac:dyDescent="0.25">
      <c r="B236" s="89"/>
      <c r="C236" s="46" t="s">
        <v>63</v>
      </c>
      <c r="D236" s="45">
        <v>1</v>
      </c>
      <c r="E236" s="44">
        <v>4.1511000415110004E-4</v>
      </c>
    </row>
    <row r="237" spans="2:5" ht="15" customHeight="1" x14ac:dyDescent="0.25">
      <c r="B237" s="90"/>
      <c r="C237" s="43" t="s">
        <v>23</v>
      </c>
      <c r="D237" s="42">
        <v>4</v>
      </c>
      <c r="E237" s="41">
        <v>1.6604400166044002E-3</v>
      </c>
    </row>
    <row r="238" spans="2:5" ht="15" customHeight="1" x14ac:dyDescent="0.25">
      <c r="B238" s="88" t="s">
        <v>75</v>
      </c>
      <c r="C238" s="46" t="s">
        <v>64</v>
      </c>
      <c r="D238" s="45">
        <v>2</v>
      </c>
      <c r="E238" s="44">
        <v>8.3022000830220008E-4</v>
      </c>
    </row>
    <row r="239" spans="2:5" ht="15" customHeight="1" x14ac:dyDescent="0.25">
      <c r="B239" s="90"/>
      <c r="C239" s="43" t="s">
        <v>23</v>
      </c>
      <c r="D239" s="42">
        <v>2</v>
      </c>
      <c r="E239" s="41">
        <v>8.3022000830220008E-4</v>
      </c>
    </row>
    <row r="240" spans="2:5" ht="15" customHeight="1" x14ac:dyDescent="0.25">
      <c r="B240" s="88" t="s">
        <v>74</v>
      </c>
      <c r="C240" s="46" t="s">
        <v>46</v>
      </c>
      <c r="D240" s="45">
        <v>1</v>
      </c>
      <c r="E240" s="44">
        <v>4.1511000415110004E-4</v>
      </c>
    </row>
    <row r="241" spans="2:5" ht="15" customHeight="1" x14ac:dyDescent="0.25">
      <c r="B241" s="89"/>
      <c r="C241" s="46" t="s">
        <v>55</v>
      </c>
      <c r="D241" s="45">
        <v>1</v>
      </c>
      <c r="E241" s="44">
        <v>4.1511000415110004E-4</v>
      </c>
    </row>
    <row r="242" spans="2:5" ht="15" customHeight="1" x14ac:dyDescent="0.25">
      <c r="B242" s="89"/>
      <c r="C242" s="46" t="s">
        <v>64</v>
      </c>
      <c r="D242" s="45">
        <v>16</v>
      </c>
      <c r="E242" s="44">
        <v>6.6417600664176006E-3</v>
      </c>
    </row>
    <row r="243" spans="2:5" ht="15" customHeight="1" x14ac:dyDescent="0.25">
      <c r="B243" s="89"/>
      <c r="C243" s="46" t="s">
        <v>61</v>
      </c>
      <c r="D243" s="45">
        <v>2</v>
      </c>
      <c r="E243" s="44">
        <v>8.3022000830220008E-4</v>
      </c>
    </row>
    <row r="244" spans="2:5" ht="15" customHeight="1" x14ac:dyDescent="0.25">
      <c r="B244" s="89"/>
      <c r="C244" s="46" t="s">
        <v>56</v>
      </c>
      <c r="D244" s="45">
        <v>1</v>
      </c>
      <c r="E244" s="44">
        <v>4.1511000415110004E-4</v>
      </c>
    </row>
    <row r="245" spans="2:5" ht="15" customHeight="1" x14ac:dyDescent="0.25">
      <c r="B245" s="89"/>
      <c r="C245" s="46" t="s">
        <v>54</v>
      </c>
      <c r="D245" s="45">
        <v>2</v>
      </c>
      <c r="E245" s="44">
        <v>8.3022000830220008E-4</v>
      </c>
    </row>
    <row r="246" spans="2:5" ht="15" customHeight="1" x14ac:dyDescent="0.25">
      <c r="B246" s="89"/>
      <c r="C246" s="46" t="s">
        <v>41</v>
      </c>
      <c r="D246" s="45">
        <v>1</v>
      </c>
      <c r="E246" s="44">
        <v>4.1511000415110004E-4</v>
      </c>
    </row>
    <row r="247" spans="2:5" ht="15" customHeight="1" x14ac:dyDescent="0.25">
      <c r="B247" s="89"/>
      <c r="C247" s="46" t="s">
        <v>40</v>
      </c>
      <c r="D247" s="45">
        <v>1</v>
      </c>
      <c r="E247" s="44">
        <v>4.1511000415110004E-4</v>
      </c>
    </row>
    <row r="248" spans="2:5" ht="15" customHeight="1" x14ac:dyDescent="0.25">
      <c r="B248" s="89"/>
      <c r="C248" s="46" t="s">
        <v>59</v>
      </c>
      <c r="D248" s="45">
        <v>3</v>
      </c>
      <c r="E248" s="44">
        <v>1.2453300124533001E-3</v>
      </c>
    </row>
    <row r="249" spans="2:5" ht="15" customHeight="1" x14ac:dyDescent="0.25">
      <c r="B249" s="89"/>
      <c r="C249" s="46" t="s">
        <v>50</v>
      </c>
      <c r="D249" s="45">
        <v>1</v>
      </c>
      <c r="E249" s="44">
        <v>4.1511000415110004E-4</v>
      </c>
    </row>
    <row r="250" spans="2:5" ht="15" customHeight="1" x14ac:dyDescent="0.25">
      <c r="B250" s="89"/>
      <c r="C250" s="46" t="s">
        <v>39</v>
      </c>
      <c r="D250" s="45">
        <v>1</v>
      </c>
      <c r="E250" s="44">
        <v>4.1511000415110004E-4</v>
      </c>
    </row>
    <row r="251" spans="2:5" ht="15" customHeight="1" x14ac:dyDescent="0.25">
      <c r="B251" s="89"/>
      <c r="C251" s="46" t="s">
        <v>63</v>
      </c>
      <c r="D251" s="45">
        <v>3</v>
      </c>
      <c r="E251" s="44">
        <v>1.2453300124533001E-3</v>
      </c>
    </row>
    <row r="252" spans="2:5" ht="15" customHeight="1" x14ac:dyDescent="0.25">
      <c r="B252" s="89"/>
      <c r="C252" s="46" t="s">
        <v>57</v>
      </c>
      <c r="D252" s="45">
        <v>2</v>
      </c>
      <c r="E252" s="44">
        <v>8.3022000830220008E-4</v>
      </c>
    </row>
    <row r="253" spans="2:5" ht="15" customHeight="1" x14ac:dyDescent="0.25">
      <c r="B253" s="90"/>
      <c r="C253" s="43" t="s">
        <v>23</v>
      </c>
      <c r="D253" s="42">
        <v>35</v>
      </c>
      <c r="E253" s="41">
        <v>1.4528850145288501E-2</v>
      </c>
    </row>
    <row r="254" spans="2:5" ht="15" customHeight="1" x14ac:dyDescent="0.25">
      <c r="B254" s="88" t="s">
        <v>73</v>
      </c>
      <c r="C254" s="46" t="s">
        <v>46</v>
      </c>
      <c r="D254" s="45">
        <v>2</v>
      </c>
      <c r="E254" s="44">
        <v>8.3022000830220008E-4</v>
      </c>
    </row>
    <row r="255" spans="2:5" ht="15" customHeight="1" x14ac:dyDescent="0.25">
      <c r="B255" s="89"/>
      <c r="C255" s="46" t="s">
        <v>64</v>
      </c>
      <c r="D255" s="45">
        <v>46</v>
      </c>
      <c r="E255" s="44">
        <v>1.9095060190950603E-2</v>
      </c>
    </row>
    <row r="256" spans="2:5" ht="15" customHeight="1" x14ac:dyDescent="0.25">
      <c r="B256" s="89"/>
      <c r="C256" s="46" t="s">
        <v>61</v>
      </c>
      <c r="D256" s="45">
        <v>3</v>
      </c>
      <c r="E256" s="44">
        <v>1.2453300124533001E-3</v>
      </c>
    </row>
    <row r="257" spans="2:5" ht="15" customHeight="1" x14ac:dyDescent="0.25">
      <c r="B257" s="89"/>
      <c r="C257" s="46" t="s">
        <v>29</v>
      </c>
      <c r="D257" s="45">
        <v>1</v>
      </c>
      <c r="E257" s="44">
        <v>4.1511000415110004E-4</v>
      </c>
    </row>
    <row r="258" spans="2:5" ht="15" customHeight="1" x14ac:dyDescent="0.25">
      <c r="B258" s="89"/>
      <c r="C258" s="46" t="s">
        <v>58</v>
      </c>
      <c r="D258" s="45">
        <v>5</v>
      </c>
      <c r="E258" s="44">
        <v>2.0755500207555004E-3</v>
      </c>
    </row>
    <row r="259" spans="2:5" ht="15" customHeight="1" x14ac:dyDescent="0.25">
      <c r="B259" s="89"/>
      <c r="C259" s="46" t="s">
        <v>56</v>
      </c>
      <c r="D259" s="45">
        <v>1</v>
      </c>
      <c r="E259" s="44">
        <v>4.1511000415110004E-4</v>
      </c>
    </row>
    <row r="260" spans="2:5" ht="15" customHeight="1" x14ac:dyDescent="0.25">
      <c r="B260" s="89"/>
      <c r="C260" s="46" t="s">
        <v>54</v>
      </c>
      <c r="D260" s="45">
        <v>4</v>
      </c>
      <c r="E260" s="44">
        <v>1.6604400166044002E-3</v>
      </c>
    </row>
    <row r="261" spans="2:5" ht="15" customHeight="1" x14ac:dyDescent="0.25">
      <c r="B261" s="89"/>
      <c r="C261" s="46" t="s">
        <v>34</v>
      </c>
      <c r="D261" s="45">
        <v>1</v>
      </c>
      <c r="E261" s="44">
        <v>4.1511000415110004E-4</v>
      </c>
    </row>
    <row r="262" spans="2:5" ht="15" customHeight="1" x14ac:dyDescent="0.25">
      <c r="B262" s="89"/>
      <c r="C262" s="46" t="s">
        <v>45</v>
      </c>
      <c r="D262" s="45">
        <v>2</v>
      </c>
      <c r="E262" s="44">
        <v>8.3022000830220008E-4</v>
      </c>
    </row>
    <row r="263" spans="2:5" ht="15" customHeight="1" x14ac:dyDescent="0.25">
      <c r="B263" s="89"/>
      <c r="C263" s="46" t="s">
        <v>52</v>
      </c>
      <c r="D263" s="45">
        <v>1</v>
      </c>
      <c r="E263" s="44">
        <v>4.1511000415110004E-4</v>
      </c>
    </row>
    <row r="264" spans="2:5" ht="15" customHeight="1" x14ac:dyDescent="0.25">
      <c r="B264" s="89"/>
      <c r="C264" s="46" t="s">
        <v>40</v>
      </c>
      <c r="D264" s="45">
        <v>1</v>
      </c>
      <c r="E264" s="44">
        <v>4.1511000415110004E-4</v>
      </c>
    </row>
    <row r="265" spans="2:5" ht="15" customHeight="1" x14ac:dyDescent="0.25">
      <c r="B265" s="89"/>
      <c r="C265" s="46" t="s">
        <v>59</v>
      </c>
      <c r="D265" s="45">
        <v>1</v>
      </c>
      <c r="E265" s="44">
        <v>4.1511000415110004E-4</v>
      </c>
    </row>
    <row r="266" spans="2:5" ht="15" customHeight="1" x14ac:dyDescent="0.25">
      <c r="B266" s="89"/>
      <c r="C266" s="46" t="s">
        <v>44</v>
      </c>
      <c r="D266" s="45">
        <v>2</v>
      </c>
      <c r="E266" s="44">
        <v>8.3022000830220008E-4</v>
      </c>
    </row>
    <row r="267" spans="2:5" ht="15" customHeight="1" x14ac:dyDescent="0.25">
      <c r="B267" s="89"/>
      <c r="C267" s="46" t="s">
        <v>50</v>
      </c>
      <c r="D267" s="45">
        <v>4</v>
      </c>
      <c r="E267" s="44">
        <v>1.6604400166044002E-3</v>
      </c>
    </row>
    <row r="268" spans="2:5" ht="15" customHeight="1" x14ac:dyDescent="0.25">
      <c r="B268" s="89"/>
      <c r="C268" s="46" t="s">
        <v>53</v>
      </c>
      <c r="D268" s="45">
        <v>1</v>
      </c>
      <c r="E268" s="44">
        <v>4.1511000415110004E-4</v>
      </c>
    </row>
    <row r="269" spans="2:5" ht="15" customHeight="1" x14ac:dyDescent="0.25">
      <c r="B269" s="89"/>
      <c r="C269" s="46" t="s">
        <v>31</v>
      </c>
      <c r="D269" s="45">
        <v>1</v>
      </c>
      <c r="E269" s="44">
        <v>4.1511000415110004E-4</v>
      </c>
    </row>
    <row r="270" spans="2:5" ht="15" customHeight="1" x14ac:dyDescent="0.25">
      <c r="B270" s="89"/>
      <c r="C270" s="46" t="s">
        <v>62</v>
      </c>
      <c r="D270" s="45">
        <v>2</v>
      </c>
      <c r="E270" s="44">
        <v>8.3022000830220008E-4</v>
      </c>
    </row>
    <row r="271" spans="2:5" ht="15" customHeight="1" x14ac:dyDescent="0.25">
      <c r="B271" s="89"/>
      <c r="C271" s="46" t="s">
        <v>63</v>
      </c>
      <c r="D271" s="45">
        <v>11</v>
      </c>
      <c r="E271" s="44">
        <v>4.5662100456621002E-3</v>
      </c>
    </row>
    <row r="272" spans="2:5" ht="15" customHeight="1" x14ac:dyDescent="0.25">
      <c r="B272" s="89"/>
      <c r="C272" s="46" t="s">
        <v>57</v>
      </c>
      <c r="D272" s="45">
        <v>4</v>
      </c>
      <c r="E272" s="44">
        <v>1.6604400166044002E-3</v>
      </c>
    </row>
    <row r="273" spans="2:5" ht="15" customHeight="1" x14ac:dyDescent="0.25">
      <c r="B273" s="89"/>
      <c r="C273" s="46" t="s">
        <v>60</v>
      </c>
      <c r="D273" s="45">
        <v>3</v>
      </c>
      <c r="E273" s="44">
        <v>1.2453300124533001E-3</v>
      </c>
    </row>
    <row r="274" spans="2:5" ht="15" customHeight="1" x14ac:dyDescent="0.25">
      <c r="B274" s="90"/>
      <c r="C274" s="43" t="s">
        <v>23</v>
      </c>
      <c r="D274" s="42">
        <v>96</v>
      </c>
      <c r="E274" s="41">
        <v>3.9850560398505604E-2</v>
      </c>
    </row>
    <row r="275" spans="2:5" ht="15" customHeight="1" x14ac:dyDescent="0.25">
      <c r="B275" s="88" t="s">
        <v>72</v>
      </c>
      <c r="C275" s="46" t="s">
        <v>58</v>
      </c>
      <c r="D275" s="45">
        <v>1</v>
      </c>
      <c r="E275" s="44">
        <v>4.1511000415110004E-4</v>
      </c>
    </row>
    <row r="276" spans="2:5" ht="15" customHeight="1" x14ac:dyDescent="0.25">
      <c r="B276" s="89"/>
      <c r="C276" s="46" t="s">
        <v>50</v>
      </c>
      <c r="D276" s="45">
        <v>1</v>
      </c>
      <c r="E276" s="44">
        <v>4.1511000415110004E-4</v>
      </c>
    </row>
    <row r="277" spans="2:5" ht="15" customHeight="1" x14ac:dyDescent="0.25">
      <c r="B277" s="89"/>
      <c r="C277" s="46" t="s">
        <v>63</v>
      </c>
      <c r="D277" s="45">
        <v>1</v>
      </c>
      <c r="E277" s="44">
        <v>4.1511000415110004E-4</v>
      </c>
    </row>
    <row r="278" spans="2:5" ht="15" customHeight="1" x14ac:dyDescent="0.25">
      <c r="B278" s="90"/>
      <c r="C278" s="43" t="s">
        <v>23</v>
      </c>
      <c r="D278" s="42">
        <v>3</v>
      </c>
      <c r="E278" s="41">
        <v>1.2453300124533001E-3</v>
      </c>
    </row>
    <row r="279" spans="2:5" ht="15" customHeight="1" x14ac:dyDescent="0.25">
      <c r="B279" s="88" t="s">
        <v>71</v>
      </c>
      <c r="C279" s="46" t="s">
        <v>64</v>
      </c>
      <c r="D279" s="45">
        <v>2</v>
      </c>
      <c r="E279" s="44">
        <v>8.3022000830220008E-4</v>
      </c>
    </row>
    <row r="280" spans="2:5" ht="15" customHeight="1" x14ac:dyDescent="0.25">
      <c r="B280" s="90"/>
      <c r="C280" s="43" t="s">
        <v>23</v>
      </c>
      <c r="D280" s="42">
        <v>2</v>
      </c>
      <c r="E280" s="41">
        <v>8.3022000830220008E-4</v>
      </c>
    </row>
    <row r="281" spans="2:5" ht="15" customHeight="1" x14ac:dyDescent="0.25">
      <c r="B281" s="91" t="s">
        <v>23</v>
      </c>
      <c r="C281" s="92"/>
      <c r="D281" s="40">
        <v>2409</v>
      </c>
      <c r="E281" s="39">
        <v>1</v>
      </c>
    </row>
    <row r="283" spans="2:5" ht="15" customHeight="1" x14ac:dyDescent="0.25">
      <c r="B283" s="19" t="s">
        <v>22</v>
      </c>
    </row>
    <row r="284" spans="2:5" ht="15" customHeight="1" x14ac:dyDescent="0.25">
      <c r="B284" s="21" t="s">
        <v>21</v>
      </c>
    </row>
    <row r="285" spans="2:5" ht="15" customHeight="1" x14ac:dyDescent="0.25">
      <c r="B285" s="20" t="s">
        <v>20</v>
      </c>
    </row>
    <row r="286" spans="2:5" ht="15" customHeight="1" x14ac:dyDescent="0.25">
      <c r="B286" s="19" t="s">
        <v>19</v>
      </c>
    </row>
    <row r="287" spans="2:5" ht="15" customHeight="1" x14ac:dyDescent="0.25">
      <c r="B287" s="19" t="s">
        <v>18</v>
      </c>
    </row>
  </sheetData>
  <mergeCells count="26">
    <mergeCell ref="B279:B280"/>
    <mergeCell ref="B281:C281"/>
    <mergeCell ref="B231:B234"/>
    <mergeCell ref="B235:B237"/>
    <mergeCell ref="B238:B239"/>
    <mergeCell ref="B240:B253"/>
    <mergeCell ref="B254:B274"/>
    <mergeCell ref="B275:B278"/>
    <mergeCell ref="B102:B107"/>
    <mergeCell ref="B108:B119"/>
    <mergeCell ref="B120:B133"/>
    <mergeCell ref="B134:B167"/>
    <mergeCell ref="B168:B179"/>
    <mergeCell ref="B180:B198"/>
    <mergeCell ref="B199:B226"/>
    <mergeCell ref="B227:B230"/>
    <mergeCell ref="B7:E8"/>
    <mergeCell ref="B10:B11"/>
    <mergeCell ref="B12:B21"/>
    <mergeCell ref="B22:B27"/>
    <mergeCell ref="B28:B34"/>
    <mergeCell ref="B35:B46"/>
    <mergeCell ref="B47:B54"/>
    <mergeCell ref="B55:B63"/>
    <mergeCell ref="B64:B79"/>
    <mergeCell ref="B80:B1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7" manualBreakCount="7">
    <brk id="46" max="4" man="1"/>
    <brk id="79" max="4" man="1"/>
    <brk id="119" max="4" man="1"/>
    <brk id="133" max="4" man="1"/>
    <brk id="167" max="4" man="1"/>
    <brk id="198" max="4" man="1"/>
    <brk id="239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08"/>
  <sheetViews>
    <sheetView view="pageBreakPreview" zoomScale="8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4.57031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87"/>
      <c r="C7" s="87"/>
      <c r="D7" s="87"/>
      <c r="E7" s="87"/>
    </row>
    <row r="8" spans="1:5" s="50" customFormat="1" ht="33" customHeight="1" x14ac:dyDescent="0.3">
      <c r="A8" s="51"/>
      <c r="B8" s="87"/>
      <c r="C8" s="87"/>
      <c r="D8" s="87"/>
      <c r="E8" s="87"/>
    </row>
    <row r="9" spans="1:5" s="29" customFormat="1" ht="40.5" customHeight="1" x14ac:dyDescent="0.2">
      <c r="B9" s="47" t="s">
        <v>142</v>
      </c>
      <c r="C9" s="49" t="s">
        <v>96</v>
      </c>
      <c r="D9" s="48" t="s">
        <v>66</v>
      </c>
      <c r="E9" s="47" t="s">
        <v>65</v>
      </c>
    </row>
    <row r="10" spans="1:5" ht="15" customHeight="1" x14ac:dyDescent="0.25">
      <c r="B10" s="88" t="s">
        <v>141</v>
      </c>
      <c r="C10" s="46" t="s">
        <v>82</v>
      </c>
      <c r="D10" s="45">
        <v>1</v>
      </c>
      <c r="E10" s="44">
        <v>4.1528239202657808E-4</v>
      </c>
    </row>
    <row r="11" spans="1:5" ht="15" customHeight="1" x14ac:dyDescent="0.25">
      <c r="B11" s="90"/>
      <c r="C11" s="43" t="s">
        <v>23</v>
      </c>
      <c r="D11" s="42">
        <v>1</v>
      </c>
      <c r="E11" s="41">
        <v>4.1528239202657808E-4</v>
      </c>
    </row>
    <row r="12" spans="1:5" ht="15" customHeight="1" x14ac:dyDescent="0.25">
      <c r="B12" s="88" t="s">
        <v>140</v>
      </c>
      <c r="C12" s="46" t="s">
        <v>93</v>
      </c>
      <c r="D12" s="45">
        <v>1</v>
      </c>
      <c r="E12" s="44">
        <v>4.1528239202657808E-4</v>
      </c>
    </row>
    <row r="13" spans="1:5" ht="15" customHeight="1" x14ac:dyDescent="0.25">
      <c r="B13" s="89"/>
      <c r="C13" s="46" t="s">
        <v>90</v>
      </c>
      <c r="D13" s="45">
        <v>2</v>
      </c>
      <c r="E13" s="44">
        <v>8.3056478405315617E-4</v>
      </c>
    </row>
    <row r="14" spans="1:5" ht="15" customHeight="1" x14ac:dyDescent="0.25">
      <c r="B14" s="89"/>
      <c r="C14" s="46" t="s">
        <v>89</v>
      </c>
      <c r="D14" s="45">
        <v>2</v>
      </c>
      <c r="E14" s="44">
        <v>8.3056478405315617E-4</v>
      </c>
    </row>
    <row r="15" spans="1:5" ht="15" customHeight="1" x14ac:dyDescent="0.25">
      <c r="B15" s="89"/>
      <c r="C15" s="46" t="s">
        <v>87</v>
      </c>
      <c r="D15" s="45">
        <v>1</v>
      </c>
      <c r="E15" s="44">
        <v>4.1528239202657808E-4</v>
      </c>
    </row>
    <row r="16" spans="1:5" ht="15" customHeight="1" x14ac:dyDescent="0.25">
      <c r="B16" s="89"/>
      <c r="C16" s="46" t="s">
        <v>86</v>
      </c>
      <c r="D16" s="45">
        <v>4</v>
      </c>
      <c r="E16" s="44">
        <v>1.6611295681063123E-3</v>
      </c>
    </row>
    <row r="17" spans="2:5" ht="15" customHeight="1" x14ac:dyDescent="0.25">
      <c r="B17" s="89"/>
      <c r="C17" s="46" t="s">
        <v>82</v>
      </c>
      <c r="D17" s="45">
        <v>6</v>
      </c>
      <c r="E17" s="44">
        <v>2.4916943521594683E-3</v>
      </c>
    </row>
    <row r="18" spans="2:5" ht="15" customHeight="1" x14ac:dyDescent="0.25">
      <c r="B18" s="89"/>
      <c r="C18" s="46" t="s">
        <v>80</v>
      </c>
      <c r="D18" s="45">
        <v>1</v>
      </c>
      <c r="E18" s="44">
        <v>4.1528239202657808E-4</v>
      </c>
    </row>
    <row r="19" spans="2:5" ht="15" customHeight="1" x14ac:dyDescent="0.25">
      <c r="B19" s="89"/>
      <c r="C19" s="46" t="s">
        <v>79</v>
      </c>
      <c r="D19" s="45">
        <v>3</v>
      </c>
      <c r="E19" s="44">
        <v>1.2458471760797341E-3</v>
      </c>
    </row>
    <row r="20" spans="2:5" ht="15" customHeight="1" x14ac:dyDescent="0.25">
      <c r="B20" s="89"/>
      <c r="C20" s="46" t="s">
        <v>78</v>
      </c>
      <c r="D20" s="45">
        <v>1</v>
      </c>
      <c r="E20" s="44">
        <v>4.1528239202657808E-4</v>
      </c>
    </row>
    <row r="21" spans="2:5" ht="15" customHeight="1" x14ac:dyDescent="0.25">
      <c r="B21" s="89"/>
      <c r="C21" s="46" t="s">
        <v>74</v>
      </c>
      <c r="D21" s="45">
        <v>1</v>
      </c>
      <c r="E21" s="44">
        <v>4.1528239202657808E-4</v>
      </c>
    </row>
    <row r="22" spans="2:5" ht="15" customHeight="1" x14ac:dyDescent="0.25">
      <c r="B22" s="90"/>
      <c r="C22" s="43" t="s">
        <v>23</v>
      </c>
      <c r="D22" s="42">
        <v>22</v>
      </c>
      <c r="E22" s="41">
        <v>9.1362126245847185E-3</v>
      </c>
    </row>
    <row r="23" spans="2:5" ht="15" customHeight="1" x14ac:dyDescent="0.25">
      <c r="B23" s="88" t="s">
        <v>139</v>
      </c>
      <c r="C23" s="46" t="s">
        <v>82</v>
      </c>
      <c r="D23" s="45">
        <v>3</v>
      </c>
      <c r="E23" s="44">
        <v>1.2458471760797341E-3</v>
      </c>
    </row>
    <row r="24" spans="2:5" ht="15" customHeight="1" x14ac:dyDescent="0.25">
      <c r="B24" s="89"/>
      <c r="C24" s="46" t="s">
        <v>79</v>
      </c>
      <c r="D24" s="45">
        <v>5</v>
      </c>
      <c r="E24" s="44">
        <v>2.0764119601328905E-3</v>
      </c>
    </row>
    <row r="25" spans="2:5" ht="15" customHeight="1" x14ac:dyDescent="0.25">
      <c r="B25" s="89"/>
      <c r="C25" s="46" t="s">
        <v>74</v>
      </c>
      <c r="D25" s="45">
        <v>1</v>
      </c>
      <c r="E25" s="44">
        <v>4.1528239202657808E-4</v>
      </c>
    </row>
    <row r="26" spans="2:5" ht="15" customHeight="1" x14ac:dyDescent="0.25">
      <c r="B26" s="89"/>
      <c r="C26" s="46" t="s">
        <v>73</v>
      </c>
      <c r="D26" s="45">
        <v>1</v>
      </c>
      <c r="E26" s="44">
        <v>4.1528239202657808E-4</v>
      </c>
    </row>
    <row r="27" spans="2:5" ht="15" customHeight="1" x14ac:dyDescent="0.25">
      <c r="B27" s="90"/>
      <c r="C27" s="43" t="s">
        <v>23</v>
      </c>
      <c r="D27" s="42">
        <v>10</v>
      </c>
      <c r="E27" s="41">
        <v>4.152823920265781E-3</v>
      </c>
    </row>
    <row r="28" spans="2:5" ht="15" customHeight="1" x14ac:dyDescent="0.25">
      <c r="B28" s="88" t="s">
        <v>138</v>
      </c>
      <c r="C28" s="46" t="s">
        <v>90</v>
      </c>
      <c r="D28" s="45">
        <v>1</v>
      </c>
      <c r="E28" s="44">
        <v>4.1528239202657808E-4</v>
      </c>
    </row>
    <row r="29" spans="2:5" ht="15" customHeight="1" x14ac:dyDescent="0.25">
      <c r="B29" s="89"/>
      <c r="C29" s="46" t="s">
        <v>86</v>
      </c>
      <c r="D29" s="45">
        <v>3</v>
      </c>
      <c r="E29" s="44">
        <v>1.2458471760797341E-3</v>
      </c>
    </row>
    <row r="30" spans="2:5" ht="15" customHeight="1" x14ac:dyDescent="0.25">
      <c r="B30" s="89"/>
      <c r="C30" s="46" t="s">
        <v>84</v>
      </c>
      <c r="D30" s="45">
        <v>1</v>
      </c>
      <c r="E30" s="44">
        <v>4.1528239202657808E-4</v>
      </c>
    </row>
    <row r="31" spans="2:5" ht="15" customHeight="1" x14ac:dyDescent="0.25">
      <c r="B31" s="89"/>
      <c r="C31" s="46" t="s">
        <v>83</v>
      </c>
      <c r="D31" s="45">
        <v>1</v>
      </c>
      <c r="E31" s="44">
        <v>4.1528239202657808E-4</v>
      </c>
    </row>
    <row r="32" spans="2:5" ht="15" customHeight="1" x14ac:dyDescent="0.25">
      <c r="B32" s="89"/>
      <c r="C32" s="46" t="s">
        <v>81</v>
      </c>
      <c r="D32" s="45">
        <v>1</v>
      </c>
      <c r="E32" s="44">
        <v>4.1528239202657808E-4</v>
      </c>
    </row>
    <row r="33" spans="2:5" ht="15" customHeight="1" x14ac:dyDescent="0.25">
      <c r="B33" s="89"/>
      <c r="C33" s="46" t="s">
        <v>79</v>
      </c>
      <c r="D33" s="45">
        <v>1</v>
      </c>
      <c r="E33" s="44">
        <v>4.1528239202657808E-4</v>
      </c>
    </row>
    <row r="34" spans="2:5" ht="15" customHeight="1" x14ac:dyDescent="0.25">
      <c r="B34" s="90"/>
      <c r="C34" s="43" t="s">
        <v>23</v>
      </c>
      <c r="D34" s="42">
        <v>8</v>
      </c>
      <c r="E34" s="41">
        <v>3.3222591362126247E-3</v>
      </c>
    </row>
    <row r="35" spans="2:5" ht="15" customHeight="1" x14ac:dyDescent="0.25">
      <c r="B35" s="88" t="s">
        <v>137</v>
      </c>
      <c r="C35" s="46" t="s">
        <v>82</v>
      </c>
      <c r="D35" s="45">
        <v>1</v>
      </c>
      <c r="E35" s="44">
        <v>4.1528239202657808E-4</v>
      </c>
    </row>
    <row r="36" spans="2:5" ht="15" customHeight="1" x14ac:dyDescent="0.25">
      <c r="B36" s="90"/>
      <c r="C36" s="43" t="s">
        <v>23</v>
      </c>
      <c r="D36" s="42">
        <v>1</v>
      </c>
      <c r="E36" s="41">
        <v>4.1528239202657808E-4</v>
      </c>
    </row>
    <row r="37" spans="2:5" ht="15" customHeight="1" x14ac:dyDescent="0.25">
      <c r="B37" s="88" t="s">
        <v>136</v>
      </c>
      <c r="C37" s="46" t="s">
        <v>89</v>
      </c>
      <c r="D37" s="45">
        <v>1</v>
      </c>
      <c r="E37" s="44">
        <v>4.1528239202657808E-4</v>
      </c>
    </row>
    <row r="38" spans="2:5" ht="15" customHeight="1" x14ac:dyDescent="0.25">
      <c r="B38" s="89"/>
      <c r="C38" s="46" t="s">
        <v>87</v>
      </c>
      <c r="D38" s="45">
        <v>1</v>
      </c>
      <c r="E38" s="44">
        <v>4.1528239202657808E-4</v>
      </c>
    </row>
    <row r="39" spans="2:5" ht="15" customHeight="1" x14ac:dyDescent="0.25">
      <c r="B39" s="89"/>
      <c r="C39" s="46" t="s">
        <v>83</v>
      </c>
      <c r="D39" s="45">
        <v>1</v>
      </c>
      <c r="E39" s="44">
        <v>4.1528239202657808E-4</v>
      </c>
    </row>
    <row r="40" spans="2:5" ht="15" customHeight="1" x14ac:dyDescent="0.25">
      <c r="B40" s="89"/>
      <c r="C40" s="46" t="s">
        <v>79</v>
      </c>
      <c r="D40" s="45">
        <v>1</v>
      </c>
      <c r="E40" s="44">
        <v>4.1528239202657808E-4</v>
      </c>
    </row>
    <row r="41" spans="2:5" ht="15" customHeight="1" x14ac:dyDescent="0.25">
      <c r="B41" s="90"/>
      <c r="C41" s="43" t="s">
        <v>23</v>
      </c>
      <c r="D41" s="42">
        <v>4</v>
      </c>
      <c r="E41" s="41">
        <v>1.6611295681063123E-3</v>
      </c>
    </row>
    <row r="42" spans="2:5" ht="15" customHeight="1" x14ac:dyDescent="0.25">
      <c r="B42" s="88" t="s">
        <v>135</v>
      </c>
      <c r="C42" s="46" t="s">
        <v>88</v>
      </c>
      <c r="D42" s="45">
        <v>2</v>
      </c>
      <c r="E42" s="44">
        <v>8.3056478405315617E-4</v>
      </c>
    </row>
    <row r="43" spans="2:5" ht="15" customHeight="1" x14ac:dyDescent="0.25">
      <c r="B43" s="89"/>
      <c r="C43" s="46" t="s">
        <v>87</v>
      </c>
      <c r="D43" s="45">
        <v>2</v>
      </c>
      <c r="E43" s="44">
        <v>8.3056478405315617E-4</v>
      </c>
    </row>
    <row r="44" spans="2:5" ht="15" customHeight="1" x14ac:dyDescent="0.25">
      <c r="B44" s="89"/>
      <c r="C44" s="46" t="s">
        <v>86</v>
      </c>
      <c r="D44" s="45">
        <v>2</v>
      </c>
      <c r="E44" s="44">
        <v>8.3056478405315617E-4</v>
      </c>
    </row>
    <row r="45" spans="2:5" ht="15" customHeight="1" x14ac:dyDescent="0.25">
      <c r="B45" s="89"/>
      <c r="C45" s="46" t="s">
        <v>84</v>
      </c>
      <c r="D45" s="45">
        <v>1</v>
      </c>
      <c r="E45" s="44">
        <v>4.1528239202657808E-4</v>
      </c>
    </row>
    <row r="46" spans="2:5" ht="15" customHeight="1" x14ac:dyDescent="0.25">
      <c r="B46" s="89"/>
      <c r="C46" s="46" t="s">
        <v>83</v>
      </c>
      <c r="D46" s="45">
        <v>2</v>
      </c>
      <c r="E46" s="44">
        <v>8.3056478405315617E-4</v>
      </c>
    </row>
    <row r="47" spans="2:5" ht="15" customHeight="1" x14ac:dyDescent="0.25">
      <c r="B47" s="89"/>
      <c r="C47" s="46" t="s">
        <v>82</v>
      </c>
      <c r="D47" s="45">
        <v>11</v>
      </c>
      <c r="E47" s="44">
        <v>4.5681063122923592E-3</v>
      </c>
    </row>
    <row r="48" spans="2:5" ht="15" customHeight="1" x14ac:dyDescent="0.25">
      <c r="B48" s="89"/>
      <c r="C48" s="46" t="s">
        <v>81</v>
      </c>
      <c r="D48" s="45">
        <v>2</v>
      </c>
      <c r="E48" s="44">
        <v>8.3056478405315617E-4</v>
      </c>
    </row>
    <row r="49" spans="2:5" ht="15" customHeight="1" x14ac:dyDescent="0.25">
      <c r="B49" s="89"/>
      <c r="C49" s="46" t="s">
        <v>80</v>
      </c>
      <c r="D49" s="45">
        <v>2</v>
      </c>
      <c r="E49" s="44">
        <v>8.3056478405315617E-4</v>
      </c>
    </row>
    <row r="50" spans="2:5" ht="15" customHeight="1" x14ac:dyDescent="0.25">
      <c r="B50" s="89"/>
      <c r="C50" s="46" t="s">
        <v>79</v>
      </c>
      <c r="D50" s="45">
        <v>6</v>
      </c>
      <c r="E50" s="44">
        <v>2.4916943521594683E-3</v>
      </c>
    </row>
    <row r="51" spans="2:5" ht="15" customHeight="1" x14ac:dyDescent="0.25">
      <c r="B51" s="89"/>
      <c r="C51" s="46" t="s">
        <v>74</v>
      </c>
      <c r="D51" s="45">
        <v>2</v>
      </c>
      <c r="E51" s="44">
        <v>8.3056478405315617E-4</v>
      </c>
    </row>
    <row r="52" spans="2:5" ht="15" customHeight="1" x14ac:dyDescent="0.25">
      <c r="B52" s="89"/>
      <c r="C52" s="46" t="s">
        <v>73</v>
      </c>
      <c r="D52" s="45">
        <v>3</v>
      </c>
      <c r="E52" s="44">
        <v>1.2458471760797341E-3</v>
      </c>
    </row>
    <row r="53" spans="2:5" ht="15" customHeight="1" x14ac:dyDescent="0.25">
      <c r="B53" s="90"/>
      <c r="C53" s="43" t="s">
        <v>23</v>
      </c>
      <c r="D53" s="42">
        <v>35</v>
      </c>
      <c r="E53" s="41">
        <v>1.4534883720930232E-2</v>
      </c>
    </row>
    <row r="54" spans="2:5" ht="15" customHeight="1" x14ac:dyDescent="0.25">
      <c r="B54" s="88" t="s">
        <v>134</v>
      </c>
      <c r="C54" s="46" t="s">
        <v>93</v>
      </c>
      <c r="D54" s="45">
        <v>1</v>
      </c>
      <c r="E54" s="44">
        <v>4.1528239202657808E-4</v>
      </c>
    </row>
    <row r="55" spans="2:5" ht="15" customHeight="1" x14ac:dyDescent="0.25">
      <c r="B55" s="89"/>
      <c r="C55" s="46" t="s">
        <v>92</v>
      </c>
      <c r="D55" s="45">
        <v>1</v>
      </c>
      <c r="E55" s="44">
        <v>4.1528239202657808E-4</v>
      </c>
    </row>
    <row r="56" spans="2:5" ht="15" customHeight="1" x14ac:dyDescent="0.25">
      <c r="B56" s="89"/>
      <c r="C56" s="46" t="s">
        <v>91</v>
      </c>
      <c r="D56" s="45">
        <v>1</v>
      </c>
      <c r="E56" s="44">
        <v>4.1528239202657808E-4</v>
      </c>
    </row>
    <row r="57" spans="2:5" ht="15" customHeight="1" x14ac:dyDescent="0.25">
      <c r="B57" s="89"/>
      <c r="C57" s="46" t="s">
        <v>87</v>
      </c>
      <c r="D57" s="45">
        <v>2</v>
      </c>
      <c r="E57" s="44">
        <v>8.3056478405315617E-4</v>
      </c>
    </row>
    <row r="58" spans="2:5" ht="15" customHeight="1" x14ac:dyDescent="0.25">
      <c r="B58" s="89"/>
      <c r="C58" s="46" t="s">
        <v>86</v>
      </c>
      <c r="D58" s="45">
        <v>1</v>
      </c>
      <c r="E58" s="44">
        <v>4.1528239202657808E-4</v>
      </c>
    </row>
    <row r="59" spans="2:5" ht="15" customHeight="1" x14ac:dyDescent="0.25">
      <c r="B59" s="89"/>
      <c r="C59" s="46" t="s">
        <v>84</v>
      </c>
      <c r="D59" s="45">
        <v>1</v>
      </c>
      <c r="E59" s="44">
        <v>4.1528239202657808E-4</v>
      </c>
    </row>
    <row r="60" spans="2:5" ht="15" customHeight="1" x14ac:dyDescent="0.25">
      <c r="B60" s="89"/>
      <c r="C60" s="46" t="s">
        <v>83</v>
      </c>
      <c r="D60" s="45">
        <v>3</v>
      </c>
      <c r="E60" s="44">
        <v>1.2458471760797341E-3</v>
      </c>
    </row>
    <row r="61" spans="2:5" ht="15" customHeight="1" x14ac:dyDescent="0.25">
      <c r="B61" s="89"/>
      <c r="C61" s="46" t="s">
        <v>82</v>
      </c>
      <c r="D61" s="45">
        <v>50</v>
      </c>
      <c r="E61" s="44">
        <v>2.0764119601328904E-2</v>
      </c>
    </row>
    <row r="62" spans="2:5" ht="15" customHeight="1" x14ac:dyDescent="0.25">
      <c r="B62" s="89"/>
      <c r="C62" s="46" t="s">
        <v>80</v>
      </c>
      <c r="D62" s="45">
        <v>4</v>
      </c>
      <c r="E62" s="44">
        <v>1.6611295681063123E-3</v>
      </c>
    </row>
    <row r="63" spans="2:5" ht="15" customHeight="1" x14ac:dyDescent="0.25">
      <c r="B63" s="89"/>
      <c r="C63" s="46" t="s">
        <v>79</v>
      </c>
      <c r="D63" s="45">
        <v>31</v>
      </c>
      <c r="E63" s="44">
        <v>1.287375415282392E-2</v>
      </c>
    </row>
    <row r="64" spans="2:5" ht="15" customHeight="1" x14ac:dyDescent="0.25">
      <c r="B64" s="89"/>
      <c r="C64" s="46" t="s">
        <v>76</v>
      </c>
      <c r="D64" s="45">
        <v>1</v>
      </c>
      <c r="E64" s="44">
        <v>4.1528239202657808E-4</v>
      </c>
    </row>
    <row r="65" spans="2:5" ht="15" customHeight="1" x14ac:dyDescent="0.25">
      <c r="B65" s="89"/>
      <c r="C65" s="46" t="s">
        <v>74</v>
      </c>
      <c r="D65" s="45">
        <v>2</v>
      </c>
      <c r="E65" s="44">
        <v>8.3056478405315617E-4</v>
      </c>
    </row>
    <row r="66" spans="2:5" ht="15" customHeight="1" x14ac:dyDescent="0.25">
      <c r="B66" s="89"/>
      <c r="C66" s="46" t="s">
        <v>73</v>
      </c>
      <c r="D66" s="45">
        <v>3</v>
      </c>
      <c r="E66" s="44">
        <v>1.2458471760797341E-3</v>
      </c>
    </row>
    <row r="67" spans="2:5" ht="15" customHeight="1" x14ac:dyDescent="0.25">
      <c r="B67" s="90"/>
      <c r="C67" s="43" t="s">
        <v>23</v>
      </c>
      <c r="D67" s="42">
        <v>101</v>
      </c>
      <c r="E67" s="41">
        <v>4.1943521594684383E-2</v>
      </c>
    </row>
    <row r="68" spans="2:5" ht="15" customHeight="1" x14ac:dyDescent="0.25">
      <c r="B68" s="88" t="s">
        <v>133</v>
      </c>
      <c r="C68" s="46" t="s">
        <v>93</v>
      </c>
      <c r="D68" s="45">
        <v>1</v>
      </c>
      <c r="E68" s="44">
        <v>4.1528239202657808E-4</v>
      </c>
    </row>
    <row r="69" spans="2:5" ht="15" customHeight="1" x14ac:dyDescent="0.25">
      <c r="B69" s="89"/>
      <c r="C69" s="46" t="s">
        <v>91</v>
      </c>
      <c r="D69" s="45">
        <v>1</v>
      </c>
      <c r="E69" s="44">
        <v>4.1528239202657808E-4</v>
      </c>
    </row>
    <row r="70" spans="2:5" ht="15" customHeight="1" x14ac:dyDescent="0.25">
      <c r="B70" s="89"/>
      <c r="C70" s="46" t="s">
        <v>90</v>
      </c>
      <c r="D70" s="45">
        <v>3</v>
      </c>
      <c r="E70" s="44">
        <v>1.2458471760797341E-3</v>
      </c>
    </row>
    <row r="71" spans="2:5" ht="15" customHeight="1" x14ac:dyDescent="0.25">
      <c r="B71" s="89"/>
      <c r="C71" s="46" t="s">
        <v>87</v>
      </c>
      <c r="D71" s="45">
        <v>4</v>
      </c>
      <c r="E71" s="44">
        <v>1.6611295681063123E-3</v>
      </c>
    </row>
    <row r="72" spans="2:5" ht="15" customHeight="1" x14ac:dyDescent="0.25">
      <c r="B72" s="89"/>
      <c r="C72" s="46" t="s">
        <v>86</v>
      </c>
      <c r="D72" s="45">
        <v>10</v>
      </c>
      <c r="E72" s="44">
        <v>4.152823920265781E-3</v>
      </c>
    </row>
    <row r="73" spans="2:5" ht="15" customHeight="1" x14ac:dyDescent="0.25">
      <c r="B73" s="89"/>
      <c r="C73" s="46" t="s">
        <v>84</v>
      </c>
      <c r="D73" s="45">
        <v>5</v>
      </c>
      <c r="E73" s="44">
        <v>2.0764119601328905E-3</v>
      </c>
    </row>
    <row r="74" spans="2:5" ht="15" customHeight="1" x14ac:dyDescent="0.25">
      <c r="B74" s="89"/>
      <c r="C74" s="46" t="s">
        <v>83</v>
      </c>
      <c r="D74" s="45">
        <v>5</v>
      </c>
      <c r="E74" s="44">
        <v>2.0764119601328905E-3</v>
      </c>
    </row>
    <row r="75" spans="2:5" ht="15" customHeight="1" x14ac:dyDescent="0.25">
      <c r="B75" s="89"/>
      <c r="C75" s="46" t="s">
        <v>82</v>
      </c>
      <c r="D75" s="45">
        <v>24</v>
      </c>
      <c r="E75" s="44">
        <v>9.9667774086378731E-3</v>
      </c>
    </row>
    <row r="76" spans="2:5" ht="15" customHeight="1" x14ac:dyDescent="0.25">
      <c r="B76" s="89"/>
      <c r="C76" s="46" t="s">
        <v>80</v>
      </c>
      <c r="D76" s="45">
        <v>1</v>
      </c>
      <c r="E76" s="44">
        <v>4.1528239202657808E-4</v>
      </c>
    </row>
    <row r="77" spans="2:5" ht="15" customHeight="1" x14ac:dyDescent="0.25">
      <c r="B77" s="89"/>
      <c r="C77" s="46" t="s">
        <v>79</v>
      </c>
      <c r="D77" s="45">
        <v>10</v>
      </c>
      <c r="E77" s="44">
        <v>4.152823920265781E-3</v>
      </c>
    </row>
    <row r="78" spans="2:5" ht="15" customHeight="1" x14ac:dyDescent="0.25">
      <c r="B78" s="89"/>
      <c r="C78" s="46" t="s">
        <v>74</v>
      </c>
      <c r="D78" s="45">
        <v>2</v>
      </c>
      <c r="E78" s="44">
        <v>8.3056478405315617E-4</v>
      </c>
    </row>
    <row r="79" spans="2:5" ht="15" customHeight="1" x14ac:dyDescent="0.25">
      <c r="B79" s="89"/>
      <c r="C79" s="46" t="s">
        <v>73</v>
      </c>
      <c r="D79" s="45">
        <v>3</v>
      </c>
      <c r="E79" s="44">
        <v>1.2458471760797341E-3</v>
      </c>
    </row>
    <row r="80" spans="2:5" ht="15" customHeight="1" x14ac:dyDescent="0.25">
      <c r="B80" s="90"/>
      <c r="C80" s="43" t="s">
        <v>23</v>
      </c>
      <c r="D80" s="42">
        <v>69</v>
      </c>
      <c r="E80" s="41">
        <v>2.8654485049833887E-2</v>
      </c>
    </row>
    <row r="81" spans="2:5" ht="15" customHeight="1" x14ac:dyDescent="0.25">
      <c r="B81" s="88" t="s">
        <v>132</v>
      </c>
      <c r="C81" s="46" t="s">
        <v>87</v>
      </c>
      <c r="D81" s="45">
        <v>1</v>
      </c>
      <c r="E81" s="44">
        <v>4.1528239202657808E-4</v>
      </c>
    </row>
    <row r="82" spans="2:5" ht="15" customHeight="1" x14ac:dyDescent="0.25">
      <c r="B82" s="89"/>
      <c r="C82" s="46" t="s">
        <v>82</v>
      </c>
      <c r="D82" s="45">
        <v>1</v>
      </c>
      <c r="E82" s="44">
        <v>4.1528239202657808E-4</v>
      </c>
    </row>
    <row r="83" spans="2:5" ht="15" customHeight="1" x14ac:dyDescent="0.25">
      <c r="B83" s="90"/>
      <c r="C83" s="43" t="s">
        <v>23</v>
      </c>
      <c r="D83" s="42">
        <v>2</v>
      </c>
      <c r="E83" s="41">
        <v>8.3056478405315617E-4</v>
      </c>
    </row>
    <row r="84" spans="2:5" ht="15" customHeight="1" x14ac:dyDescent="0.25">
      <c r="B84" s="88" t="s">
        <v>131</v>
      </c>
      <c r="C84" s="46" t="s">
        <v>87</v>
      </c>
      <c r="D84" s="45">
        <v>2</v>
      </c>
      <c r="E84" s="44">
        <v>8.3056478405315617E-4</v>
      </c>
    </row>
    <row r="85" spans="2:5" ht="15" customHeight="1" x14ac:dyDescent="0.25">
      <c r="B85" s="89"/>
      <c r="C85" s="46" t="s">
        <v>73</v>
      </c>
      <c r="D85" s="45">
        <v>1</v>
      </c>
      <c r="E85" s="44">
        <v>4.1528239202657808E-4</v>
      </c>
    </row>
    <row r="86" spans="2:5" ht="15" customHeight="1" x14ac:dyDescent="0.25">
      <c r="B86" s="90"/>
      <c r="C86" s="43" t="s">
        <v>23</v>
      </c>
      <c r="D86" s="42">
        <v>3</v>
      </c>
      <c r="E86" s="41">
        <v>1.2458471760797341E-3</v>
      </c>
    </row>
    <row r="87" spans="2:5" ht="15" customHeight="1" x14ac:dyDescent="0.25">
      <c r="B87" s="88" t="s">
        <v>130</v>
      </c>
      <c r="C87" s="46" t="s">
        <v>86</v>
      </c>
      <c r="D87" s="45">
        <v>2</v>
      </c>
      <c r="E87" s="44">
        <v>8.3056478405315617E-4</v>
      </c>
    </row>
    <row r="88" spans="2:5" ht="15" customHeight="1" x14ac:dyDescent="0.25">
      <c r="B88" s="89"/>
      <c r="C88" s="46" t="s">
        <v>80</v>
      </c>
      <c r="D88" s="45">
        <v>1</v>
      </c>
      <c r="E88" s="44">
        <v>4.1528239202657808E-4</v>
      </c>
    </row>
    <row r="89" spans="2:5" ht="15" customHeight="1" x14ac:dyDescent="0.25">
      <c r="B89" s="90"/>
      <c r="C89" s="43" t="s">
        <v>23</v>
      </c>
      <c r="D89" s="42">
        <v>3</v>
      </c>
      <c r="E89" s="41">
        <v>1.2458471760797341E-3</v>
      </c>
    </row>
    <row r="90" spans="2:5" ht="15" customHeight="1" x14ac:dyDescent="0.25">
      <c r="B90" s="88" t="s">
        <v>129</v>
      </c>
      <c r="C90" s="46" t="s">
        <v>82</v>
      </c>
      <c r="D90" s="45">
        <v>3</v>
      </c>
      <c r="E90" s="44">
        <v>1.2458471760797341E-3</v>
      </c>
    </row>
    <row r="91" spans="2:5" ht="15" customHeight="1" x14ac:dyDescent="0.25">
      <c r="B91" s="89"/>
      <c r="C91" s="46" t="s">
        <v>80</v>
      </c>
      <c r="D91" s="45">
        <v>2</v>
      </c>
      <c r="E91" s="44">
        <v>8.3056478405315617E-4</v>
      </c>
    </row>
    <row r="92" spans="2:5" ht="15" customHeight="1" x14ac:dyDescent="0.25">
      <c r="B92" s="89"/>
      <c r="C92" s="46" t="s">
        <v>79</v>
      </c>
      <c r="D92" s="45">
        <v>3</v>
      </c>
      <c r="E92" s="44">
        <v>1.2458471760797341E-3</v>
      </c>
    </row>
    <row r="93" spans="2:5" ht="15" customHeight="1" x14ac:dyDescent="0.25">
      <c r="B93" s="89"/>
      <c r="C93" s="46" t="s">
        <v>75</v>
      </c>
      <c r="D93" s="45">
        <v>1</v>
      </c>
      <c r="E93" s="44">
        <v>4.1528239202657808E-4</v>
      </c>
    </row>
    <row r="94" spans="2:5" ht="15" customHeight="1" x14ac:dyDescent="0.25">
      <c r="B94" s="89"/>
      <c r="C94" s="46" t="s">
        <v>73</v>
      </c>
      <c r="D94" s="45">
        <v>1</v>
      </c>
      <c r="E94" s="44">
        <v>4.1528239202657808E-4</v>
      </c>
    </row>
    <row r="95" spans="2:5" ht="15" customHeight="1" x14ac:dyDescent="0.25">
      <c r="B95" s="90"/>
      <c r="C95" s="43" t="s">
        <v>23</v>
      </c>
      <c r="D95" s="42">
        <v>10</v>
      </c>
      <c r="E95" s="41">
        <v>4.152823920265781E-3</v>
      </c>
    </row>
    <row r="96" spans="2:5" ht="15" customHeight="1" x14ac:dyDescent="0.25">
      <c r="B96" s="88" t="s">
        <v>128</v>
      </c>
      <c r="C96" s="46" t="s">
        <v>93</v>
      </c>
      <c r="D96" s="45">
        <v>1</v>
      </c>
      <c r="E96" s="44">
        <v>4.1528239202657808E-4</v>
      </c>
    </row>
    <row r="97" spans="2:5" ht="15" customHeight="1" x14ac:dyDescent="0.25">
      <c r="B97" s="89"/>
      <c r="C97" s="46" t="s">
        <v>87</v>
      </c>
      <c r="D97" s="45">
        <v>1</v>
      </c>
      <c r="E97" s="44">
        <v>4.1528239202657808E-4</v>
      </c>
    </row>
    <row r="98" spans="2:5" ht="15" customHeight="1" x14ac:dyDescent="0.25">
      <c r="B98" s="89"/>
      <c r="C98" s="46" t="s">
        <v>86</v>
      </c>
      <c r="D98" s="45">
        <v>3</v>
      </c>
      <c r="E98" s="44">
        <v>1.2458471760797341E-3</v>
      </c>
    </row>
    <row r="99" spans="2:5" ht="15" customHeight="1" x14ac:dyDescent="0.25">
      <c r="B99" s="89"/>
      <c r="C99" s="46" t="s">
        <v>85</v>
      </c>
      <c r="D99" s="45">
        <v>1</v>
      </c>
      <c r="E99" s="44">
        <v>4.1528239202657808E-4</v>
      </c>
    </row>
    <row r="100" spans="2:5" ht="15" customHeight="1" x14ac:dyDescent="0.25">
      <c r="B100" s="89"/>
      <c r="C100" s="46" t="s">
        <v>83</v>
      </c>
      <c r="D100" s="45">
        <v>3</v>
      </c>
      <c r="E100" s="44">
        <v>1.2458471760797341E-3</v>
      </c>
    </row>
    <row r="101" spans="2:5" ht="15" customHeight="1" x14ac:dyDescent="0.25">
      <c r="B101" s="89"/>
      <c r="C101" s="46" t="s">
        <v>82</v>
      </c>
      <c r="D101" s="45">
        <v>11</v>
      </c>
      <c r="E101" s="44">
        <v>4.5681063122923592E-3</v>
      </c>
    </row>
    <row r="102" spans="2:5" ht="15" customHeight="1" x14ac:dyDescent="0.25">
      <c r="B102" s="89"/>
      <c r="C102" s="46" t="s">
        <v>81</v>
      </c>
      <c r="D102" s="45">
        <v>1</v>
      </c>
      <c r="E102" s="44">
        <v>4.1528239202657808E-4</v>
      </c>
    </row>
    <row r="103" spans="2:5" ht="15" customHeight="1" x14ac:dyDescent="0.25">
      <c r="B103" s="89"/>
      <c r="C103" s="46" t="s">
        <v>80</v>
      </c>
      <c r="D103" s="45">
        <v>4</v>
      </c>
      <c r="E103" s="44">
        <v>1.6611295681063123E-3</v>
      </c>
    </row>
    <row r="104" spans="2:5" ht="15" customHeight="1" x14ac:dyDescent="0.25">
      <c r="B104" s="89"/>
      <c r="C104" s="46" t="s">
        <v>79</v>
      </c>
      <c r="D104" s="45">
        <v>11</v>
      </c>
      <c r="E104" s="44">
        <v>4.5681063122923592E-3</v>
      </c>
    </row>
    <row r="105" spans="2:5" ht="15" customHeight="1" x14ac:dyDescent="0.25">
      <c r="B105" s="89"/>
      <c r="C105" s="46" t="s">
        <v>78</v>
      </c>
      <c r="D105" s="45">
        <v>1</v>
      </c>
      <c r="E105" s="44">
        <v>4.1528239202657808E-4</v>
      </c>
    </row>
    <row r="106" spans="2:5" ht="15" customHeight="1" x14ac:dyDescent="0.25">
      <c r="B106" s="89"/>
      <c r="C106" s="46" t="s">
        <v>77</v>
      </c>
      <c r="D106" s="45">
        <v>1</v>
      </c>
      <c r="E106" s="44">
        <v>4.1528239202657808E-4</v>
      </c>
    </row>
    <row r="107" spans="2:5" ht="15" customHeight="1" x14ac:dyDescent="0.25">
      <c r="B107" s="89"/>
      <c r="C107" s="46" t="s">
        <v>73</v>
      </c>
      <c r="D107" s="45">
        <v>5</v>
      </c>
      <c r="E107" s="44">
        <v>2.0764119601328905E-3</v>
      </c>
    </row>
    <row r="108" spans="2:5" ht="15" customHeight="1" x14ac:dyDescent="0.25">
      <c r="B108" s="89"/>
      <c r="C108" s="46" t="s">
        <v>72</v>
      </c>
      <c r="D108" s="45">
        <v>1</v>
      </c>
      <c r="E108" s="44">
        <v>4.1528239202657808E-4</v>
      </c>
    </row>
    <row r="109" spans="2:5" ht="15" customHeight="1" x14ac:dyDescent="0.25">
      <c r="B109" s="90"/>
      <c r="C109" s="43" t="s">
        <v>23</v>
      </c>
      <c r="D109" s="42">
        <v>44</v>
      </c>
      <c r="E109" s="41">
        <v>1.8272425249169437E-2</v>
      </c>
    </row>
    <row r="110" spans="2:5" ht="15" customHeight="1" x14ac:dyDescent="0.25">
      <c r="B110" s="88" t="s">
        <v>127</v>
      </c>
      <c r="C110" s="46" t="s">
        <v>93</v>
      </c>
      <c r="D110" s="45">
        <v>1</v>
      </c>
      <c r="E110" s="44">
        <v>4.1528239202657808E-4</v>
      </c>
    </row>
    <row r="111" spans="2:5" ht="15" customHeight="1" x14ac:dyDescent="0.25">
      <c r="B111" s="89"/>
      <c r="C111" s="46" t="s">
        <v>88</v>
      </c>
      <c r="D111" s="45">
        <v>1</v>
      </c>
      <c r="E111" s="44">
        <v>4.1528239202657808E-4</v>
      </c>
    </row>
    <row r="112" spans="2:5" ht="15" customHeight="1" x14ac:dyDescent="0.25">
      <c r="B112" s="89"/>
      <c r="C112" s="46" t="s">
        <v>87</v>
      </c>
      <c r="D112" s="45">
        <v>1</v>
      </c>
      <c r="E112" s="44">
        <v>4.1528239202657808E-4</v>
      </c>
    </row>
    <row r="113" spans="2:5" ht="15" customHeight="1" x14ac:dyDescent="0.25">
      <c r="B113" s="89"/>
      <c r="C113" s="46" t="s">
        <v>86</v>
      </c>
      <c r="D113" s="45">
        <v>2</v>
      </c>
      <c r="E113" s="44">
        <v>8.3056478405315617E-4</v>
      </c>
    </row>
    <row r="114" spans="2:5" ht="15" customHeight="1" x14ac:dyDescent="0.25">
      <c r="B114" s="89"/>
      <c r="C114" s="46" t="s">
        <v>82</v>
      </c>
      <c r="D114" s="45">
        <v>4</v>
      </c>
      <c r="E114" s="44">
        <v>1.6611295681063123E-3</v>
      </c>
    </row>
    <row r="115" spans="2:5" ht="15" customHeight="1" x14ac:dyDescent="0.25">
      <c r="B115" s="89"/>
      <c r="C115" s="46" t="s">
        <v>80</v>
      </c>
      <c r="D115" s="45">
        <v>1</v>
      </c>
      <c r="E115" s="44">
        <v>4.1528239202657808E-4</v>
      </c>
    </row>
    <row r="116" spans="2:5" ht="15" customHeight="1" x14ac:dyDescent="0.25">
      <c r="B116" s="89"/>
      <c r="C116" s="46" t="s">
        <v>79</v>
      </c>
      <c r="D116" s="45">
        <v>2</v>
      </c>
      <c r="E116" s="44">
        <v>8.3056478405315617E-4</v>
      </c>
    </row>
    <row r="117" spans="2:5" ht="15" customHeight="1" x14ac:dyDescent="0.25">
      <c r="B117" s="89"/>
      <c r="C117" s="46" t="s">
        <v>74</v>
      </c>
      <c r="D117" s="45">
        <v>2</v>
      </c>
      <c r="E117" s="44">
        <v>8.3056478405315617E-4</v>
      </c>
    </row>
    <row r="118" spans="2:5" ht="15" customHeight="1" x14ac:dyDescent="0.25">
      <c r="B118" s="89"/>
      <c r="C118" s="46" t="s">
        <v>73</v>
      </c>
      <c r="D118" s="45">
        <v>2</v>
      </c>
      <c r="E118" s="44">
        <v>8.3056478405315617E-4</v>
      </c>
    </row>
    <row r="119" spans="2:5" ht="15" customHeight="1" x14ac:dyDescent="0.25">
      <c r="B119" s="90"/>
      <c r="C119" s="43" t="s">
        <v>23</v>
      </c>
      <c r="D119" s="42">
        <v>16</v>
      </c>
      <c r="E119" s="41">
        <v>6.6445182724252493E-3</v>
      </c>
    </row>
    <row r="120" spans="2:5" ht="15" customHeight="1" x14ac:dyDescent="0.25">
      <c r="B120" s="88" t="s">
        <v>126</v>
      </c>
      <c r="C120" s="46" t="s">
        <v>90</v>
      </c>
      <c r="D120" s="45">
        <v>2</v>
      </c>
      <c r="E120" s="44">
        <v>8.3056478405315617E-4</v>
      </c>
    </row>
    <row r="121" spans="2:5" ht="15" customHeight="1" x14ac:dyDescent="0.25">
      <c r="B121" s="89"/>
      <c r="C121" s="46" t="s">
        <v>88</v>
      </c>
      <c r="D121" s="45">
        <v>1</v>
      </c>
      <c r="E121" s="44">
        <v>4.1528239202657808E-4</v>
      </c>
    </row>
    <row r="122" spans="2:5" ht="15" customHeight="1" x14ac:dyDescent="0.25">
      <c r="B122" s="89"/>
      <c r="C122" s="46" t="s">
        <v>86</v>
      </c>
      <c r="D122" s="45">
        <v>1</v>
      </c>
      <c r="E122" s="44">
        <v>4.1528239202657808E-4</v>
      </c>
    </row>
    <row r="123" spans="2:5" ht="15" customHeight="1" x14ac:dyDescent="0.25">
      <c r="B123" s="89"/>
      <c r="C123" s="46" t="s">
        <v>82</v>
      </c>
      <c r="D123" s="45">
        <v>6</v>
      </c>
      <c r="E123" s="44">
        <v>2.4916943521594683E-3</v>
      </c>
    </row>
    <row r="124" spans="2:5" ht="15" customHeight="1" x14ac:dyDescent="0.25">
      <c r="B124" s="89"/>
      <c r="C124" s="46" t="s">
        <v>80</v>
      </c>
      <c r="D124" s="45">
        <v>3</v>
      </c>
      <c r="E124" s="44">
        <v>1.2458471760797341E-3</v>
      </c>
    </row>
    <row r="125" spans="2:5" ht="15" customHeight="1" x14ac:dyDescent="0.25">
      <c r="B125" s="89"/>
      <c r="C125" s="46" t="s">
        <v>79</v>
      </c>
      <c r="D125" s="45">
        <v>1</v>
      </c>
      <c r="E125" s="44">
        <v>4.1528239202657808E-4</v>
      </c>
    </row>
    <row r="126" spans="2:5" ht="15" customHeight="1" x14ac:dyDescent="0.25">
      <c r="B126" s="89"/>
      <c r="C126" s="46" t="s">
        <v>73</v>
      </c>
      <c r="D126" s="45">
        <v>2</v>
      </c>
      <c r="E126" s="44">
        <v>8.3056478405315617E-4</v>
      </c>
    </row>
    <row r="127" spans="2:5" ht="15" customHeight="1" x14ac:dyDescent="0.25">
      <c r="B127" s="90"/>
      <c r="C127" s="43" t="s">
        <v>23</v>
      </c>
      <c r="D127" s="42">
        <v>16</v>
      </c>
      <c r="E127" s="41">
        <v>6.6445182724252493E-3</v>
      </c>
    </row>
    <row r="128" spans="2:5" ht="15" customHeight="1" x14ac:dyDescent="0.25">
      <c r="B128" s="88" t="s">
        <v>125</v>
      </c>
      <c r="C128" s="46" t="s">
        <v>82</v>
      </c>
      <c r="D128" s="45">
        <v>1</v>
      </c>
      <c r="E128" s="44">
        <v>4.1528239202657808E-4</v>
      </c>
    </row>
    <row r="129" spans="2:5" ht="15" customHeight="1" x14ac:dyDescent="0.25">
      <c r="B129" s="89"/>
      <c r="C129" s="46" t="s">
        <v>73</v>
      </c>
      <c r="D129" s="45">
        <v>1</v>
      </c>
      <c r="E129" s="44">
        <v>4.1528239202657808E-4</v>
      </c>
    </row>
    <row r="130" spans="2:5" ht="15" customHeight="1" x14ac:dyDescent="0.25">
      <c r="B130" s="90"/>
      <c r="C130" s="43" t="s">
        <v>23</v>
      </c>
      <c r="D130" s="42">
        <v>2</v>
      </c>
      <c r="E130" s="41">
        <v>8.3056478405315617E-4</v>
      </c>
    </row>
    <row r="131" spans="2:5" ht="15" customHeight="1" x14ac:dyDescent="0.25">
      <c r="B131" s="88" t="s">
        <v>124</v>
      </c>
      <c r="C131" s="46" t="s">
        <v>93</v>
      </c>
      <c r="D131" s="45">
        <v>1</v>
      </c>
      <c r="E131" s="44">
        <v>4.1528239202657808E-4</v>
      </c>
    </row>
    <row r="132" spans="2:5" ht="15" customHeight="1" x14ac:dyDescent="0.25">
      <c r="B132" s="89"/>
      <c r="C132" s="46" t="s">
        <v>91</v>
      </c>
      <c r="D132" s="45">
        <v>1</v>
      </c>
      <c r="E132" s="44">
        <v>4.1528239202657808E-4</v>
      </c>
    </row>
    <row r="133" spans="2:5" ht="15" customHeight="1" x14ac:dyDescent="0.25">
      <c r="B133" s="89"/>
      <c r="C133" s="46" t="s">
        <v>90</v>
      </c>
      <c r="D133" s="45">
        <v>2</v>
      </c>
      <c r="E133" s="44">
        <v>8.3056478405315617E-4</v>
      </c>
    </row>
    <row r="134" spans="2:5" ht="15" customHeight="1" x14ac:dyDescent="0.25">
      <c r="B134" s="89"/>
      <c r="C134" s="46" t="s">
        <v>89</v>
      </c>
      <c r="D134" s="45">
        <v>1</v>
      </c>
      <c r="E134" s="44">
        <v>4.1528239202657808E-4</v>
      </c>
    </row>
    <row r="135" spans="2:5" ht="15" customHeight="1" x14ac:dyDescent="0.25">
      <c r="B135" s="89"/>
      <c r="C135" s="46" t="s">
        <v>88</v>
      </c>
      <c r="D135" s="45">
        <v>1</v>
      </c>
      <c r="E135" s="44">
        <v>4.1528239202657808E-4</v>
      </c>
    </row>
    <row r="136" spans="2:5" ht="15" customHeight="1" x14ac:dyDescent="0.25">
      <c r="B136" s="89"/>
      <c r="C136" s="46" t="s">
        <v>87</v>
      </c>
      <c r="D136" s="45">
        <v>1</v>
      </c>
      <c r="E136" s="44">
        <v>4.1528239202657808E-4</v>
      </c>
    </row>
    <row r="137" spans="2:5" ht="15" customHeight="1" x14ac:dyDescent="0.25">
      <c r="B137" s="89"/>
      <c r="C137" s="46" t="s">
        <v>86</v>
      </c>
      <c r="D137" s="45">
        <v>6</v>
      </c>
      <c r="E137" s="44">
        <v>2.4916943521594683E-3</v>
      </c>
    </row>
    <row r="138" spans="2:5" ht="15" customHeight="1" x14ac:dyDescent="0.25">
      <c r="B138" s="89"/>
      <c r="C138" s="46" t="s">
        <v>84</v>
      </c>
      <c r="D138" s="45">
        <v>1</v>
      </c>
      <c r="E138" s="44">
        <v>4.1528239202657808E-4</v>
      </c>
    </row>
    <row r="139" spans="2:5" ht="15" customHeight="1" x14ac:dyDescent="0.25">
      <c r="B139" s="89"/>
      <c r="C139" s="46" t="s">
        <v>83</v>
      </c>
      <c r="D139" s="45">
        <v>3</v>
      </c>
      <c r="E139" s="44">
        <v>1.2458471760797341E-3</v>
      </c>
    </row>
    <row r="140" spans="2:5" ht="15" customHeight="1" x14ac:dyDescent="0.25">
      <c r="B140" s="89"/>
      <c r="C140" s="46" t="s">
        <v>82</v>
      </c>
      <c r="D140" s="45">
        <v>13</v>
      </c>
      <c r="E140" s="44">
        <v>5.3986710963455148E-3</v>
      </c>
    </row>
    <row r="141" spans="2:5" ht="15" customHeight="1" x14ac:dyDescent="0.25">
      <c r="B141" s="89"/>
      <c r="C141" s="46" t="s">
        <v>81</v>
      </c>
      <c r="D141" s="45">
        <v>1</v>
      </c>
      <c r="E141" s="44">
        <v>4.1528239202657808E-4</v>
      </c>
    </row>
    <row r="142" spans="2:5" ht="15" customHeight="1" x14ac:dyDescent="0.25">
      <c r="B142" s="89"/>
      <c r="C142" s="46" t="s">
        <v>80</v>
      </c>
      <c r="D142" s="45">
        <v>5</v>
      </c>
      <c r="E142" s="44">
        <v>2.0764119601328905E-3</v>
      </c>
    </row>
    <row r="143" spans="2:5" ht="15" customHeight="1" x14ac:dyDescent="0.25">
      <c r="B143" s="89"/>
      <c r="C143" s="46" t="s">
        <v>79</v>
      </c>
      <c r="D143" s="45">
        <v>13</v>
      </c>
      <c r="E143" s="44">
        <v>5.3986710963455148E-3</v>
      </c>
    </row>
    <row r="144" spans="2:5" ht="15" customHeight="1" x14ac:dyDescent="0.25">
      <c r="B144" s="89"/>
      <c r="C144" s="46" t="s">
        <v>74</v>
      </c>
      <c r="D144" s="45">
        <v>3</v>
      </c>
      <c r="E144" s="44">
        <v>1.2458471760797341E-3</v>
      </c>
    </row>
    <row r="145" spans="2:5" ht="15" customHeight="1" x14ac:dyDescent="0.25">
      <c r="B145" s="89"/>
      <c r="C145" s="46" t="s">
        <v>73</v>
      </c>
      <c r="D145" s="45">
        <v>1</v>
      </c>
      <c r="E145" s="44">
        <v>4.1528239202657808E-4</v>
      </c>
    </row>
    <row r="146" spans="2:5" ht="15" customHeight="1" x14ac:dyDescent="0.25">
      <c r="B146" s="90"/>
      <c r="C146" s="43" t="s">
        <v>23</v>
      </c>
      <c r="D146" s="42">
        <v>53</v>
      </c>
      <c r="E146" s="41">
        <v>2.2009966777408636E-2</v>
      </c>
    </row>
    <row r="147" spans="2:5" ht="15" customHeight="1" x14ac:dyDescent="0.25">
      <c r="B147" s="88" t="s">
        <v>123</v>
      </c>
      <c r="C147" s="46" t="s">
        <v>89</v>
      </c>
      <c r="D147" s="45">
        <v>1</v>
      </c>
      <c r="E147" s="44">
        <v>4.1528239202657808E-4</v>
      </c>
    </row>
    <row r="148" spans="2:5" ht="15" customHeight="1" x14ac:dyDescent="0.25">
      <c r="B148" s="89"/>
      <c r="C148" s="46" t="s">
        <v>88</v>
      </c>
      <c r="D148" s="45">
        <v>1</v>
      </c>
      <c r="E148" s="44">
        <v>4.1528239202657808E-4</v>
      </c>
    </row>
    <row r="149" spans="2:5" ht="15" customHeight="1" x14ac:dyDescent="0.25">
      <c r="B149" s="89"/>
      <c r="C149" s="46" t="s">
        <v>87</v>
      </c>
      <c r="D149" s="45">
        <v>4</v>
      </c>
      <c r="E149" s="44">
        <v>1.6611295681063123E-3</v>
      </c>
    </row>
    <row r="150" spans="2:5" ht="15" customHeight="1" x14ac:dyDescent="0.25">
      <c r="B150" s="89"/>
      <c r="C150" s="46" t="s">
        <v>86</v>
      </c>
      <c r="D150" s="45">
        <v>2</v>
      </c>
      <c r="E150" s="44">
        <v>8.3056478405315617E-4</v>
      </c>
    </row>
    <row r="151" spans="2:5" ht="15" customHeight="1" x14ac:dyDescent="0.25">
      <c r="B151" s="89"/>
      <c r="C151" s="46" t="s">
        <v>84</v>
      </c>
      <c r="D151" s="45">
        <v>3</v>
      </c>
      <c r="E151" s="44">
        <v>1.2458471760797341E-3</v>
      </c>
    </row>
    <row r="152" spans="2:5" ht="15" customHeight="1" x14ac:dyDescent="0.25">
      <c r="B152" s="89"/>
      <c r="C152" s="46" t="s">
        <v>82</v>
      </c>
      <c r="D152" s="45">
        <v>9</v>
      </c>
      <c r="E152" s="44">
        <v>3.7375415282392029E-3</v>
      </c>
    </row>
    <row r="153" spans="2:5" ht="15" customHeight="1" x14ac:dyDescent="0.25">
      <c r="B153" s="89"/>
      <c r="C153" s="46" t="s">
        <v>81</v>
      </c>
      <c r="D153" s="45">
        <v>2</v>
      </c>
      <c r="E153" s="44">
        <v>8.3056478405315617E-4</v>
      </c>
    </row>
    <row r="154" spans="2:5" ht="15" customHeight="1" x14ac:dyDescent="0.25">
      <c r="B154" s="89"/>
      <c r="C154" s="46" t="s">
        <v>79</v>
      </c>
      <c r="D154" s="45">
        <v>2</v>
      </c>
      <c r="E154" s="44">
        <v>8.3056478405315617E-4</v>
      </c>
    </row>
    <row r="155" spans="2:5" ht="15" customHeight="1" x14ac:dyDescent="0.25">
      <c r="B155" s="89"/>
      <c r="C155" s="46" t="s">
        <v>74</v>
      </c>
      <c r="D155" s="45">
        <v>1</v>
      </c>
      <c r="E155" s="44">
        <v>4.1528239202657808E-4</v>
      </c>
    </row>
    <row r="156" spans="2:5" ht="15" customHeight="1" x14ac:dyDescent="0.25">
      <c r="B156" s="89"/>
      <c r="C156" s="46" t="s">
        <v>73</v>
      </c>
      <c r="D156" s="45">
        <v>1</v>
      </c>
      <c r="E156" s="44">
        <v>4.1528239202657808E-4</v>
      </c>
    </row>
    <row r="157" spans="2:5" ht="15" customHeight="1" x14ac:dyDescent="0.25">
      <c r="B157" s="90"/>
      <c r="C157" s="43" t="s">
        <v>23</v>
      </c>
      <c r="D157" s="42">
        <v>26</v>
      </c>
      <c r="E157" s="41">
        <v>1.079734219269103E-2</v>
      </c>
    </row>
    <row r="158" spans="2:5" ht="15" customHeight="1" x14ac:dyDescent="0.25">
      <c r="B158" s="88" t="s">
        <v>122</v>
      </c>
      <c r="C158" s="46" t="s">
        <v>93</v>
      </c>
      <c r="D158" s="45">
        <v>5</v>
      </c>
      <c r="E158" s="44">
        <v>2.0764119601328905E-3</v>
      </c>
    </row>
    <row r="159" spans="2:5" ht="15" customHeight="1" x14ac:dyDescent="0.25">
      <c r="B159" s="89"/>
      <c r="C159" s="46" t="s">
        <v>92</v>
      </c>
      <c r="D159" s="45">
        <v>9</v>
      </c>
      <c r="E159" s="44">
        <v>3.7375415282392029E-3</v>
      </c>
    </row>
    <row r="160" spans="2:5" ht="15" customHeight="1" x14ac:dyDescent="0.25">
      <c r="B160" s="89"/>
      <c r="C160" s="46" t="s">
        <v>91</v>
      </c>
      <c r="D160" s="45">
        <v>8</v>
      </c>
      <c r="E160" s="44">
        <v>3.3222591362126247E-3</v>
      </c>
    </row>
    <row r="161" spans="2:5" ht="15" customHeight="1" x14ac:dyDescent="0.25">
      <c r="B161" s="89"/>
      <c r="C161" s="46" t="s">
        <v>90</v>
      </c>
      <c r="D161" s="45">
        <v>12</v>
      </c>
      <c r="E161" s="44">
        <v>4.9833887043189366E-3</v>
      </c>
    </row>
    <row r="162" spans="2:5" ht="15" customHeight="1" x14ac:dyDescent="0.25">
      <c r="B162" s="89"/>
      <c r="C162" s="46" t="s">
        <v>89</v>
      </c>
      <c r="D162" s="45">
        <v>8</v>
      </c>
      <c r="E162" s="44">
        <v>3.3222591362126247E-3</v>
      </c>
    </row>
    <row r="163" spans="2:5" ht="15" customHeight="1" x14ac:dyDescent="0.25">
      <c r="B163" s="89"/>
      <c r="C163" s="46" t="s">
        <v>88</v>
      </c>
      <c r="D163" s="45">
        <v>7</v>
      </c>
      <c r="E163" s="44">
        <v>2.9069767441860465E-3</v>
      </c>
    </row>
    <row r="164" spans="2:5" ht="15" customHeight="1" x14ac:dyDescent="0.25">
      <c r="B164" s="89"/>
      <c r="C164" s="46" t="s">
        <v>87</v>
      </c>
      <c r="D164" s="45">
        <v>17</v>
      </c>
      <c r="E164" s="44">
        <v>7.0598006644518275E-3</v>
      </c>
    </row>
    <row r="165" spans="2:5" ht="15" customHeight="1" x14ac:dyDescent="0.25">
      <c r="B165" s="89"/>
      <c r="C165" s="46" t="s">
        <v>86</v>
      </c>
      <c r="D165" s="45">
        <v>59</v>
      </c>
      <c r="E165" s="44">
        <v>2.4501661129568107E-2</v>
      </c>
    </row>
    <row r="166" spans="2:5" ht="15" customHeight="1" x14ac:dyDescent="0.25">
      <c r="B166" s="89"/>
      <c r="C166" s="46" t="s">
        <v>85</v>
      </c>
      <c r="D166" s="45">
        <v>9</v>
      </c>
      <c r="E166" s="44">
        <v>3.7375415282392029E-3</v>
      </c>
    </row>
    <row r="167" spans="2:5" ht="15" customHeight="1" x14ac:dyDescent="0.25">
      <c r="B167" s="89"/>
      <c r="C167" s="46" t="s">
        <v>84</v>
      </c>
      <c r="D167" s="45">
        <v>2</v>
      </c>
      <c r="E167" s="44">
        <v>8.3056478405315617E-4</v>
      </c>
    </row>
    <row r="168" spans="2:5" ht="15" customHeight="1" x14ac:dyDescent="0.25">
      <c r="B168" s="89"/>
      <c r="C168" s="46" t="s">
        <v>83</v>
      </c>
      <c r="D168" s="45">
        <v>5</v>
      </c>
      <c r="E168" s="44">
        <v>2.0764119601328905E-3</v>
      </c>
    </row>
    <row r="169" spans="2:5" ht="15" customHeight="1" x14ac:dyDescent="0.25">
      <c r="B169" s="89"/>
      <c r="C169" s="46" t="s">
        <v>82</v>
      </c>
      <c r="D169" s="45">
        <v>175</v>
      </c>
      <c r="E169" s="44">
        <v>7.2674418604651167E-2</v>
      </c>
    </row>
    <row r="170" spans="2:5" ht="15" customHeight="1" x14ac:dyDescent="0.25">
      <c r="B170" s="89"/>
      <c r="C170" s="46" t="s">
        <v>81</v>
      </c>
      <c r="D170" s="45">
        <v>6</v>
      </c>
      <c r="E170" s="44">
        <v>2.4916943521594683E-3</v>
      </c>
    </row>
    <row r="171" spans="2:5" ht="15" customHeight="1" x14ac:dyDescent="0.25">
      <c r="B171" s="89"/>
      <c r="C171" s="46" t="s">
        <v>80</v>
      </c>
      <c r="D171" s="45">
        <v>13</v>
      </c>
      <c r="E171" s="44">
        <v>5.3986710963455148E-3</v>
      </c>
    </row>
    <row r="172" spans="2:5" ht="15" customHeight="1" x14ac:dyDescent="0.25">
      <c r="B172" s="89"/>
      <c r="C172" s="46" t="s">
        <v>79</v>
      </c>
      <c r="D172" s="45">
        <v>93</v>
      </c>
      <c r="E172" s="44">
        <v>3.8621262458471764E-2</v>
      </c>
    </row>
    <row r="173" spans="2:5" ht="15" customHeight="1" x14ac:dyDescent="0.25">
      <c r="B173" s="89"/>
      <c r="C173" s="46" t="s">
        <v>77</v>
      </c>
      <c r="D173" s="45">
        <v>2</v>
      </c>
      <c r="E173" s="44">
        <v>8.3056478405315617E-4</v>
      </c>
    </row>
    <row r="174" spans="2:5" ht="15" customHeight="1" x14ac:dyDescent="0.25">
      <c r="B174" s="89"/>
      <c r="C174" s="46" t="s">
        <v>76</v>
      </c>
      <c r="D174" s="45">
        <v>2</v>
      </c>
      <c r="E174" s="44">
        <v>8.3056478405315617E-4</v>
      </c>
    </row>
    <row r="175" spans="2:5" ht="15" customHeight="1" x14ac:dyDescent="0.25">
      <c r="B175" s="89"/>
      <c r="C175" s="46" t="s">
        <v>75</v>
      </c>
      <c r="D175" s="45">
        <v>1</v>
      </c>
      <c r="E175" s="44">
        <v>4.1528239202657808E-4</v>
      </c>
    </row>
    <row r="176" spans="2:5" ht="15" customHeight="1" x14ac:dyDescent="0.25">
      <c r="B176" s="89"/>
      <c r="C176" s="46" t="s">
        <v>74</v>
      </c>
      <c r="D176" s="45">
        <v>3</v>
      </c>
      <c r="E176" s="44">
        <v>1.2458471760797341E-3</v>
      </c>
    </row>
    <row r="177" spans="2:5" ht="15" customHeight="1" x14ac:dyDescent="0.25">
      <c r="B177" s="89"/>
      <c r="C177" s="46" t="s">
        <v>73</v>
      </c>
      <c r="D177" s="45">
        <v>10</v>
      </c>
      <c r="E177" s="44">
        <v>4.152823920265781E-3</v>
      </c>
    </row>
    <row r="178" spans="2:5" ht="15" customHeight="1" x14ac:dyDescent="0.25">
      <c r="B178" s="89"/>
      <c r="C178" s="46" t="s">
        <v>71</v>
      </c>
      <c r="D178" s="45">
        <v>1</v>
      </c>
      <c r="E178" s="44">
        <v>4.1528239202657808E-4</v>
      </c>
    </row>
    <row r="179" spans="2:5" ht="15" customHeight="1" x14ac:dyDescent="0.25">
      <c r="B179" s="90"/>
      <c r="C179" s="43" t="s">
        <v>23</v>
      </c>
      <c r="D179" s="42">
        <v>447</v>
      </c>
      <c r="E179" s="41">
        <v>0.18563122923588041</v>
      </c>
    </row>
    <row r="180" spans="2:5" ht="15" customHeight="1" x14ac:dyDescent="0.25">
      <c r="B180" s="88" t="s">
        <v>121</v>
      </c>
      <c r="C180" s="46" t="s">
        <v>86</v>
      </c>
      <c r="D180" s="45">
        <v>1</v>
      </c>
      <c r="E180" s="44">
        <v>4.1528239202657808E-4</v>
      </c>
    </row>
    <row r="181" spans="2:5" ht="15" customHeight="1" x14ac:dyDescent="0.25">
      <c r="B181" s="89"/>
      <c r="C181" s="46" t="s">
        <v>82</v>
      </c>
      <c r="D181" s="45">
        <v>1</v>
      </c>
      <c r="E181" s="44">
        <v>4.1528239202657808E-4</v>
      </c>
    </row>
    <row r="182" spans="2:5" ht="15" customHeight="1" x14ac:dyDescent="0.25">
      <c r="B182" s="89"/>
      <c r="C182" s="46" t="s">
        <v>79</v>
      </c>
      <c r="D182" s="45">
        <v>1</v>
      </c>
      <c r="E182" s="44">
        <v>4.1528239202657808E-4</v>
      </c>
    </row>
    <row r="183" spans="2:5" ht="15" customHeight="1" x14ac:dyDescent="0.25">
      <c r="B183" s="90"/>
      <c r="C183" s="43" t="s">
        <v>23</v>
      </c>
      <c r="D183" s="42">
        <v>3</v>
      </c>
      <c r="E183" s="41">
        <v>1.2458471760797341E-3</v>
      </c>
    </row>
    <row r="184" spans="2:5" ht="15" customHeight="1" x14ac:dyDescent="0.25">
      <c r="B184" s="88" t="s">
        <v>120</v>
      </c>
      <c r="C184" s="46" t="s">
        <v>87</v>
      </c>
      <c r="D184" s="45">
        <v>1</v>
      </c>
      <c r="E184" s="44">
        <v>4.1528239202657808E-4</v>
      </c>
    </row>
    <row r="185" spans="2:5" ht="15" customHeight="1" x14ac:dyDescent="0.25">
      <c r="B185" s="89"/>
      <c r="C185" s="46" t="s">
        <v>86</v>
      </c>
      <c r="D185" s="45">
        <v>2</v>
      </c>
      <c r="E185" s="44">
        <v>8.3056478405315617E-4</v>
      </c>
    </row>
    <row r="186" spans="2:5" ht="15" customHeight="1" x14ac:dyDescent="0.25">
      <c r="B186" s="89"/>
      <c r="C186" s="46" t="s">
        <v>85</v>
      </c>
      <c r="D186" s="45">
        <v>1</v>
      </c>
      <c r="E186" s="44">
        <v>4.1528239202657808E-4</v>
      </c>
    </row>
    <row r="187" spans="2:5" ht="15" customHeight="1" x14ac:dyDescent="0.25">
      <c r="B187" s="89"/>
      <c r="C187" s="46" t="s">
        <v>83</v>
      </c>
      <c r="D187" s="45">
        <v>1</v>
      </c>
      <c r="E187" s="44">
        <v>4.1528239202657808E-4</v>
      </c>
    </row>
    <row r="188" spans="2:5" ht="15" customHeight="1" x14ac:dyDescent="0.25">
      <c r="B188" s="89"/>
      <c r="C188" s="46" t="s">
        <v>82</v>
      </c>
      <c r="D188" s="45">
        <v>5</v>
      </c>
      <c r="E188" s="44">
        <v>2.0764119601328905E-3</v>
      </c>
    </row>
    <row r="189" spans="2:5" ht="15" customHeight="1" x14ac:dyDescent="0.25">
      <c r="B189" s="89"/>
      <c r="C189" s="46" t="s">
        <v>80</v>
      </c>
      <c r="D189" s="45">
        <v>4</v>
      </c>
      <c r="E189" s="44">
        <v>1.6611295681063123E-3</v>
      </c>
    </row>
    <row r="190" spans="2:5" ht="15" customHeight="1" x14ac:dyDescent="0.25">
      <c r="B190" s="89"/>
      <c r="C190" s="46" t="s">
        <v>79</v>
      </c>
      <c r="D190" s="45">
        <v>5</v>
      </c>
      <c r="E190" s="44">
        <v>2.0764119601328905E-3</v>
      </c>
    </row>
    <row r="191" spans="2:5" ht="15" customHeight="1" x14ac:dyDescent="0.25">
      <c r="B191" s="89"/>
      <c r="C191" s="46" t="s">
        <v>74</v>
      </c>
      <c r="D191" s="45">
        <v>1</v>
      </c>
      <c r="E191" s="44">
        <v>4.1528239202657808E-4</v>
      </c>
    </row>
    <row r="192" spans="2:5" ht="15" customHeight="1" x14ac:dyDescent="0.25">
      <c r="B192" s="89"/>
      <c r="C192" s="46" t="s">
        <v>73</v>
      </c>
      <c r="D192" s="45">
        <v>5</v>
      </c>
      <c r="E192" s="44">
        <v>2.0764119601328905E-3</v>
      </c>
    </row>
    <row r="193" spans="2:5" ht="15" customHeight="1" x14ac:dyDescent="0.25">
      <c r="B193" s="89"/>
      <c r="C193" s="46" t="s">
        <v>72</v>
      </c>
      <c r="D193" s="45">
        <v>1</v>
      </c>
      <c r="E193" s="44">
        <v>4.1528239202657808E-4</v>
      </c>
    </row>
    <row r="194" spans="2:5" ht="15" customHeight="1" x14ac:dyDescent="0.25">
      <c r="B194" s="90"/>
      <c r="C194" s="43" t="s">
        <v>23</v>
      </c>
      <c r="D194" s="42">
        <v>26</v>
      </c>
      <c r="E194" s="41">
        <v>1.079734219269103E-2</v>
      </c>
    </row>
    <row r="195" spans="2:5" ht="15" customHeight="1" x14ac:dyDescent="0.25">
      <c r="B195" s="88" t="s">
        <v>119</v>
      </c>
      <c r="C195" s="46" t="s">
        <v>82</v>
      </c>
      <c r="D195" s="45">
        <v>1</v>
      </c>
      <c r="E195" s="44">
        <v>4.1528239202657808E-4</v>
      </c>
    </row>
    <row r="196" spans="2:5" ht="15" customHeight="1" x14ac:dyDescent="0.25">
      <c r="B196" s="89"/>
      <c r="C196" s="46" t="s">
        <v>79</v>
      </c>
      <c r="D196" s="45">
        <v>3</v>
      </c>
      <c r="E196" s="44">
        <v>1.2458471760797341E-3</v>
      </c>
    </row>
    <row r="197" spans="2:5" ht="15" customHeight="1" x14ac:dyDescent="0.25">
      <c r="B197" s="90"/>
      <c r="C197" s="43" t="s">
        <v>23</v>
      </c>
      <c r="D197" s="42">
        <v>4</v>
      </c>
      <c r="E197" s="41">
        <v>1.6611295681063123E-3</v>
      </c>
    </row>
    <row r="198" spans="2:5" ht="15" customHeight="1" x14ac:dyDescent="0.25">
      <c r="B198" s="88" t="s">
        <v>118</v>
      </c>
      <c r="C198" s="46" t="s">
        <v>92</v>
      </c>
      <c r="D198" s="45">
        <v>1</v>
      </c>
      <c r="E198" s="44">
        <v>4.1528239202657808E-4</v>
      </c>
    </row>
    <row r="199" spans="2:5" ht="15" customHeight="1" x14ac:dyDescent="0.25">
      <c r="B199" s="89"/>
      <c r="C199" s="46" t="s">
        <v>90</v>
      </c>
      <c r="D199" s="45">
        <v>1</v>
      </c>
      <c r="E199" s="44">
        <v>4.1528239202657808E-4</v>
      </c>
    </row>
    <row r="200" spans="2:5" ht="15" customHeight="1" x14ac:dyDescent="0.25">
      <c r="B200" s="89"/>
      <c r="C200" s="46" t="s">
        <v>86</v>
      </c>
      <c r="D200" s="45">
        <v>1</v>
      </c>
      <c r="E200" s="44">
        <v>4.1528239202657808E-4</v>
      </c>
    </row>
    <row r="201" spans="2:5" ht="15" customHeight="1" x14ac:dyDescent="0.25">
      <c r="B201" s="89"/>
      <c r="C201" s="46" t="s">
        <v>84</v>
      </c>
      <c r="D201" s="45">
        <v>1</v>
      </c>
      <c r="E201" s="44">
        <v>4.1528239202657808E-4</v>
      </c>
    </row>
    <row r="202" spans="2:5" ht="15" customHeight="1" x14ac:dyDescent="0.25">
      <c r="B202" s="89"/>
      <c r="C202" s="46" t="s">
        <v>82</v>
      </c>
      <c r="D202" s="45">
        <v>4</v>
      </c>
      <c r="E202" s="44">
        <v>1.6611295681063123E-3</v>
      </c>
    </row>
    <row r="203" spans="2:5" ht="15" customHeight="1" x14ac:dyDescent="0.25">
      <c r="B203" s="89"/>
      <c r="C203" s="46" t="s">
        <v>81</v>
      </c>
      <c r="D203" s="45">
        <v>1</v>
      </c>
      <c r="E203" s="44">
        <v>4.1528239202657808E-4</v>
      </c>
    </row>
    <row r="204" spans="2:5" ht="15" customHeight="1" x14ac:dyDescent="0.25">
      <c r="B204" s="89"/>
      <c r="C204" s="46" t="s">
        <v>79</v>
      </c>
      <c r="D204" s="45">
        <v>3</v>
      </c>
      <c r="E204" s="44">
        <v>1.2458471760797341E-3</v>
      </c>
    </row>
    <row r="205" spans="2:5" ht="15" customHeight="1" x14ac:dyDescent="0.25">
      <c r="B205" s="89"/>
      <c r="C205" s="46" t="s">
        <v>73</v>
      </c>
      <c r="D205" s="45">
        <v>1</v>
      </c>
      <c r="E205" s="44">
        <v>4.1528239202657808E-4</v>
      </c>
    </row>
    <row r="206" spans="2:5" ht="15" customHeight="1" x14ac:dyDescent="0.25">
      <c r="B206" s="90"/>
      <c r="C206" s="43" t="s">
        <v>23</v>
      </c>
      <c r="D206" s="42">
        <v>13</v>
      </c>
      <c r="E206" s="41">
        <v>5.3986710963455148E-3</v>
      </c>
    </row>
    <row r="207" spans="2:5" ht="15" customHeight="1" x14ac:dyDescent="0.25">
      <c r="B207" s="88" t="s">
        <v>117</v>
      </c>
      <c r="C207" s="46" t="s">
        <v>83</v>
      </c>
      <c r="D207" s="45">
        <v>1</v>
      </c>
      <c r="E207" s="44">
        <v>4.1528239202657808E-4</v>
      </c>
    </row>
    <row r="208" spans="2:5" ht="15" customHeight="1" x14ac:dyDescent="0.25">
      <c r="B208" s="89"/>
      <c r="C208" s="46" t="s">
        <v>82</v>
      </c>
      <c r="D208" s="45">
        <v>7</v>
      </c>
      <c r="E208" s="44">
        <v>2.9069767441860465E-3</v>
      </c>
    </row>
    <row r="209" spans="2:5" ht="15" customHeight="1" x14ac:dyDescent="0.25">
      <c r="B209" s="89"/>
      <c r="C209" s="46" t="s">
        <v>79</v>
      </c>
      <c r="D209" s="45">
        <v>2</v>
      </c>
      <c r="E209" s="44">
        <v>8.3056478405315617E-4</v>
      </c>
    </row>
    <row r="210" spans="2:5" ht="15" customHeight="1" x14ac:dyDescent="0.25">
      <c r="B210" s="89"/>
      <c r="C210" s="46" t="s">
        <v>74</v>
      </c>
      <c r="D210" s="45">
        <v>1</v>
      </c>
      <c r="E210" s="44">
        <v>4.1528239202657808E-4</v>
      </c>
    </row>
    <row r="211" spans="2:5" ht="15" customHeight="1" x14ac:dyDescent="0.25">
      <c r="B211" s="89"/>
      <c r="C211" s="46" t="s">
        <v>73</v>
      </c>
      <c r="D211" s="45">
        <v>6</v>
      </c>
      <c r="E211" s="44">
        <v>2.4916943521594683E-3</v>
      </c>
    </row>
    <row r="212" spans="2:5" ht="15" customHeight="1" x14ac:dyDescent="0.25">
      <c r="B212" s="89"/>
      <c r="C212" s="46" t="s">
        <v>72</v>
      </c>
      <c r="D212" s="45">
        <v>1</v>
      </c>
      <c r="E212" s="44">
        <v>4.1528239202657808E-4</v>
      </c>
    </row>
    <row r="213" spans="2:5" ht="15" customHeight="1" x14ac:dyDescent="0.25">
      <c r="B213" s="90"/>
      <c r="C213" s="43" t="s">
        <v>23</v>
      </c>
      <c r="D213" s="42">
        <v>18</v>
      </c>
      <c r="E213" s="41">
        <v>7.4750830564784057E-3</v>
      </c>
    </row>
    <row r="214" spans="2:5" ht="15" customHeight="1" x14ac:dyDescent="0.25">
      <c r="B214" s="88" t="s">
        <v>116</v>
      </c>
      <c r="C214" s="46" t="s">
        <v>90</v>
      </c>
      <c r="D214" s="45">
        <v>1</v>
      </c>
      <c r="E214" s="44">
        <v>4.1528239202657808E-4</v>
      </c>
    </row>
    <row r="215" spans="2:5" ht="15" customHeight="1" x14ac:dyDescent="0.25">
      <c r="B215" s="89"/>
      <c r="C215" s="46" t="s">
        <v>86</v>
      </c>
      <c r="D215" s="45">
        <v>1</v>
      </c>
      <c r="E215" s="44">
        <v>4.1528239202657808E-4</v>
      </c>
    </row>
    <row r="216" spans="2:5" ht="15" customHeight="1" x14ac:dyDescent="0.25">
      <c r="B216" s="89"/>
      <c r="C216" s="46" t="s">
        <v>80</v>
      </c>
      <c r="D216" s="45">
        <v>1</v>
      </c>
      <c r="E216" s="44">
        <v>4.1528239202657808E-4</v>
      </c>
    </row>
    <row r="217" spans="2:5" ht="15" customHeight="1" x14ac:dyDescent="0.25">
      <c r="B217" s="89"/>
      <c r="C217" s="46" t="s">
        <v>79</v>
      </c>
      <c r="D217" s="45">
        <v>3</v>
      </c>
      <c r="E217" s="44">
        <v>1.2458471760797341E-3</v>
      </c>
    </row>
    <row r="218" spans="2:5" ht="15" customHeight="1" x14ac:dyDescent="0.25">
      <c r="B218" s="89"/>
      <c r="C218" s="46" t="s">
        <v>73</v>
      </c>
      <c r="D218" s="45">
        <v>1</v>
      </c>
      <c r="E218" s="44">
        <v>4.1528239202657808E-4</v>
      </c>
    </row>
    <row r="219" spans="2:5" ht="15" customHeight="1" x14ac:dyDescent="0.25">
      <c r="B219" s="90"/>
      <c r="C219" s="43" t="s">
        <v>23</v>
      </c>
      <c r="D219" s="42">
        <v>7</v>
      </c>
      <c r="E219" s="41">
        <v>2.9069767441860465E-3</v>
      </c>
    </row>
    <row r="220" spans="2:5" ht="15" customHeight="1" x14ac:dyDescent="0.25">
      <c r="B220" s="88" t="s">
        <v>115</v>
      </c>
      <c r="C220" s="46" t="s">
        <v>88</v>
      </c>
      <c r="D220" s="45">
        <v>1</v>
      </c>
      <c r="E220" s="44">
        <v>4.1528239202657808E-4</v>
      </c>
    </row>
    <row r="221" spans="2:5" ht="15" customHeight="1" x14ac:dyDescent="0.25">
      <c r="B221" s="89"/>
      <c r="C221" s="46" t="s">
        <v>87</v>
      </c>
      <c r="D221" s="45">
        <v>1</v>
      </c>
      <c r="E221" s="44">
        <v>4.1528239202657808E-4</v>
      </c>
    </row>
    <row r="222" spans="2:5" ht="15" customHeight="1" x14ac:dyDescent="0.25">
      <c r="B222" s="89"/>
      <c r="C222" s="46" t="s">
        <v>86</v>
      </c>
      <c r="D222" s="45">
        <v>1</v>
      </c>
      <c r="E222" s="44">
        <v>4.1528239202657808E-4</v>
      </c>
    </row>
    <row r="223" spans="2:5" ht="15" customHeight="1" x14ac:dyDescent="0.25">
      <c r="B223" s="89"/>
      <c r="C223" s="46" t="s">
        <v>85</v>
      </c>
      <c r="D223" s="45">
        <v>1</v>
      </c>
      <c r="E223" s="44">
        <v>4.1528239202657808E-4</v>
      </c>
    </row>
    <row r="224" spans="2:5" ht="15" customHeight="1" x14ac:dyDescent="0.25">
      <c r="B224" s="89"/>
      <c r="C224" s="46" t="s">
        <v>84</v>
      </c>
      <c r="D224" s="45">
        <v>1</v>
      </c>
      <c r="E224" s="44">
        <v>4.1528239202657808E-4</v>
      </c>
    </row>
    <row r="225" spans="2:5" ht="15" customHeight="1" x14ac:dyDescent="0.25">
      <c r="B225" s="89"/>
      <c r="C225" s="46" t="s">
        <v>83</v>
      </c>
      <c r="D225" s="45">
        <v>2</v>
      </c>
      <c r="E225" s="44">
        <v>8.3056478405315617E-4</v>
      </c>
    </row>
    <row r="226" spans="2:5" ht="15" customHeight="1" x14ac:dyDescent="0.25">
      <c r="B226" s="89"/>
      <c r="C226" s="46" t="s">
        <v>82</v>
      </c>
      <c r="D226" s="45">
        <v>4</v>
      </c>
      <c r="E226" s="44">
        <v>1.6611295681063123E-3</v>
      </c>
    </row>
    <row r="227" spans="2:5" ht="15" customHeight="1" x14ac:dyDescent="0.25">
      <c r="B227" s="89"/>
      <c r="C227" s="46" t="s">
        <v>81</v>
      </c>
      <c r="D227" s="45">
        <v>1</v>
      </c>
      <c r="E227" s="44">
        <v>4.1528239202657808E-4</v>
      </c>
    </row>
    <row r="228" spans="2:5" ht="15" customHeight="1" x14ac:dyDescent="0.25">
      <c r="B228" s="89"/>
      <c r="C228" s="46" t="s">
        <v>80</v>
      </c>
      <c r="D228" s="45">
        <v>1</v>
      </c>
      <c r="E228" s="44">
        <v>4.1528239202657808E-4</v>
      </c>
    </row>
    <row r="229" spans="2:5" ht="15" customHeight="1" x14ac:dyDescent="0.25">
      <c r="B229" s="89"/>
      <c r="C229" s="46" t="s">
        <v>79</v>
      </c>
      <c r="D229" s="45">
        <v>9</v>
      </c>
      <c r="E229" s="44">
        <v>3.7375415282392029E-3</v>
      </c>
    </row>
    <row r="230" spans="2:5" ht="15" customHeight="1" x14ac:dyDescent="0.25">
      <c r="B230" s="90"/>
      <c r="C230" s="43" t="s">
        <v>23</v>
      </c>
      <c r="D230" s="42">
        <v>22</v>
      </c>
      <c r="E230" s="41">
        <v>9.1362126245847185E-3</v>
      </c>
    </row>
    <row r="231" spans="2:5" ht="15" customHeight="1" x14ac:dyDescent="0.25">
      <c r="B231" s="88" t="s">
        <v>114</v>
      </c>
      <c r="C231" s="46" t="s">
        <v>93</v>
      </c>
      <c r="D231" s="45">
        <v>1</v>
      </c>
      <c r="E231" s="44">
        <v>4.1528239202657808E-4</v>
      </c>
    </row>
    <row r="232" spans="2:5" ht="15" customHeight="1" x14ac:dyDescent="0.25">
      <c r="B232" s="89"/>
      <c r="C232" s="46" t="s">
        <v>91</v>
      </c>
      <c r="D232" s="45">
        <v>2</v>
      </c>
      <c r="E232" s="44">
        <v>8.3056478405315617E-4</v>
      </c>
    </row>
    <row r="233" spans="2:5" ht="15" customHeight="1" x14ac:dyDescent="0.25">
      <c r="B233" s="89"/>
      <c r="C233" s="46" t="s">
        <v>87</v>
      </c>
      <c r="D233" s="45">
        <v>9</v>
      </c>
      <c r="E233" s="44">
        <v>3.7375415282392029E-3</v>
      </c>
    </row>
    <row r="234" spans="2:5" ht="15" customHeight="1" x14ac:dyDescent="0.25">
      <c r="B234" s="89"/>
      <c r="C234" s="46" t="s">
        <v>86</v>
      </c>
      <c r="D234" s="45">
        <v>15</v>
      </c>
      <c r="E234" s="44">
        <v>6.2292358803986711E-3</v>
      </c>
    </row>
    <row r="235" spans="2:5" ht="15" customHeight="1" x14ac:dyDescent="0.25">
      <c r="B235" s="89"/>
      <c r="C235" s="46" t="s">
        <v>85</v>
      </c>
      <c r="D235" s="45">
        <v>2</v>
      </c>
      <c r="E235" s="44">
        <v>8.3056478405315617E-4</v>
      </c>
    </row>
    <row r="236" spans="2:5" ht="15" customHeight="1" x14ac:dyDescent="0.25">
      <c r="B236" s="89"/>
      <c r="C236" s="46" t="s">
        <v>84</v>
      </c>
      <c r="D236" s="45">
        <v>3</v>
      </c>
      <c r="E236" s="44">
        <v>1.2458471760797341E-3</v>
      </c>
    </row>
    <row r="237" spans="2:5" ht="15" customHeight="1" x14ac:dyDescent="0.25">
      <c r="B237" s="89"/>
      <c r="C237" s="46" t="s">
        <v>83</v>
      </c>
      <c r="D237" s="45">
        <v>3</v>
      </c>
      <c r="E237" s="44">
        <v>1.2458471760797341E-3</v>
      </c>
    </row>
    <row r="238" spans="2:5" ht="15" customHeight="1" x14ac:dyDescent="0.25">
      <c r="B238" s="89"/>
      <c r="C238" s="46" t="s">
        <v>82</v>
      </c>
      <c r="D238" s="45">
        <v>48</v>
      </c>
      <c r="E238" s="44">
        <v>1.9933554817275746E-2</v>
      </c>
    </row>
    <row r="239" spans="2:5" ht="15" customHeight="1" x14ac:dyDescent="0.25">
      <c r="B239" s="89"/>
      <c r="C239" s="46" t="s">
        <v>81</v>
      </c>
      <c r="D239" s="45">
        <v>3</v>
      </c>
      <c r="E239" s="44">
        <v>1.2458471760797341E-3</v>
      </c>
    </row>
    <row r="240" spans="2:5" ht="15" customHeight="1" x14ac:dyDescent="0.25">
      <c r="B240" s="89"/>
      <c r="C240" s="46" t="s">
        <v>80</v>
      </c>
      <c r="D240" s="45">
        <v>8</v>
      </c>
      <c r="E240" s="44">
        <v>3.3222591362126247E-3</v>
      </c>
    </row>
    <row r="241" spans="2:5" ht="15" customHeight="1" x14ac:dyDescent="0.25">
      <c r="B241" s="89"/>
      <c r="C241" s="46" t="s">
        <v>79</v>
      </c>
      <c r="D241" s="45">
        <v>33</v>
      </c>
      <c r="E241" s="44">
        <v>1.3704318936877076E-2</v>
      </c>
    </row>
    <row r="242" spans="2:5" ht="15" customHeight="1" x14ac:dyDescent="0.25">
      <c r="B242" s="89"/>
      <c r="C242" s="46" t="s">
        <v>78</v>
      </c>
      <c r="D242" s="45">
        <v>1</v>
      </c>
      <c r="E242" s="44">
        <v>4.1528239202657808E-4</v>
      </c>
    </row>
    <row r="243" spans="2:5" ht="15" customHeight="1" x14ac:dyDescent="0.25">
      <c r="B243" s="89"/>
      <c r="C243" s="46" t="s">
        <v>77</v>
      </c>
      <c r="D243" s="45">
        <v>1</v>
      </c>
      <c r="E243" s="44">
        <v>4.1528239202657808E-4</v>
      </c>
    </row>
    <row r="244" spans="2:5" ht="15" customHeight="1" x14ac:dyDescent="0.25">
      <c r="B244" s="89"/>
      <c r="C244" s="46" t="s">
        <v>74</v>
      </c>
      <c r="D244" s="45">
        <v>1</v>
      </c>
      <c r="E244" s="44">
        <v>4.1528239202657808E-4</v>
      </c>
    </row>
    <row r="245" spans="2:5" ht="15" customHeight="1" x14ac:dyDescent="0.25">
      <c r="B245" s="89"/>
      <c r="C245" s="46" t="s">
        <v>73</v>
      </c>
      <c r="D245" s="45">
        <v>5</v>
      </c>
      <c r="E245" s="44">
        <v>2.0764119601328905E-3</v>
      </c>
    </row>
    <row r="246" spans="2:5" ht="15" customHeight="1" x14ac:dyDescent="0.25">
      <c r="B246" s="90"/>
      <c r="C246" s="43" t="s">
        <v>23</v>
      </c>
      <c r="D246" s="42">
        <v>135</v>
      </c>
      <c r="E246" s="41">
        <v>5.6063122923588039E-2</v>
      </c>
    </row>
    <row r="247" spans="2:5" ht="15" customHeight="1" x14ac:dyDescent="0.25">
      <c r="B247" s="88" t="s">
        <v>113</v>
      </c>
      <c r="C247" s="46" t="s">
        <v>82</v>
      </c>
      <c r="D247" s="45">
        <v>1</v>
      </c>
      <c r="E247" s="44">
        <v>4.1528239202657808E-4</v>
      </c>
    </row>
    <row r="248" spans="2:5" ht="15" customHeight="1" x14ac:dyDescent="0.25">
      <c r="B248" s="90"/>
      <c r="C248" s="43" t="s">
        <v>23</v>
      </c>
      <c r="D248" s="42">
        <v>1</v>
      </c>
      <c r="E248" s="41">
        <v>4.1528239202657808E-4</v>
      </c>
    </row>
    <row r="249" spans="2:5" ht="15" customHeight="1" x14ac:dyDescent="0.25">
      <c r="B249" s="88" t="s">
        <v>112</v>
      </c>
      <c r="C249" s="46" t="s">
        <v>93</v>
      </c>
      <c r="D249" s="45">
        <v>4</v>
      </c>
      <c r="E249" s="44">
        <v>1.6611295681063123E-3</v>
      </c>
    </row>
    <row r="250" spans="2:5" ht="15" customHeight="1" x14ac:dyDescent="0.25">
      <c r="B250" s="89"/>
      <c r="C250" s="46" t="s">
        <v>92</v>
      </c>
      <c r="D250" s="45">
        <v>2</v>
      </c>
      <c r="E250" s="44">
        <v>8.3056478405315617E-4</v>
      </c>
    </row>
    <row r="251" spans="2:5" ht="15" customHeight="1" x14ac:dyDescent="0.25">
      <c r="B251" s="89"/>
      <c r="C251" s="46" t="s">
        <v>91</v>
      </c>
      <c r="D251" s="45">
        <v>7</v>
      </c>
      <c r="E251" s="44">
        <v>2.9069767441860465E-3</v>
      </c>
    </row>
    <row r="252" spans="2:5" ht="15" customHeight="1" x14ac:dyDescent="0.25">
      <c r="B252" s="89"/>
      <c r="C252" s="46" t="s">
        <v>90</v>
      </c>
      <c r="D252" s="45">
        <v>10</v>
      </c>
      <c r="E252" s="44">
        <v>4.152823920265781E-3</v>
      </c>
    </row>
    <row r="253" spans="2:5" ht="15" customHeight="1" x14ac:dyDescent="0.25">
      <c r="B253" s="89"/>
      <c r="C253" s="46" t="s">
        <v>89</v>
      </c>
      <c r="D253" s="45">
        <v>5</v>
      </c>
      <c r="E253" s="44">
        <v>2.0764119601328905E-3</v>
      </c>
    </row>
    <row r="254" spans="2:5" ht="15" customHeight="1" x14ac:dyDescent="0.25">
      <c r="B254" s="89"/>
      <c r="C254" s="46" t="s">
        <v>87</v>
      </c>
      <c r="D254" s="45">
        <v>21</v>
      </c>
      <c r="E254" s="44">
        <v>8.7209302325581394E-3</v>
      </c>
    </row>
    <row r="255" spans="2:5" ht="15" customHeight="1" x14ac:dyDescent="0.25">
      <c r="B255" s="89"/>
      <c r="C255" s="46" t="s">
        <v>86</v>
      </c>
      <c r="D255" s="45">
        <v>31</v>
      </c>
      <c r="E255" s="44">
        <v>1.287375415282392E-2</v>
      </c>
    </row>
    <row r="256" spans="2:5" ht="15" customHeight="1" x14ac:dyDescent="0.25">
      <c r="B256" s="89"/>
      <c r="C256" s="46" t="s">
        <v>85</v>
      </c>
      <c r="D256" s="45">
        <v>4</v>
      </c>
      <c r="E256" s="44">
        <v>1.6611295681063123E-3</v>
      </c>
    </row>
    <row r="257" spans="2:5" ht="15" customHeight="1" x14ac:dyDescent="0.25">
      <c r="B257" s="89"/>
      <c r="C257" s="46" t="s">
        <v>84</v>
      </c>
      <c r="D257" s="45">
        <v>5</v>
      </c>
      <c r="E257" s="44">
        <v>2.0764119601328905E-3</v>
      </c>
    </row>
    <row r="258" spans="2:5" ht="15" customHeight="1" x14ac:dyDescent="0.25">
      <c r="B258" s="89"/>
      <c r="C258" s="46" t="s">
        <v>83</v>
      </c>
      <c r="D258" s="45">
        <v>8</v>
      </c>
      <c r="E258" s="44">
        <v>3.3222591362126247E-3</v>
      </c>
    </row>
    <row r="259" spans="2:5" ht="15" customHeight="1" x14ac:dyDescent="0.25">
      <c r="B259" s="89"/>
      <c r="C259" s="46" t="s">
        <v>82</v>
      </c>
      <c r="D259" s="45">
        <v>63</v>
      </c>
      <c r="E259" s="44">
        <v>2.616279069767442E-2</v>
      </c>
    </row>
    <row r="260" spans="2:5" ht="15" customHeight="1" x14ac:dyDescent="0.25">
      <c r="B260" s="89"/>
      <c r="C260" s="46" t="s">
        <v>81</v>
      </c>
      <c r="D260" s="45">
        <v>3</v>
      </c>
      <c r="E260" s="44">
        <v>1.2458471760797341E-3</v>
      </c>
    </row>
    <row r="261" spans="2:5" ht="15" customHeight="1" x14ac:dyDescent="0.25">
      <c r="B261" s="89"/>
      <c r="C261" s="46" t="s">
        <v>80</v>
      </c>
      <c r="D261" s="45">
        <v>4</v>
      </c>
      <c r="E261" s="44">
        <v>1.6611295681063123E-3</v>
      </c>
    </row>
    <row r="262" spans="2:5" ht="15" customHeight="1" x14ac:dyDescent="0.25">
      <c r="B262" s="89"/>
      <c r="C262" s="46" t="s">
        <v>79</v>
      </c>
      <c r="D262" s="45">
        <v>24</v>
      </c>
      <c r="E262" s="44">
        <v>9.9667774086378731E-3</v>
      </c>
    </row>
    <row r="263" spans="2:5" ht="15" customHeight="1" x14ac:dyDescent="0.25">
      <c r="B263" s="89"/>
      <c r="C263" s="46" t="s">
        <v>73</v>
      </c>
      <c r="D263" s="45">
        <v>3</v>
      </c>
      <c r="E263" s="44">
        <v>1.2458471760797341E-3</v>
      </c>
    </row>
    <row r="264" spans="2:5" ht="15" customHeight="1" x14ac:dyDescent="0.25">
      <c r="B264" s="90"/>
      <c r="C264" s="43" t="s">
        <v>23</v>
      </c>
      <c r="D264" s="42">
        <v>194</v>
      </c>
      <c r="E264" s="41">
        <v>8.0564784053156147E-2</v>
      </c>
    </row>
    <row r="265" spans="2:5" ht="15" customHeight="1" x14ac:dyDescent="0.25">
      <c r="B265" s="88" t="s">
        <v>111</v>
      </c>
      <c r="C265" s="46" t="s">
        <v>90</v>
      </c>
      <c r="D265" s="45">
        <v>1</v>
      </c>
      <c r="E265" s="44">
        <v>4.1528239202657808E-4</v>
      </c>
    </row>
    <row r="266" spans="2:5" ht="15" customHeight="1" x14ac:dyDescent="0.25">
      <c r="B266" s="89"/>
      <c r="C266" s="46" t="s">
        <v>88</v>
      </c>
      <c r="D266" s="45">
        <v>1</v>
      </c>
      <c r="E266" s="44">
        <v>4.1528239202657808E-4</v>
      </c>
    </row>
    <row r="267" spans="2:5" ht="15" customHeight="1" x14ac:dyDescent="0.25">
      <c r="B267" s="89"/>
      <c r="C267" s="46" t="s">
        <v>86</v>
      </c>
      <c r="D267" s="45">
        <v>2</v>
      </c>
      <c r="E267" s="44">
        <v>8.3056478405315617E-4</v>
      </c>
    </row>
    <row r="268" spans="2:5" ht="15" customHeight="1" x14ac:dyDescent="0.25">
      <c r="B268" s="89"/>
      <c r="C268" s="46" t="s">
        <v>83</v>
      </c>
      <c r="D268" s="45">
        <v>2</v>
      </c>
      <c r="E268" s="44">
        <v>8.3056478405315617E-4</v>
      </c>
    </row>
    <row r="269" spans="2:5" ht="15" customHeight="1" x14ac:dyDescent="0.25">
      <c r="B269" s="89"/>
      <c r="C269" s="46" t="s">
        <v>82</v>
      </c>
      <c r="D269" s="45">
        <v>7</v>
      </c>
      <c r="E269" s="44">
        <v>2.9069767441860465E-3</v>
      </c>
    </row>
    <row r="270" spans="2:5" ht="15" customHeight="1" x14ac:dyDescent="0.25">
      <c r="B270" s="89"/>
      <c r="C270" s="46" t="s">
        <v>80</v>
      </c>
      <c r="D270" s="45">
        <v>1</v>
      </c>
      <c r="E270" s="44">
        <v>4.1528239202657808E-4</v>
      </c>
    </row>
    <row r="271" spans="2:5" ht="15" customHeight="1" x14ac:dyDescent="0.25">
      <c r="B271" s="89"/>
      <c r="C271" s="46" t="s">
        <v>79</v>
      </c>
      <c r="D271" s="45">
        <v>3</v>
      </c>
      <c r="E271" s="44">
        <v>1.2458471760797341E-3</v>
      </c>
    </row>
    <row r="272" spans="2:5" ht="15" customHeight="1" x14ac:dyDescent="0.25">
      <c r="B272" s="89"/>
      <c r="C272" s="46" t="s">
        <v>73</v>
      </c>
      <c r="D272" s="45">
        <v>1</v>
      </c>
      <c r="E272" s="44">
        <v>4.1528239202657808E-4</v>
      </c>
    </row>
    <row r="273" spans="2:5" ht="15" customHeight="1" x14ac:dyDescent="0.25">
      <c r="B273" s="90"/>
      <c r="C273" s="43" t="s">
        <v>23</v>
      </c>
      <c r="D273" s="42">
        <v>18</v>
      </c>
      <c r="E273" s="41">
        <v>7.4750830564784057E-3</v>
      </c>
    </row>
    <row r="274" spans="2:5" ht="15" customHeight="1" x14ac:dyDescent="0.25">
      <c r="B274" s="88" t="s">
        <v>110</v>
      </c>
      <c r="C274" s="46" t="s">
        <v>92</v>
      </c>
      <c r="D274" s="45">
        <v>1</v>
      </c>
      <c r="E274" s="44">
        <v>4.1528239202657808E-4</v>
      </c>
    </row>
    <row r="275" spans="2:5" ht="15" customHeight="1" x14ac:dyDescent="0.25">
      <c r="B275" s="89"/>
      <c r="C275" s="46" t="s">
        <v>87</v>
      </c>
      <c r="D275" s="45">
        <v>2</v>
      </c>
      <c r="E275" s="44">
        <v>8.3056478405315617E-4</v>
      </c>
    </row>
    <row r="276" spans="2:5" ht="15" customHeight="1" x14ac:dyDescent="0.25">
      <c r="B276" s="89"/>
      <c r="C276" s="46" t="s">
        <v>86</v>
      </c>
      <c r="D276" s="45">
        <v>4</v>
      </c>
      <c r="E276" s="44">
        <v>1.6611295681063123E-3</v>
      </c>
    </row>
    <row r="277" spans="2:5" ht="15" customHeight="1" x14ac:dyDescent="0.25">
      <c r="B277" s="89"/>
      <c r="C277" s="46" t="s">
        <v>83</v>
      </c>
      <c r="D277" s="45">
        <v>1</v>
      </c>
      <c r="E277" s="44">
        <v>4.1528239202657808E-4</v>
      </c>
    </row>
    <row r="278" spans="2:5" ht="15" customHeight="1" x14ac:dyDescent="0.25">
      <c r="B278" s="89"/>
      <c r="C278" s="46" t="s">
        <v>82</v>
      </c>
      <c r="D278" s="45">
        <v>5</v>
      </c>
      <c r="E278" s="44">
        <v>2.0764119601328905E-3</v>
      </c>
    </row>
    <row r="279" spans="2:5" ht="15" customHeight="1" x14ac:dyDescent="0.25">
      <c r="B279" s="89"/>
      <c r="C279" s="46" t="s">
        <v>81</v>
      </c>
      <c r="D279" s="45">
        <v>2</v>
      </c>
      <c r="E279" s="44">
        <v>8.3056478405315617E-4</v>
      </c>
    </row>
    <row r="280" spans="2:5" ht="15" customHeight="1" x14ac:dyDescent="0.25">
      <c r="B280" s="89"/>
      <c r="C280" s="46" t="s">
        <v>80</v>
      </c>
      <c r="D280" s="45">
        <v>1</v>
      </c>
      <c r="E280" s="44">
        <v>4.1528239202657808E-4</v>
      </c>
    </row>
    <row r="281" spans="2:5" ht="15" customHeight="1" x14ac:dyDescent="0.25">
      <c r="B281" s="89"/>
      <c r="C281" s="46" t="s">
        <v>79</v>
      </c>
      <c r="D281" s="45">
        <v>4</v>
      </c>
      <c r="E281" s="44">
        <v>1.6611295681063123E-3</v>
      </c>
    </row>
    <row r="282" spans="2:5" ht="15" customHeight="1" x14ac:dyDescent="0.25">
      <c r="B282" s="89"/>
      <c r="C282" s="46" t="s">
        <v>74</v>
      </c>
      <c r="D282" s="45">
        <v>1</v>
      </c>
      <c r="E282" s="44">
        <v>4.1528239202657808E-4</v>
      </c>
    </row>
    <row r="283" spans="2:5" ht="15" customHeight="1" x14ac:dyDescent="0.25">
      <c r="B283" s="89"/>
      <c r="C283" s="46" t="s">
        <v>73</v>
      </c>
      <c r="D283" s="45">
        <v>1</v>
      </c>
      <c r="E283" s="44">
        <v>4.1528239202657808E-4</v>
      </c>
    </row>
    <row r="284" spans="2:5" ht="15" customHeight="1" x14ac:dyDescent="0.25">
      <c r="B284" s="90"/>
      <c r="C284" s="43" t="s">
        <v>23</v>
      </c>
      <c r="D284" s="42">
        <v>22</v>
      </c>
      <c r="E284" s="41">
        <v>9.1362126245847185E-3</v>
      </c>
    </row>
    <row r="285" spans="2:5" ht="15" customHeight="1" x14ac:dyDescent="0.25">
      <c r="B285" s="88" t="s">
        <v>109</v>
      </c>
      <c r="C285" s="46" t="s">
        <v>82</v>
      </c>
      <c r="D285" s="45">
        <v>1</v>
      </c>
      <c r="E285" s="44">
        <v>4.1528239202657808E-4</v>
      </c>
    </row>
    <row r="286" spans="2:5" ht="15" customHeight="1" x14ac:dyDescent="0.25">
      <c r="B286" s="89"/>
      <c r="C286" s="46" t="s">
        <v>79</v>
      </c>
      <c r="D286" s="45">
        <v>1</v>
      </c>
      <c r="E286" s="44">
        <v>4.1528239202657808E-4</v>
      </c>
    </row>
    <row r="287" spans="2:5" ht="15" customHeight="1" x14ac:dyDescent="0.25">
      <c r="B287" s="89"/>
      <c r="C287" s="46" t="s">
        <v>74</v>
      </c>
      <c r="D287" s="45">
        <v>1</v>
      </c>
      <c r="E287" s="44">
        <v>4.1528239202657808E-4</v>
      </c>
    </row>
    <row r="288" spans="2:5" ht="15" customHeight="1" x14ac:dyDescent="0.25">
      <c r="B288" s="89"/>
      <c r="C288" s="46" t="s">
        <v>73</v>
      </c>
      <c r="D288" s="45">
        <v>1</v>
      </c>
      <c r="E288" s="44">
        <v>4.1528239202657808E-4</v>
      </c>
    </row>
    <row r="289" spans="2:5" ht="15" customHeight="1" x14ac:dyDescent="0.25">
      <c r="B289" s="90"/>
      <c r="C289" s="43" t="s">
        <v>23</v>
      </c>
      <c r="D289" s="42">
        <v>4</v>
      </c>
      <c r="E289" s="41">
        <v>1.6611295681063123E-3</v>
      </c>
    </row>
    <row r="290" spans="2:5" ht="15" customHeight="1" x14ac:dyDescent="0.25">
      <c r="B290" s="88" t="s">
        <v>108</v>
      </c>
      <c r="C290" s="46" t="s">
        <v>93</v>
      </c>
      <c r="D290" s="45">
        <v>2</v>
      </c>
      <c r="E290" s="44">
        <v>8.3056478405315617E-4</v>
      </c>
    </row>
    <row r="291" spans="2:5" ht="15" customHeight="1" x14ac:dyDescent="0.25">
      <c r="B291" s="89"/>
      <c r="C291" s="46" t="s">
        <v>91</v>
      </c>
      <c r="D291" s="45">
        <v>1</v>
      </c>
      <c r="E291" s="44">
        <v>4.1528239202657808E-4</v>
      </c>
    </row>
    <row r="292" spans="2:5" ht="15" customHeight="1" x14ac:dyDescent="0.25">
      <c r="B292" s="89"/>
      <c r="C292" s="46" t="s">
        <v>87</v>
      </c>
      <c r="D292" s="45">
        <v>1</v>
      </c>
      <c r="E292" s="44">
        <v>4.1528239202657808E-4</v>
      </c>
    </row>
    <row r="293" spans="2:5" ht="15" customHeight="1" x14ac:dyDescent="0.25">
      <c r="B293" s="89"/>
      <c r="C293" s="46" t="s">
        <v>86</v>
      </c>
      <c r="D293" s="45">
        <v>4</v>
      </c>
      <c r="E293" s="44">
        <v>1.6611295681063123E-3</v>
      </c>
    </row>
    <row r="294" spans="2:5" ht="15" customHeight="1" x14ac:dyDescent="0.25">
      <c r="B294" s="89"/>
      <c r="C294" s="46" t="s">
        <v>83</v>
      </c>
      <c r="D294" s="45">
        <v>1</v>
      </c>
      <c r="E294" s="44">
        <v>4.1528239202657808E-4</v>
      </c>
    </row>
    <row r="295" spans="2:5" ht="15" customHeight="1" x14ac:dyDescent="0.25">
      <c r="B295" s="89"/>
      <c r="C295" s="46" t="s">
        <v>82</v>
      </c>
      <c r="D295" s="45">
        <v>9</v>
      </c>
      <c r="E295" s="44">
        <v>3.7375415282392029E-3</v>
      </c>
    </row>
    <row r="296" spans="2:5" ht="15" customHeight="1" x14ac:dyDescent="0.25">
      <c r="B296" s="89"/>
      <c r="C296" s="46" t="s">
        <v>80</v>
      </c>
      <c r="D296" s="45">
        <v>6</v>
      </c>
      <c r="E296" s="44">
        <v>2.4916943521594683E-3</v>
      </c>
    </row>
    <row r="297" spans="2:5" ht="15" customHeight="1" x14ac:dyDescent="0.25">
      <c r="B297" s="89"/>
      <c r="C297" s="46" t="s">
        <v>79</v>
      </c>
      <c r="D297" s="45">
        <v>11</v>
      </c>
      <c r="E297" s="44">
        <v>4.5681063122923592E-3</v>
      </c>
    </row>
    <row r="298" spans="2:5" ht="15" customHeight="1" x14ac:dyDescent="0.25">
      <c r="B298" s="89"/>
      <c r="C298" s="46" t="s">
        <v>74</v>
      </c>
      <c r="D298" s="45">
        <v>2</v>
      </c>
      <c r="E298" s="44">
        <v>8.3056478405315617E-4</v>
      </c>
    </row>
    <row r="299" spans="2:5" ht="15" customHeight="1" x14ac:dyDescent="0.25">
      <c r="B299" s="89"/>
      <c r="C299" s="46" t="s">
        <v>73</v>
      </c>
      <c r="D299" s="45">
        <v>4</v>
      </c>
      <c r="E299" s="44">
        <v>1.6611295681063123E-3</v>
      </c>
    </row>
    <row r="300" spans="2:5" ht="15" customHeight="1" x14ac:dyDescent="0.25">
      <c r="B300" s="90"/>
      <c r="C300" s="43" t="s">
        <v>23</v>
      </c>
      <c r="D300" s="42">
        <v>41</v>
      </c>
      <c r="E300" s="41">
        <v>1.7026578073089702E-2</v>
      </c>
    </row>
    <row r="301" spans="2:5" ht="15" customHeight="1" x14ac:dyDescent="0.25">
      <c r="B301" s="88" t="s">
        <v>107</v>
      </c>
      <c r="C301" s="46" t="s">
        <v>82</v>
      </c>
      <c r="D301" s="45">
        <v>1</v>
      </c>
      <c r="E301" s="44">
        <v>4.1528239202657808E-4</v>
      </c>
    </row>
    <row r="302" spans="2:5" ht="15" customHeight="1" x14ac:dyDescent="0.25">
      <c r="B302" s="89"/>
      <c r="C302" s="46" t="s">
        <v>80</v>
      </c>
      <c r="D302" s="45">
        <v>1</v>
      </c>
      <c r="E302" s="44">
        <v>4.1528239202657808E-4</v>
      </c>
    </row>
    <row r="303" spans="2:5" ht="15" customHeight="1" x14ac:dyDescent="0.25">
      <c r="B303" s="89"/>
      <c r="C303" s="46" t="s">
        <v>79</v>
      </c>
      <c r="D303" s="45">
        <v>1</v>
      </c>
      <c r="E303" s="44">
        <v>4.1528239202657808E-4</v>
      </c>
    </row>
    <row r="304" spans="2:5" ht="15" customHeight="1" x14ac:dyDescent="0.25">
      <c r="B304" s="90"/>
      <c r="C304" s="43" t="s">
        <v>23</v>
      </c>
      <c r="D304" s="42">
        <v>3</v>
      </c>
      <c r="E304" s="41">
        <v>1.2458471760797341E-3</v>
      </c>
    </row>
    <row r="305" spans="2:5" ht="15" customHeight="1" x14ac:dyDescent="0.25">
      <c r="B305" s="88" t="s">
        <v>106</v>
      </c>
      <c r="C305" s="46" t="s">
        <v>93</v>
      </c>
      <c r="D305" s="45">
        <v>1</v>
      </c>
      <c r="E305" s="44">
        <v>4.1528239202657808E-4</v>
      </c>
    </row>
    <row r="306" spans="2:5" ht="15" customHeight="1" x14ac:dyDescent="0.25">
      <c r="B306" s="89"/>
      <c r="C306" s="46" t="s">
        <v>92</v>
      </c>
      <c r="D306" s="45">
        <v>2</v>
      </c>
      <c r="E306" s="44">
        <v>8.3056478405315617E-4</v>
      </c>
    </row>
    <row r="307" spans="2:5" ht="15" customHeight="1" x14ac:dyDescent="0.25">
      <c r="B307" s="89"/>
      <c r="C307" s="46" t="s">
        <v>89</v>
      </c>
      <c r="D307" s="45">
        <v>1</v>
      </c>
      <c r="E307" s="44">
        <v>4.1528239202657808E-4</v>
      </c>
    </row>
    <row r="308" spans="2:5" ht="15" customHeight="1" x14ac:dyDescent="0.25">
      <c r="B308" s="89"/>
      <c r="C308" s="46" t="s">
        <v>88</v>
      </c>
      <c r="D308" s="45">
        <v>1</v>
      </c>
      <c r="E308" s="44">
        <v>4.1528239202657808E-4</v>
      </c>
    </row>
    <row r="309" spans="2:5" ht="15" customHeight="1" x14ac:dyDescent="0.25">
      <c r="B309" s="89"/>
      <c r="C309" s="46" t="s">
        <v>87</v>
      </c>
      <c r="D309" s="45">
        <v>7</v>
      </c>
      <c r="E309" s="44">
        <v>2.9069767441860465E-3</v>
      </c>
    </row>
    <row r="310" spans="2:5" ht="15" customHeight="1" x14ac:dyDescent="0.25">
      <c r="B310" s="89"/>
      <c r="C310" s="46" t="s">
        <v>86</v>
      </c>
      <c r="D310" s="45">
        <v>4</v>
      </c>
      <c r="E310" s="44">
        <v>1.6611295681063123E-3</v>
      </c>
    </row>
    <row r="311" spans="2:5" ht="15" customHeight="1" x14ac:dyDescent="0.25">
      <c r="B311" s="89"/>
      <c r="C311" s="46" t="s">
        <v>84</v>
      </c>
      <c r="D311" s="45">
        <v>2</v>
      </c>
      <c r="E311" s="44">
        <v>8.3056478405315617E-4</v>
      </c>
    </row>
    <row r="312" spans="2:5" ht="15" customHeight="1" x14ac:dyDescent="0.25">
      <c r="B312" s="89"/>
      <c r="C312" s="46" t="s">
        <v>83</v>
      </c>
      <c r="D312" s="45">
        <v>6</v>
      </c>
      <c r="E312" s="44">
        <v>2.4916943521594683E-3</v>
      </c>
    </row>
    <row r="313" spans="2:5" ht="15" customHeight="1" x14ac:dyDescent="0.25">
      <c r="B313" s="89"/>
      <c r="C313" s="46" t="s">
        <v>82</v>
      </c>
      <c r="D313" s="45">
        <v>12</v>
      </c>
      <c r="E313" s="44">
        <v>4.9833887043189366E-3</v>
      </c>
    </row>
    <row r="314" spans="2:5" ht="15" customHeight="1" x14ac:dyDescent="0.25">
      <c r="B314" s="89"/>
      <c r="C314" s="46" t="s">
        <v>81</v>
      </c>
      <c r="D314" s="45">
        <v>2</v>
      </c>
      <c r="E314" s="44">
        <v>8.3056478405315617E-4</v>
      </c>
    </row>
    <row r="315" spans="2:5" ht="15" customHeight="1" x14ac:dyDescent="0.25">
      <c r="B315" s="89"/>
      <c r="C315" s="46" t="s">
        <v>80</v>
      </c>
      <c r="D315" s="45">
        <v>5</v>
      </c>
      <c r="E315" s="44">
        <v>2.0764119601328905E-3</v>
      </c>
    </row>
    <row r="316" spans="2:5" ht="15" customHeight="1" x14ac:dyDescent="0.25">
      <c r="B316" s="89"/>
      <c r="C316" s="46" t="s">
        <v>79</v>
      </c>
      <c r="D316" s="45">
        <v>14</v>
      </c>
      <c r="E316" s="44">
        <v>5.8139534883720929E-3</v>
      </c>
    </row>
    <row r="317" spans="2:5" ht="15" customHeight="1" x14ac:dyDescent="0.25">
      <c r="B317" s="89"/>
      <c r="C317" s="46" t="s">
        <v>74</v>
      </c>
      <c r="D317" s="45">
        <v>2</v>
      </c>
      <c r="E317" s="44">
        <v>8.3056478405315617E-4</v>
      </c>
    </row>
    <row r="318" spans="2:5" ht="15" customHeight="1" x14ac:dyDescent="0.25">
      <c r="B318" s="89"/>
      <c r="C318" s="46" t="s">
        <v>73</v>
      </c>
      <c r="D318" s="45">
        <v>5</v>
      </c>
      <c r="E318" s="44">
        <v>2.0764119601328905E-3</v>
      </c>
    </row>
    <row r="319" spans="2:5" ht="15" customHeight="1" x14ac:dyDescent="0.25">
      <c r="B319" s="90"/>
      <c r="C319" s="43" t="s">
        <v>23</v>
      </c>
      <c r="D319" s="42">
        <v>64</v>
      </c>
      <c r="E319" s="41">
        <v>2.6578073089700997E-2</v>
      </c>
    </row>
    <row r="320" spans="2:5" ht="15" customHeight="1" x14ac:dyDescent="0.25">
      <c r="B320" s="88" t="s">
        <v>105</v>
      </c>
      <c r="C320" s="46" t="s">
        <v>86</v>
      </c>
      <c r="D320" s="45">
        <v>1</v>
      </c>
      <c r="E320" s="44">
        <v>4.1528239202657808E-4</v>
      </c>
    </row>
    <row r="321" spans="2:5" ht="15" customHeight="1" x14ac:dyDescent="0.25">
      <c r="B321" s="89"/>
      <c r="C321" s="46" t="s">
        <v>82</v>
      </c>
      <c r="D321" s="45">
        <v>1</v>
      </c>
      <c r="E321" s="44">
        <v>4.1528239202657808E-4</v>
      </c>
    </row>
    <row r="322" spans="2:5" ht="15" customHeight="1" x14ac:dyDescent="0.25">
      <c r="B322" s="89"/>
      <c r="C322" s="46" t="s">
        <v>81</v>
      </c>
      <c r="D322" s="45">
        <v>2</v>
      </c>
      <c r="E322" s="44">
        <v>8.3056478405315617E-4</v>
      </c>
    </row>
    <row r="323" spans="2:5" ht="15" customHeight="1" x14ac:dyDescent="0.25">
      <c r="B323" s="89"/>
      <c r="C323" s="46" t="s">
        <v>79</v>
      </c>
      <c r="D323" s="45">
        <v>3</v>
      </c>
      <c r="E323" s="44">
        <v>1.2458471760797341E-3</v>
      </c>
    </row>
    <row r="324" spans="2:5" ht="15" customHeight="1" x14ac:dyDescent="0.25">
      <c r="B324" s="90"/>
      <c r="C324" s="43" t="s">
        <v>23</v>
      </c>
      <c r="D324" s="42">
        <v>7</v>
      </c>
      <c r="E324" s="41">
        <v>2.9069767441860465E-3</v>
      </c>
    </row>
    <row r="325" spans="2:5" ht="15" customHeight="1" x14ac:dyDescent="0.25">
      <c r="B325" s="88" t="s">
        <v>104</v>
      </c>
      <c r="C325" s="46" t="s">
        <v>103</v>
      </c>
      <c r="D325" s="45">
        <v>1</v>
      </c>
      <c r="E325" s="44">
        <v>4.1528239202657808E-4</v>
      </c>
    </row>
    <row r="326" spans="2:5" ht="15" customHeight="1" x14ac:dyDescent="0.25">
      <c r="B326" s="89"/>
      <c r="C326" s="46" t="s">
        <v>93</v>
      </c>
      <c r="D326" s="45">
        <v>15</v>
      </c>
      <c r="E326" s="44">
        <v>6.2292358803986711E-3</v>
      </c>
    </row>
    <row r="327" spans="2:5" ht="15" customHeight="1" x14ac:dyDescent="0.25">
      <c r="B327" s="89"/>
      <c r="C327" s="46" t="s">
        <v>92</v>
      </c>
      <c r="D327" s="45">
        <v>4</v>
      </c>
      <c r="E327" s="44">
        <v>1.6611295681063123E-3</v>
      </c>
    </row>
    <row r="328" spans="2:5" ht="15" customHeight="1" x14ac:dyDescent="0.25">
      <c r="B328" s="89"/>
      <c r="C328" s="46" t="s">
        <v>91</v>
      </c>
      <c r="D328" s="45">
        <v>4</v>
      </c>
      <c r="E328" s="44">
        <v>1.6611295681063123E-3</v>
      </c>
    </row>
    <row r="329" spans="2:5" ht="15" customHeight="1" x14ac:dyDescent="0.25">
      <c r="B329" s="89"/>
      <c r="C329" s="46" t="s">
        <v>90</v>
      </c>
      <c r="D329" s="45">
        <v>17</v>
      </c>
      <c r="E329" s="44">
        <v>7.0598006644518275E-3</v>
      </c>
    </row>
    <row r="330" spans="2:5" ht="15" customHeight="1" x14ac:dyDescent="0.25">
      <c r="B330" s="89"/>
      <c r="C330" s="46" t="s">
        <v>89</v>
      </c>
      <c r="D330" s="45">
        <v>18</v>
      </c>
      <c r="E330" s="44">
        <v>7.4750830564784057E-3</v>
      </c>
    </row>
    <row r="331" spans="2:5" ht="15" customHeight="1" x14ac:dyDescent="0.25">
      <c r="B331" s="89"/>
      <c r="C331" s="46" t="s">
        <v>88</v>
      </c>
      <c r="D331" s="45">
        <v>8</v>
      </c>
      <c r="E331" s="44">
        <v>3.3222591362126247E-3</v>
      </c>
    </row>
    <row r="332" spans="2:5" ht="15" customHeight="1" x14ac:dyDescent="0.25">
      <c r="B332" s="89"/>
      <c r="C332" s="46" t="s">
        <v>87</v>
      </c>
      <c r="D332" s="45">
        <v>81</v>
      </c>
      <c r="E332" s="44">
        <v>3.3637873754152822E-2</v>
      </c>
    </row>
    <row r="333" spans="2:5" ht="15" customHeight="1" x14ac:dyDescent="0.25">
      <c r="B333" s="89"/>
      <c r="C333" s="46" t="s">
        <v>86</v>
      </c>
      <c r="D333" s="45">
        <v>126</v>
      </c>
      <c r="E333" s="44">
        <v>5.232558139534884E-2</v>
      </c>
    </row>
    <row r="334" spans="2:5" ht="15" customHeight="1" x14ac:dyDescent="0.25">
      <c r="B334" s="89"/>
      <c r="C334" s="46" t="s">
        <v>85</v>
      </c>
      <c r="D334" s="45">
        <v>12</v>
      </c>
      <c r="E334" s="44">
        <v>4.9833887043189366E-3</v>
      </c>
    </row>
    <row r="335" spans="2:5" ht="15" customHeight="1" x14ac:dyDescent="0.25">
      <c r="B335" s="89"/>
      <c r="C335" s="46" t="s">
        <v>84</v>
      </c>
      <c r="D335" s="45">
        <v>14</v>
      </c>
      <c r="E335" s="44">
        <v>5.8139534883720929E-3</v>
      </c>
    </row>
    <row r="336" spans="2:5" ht="15" customHeight="1" x14ac:dyDescent="0.25">
      <c r="B336" s="89"/>
      <c r="C336" s="46" t="s">
        <v>83</v>
      </c>
      <c r="D336" s="45">
        <v>20</v>
      </c>
      <c r="E336" s="44">
        <v>8.3056478405315621E-3</v>
      </c>
    </row>
    <row r="337" spans="2:5" ht="15" customHeight="1" x14ac:dyDescent="0.25">
      <c r="B337" s="89"/>
      <c r="C337" s="46" t="s">
        <v>82</v>
      </c>
      <c r="D337" s="45">
        <v>332</v>
      </c>
      <c r="E337" s="44">
        <v>0.13787375415282391</v>
      </c>
    </row>
    <row r="338" spans="2:5" ht="15" customHeight="1" x14ac:dyDescent="0.25">
      <c r="B338" s="89"/>
      <c r="C338" s="46" t="s">
        <v>81</v>
      </c>
      <c r="D338" s="45">
        <v>10</v>
      </c>
      <c r="E338" s="44">
        <v>4.152823920265781E-3</v>
      </c>
    </row>
    <row r="339" spans="2:5" ht="15" customHeight="1" x14ac:dyDescent="0.25">
      <c r="B339" s="89"/>
      <c r="C339" s="46" t="s">
        <v>80</v>
      </c>
      <c r="D339" s="45">
        <v>20</v>
      </c>
      <c r="E339" s="44">
        <v>8.3056478405315621E-3</v>
      </c>
    </row>
    <row r="340" spans="2:5" ht="15" customHeight="1" x14ac:dyDescent="0.25">
      <c r="B340" s="89"/>
      <c r="C340" s="46" t="s">
        <v>79</v>
      </c>
      <c r="D340" s="45">
        <v>104</v>
      </c>
      <c r="E340" s="44">
        <v>4.3189368770764118E-2</v>
      </c>
    </row>
    <row r="341" spans="2:5" ht="15" customHeight="1" x14ac:dyDescent="0.25">
      <c r="B341" s="89"/>
      <c r="C341" s="46" t="s">
        <v>78</v>
      </c>
      <c r="D341" s="45">
        <v>3</v>
      </c>
      <c r="E341" s="44">
        <v>1.2458471760797341E-3</v>
      </c>
    </row>
    <row r="342" spans="2:5" ht="15" customHeight="1" x14ac:dyDescent="0.25">
      <c r="B342" s="89"/>
      <c r="C342" s="46" t="s">
        <v>77</v>
      </c>
      <c r="D342" s="45">
        <v>2</v>
      </c>
      <c r="E342" s="44">
        <v>8.3056478405315617E-4</v>
      </c>
    </row>
    <row r="343" spans="2:5" ht="15" customHeight="1" x14ac:dyDescent="0.25">
      <c r="B343" s="89"/>
      <c r="C343" s="46" t="s">
        <v>76</v>
      </c>
      <c r="D343" s="45">
        <v>1</v>
      </c>
      <c r="E343" s="44">
        <v>4.1528239202657808E-4</v>
      </c>
    </row>
    <row r="344" spans="2:5" ht="15" customHeight="1" x14ac:dyDescent="0.25">
      <c r="B344" s="89"/>
      <c r="C344" s="46" t="s">
        <v>74</v>
      </c>
      <c r="D344" s="45">
        <v>6</v>
      </c>
      <c r="E344" s="44">
        <v>2.4916943521594683E-3</v>
      </c>
    </row>
    <row r="345" spans="2:5" ht="15" customHeight="1" x14ac:dyDescent="0.25">
      <c r="B345" s="89"/>
      <c r="C345" s="46" t="s">
        <v>73</v>
      </c>
      <c r="D345" s="45">
        <v>21</v>
      </c>
      <c r="E345" s="44">
        <v>8.7209302325581394E-3</v>
      </c>
    </row>
    <row r="346" spans="2:5" ht="15" customHeight="1" x14ac:dyDescent="0.25">
      <c r="B346" s="89"/>
      <c r="C346" s="46" t="s">
        <v>71</v>
      </c>
      <c r="D346" s="45">
        <v>1</v>
      </c>
      <c r="E346" s="44">
        <v>4.1528239202657808E-4</v>
      </c>
    </row>
    <row r="347" spans="2:5" ht="15" customHeight="1" x14ac:dyDescent="0.25">
      <c r="B347" s="90"/>
      <c r="C347" s="43" t="s">
        <v>23</v>
      </c>
      <c r="D347" s="42">
        <v>820</v>
      </c>
      <c r="E347" s="41">
        <v>0.34053156146179403</v>
      </c>
    </row>
    <row r="348" spans="2:5" ht="15" customHeight="1" x14ac:dyDescent="0.25">
      <c r="B348" s="88" t="s">
        <v>102</v>
      </c>
      <c r="C348" s="46" t="s">
        <v>93</v>
      </c>
      <c r="D348" s="45">
        <v>1</v>
      </c>
      <c r="E348" s="44">
        <v>4.1528239202657808E-4</v>
      </c>
    </row>
    <row r="349" spans="2:5" ht="15" customHeight="1" x14ac:dyDescent="0.25">
      <c r="B349" s="89"/>
      <c r="C349" s="46" t="s">
        <v>92</v>
      </c>
      <c r="D349" s="45">
        <v>1</v>
      </c>
      <c r="E349" s="44">
        <v>4.1528239202657808E-4</v>
      </c>
    </row>
    <row r="350" spans="2:5" ht="15" customHeight="1" x14ac:dyDescent="0.25">
      <c r="B350" s="89"/>
      <c r="C350" s="46" t="s">
        <v>91</v>
      </c>
      <c r="D350" s="45">
        <v>2</v>
      </c>
      <c r="E350" s="44">
        <v>8.3056478405315617E-4</v>
      </c>
    </row>
    <row r="351" spans="2:5" ht="15" customHeight="1" x14ac:dyDescent="0.25">
      <c r="B351" s="89"/>
      <c r="C351" s="46" t="s">
        <v>90</v>
      </c>
      <c r="D351" s="45">
        <v>1</v>
      </c>
      <c r="E351" s="44">
        <v>4.1528239202657808E-4</v>
      </c>
    </row>
    <row r="352" spans="2:5" ht="15" customHeight="1" x14ac:dyDescent="0.25">
      <c r="B352" s="89"/>
      <c r="C352" s="46" t="s">
        <v>89</v>
      </c>
      <c r="D352" s="45">
        <v>1</v>
      </c>
      <c r="E352" s="44">
        <v>4.1528239202657808E-4</v>
      </c>
    </row>
    <row r="353" spans="2:5" ht="15" customHeight="1" x14ac:dyDescent="0.25">
      <c r="B353" s="89"/>
      <c r="C353" s="46" t="s">
        <v>87</v>
      </c>
      <c r="D353" s="45">
        <v>6</v>
      </c>
      <c r="E353" s="44">
        <v>2.4916943521594683E-3</v>
      </c>
    </row>
    <row r="354" spans="2:5" ht="15" customHeight="1" x14ac:dyDescent="0.25">
      <c r="B354" s="89"/>
      <c r="C354" s="46" t="s">
        <v>86</v>
      </c>
      <c r="D354" s="45">
        <v>9</v>
      </c>
      <c r="E354" s="44">
        <v>3.7375415282392029E-3</v>
      </c>
    </row>
    <row r="355" spans="2:5" ht="15" customHeight="1" x14ac:dyDescent="0.25">
      <c r="B355" s="89"/>
      <c r="C355" s="46" t="s">
        <v>85</v>
      </c>
      <c r="D355" s="45">
        <v>3</v>
      </c>
      <c r="E355" s="44">
        <v>1.2458471760797341E-3</v>
      </c>
    </row>
    <row r="356" spans="2:5" ht="15" customHeight="1" x14ac:dyDescent="0.25">
      <c r="B356" s="89"/>
      <c r="C356" s="46" t="s">
        <v>82</v>
      </c>
      <c r="D356" s="45">
        <v>11</v>
      </c>
      <c r="E356" s="44">
        <v>4.5681063122923592E-3</v>
      </c>
    </row>
    <row r="357" spans="2:5" ht="15" customHeight="1" x14ac:dyDescent="0.25">
      <c r="B357" s="89"/>
      <c r="C357" s="46" t="s">
        <v>80</v>
      </c>
      <c r="D357" s="45">
        <v>1</v>
      </c>
      <c r="E357" s="44">
        <v>4.1528239202657808E-4</v>
      </c>
    </row>
    <row r="358" spans="2:5" ht="15" customHeight="1" x14ac:dyDescent="0.25">
      <c r="B358" s="89"/>
      <c r="C358" s="46" t="s">
        <v>79</v>
      </c>
      <c r="D358" s="45">
        <v>4</v>
      </c>
      <c r="E358" s="44">
        <v>1.6611295681063123E-3</v>
      </c>
    </row>
    <row r="359" spans="2:5" ht="15" customHeight="1" x14ac:dyDescent="0.25">
      <c r="B359" s="89"/>
      <c r="C359" s="46" t="s">
        <v>74</v>
      </c>
      <c r="D359" s="45">
        <v>2</v>
      </c>
      <c r="E359" s="44">
        <v>8.3056478405315617E-4</v>
      </c>
    </row>
    <row r="360" spans="2:5" ht="15" customHeight="1" x14ac:dyDescent="0.25">
      <c r="B360" s="89"/>
      <c r="C360" s="46" t="s">
        <v>73</v>
      </c>
      <c r="D360" s="45">
        <v>1</v>
      </c>
      <c r="E360" s="44">
        <v>4.1528239202657808E-4</v>
      </c>
    </row>
    <row r="361" spans="2:5" ht="15" customHeight="1" x14ac:dyDescent="0.25">
      <c r="B361" s="90"/>
      <c r="C361" s="43" t="s">
        <v>23</v>
      </c>
      <c r="D361" s="42">
        <v>43</v>
      </c>
      <c r="E361" s="41">
        <v>1.7857142857142856E-2</v>
      </c>
    </row>
    <row r="362" spans="2:5" ht="15" customHeight="1" x14ac:dyDescent="0.25">
      <c r="B362" s="88" t="s">
        <v>101</v>
      </c>
      <c r="C362" s="46" t="s">
        <v>93</v>
      </c>
      <c r="D362" s="45">
        <v>1</v>
      </c>
      <c r="E362" s="44">
        <v>4.1528239202657808E-4</v>
      </c>
    </row>
    <row r="363" spans="2:5" ht="15" customHeight="1" x14ac:dyDescent="0.25">
      <c r="B363" s="89"/>
      <c r="C363" s="46" t="s">
        <v>91</v>
      </c>
      <c r="D363" s="45">
        <v>1</v>
      </c>
      <c r="E363" s="44">
        <v>4.1528239202657808E-4</v>
      </c>
    </row>
    <row r="364" spans="2:5" ht="15" customHeight="1" x14ac:dyDescent="0.25">
      <c r="B364" s="89"/>
      <c r="C364" s="46" t="s">
        <v>90</v>
      </c>
      <c r="D364" s="45">
        <v>3</v>
      </c>
      <c r="E364" s="44">
        <v>1.2458471760797341E-3</v>
      </c>
    </row>
    <row r="365" spans="2:5" ht="15" customHeight="1" x14ac:dyDescent="0.25">
      <c r="B365" s="89"/>
      <c r="C365" s="46" t="s">
        <v>89</v>
      </c>
      <c r="D365" s="45">
        <v>1</v>
      </c>
      <c r="E365" s="44">
        <v>4.1528239202657808E-4</v>
      </c>
    </row>
    <row r="366" spans="2:5" ht="15" customHeight="1" x14ac:dyDescent="0.25">
      <c r="B366" s="89"/>
      <c r="C366" s="46" t="s">
        <v>88</v>
      </c>
      <c r="D366" s="45">
        <v>1</v>
      </c>
      <c r="E366" s="44">
        <v>4.1528239202657808E-4</v>
      </c>
    </row>
    <row r="367" spans="2:5" ht="15" customHeight="1" x14ac:dyDescent="0.25">
      <c r="B367" s="89"/>
      <c r="C367" s="46" t="s">
        <v>87</v>
      </c>
      <c r="D367" s="45">
        <v>3</v>
      </c>
      <c r="E367" s="44">
        <v>1.2458471760797341E-3</v>
      </c>
    </row>
    <row r="368" spans="2:5" ht="15" customHeight="1" x14ac:dyDescent="0.25">
      <c r="B368" s="89"/>
      <c r="C368" s="46" t="s">
        <v>86</v>
      </c>
      <c r="D368" s="45">
        <v>6</v>
      </c>
      <c r="E368" s="44">
        <v>2.4916943521594683E-3</v>
      </c>
    </row>
    <row r="369" spans="2:5" ht="15" customHeight="1" x14ac:dyDescent="0.25">
      <c r="B369" s="89"/>
      <c r="C369" s="46" t="s">
        <v>82</v>
      </c>
      <c r="D369" s="45">
        <v>17</v>
      </c>
      <c r="E369" s="44">
        <v>7.0598006644518275E-3</v>
      </c>
    </row>
    <row r="370" spans="2:5" ht="15" customHeight="1" x14ac:dyDescent="0.25">
      <c r="B370" s="89"/>
      <c r="C370" s="46" t="s">
        <v>81</v>
      </c>
      <c r="D370" s="45">
        <v>1</v>
      </c>
      <c r="E370" s="44">
        <v>4.1528239202657808E-4</v>
      </c>
    </row>
    <row r="371" spans="2:5" ht="15" customHeight="1" x14ac:dyDescent="0.25">
      <c r="B371" s="89"/>
      <c r="C371" s="46" t="s">
        <v>80</v>
      </c>
      <c r="D371" s="45">
        <v>4</v>
      </c>
      <c r="E371" s="44">
        <v>1.6611295681063123E-3</v>
      </c>
    </row>
    <row r="372" spans="2:5" ht="15" customHeight="1" x14ac:dyDescent="0.25">
      <c r="B372" s="89"/>
      <c r="C372" s="46" t="s">
        <v>79</v>
      </c>
      <c r="D372" s="45">
        <v>8</v>
      </c>
      <c r="E372" s="44">
        <v>3.3222591362126247E-3</v>
      </c>
    </row>
    <row r="373" spans="2:5" ht="15" customHeight="1" x14ac:dyDescent="0.25">
      <c r="B373" s="89"/>
      <c r="C373" s="46" t="s">
        <v>73</v>
      </c>
      <c r="D373" s="45">
        <v>2</v>
      </c>
      <c r="E373" s="44">
        <v>8.3056478405315617E-4</v>
      </c>
    </row>
    <row r="374" spans="2:5" ht="15" customHeight="1" x14ac:dyDescent="0.25">
      <c r="B374" s="90"/>
      <c r="C374" s="43" t="s">
        <v>23</v>
      </c>
      <c r="D374" s="42">
        <v>48</v>
      </c>
      <c r="E374" s="41">
        <v>1.9933554817275746E-2</v>
      </c>
    </row>
    <row r="375" spans="2:5" ht="15" customHeight="1" x14ac:dyDescent="0.25">
      <c r="B375" s="88" t="s">
        <v>100</v>
      </c>
      <c r="C375" s="46" t="s">
        <v>93</v>
      </c>
      <c r="D375" s="45">
        <v>1</v>
      </c>
      <c r="E375" s="44">
        <v>4.1528239202657808E-4</v>
      </c>
    </row>
    <row r="376" spans="2:5" ht="15" customHeight="1" x14ac:dyDescent="0.25">
      <c r="B376" s="89"/>
      <c r="C376" s="46" t="s">
        <v>92</v>
      </c>
      <c r="D376" s="45">
        <v>1</v>
      </c>
      <c r="E376" s="44">
        <v>4.1528239202657808E-4</v>
      </c>
    </row>
    <row r="377" spans="2:5" ht="15" customHeight="1" x14ac:dyDescent="0.25">
      <c r="B377" s="89"/>
      <c r="C377" s="46" t="s">
        <v>90</v>
      </c>
      <c r="D377" s="45">
        <v>1</v>
      </c>
      <c r="E377" s="44">
        <v>4.1528239202657808E-4</v>
      </c>
    </row>
    <row r="378" spans="2:5" ht="15" customHeight="1" x14ac:dyDescent="0.25">
      <c r="B378" s="89"/>
      <c r="C378" s="46" t="s">
        <v>89</v>
      </c>
      <c r="D378" s="45">
        <v>2</v>
      </c>
      <c r="E378" s="44">
        <v>8.3056478405315617E-4</v>
      </c>
    </row>
    <row r="379" spans="2:5" ht="15" customHeight="1" x14ac:dyDescent="0.25">
      <c r="B379" s="89"/>
      <c r="C379" s="46" t="s">
        <v>87</v>
      </c>
      <c r="D379" s="45">
        <v>1</v>
      </c>
      <c r="E379" s="44">
        <v>4.1528239202657808E-4</v>
      </c>
    </row>
    <row r="380" spans="2:5" ht="15" customHeight="1" x14ac:dyDescent="0.25">
      <c r="B380" s="89"/>
      <c r="C380" s="46" t="s">
        <v>86</v>
      </c>
      <c r="D380" s="45">
        <v>3</v>
      </c>
      <c r="E380" s="44">
        <v>1.2458471760797341E-3</v>
      </c>
    </row>
    <row r="381" spans="2:5" ht="15" customHeight="1" x14ac:dyDescent="0.25">
      <c r="B381" s="89"/>
      <c r="C381" s="46" t="s">
        <v>85</v>
      </c>
      <c r="D381" s="45">
        <v>1</v>
      </c>
      <c r="E381" s="44">
        <v>4.1528239202657808E-4</v>
      </c>
    </row>
    <row r="382" spans="2:5" ht="15" customHeight="1" x14ac:dyDescent="0.25">
      <c r="B382" s="89"/>
      <c r="C382" s="46" t="s">
        <v>84</v>
      </c>
      <c r="D382" s="45">
        <v>1</v>
      </c>
      <c r="E382" s="44">
        <v>4.1528239202657808E-4</v>
      </c>
    </row>
    <row r="383" spans="2:5" ht="15" customHeight="1" x14ac:dyDescent="0.25">
      <c r="B383" s="89"/>
      <c r="C383" s="46" t="s">
        <v>83</v>
      </c>
      <c r="D383" s="45">
        <v>1</v>
      </c>
      <c r="E383" s="44">
        <v>4.1528239202657808E-4</v>
      </c>
    </row>
    <row r="384" spans="2:5" ht="15" customHeight="1" x14ac:dyDescent="0.25">
      <c r="B384" s="89"/>
      <c r="C384" s="46" t="s">
        <v>82</v>
      </c>
      <c r="D384" s="45">
        <v>11</v>
      </c>
      <c r="E384" s="44">
        <v>4.5681063122923592E-3</v>
      </c>
    </row>
    <row r="385" spans="2:5" ht="15" customHeight="1" x14ac:dyDescent="0.25">
      <c r="B385" s="89"/>
      <c r="C385" s="46" t="s">
        <v>80</v>
      </c>
      <c r="D385" s="45">
        <v>2</v>
      </c>
      <c r="E385" s="44">
        <v>8.3056478405315617E-4</v>
      </c>
    </row>
    <row r="386" spans="2:5" ht="15" customHeight="1" x14ac:dyDescent="0.25">
      <c r="B386" s="89"/>
      <c r="C386" s="46" t="s">
        <v>79</v>
      </c>
      <c r="D386" s="45">
        <v>4</v>
      </c>
      <c r="E386" s="44">
        <v>1.6611295681063123E-3</v>
      </c>
    </row>
    <row r="387" spans="2:5" ht="15" customHeight="1" x14ac:dyDescent="0.25">
      <c r="B387" s="89"/>
      <c r="C387" s="46" t="s">
        <v>73</v>
      </c>
      <c r="D387" s="45">
        <v>2</v>
      </c>
      <c r="E387" s="44">
        <v>8.3056478405315617E-4</v>
      </c>
    </row>
    <row r="388" spans="2:5" ht="15" customHeight="1" x14ac:dyDescent="0.25">
      <c r="B388" s="90"/>
      <c r="C388" s="43" t="s">
        <v>23</v>
      </c>
      <c r="D388" s="42">
        <v>31</v>
      </c>
      <c r="E388" s="41">
        <v>1.287375415282392E-2</v>
      </c>
    </row>
    <row r="389" spans="2:5" ht="15" customHeight="1" x14ac:dyDescent="0.25">
      <c r="B389" s="88" t="s">
        <v>99</v>
      </c>
      <c r="C389" s="46" t="s">
        <v>80</v>
      </c>
      <c r="D389" s="45">
        <v>1</v>
      </c>
      <c r="E389" s="44">
        <v>4.1528239202657808E-4</v>
      </c>
    </row>
    <row r="390" spans="2:5" ht="15" customHeight="1" x14ac:dyDescent="0.25">
      <c r="B390" s="89"/>
      <c r="C390" s="46" t="s">
        <v>73</v>
      </c>
      <c r="D390" s="45">
        <v>1</v>
      </c>
      <c r="E390" s="44">
        <v>4.1528239202657808E-4</v>
      </c>
    </row>
    <row r="391" spans="2:5" ht="15" customHeight="1" x14ac:dyDescent="0.25">
      <c r="B391" s="90"/>
      <c r="C391" s="43" t="s">
        <v>23</v>
      </c>
      <c r="D391" s="42">
        <v>2</v>
      </c>
      <c r="E391" s="41">
        <v>8.3056478405315617E-4</v>
      </c>
    </row>
    <row r="392" spans="2:5" ht="15" customHeight="1" x14ac:dyDescent="0.25">
      <c r="B392" s="88" t="s">
        <v>60</v>
      </c>
      <c r="C392" s="46" t="s">
        <v>87</v>
      </c>
      <c r="D392" s="45">
        <v>2</v>
      </c>
      <c r="E392" s="44">
        <v>8.3056478405315617E-4</v>
      </c>
    </row>
    <row r="393" spans="2:5" ht="15" customHeight="1" x14ac:dyDescent="0.25">
      <c r="B393" s="89"/>
      <c r="C393" s="46" t="s">
        <v>82</v>
      </c>
      <c r="D393" s="45">
        <v>2</v>
      </c>
      <c r="E393" s="44">
        <v>8.3056478405315617E-4</v>
      </c>
    </row>
    <row r="394" spans="2:5" ht="15" customHeight="1" x14ac:dyDescent="0.25">
      <c r="B394" s="89"/>
      <c r="C394" s="46" t="s">
        <v>79</v>
      </c>
      <c r="D394" s="45">
        <v>1</v>
      </c>
      <c r="E394" s="44">
        <v>4.1528239202657808E-4</v>
      </c>
    </row>
    <row r="395" spans="2:5" ht="15" customHeight="1" x14ac:dyDescent="0.25">
      <c r="B395" s="89"/>
      <c r="C395" s="46" t="s">
        <v>73</v>
      </c>
      <c r="D395" s="45">
        <v>1</v>
      </c>
      <c r="E395" s="44">
        <v>4.1528239202657808E-4</v>
      </c>
    </row>
    <row r="396" spans="2:5" ht="15" customHeight="1" x14ac:dyDescent="0.25">
      <c r="B396" s="90"/>
      <c r="C396" s="43" t="s">
        <v>23</v>
      </c>
      <c r="D396" s="42">
        <v>6</v>
      </c>
      <c r="E396" s="41">
        <v>2.4916943521594683E-3</v>
      </c>
    </row>
    <row r="397" spans="2:5" ht="15" customHeight="1" x14ac:dyDescent="0.25">
      <c r="B397" s="88" t="s">
        <v>98</v>
      </c>
      <c r="C397" s="46" t="s">
        <v>79</v>
      </c>
      <c r="D397" s="45">
        <v>1</v>
      </c>
      <c r="E397" s="44">
        <v>4.1528239202657808E-4</v>
      </c>
    </row>
    <row r="398" spans="2:5" ht="15" customHeight="1" x14ac:dyDescent="0.25">
      <c r="B398" s="89"/>
      <c r="C398" s="46" t="s">
        <v>77</v>
      </c>
      <c r="D398" s="45">
        <v>1</v>
      </c>
      <c r="E398" s="44">
        <v>4.1528239202657808E-4</v>
      </c>
    </row>
    <row r="399" spans="2:5" ht="15" customHeight="1" x14ac:dyDescent="0.25">
      <c r="B399" s="89"/>
      <c r="C399" s="46" t="s">
        <v>74</v>
      </c>
      <c r="D399" s="45">
        <v>1</v>
      </c>
      <c r="E399" s="44">
        <v>4.1528239202657808E-4</v>
      </c>
    </row>
    <row r="400" spans="2:5" ht="15" customHeight="1" x14ac:dyDescent="0.25">
      <c r="B400" s="89"/>
      <c r="C400" s="46" t="s">
        <v>73</v>
      </c>
      <c r="D400" s="45">
        <v>1</v>
      </c>
      <c r="E400" s="44">
        <v>4.1528239202657808E-4</v>
      </c>
    </row>
    <row r="401" spans="2:5" ht="15" customHeight="1" x14ac:dyDescent="0.25">
      <c r="B401" s="90"/>
      <c r="C401" s="43" t="s">
        <v>23</v>
      </c>
      <c r="D401" s="42">
        <v>4</v>
      </c>
      <c r="E401" s="41">
        <v>1.6611295681063123E-3</v>
      </c>
    </row>
    <row r="402" spans="2:5" ht="15" customHeight="1" x14ac:dyDescent="0.25">
      <c r="B402" s="91" t="s">
        <v>23</v>
      </c>
      <c r="C402" s="92"/>
      <c r="D402" s="40">
        <v>2408</v>
      </c>
      <c r="E402" s="39">
        <v>1</v>
      </c>
    </row>
    <row r="404" spans="2:5" ht="15" customHeight="1" x14ac:dyDescent="0.25">
      <c r="B404" s="19" t="s">
        <v>22</v>
      </c>
    </row>
    <row r="405" spans="2:5" ht="15" customHeight="1" x14ac:dyDescent="0.25">
      <c r="B405" s="21" t="s">
        <v>21</v>
      </c>
    </row>
    <row r="406" spans="2:5" ht="15" customHeight="1" x14ac:dyDescent="0.25">
      <c r="B406" s="20" t="s">
        <v>20</v>
      </c>
    </row>
    <row r="407" spans="2:5" ht="15" customHeight="1" x14ac:dyDescent="0.25">
      <c r="B407" s="19" t="s">
        <v>19</v>
      </c>
    </row>
    <row r="408" spans="2:5" ht="15" customHeight="1" x14ac:dyDescent="0.25">
      <c r="B408" s="19" t="s">
        <v>18</v>
      </c>
    </row>
  </sheetData>
  <mergeCells count="46">
    <mergeCell ref="B389:B391"/>
    <mergeCell ref="B392:B396"/>
    <mergeCell ref="B397:B401"/>
    <mergeCell ref="B402:C402"/>
    <mergeCell ref="B305:B319"/>
    <mergeCell ref="B320:B324"/>
    <mergeCell ref="B325:B347"/>
    <mergeCell ref="B348:B361"/>
    <mergeCell ref="B362:B374"/>
    <mergeCell ref="B375:B388"/>
    <mergeCell ref="B249:B264"/>
    <mergeCell ref="B265:B273"/>
    <mergeCell ref="B274:B284"/>
    <mergeCell ref="B285:B289"/>
    <mergeCell ref="B290:B300"/>
    <mergeCell ref="B301:B304"/>
    <mergeCell ref="B158:B179"/>
    <mergeCell ref="B180:B183"/>
    <mergeCell ref="B184:B194"/>
    <mergeCell ref="B195:B197"/>
    <mergeCell ref="B198:B206"/>
    <mergeCell ref="B207:B213"/>
    <mergeCell ref="B214:B219"/>
    <mergeCell ref="B220:B230"/>
    <mergeCell ref="B231:B246"/>
    <mergeCell ref="B247:B248"/>
    <mergeCell ref="B81:B83"/>
    <mergeCell ref="B84:B86"/>
    <mergeCell ref="B87:B89"/>
    <mergeCell ref="B90:B95"/>
    <mergeCell ref="B96:B109"/>
    <mergeCell ref="B110:B119"/>
    <mergeCell ref="B120:B127"/>
    <mergeCell ref="B128:B130"/>
    <mergeCell ref="B131:B146"/>
    <mergeCell ref="B147:B157"/>
    <mergeCell ref="B7:E8"/>
    <mergeCell ref="B10:B11"/>
    <mergeCell ref="B12:B22"/>
    <mergeCell ref="B23:B27"/>
    <mergeCell ref="B28:B34"/>
    <mergeCell ref="B35:B36"/>
    <mergeCell ref="B37:B41"/>
    <mergeCell ref="B42:B53"/>
    <mergeCell ref="B54:B67"/>
    <mergeCell ref="B68:B8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0" manualBreakCount="10">
    <brk id="41" max="4" man="1"/>
    <brk id="83" max="4" man="1"/>
    <brk id="127" max="4" man="1"/>
    <brk id="157" max="4" man="1"/>
    <brk id="197" max="4" man="1"/>
    <brk id="230" max="4" man="1"/>
    <brk id="273" max="4" man="1"/>
    <brk id="304" max="4" man="1"/>
    <brk id="347" max="4" man="1"/>
    <brk id="39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163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158</v>
      </c>
      <c r="C11" s="31" t="s">
        <v>66</v>
      </c>
      <c r="D11" s="30" t="s">
        <v>65</v>
      </c>
    </row>
    <row r="12" spans="1:4" ht="15" customHeight="1" x14ac:dyDescent="0.25">
      <c r="B12" s="27" t="s">
        <v>162</v>
      </c>
      <c r="C12" s="26">
        <v>1677</v>
      </c>
      <c r="D12" s="25">
        <v>0.69613947696139478</v>
      </c>
    </row>
    <row r="13" spans="1:4" ht="15" customHeight="1" x14ac:dyDescent="0.25">
      <c r="B13" s="27" t="s">
        <v>161</v>
      </c>
      <c r="C13" s="26">
        <v>732</v>
      </c>
      <c r="D13" s="25">
        <v>0.30386052303860522</v>
      </c>
    </row>
    <row r="14" spans="1:4" x14ac:dyDescent="0.25">
      <c r="B14" s="24" t="s">
        <v>160</v>
      </c>
      <c r="C14" s="23">
        <v>2409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4"/>
  <sheetViews>
    <sheetView showGridLines="0" view="pageBreakPreview" zoomScaleNormal="175" zoomScaleSheetLayoutView="100" workbookViewId="0">
      <selection activeCell="F5" sqref="F5"/>
    </sheetView>
  </sheetViews>
  <sheetFormatPr baseColWidth="10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59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0"/>
    </row>
    <row r="2" spans="1:6" s="50" customFormat="1" x14ac:dyDescent="0.2">
      <c r="B2" s="70"/>
    </row>
    <row r="3" spans="1:6" ht="15" customHeight="1" x14ac:dyDescent="0.2">
      <c r="B3" s="71"/>
      <c r="C3" s="35"/>
      <c r="D3" s="29"/>
      <c r="F3" s="50"/>
    </row>
    <row r="4" spans="1:6" ht="30" customHeight="1" x14ac:dyDescent="0.2">
      <c r="B4" s="71"/>
      <c r="C4" s="35"/>
      <c r="D4" s="29"/>
      <c r="F4" s="50"/>
    </row>
    <row r="5" spans="1:6" ht="15" customHeight="1" x14ac:dyDescent="0.2">
      <c r="B5" s="71"/>
      <c r="C5" s="35"/>
      <c r="D5" s="29"/>
      <c r="F5" s="50"/>
    </row>
    <row r="6" spans="1:6" s="50" customFormat="1" x14ac:dyDescent="0.2">
      <c r="B6" s="58"/>
      <c r="C6" s="52"/>
    </row>
    <row r="7" spans="1:6" s="50" customFormat="1" x14ac:dyDescent="0.2">
      <c r="A7" s="54"/>
      <c r="B7" s="70"/>
      <c r="C7" s="54"/>
    </row>
    <row r="8" spans="1:6" s="66" customFormat="1" ht="15" customHeight="1" x14ac:dyDescent="0.25">
      <c r="B8" s="97" t="s">
        <v>175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142</v>
      </c>
      <c r="C11" s="67" t="s">
        <v>158</v>
      </c>
      <c r="D11" s="67" t="s">
        <v>66</v>
      </c>
      <c r="E11" s="67" t="s">
        <v>65</v>
      </c>
    </row>
    <row r="12" spans="1:6" ht="15" customHeight="1" x14ac:dyDescent="0.2">
      <c r="B12" s="94" t="s">
        <v>141</v>
      </c>
      <c r="C12" s="64" t="s">
        <v>154</v>
      </c>
      <c r="D12" s="26">
        <v>1</v>
      </c>
      <c r="E12" s="25">
        <v>4.1511000415110004E-4</v>
      </c>
    </row>
    <row r="13" spans="1:6" ht="15" customHeight="1" x14ac:dyDescent="0.2">
      <c r="B13" s="95"/>
      <c r="C13" s="77" t="s">
        <v>23</v>
      </c>
      <c r="D13" s="76">
        <v>1</v>
      </c>
      <c r="E13" s="75">
        <v>4.1511000415110004E-4</v>
      </c>
    </row>
    <row r="14" spans="1:6" ht="15" customHeight="1" x14ac:dyDescent="0.2">
      <c r="B14" s="94" t="s">
        <v>140</v>
      </c>
      <c r="C14" s="64" t="s">
        <v>154</v>
      </c>
      <c r="D14" s="26">
        <v>12</v>
      </c>
      <c r="E14" s="25">
        <v>4.9813200498132005E-3</v>
      </c>
    </row>
    <row r="15" spans="1:6" ht="15" customHeight="1" x14ac:dyDescent="0.2">
      <c r="B15" s="96"/>
      <c r="C15" s="64" t="s">
        <v>153</v>
      </c>
      <c r="D15" s="26">
        <v>10</v>
      </c>
      <c r="E15" s="25">
        <v>4.1511000415110008E-3</v>
      </c>
    </row>
    <row r="16" spans="1:6" s="50" customFormat="1" ht="15" customHeight="1" x14ac:dyDescent="0.2">
      <c r="A16" s="29"/>
      <c r="B16" s="95"/>
      <c r="C16" s="77" t="s">
        <v>23</v>
      </c>
      <c r="D16" s="76">
        <v>22</v>
      </c>
      <c r="E16" s="75">
        <v>9.1324200913242004E-3</v>
      </c>
      <c r="F16" s="29"/>
    </row>
    <row r="17" spans="1:6" s="50" customFormat="1" ht="15" customHeight="1" x14ac:dyDescent="0.2">
      <c r="A17" s="29"/>
      <c r="B17" s="94" t="s">
        <v>139</v>
      </c>
      <c r="C17" s="64" t="s">
        <v>154</v>
      </c>
      <c r="D17" s="26">
        <v>7</v>
      </c>
      <c r="E17" s="25">
        <v>2.9057700290577005E-3</v>
      </c>
      <c r="F17" s="29"/>
    </row>
    <row r="18" spans="1:6" s="50" customFormat="1" ht="15" customHeight="1" x14ac:dyDescent="0.2">
      <c r="A18" s="29"/>
      <c r="B18" s="96"/>
      <c r="C18" s="64" t="s">
        <v>153</v>
      </c>
      <c r="D18" s="26">
        <v>3</v>
      </c>
      <c r="E18" s="25">
        <v>1.2453300124533001E-3</v>
      </c>
      <c r="F18" s="29"/>
    </row>
    <row r="19" spans="1:6" s="50" customFormat="1" ht="15" customHeight="1" x14ac:dyDescent="0.2">
      <c r="A19" s="29"/>
      <c r="B19" s="95"/>
      <c r="C19" s="77" t="s">
        <v>23</v>
      </c>
      <c r="D19" s="76">
        <v>10</v>
      </c>
      <c r="E19" s="75">
        <v>4.1511000415110008E-3</v>
      </c>
      <c r="F19" s="29"/>
    </row>
    <row r="20" spans="1:6" s="50" customFormat="1" ht="15" customHeight="1" x14ac:dyDescent="0.2">
      <c r="A20" s="29"/>
      <c r="B20" s="94" t="s">
        <v>138</v>
      </c>
      <c r="C20" s="64" t="s">
        <v>154</v>
      </c>
      <c r="D20" s="26">
        <v>5</v>
      </c>
      <c r="E20" s="25">
        <v>2.0755500207555004E-3</v>
      </c>
      <c r="F20" s="29"/>
    </row>
    <row r="21" spans="1:6" ht="13.5" x14ac:dyDescent="0.2">
      <c r="B21" s="96"/>
      <c r="C21" s="64" t="s">
        <v>153</v>
      </c>
      <c r="D21" s="26">
        <v>3</v>
      </c>
      <c r="E21" s="25">
        <v>1.2453300124533001E-3</v>
      </c>
    </row>
    <row r="22" spans="1:6" ht="13.5" x14ac:dyDescent="0.2">
      <c r="B22" s="95"/>
      <c r="C22" s="77" t="s">
        <v>23</v>
      </c>
      <c r="D22" s="76">
        <v>8</v>
      </c>
      <c r="E22" s="75">
        <v>3.3208800332088003E-3</v>
      </c>
    </row>
    <row r="23" spans="1:6" ht="13.5" x14ac:dyDescent="0.2">
      <c r="B23" s="94" t="s">
        <v>137</v>
      </c>
      <c r="C23" s="64" t="s">
        <v>154</v>
      </c>
      <c r="D23" s="26">
        <v>1</v>
      </c>
      <c r="E23" s="25">
        <v>4.1511000415110004E-4</v>
      </c>
    </row>
    <row r="24" spans="1:6" ht="13.5" x14ac:dyDescent="0.2">
      <c r="B24" s="95"/>
      <c r="C24" s="77" t="s">
        <v>23</v>
      </c>
      <c r="D24" s="76">
        <v>1</v>
      </c>
      <c r="E24" s="75">
        <v>4.1511000415110004E-4</v>
      </c>
    </row>
    <row r="25" spans="1:6" ht="13.5" x14ac:dyDescent="0.2">
      <c r="B25" s="94" t="s">
        <v>136</v>
      </c>
      <c r="C25" s="64" t="s">
        <v>154</v>
      </c>
      <c r="D25" s="26">
        <v>2</v>
      </c>
      <c r="E25" s="25">
        <v>8.3022000830220008E-4</v>
      </c>
    </row>
    <row r="26" spans="1:6" ht="13.5" x14ac:dyDescent="0.2">
      <c r="B26" s="96"/>
      <c r="C26" s="64" t="s">
        <v>153</v>
      </c>
      <c r="D26" s="26">
        <v>2</v>
      </c>
      <c r="E26" s="25">
        <v>8.3022000830220008E-4</v>
      </c>
    </row>
    <row r="27" spans="1:6" ht="13.5" x14ac:dyDescent="0.2">
      <c r="B27" s="95"/>
      <c r="C27" s="77" t="s">
        <v>23</v>
      </c>
      <c r="D27" s="76">
        <v>4</v>
      </c>
      <c r="E27" s="75">
        <v>1.6604400166044002E-3</v>
      </c>
    </row>
    <row r="28" spans="1:6" ht="13.5" x14ac:dyDescent="0.2">
      <c r="B28" s="94" t="s">
        <v>135</v>
      </c>
      <c r="C28" s="64" t="s">
        <v>154</v>
      </c>
      <c r="D28" s="26">
        <v>22</v>
      </c>
      <c r="E28" s="25">
        <v>9.1324200913242004E-3</v>
      </c>
    </row>
    <row r="29" spans="1:6" ht="13.5" x14ac:dyDescent="0.2">
      <c r="B29" s="96"/>
      <c r="C29" s="64" t="s">
        <v>153</v>
      </c>
      <c r="D29" s="26">
        <v>13</v>
      </c>
      <c r="E29" s="25">
        <v>5.3964300539643007E-3</v>
      </c>
    </row>
    <row r="30" spans="1:6" ht="13.5" x14ac:dyDescent="0.2">
      <c r="B30" s="95"/>
      <c r="C30" s="77" t="s">
        <v>23</v>
      </c>
      <c r="D30" s="76">
        <v>35</v>
      </c>
      <c r="E30" s="75">
        <v>1.4528850145288501E-2</v>
      </c>
    </row>
    <row r="31" spans="1:6" ht="13.5" x14ac:dyDescent="0.2">
      <c r="B31" s="94" t="s">
        <v>134</v>
      </c>
      <c r="C31" s="64" t="s">
        <v>154</v>
      </c>
      <c r="D31" s="26">
        <v>62</v>
      </c>
      <c r="E31" s="25">
        <v>2.5736820257368204E-2</v>
      </c>
    </row>
    <row r="32" spans="1:6" ht="13.5" x14ac:dyDescent="0.2">
      <c r="B32" s="96"/>
      <c r="C32" s="64" t="s">
        <v>153</v>
      </c>
      <c r="D32" s="26">
        <v>39</v>
      </c>
      <c r="E32" s="25">
        <v>1.61892901618929E-2</v>
      </c>
    </row>
    <row r="33" spans="2:5" ht="13.5" x14ac:dyDescent="0.2">
      <c r="B33" s="95"/>
      <c r="C33" s="77" t="s">
        <v>23</v>
      </c>
      <c r="D33" s="76">
        <v>101</v>
      </c>
      <c r="E33" s="75">
        <v>4.1926110419261108E-2</v>
      </c>
    </row>
    <row r="34" spans="2:5" ht="13.5" x14ac:dyDescent="0.2">
      <c r="B34" s="94" t="s">
        <v>133</v>
      </c>
      <c r="C34" s="64" t="s">
        <v>154</v>
      </c>
      <c r="D34" s="26">
        <v>56</v>
      </c>
      <c r="E34" s="25">
        <v>2.3246160232461604E-2</v>
      </c>
    </row>
    <row r="35" spans="2:5" ht="13.5" x14ac:dyDescent="0.2">
      <c r="B35" s="96"/>
      <c r="C35" s="64" t="s">
        <v>153</v>
      </c>
      <c r="D35" s="26">
        <v>13</v>
      </c>
      <c r="E35" s="25">
        <v>5.3964300539643007E-3</v>
      </c>
    </row>
    <row r="36" spans="2:5" ht="13.5" x14ac:dyDescent="0.2">
      <c r="B36" s="95"/>
      <c r="C36" s="77" t="s">
        <v>23</v>
      </c>
      <c r="D36" s="76">
        <v>69</v>
      </c>
      <c r="E36" s="75">
        <v>2.8642590286425903E-2</v>
      </c>
    </row>
    <row r="37" spans="2:5" ht="13.5" x14ac:dyDescent="0.2">
      <c r="B37" s="94" t="s">
        <v>132</v>
      </c>
      <c r="C37" s="64" t="s">
        <v>154</v>
      </c>
      <c r="D37" s="26">
        <v>2</v>
      </c>
      <c r="E37" s="25">
        <v>8.3022000830220008E-4</v>
      </c>
    </row>
    <row r="38" spans="2:5" ht="13.5" x14ac:dyDescent="0.2">
      <c r="B38" s="95"/>
      <c r="C38" s="77" t="s">
        <v>23</v>
      </c>
      <c r="D38" s="76">
        <v>2</v>
      </c>
      <c r="E38" s="75">
        <v>8.3022000830220008E-4</v>
      </c>
    </row>
    <row r="39" spans="2:5" ht="13.5" x14ac:dyDescent="0.2">
      <c r="B39" s="94" t="s">
        <v>131</v>
      </c>
      <c r="C39" s="64" t="s">
        <v>154</v>
      </c>
      <c r="D39" s="26">
        <v>2</v>
      </c>
      <c r="E39" s="25">
        <v>8.3022000830220008E-4</v>
      </c>
    </row>
    <row r="40" spans="2:5" ht="13.5" x14ac:dyDescent="0.2">
      <c r="B40" s="96"/>
      <c r="C40" s="64" t="s">
        <v>153</v>
      </c>
      <c r="D40" s="26">
        <v>1</v>
      </c>
      <c r="E40" s="25">
        <v>4.1511000415110004E-4</v>
      </c>
    </row>
    <row r="41" spans="2:5" ht="13.5" x14ac:dyDescent="0.2">
      <c r="B41" s="95"/>
      <c r="C41" s="77" t="s">
        <v>23</v>
      </c>
      <c r="D41" s="76">
        <v>3</v>
      </c>
      <c r="E41" s="75">
        <v>1.2453300124533001E-3</v>
      </c>
    </row>
    <row r="42" spans="2:5" ht="13.5" x14ac:dyDescent="0.2">
      <c r="B42" s="94" t="s">
        <v>130</v>
      </c>
      <c r="C42" s="64" t="s">
        <v>154</v>
      </c>
      <c r="D42" s="26">
        <v>1</v>
      </c>
      <c r="E42" s="25">
        <v>4.1511000415110004E-4</v>
      </c>
    </row>
    <row r="43" spans="2:5" ht="13.5" x14ac:dyDescent="0.2">
      <c r="B43" s="96"/>
      <c r="C43" s="64" t="s">
        <v>153</v>
      </c>
      <c r="D43" s="26">
        <v>2</v>
      </c>
      <c r="E43" s="25">
        <v>8.3022000830220008E-4</v>
      </c>
    </row>
    <row r="44" spans="2:5" ht="13.5" x14ac:dyDescent="0.2">
      <c r="B44" s="95"/>
      <c r="C44" s="77" t="s">
        <v>23</v>
      </c>
      <c r="D44" s="76">
        <v>3</v>
      </c>
      <c r="E44" s="75">
        <v>1.2453300124533001E-3</v>
      </c>
    </row>
    <row r="45" spans="2:5" ht="13.5" x14ac:dyDescent="0.2">
      <c r="B45" s="94" t="s">
        <v>129</v>
      </c>
      <c r="C45" s="64" t="s">
        <v>154</v>
      </c>
      <c r="D45" s="26">
        <v>7</v>
      </c>
      <c r="E45" s="25">
        <v>2.9057700290577005E-3</v>
      </c>
    </row>
    <row r="46" spans="2:5" ht="13.5" x14ac:dyDescent="0.2">
      <c r="B46" s="96"/>
      <c r="C46" s="64" t="s">
        <v>153</v>
      </c>
      <c r="D46" s="26">
        <v>3</v>
      </c>
      <c r="E46" s="25">
        <v>1.2453300124533001E-3</v>
      </c>
    </row>
    <row r="47" spans="2:5" ht="13.5" x14ac:dyDescent="0.2">
      <c r="B47" s="95"/>
      <c r="C47" s="77" t="s">
        <v>23</v>
      </c>
      <c r="D47" s="76">
        <v>10</v>
      </c>
      <c r="E47" s="75">
        <v>4.1511000415110008E-3</v>
      </c>
    </row>
    <row r="48" spans="2:5" ht="13.5" x14ac:dyDescent="0.2">
      <c r="B48" s="94" t="s">
        <v>128</v>
      </c>
      <c r="C48" s="64" t="s">
        <v>154</v>
      </c>
      <c r="D48" s="26">
        <v>22</v>
      </c>
      <c r="E48" s="25">
        <v>9.1324200913242004E-3</v>
      </c>
    </row>
    <row r="49" spans="2:5" ht="13.5" x14ac:dyDescent="0.2">
      <c r="B49" s="96"/>
      <c r="C49" s="64" t="s">
        <v>153</v>
      </c>
      <c r="D49" s="26">
        <v>22</v>
      </c>
      <c r="E49" s="25">
        <v>9.1324200913242004E-3</v>
      </c>
    </row>
    <row r="50" spans="2:5" ht="13.5" x14ac:dyDescent="0.2">
      <c r="B50" s="95"/>
      <c r="C50" s="77" t="s">
        <v>23</v>
      </c>
      <c r="D50" s="76">
        <v>44</v>
      </c>
      <c r="E50" s="75">
        <v>1.8264840182648401E-2</v>
      </c>
    </row>
    <row r="51" spans="2:5" ht="13.5" x14ac:dyDescent="0.2">
      <c r="B51" s="94" t="s">
        <v>127</v>
      </c>
      <c r="C51" s="64" t="s">
        <v>154</v>
      </c>
      <c r="D51" s="26">
        <v>8</v>
      </c>
      <c r="E51" s="25">
        <v>3.3208800332088003E-3</v>
      </c>
    </row>
    <row r="52" spans="2:5" ht="13.5" x14ac:dyDescent="0.2">
      <c r="B52" s="96"/>
      <c r="C52" s="64" t="s">
        <v>153</v>
      </c>
      <c r="D52" s="26">
        <v>8</v>
      </c>
      <c r="E52" s="25">
        <v>3.3208800332088003E-3</v>
      </c>
    </row>
    <row r="53" spans="2:5" ht="13.5" x14ac:dyDescent="0.2">
      <c r="B53" s="95"/>
      <c r="C53" s="77" t="s">
        <v>23</v>
      </c>
      <c r="D53" s="76">
        <v>16</v>
      </c>
      <c r="E53" s="75">
        <v>6.6417600664176006E-3</v>
      </c>
    </row>
    <row r="54" spans="2:5" ht="13.5" x14ac:dyDescent="0.2">
      <c r="B54" s="94" t="s">
        <v>126</v>
      </c>
      <c r="C54" s="64" t="s">
        <v>154</v>
      </c>
      <c r="D54" s="26">
        <v>11</v>
      </c>
      <c r="E54" s="25">
        <v>4.5662100456621002E-3</v>
      </c>
    </row>
    <row r="55" spans="2:5" ht="13.5" x14ac:dyDescent="0.2">
      <c r="B55" s="96"/>
      <c r="C55" s="64" t="s">
        <v>153</v>
      </c>
      <c r="D55" s="26">
        <v>5</v>
      </c>
      <c r="E55" s="25">
        <v>2.0755500207555004E-3</v>
      </c>
    </row>
    <row r="56" spans="2:5" ht="13.5" x14ac:dyDescent="0.2">
      <c r="B56" s="95"/>
      <c r="C56" s="77" t="s">
        <v>23</v>
      </c>
      <c r="D56" s="76">
        <v>16</v>
      </c>
      <c r="E56" s="75">
        <v>6.6417600664176006E-3</v>
      </c>
    </row>
    <row r="57" spans="2:5" ht="13.5" x14ac:dyDescent="0.2">
      <c r="B57" s="94" t="s">
        <v>125</v>
      </c>
      <c r="C57" s="64" t="s">
        <v>154</v>
      </c>
      <c r="D57" s="26">
        <v>2</v>
      </c>
      <c r="E57" s="25">
        <v>8.3022000830220008E-4</v>
      </c>
    </row>
    <row r="58" spans="2:5" ht="13.5" x14ac:dyDescent="0.2">
      <c r="B58" s="95"/>
      <c r="C58" s="77" t="s">
        <v>23</v>
      </c>
      <c r="D58" s="76">
        <v>2</v>
      </c>
      <c r="E58" s="75">
        <v>8.3022000830220008E-4</v>
      </c>
    </row>
    <row r="59" spans="2:5" ht="13.5" x14ac:dyDescent="0.2">
      <c r="B59" s="94" t="s">
        <v>124</v>
      </c>
      <c r="C59" s="64" t="s">
        <v>154</v>
      </c>
      <c r="D59" s="26">
        <v>30</v>
      </c>
      <c r="E59" s="25">
        <v>1.2453300124533001E-2</v>
      </c>
    </row>
    <row r="60" spans="2:5" ht="13.5" x14ac:dyDescent="0.2">
      <c r="B60" s="96"/>
      <c r="C60" s="64" t="s">
        <v>153</v>
      </c>
      <c r="D60" s="26">
        <v>23</v>
      </c>
      <c r="E60" s="25">
        <v>9.5475300954753015E-3</v>
      </c>
    </row>
    <row r="61" spans="2:5" ht="13.5" x14ac:dyDescent="0.2">
      <c r="B61" s="95"/>
      <c r="C61" s="77" t="s">
        <v>23</v>
      </c>
      <c r="D61" s="76">
        <v>53</v>
      </c>
      <c r="E61" s="75">
        <v>2.2000830220008302E-2</v>
      </c>
    </row>
    <row r="62" spans="2:5" ht="13.5" x14ac:dyDescent="0.2">
      <c r="B62" s="94" t="s">
        <v>123</v>
      </c>
      <c r="C62" s="64" t="s">
        <v>154</v>
      </c>
      <c r="D62" s="26">
        <v>21</v>
      </c>
      <c r="E62" s="25">
        <v>8.717310087173101E-3</v>
      </c>
    </row>
    <row r="63" spans="2:5" ht="13.5" x14ac:dyDescent="0.2">
      <c r="B63" s="96"/>
      <c r="C63" s="64" t="s">
        <v>153</v>
      </c>
      <c r="D63" s="26">
        <v>5</v>
      </c>
      <c r="E63" s="25">
        <v>2.0755500207555004E-3</v>
      </c>
    </row>
    <row r="64" spans="2:5" ht="13.5" x14ac:dyDescent="0.2">
      <c r="B64" s="95"/>
      <c r="C64" s="77" t="s">
        <v>23</v>
      </c>
      <c r="D64" s="76">
        <v>26</v>
      </c>
      <c r="E64" s="75">
        <v>1.0792860107928601E-2</v>
      </c>
    </row>
    <row r="65" spans="2:5" ht="13.5" x14ac:dyDescent="0.2">
      <c r="B65" s="94" t="s">
        <v>122</v>
      </c>
      <c r="C65" s="64" t="s">
        <v>154</v>
      </c>
      <c r="D65" s="26">
        <v>274</v>
      </c>
      <c r="E65" s="25">
        <v>0.11374014113740141</v>
      </c>
    </row>
    <row r="66" spans="2:5" ht="13.5" x14ac:dyDescent="0.2">
      <c r="B66" s="96"/>
      <c r="C66" s="64" t="s">
        <v>153</v>
      </c>
      <c r="D66" s="26">
        <v>173</v>
      </c>
      <c r="E66" s="25">
        <v>7.1814030718140312E-2</v>
      </c>
    </row>
    <row r="67" spans="2:5" ht="13.5" x14ac:dyDescent="0.2">
      <c r="B67" s="95"/>
      <c r="C67" s="77" t="s">
        <v>23</v>
      </c>
      <c r="D67" s="76">
        <v>447</v>
      </c>
      <c r="E67" s="75">
        <v>0.18555417185554171</v>
      </c>
    </row>
    <row r="68" spans="2:5" ht="13.5" x14ac:dyDescent="0.2">
      <c r="B68" s="94" t="s">
        <v>121</v>
      </c>
      <c r="C68" s="64" t="s">
        <v>154</v>
      </c>
      <c r="D68" s="26">
        <v>2</v>
      </c>
      <c r="E68" s="25">
        <v>8.3022000830220008E-4</v>
      </c>
    </row>
    <row r="69" spans="2:5" ht="13.5" x14ac:dyDescent="0.2">
      <c r="B69" s="96"/>
      <c r="C69" s="64" t="s">
        <v>153</v>
      </c>
      <c r="D69" s="26">
        <v>1</v>
      </c>
      <c r="E69" s="25">
        <v>4.1511000415110004E-4</v>
      </c>
    </row>
    <row r="70" spans="2:5" ht="13.5" x14ac:dyDescent="0.2">
      <c r="B70" s="95"/>
      <c r="C70" s="77" t="s">
        <v>23</v>
      </c>
      <c r="D70" s="76">
        <v>3</v>
      </c>
      <c r="E70" s="75">
        <v>1.2453300124533001E-3</v>
      </c>
    </row>
    <row r="71" spans="2:5" ht="13.5" x14ac:dyDescent="0.2">
      <c r="B71" s="94" t="s">
        <v>120</v>
      </c>
      <c r="C71" s="64" t="s">
        <v>154</v>
      </c>
      <c r="D71" s="26">
        <v>16</v>
      </c>
      <c r="E71" s="25">
        <v>6.6417600664176006E-3</v>
      </c>
    </row>
    <row r="72" spans="2:5" ht="13.5" x14ac:dyDescent="0.2">
      <c r="B72" s="96"/>
      <c r="C72" s="64" t="s">
        <v>153</v>
      </c>
      <c r="D72" s="26">
        <v>10</v>
      </c>
      <c r="E72" s="25">
        <v>4.1511000415110008E-3</v>
      </c>
    </row>
    <row r="73" spans="2:5" ht="13.5" x14ac:dyDescent="0.2">
      <c r="B73" s="95"/>
      <c r="C73" s="77" t="s">
        <v>23</v>
      </c>
      <c r="D73" s="76">
        <v>26</v>
      </c>
      <c r="E73" s="75">
        <v>1.0792860107928601E-2</v>
      </c>
    </row>
    <row r="74" spans="2:5" ht="13.5" x14ac:dyDescent="0.2">
      <c r="B74" s="94" t="s">
        <v>119</v>
      </c>
      <c r="C74" s="64" t="s">
        <v>154</v>
      </c>
      <c r="D74" s="26">
        <v>3</v>
      </c>
      <c r="E74" s="25">
        <v>1.2453300124533001E-3</v>
      </c>
    </row>
    <row r="75" spans="2:5" ht="13.5" x14ac:dyDescent="0.2">
      <c r="B75" s="96"/>
      <c r="C75" s="64" t="s">
        <v>153</v>
      </c>
      <c r="D75" s="26">
        <v>1</v>
      </c>
      <c r="E75" s="25">
        <v>4.1511000415110004E-4</v>
      </c>
    </row>
    <row r="76" spans="2:5" ht="13.5" x14ac:dyDescent="0.2">
      <c r="B76" s="95"/>
      <c r="C76" s="77" t="s">
        <v>23</v>
      </c>
      <c r="D76" s="76">
        <v>4</v>
      </c>
      <c r="E76" s="75">
        <v>1.6604400166044002E-3</v>
      </c>
    </row>
    <row r="77" spans="2:5" ht="13.5" x14ac:dyDescent="0.2">
      <c r="B77" s="94" t="s">
        <v>118</v>
      </c>
      <c r="C77" s="64" t="s">
        <v>154</v>
      </c>
      <c r="D77" s="26">
        <v>9</v>
      </c>
      <c r="E77" s="25">
        <v>3.7359900373599006E-3</v>
      </c>
    </row>
    <row r="78" spans="2:5" ht="13.5" x14ac:dyDescent="0.2">
      <c r="B78" s="96"/>
      <c r="C78" s="64" t="s">
        <v>153</v>
      </c>
      <c r="D78" s="26">
        <v>4</v>
      </c>
      <c r="E78" s="25">
        <v>1.6604400166044002E-3</v>
      </c>
    </row>
    <row r="79" spans="2:5" ht="13.5" x14ac:dyDescent="0.2">
      <c r="B79" s="95"/>
      <c r="C79" s="77" t="s">
        <v>23</v>
      </c>
      <c r="D79" s="76">
        <v>13</v>
      </c>
      <c r="E79" s="75">
        <v>5.3964300539643007E-3</v>
      </c>
    </row>
    <row r="80" spans="2:5" ht="13.5" x14ac:dyDescent="0.2">
      <c r="B80" s="94" t="s">
        <v>117</v>
      </c>
      <c r="C80" s="64" t="s">
        <v>154</v>
      </c>
      <c r="D80" s="26">
        <v>11</v>
      </c>
      <c r="E80" s="25">
        <v>4.5662100456621002E-3</v>
      </c>
    </row>
    <row r="81" spans="2:5" ht="13.5" x14ac:dyDescent="0.2">
      <c r="B81" s="96"/>
      <c r="C81" s="64" t="s">
        <v>153</v>
      </c>
      <c r="D81" s="26">
        <v>7</v>
      </c>
      <c r="E81" s="25">
        <v>2.9057700290577005E-3</v>
      </c>
    </row>
    <row r="82" spans="2:5" ht="13.5" x14ac:dyDescent="0.2">
      <c r="B82" s="95"/>
      <c r="C82" s="77" t="s">
        <v>23</v>
      </c>
      <c r="D82" s="76">
        <v>18</v>
      </c>
      <c r="E82" s="75">
        <v>7.4719800747198011E-3</v>
      </c>
    </row>
    <row r="83" spans="2:5" ht="13.5" x14ac:dyDescent="0.2">
      <c r="B83" s="94" t="s">
        <v>116</v>
      </c>
      <c r="C83" s="64" t="s">
        <v>154</v>
      </c>
      <c r="D83" s="26">
        <v>4</v>
      </c>
      <c r="E83" s="25">
        <v>1.6604400166044002E-3</v>
      </c>
    </row>
    <row r="84" spans="2:5" ht="13.5" x14ac:dyDescent="0.2">
      <c r="B84" s="96"/>
      <c r="C84" s="64" t="s">
        <v>153</v>
      </c>
      <c r="D84" s="26">
        <v>3</v>
      </c>
      <c r="E84" s="25">
        <v>1.2453300124533001E-3</v>
      </c>
    </row>
    <row r="85" spans="2:5" ht="13.5" x14ac:dyDescent="0.2">
      <c r="B85" s="95"/>
      <c r="C85" s="77" t="s">
        <v>23</v>
      </c>
      <c r="D85" s="76">
        <v>7</v>
      </c>
      <c r="E85" s="75">
        <v>2.9057700290577005E-3</v>
      </c>
    </row>
    <row r="86" spans="2:5" ht="13.5" x14ac:dyDescent="0.2">
      <c r="B86" s="94" t="s">
        <v>115</v>
      </c>
      <c r="C86" s="64" t="s">
        <v>154</v>
      </c>
      <c r="D86" s="26">
        <v>14</v>
      </c>
      <c r="E86" s="25">
        <v>5.811540058115401E-3</v>
      </c>
    </row>
    <row r="87" spans="2:5" ht="13.5" x14ac:dyDescent="0.2">
      <c r="B87" s="96"/>
      <c r="C87" s="64" t="s">
        <v>153</v>
      </c>
      <c r="D87" s="26">
        <v>8</v>
      </c>
      <c r="E87" s="25">
        <v>3.3208800332088003E-3</v>
      </c>
    </row>
    <row r="88" spans="2:5" ht="13.5" x14ac:dyDescent="0.2">
      <c r="B88" s="95"/>
      <c r="C88" s="77" t="s">
        <v>23</v>
      </c>
      <c r="D88" s="76">
        <v>22</v>
      </c>
      <c r="E88" s="75">
        <v>9.1324200913242004E-3</v>
      </c>
    </row>
    <row r="89" spans="2:5" ht="13.5" x14ac:dyDescent="0.2">
      <c r="B89" s="94" t="s">
        <v>114</v>
      </c>
      <c r="C89" s="64" t="s">
        <v>154</v>
      </c>
      <c r="D89" s="26">
        <v>86</v>
      </c>
      <c r="E89" s="25">
        <v>3.5699460356994603E-2</v>
      </c>
    </row>
    <row r="90" spans="2:5" ht="13.5" x14ac:dyDescent="0.2">
      <c r="B90" s="96"/>
      <c r="C90" s="64" t="s">
        <v>153</v>
      </c>
      <c r="D90" s="26">
        <v>49</v>
      </c>
      <c r="E90" s="25">
        <v>2.0340390203403901E-2</v>
      </c>
    </row>
    <row r="91" spans="2:5" ht="13.5" x14ac:dyDescent="0.2">
      <c r="B91" s="95"/>
      <c r="C91" s="77" t="s">
        <v>23</v>
      </c>
      <c r="D91" s="76">
        <v>135</v>
      </c>
      <c r="E91" s="75">
        <v>5.6039850560398508E-2</v>
      </c>
    </row>
    <row r="92" spans="2:5" ht="13.5" x14ac:dyDescent="0.2">
      <c r="B92" s="94" t="s">
        <v>113</v>
      </c>
      <c r="C92" s="64" t="s">
        <v>154</v>
      </c>
      <c r="D92" s="26">
        <v>1</v>
      </c>
      <c r="E92" s="25">
        <v>4.1511000415110004E-4</v>
      </c>
    </row>
    <row r="93" spans="2:5" ht="13.5" x14ac:dyDescent="0.2">
      <c r="B93" s="95"/>
      <c r="C93" s="77" t="s">
        <v>23</v>
      </c>
      <c r="D93" s="76">
        <v>1</v>
      </c>
      <c r="E93" s="75">
        <v>4.1511000415110004E-4</v>
      </c>
    </row>
    <row r="94" spans="2:5" ht="13.5" x14ac:dyDescent="0.2">
      <c r="B94" s="94" t="s">
        <v>112</v>
      </c>
      <c r="C94" s="64" t="s">
        <v>154</v>
      </c>
      <c r="D94" s="26">
        <v>143</v>
      </c>
      <c r="E94" s="25">
        <v>5.9360730593607303E-2</v>
      </c>
    </row>
    <row r="95" spans="2:5" ht="13.5" x14ac:dyDescent="0.2">
      <c r="B95" s="96"/>
      <c r="C95" s="64" t="s">
        <v>153</v>
      </c>
      <c r="D95" s="26">
        <v>51</v>
      </c>
      <c r="E95" s="25">
        <v>2.1170610211706103E-2</v>
      </c>
    </row>
    <row r="96" spans="2:5" ht="13.5" x14ac:dyDescent="0.2">
      <c r="B96" s="95"/>
      <c r="C96" s="77" t="s">
        <v>23</v>
      </c>
      <c r="D96" s="76">
        <v>194</v>
      </c>
      <c r="E96" s="75">
        <v>8.0531340805313406E-2</v>
      </c>
    </row>
    <row r="97" spans="2:5" ht="13.5" x14ac:dyDescent="0.2">
      <c r="B97" s="94" t="s">
        <v>111</v>
      </c>
      <c r="C97" s="64" t="s">
        <v>154</v>
      </c>
      <c r="D97" s="26">
        <v>10</v>
      </c>
      <c r="E97" s="25">
        <v>4.1511000415110008E-3</v>
      </c>
    </row>
    <row r="98" spans="2:5" ht="13.5" x14ac:dyDescent="0.2">
      <c r="B98" s="96"/>
      <c r="C98" s="64" t="s">
        <v>153</v>
      </c>
      <c r="D98" s="26">
        <v>8</v>
      </c>
      <c r="E98" s="25">
        <v>3.3208800332088003E-3</v>
      </c>
    </row>
    <row r="99" spans="2:5" ht="13.5" x14ac:dyDescent="0.2">
      <c r="B99" s="95"/>
      <c r="C99" s="77" t="s">
        <v>23</v>
      </c>
      <c r="D99" s="76">
        <v>18</v>
      </c>
      <c r="E99" s="75">
        <v>7.4719800747198011E-3</v>
      </c>
    </row>
    <row r="100" spans="2:5" ht="13.5" x14ac:dyDescent="0.2">
      <c r="B100" s="94" t="s">
        <v>110</v>
      </c>
      <c r="C100" s="64" t="s">
        <v>154</v>
      </c>
      <c r="D100" s="26">
        <v>13</v>
      </c>
      <c r="E100" s="25">
        <v>5.3964300539643007E-3</v>
      </c>
    </row>
    <row r="101" spans="2:5" ht="13.5" x14ac:dyDescent="0.2">
      <c r="B101" s="96"/>
      <c r="C101" s="64" t="s">
        <v>153</v>
      </c>
      <c r="D101" s="26">
        <v>9</v>
      </c>
      <c r="E101" s="25">
        <v>3.7359900373599006E-3</v>
      </c>
    </row>
    <row r="102" spans="2:5" ht="13.5" x14ac:dyDescent="0.2">
      <c r="B102" s="95"/>
      <c r="C102" s="77" t="s">
        <v>23</v>
      </c>
      <c r="D102" s="76">
        <v>22</v>
      </c>
      <c r="E102" s="75">
        <v>9.1324200913242004E-3</v>
      </c>
    </row>
    <row r="103" spans="2:5" ht="13.5" x14ac:dyDescent="0.2">
      <c r="B103" s="94" t="s">
        <v>109</v>
      </c>
      <c r="C103" s="64" t="s">
        <v>154</v>
      </c>
      <c r="D103" s="26">
        <v>4</v>
      </c>
      <c r="E103" s="25">
        <v>1.6604400166044002E-3</v>
      </c>
    </row>
    <row r="104" spans="2:5" ht="13.5" x14ac:dyDescent="0.2">
      <c r="B104" s="95"/>
      <c r="C104" s="77" t="s">
        <v>23</v>
      </c>
      <c r="D104" s="76">
        <v>4</v>
      </c>
      <c r="E104" s="75">
        <v>1.6604400166044002E-3</v>
      </c>
    </row>
    <row r="105" spans="2:5" ht="13.5" x14ac:dyDescent="0.2">
      <c r="B105" s="94" t="s">
        <v>108</v>
      </c>
      <c r="C105" s="64" t="s">
        <v>154</v>
      </c>
      <c r="D105" s="26">
        <v>20</v>
      </c>
      <c r="E105" s="25">
        <v>8.3022000830220016E-3</v>
      </c>
    </row>
    <row r="106" spans="2:5" ht="13.5" x14ac:dyDescent="0.2">
      <c r="B106" s="96"/>
      <c r="C106" s="64" t="s">
        <v>153</v>
      </c>
      <c r="D106" s="26">
        <v>21</v>
      </c>
      <c r="E106" s="25">
        <v>8.717310087173101E-3</v>
      </c>
    </row>
    <row r="107" spans="2:5" ht="13.5" x14ac:dyDescent="0.2">
      <c r="B107" s="95"/>
      <c r="C107" s="77" t="s">
        <v>23</v>
      </c>
      <c r="D107" s="76">
        <v>41</v>
      </c>
      <c r="E107" s="75">
        <v>1.7019510170195103E-2</v>
      </c>
    </row>
    <row r="108" spans="2:5" ht="13.5" x14ac:dyDescent="0.2">
      <c r="B108" s="94" t="s">
        <v>107</v>
      </c>
      <c r="C108" s="64" t="s">
        <v>154</v>
      </c>
      <c r="D108" s="26">
        <v>1</v>
      </c>
      <c r="E108" s="25">
        <v>4.1511000415110004E-4</v>
      </c>
    </row>
    <row r="109" spans="2:5" ht="13.5" x14ac:dyDescent="0.2">
      <c r="B109" s="96"/>
      <c r="C109" s="64" t="s">
        <v>153</v>
      </c>
      <c r="D109" s="26">
        <v>2</v>
      </c>
      <c r="E109" s="25">
        <v>8.3022000830220008E-4</v>
      </c>
    </row>
    <row r="110" spans="2:5" ht="13.5" x14ac:dyDescent="0.2">
      <c r="B110" s="95"/>
      <c r="C110" s="77" t="s">
        <v>23</v>
      </c>
      <c r="D110" s="76">
        <v>3</v>
      </c>
      <c r="E110" s="75">
        <v>1.2453300124533001E-3</v>
      </c>
    </row>
    <row r="111" spans="2:5" ht="13.5" x14ac:dyDescent="0.2">
      <c r="B111" s="94" t="s">
        <v>106</v>
      </c>
      <c r="C111" s="64" t="s">
        <v>154</v>
      </c>
      <c r="D111" s="26">
        <v>40</v>
      </c>
      <c r="E111" s="25">
        <v>1.6604400166044003E-2</v>
      </c>
    </row>
    <row r="112" spans="2:5" ht="13.5" x14ac:dyDescent="0.2">
      <c r="B112" s="96"/>
      <c r="C112" s="64" t="s">
        <v>153</v>
      </c>
      <c r="D112" s="26">
        <v>24</v>
      </c>
      <c r="E112" s="25">
        <v>9.9626400996264009E-3</v>
      </c>
    </row>
    <row r="113" spans="2:5" ht="13.5" x14ac:dyDescent="0.2">
      <c r="B113" s="95"/>
      <c r="C113" s="77" t="s">
        <v>23</v>
      </c>
      <c r="D113" s="76">
        <v>64</v>
      </c>
      <c r="E113" s="75">
        <v>2.6567040265670402E-2</v>
      </c>
    </row>
    <row r="114" spans="2:5" ht="13.5" x14ac:dyDescent="0.2">
      <c r="B114" s="94" t="s">
        <v>105</v>
      </c>
      <c r="C114" s="64" t="s">
        <v>154</v>
      </c>
      <c r="D114" s="26">
        <v>2</v>
      </c>
      <c r="E114" s="25">
        <v>8.3022000830220008E-4</v>
      </c>
    </row>
    <row r="115" spans="2:5" ht="13.5" x14ac:dyDescent="0.2">
      <c r="B115" s="96"/>
      <c r="C115" s="64" t="s">
        <v>153</v>
      </c>
      <c r="D115" s="26">
        <v>5</v>
      </c>
      <c r="E115" s="25">
        <v>2.0755500207555004E-3</v>
      </c>
    </row>
    <row r="116" spans="2:5" ht="13.5" x14ac:dyDescent="0.2">
      <c r="B116" s="95"/>
      <c r="C116" s="77" t="s">
        <v>23</v>
      </c>
      <c r="D116" s="76">
        <v>7</v>
      </c>
      <c r="E116" s="75">
        <v>2.9057700290577005E-3</v>
      </c>
    </row>
    <row r="117" spans="2:5" ht="13.5" x14ac:dyDescent="0.2">
      <c r="B117" s="94" t="s">
        <v>104</v>
      </c>
      <c r="C117" s="64" t="s">
        <v>154</v>
      </c>
      <c r="D117" s="26">
        <v>658</v>
      </c>
      <c r="E117" s="25">
        <v>0.27314238273142383</v>
      </c>
    </row>
    <row r="118" spans="2:5" ht="13.5" x14ac:dyDescent="0.2">
      <c r="B118" s="96"/>
      <c r="C118" s="64" t="s">
        <v>153</v>
      </c>
      <c r="D118" s="26">
        <v>162</v>
      </c>
      <c r="E118" s="25">
        <v>6.7247820672478212E-2</v>
      </c>
    </row>
    <row r="119" spans="2:5" ht="13.5" x14ac:dyDescent="0.2">
      <c r="B119" s="95"/>
      <c r="C119" s="77" t="s">
        <v>23</v>
      </c>
      <c r="D119" s="76">
        <v>820</v>
      </c>
      <c r="E119" s="75">
        <v>0.34039020340390203</v>
      </c>
    </row>
    <row r="120" spans="2:5" ht="13.5" x14ac:dyDescent="0.2">
      <c r="B120" s="94" t="s">
        <v>102</v>
      </c>
      <c r="C120" s="64" t="s">
        <v>154</v>
      </c>
      <c r="D120" s="26">
        <v>26</v>
      </c>
      <c r="E120" s="25">
        <v>1.0792860107928601E-2</v>
      </c>
    </row>
    <row r="121" spans="2:5" ht="13.5" x14ac:dyDescent="0.2">
      <c r="B121" s="96"/>
      <c r="C121" s="64" t="s">
        <v>153</v>
      </c>
      <c r="D121" s="26">
        <v>17</v>
      </c>
      <c r="E121" s="25">
        <v>7.0568700705687009E-3</v>
      </c>
    </row>
    <row r="122" spans="2:5" ht="13.5" x14ac:dyDescent="0.2">
      <c r="B122" s="95"/>
      <c r="C122" s="77" t="s">
        <v>23</v>
      </c>
      <c r="D122" s="76">
        <v>43</v>
      </c>
      <c r="E122" s="75">
        <v>1.7849730178497301E-2</v>
      </c>
    </row>
    <row r="123" spans="2:5" ht="13.5" x14ac:dyDescent="0.2">
      <c r="B123" s="94" t="s">
        <v>101</v>
      </c>
      <c r="C123" s="64" t="s">
        <v>154</v>
      </c>
      <c r="D123" s="26">
        <v>35</v>
      </c>
      <c r="E123" s="25">
        <v>1.4528850145288501E-2</v>
      </c>
    </row>
    <row r="124" spans="2:5" ht="13.5" x14ac:dyDescent="0.2">
      <c r="B124" s="96"/>
      <c r="C124" s="64" t="s">
        <v>153</v>
      </c>
      <c r="D124" s="26">
        <v>13</v>
      </c>
      <c r="E124" s="25">
        <v>5.3964300539643007E-3</v>
      </c>
    </row>
    <row r="125" spans="2:5" ht="13.5" x14ac:dyDescent="0.2">
      <c r="B125" s="95"/>
      <c r="C125" s="77" t="s">
        <v>23</v>
      </c>
      <c r="D125" s="76">
        <v>48</v>
      </c>
      <c r="E125" s="75">
        <v>1.9925280199252802E-2</v>
      </c>
    </row>
    <row r="126" spans="2:5" ht="13.5" x14ac:dyDescent="0.2">
      <c r="B126" s="94" t="s">
        <v>100</v>
      </c>
      <c r="C126" s="64" t="s">
        <v>154</v>
      </c>
      <c r="D126" s="26">
        <v>25</v>
      </c>
      <c r="E126" s="25">
        <v>1.03777501037775E-2</v>
      </c>
    </row>
    <row r="127" spans="2:5" ht="13.5" x14ac:dyDescent="0.2">
      <c r="B127" s="96"/>
      <c r="C127" s="64" t="s">
        <v>153</v>
      </c>
      <c r="D127" s="26">
        <v>6</v>
      </c>
      <c r="E127" s="25">
        <v>2.4906600249066002E-3</v>
      </c>
    </row>
    <row r="128" spans="2:5" ht="13.5" x14ac:dyDescent="0.2">
      <c r="B128" s="95"/>
      <c r="C128" s="77" t="s">
        <v>23</v>
      </c>
      <c r="D128" s="76">
        <v>31</v>
      </c>
      <c r="E128" s="75">
        <v>1.2868410128684102E-2</v>
      </c>
    </row>
    <row r="129" spans="2:5" ht="13.5" x14ac:dyDescent="0.2">
      <c r="B129" s="94" t="s">
        <v>99</v>
      </c>
      <c r="C129" s="64" t="s">
        <v>154</v>
      </c>
      <c r="D129" s="26">
        <v>1</v>
      </c>
      <c r="E129" s="25">
        <v>4.1511000415110004E-4</v>
      </c>
    </row>
    <row r="130" spans="2:5" ht="13.5" x14ac:dyDescent="0.2">
      <c r="B130" s="96"/>
      <c r="C130" s="64" t="s">
        <v>153</v>
      </c>
      <c r="D130" s="26">
        <v>1</v>
      </c>
      <c r="E130" s="25">
        <v>4.1511000415110004E-4</v>
      </c>
    </row>
    <row r="131" spans="2:5" ht="13.5" x14ac:dyDescent="0.2">
      <c r="B131" s="95"/>
      <c r="C131" s="77" t="s">
        <v>23</v>
      </c>
      <c r="D131" s="76">
        <v>2</v>
      </c>
      <c r="E131" s="75">
        <v>8.3022000830220008E-4</v>
      </c>
    </row>
    <row r="132" spans="2:5" ht="13.5" x14ac:dyDescent="0.2">
      <c r="B132" s="94" t="s">
        <v>60</v>
      </c>
      <c r="C132" s="64" t="s">
        <v>154</v>
      </c>
      <c r="D132" s="26">
        <v>3</v>
      </c>
      <c r="E132" s="25">
        <v>1.2453300124533001E-3</v>
      </c>
    </row>
    <row r="133" spans="2:5" ht="13.5" x14ac:dyDescent="0.2">
      <c r="B133" s="96"/>
      <c r="C133" s="64" t="s">
        <v>153</v>
      </c>
      <c r="D133" s="26">
        <v>3</v>
      </c>
      <c r="E133" s="25">
        <v>1.2453300124533001E-3</v>
      </c>
    </row>
    <row r="134" spans="2:5" ht="13.5" x14ac:dyDescent="0.2">
      <c r="B134" s="95"/>
      <c r="C134" s="77" t="s">
        <v>23</v>
      </c>
      <c r="D134" s="76">
        <v>6</v>
      </c>
      <c r="E134" s="75">
        <v>2.4906600249066002E-3</v>
      </c>
    </row>
    <row r="135" spans="2:5" ht="13.5" x14ac:dyDescent="0.2">
      <c r="B135" s="94" t="s">
        <v>98</v>
      </c>
      <c r="C135" s="64" t="s">
        <v>154</v>
      </c>
      <c r="D135" s="26">
        <v>2</v>
      </c>
      <c r="E135" s="25">
        <v>8.3022000830220008E-4</v>
      </c>
    </row>
    <row r="136" spans="2:5" ht="13.5" x14ac:dyDescent="0.2">
      <c r="B136" s="96"/>
      <c r="C136" s="64" t="s">
        <v>153</v>
      </c>
      <c r="D136" s="26">
        <v>2</v>
      </c>
      <c r="E136" s="25">
        <v>8.3022000830220008E-4</v>
      </c>
    </row>
    <row r="137" spans="2:5" ht="13.5" x14ac:dyDescent="0.2">
      <c r="B137" s="95"/>
      <c r="C137" s="77" t="s">
        <v>23</v>
      </c>
      <c r="D137" s="76">
        <v>4</v>
      </c>
      <c r="E137" s="75">
        <v>1.6604400166044002E-3</v>
      </c>
    </row>
    <row r="138" spans="2:5" ht="13.5" x14ac:dyDescent="0.2">
      <c r="B138" s="91" t="s">
        <v>160</v>
      </c>
      <c r="C138" s="92"/>
      <c r="D138" s="61">
        <v>2409</v>
      </c>
      <c r="E138" s="60">
        <v>1</v>
      </c>
    </row>
    <row r="140" spans="2:5" x14ac:dyDescent="0.2">
      <c r="B140" s="19" t="s">
        <v>22</v>
      </c>
    </row>
    <row r="141" spans="2:5" x14ac:dyDescent="0.2">
      <c r="B141" s="21" t="s">
        <v>21</v>
      </c>
    </row>
    <row r="142" spans="2:5" x14ac:dyDescent="0.2">
      <c r="B142" s="20" t="s">
        <v>20</v>
      </c>
    </row>
    <row r="143" spans="2:5" x14ac:dyDescent="0.2">
      <c r="B143" s="19" t="s">
        <v>19</v>
      </c>
    </row>
    <row r="144" spans="2:5" x14ac:dyDescent="0.2">
      <c r="B144" s="19" t="s">
        <v>18</v>
      </c>
    </row>
  </sheetData>
  <mergeCells count="46">
    <mergeCell ref="B129:B131"/>
    <mergeCell ref="B132:B134"/>
    <mergeCell ref="B135:B137"/>
    <mergeCell ref="B138:C138"/>
    <mergeCell ref="B111:B113"/>
    <mergeCell ref="B114:B116"/>
    <mergeCell ref="B117:B119"/>
    <mergeCell ref="B120:B122"/>
    <mergeCell ref="B123:B125"/>
    <mergeCell ref="B126:B128"/>
    <mergeCell ref="B94:B96"/>
    <mergeCell ref="B97:B99"/>
    <mergeCell ref="B100:B102"/>
    <mergeCell ref="B103:B104"/>
    <mergeCell ref="B105:B107"/>
    <mergeCell ref="B108:B110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3"/>
    <mergeCell ref="B37:B38"/>
    <mergeCell ref="B39:B41"/>
    <mergeCell ref="B42:B44"/>
    <mergeCell ref="B45:B47"/>
    <mergeCell ref="B48:B50"/>
    <mergeCell ref="B51:B53"/>
    <mergeCell ref="B54:B56"/>
    <mergeCell ref="B57:B58"/>
    <mergeCell ref="B59:B61"/>
    <mergeCell ref="B62:B64"/>
    <mergeCell ref="B8:E10"/>
    <mergeCell ref="B12:B13"/>
    <mergeCell ref="B14:B16"/>
    <mergeCell ref="B17:B19"/>
    <mergeCell ref="B20:B22"/>
    <mergeCell ref="B23:B24"/>
    <mergeCell ref="B25:B27"/>
    <mergeCell ref="B28:B30"/>
    <mergeCell ref="B31:B33"/>
    <mergeCell ref="B34:B36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29" customWidth="1"/>
    <col min="2" max="2" width="19" style="50" customWidth="1"/>
    <col min="3" max="3" width="17.28515625" style="50" customWidth="1"/>
    <col min="4" max="4" width="17.28515625" style="59" customWidth="1"/>
    <col min="5" max="5" width="16.7109375" style="59" customWidth="1"/>
    <col min="6" max="6" width="16.7109375" style="50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0"/>
    </row>
    <row r="2" spans="1:7" s="50" customFormat="1" x14ac:dyDescent="0.2">
      <c r="B2" s="70"/>
    </row>
    <row r="3" spans="1:7" ht="15" customHeight="1" x14ac:dyDescent="0.2">
      <c r="B3" s="71"/>
      <c r="C3" s="35"/>
      <c r="D3" s="29"/>
      <c r="E3" s="29"/>
      <c r="G3" s="50"/>
    </row>
    <row r="4" spans="1:7" ht="30" customHeight="1" x14ac:dyDescent="0.2">
      <c r="B4" s="71"/>
      <c r="C4" s="35"/>
      <c r="D4" s="29"/>
      <c r="E4" s="29"/>
      <c r="G4" s="50"/>
    </row>
    <row r="5" spans="1:7" ht="15" customHeight="1" x14ac:dyDescent="0.2">
      <c r="B5" s="71"/>
      <c r="C5" s="35"/>
      <c r="D5" s="29"/>
      <c r="E5" s="29"/>
      <c r="G5" s="50"/>
    </row>
    <row r="6" spans="1:7" s="50" customFormat="1" x14ac:dyDescent="0.2">
      <c r="B6" s="58"/>
      <c r="C6" s="52"/>
    </row>
    <row r="7" spans="1:7" s="50" customFormat="1" x14ac:dyDescent="0.2">
      <c r="A7" s="54"/>
      <c r="B7" s="70"/>
      <c r="C7" s="54"/>
    </row>
    <row r="8" spans="1:7" s="66" customFormat="1" ht="15" customHeight="1" x14ac:dyDescent="0.25">
      <c r="B8" s="97" t="s">
        <v>159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158</v>
      </c>
      <c r="C11" s="67" t="s">
        <v>157</v>
      </c>
      <c r="D11" s="67" t="s">
        <v>66</v>
      </c>
      <c r="E11" s="67" t="s">
        <v>156</v>
      </c>
      <c r="F11" s="67" t="s">
        <v>155</v>
      </c>
    </row>
    <row r="12" spans="1:7" ht="15" customHeight="1" x14ac:dyDescent="0.2">
      <c r="B12" s="94" t="s">
        <v>154</v>
      </c>
      <c r="C12" s="64" t="s">
        <v>152</v>
      </c>
      <c r="D12" s="26">
        <v>3</v>
      </c>
      <c r="E12" s="65">
        <v>1.7889087656529517E-3</v>
      </c>
      <c r="F12" s="25">
        <f t="shared" ref="F12:F28" si="0">D12/$D$28</f>
        <v>1.2453300124533001E-3</v>
      </c>
    </row>
    <row r="13" spans="1:7" ht="15" customHeight="1" x14ac:dyDescent="0.2">
      <c r="B13" s="96"/>
      <c r="C13" s="64" t="s">
        <v>151</v>
      </c>
      <c r="D13" s="26">
        <v>12</v>
      </c>
      <c r="E13" s="65">
        <v>7.1556350626118068E-3</v>
      </c>
      <c r="F13" s="25">
        <f t="shared" si="0"/>
        <v>4.9813200498132005E-3</v>
      </c>
    </row>
    <row r="14" spans="1:7" ht="15" customHeight="1" x14ac:dyDescent="0.2">
      <c r="B14" s="96"/>
      <c r="C14" s="64" t="s">
        <v>150</v>
      </c>
      <c r="D14" s="26">
        <v>252</v>
      </c>
      <c r="E14" s="65">
        <v>0.15026833631484796</v>
      </c>
      <c r="F14" s="25">
        <f t="shared" si="0"/>
        <v>0.10460772104607721</v>
      </c>
    </row>
    <row r="15" spans="1:7" ht="15" customHeight="1" x14ac:dyDescent="0.2">
      <c r="B15" s="96"/>
      <c r="C15" s="64" t="s">
        <v>149</v>
      </c>
      <c r="D15" s="26">
        <v>617</v>
      </c>
      <c r="E15" s="65">
        <v>0.36791890280262374</v>
      </c>
      <c r="F15" s="25">
        <f t="shared" si="0"/>
        <v>0.25612287256122873</v>
      </c>
    </row>
    <row r="16" spans="1:7" ht="15" customHeight="1" x14ac:dyDescent="0.2">
      <c r="B16" s="96"/>
      <c r="C16" s="64" t="s">
        <v>148</v>
      </c>
      <c r="D16" s="26">
        <v>509</v>
      </c>
      <c r="E16" s="65">
        <v>0.3035181872391175</v>
      </c>
      <c r="F16" s="25">
        <f t="shared" si="0"/>
        <v>0.21129099211290991</v>
      </c>
    </row>
    <row r="17" spans="1:7" s="50" customFormat="1" ht="15" customHeight="1" x14ac:dyDescent="0.2">
      <c r="A17" s="29"/>
      <c r="B17" s="96"/>
      <c r="C17" s="64" t="s">
        <v>147</v>
      </c>
      <c r="D17" s="26">
        <v>251</v>
      </c>
      <c r="E17" s="65">
        <v>0.14967203339296362</v>
      </c>
      <c r="F17" s="25">
        <f t="shared" si="0"/>
        <v>0.10419261104192611</v>
      </c>
      <c r="G17" s="29"/>
    </row>
    <row r="18" spans="1:7" s="50" customFormat="1" ht="15" customHeight="1" x14ac:dyDescent="0.2">
      <c r="A18" s="29"/>
      <c r="B18" s="96"/>
      <c r="C18" s="64" t="s">
        <v>146</v>
      </c>
      <c r="D18" s="26">
        <v>28</v>
      </c>
      <c r="E18" s="65">
        <v>1.6696481812760882E-2</v>
      </c>
      <c r="F18" s="25">
        <f t="shared" si="0"/>
        <v>1.1623080116230802E-2</v>
      </c>
      <c r="G18" s="29"/>
    </row>
    <row r="19" spans="1:7" s="50" customFormat="1" ht="15" customHeight="1" x14ac:dyDescent="0.2">
      <c r="A19" s="29"/>
      <c r="B19" s="95"/>
      <c r="C19" s="64" t="s">
        <v>145</v>
      </c>
      <c r="D19" s="26">
        <v>5</v>
      </c>
      <c r="E19" s="65">
        <v>2.9815146094215863E-3</v>
      </c>
      <c r="F19" s="25">
        <f t="shared" si="0"/>
        <v>2.0755500207555004E-3</v>
      </c>
      <c r="G19" s="29"/>
    </row>
    <row r="20" spans="1:7" s="50" customFormat="1" ht="15" customHeight="1" x14ac:dyDescent="0.2">
      <c r="A20" s="29"/>
      <c r="B20" s="94" t="s">
        <v>153</v>
      </c>
      <c r="C20" s="64" t="s">
        <v>152</v>
      </c>
      <c r="D20" s="26">
        <v>1</v>
      </c>
      <c r="E20" s="63">
        <v>1.366120218579235E-3</v>
      </c>
      <c r="F20" s="25">
        <f t="shared" si="0"/>
        <v>4.1511000415110004E-4</v>
      </c>
      <c r="G20" s="29"/>
    </row>
    <row r="21" spans="1:7" s="50" customFormat="1" ht="15" customHeight="1" x14ac:dyDescent="0.2">
      <c r="A21" s="29"/>
      <c r="B21" s="96"/>
      <c r="C21" s="64" t="s">
        <v>151</v>
      </c>
      <c r="D21" s="26">
        <v>12</v>
      </c>
      <c r="E21" s="63">
        <v>1.6393442622950821E-2</v>
      </c>
      <c r="F21" s="25">
        <f t="shared" si="0"/>
        <v>4.9813200498132005E-3</v>
      </c>
      <c r="G21" s="29"/>
    </row>
    <row r="22" spans="1:7" ht="13.5" x14ac:dyDescent="0.2">
      <c r="B22" s="96"/>
      <c r="C22" s="64" t="s">
        <v>150</v>
      </c>
      <c r="D22" s="26">
        <v>84</v>
      </c>
      <c r="E22" s="63">
        <v>0.11475409836065574</v>
      </c>
      <c r="F22" s="25">
        <f t="shared" si="0"/>
        <v>3.4869240348692404E-2</v>
      </c>
    </row>
    <row r="23" spans="1:7" ht="13.5" x14ac:dyDescent="0.2">
      <c r="B23" s="96"/>
      <c r="C23" s="64" t="s">
        <v>149</v>
      </c>
      <c r="D23" s="26">
        <v>221</v>
      </c>
      <c r="E23" s="63">
        <v>0.30191256830601093</v>
      </c>
      <c r="F23" s="25">
        <f t="shared" si="0"/>
        <v>9.173931091739311E-2</v>
      </c>
    </row>
    <row r="24" spans="1:7" ht="27" x14ac:dyDescent="0.2">
      <c r="B24" s="96"/>
      <c r="C24" s="64" t="s">
        <v>148</v>
      </c>
      <c r="D24" s="26">
        <v>258</v>
      </c>
      <c r="E24" s="63">
        <v>0.35245901639344263</v>
      </c>
      <c r="F24" s="25">
        <f t="shared" si="0"/>
        <v>0.10709838107098381</v>
      </c>
    </row>
    <row r="25" spans="1:7" ht="13.5" x14ac:dyDescent="0.2">
      <c r="B25" s="96"/>
      <c r="C25" s="64" t="s">
        <v>147</v>
      </c>
      <c r="D25" s="26">
        <v>141</v>
      </c>
      <c r="E25" s="63">
        <v>0.19262295081967212</v>
      </c>
      <c r="F25" s="25">
        <f t="shared" si="0"/>
        <v>5.8530510585305104E-2</v>
      </c>
    </row>
    <row r="26" spans="1:7" ht="13.5" x14ac:dyDescent="0.2">
      <c r="B26" s="96"/>
      <c r="C26" s="64" t="s">
        <v>146</v>
      </c>
      <c r="D26" s="26">
        <v>13</v>
      </c>
      <c r="E26" s="63">
        <v>1.7759562841530054E-2</v>
      </c>
      <c r="F26" s="25">
        <f t="shared" si="0"/>
        <v>5.3964300539643007E-3</v>
      </c>
    </row>
    <row r="27" spans="1:7" ht="13.5" x14ac:dyDescent="0.2">
      <c r="B27" s="95"/>
      <c r="C27" s="64" t="s">
        <v>145</v>
      </c>
      <c r="D27" s="26">
        <v>2</v>
      </c>
      <c r="E27" s="63">
        <v>2.7322404371584699E-3</v>
      </c>
      <c r="F27" s="25">
        <f t="shared" si="0"/>
        <v>8.3022000830220008E-4</v>
      </c>
    </row>
    <row r="28" spans="1:7" ht="13.5" x14ac:dyDescent="0.2">
      <c r="B28" s="62" t="s">
        <v>23</v>
      </c>
      <c r="C28" s="62"/>
      <c r="D28" s="61">
        <v>2409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0"/>
  <sheetViews>
    <sheetView showGridLines="0" topLeftCell="A3" zoomScaleNormal="100" zoomScaleSheetLayoutView="115" workbookViewId="0">
      <selection activeCell="N26" sqref="N2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288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287</v>
      </c>
      <c r="C11" s="31" t="s">
        <v>66</v>
      </c>
      <c r="D11" s="30" t="s">
        <v>65</v>
      </c>
    </row>
    <row r="12" spans="1:4" ht="15" customHeight="1" x14ac:dyDescent="0.25">
      <c r="B12" s="27" t="s">
        <v>286</v>
      </c>
      <c r="C12" s="26">
        <v>1494</v>
      </c>
      <c r="D12" s="25">
        <f t="shared" ref="D12:D32" si="0">C12/$C$32</f>
        <v>0.6201743462017435</v>
      </c>
    </row>
    <row r="13" spans="1:4" x14ac:dyDescent="0.25">
      <c r="B13" s="27" t="s">
        <v>285</v>
      </c>
      <c r="C13" s="26">
        <v>363</v>
      </c>
      <c r="D13" s="25">
        <f t="shared" si="0"/>
        <v>0.15068493150684931</v>
      </c>
    </row>
    <row r="14" spans="1:4" s="28" customFormat="1" ht="15.75" x14ac:dyDescent="0.25">
      <c r="A14" s="17"/>
      <c r="B14" s="27" t="s">
        <v>284</v>
      </c>
      <c r="C14" s="26">
        <v>221</v>
      </c>
      <c r="D14" s="25">
        <f t="shared" si="0"/>
        <v>9.173931091739311E-2</v>
      </c>
    </row>
    <row r="15" spans="1:4" s="28" customFormat="1" ht="15.75" x14ac:dyDescent="0.25">
      <c r="A15" s="17"/>
      <c r="B15" s="27" t="s">
        <v>283</v>
      </c>
      <c r="C15" s="26">
        <v>73</v>
      </c>
      <c r="D15" s="25">
        <f t="shared" si="0"/>
        <v>3.0303030303030304E-2</v>
      </c>
    </row>
    <row r="16" spans="1:4" x14ac:dyDescent="0.25">
      <c r="B16" s="27" t="s">
        <v>282</v>
      </c>
      <c r="C16" s="26">
        <v>58</v>
      </c>
      <c r="D16" s="25">
        <f t="shared" si="0"/>
        <v>2.4076380240763803E-2</v>
      </c>
    </row>
    <row r="17" spans="2:4" x14ac:dyDescent="0.25">
      <c r="B17" s="27" t="s">
        <v>281</v>
      </c>
      <c r="C17" s="26">
        <v>49</v>
      </c>
      <c r="D17" s="25">
        <f t="shared" si="0"/>
        <v>2.0340390203403901E-2</v>
      </c>
    </row>
    <row r="18" spans="2:4" x14ac:dyDescent="0.25">
      <c r="B18" s="27" t="s">
        <v>280</v>
      </c>
      <c r="C18" s="26">
        <v>28</v>
      </c>
      <c r="D18" s="25">
        <f t="shared" si="0"/>
        <v>1.1623080116230802E-2</v>
      </c>
    </row>
    <row r="19" spans="2:4" x14ac:dyDescent="0.25">
      <c r="B19" s="27" t="s">
        <v>279</v>
      </c>
      <c r="C19" s="26">
        <v>17</v>
      </c>
      <c r="D19" s="25">
        <f t="shared" si="0"/>
        <v>7.0568700705687009E-3</v>
      </c>
    </row>
    <row r="20" spans="2:4" x14ac:dyDescent="0.25">
      <c r="B20" s="27" t="s">
        <v>278</v>
      </c>
      <c r="C20" s="26">
        <v>15</v>
      </c>
      <c r="D20" s="25">
        <f t="shared" si="0"/>
        <v>6.2266500622665004E-3</v>
      </c>
    </row>
    <row r="21" spans="2:4" x14ac:dyDescent="0.25">
      <c r="B21" s="27" t="s">
        <v>277</v>
      </c>
      <c r="C21" s="26">
        <v>12</v>
      </c>
      <c r="D21" s="25">
        <f t="shared" si="0"/>
        <v>4.9813200498132005E-3</v>
      </c>
    </row>
    <row r="22" spans="2:4" x14ac:dyDescent="0.25">
      <c r="B22" s="27" t="s">
        <v>276</v>
      </c>
      <c r="C22" s="26">
        <v>11</v>
      </c>
      <c r="D22" s="25">
        <f t="shared" si="0"/>
        <v>4.5662100456621002E-3</v>
      </c>
    </row>
    <row r="23" spans="2:4" x14ac:dyDescent="0.25">
      <c r="B23" s="27" t="s">
        <v>275</v>
      </c>
      <c r="C23" s="26">
        <v>11</v>
      </c>
      <c r="D23" s="25">
        <f t="shared" si="0"/>
        <v>4.5662100456621002E-3</v>
      </c>
    </row>
    <row r="24" spans="2:4" x14ac:dyDescent="0.25">
      <c r="B24" s="27" t="s">
        <v>274</v>
      </c>
      <c r="C24" s="26">
        <v>10</v>
      </c>
      <c r="D24" s="25">
        <f t="shared" si="0"/>
        <v>4.1511000415110008E-3</v>
      </c>
    </row>
    <row r="25" spans="2:4" x14ac:dyDescent="0.25">
      <c r="B25" s="27" t="s">
        <v>273</v>
      </c>
      <c r="C25" s="26">
        <v>10</v>
      </c>
      <c r="D25" s="25">
        <f t="shared" si="0"/>
        <v>4.1511000415110008E-3</v>
      </c>
    </row>
    <row r="26" spans="2:4" x14ac:dyDescent="0.25">
      <c r="B26" s="27" t="s">
        <v>272</v>
      </c>
      <c r="C26" s="26">
        <v>9</v>
      </c>
      <c r="D26" s="25">
        <f t="shared" si="0"/>
        <v>3.7359900373599006E-3</v>
      </c>
    </row>
    <row r="27" spans="2:4" x14ac:dyDescent="0.25">
      <c r="B27" s="27" t="s">
        <v>271</v>
      </c>
      <c r="C27" s="26">
        <v>8</v>
      </c>
      <c r="D27" s="25">
        <f t="shared" si="0"/>
        <v>3.3208800332088003E-3</v>
      </c>
    </row>
    <row r="28" spans="2:4" x14ac:dyDescent="0.25">
      <c r="B28" s="27" t="s">
        <v>270</v>
      </c>
      <c r="C28" s="26">
        <v>8</v>
      </c>
      <c r="D28" s="25">
        <f t="shared" si="0"/>
        <v>3.3208800332088003E-3</v>
      </c>
    </row>
    <row r="29" spans="2:4" x14ac:dyDescent="0.25">
      <c r="B29" s="27" t="s">
        <v>269</v>
      </c>
      <c r="C29" s="26">
        <v>6</v>
      </c>
      <c r="D29" s="25">
        <f t="shared" si="0"/>
        <v>2.4906600249066002E-3</v>
      </c>
    </row>
    <row r="30" spans="2:4" x14ac:dyDescent="0.25">
      <c r="B30" s="27" t="s">
        <v>268</v>
      </c>
      <c r="C30" s="26">
        <v>5</v>
      </c>
      <c r="D30" s="25">
        <f t="shared" si="0"/>
        <v>2.0755500207555004E-3</v>
      </c>
    </row>
    <row r="31" spans="2:4" x14ac:dyDescent="0.25">
      <c r="B31" s="27" t="s">
        <v>267</v>
      </c>
      <c r="C31" s="26">
        <v>1</v>
      </c>
      <c r="D31" s="25">
        <f t="shared" si="0"/>
        <v>4.1511000415110004E-4</v>
      </c>
    </row>
    <row r="32" spans="2:4" x14ac:dyDescent="0.25">
      <c r="B32" s="24" t="s">
        <v>23</v>
      </c>
      <c r="C32" s="23">
        <v>2409</v>
      </c>
      <c r="D32" s="22">
        <f t="shared" si="0"/>
        <v>1</v>
      </c>
    </row>
    <row r="34" spans="1:1" x14ac:dyDescent="0.25">
      <c r="A34" s="36" t="s">
        <v>266</v>
      </c>
    </row>
    <row r="35" spans="1:1" x14ac:dyDescent="0.25">
      <c r="A35" s="36" t="s">
        <v>21</v>
      </c>
    </row>
    <row r="36" spans="1:1" x14ac:dyDescent="0.25">
      <c r="A36" s="36" t="s">
        <v>20</v>
      </c>
    </row>
    <row r="37" spans="1:1" x14ac:dyDescent="0.25">
      <c r="A37" s="36" t="s">
        <v>19</v>
      </c>
    </row>
    <row r="38" spans="1:1" x14ac:dyDescent="0.25">
      <c r="A38" s="36" t="s">
        <v>18</v>
      </c>
    </row>
    <row r="39" spans="1:1" x14ac:dyDescent="0.25">
      <c r="A39" s="36"/>
    </row>
    <row r="40" spans="1:1" x14ac:dyDescent="0.25">
      <c r="A40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Yucatán_EdoUsa</vt:lpstr>
      <vt:lpstr>Yucatán_Cons_2018</vt:lpstr>
      <vt:lpstr>YucatánXCons2018</vt:lpstr>
      <vt:lpstr>Yucatán_EdoMun</vt:lpstr>
      <vt:lpstr>Yucatán_USAMuni2018</vt:lpstr>
      <vt:lpstr>Yucatán_MUNICIPIO</vt:lpstr>
      <vt:lpstr>Yucatán_educ_gral</vt:lpstr>
      <vt:lpstr>Yucatán_NivelE_Cons</vt:lpstr>
      <vt:lpstr>Yucatán_EducCons</vt:lpstr>
      <vt:lpstr>Yucatán_GenGral</vt:lpstr>
      <vt:lpstr>Yucatán_GENERO</vt:lpstr>
      <vt:lpstr>Yucatán_Gen_Edad</vt:lpstr>
      <vt:lpstr>Yucatán_ocup_gral</vt:lpstr>
      <vt:lpstr>Yucatán_EducCons!Área_de_impresión</vt:lpstr>
      <vt:lpstr>Yucatán_MUNICIPIO!Área_de_impresión</vt:lpstr>
      <vt:lpstr>Yucatán_NivelE_Cons!Área_de_impresión</vt:lpstr>
      <vt:lpstr>Yucatán_USAMuni2018!Área_de_impresión</vt:lpstr>
      <vt:lpstr>Yucatán_Cons_2018!Títulos_a_imprimir</vt:lpstr>
      <vt:lpstr>Yucatán_EdoMun!Títulos_a_imprimir</vt:lpstr>
      <vt:lpstr>Yucatán_EdoUsa!Títulos_a_imprimir</vt:lpstr>
      <vt:lpstr>Yucatán_educ_gral!Títulos_a_imprimir</vt:lpstr>
      <vt:lpstr>Yucatán_EducCons!Títulos_a_imprimir</vt:lpstr>
      <vt:lpstr>Yucatán_Gen_Edad!Títulos_a_imprimir</vt:lpstr>
      <vt:lpstr>Yucatán_GENERO!Títulos_a_imprimir</vt:lpstr>
      <vt:lpstr>Yucatán_GenGral!Títulos_a_imprimir</vt:lpstr>
      <vt:lpstr>Yucatán_MUNICIPIO!Títulos_a_imprimir</vt:lpstr>
      <vt:lpstr>Yucatán_NivelE_Cons!Títulos_a_imprimir</vt:lpstr>
      <vt:lpstr>Yucatán_ocup_gral!Títulos_a_imprimir</vt:lpstr>
      <vt:lpstr>Yucatán_USAMuni2018!Títulos_a_imprimir</vt:lpstr>
      <vt:lpstr>YucatánXCons2018!Títulos_a_imprimir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2019-12-19T23:35:41Z</dcterms:modified>
</cp:coreProperties>
</file>